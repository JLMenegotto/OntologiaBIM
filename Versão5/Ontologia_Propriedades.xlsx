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0973832-1EA5-467F-B959-482CEACADC8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710" i="39" l="1"/>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D699" i="39"/>
  <c r="A699" i="39"/>
  <c r="AE698" i="39"/>
  <c r="AC698" i="39"/>
  <c r="AA698" i="39"/>
  <c r="I698" i="39"/>
  <c r="D698" i="39"/>
  <c r="A698" i="39"/>
  <c r="AE697" i="39"/>
  <c r="AC697" i="39"/>
  <c r="AA697" i="39"/>
  <c r="I697" i="39"/>
  <c r="D697" i="39"/>
  <c r="A697" i="39"/>
  <c r="AE696" i="39"/>
  <c r="AC696" i="39"/>
  <c r="AA696" i="39"/>
  <c r="I696" i="39"/>
  <c r="D696" i="39"/>
  <c r="A696" i="39"/>
  <c r="AE695" i="39"/>
  <c r="AC695" i="39"/>
  <c r="AA695" i="39"/>
  <c r="I695" i="39"/>
  <c r="F695" i="39"/>
  <c r="F696" i="39" s="1"/>
  <c r="F697" i="39" s="1"/>
  <c r="F698" i="39" s="1"/>
  <c r="F699" i="39" s="1"/>
  <c r="D695" i="39"/>
  <c r="A695" i="39"/>
  <c r="AE694" i="39"/>
  <c r="AC694" i="39"/>
  <c r="AA694" i="39"/>
  <c r="Y694" i="39"/>
  <c r="X694" i="39"/>
  <c r="V694" i="39"/>
  <c r="I694" i="39"/>
  <c r="D694" i="39"/>
  <c r="C694" i="39"/>
  <c r="A694" i="39"/>
  <c r="V18" i="39"/>
  <c r="V35" i="39"/>
  <c r="V67" i="39"/>
  <c r="V83" i="39"/>
  <c r="V91" i="39"/>
  <c r="V120" i="39"/>
  <c r="V124" i="39"/>
  <c r="V139" i="39"/>
  <c r="V143" i="39"/>
  <c r="V151" i="39"/>
  <c r="V162" i="39"/>
  <c r="V167" i="39"/>
  <c r="V200" i="39"/>
  <c r="V208" i="39"/>
  <c r="V219" i="39"/>
  <c r="V225" i="39"/>
  <c r="V250" i="39"/>
  <c r="V253" i="39"/>
  <c r="V260" i="39"/>
  <c r="V264" i="39"/>
  <c r="V280" i="39"/>
  <c r="V328" i="39"/>
  <c r="V345" i="39"/>
  <c r="V394" i="39"/>
  <c r="V398" i="39"/>
  <c r="V419" i="39"/>
  <c r="V424" i="39"/>
  <c r="V433" i="39"/>
  <c r="V442" i="39"/>
  <c r="V459" i="39"/>
  <c r="V464" i="39"/>
  <c r="V476" i="39"/>
  <c r="V482" i="39"/>
  <c r="V490" i="39"/>
  <c r="V491" i="39"/>
  <c r="V492" i="39"/>
  <c r="V493" i="39"/>
  <c r="V494" i="39"/>
  <c r="V495" i="39"/>
  <c r="V496" i="39"/>
  <c r="V497" i="39"/>
  <c r="V498" i="39"/>
  <c r="V499" i="39"/>
  <c r="V518" i="39"/>
  <c r="V554" i="39"/>
  <c r="V619" i="39"/>
  <c r="V626" i="39"/>
  <c r="V634" i="39"/>
  <c r="V645" i="39"/>
  <c r="V650" i="39"/>
  <c r="V659" i="39"/>
  <c r="V667" i="39"/>
  <c r="V670" i="39"/>
  <c r="V711" i="39"/>
  <c r="V733" i="39"/>
  <c r="V748" i="39"/>
  <c r="V752" i="39"/>
  <c r="V764" i="39"/>
  <c r="V771" i="39"/>
  <c r="V791" i="39"/>
  <c r="V795" i="39"/>
  <c r="V803" i="39"/>
  <c r="V840" i="39"/>
  <c r="V873" i="39"/>
  <c r="V892" i="39"/>
  <c r="V897" i="39"/>
  <c r="V944" i="39"/>
  <c r="V960" i="39"/>
  <c r="V1006" i="39"/>
  <c r="V1039" i="39"/>
  <c r="V1047" i="39"/>
  <c r="V1050" i="39"/>
  <c r="V1057" i="39"/>
  <c r="V1064" i="39"/>
  <c r="V1066" i="39"/>
  <c r="V1092" i="39"/>
  <c r="V1119" i="39"/>
  <c r="V1182" i="39"/>
  <c r="V1184" i="39"/>
  <c r="V1198" i="39"/>
  <c r="V1222" i="39"/>
  <c r="V1255" i="39"/>
  <c r="V1269" i="39"/>
  <c r="V1273" i="39"/>
  <c r="V1284" i="39"/>
  <c r="V1285" i="39"/>
  <c r="V1286" i="39"/>
  <c r="V1287" i="39"/>
  <c r="V1291" i="39"/>
  <c r="V1295" i="39"/>
  <c r="V1305" i="39"/>
  <c r="V1311" i="39"/>
  <c r="V1329" i="39"/>
  <c r="V1342" i="39"/>
  <c r="V1346" i="39"/>
  <c r="V1407" i="39"/>
  <c r="V1421" i="39"/>
  <c r="V1439" i="39"/>
  <c r="V1447" i="39"/>
  <c r="V1468" i="39"/>
  <c r="V1481" i="39"/>
  <c r="V1501" i="39"/>
  <c r="V1507" i="39"/>
  <c r="V1518" i="39"/>
  <c r="V1528" i="39"/>
  <c r="V1557" i="39"/>
  <c r="V1559" i="39"/>
  <c r="V1578" i="39"/>
  <c r="V1584" i="39"/>
  <c r="V1609" i="39"/>
  <c r="V1615" i="39"/>
  <c r="V1682" i="39"/>
  <c r="V1686" i="39"/>
  <c r="V1690" i="39"/>
  <c r="V1705" i="39"/>
  <c r="V1710" i="39"/>
  <c r="V1723" i="39"/>
  <c r="V1757" i="39"/>
  <c r="V1760" i="39"/>
  <c r="V1783" i="39"/>
  <c r="V1797" i="39"/>
  <c r="V1803" i="39"/>
  <c r="V1806" i="39"/>
  <c r="V1808" i="39"/>
  <c r="V1817" i="39"/>
  <c r="V1824" i="39"/>
  <c r="V1829" i="39"/>
  <c r="V1864" i="39"/>
  <c r="V1870" i="39"/>
  <c r="V1936" i="39"/>
  <c r="V1943" i="39"/>
  <c r="V1963" i="39"/>
  <c r="V1969" i="39"/>
  <c r="V1985" i="39"/>
  <c r="V1995" i="39"/>
  <c r="V2003" i="39"/>
  <c r="V2019" i="39"/>
  <c r="V2021" i="39"/>
  <c r="V2035" i="39"/>
  <c r="V2040" i="39"/>
  <c r="Y18" i="39"/>
  <c r="Y35" i="39"/>
  <c r="Y67" i="39"/>
  <c r="Y83" i="39"/>
  <c r="Y91" i="39"/>
  <c r="Y120" i="39"/>
  <c r="Y124" i="39"/>
  <c r="Y139" i="39"/>
  <c r="Y143" i="39"/>
  <c r="Y151" i="39"/>
  <c r="Y162" i="39"/>
  <c r="Y167" i="39"/>
  <c r="Y200" i="39"/>
  <c r="Y208" i="39"/>
  <c r="Y219" i="39"/>
  <c r="Y225" i="39"/>
  <c r="Y250" i="39"/>
  <c r="Y253" i="39"/>
  <c r="Y260" i="39"/>
  <c r="Y264" i="39"/>
  <c r="Y280" i="39"/>
  <c r="Y328" i="39"/>
  <c r="Y345" i="39"/>
  <c r="Y394" i="39"/>
  <c r="Y398" i="39"/>
  <c r="Y419" i="39"/>
  <c r="Y424" i="39"/>
  <c r="Y433" i="39"/>
  <c r="Y442" i="39"/>
  <c r="Y459" i="39"/>
  <c r="Y464" i="39"/>
  <c r="Y476" i="39"/>
  <c r="Y482" i="39"/>
  <c r="Y490" i="39"/>
  <c r="Y491" i="39"/>
  <c r="Y492" i="39"/>
  <c r="Y493" i="39"/>
  <c r="Y494" i="39"/>
  <c r="Y495" i="39"/>
  <c r="Y496" i="39"/>
  <c r="Y497" i="39"/>
  <c r="Y498" i="39"/>
  <c r="Y499" i="39"/>
  <c r="Y518" i="39"/>
  <c r="Y554" i="39"/>
  <c r="Y619" i="39"/>
  <c r="Y626" i="39"/>
  <c r="Y634" i="39"/>
  <c r="Y645" i="39"/>
  <c r="Y650" i="39"/>
  <c r="Y659" i="39"/>
  <c r="Y667" i="39"/>
  <c r="Y670" i="39"/>
  <c r="Y711" i="39"/>
  <c r="Y733" i="39"/>
  <c r="Y748" i="39"/>
  <c r="Y752" i="39"/>
  <c r="Y764" i="39"/>
  <c r="Y771" i="39"/>
  <c r="Y791" i="39"/>
  <c r="Y795" i="39"/>
  <c r="Y803" i="39"/>
  <c r="Y840" i="39"/>
  <c r="Y873" i="39"/>
  <c r="Y892" i="39"/>
  <c r="Y897" i="39"/>
  <c r="Y944" i="39"/>
  <c r="Y960" i="39"/>
  <c r="Y1006" i="39"/>
  <c r="Y1039" i="39"/>
  <c r="Y1047" i="39"/>
  <c r="Y1050" i="39"/>
  <c r="Y1057" i="39"/>
  <c r="Y1064" i="39"/>
  <c r="Y1066" i="39"/>
  <c r="Y1092" i="39"/>
  <c r="Y1119" i="39"/>
  <c r="Y1182" i="39"/>
  <c r="Y1184" i="39"/>
  <c r="Y1198" i="39"/>
  <c r="Y1222" i="39"/>
  <c r="Y1255" i="39"/>
  <c r="Y1269" i="39"/>
  <c r="Y1273" i="39"/>
  <c r="Y1284" i="39"/>
  <c r="Y1285" i="39"/>
  <c r="Y1286" i="39"/>
  <c r="Y1287" i="39"/>
  <c r="Y1291" i="39"/>
  <c r="Y1295" i="39"/>
  <c r="Y1305" i="39"/>
  <c r="Y1311" i="39"/>
  <c r="Y1329" i="39"/>
  <c r="Y1342" i="39"/>
  <c r="Y1346" i="39"/>
  <c r="Y1407" i="39"/>
  <c r="Y1421" i="39"/>
  <c r="Y1439" i="39"/>
  <c r="Y1447" i="39"/>
  <c r="Y1468" i="39"/>
  <c r="Y1481" i="39"/>
  <c r="Y1501" i="39"/>
  <c r="Y1507" i="39"/>
  <c r="Y1518" i="39"/>
  <c r="Y1528" i="39"/>
  <c r="Y1557" i="39"/>
  <c r="Y1559" i="39"/>
  <c r="Y1578" i="39"/>
  <c r="Y1584" i="39"/>
  <c r="Y1609" i="39"/>
  <c r="Y1615" i="39"/>
  <c r="Y1682" i="39"/>
  <c r="Y1686" i="39"/>
  <c r="Y1690" i="39"/>
  <c r="Y1705" i="39"/>
  <c r="Y1710" i="39"/>
  <c r="Y1723" i="39"/>
  <c r="Y1757" i="39"/>
  <c r="Y1760" i="39"/>
  <c r="Y1783" i="39"/>
  <c r="Y1797" i="39"/>
  <c r="Y1803" i="39"/>
  <c r="Y1806" i="39"/>
  <c r="Y1808" i="39"/>
  <c r="Y1817" i="39"/>
  <c r="Y1824" i="39"/>
  <c r="Y1829" i="39"/>
  <c r="Y1864" i="39"/>
  <c r="Y1870" i="39"/>
  <c r="Y1936" i="39"/>
  <c r="Y1943" i="39"/>
  <c r="Y1963" i="39"/>
  <c r="Y1969" i="39"/>
  <c r="Y1985" i="39"/>
  <c r="Y1995" i="39"/>
  <c r="Y2003" i="39"/>
  <c r="Y2019" i="39"/>
  <c r="Y2021" i="39"/>
  <c r="Y2035" i="39"/>
  <c r="Y2040" i="39"/>
  <c r="X499" i="39"/>
  <c r="X1287"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D125" i="39"/>
  <c r="A125" i="39"/>
  <c r="AE124" i="39"/>
  <c r="D124" i="39"/>
  <c r="C124" i="39"/>
  <c r="A12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39" i="39"/>
  <c r="U139" i="39" s="1"/>
  <c r="D140" i="39"/>
  <c r="U140" i="39" s="1"/>
  <c r="D141" i="39"/>
  <c r="U141" i="39" s="1"/>
  <c r="D142" i="39"/>
  <c r="U142" i="39" s="1"/>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F140" i="39"/>
  <c r="AE1599" i="39"/>
  <c r="AC1599" i="39"/>
  <c r="AA1599" i="39"/>
  <c r="I1599" i="39"/>
  <c r="A1599"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A1071" i="39"/>
  <c r="AE1070" i="39"/>
  <c r="AC1070" i="39"/>
  <c r="AA1070" i="39"/>
  <c r="I1070" i="39"/>
  <c r="A1070" i="39"/>
  <c r="AE1069" i="39"/>
  <c r="AC1069" i="39"/>
  <c r="AA1069" i="39"/>
  <c r="I1069" i="39"/>
  <c r="A1069" i="39"/>
  <c r="AE1068" i="39"/>
  <c r="AC1068" i="39"/>
  <c r="AA1068" i="39"/>
  <c r="I1068" i="39"/>
  <c r="A1068" i="39"/>
  <c r="AE1067" i="39"/>
  <c r="AC1067" i="39"/>
  <c r="AA1067" i="39"/>
  <c r="I1067" i="39"/>
  <c r="F1067" i="39"/>
  <c r="A1067" i="39"/>
  <c r="AE1066" i="39"/>
  <c r="AC1066" i="39"/>
  <c r="AA1066" i="39"/>
  <c r="I1066" i="39"/>
  <c r="C1066" i="39"/>
  <c r="A1066" i="39"/>
  <c r="AC82" i="39"/>
  <c r="AG138" i="39"/>
  <c r="Z138" i="39"/>
  <c r="AG137" i="39"/>
  <c r="Z137" i="39"/>
  <c r="C695" i="39" l="1"/>
  <c r="U695" i="39" s="1"/>
  <c r="V125" i="39"/>
  <c r="Y125" i="39"/>
  <c r="F126" i="39"/>
  <c r="U1066" i="39"/>
  <c r="V140" i="39"/>
  <c r="Y140" i="39"/>
  <c r="V1067" i="39"/>
  <c r="Y1067" i="39"/>
  <c r="U124" i="39"/>
  <c r="F700" i="39"/>
  <c r="F701" i="39" s="1"/>
  <c r="F702" i="39" s="1"/>
  <c r="F703" i="39" s="1"/>
  <c r="F704" i="39" s="1"/>
  <c r="F705" i="39" s="1"/>
  <c r="F706" i="39" s="1"/>
  <c r="F707" i="39" s="1"/>
  <c r="F708" i="39" s="1"/>
  <c r="F709" i="39" s="1"/>
  <c r="F710" i="39" s="1"/>
  <c r="U694" i="39"/>
  <c r="X696" i="39"/>
  <c r="V696" i="39"/>
  <c r="C696" i="39"/>
  <c r="U696" i="39" s="1"/>
  <c r="Y696" i="39"/>
  <c r="Y695" i="39"/>
  <c r="V695" i="39"/>
  <c r="X695" i="39"/>
  <c r="C1067" i="39"/>
  <c r="U1067" i="39" s="1"/>
  <c r="C125" i="39"/>
  <c r="U125" i="39" s="1"/>
  <c r="F1068" i="39"/>
  <c r="F141"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56" i="39"/>
  <c r="AC1056" i="39"/>
  <c r="AA1056" i="39"/>
  <c r="I1056" i="39"/>
  <c r="A1056" i="39"/>
  <c r="AE1055" i="39"/>
  <c r="AC1055" i="39"/>
  <c r="AA1055" i="39"/>
  <c r="I1055" i="39"/>
  <c r="A1055" i="39"/>
  <c r="AE1054" i="39"/>
  <c r="AC1054" i="39"/>
  <c r="AA1054" i="39"/>
  <c r="I1054" i="39"/>
  <c r="A1054" i="39"/>
  <c r="AE1053" i="39"/>
  <c r="AC1053" i="39"/>
  <c r="AA1053" i="39"/>
  <c r="I1053" i="39"/>
  <c r="A1053" i="39"/>
  <c r="AE1052" i="39"/>
  <c r="AC1052" i="39"/>
  <c r="AA1052" i="39"/>
  <c r="I1052" i="39"/>
  <c r="A1052" i="39"/>
  <c r="AE1051" i="39"/>
  <c r="AC1051" i="39"/>
  <c r="AA1051" i="39"/>
  <c r="I1051" i="39"/>
  <c r="F1051" i="39"/>
  <c r="A1051" i="39"/>
  <c r="AE1050" i="39"/>
  <c r="AC1050" i="39"/>
  <c r="AA1050" i="39"/>
  <c r="I1050" i="39"/>
  <c r="C1050" i="39"/>
  <c r="U1050" i="39" s="1"/>
  <c r="A1050" i="39"/>
  <c r="AE259" i="39"/>
  <c r="AC259" i="39"/>
  <c r="AA259" i="39"/>
  <c r="I259" i="39"/>
  <c r="A259" i="39"/>
  <c r="AE258" i="39"/>
  <c r="AC258" i="39"/>
  <c r="AA258" i="39"/>
  <c r="I258" i="39"/>
  <c r="A258" i="39"/>
  <c r="AE257" i="39"/>
  <c r="AC257" i="39"/>
  <c r="AA257" i="39"/>
  <c r="I257" i="39"/>
  <c r="A257" i="39"/>
  <c r="AE256" i="39"/>
  <c r="AC256" i="39"/>
  <c r="AA256" i="39"/>
  <c r="I256" i="39"/>
  <c r="A256" i="39"/>
  <c r="AE255" i="39"/>
  <c r="AC255" i="39"/>
  <c r="AA255" i="39"/>
  <c r="I255" i="39"/>
  <c r="A255" i="39"/>
  <c r="AE254" i="39"/>
  <c r="AC254" i="39"/>
  <c r="AA254" i="39"/>
  <c r="I254" i="39"/>
  <c r="F254" i="39"/>
  <c r="A254" i="39"/>
  <c r="AE253" i="39"/>
  <c r="AC253" i="39"/>
  <c r="AA253" i="39"/>
  <c r="I253" i="39"/>
  <c r="C253" i="39"/>
  <c r="U253" i="39" s="1"/>
  <c r="A253"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A1600" i="39"/>
  <c r="AE1598" i="39"/>
  <c r="AC1598" i="39"/>
  <c r="AA1598" i="39"/>
  <c r="I1598" i="39"/>
  <c r="A1598" i="39"/>
  <c r="AE1597" i="39"/>
  <c r="AC1597" i="39"/>
  <c r="AA1597" i="39"/>
  <c r="I1597" i="39"/>
  <c r="A1597" i="39"/>
  <c r="AE1596" i="39"/>
  <c r="AC1596" i="39"/>
  <c r="AA1596" i="39"/>
  <c r="I1596" i="39"/>
  <c r="A1596" i="39"/>
  <c r="AE1595" i="39"/>
  <c r="AC1595" i="39"/>
  <c r="AA1595" i="39"/>
  <c r="I1595" i="39"/>
  <c r="A1595" i="39"/>
  <c r="AE1594" i="39"/>
  <c r="AC1594" i="39"/>
  <c r="AA1594" i="39"/>
  <c r="I1594" i="39"/>
  <c r="A1594" i="39"/>
  <c r="AE1593" i="39"/>
  <c r="AC1593" i="39"/>
  <c r="AA1593" i="39"/>
  <c r="I1593" i="39"/>
  <c r="A1593" i="39"/>
  <c r="AE1592" i="39"/>
  <c r="AC1592" i="39"/>
  <c r="AA1592" i="39"/>
  <c r="I1592" i="39"/>
  <c r="A1592" i="39"/>
  <c r="AE1591" i="39"/>
  <c r="AC1591" i="39"/>
  <c r="AA1591" i="39"/>
  <c r="I1591" i="39"/>
  <c r="A1591" i="39"/>
  <c r="AE1590" i="39"/>
  <c r="AC1590" i="39"/>
  <c r="AA1590" i="39"/>
  <c r="I1590" i="39"/>
  <c r="A1590" i="39"/>
  <c r="AE1589" i="39"/>
  <c r="AC1589" i="39"/>
  <c r="AA1589" i="39"/>
  <c r="I1589" i="39"/>
  <c r="A1589" i="39"/>
  <c r="AE1588" i="39"/>
  <c r="AC1588" i="39"/>
  <c r="AA1588" i="39"/>
  <c r="I1588" i="39"/>
  <c r="A1588" i="39"/>
  <c r="AE1587" i="39"/>
  <c r="AC1587" i="39"/>
  <c r="AA1587" i="39"/>
  <c r="I1587" i="39"/>
  <c r="A1587" i="39"/>
  <c r="AE1586" i="39"/>
  <c r="AC1586" i="39"/>
  <c r="AA1586" i="39"/>
  <c r="I1586" i="39"/>
  <c r="A1586" i="39"/>
  <c r="AE1585" i="39"/>
  <c r="AC1585" i="39"/>
  <c r="AA1585" i="39"/>
  <c r="I1585" i="39"/>
  <c r="F1585" i="39"/>
  <c r="A1585" i="39"/>
  <c r="AE1584" i="39"/>
  <c r="AC1584" i="39"/>
  <c r="AA1584" i="39"/>
  <c r="I1584" i="39"/>
  <c r="C1584" i="39"/>
  <c r="U1584" i="39" s="1"/>
  <c r="A1584" i="39"/>
  <c r="AE1994" i="39"/>
  <c r="AC1994" i="39"/>
  <c r="AA1994" i="39"/>
  <c r="I1994" i="39"/>
  <c r="A1994" i="39"/>
  <c r="AE1993" i="39"/>
  <c r="AC1993" i="39"/>
  <c r="AA1993" i="39"/>
  <c r="I1993" i="39"/>
  <c r="A1993" i="39"/>
  <c r="AE1992" i="39"/>
  <c r="AC1992" i="39"/>
  <c r="AA1992" i="39"/>
  <c r="I1992" i="39"/>
  <c r="A1992" i="39"/>
  <c r="AE1991" i="39"/>
  <c r="AC1991" i="39"/>
  <c r="AA1991" i="39"/>
  <c r="I1991" i="39"/>
  <c r="A1991" i="39"/>
  <c r="AE1990" i="39"/>
  <c r="AC1990" i="39"/>
  <c r="AA1990" i="39"/>
  <c r="I1990" i="39"/>
  <c r="A1990" i="39"/>
  <c r="AE1989" i="39"/>
  <c r="AC1989" i="39"/>
  <c r="AA1989" i="39"/>
  <c r="I1989" i="39"/>
  <c r="A1989" i="39"/>
  <c r="AE1988" i="39"/>
  <c r="AC1988" i="39"/>
  <c r="AA1988" i="39"/>
  <c r="I1988" i="39"/>
  <c r="A1988" i="39"/>
  <c r="AE1987" i="39"/>
  <c r="AC1987" i="39"/>
  <c r="AA1987" i="39"/>
  <c r="I1987" i="39"/>
  <c r="F1987" i="39"/>
  <c r="A1987" i="39"/>
  <c r="AE1986" i="39"/>
  <c r="AC1986" i="39"/>
  <c r="AA1986" i="39"/>
  <c r="I1986" i="39"/>
  <c r="F1986" i="39"/>
  <c r="A1986" i="39"/>
  <c r="AE1985" i="39"/>
  <c r="AC1985" i="39"/>
  <c r="AA1985" i="39"/>
  <c r="I1985" i="39"/>
  <c r="C1985" i="39"/>
  <c r="U1985" i="39" s="1"/>
  <c r="A1985"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A845" i="39"/>
  <c r="AE844" i="39"/>
  <c r="AC844" i="39"/>
  <c r="AA844" i="39"/>
  <c r="I844" i="39"/>
  <c r="A844" i="39"/>
  <c r="AE843" i="39"/>
  <c r="AC843" i="39"/>
  <c r="AA843" i="39"/>
  <c r="I843" i="39"/>
  <c r="A843" i="39"/>
  <c r="AE842" i="39"/>
  <c r="AC842" i="39"/>
  <c r="AA842" i="39"/>
  <c r="I842" i="39"/>
  <c r="A842" i="39"/>
  <c r="AE841" i="39"/>
  <c r="AC841" i="39"/>
  <c r="AA841" i="39"/>
  <c r="I841" i="39"/>
  <c r="F841" i="39"/>
  <c r="A841" i="39"/>
  <c r="AE840" i="39"/>
  <c r="AC840" i="39"/>
  <c r="AA840" i="39"/>
  <c r="I840" i="39"/>
  <c r="C840" i="39"/>
  <c r="U840" i="39" s="1"/>
  <c r="A840" i="39"/>
  <c r="V254" i="39" l="1"/>
  <c r="Y254" i="39"/>
  <c r="V68" i="39"/>
  <c r="Y68" i="39"/>
  <c r="V1987" i="39"/>
  <c r="Y1987" i="39"/>
  <c r="V1051" i="39"/>
  <c r="Y1051" i="39"/>
  <c r="V141" i="39"/>
  <c r="Y141" i="39"/>
  <c r="V1986" i="39"/>
  <c r="Y1986" i="39"/>
  <c r="V841" i="39"/>
  <c r="Y841" i="39"/>
  <c r="V1585" i="39"/>
  <c r="Y1585" i="39"/>
  <c r="F1069" i="39"/>
  <c r="C1069" i="39" s="1"/>
  <c r="U1069" i="39" s="1"/>
  <c r="V1068" i="39"/>
  <c r="Y1068" i="39"/>
  <c r="F127" i="39"/>
  <c r="V126" i="39"/>
  <c r="Y126" i="39"/>
  <c r="C126" i="39"/>
  <c r="U126" i="39" s="1"/>
  <c r="Y697" i="39"/>
  <c r="C697" i="39"/>
  <c r="U697" i="39" s="1"/>
  <c r="X697" i="39"/>
  <c r="V697" i="39"/>
  <c r="C1068" i="39"/>
  <c r="U1068" i="39" s="1"/>
  <c r="F255" i="39"/>
  <c r="F142" i="39"/>
  <c r="F69" i="39"/>
  <c r="C1585" i="39"/>
  <c r="U1585" i="39" s="1"/>
  <c r="C68" i="39"/>
  <c r="U68" i="39" s="1"/>
  <c r="C1986" i="39"/>
  <c r="U1986" i="39" s="1"/>
  <c r="C254" i="39"/>
  <c r="U254" i="39" s="1"/>
  <c r="F1052" i="39"/>
  <c r="F1586" i="39"/>
  <c r="C1051" i="39"/>
  <c r="U1051" i="39" s="1"/>
  <c r="C841" i="39"/>
  <c r="U841" i="39" s="1"/>
  <c r="C1987" i="39"/>
  <c r="U1987" i="39" s="1"/>
  <c r="F1988" i="39"/>
  <c r="F1989" i="39"/>
  <c r="F842" i="39"/>
  <c r="F843"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A776" i="39"/>
  <c r="AE775" i="39"/>
  <c r="AC775" i="39"/>
  <c r="AA775" i="39"/>
  <c r="I775" i="39"/>
  <c r="A775" i="39"/>
  <c r="AE774" i="39"/>
  <c r="AC774" i="39"/>
  <c r="AA774" i="39"/>
  <c r="I774" i="39"/>
  <c r="A774" i="39"/>
  <c r="AE773" i="39"/>
  <c r="AC773" i="39"/>
  <c r="AA773" i="39"/>
  <c r="I773" i="39"/>
  <c r="A773" i="39"/>
  <c r="AE772" i="39"/>
  <c r="AC772" i="39"/>
  <c r="AA772" i="39"/>
  <c r="I772" i="39"/>
  <c r="F772" i="39"/>
  <c r="A772" i="39"/>
  <c r="AE771" i="39"/>
  <c r="AC771" i="39"/>
  <c r="AA771" i="39"/>
  <c r="I771" i="39"/>
  <c r="C771" i="39"/>
  <c r="U771" i="39" s="1"/>
  <c r="A771" i="39"/>
  <c r="AA1178" i="39"/>
  <c r="AC1178" i="39"/>
  <c r="F1070" i="39" l="1"/>
  <c r="V142" i="39"/>
  <c r="Y142" i="39"/>
  <c r="X143" i="39"/>
  <c r="V1070" i="39"/>
  <c r="Y1070" i="39"/>
  <c r="Y843" i="39"/>
  <c r="V843" i="39"/>
  <c r="F128" i="39"/>
  <c r="V127" i="39"/>
  <c r="Y127" i="39"/>
  <c r="C127" i="39"/>
  <c r="U127" i="39" s="1"/>
  <c r="V255" i="39"/>
  <c r="Y255" i="39"/>
  <c r="V842" i="39"/>
  <c r="Y842" i="39"/>
  <c r="V1069" i="39"/>
  <c r="Y1069" i="39"/>
  <c r="V1052" i="39"/>
  <c r="Y1052" i="39"/>
  <c r="V772" i="39"/>
  <c r="Y772" i="39"/>
  <c r="V69" i="39"/>
  <c r="Y69" i="39"/>
  <c r="V1586" i="39"/>
  <c r="Y1586" i="39"/>
  <c r="V1989" i="39"/>
  <c r="Y1989" i="39"/>
  <c r="V1988" i="39"/>
  <c r="Y1988" i="39"/>
  <c r="C698" i="39"/>
  <c r="U698" i="39" s="1"/>
  <c r="X698" i="39"/>
  <c r="V698" i="39"/>
  <c r="Y698" i="39"/>
  <c r="C69" i="39"/>
  <c r="U69" i="39" s="1"/>
  <c r="C255" i="39"/>
  <c r="U255" i="39" s="1"/>
  <c r="F256" i="39"/>
  <c r="F70" i="39"/>
  <c r="F1990" i="39"/>
  <c r="C1052" i="39"/>
  <c r="U1052" i="39" s="1"/>
  <c r="F1071" i="39"/>
  <c r="C1070" i="39"/>
  <c r="U1070" i="39" s="1"/>
  <c r="F1053" i="39"/>
  <c r="F1587" i="39"/>
  <c r="C1586" i="39"/>
  <c r="U1586" i="39" s="1"/>
  <c r="C1988" i="39"/>
  <c r="U1988" i="39" s="1"/>
  <c r="F1991" i="39"/>
  <c r="C1989" i="39"/>
  <c r="U1989" i="39" s="1"/>
  <c r="C842" i="39"/>
  <c r="U842" i="39" s="1"/>
  <c r="F844" i="39"/>
  <c r="C843" i="39"/>
  <c r="U843" i="39" s="1"/>
  <c r="F773" i="39"/>
  <c r="C772" i="39"/>
  <c r="U772" i="39" s="1"/>
  <c r="AE1130" i="39"/>
  <c r="AC1130" i="39"/>
  <c r="AA1130" i="39"/>
  <c r="I1130" i="39"/>
  <c r="A1130" i="39"/>
  <c r="AE1128" i="39"/>
  <c r="AC1128" i="39"/>
  <c r="AA1128" i="39"/>
  <c r="I1128" i="39"/>
  <c r="A1128" i="39"/>
  <c r="AE1129" i="39"/>
  <c r="AC1129" i="39"/>
  <c r="AA1129" i="39"/>
  <c r="I1129" i="39"/>
  <c r="A1129" i="39"/>
  <c r="AE1181" i="39"/>
  <c r="AC1181" i="39"/>
  <c r="AA1181" i="39"/>
  <c r="I1181" i="39"/>
  <c r="A1181" i="39"/>
  <c r="AE1180" i="39"/>
  <c r="AC1180" i="39"/>
  <c r="AA1180" i="39"/>
  <c r="I1180" i="39"/>
  <c r="A1180" i="39"/>
  <c r="AE1179" i="39"/>
  <c r="AC1179" i="39"/>
  <c r="AA1179" i="39"/>
  <c r="I1179" i="39"/>
  <c r="A1179" i="39"/>
  <c r="AE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27" i="39"/>
  <c r="AC1127" i="39"/>
  <c r="AA1127" i="39"/>
  <c r="I1127" i="39"/>
  <c r="A1127" i="39"/>
  <c r="AE1126" i="39"/>
  <c r="AC1126" i="39"/>
  <c r="AA1126" i="39"/>
  <c r="I1126" i="39"/>
  <c r="A1126" i="39"/>
  <c r="AE1125" i="39"/>
  <c r="AC1125" i="39"/>
  <c r="AA1125" i="39"/>
  <c r="I1125" i="39"/>
  <c r="A1125" i="39"/>
  <c r="AE1124" i="39"/>
  <c r="AC1124" i="39"/>
  <c r="AA1124" i="39"/>
  <c r="I1124" i="39"/>
  <c r="A1124" i="39"/>
  <c r="AE1123" i="39"/>
  <c r="AC1123" i="39"/>
  <c r="AA1123" i="39"/>
  <c r="I1123" i="39"/>
  <c r="A1123" i="39"/>
  <c r="AE1122" i="39"/>
  <c r="AC1122" i="39"/>
  <c r="AA1122" i="39"/>
  <c r="I1122" i="39"/>
  <c r="A1122" i="39"/>
  <c r="AE1121" i="39"/>
  <c r="AC1121" i="39"/>
  <c r="AA1121" i="39"/>
  <c r="I1121" i="39"/>
  <c r="A1121" i="39"/>
  <c r="AE1120" i="39"/>
  <c r="AC1120" i="39"/>
  <c r="AA1120" i="39"/>
  <c r="I1120" i="39"/>
  <c r="F1120" i="39"/>
  <c r="A1120" i="39"/>
  <c r="AE1119" i="39"/>
  <c r="AC1119" i="39"/>
  <c r="AA1119" i="39"/>
  <c r="I1119" i="39"/>
  <c r="C1119" i="39"/>
  <c r="U1119" i="39" s="1"/>
  <c r="A1119" i="39"/>
  <c r="V844" i="39" l="1"/>
  <c r="Y844" i="39"/>
  <c r="F129" i="39"/>
  <c r="V128" i="39"/>
  <c r="Y128" i="39"/>
  <c r="C128" i="39"/>
  <c r="U128" i="39" s="1"/>
  <c r="V1071" i="39"/>
  <c r="Y1071" i="39"/>
  <c r="V1990" i="39"/>
  <c r="Y1990" i="39"/>
  <c r="V256" i="39"/>
  <c r="Y256" i="39"/>
  <c r="V1120" i="39"/>
  <c r="Y1120" i="39"/>
  <c r="F71" i="39"/>
  <c r="V70" i="39"/>
  <c r="Y70" i="39"/>
  <c r="V1991" i="39"/>
  <c r="Y1991" i="39"/>
  <c r="V773" i="39"/>
  <c r="Y773" i="39"/>
  <c r="V1587" i="39"/>
  <c r="Y1587" i="39"/>
  <c r="V1053" i="39"/>
  <c r="Y1053" i="39"/>
  <c r="Y699" i="39"/>
  <c r="X699" i="39"/>
  <c r="V699" i="39"/>
  <c r="C699" i="39"/>
  <c r="U699" i="39" s="1"/>
  <c r="C256" i="39"/>
  <c r="U256" i="39" s="1"/>
  <c r="F257" i="39"/>
  <c r="C70" i="39"/>
  <c r="U70" i="39" s="1"/>
  <c r="F1992" i="39"/>
  <c r="C1990" i="39"/>
  <c r="U1990" i="39" s="1"/>
  <c r="C1071" i="39"/>
  <c r="U1071" i="39" s="1"/>
  <c r="F1072" i="39"/>
  <c r="C1053" i="39"/>
  <c r="U1053" i="39" s="1"/>
  <c r="F1054" i="39"/>
  <c r="F1588" i="39"/>
  <c r="F774" i="39"/>
  <c r="C1587" i="39"/>
  <c r="U1587" i="39" s="1"/>
  <c r="C773" i="39"/>
  <c r="U773" i="39" s="1"/>
  <c r="C1120" i="39"/>
  <c r="U1120" i="39" s="1"/>
  <c r="F1993" i="39"/>
  <c r="C1991" i="39"/>
  <c r="U1991" i="39" s="1"/>
  <c r="F845" i="39"/>
  <c r="C844" i="39"/>
  <c r="U844" i="39" s="1"/>
  <c r="F1121" i="39"/>
  <c r="V1992" i="39" l="1"/>
  <c r="Y1992" i="39"/>
  <c r="V257" i="39"/>
  <c r="Y257" i="39"/>
  <c r="V71" i="39"/>
  <c r="Y71" i="39"/>
  <c r="V1054" i="39"/>
  <c r="Y1054" i="39"/>
  <c r="C71" i="39"/>
  <c r="U71" i="39" s="1"/>
  <c r="V845" i="39"/>
  <c r="Y845" i="39"/>
  <c r="V1072" i="39"/>
  <c r="Y1072" i="39"/>
  <c r="F72" i="39"/>
  <c r="F130" i="39"/>
  <c r="Y129" i="39"/>
  <c r="V129" i="39"/>
  <c r="C129" i="39"/>
  <c r="U129" i="39" s="1"/>
  <c r="V1993" i="39"/>
  <c r="Y1993" i="39"/>
  <c r="V774" i="39"/>
  <c r="Y774" i="39"/>
  <c r="V1121" i="39"/>
  <c r="Y1121" i="39"/>
  <c r="V1588" i="39"/>
  <c r="Y1588" i="39"/>
  <c r="X700" i="39"/>
  <c r="C700" i="39"/>
  <c r="U700" i="39" s="1"/>
  <c r="Y700" i="39"/>
  <c r="V700" i="39"/>
  <c r="C257" i="39"/>
  <c r="U257" i="39" s="1"/>
  <c r="F258" i="39"/>
  <c r="F1589" i="39"/>
  <c r="C1588" i="39"/>
  <c r="U1588" i="39" s="1"/>
  <c r="F259" i="39"/>
  <c r="C258" i="39"/>
  <c r="U258" i="39" s="1"/>
  <c r="C1992" i="39"/>
  <c r="U1992" i="39" s="1"/>
  <c r="C1054" i="39"/>
  <c r="U1054" i="39" s="1"/>
  <c r="F1055" i="39"/>
  <c r="F1994" i="39"/>
  <c r="F1073" i="39"/>
  <c r="C1072" i="39"/>
  <c r="U1072" i="39" s="1"/>
  <c r="F775" i="39"/>
  <c r="C774" i="39"/>
  <c r="U774" i="39" s="1"/>
  <c r="C1993" i="39"/>
  <c r="U1993" i="39" s="1"/>
  <c r="C845" i="39"/>
  <c r="U845" i="39" s="1"/>
  <c r="F846" i="39"/>
  <c r="C1121" i="39"/>
  <c r="U1121" i="39" s="1"/>
  <c r="F1122" i="39"/>
  <c r="V72" i="39" l="1"/>
  <c r="Y72" i="39"/>
  <c r="V1055" i="39"/>
  <c r="Y1055" i="39"/>
  <c r="V259" i="39"/>
  <c r="Y259" i="39"/>
  <c r="X260" i="39"/>
  <c r="V1589" i="39"/>
  <c r="Y1589" i="39"/>
  <c r="C72" i="39"/>
  <c r="U72" i="39" s="1"/>
  <c r="C1055" i="39"/>
  <c r="U1055" i="39" s="1"/>
  <c r="F1056" i="39"/>
  <c r="V1073" i="39"/>
  <c r="Y1073" i="39"/>
  <c r="F131" i="39"/>
  <c r="V130" i="39"/>
  <c r="Y130" i="39"/>
  <c r="C130" i="39"/>
  <c r="U130" i="39" s="1"/>
  <c r="V1122" i="39"/>
  <c r="Y1122" i="39"/>
  <c r="F73" i="39"/>
  <c r="V258" i="39"/>
  <c r="Y258" i="39"/>
  <c r="V846" i="39"/>
  <c r="Y846" i="39"/>
  <c r="V775" i="39"/>
  <c r="Y775" i="39"/>
  <c r="V1994" i="39"/>
  <c r="Y1994" i="39"/>
  <c r="X1995" i="39"/>
  <c r="Y701" i="39"/>
  <c r="X701" i="39"/>
  <c r="V701" i="39"/>
  <c r="C701" i="39"/>
  <c r="U701" i="39" s="1"/>
  <c r="C1589" i="39"/>
  <c r="U1589" i="39" s="1"/>
  <c r="F1590" i="39"/>
  <c r="C259" i="39"/>
  <c r="U259" i="39" s="1"/>
  <c r="C1994" i="39"/>
  <c r="U1994" i="39" s="1"/>
  <c r="C775" i="39"/>
  <c r="U775" i="39" s="1"/>
  <c r="F776" i="39"/>
  <c r="C1073" i="39"/>
  <c r="U1073" i="39" s="1"/>
  <c r="F1074" i="39"/>
  <c r="C1122" i="39"/>
  <c r="U1122" i="39" s="1"/>
  <c r="F1123" i="39"/>
  <c r="C846" i="39"/>
  <c r="U846" i="39" s="1"/>
  <c r="F847" i="39"/>
  <c r="AE1063" i="39"/>
  <c r="AC1063" i="39"/>
  <c r="AA1063" i="39"/>
  <c r="I1063" i="39"/>
  <c r="A1063" i="39"/>
  <c r="AE1062" i="39"/>
  <c r="AC1062" i="39"/>
  <c r="AA1062" i="39"/>
  <c r="I1062" i="39"/>
  <c r="A1062" i="39"/>
  <c r="AE1061" i="39"/>
  <c r="AC1061" i="39"/>
  <c r="AA1061" i="39"/>
  <c r="I1061" i="39"/>
  <c r="A1061" i="39"/>
  <c r="AE1060" i="39"/>
  <c r="AC1060" i="39"/>
  <c r="AA1060" i="39"/>
  <c r="I1060" i="39"/>
  <c r="A1060" i="39"/>
  <c r="AE1059" i="39"/>
  <c r="AC1059" i="39"/>
  <c r="AA1059" i="39"/>
  <c r="I1059" i="39"/>
  <c r="A1059" i="39"/>
  <c r="AE1058" i="39"/>
  <c r="AC1058" i="39"/>
  <c r="AA1058" i="39"/>
  <c r="I1058" i="39"/>
  <c r="F1058" i="39"/>
  <c r="A1058" i="39"/>
  <c r="AE1057" i="39"/>
  <c r="AC1057" i="39"/>
  <c r="AA1057" i="39"/>
  <c r="I1057" i="39"/>
  <c r="C1057" i="39"/>
  <c r="U1057" i="39" s="1"/>
  <c r="A1057" i="39"/>
  <c r="F1687" i="39"/>
  <c r="AE1686" i="39"/>
  <c r="AC1686" i="39"/>
  <c r="AA1686" i="39"/>
  <c r="I1686" i="39"/>
  <c r="C1686" i="39"/>
  <c r="U1686" i="39" s="1"/>
  <c r="A1686" i="39"/>
  <c r="AE1689" i="39"/>
  <c r="AC1689" i="39"/>
  <c r="AA1689" i="39"/>
  <c r="I1689" i="39"/>
  <c r="A1689" i="39"/>
  <c r="AE1688" i="39"/>
  <c r="AC1688" i="39"/>
  <c r="AA1688" i="39"/>
  <c r="I1688" i="39"/>
  <c r="A1688" i="39"/>
  <c r="AE1687" i="39"/>
  <c r="AC1687" i="39"/>
  <c r="AA1687" i="39"/>
  <c r="I1687" i="39"/>
  <c r="A1687" i="39"/>
  <c r="AE663" i="39"/>
  <c r="AC663" i="39"/>
  <c r="AA663" i="39"/>
  <c r="I663" i="39"/>
  <c r="A663" i="39"/>
  <c r="V1058" i="39" l="1"/>
  <c r="Y1058" i="39"/>
  <c r="V1056" i="39"/>
  <c r="Y1056" i="39"/>
  <c r="X1057" i="39"/>
  <c r="X1058" i="39" s="1"/>
  <c r="X1059" i="39" s="1"/>
  <c r="C1056" i="39"/>
  <c r="U1056" i="39" s="1"/>
  <c r="V1590" i="39"/>
  <c r="Y1590" i="39"/>
  <c r="V1123" i="39"/>
  <c r="Y1123" i="39"/>
  <c r="V847" i="39"/>
  <c r="Y847" i="39"/>
  <c r="V1687" i="39"/>
  <c r="Y1687" i="39"/>
  <c r="V1074" i="39"/>
  <c r="Y1074" i="39"/>
  <c r="V776" i="39"/>
  <c r="Y776" i="39"/>
  <c r="F132" i="39"/>
  <c r="V131" i="39"/>
  <c r="Y131" i="39"/>
  <c r="C131" i="39"/>
  <c r="U131" i="39" s="1"/>
  <c r="V73" i="39"/>
  <c r="Y73" i="39"/>
  <c r="F74" i="39"/>
  <c r="C73" i="39"/>
  <c r="U73" i="39" s="1"/>
  <c r="C702" i="39"/>
  <c r="U702" i="39" s="1"/>
  <c r="Y702" i="39"/>
  <c r="X702" i="39"/>
  <c r="V702" i="39"/>
  <c r="F1591" i="39"/>
  <c r="C1590" i="39"/>
  <c r="U1590" i="39" s="1"/>
  <c r="F777" i="39"/>
  <c r="C776" i="39"/>
  <c r="U776" i="39" s="1"/>
  <c r="F1075" i="39"/>
  <c r="C1074" i="39"/>
  <c r="U1074" i="39" s="1"/>
  <c r="F1592" i="39"/>
  <c r="C1591" i="39"/>
  <c r="U1591" i="39" s="1"/>
  <c r="C1123" i="39"/>
  <c r="U1123" i="39" s="1"/>
  <c r="F1124" i="39"/>
  <c r="C847" i="39"/>
  <c r="U847" i="39" s="1"/>
  <c r="F848" i="39"/>
  <c r="F1688" i="39"/>
  <c r="C1058" i="39"/>
  <c r="U1058" i="39" s="1"/>
  <c r="F1059" i="39"/>
  <c r="C1687" i="39"/>
  <c r="U1687" i="39" s="1"/>
  <c r="AE1861" i="39"/>
  <c r="AC1861" i="39"/>
  <c r="AA1861" i="39"/>
  <c r="I1861" i="39"/>
  <c r="A1861" i="39"/>
  <c r="AE1862" i="39"/>
  <c r="AC1862" i="39"/>
  <c r="AA1862" i="39"/>
  <c r="I1862" i="39"/>
  <c r="A1862" i="39"/>
  <c r="AE1844" i="39"/>
  <c r="AC1844" i="39"/>
  <c r="AA1844" i="39"/>
  <c r="I1844" i="39"/>
  <c r="A1844" i="39"/>
  <c r="AE1839" i="39"/>
  <c r="AC1839" i="39"/>
  <c r="AA1839" i="39"/>
  <c r="I1839" i="39"/>
  <c r="A1839" i="39"/>
  <c r="AE1832" i="39"/>
  <c r="AC1832" i="39"/>
  <c r="AA1832" i="39"/>
  <c r="I1832" i="39"/>
  <c r="F1832" i="39"/>
  <c r="A1832" i="39"/>
  <c r="AE1831" i="39"/>
  <c r="AC1831" i="39"/>
  <c r="AA1831" i="39"/>
  <c r="I1831" i="39"/>
  <c r="F1831" i="39"/>
  <c r="A1831" i="39"/>
  <c r="F1830" i="39"/>
  <c r="AE1846" i="39"/>
  <c r="AC1846" i="39"/>
  <c r="AA1846" i="39"/>
  <c r="I1846" i="39"/>
  <c r="A1846" i="39"/>
  <c r="AE1830" i="39"/>
  <c r="AC1830" i="39"/>
  <c r="AA1830" i="39"/>
  <c r="I1830" i="39"/>
  <c r="A1830" i="39"/>
  <c r="AE1858" i="39"/>
  <c r="AC1858" i="39"/>
  <c r="AA1858" i="39"/>
  <c r="I1858" i="39"/>
  <c r="A1858" i="39"/>
  <c r="AE1863" i="39"/>
  <c r="AC1863" i="39"/>
  <c r="AA1863" i="39"/>
  <c r="I1863" i="39"/>
  <c r="A1863" i="39"/>
  <c r="AE1860" i="39"/>
  <c r="AC1860" i="39"/>
  <c r="AA1860" i="39"/>
  <c r="I1860" i="39"/>
  <c r="A1860" i="39"/>
  <c r="AE1859" i="39"/>
  <c r="AC1859" i="39"/>
  <c r="AA1859" i="39"/>
  <c r="I1859" i="39"/>
  <c r="A1859" i="39"/>
  <c r="AE1857" i="39"/>
  <c r="AC1857" i="39"/>
  <c r="AA1857" i="39"/>
  <c r="I1857" i="39"/>
  <c r="A1857" i="39"/>
  <c r="AE1856" i="39"/>
  <c r="AC1856" i="39"/>
  <c r="AA1856" i="39"/>
  <c r="I1856" i="39"/>
  <c r="A1856" i="39"/>
  <c r="AE1855" i="39"/>
  <c r="AC1855" i="39"/>
  <c r="AA1855" i="39"/>
  <c r="I1855" i="39"/>
  <c r="A1855"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50" i="39"/>
  <c r="AC1850" i="39"/>
  <c r="AA1850" i="39"/>
  <c r="I1850" i="39"/>
  <c r="A1850" i="39"/>
  <c r="AE1849" i="39"/>
  <c r="AC1849" i="39"/>
  <c r="AA1849" i="39"/>
  <c r="I1849" i="39"/>
  <c r="A1849" i="39"/>
  <c r="AE1848" i="39"/>
  <c r="AC1848" i="39"/>
  <c r="AA1848" i="39"/>
  <c r="I1848" i="39"/>
  <c r="A1848" i="39"/>
  <c r="AE1847" i="39"/>
  <c r="AC1847" i="39"/>
  <c r="AA1847" i="39"/>
  <c r="I1847" i="39"/>
  <c r="A1847" i="39"/>
  <c r="AE1845" i="39"/>
  <c r="AC1845" i="39"/>
  <c r="AA1845" i="39"/>
  <c r="I1845" i="39"/>
  <c r="A1845" i="39"/>
  <c r="AE1843" i="39"/>
  <c r="AC1843" i="39"/>
  <c r="AA1843" i="39"/>
  <c r="I1843" i="39"/>
  <c r="A1843" i="39"/>
  <c r="AE1842" i="39"/>
  <c r="AC1842" i="39"/>
  <c r="AA1842" i="39"/>
  <c r="I1842" i="39"/>
  <c r="A1842" i="39"/>
  <c r="AE1841" i="39"/>
  <c r="AC1841" i="39"/>
  <c r="AA1841" i="39"/>
  <c r="I1841" i="39"/>
  <c r="A1841" i="39"/>
  <c r="AE1840" i="39"/>
  <c r="AC1840" i="39"/>
  <c r="AA1840" i="39"/>
  <c r="I1840" i="39"/>
  <c r="A1840" i="39"/>
  <c r="AE1838" i="39"/>
  <c r="AC1838" i="39"/>
  <c r="AA1838" i="39"/>
  <c r="I1838" i="39"/>
  <c r="A1838" i="39"/>
  <c r="AE1837" i="39"/>
  <c r="AC1837" i="39"/>
  <c r="AA1837" i="39"/>
  <c r="I1837" i="39"/>
  <c r="A1837" i="39"/>
  <c r="AE1836" i="39"/>
  <c r="AC1836" i="39"/>
  <c r="AA1836" i="39"/>
  <c r="I1836" i="39"/>
  <c r="A1836" i="39"/>
  <c r="AE1835" i="39"/>
  <c r="AC1835" i="39"/>
  <c r="AA1835" i="39"/>
  <c r="I1835" i="39"/>
  <c r="A1835" i="39"/>
  <c r="AE1834" i="39"/>
  <c r="AC1834" i="39"/>
  <c r="AA1834" i="39"/>
  <c r="I1834" i="39"/>
  <c r="A1834" i="39"/>
  <c r="AE1833" i="39"/>
  <c r="AC1833" i="39"/>
  <c r="AA1833" i="39"/>
  <c r="I1833" i="39"/>
  <c r="A1833" i="39"/>
  <c r="AE1829" i="39"/>
  <c r="AC1829" i="39"/>
  <c r="AA1829" i="39"/>
  <c r="I1829" i="39"/>
  <c r="C1829" i="39"/>
  <c r="U1829" i="39" s="1"/>
  <c r="A1829" i="39"/>
  <c r="AE1942" i="39"/>
  <c r="AC1942" i="39"/>
  <c r="AA1942" i="39"/>
  <c r="I1942" i="39"/>
  <c r="A1942" i="39"/>
  <c r="AE1941" i="39"/>
  <c r="AC1941" i="39"/>
  <c r="AA1941" i="39"/>
  <c r="I1941" i="39"/>
  <c r="A1941" i="39"/>
  <c r="AE1940" i="39"/>
  <c r="AC1940" i="39"/>
  <c r="AA1940" i="39"/>
  <c r="I1940" i="39"/>
  <c r="A1940" i="39"/>
  <c r="AE1939" i="39"/>
  <c r="AC1939" i="39"/>
  <c r="AA1939" i="39"/>
  <c r="I1939" i="39"/>
  <c r="A1939" i="39"/>
  <c r="AE1938" i="39"/>
  <c r="AC1938" i="39"/>
  <c r="AA1938" i="39"/>
  <c r="I1938" i="39"/>
  <c r="A1938" i="39"/>
  <c r="AE1937" i="39"/>
  <c r="AC1937" i="39"/>
  <c r="AA1937" i="39"/>
  <c r="I1937" i="39"/>
  <c r="F1937" i="39"/>
  <c r="A1937" i="39"/>
  <c r="AE1936" i="39"/>
  <c r="AC1936" i="39"/>
  <c r="AA1936" i="39"/>
  <c r="I1936" i="39"/>
  <c r="C1936" i="39"/>
  <c r="U1936" i="39" s="1"/>
  <c r="A1936" i="39"/>
  <c r="AE1828" i="39"/>
  <c r="AC1828" i="39"/>
  <c r="AA1828" i="39"/>
  <c r="I1828" i="39"/>
  <c r="A1828" i="39"/>
  <c r="AE1827" i="39"/>
  <c r="AC1827" i="39"/>
  <c r="AA1827" i="39"/>
  <c r="I1827" i="39"/>
  <c r="A1827" i="39"/>
  <c r="AE1826" i="39"/>
  <c r="AC1826" i="39"/>
  <c r="AA1826" i="39"/>
  <c r="I1826" i="39"/>
  <c r="A1826" i="39"/>
  <c r="AE1825" i="39"/>
  <c r="AC1825" i="39"/>
  <c r="AA1825" i="39"/>
  <c r="I1825" i="39"/>
  <c r="F1825" i="39"/>
  <c r="A1825" i="39"/>
  <c r="AE1824" i="39"/>
  <c r="AC1824" i="39"/>
  <c r="AA1824" i="39"/>
  <c r="I1824" i="39"/>
  <c r="C1824" i="39"/>
  <c r="U1824" i="39" s="1"/>
  <c r="A1824" i="39"/>
  <c r="F1508" i="39"/>
  <c r="C1507" i="39"/>
  <c r="U1507" i="39" s="1"/>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A403" i="39"/>
  <c r="AE402" i="39"/>
  <c r="AC402" i="39"/>
  <c r="AA402" i="39"/>
  <c r="I402" i="39"/>
  <c r="A402" i="39"/>
  <c r="AE401" i="39"/>
  <c r="AC401" i="39"/>
  <c r="AA401" i="39"/>
  <c r="I401" i="39"/>
  <c r="A401" i="39"/>
  <c r="AE400" i="39"/>
  <c r="AC400" i="39"/>
  <c r="AA400" i="39"/>
  <c r="I400" i="39"/>
  <c r="A400" i="39"/>
  <c r="AE399" i="39"/>
  <c r="AC399" i="39"/>
  <c r="AA399" i="39"/>
  <c r="I399" i="39"/>
  <c r="F399" i="39"/>
  <c r="A399" i="39"/>
  <c r="AE398" i="39"/>
  <c r="AC398" i="39"/>
  <c r="AA398" i="39"/>
  <c r="I398" i="39"/>
  <c r="C398" i="39"/>
  <c r="U398" i="39" s="1"/>
  <c r="A398" i="39"/>
  <c r="F133" i="39" l="1"/>
  <c r="V132" i="39"/>
  <c r="Y132" i="39"/>
  <c r="C132" i="39"/>
  <c r="U132" i="39" s="1"/>
  <c r="V1937" i="39"/>
  <c r="Y1937" i="39"/>
  <c r="V1830" i="39"/>
  <c r="Y1830" i="39"/>
  <c r="V1059" i="39"/>
  <c r="Y1059" i="39"/>
  <c r="V74" i="39"/>
  <c r="Y74" i="39"/>
  <c r="C74" i="39"/>
  <c r="U74" i="39" s="1"/>
  <c r="F75" i="39"/>
  <c r="V1831" i="39"/>
  <c r="Y1831" i="39"/>
  <c r="V777" i="39"/>
  <c r="Y777" i="39"/>
  <c r="V1688" i="39"/>
  <c r="Y1688" i="39"/>
  <c r="V1592" i="39"/>
  <c r="Y1592" i="39"/>
  <c r="V1591" i="39"/>
  <c r="Y1591" i="39"/>
  <c r="V848" i="39"/>
  <c r="Y848" i="39"/>
  <c r="V1832" i="39"/>
  <c r="Y1832" i="39"/>
  <c r="V1825" i="39"/>
  <c r="Y1825" i="39"/>
  <c r="V1124" i="39"/>
  <c r="Y1124" i="39"/>
  <c r="V1075" i="39"/>
  <c r="Y1075" i="39"/>
  <c r="V1508" i="39"/>
  <c r="Y1508" i="39"/>
  <c r="V399" i="39"/>
  <c r="Y399" i="39"/>
  <c r="X703" i="39"/>
  <c r="X704" i="39" s="1"/>
  <c r="Y703" i="39"/>
  <c r="V703" i="39"/>
  <c r="C703" i="39"/>
  <c r="U703" i="39" s="1"/>
  <c r="C777" i="39"/>
  <c r="U777" i="39" s="1"/>
  <c r="F778" i="39"/>
  <c r="C1075" i="39"/>
  <c r="U1075" i="39" s="1"/>
  <c r="F1076" i="39"/>
  <c r="C1124" i="39"/>
  <c r="U1124" i="39" s="1"/>
  <c r="C1592" i="39"/>
  <c r="U1592" i="39" s="1"/>
  <c r="F1593" i="39"/>
  <c r="F1125" i="39"/>
  <c r="C848" i="39"/>
  <c r="U848" i="39" s="1"/>
  <c r="F849" i="39"/>
  <c r="C1688" i="39"/>
  <c r="U1688" i="39" s="1"/>
  <c r="F1689" i="39"/>
  <c r="F1060" i="39"/>
  <c r="C1059" i="39"/>
  <c r="U1059" i="39" s="1"/>
  <c r="C1832" i="39"/>
  <c r="U1832" i="39" s="1"/>
  <c r="C1831" i="39"/>
  <c r="U1831" i="39" s="1"/>
  <c r="C1825" i="39"/>
  <c r="U1825" i="39" s="1"/>
  <c r="C1937" i="39"/>
  <c r="U1937" i="39" s="1"/>
  <c r="F1833" i="39"/>
  <c r="F1509" i="39"/>
  <c r="F1938" i="39"/>
  <c r="F1826" i="39"/>
  <c r="F400" i="39"/>
  <c r="C399" i="39"/>
  <c r="U399" i="39" s="1"/>
  <c r="AE1961" i="39"/>
  <c r="AC1961" i="39"/>
  <c r="AA1961" i="39"/>
  <c r="I1961" i="39"/>
  <c r="A1961" i="39"/>
  <c r="I1959" i="39"/>
  <c r="AE1959" i="39"/>
  <c r="AC1959" i="39"/>
  <c r="AA1959" i="39"/>
  <c r="A1959" i="39"/>
  <c r="AE1960" i="39"/>
  <c r="AC1960" i="39"/>
  <c r="AA1960" i="39"/>
  <c r="I1960" i="39"/>
  <c r="A1960" i="39"/>
  <c r="AE1958" i="39"/>
  <c r="AC1958" i="39"/>
  <c r="AA1958" i="39"/>
  <c r="I1958" i="39"/>
  <c r="A1958" i="39"/>
  <c r="AE1517" i="39"/>
  <c r="AC1517" i="39"/>
  <c r="AA1517" i="39"/>
  <c r="I1517" i="39"/>
  <c r="A1517" i="39"/>
  <c r="AE1516" i="39"/>
  <c r="AC1516" i="39"/>
  <c r="AA1516" i="39"/>
  <c r="I1516" i="39"/>
  <c r="A1516" i="39"/>
  <c r="AE1515" i="39"/>
  <c r="AC1515" i="39"/>
  <c r="AA1515" i="39"/>
  <c r="I1515" i="39"/>
  <c r="A1515" i="39"/>
  <c r="AE1514" i="39"/>
  <c r="AC1514" i="39"/>
  <c r="AA1514" i="39"/>
  <c r="I1514" i="39"/>
  <c r="A1514" i="39"/>
  <c r="AE1513" i="39"/>
  <c r="AC1513" i="39"/>
  <c r="AA1513" i="39"/>
  <c r="I1513" i="39"/>
  <c r="A1513" i="39"/>
  <c r="AE1512" i="39"/>
  <c r="AC1512" i="39"/>
  <c r="AA1512" i="39"/>
  <c r="I1512" i="39"/>
  <c r="A1512" i="39"/>
  <c r="AE1511" i="39"/>
  <c r="AC1511" i="39"/>
  <c r="AA1511" i="39"/>
  <c r="I1511" i="39"/>
  <c r="A1511" i="39"/>
  <c r="AE1510" i="39"/>
  <c r="AC1510" i="39"/>
  <c r="AA1510" i="39"/>
  <c r="I1510" i="39"/>
  <c r="A1510" i="39"/>
  <c r="AE1509" i="39"/>
  <c r="AC1509" i="39"/>
  <c r="AA1509" i="39"/>
  <c r="I1509" i="39"/>
  <c r="A1509" i="39"/>
  <c r="AE1508" i="39"/>
  <c r="AC1508" i="39"/>
  <c r="AA1508" i="39"/>
  <c r="I1508" i="39"/>
  <c r="A1508" i="39"/>
  <c r="AE1507" i="39"/>
  <c r="AC1507" i="39"/>
  <c r="AA1507" i="39"/>
  <c r="I1507" i="39"/>
  <c r="A1507" i="39"/>
  <c r="C459" i="39"/>
  <c r="U459" i="39" s="1"/>
  <c r="F460" i="39"/>
  <c r="AE262" i="39"/>
  <c r="AC262" i="39"/>
  <c r="AA262" i="39"/>
  <c r="I262" i="39"/>
  <c r="F262" i="39"/>
  <c r="A262" i="39"/>
  <c r="AE1820" i="39"/>
  <c r="AC1820" i="39"/>
  <c r="AA1820" i="39"/>
  <c r="I1820" i="39"/>
  <c r="A1820" i="39"/>
  <c r="AE1819" i="39"/>
  <c r="AC1819" i="39"/>
  <c r="AA1819" i="39"/>
  <c r="I1819" i="39"/>
  <c r="A1819" i="39"/>
  <c r="AE1823" i="39"/>
  <c r="AC1823" i="39"/>
  <c r="AA1823" i="39"/>
  <c r="I1823" i="39"/>
  <c r="A1823" i="39"/>
  <c r="AE1822" i="39"/>
  <c r="AC1822" i="39"/>
  <c r="AA1822" i="39"/>
  <c r="I1822" i="39"/>
  <c r="A1822" i="39"/>
  <c r="AE1821" i="39"/>
  <c r="AC1821" i="39"/>
  <c r="AA1821" i="39"/>
  <c r="I1821" i="39"/>
  <c r="A1821" i="39"/>
  <c r="AE1818" i="39"/>
  <c r="AC1818" i="39"/>
  <c r="AA1818" i="39"/>
  <c r="I1818" i="39"/>
  <c r="F1818" i="39"/>
  <c r="A1818" i="39"/>
  <c r="AE1817" i="39"/>
  <c r="AC1817" i="39"/>
  <c r="AA1817" i="39"/>
  <c r="I1817" i="39"/>
  <c r="C1817" i="39"/>
  <c r="U1817" i="39" s="1"/>
  <c r="A1817" i="39"/>
  <c r="AE1726" i="39"/>
  <c r="AC1726" i="39"/>
  <c r="AA1726" i="39"/>
  <c r="I1726" i="39"/>
  <c r="A1726" i="39"/>
  <c r="AE1727" i="39"/>
  <c r="AC1727" i="39"/>
  <c r="AA1727" i="39"/>
  <c r="I1727" i="39"/>
  <c r="A1727" i="39"/>
  <c r="AE1736" i="39"/>
  <c r="AC1736" i="39"/>
  <c r="AA1736" i="39"/>
  <c r="I1736" i="39"/>
  <c r="A1736" i="39"/>
  <c r="AE588" i="39"/>
  <c r="AC588" i="39"/>
  <c r="AA588" i="39"/>
  <c r="I588" i="39"/>
  <c r="A588" i="39"/>
  <c r="F1065" i="39"/>
  <c r="C1064" i="39"/>
  <c r="U1064" i="39" s="1"/>
  <c r="AE1064" i="39"/>
  <c r="AC1064" i="39"/>
  <c r="AA1064" i="39"/>
  <c r="I1064" i="39"/>
  <c r="A1064" i="39"/>
  <c r="AE1065" i="39"/>
  <c r="AC1065" i="39"/>
  <c r="AA1065" i="39"/>
  <c r="I1065" i="39"/>
  <c r="A1065" i="39"/>
  <c r="AE2020" i="39"/>
  <c r="AC2020" i="39"/>
  <c r="AA2020" i="39"/>
  <c r="I2020" i="39"/>
  <c r="F2020" i="39"/>
  <c r="A2020" i="39"/>
  <c r="AE2019" i="39"/>
  <c r="AC2019" i="39"/>
  <c r="AA2019" i="39"/>
  <c r="I2019" i="39"/>
  <c r="C2019" i="39"/>
  <c r="U2019" i="39" s="1"/>
  <c r="A2019" i="39"/>
  <c r="AE1730" i="39"/>
  <c r="AC1730" i="39"/>
  <c r="AA1730" i="39"/>
  <c r="I1730" i="39"/>
  <c r="A173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60" i="39"/>
  <c r="AE261"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8" i="39"/>
  <c r="AE1729" i="39"/>
  <c r="AE1731" i="39"/>
  <c r="AE1732" i="39"/>
  <c r="AE1733" i="39"/>
  <c r="AE1734" i="39"/>
  <c r="AE1735"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43" i="39"/>
  <c r="AE1944" i="39"/>
  <c r="AE1945" i="39"/>
  <c r="AE1946" i="39"/>
  <c r="AE1947" i="39"/>
  <c r="AE1948" i="39"/>
  <c r="AE1949" i="39"/>
  <c r="AE1950" i="39"/>
  <c r="AE1951" i="39"/>
  <c r="AE1952" i="39"/>
  <c r="AE1953" i="39"/>
  <c r="AE1954" i="39"/>
  <c r="AE1955" i="39"/>
  <c r="AE1956" i="39"/>
  <c r="AE1957"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A447" i="39"/>
  <c r="AC446" i="39"/>
  <c r="AA446" i="39"/>
  <c r="I446" i="39"/>
  <c r="A446" i="39"/>
  <c r="AC445" i="39"/>
  <c r="AA445" i="39"/>
  <c r="I445" i="39"/>
  <c r="A445" i="39"/>
  <c r="AC444" i="39"/>
  <c r="AA444" i="39"/>
  <c r="I444" i="39"/>
  <c r="A444" i="39"/>
  <c r="AC443" i="39"/>
  <c r="AA443" i="39"/>
  <c r="I443" i="39"/>
  <c r="F443" i="39"/>
  <c r="A443" i="39"/>
  <c r="AC442" i="39"/>
  <c r="AA442" i="39"/>
  <c r="I442" i="39"/>
  <c r="C442" i="39"/>
  <c r="U442" i="39" s="1"/>
  <c r="A442" i="39"/>
  <c r="V443" i="39" l="1"/>
  <c r="Y443" i="39"/>
  <c r="V460" i="39"/>
  <c r="Y460" i="39"/>
  <c r="V1060" i="39"/>
  <c r="Y1060" i="39"/>
  <c r="X1060" i="39"/>
  <c r="V1125" i="39"/>
  <c r="Y1125" i="39"/>
  <c r="V1593" i="39"/>
  <c r="Y1593" i="39"/>
  <c r="V2020" i="39"/>
  <c r="Y2020" i="39"/>
  <c r="X2021" i="39"/>
  <c r="V1818" i="39"/>
  <c r="Y1818" i="39"/>
  <c r="V75" i="39"/>
  <c r="Y75" i="39"/>
  <c r="C75" i="39"/>
  <c r="U75" i="39" s="1"/>
  <c r="F76" i="39"/>
  <c r="V849" i="39"/>
  <c r="Y849" i="39"/>
  <c r="V1065" i="39"/>
  <c r="X1066" i="39"/>
  <c r="X1067" i="39" s="1"/>
  <c r="X1068" i="39" s="1"/>
  <c r="X1069" i="39" s="1"/>
  <c r="X1070" i="39" s="1"/>
  <c r="X1071" i="39" s="1"/>
  <c r="X1072" i="39" s="1"/>
  <c r="X1073" i="39" s="1"/>
  <c r="X1074" i="39" s="1"/>
  <c r="X1075" i="39" s="1"/>
  <c r="X1076" i="39" s="1"/>
  <c r="X1077" i="39" s="1"/>
  <c r="Y1065" i="39"/>
  <c r="V1076" i="39"/>
  <c r="Y1076" i="39"/>
  <c r="Y400" i="39"/>
  <c r="V400" i="39"/>
  <c r="V1826" i="39"/>
  <c r="Y1826" i="39"/>
  <c r="V778" i="39"/>
  <c r="Y778" i="39"/>
  <c r="V1938" i="39"/>
  <c r="Y1938" i="39"/>
  <c r="V1689" i="39"/>
  <c r="Y1689" i="39"/>
  <c r="X1690" i="39"/>
  <c r="Y1509" i="39"/>
  <c r="V1509" i="39"/>
  <c r="V1833" i="39"/>
  <c r="Y1833" i="39"/>
  <c r="V262" i="39"/>
  <c r="Y262" i="39"/>
  <c r="F134" i="39"/>
  <c r="V133" i="39"/>
  <c r="Y133" i="39"/>
  <c r="C133" i="39"/>
  <c r="U133" i="39" s="1"/>
  <c r="C704" i="39"/>
  <c r="U704" i="39" s="1"/>
  <c r="Y704" i="39"/>
  <c r="V704" i="39"/>
  <c r="F779" i="39"/>
  <c r="C778" i="39"/>
  <c r="U778" i="39" s="1"/>
  <c r="C1076" i="39"/>
  <c r="U1076" i="39" s="1"/>
  <c r="F1077" i="39"/>
  <c r="F1126" i="39"/>
  <c r="C1125" i="39"/>
  <c r="U1125" i="39" s="1"/>
  <c r="F1595" i="39"/>
  <c r="C1593" i="39"/>
  <c r="U1593" i="39" s="1"/>
  <c r="F1594" i="39"/>
  <c r="F1128" i="39"/>
  <c r="C849" i="39"/>
  <c r="U849" i="39" s="1"/>
  <c r="F850" i="39"/>
  <c r="C1689" i="39"/>
  <c r="U1689" i="39" s="1"/>
  <c r="F1061" i="39"/>
  <c r="C1060" i="39"/>
  <c r="U1060" i="39" s="1"/>
  <c r="C1833" i="39"/>
  <c r="U1833" i="39" s="1"/>
  <c r="F1827" i="39"/>
  <c r="F1834" i="39"/>
  <c r="C1826" i="39"/>
  <c r="U1826" i="39" s="1"/>
  <c r="C1938" i="39"/>
  <c r="U1938" i="39" s="1"/>
  <c r="F1939" i="39"/>
  <c r="F1510" i="39"/>
  <c r="F401" i="39"/>
  <c r="C400" i="39"/>
  <c r="U400" i="39" s="1"/>
  <c r="F461" i="39"/>
  <c r="C262" i="39"/>
  <c r="U262" i="39" s="1"/>
  <c r="F1819" i="39"/>
  <c r="C1818" i="39"/>
  <c r="U1818" i="39" s="1"/>
  <c r="C1065" i="39"/>
  <c r="U1065" i="39" s="1"/>
  <c r="C2020" i="39"/>
  <c r="U2020" i="39" s="1"/>
  <c r="F444" i="39"/>
  <c r="C443" i="39"/>
  <c r="U443" i="39" s="1"/>
  <c r="X1061" i="39" l="1"/>
  <c r="V444" i="39"/>
  <c r="Y444" i="39"/>
  <c r="V1594" i="39"/>
  <c r="Y1594" i="39"/>
  <c r="Y1077" i="39"/>
  <c r="V1077" i="39"/>
  <c r="V779" i="39"/>
  <c r="Y779" i="39"/>
  <c r="V1126" i="39"/>
  <c r="Y1126" i="39"/>
  <c r="X1078" i="39"/>
  <c r="V1819" i="39"/>
  <c r="Y1819" i="39"/>
  <c r="Y1834" i="39"/>
  <c r="V1834" i="39"/>
  <c r="V1827" i="39"/>
  <c r="Y1827" i="39"/>
  <c r="X1062" i="39"/>
  <c r="V1061" i="39"/>
  <c r="Y1061" i="39"/>
  <c r="V461" i="39"/>
  <c r="Y461" i="39"/>
  <c r="V401" i="39"/>
  <c r="Y401" i="39"/>
  <c r="Y1510" i="39"/>
  <c r="V1510" i="39"/>
  <c r="V850" i="39"/>
  <c r="Y850" i="39"/>
  <c r="V1595" i="39"/>
  <c r="Y1595" i="39"/>
  <c r="V1939" i="39"/>
  <c r="Y1939" i="39"/>
  <c r="F135" i="39"/>
  <c r="V134" i="39"/>
  <c r="Y134" i="39"/>
  <c r="C134" i="39"/>
  <c r="U134" i="39" s="1"/>
  <c r="V1128" i="39"/>
  <c r="Y1128" i="39"/>
  <c r="V76" i="39"/>
  <c r="Y76" i="39"/>
  <c r="C76" i="39"/>
  <c r="U76" i="39" s="1"/>
  <c r="F77" i="39"/>
  <c r="V705" i="39"/>
  <c r="Y705" i="39"/>
  <c r="C705" i="39"/>
  <c r="U705" i="39" s="1"/>
  <c r="X705" i="39"/>
  <c r="C779" i="39"/>
  <c r="U779" i="39" s="1"/>
  <c r="F780" i="39"/>
  <c r="C1077" i="39"/>
  <c r="U1077" i="39" s="1"/>
  <c r="F1078" i="39"/>
  <c r="F1127" i="39"/>
  <c r="C1126" i="39"/>
  <c r="U1126" i="39" s="1"/>
  <c r="F1129" i="39"/>
  <c r="F1130" i="39"/>
  <c r="C1594" i="39"/>
  <c r="U1594" i="39" s="1"/>
  <c r="F1596" i="39"/>
  <c r="C1595" i="39"/>
  <c r="U1595" i="39" s="1"/>
  <c r="C1128" i="39"/>
  <c r="U1128" i="39" s="1"/>
  <c r="C850" i="39"/>
  <c r="U850" i="39" s="1"/>
  <c r="F851" i="39"/>
  <c r="F1062" i="39"/>
  <c r="C1061" i="39"/>
  <c r="U1061" i="39" s="1"/>
  <c r="F1828" i="39"/>
  <c r="C1827" i="39"/>
  <c r="U1827" i="39" s="1"/>
  <c r="F1835" i="39"/>
  <c r="C1834" i="39"/>
  <c r="U1834" i="39" s="1"/>
  <c r="C1939" i="39"/>
  <c r="U1939" i="39" s="1"/>
  <c r="F1511" i="39"/>
  <c r="C401" i="39"/>
  <c r="U401" i="39" s="1"/>
  <c r="F1940" i="39"/>
  <c r="F402" i="39"/>
  <c r="C1509" i="39"/>
  <c r="U1509" i="39" s="1"/>
  <c r="F462" i="39"/>
  <c r="F1820" i="39"/>
  <c r="C1819" i="39"/>
  <c r="U1819" i="39" s="1"/>
  <c r="F445" i="39"/>
  <c r="C444" i="39"/>
  <c r="U444" i="39" s="1"/>
  <c r="V1129" i="39" l="1"/>
  <c r="Y1129" i="39"/>
  <c r="V780" i="39"/>
  <c r="Y780" i="39"/>
  <c r="V462" i="39"/>
  <c r="Y462" i="39"/>
  <c r="F136" i="39"/>
  <c r="V135" i="39"/>
  <c r="Y135" i="39"/>
  <c r="C135" i="39"/>
  <c r="U135" i="39" s="1"/>
  <c r="V1940" i="39"/>
  <c r="Y1940" i="39"/>
  <c r="V1062" i="39"/>
  <c r="Y1062" i="39"/>
  <c r="V445" i="39"/>
  <c r="Y445" i="39"/>
  <c r="V402" i="39"/>
  <c r="Y402" i="39"/>
  <c r="V1828" i="39"/>
  <c r="X1829" i="39"/>
  <c r="X1830" i="39" s="1"/>
  <c r="X1831" i="39" s="1"/>
  <c r="X1832" i="39" s="1"/>
  <c r="X1833" i="39" s="1"/>
  <c r="X1834" i="39" s="1"/>
  <c r="X1835" i="39" s="1"/>
  <c r="X1836" i="39" s="1"/>
  <c r="Y1828" i="39"/>
  <c r="V77" i="39"/>
  <c r="Y77" i="39"/>
  <c r="C77" i="39"/>
  <c r="U77" i="39" s="1"/>
  <c r="F78" i="39"/>
  <c r="V1596" i="39"/>
  <c r="Y1596" i="39"/>
  <c r="V1820" i="39"/>
  <c r="Y1820" i="39"/>
  <c r="V1127" i="39"/>
  <c r="Y1127" i="39"/>
  <c r="V1511" i="39"/>
  <c r="Y1511" i="39"/>
  <c r="V1835" i="39"/>
  <c r="Y1835" i="39"/>
  <c r="C780" i="39"/>
  <c r="U780" i="39" s="1"/>
  <c r="F781" i="39"/>
  <c r="V851" i="39"/>
  <c r="Y851" i="39"/>
  <c r="V1130" i="39"/>
  <c r="Y1130" i="39"/>
  <c r="V1078" i="39"/>
  <c r="Y1078" i="39"/>
  <c r="V706" i="39"/>
  <c r="X706" i="39"/>
  <c r="Y706" i="39"/>
  <c r="C706" i="39"/>
  <c r="U706" i="39" s="1"/>
  <c r="F1599" i="39"/>
  <c r="C1078" i="39"/>
  <c r="U1078" i="39" s="1"/>
  <c r="F1079" i="39"/>
  <c r="F1131" i="39"/>
  <c r="C1127" i="39"/>
  <c r="U1127" i="39" s="1"/>
  <c r="C1129" i="39"/>
  <c r="U1129" i="39" s="1"/>
  <c r="C1130" i="39"/>
  <c r="U1130" i="39" s="1"/>
  <c r="F1597" i="39"/>
  <c r="C1596" i="39"/>
  <c r="U1596" i="39" s="1"/>
  <c r="F852" i="39"/>
  <c r="C851" i="39"/>
  <c r="U851" i="39" s="1"/>
  <c r="C781" i="39"/>
  <c r="U781" i="39" s="1"/>
  <c r="C1062" i="39"/>
  <c r="U1062" i="39" s="1"/>
  <c r="F1063" i="39"/>
  <c r="X1063" i="39" s="1"/>
  <c r="C1828" i="39"/>
  <c r="U1828" i="39" s="1"/>
  <c r="C1835" i="39"/>
  <c r="U1835" i="39" s="1"/>
  <c r="C402" i="39"/>
  <c r="U402" i="39" s="1"/>
  <c r="F1836" i="39"/>
  <c r="C1830" i="39"/>
  <c r="U1830" i="39" s="1"/>
  <c r="F403" i="39"/>
  <c r="C1940" i="39"/>
  <c r="U1940" i="39" s="1"/>
  <c r="F1941" i="39"/>
  <c r="F1512" i="39"/>
  <c r="C1511" i="39"/>
  <c r="U1511" i="39" s="1"/>
  <c r="C1510" i="39"/>
  <c r="U1510" i="39" s="1"/>
  <c r="C1508" i="39"/>
  <c r="U1508" i="39" s="1"/>
  <c r="F463" i="39"/>
  <c r="F1821" i="39"/>
  <c r="C1820" i="39"/>
  <c r="U1820" i="39" s="1"/>
  <c r="C445" i="39"/>
  <c r="U445" i="39" s="1"/>
  <c r="F446" i="39"/>
  <c r="V403" i="39" l="1"/>
  <c r="Y403" i="39"/>
  <c r="V446" i="39"/>
  <c r="Y446" i="39"/>
  <c r="Y1512" i="39"/>
  <c r="V1512" i="39"/>
  <c r="F137" i="39"/>
  <c r="V136" i="39"/>
  <c r="Y136" i="39"/>
  <c r="C136" i="39"/>
  <c r="U136" i="39" s="1"/>
  <c r="Y1599" i="39"/>
  <c r="V1599" i="39"/>
  <c r="V1836" i="39"/>
  <c r="Y1836" i="39"/>
  <c r="V1821" i="39"/>
  <c r="Y1821" i="39"/>
  <c r="V1131" i="39"/>
  <c r="Y1131" i="39"/>
  <c r="V1941" i="39"/>
  <c r="Y1941" i="39"/>
  <c r="V1079" i="39"/>
  <c r="Y1079" i="39"/>
  <c r="V78" i="39"/>
  <c r="Y78" i="39"/>
  <c r="C78" i="39"/>
  <c r="U78" i="39" s="1"/>
  <c r="F79" i="39"/>
  <c r="X1064" i="39"/>
  <c r="X1065" i="39" s="1"/>
  <c r="V1063" i="39"/>
  <c r="Y1063" i="39"/>
  <c r="V852" i="39"/>
  <c r="Y852" i="39"/>
  <c r="V781" i="39"/>
  <c r="Y781" i="39"/>
  <c r="V1597" i="39"/>
  <c r="Y1597" i="39"/>
  <c r="Y463" i="39"/>
  <c r="V463" i="39"/>
  <c r="X464" i="39"/>
  <c r="X1079" i="39"/>
  <c r="X1080" i="39" s="1"/>
  <c r="F782" i="39"/>
  <c r="Y707" i="39"/>
  <c r="C707" i="39"/>
  <c r="U707" i="39" s="1"/>
  <c r="X707" i="39"/>
  <c r="V707" i="39"/>
  <c r="C1599" i="39"/>
  <c r="U1599" i="39" s="1"/>
  <c r="F1080" i="39"/>
  <c r="C1079" i="39"/>
  <c r="U1079" i="39" s="1"/>
  <c r="C1131" i="39"/>
  <c r="U1131" i="39" s="1"/>
  <c r="F1132" i="39"/>
  <c r="C1597" i="39"/>
  <c r="U1597" i="39" s="1"/>
  <c r="F1600" i="39"/>
  <c r="F1598" i="39"/>
  <c r="C852" i="39"/>
  <c r="U852" i="39" s="1"/>
  <c r="F853" i="39"/>
  <c r="C1063" i="39"/>
  <c r="U1063" i="39" s="1"/>
  <c r="C1836" i="39"/>
  <c r="U1836" i="39" s="1"/>
  <c r="F1837" i="39"/>
  <c r="X1837" i="39" s="1"/>
  <c r="F404" i="39"/>
  <c r="C403" i="39"/>
  <c r="U403" i="39" s="1"/>
  <c r="F1942" i="39"/>
  <c r="C1941" i="39"/>
  <c r="U1941" i="39" s="1"/>
  <c r="F1513" i="39"/>
  <c r="F1822" i="39"/>
  <c r="C1821" i="39"/>
  <c r="U1821" i="39" s="1"/>
  <c r="F447" i="39"/>
  <c r="C446" i="39"/>
  <c r="U446" i="39" s="1"/>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A172" i="39"/>
  <c r="AC171" i="39"/>
  <c r="AA171" i="39"/>
  <c r="I171" i="39"/>
  <c r="A171" i="39"/>
  <c r="AC170" i="39"/>
  <c r="AA170" i="39"/>
  <c r="I170" i="39"/>
  <c r="A170" i="39"/>
  <c r="AC169" i="39"/>
  <c r="AA169" i="39"/>
  <c r="I169" i="39"/>
  <c r="A169" i="39"/>
  <c r="AC168" i="39"/>
  <c r="AA168" i="39"/>
  <c r="I168" i="39"/>
  <c r="F168" i="39"/>
  <c r="A168" i="39"/>
  <c r="AC167" i="39"/>
  <c r="AA167" i="39"/>
  <c r="I167" i="39"/>
  <c r="C167" i="39"/>
  <c r="U167" i="39" s="1"/>
  <c r="A167" i="39"/>
  <c r="Y782" i="39" l="1"/>
  <c r="V782" i="39"/>
  <c r="Y1837" i="39"/>
  <c r="V1837" i="39"/>
  <c r="V853" i="39"/>
  <c r="Y853" i="39"/>
  <c r="V137" i="39"/>
  <c r="Y137" i="39"/>
  <c r="C137" i="39"/>
  <c r="U137" i="39" s="1"/>
  <c r="F138" i="39"/>
  <c r="V1942" i="39"/>
  <c r="Y1942" i="39"/>
  <c r="X1943" i="39"/>
  <c r="V1598" i="39"/>
  <c r="Y1598" i="39"/>
  <c r="V447" i="39"/>
  <c r="Y447" i="39"/>
  <c r="V79" i="39"/>
  <c r="Y79" i="39"/>
  <c r="C79" i="39"/>
  <c r="U79" i="39" s="1"/>
  <c r="F80" i="39"/>
  <c r="V404" i="39"/>
  <c r="Y404" i="39"/>
  <c r="V1600" i="39"/>
  <c r="Y1600" i="39"/>
  <c r="V1132" i="39"/>
  <c r="Y1132" i="39"/>
  <c r="V1080" i="39"/>
  <c r="Y1080" i="39"/>
  <c r="V1822" i="39"/>
  <c r="Y1822" i="39"/>
  <c r="F783" i="39"/>
  <c r="C782" i="39"/>
  <c r="U782" i="39" s="1"/>
  <c r="V168" i="39"/>
  <c r="Y168" i="39"/>
  <c r="V1513" i="39"/>
  <c r="Y1513" i="39"/>
  <c r="Y708" i="39"/>
  <c r="C708" i="39"/>
  <c r="U708" i="39" s="1"/>
  <c r="X708" i="39"/>
  <c r="V708" i="39"/>
  <c r="C1080" i="39"/>
  <c r="U1080" i="39" s="1"/>
  <c r="F1081" i="39"/>
  <c r="X1081" i="39" s="1"/>
  <c r="F1133" i="39"/>
  <c r="C1132" i="39"/>
  <c r="U1132" i="39" s="1"/>
  <c r="C1598" i="39"/>
  <c r="U1598" i="39" s="1"/>
  <c r="F1601" i="39"/>
  <c r="C1600" i="39"/>
  <c r="U1600" i="39" s="1"/>
  <c r="F854" i="39"/>
  <c r="C853" i="39"/>
  <c r="U853" i="39" s="1"/>
  <c r="C783" i="39"/>
  <c r="U783" i="39" s="1"/>
  <c r="F784" i="39"/>
  <c r="C1837" i="39"/>
  <c r="U1837" i="39" s="1"/>
  <c r="F1839" i="39"/>
  <c r="F405" i="39"/>
  <c r="C404" i="39"/>
  <c r="U404" i="39" s="1"/>
  <c r="F1838" i="39"/>
  <c r="C1942" i="39"/>
  <c r="U1942" i="39" s="1"/>
  <c r="F1514" i="39"/>
  <c r="C1513" i="39"/>
  <c r="U1513" i="39" s="1"/>
  <c r="F1823" i="39"/>
  <c r="C1822" i="39"/>
  <c r="U1822" i="39" s="1"/>
  <c r="C447" i="39"/>
  <c r="U447" i="39" s="1"/>
  <c r="F448" i="39"/>
  <c r="C168" i="39"/>
  <c r="U168" i="39" s="1"/>
  <c r="F169" i="39"/>
  <c r="AC160" i="39"/>
  <c r="AA160" i="39"/>
  <c r="I160" i="39"/>
  <c r="A160" i="39"/>
  <c r="AC2034" i="39"/>
  <c r="AA2034" i="39"/>
  <c r="I2034" i="39"/>
  <c r="A2034" i="39"/>
  <c r="AC2033" i="39"/>
  <c r="AA2033" i="39"/>
  <c r="I2033" i="39"/>
  <c r="A2033" i="39"/>
  <c r="AC2032" i="39"/>
  <c r="AA2032" i="39"/>
  <c r="I2032" i="39"/>
  <c r="A2032" i="39"/>
  <c r="AC2031" i="39"/>
  <c r="AA2031" i="39"/>
  <c r="I2031" i="39"/>
  <c r="A2031" i="39"/>
  <c r="AC2030" i="39"/>
  <c r="AA2030" i="39"/>
  <c r="I2030" i="39"/>
  <c r="A2030" i="39"/>
  <c r="AC2029" i="39"/>
  <c r="AA2029" i="39"/>
  <c r="I2029" i="39"/>
  <c r="A2029" i="39"/>
  <c r="AC2028" i="39"/>
  <c r="AA2028" i="39"/>
  <c r="I2028" i="39"/>
  <c r="A2028" i="39"/>
  <c r="AC2027" i="39"/>
  <c r="AA2027" i="39"/>
  <c r="I2027" i="39"/>
  <c r="A2027" i="39"/>
  <c r="AC2026" i="39"/>
  <c r="AA2026" i="39"/>
  <c r="I2026" i="39"/>
  <c r="A2026" i="39"/>
  <c r="AC2025" i="39"/>
  <c r="AA2025" i="39"/>
  <c r="I2025" i="39"/>
  <c r="A2025" i="39"/>
  <c r="AC2024" i="39"/>
  <c r="AA2024" i="39"/>
  <c r="I2024" i="39"/>
  <c r="A2024" i="39"/>
  <c r="AC2023" i="39"/>
  <c r="AA2023" i="39"/>
  <c r="I2023" i="39"/>
  <c r="A2023" i="39"/>
  <c r="AC2022" i="39"/>
  <c r="AA2022" i="39"/>
  <c r="I2022" i="39"/>
  <c r="F2022" i="39"/>
  <c r="A2022" i="39"/>
  <c r="AC2021" i="39"/>
  <c r="AA2021" i="39"/>
  <c r="I2021" i="39"/>
  <c r="C2021" i="39"/>
  <c r="U2021" i="39" s="1"/>
  <c r="A2021" i="39"/>
  <c r="AC1652" i="39"/>
  <c r="AA1652" i="39"/>
  <c r="I1652" i="39"/>
  <c r="A1652" i="39"/>
  <c r="AC1662" i="39"/>
  <c r="AA1662" i="39"/>
  <c r="I1662" i="39"/>
  <c r="A1662" i="39"/>
  <c r="AC1660" i="39"/>
  <c r="AA1660" i="39"/>
  <c r="I1660" i="39"/>
  <c r="A1660" i="39"/>
  <c r="AC1636" i="39"/>
  <c r="AA1636" i="39"/>
  <c r="I1636" i="39"/>
  <c r="A1636" i="39"/>
  <c r="A139" i="39"/>
  <c r="A140" i="39"/>
  <c r="A141" i="39"/>
  <c r="A142" i="39"/>
  <c r="A143" i="39"/>
  <c r="A144" i="39"/>
  <c r="A145" i="39"/>
  <c r="A146" i="39"/>
  <c r="A147" i="39"/>
  <c r="A148" i="39"/>
  <c r="A149" i="39"/>
  <c r="A150" i="39"/>
  <c r="A151" i="39"/>
  <c r="A152" i="39"/>
  <c r="A153" i="39"/>
  <c r="A154" i="39"/>
  <c r="A155" i="39"/>
  <c r="A156" i="39"/>
  <c r="A157" i="39"/>
  <c r="A158" i="39"/>
  <c r="A159" i="39"/>
  <c r="A161" i="39"/>
  <c r="A162" i="39"/>
  <c r="A163" i="39"/>
  <c r="A164" i="39"/>
  <c r="A165" i="39"/>
  <c r="A166"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60" i="39"/>
  <c r="A261"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7" i="39"/>
  <c r="A1638" i="39"/>
  <c r="A1639" i="39"/>
  <c r="A1640" i="39"/>
  <c r="A1641" i="39"/>
  <c r="A1642" i="39"/>
  <c r="A1643" i="39"/>
  <c r="A1644" i="39"/>
  <c r="A1645" i="39"/>
  <c r="A1646" i="39"/>
  <c r="A1647" i="39"/>
  <c r="A1648" i="39"/>
  <c r="A1649" i="39"/>
  <c r="A1650" i="39"/>
  <c r="A1651" i="39"/>
  <c r="A1653" i="39"/>
  <c r="A1654" i="39"/>
  <c r="A1655" i="39"/>
  <c r="A1656" i="39"/>
  <c r="A1657" i="39"/>
  <c r="A1658" i="39"/>
  <c r="A1659" i="39"/>
  <c r="A1661"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8" i="39"/>
  <c r="A1729" i="39"/>
  <c r="A1731" i="39"/>
  <c r="A1732" i="39"/>
  <c r="A1733" i="39"/>
  <c r="A1734" i="39"/>
  <c r="A1735"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43" i="39"/>
  <c r="A1944" i="39"/>
  <c r="A1945" i="39"/>
  <c r="A1946" i="39"/>
  <c r="A1947" i="39"/>
  <c r="A1948" i="39"/>
  <c r="A1949" i="39"/>
  <c r="A1950" i="39"/>
  <c r="A1951" i="39"/>
  <c r="A1952" i="39"/>
  <c r="A1953" i="39"/>
  <c r="A1954" i="39"/>
  <c r="A1955" i="39"/>
  <c r="A1956" i="39"/>
  <c r="A1957"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35" i="39"/>
  <c r="A2036" i="39"/>
  <c r="A2037" i="39"/>
  <c r="A2038" i="39"/>
  <c r="A2039" i="39"/>
  <c r="A2040" i="39"/>
  <c r="A2041" i="39"/>
  <c r="A2042" i="39"/>
  <c r="A2043" i="39"/>
  <c r="A2044" i="39"/>
  <c r="A2045" i="39"/>
  <c r="A2046" i="39"/>
  <c r="V1838" i="39" l="1"/>
  <c r="Y1838" i="39"/>
  <c r="V2022" i="39"/>
  <c r="X2022" i="39"/>
  <c r="Y2022" i="39"/>
  <c r="V784" i="39"/>
  <c r="Y784" i="39"/>
  <c r="V783" i="39"/>
  <c r="Y783" i="39"/>
  <c r="X1082" i="39"/>
  <c r="V854" i="39"/>
  <c r="Y854" i="39"/>
  <c r="V1514" i="39"/>
  <c r="Y1514" i="39"/>
  <c r="V1601" i="39"/>
  <c r="Y1601" i="39"/>
  <c r="V169" i="39"/>
  <c r="Y169" i="39"/>
  <c r="V448" i="39"/>
  <c r="Y448" i="39"/>
  <c r="V1133" i="39"/>
  <c r="Y1133" i="39"/>
  <c r="V1081" i="39"/>
  <c r="Y1081" i="39"/>
  <c r="V405" i="39"/>
  <c r="Y405" i="39"/>
  <c r="V1839" i="39"/>
  <c r="Y1839" i="39"/>
  <c r="V138" i="39"/>
  <c r="Y138" i="39"/>
  <c r="C138" i="39"/>
  <c r="U138" i="39" s="1"/>
  <c r="X139" i="39"/>
  <c r="X140" i="39" s="1"/>
  <c r="X141" i="39" s="1"/>
  <c r="X142" i="39" s="1"/>
  <c r="Y1823" i="39"/>
  <c r="V1823" i="39"/>
  <c r="X1824" i="39"/>
  <c r="X1825" i="39" s="1"/>
  <c r="X1826" i="39" s="1"/>
  <c r="X1827" i="39" s="1"/>
  <c r="X1828" i="39" s="1"/>
  <c r="V80" i="39"/>
  <c r="Y80" i="39"/>
  <c r="C80" i="39"/>
  <c r="U80" i="39" s="1"/>
  <c r="F81" i="39"/>
  <c r="X1838" i="39"/>
  <c r="X1839" i="39" s="1"/>
  <c r="X1840" i="39" s="1"/>
  <c r="C709" i="39"/>
  <c r="U709" i="39" s="1"/>
  <c r="V709" i="39"/>
  <c r="Y709" i="39"/>
  <c r="X709" i="39"/>
  <c r="F1134" i="39"/>
  <c r="C1133" i="39"/>
  <c r="U1133" i="39" s="1"/>
  <c r="F1082" i="39"/>
  <c r="C1081" i="39"/>
  <c r="U1081" i="39" s="1"/>
  <c r="F1602" i="39"/>
  <c r="C1601" i="39"/>
  <c r="U1601" i="39" s="1"/>
  <c r="F855" i="39"/>
  <c r="C854" i="39"/>
  <c r="U854" i="39" s="1"/>
  <c r="F785" i="39"/>
  <c r="C784" i="39"/>
  <c r="U784" i="39" s="1"/>
  <c r="C1838" i="39"/>
  <c r="U1838" i="39" s="1"/>
  <c r="C405" i="39"/>
  <c r="U405" i="39" s="1"/>
  <c r="C1839" i="39"/>
  <c r="U1839" i="39" s="1"/>
  <c r="F406" i="39"/>
  <c r="F1840" i="39"/>
  <c r="F1515" i="39"/>
  <c r="C1514" i="39"/>
  <c r="U1514" i="39" s="1"/>
  <c r="C1823" i="39"/>
  <c r="U1823" i="39" s="1"/>
  <c r="C448" i="39"/>
  <c r="U448" i="39" s="1"/>
  <c r="C169" i="39"/>
  <c r="U169" i="39" s="1"/>
  <c r="F449" i="39"/>
  <c r="F170" i="39"/>
  <c r="C2022" i="39"/>
  <c r="U2022" i="39" s="1"/>
  <c r="F2023" i="39"/>
  <c r="X2023" i="39" l="1"/>
  <c r="Y785" i="39"/>
  <c r="V785" i="39"/>
  <c r="V406" i="39"/>
  <c r="Y406" i="39"/>
  <c r="V1515" i="39"/>
  <c r="Y1515" i="39"/>
  <c r="V1840" i="39"/>
  <c r="Y1840" i="39"/>
  <c r="V855" i="39"/>
  <c r="Y855" i="39"/>
  <c r="V2023" i="39"/>
  <c r="Y2023" i="39"/>
  <c r="V81" i="39"/>
  <c r="Y81" i="39"/>
  <c r="C81" i="39"/>
  <c r="U81" i="39" s="1"/>
  <c r="F82" i="39"/>
  <c r="V1082" i="39"/>
  <c r="Y1082" i="39"/>
  <c r="X1083" i="39"/>
  <c r="V170" i="39"/>
  <c r="Y170" i="39"/>
  <c r="V449" i="39"/>
  <c r="Y449" i="39"/>
  <c r="V1602" i="39"/>
  <c r="Y1602" i="39"/>
  <c r="V1134" i="39"/>
  <c r="Y1134" i="39"/>
  <c r="Y710" i="39"/>
  <c r="C710" i="39"/>
  <c r="U710" i="39" s="1"/>
  <c r="X711" i="39"/>
  <c r="V710" i="39"/>
  <c r="X710" i="39"/>
  <c r="F1135" i="39"/>
  <c r="C1134" i="39"/>
  <c r="U1134" i="39" s="1"/>
  <c r="C1082" i="39"/>
  <c r="U1082" i="39" s="1"/>
  <c r="F1083" i="39"/>
  <c r="F1603" i="39"/>
  <c r="C1602" i="39"/>
  <c r="U1602" i="39" s="1"/>
  <c r="F1604" i="39"/>
  <c r="C855" i="39"/>
  <c r="U855" i="39" s="1"/>
  <c r="F856" i="39"/>
  <c r="F786" i="39"/>
  <c r="C785" i="39"/>
  <c r="U785" i="39" s="1"/>
  <c r="F407" i="39"/>
  <c r="C406" i="39"/>
  <c r="U406" i="39" s="1"/>
  <c r="C1840" i="39"/>
  <c r="U1840" i="39" s="1"/>
  <c r="F1841" i="39"/>
  <c r="X1841" i="39" s="1"/>
  <c r="F1516" i="39"/>
  <c r="C1515" i="39"/>
  <c r="U1515" i="39" s="1"/>
  <c r="C1512" i="39"/>
  <c r="U1512" i="39" s="1"/>
  <c r="C449" i="39"/>
  <c r="U449" i="39" s="1"/>
  <c r="F450" i="39"/>
  <c r="C170" i="39"/>
  <c r="U170" i="39" s="1"/>
  <c r="F171" i="39"/>
  <c r="F2024" i="39"/>
  <c r="C2023" i="39"/>
  <c r="U2023" i="39" s="1"/>
  <c r="V82" i="39" l="1"/>
  <c r="Y82" i="39"/>
  <c r="X83" i="39"/>
  <c r="C82" i="39"/>
  <c r="U82" i="39" s="1"/>
  <c r="V1135" i="39"/>
  <c r="Y1135" i="39"/>
  <c r="X1842" i="39"/>
  <c r="V1516" i="39"/>
  <c r="Y1516" i="39"/>
  <c r="V1604" i="39"/>
  <c r="Y1604" i="39"/>
  <c r="V1603" i="39"/>
  <c r="Y1603" i="39"/>
  <c r="V2024" i="39"/>
  <c r="Y2024" i="39"/>
  <c r="V171" i="39"/>
  <c r="Y171" i="39"/>
  <c r="V1841" i="39"/>
  <c r="Y1841" i="39"/>
  <c r="V407" i="39"/>
  <c r="Y407" i="39"/>
  <c r="V856" i="39"/>
  <c r="Y856" i="39"/>
  <c r="Y1083" i="39"/>
  <c r="V1083" i="39"/>
  <c r="V450" i="39"/>
  <c r="Y450" i="39"/>
  <c r="V786" i="39"/>
  <c r="Y786" i="39"/>
  <c r="X2024" i="39"/>
  <c r="C1135" i="39"/>
  <c r="U1135" i="39" s="1"/>
  <c r="F1136" i="39"/>
  <c r="F1084" i="39"/>
  <c r="X1084" i="39" s="1"/>
  <c r="C1083" i="39"/>
  <c r="U1083" i="39" s="1"/>
  <c r="C1604" i="39"/>
  <c r="U1604" i="39" s="1"/>
  <c r="F1605" i="39"/>
  <c r="C1603" i="39"/>
  <c r="U1603" i="39" s="1"/>
  <c r="F857" i="39"/>
  <c r="C856" i="39"/>
  <c r="U856" i="39" s="1"/>
  <c r="F787" i="39"/>
  <c r="C786" i="39"/>
  <c r="U786" i="39" s="1"/>
  <c r="C1841" i="39"/>
  <c r="U1841" i="39" s="1"/>
  <c r="C407" i="39"/>
  <c r="U407" i="39" s="1"/>
  <c r="F408" i="39"/>
  <c r="F1842" i="39"/>
  <c r="C1516" i="39"/>
  <c r="U1516" i="39" s="1"/>
  <c r="F1517" i="39"/>
  <c r="C450" i="39"/>
  <c r="U450" i="39" s="1"/>
  <c r="F451" i="39"/>
  <c r="F172" i="39"/>
  <c r="C171" i="39"/>
  <c r="U171" i="39" s="1"/>
  <c r="C2024" i="39"/>
  <c r="U2024" i="39" s="1"/>
  <c r="F2025" i="39"/>
  <c r="V857" i="39" l="1"/>
  <c r="Y857" i="39"/>
  <c r="V1136" i="39"/>
  <c r="Y1136" i="39"/>
  <c r="V787" i="39"/>
  <c r="Y787" i="39"/>
  <c r="V2025" i="39"/>
  <c r="Y2025" i="39"/>
  <c r="V1517" i="39"/>
  <c r="X1518" i="39"/>
  <c r="Y1517" i="39"/>
  <c r="V172" i="39"/>
  <c r="Y172" i="39"/>
  <c r="V451" i="39"/>
  <c r="Y451" i="39"/>
  <c r="F1137" i="39"/>
  <c r="C1137" i="39" s="1"/>
  <c r="U1137" i="39" s="1"/>
  <c r="X2025" i="39"/>
  <c r="X2026" i="39" s="1"/>
  <c r="V1842" i="39"/>
  <c r="Y1842" i="39"/>
  <c r="C1136" i="39"/>
  <c r="U1136" i="39" s="1"/>
  <c r="V1605" i="39"/>
  <c r="Y1605" i="39"/>
  <c r="V1084" i="39"/>
  <c r="Y1084" i="39"/>
  <c r="V408" i="39"/>
  <c r="Y408" i="39"/>
  <c r="C1084" i="39"/>
  <c r="U1084" i="39" s="1"/>
  <c r="F1085" i="39"/>
  <c r="C1605" i="39"/>
  <c r="U1605" i="39" s="1"/>
  <c r="F1606" i="39"/>
  <c r="C857" i="39"/>
  <c r="U857" i="39" s="1"/>
  <c r="F858" i="39"/>
  <c r="C787" i="39"/>
  <c r="U787" i="39" s="1"/>
  <c r="F788" i="39"/>
  <c r="F409" i="39"/>
  <c r="C408" i="39"/>
  <c r="U408" i="39" s="1"/>
  <c r="C1842" i="39"/>
  <c r="U1842" i="39" s="1"/>
  <c r="F1844" i="39"/>
  <c r="F1843" i="39"/>
  <c r="X1843" i="39" s="1"/>
  <c r="C1517" i="39"/>
  <c r="U1517" i="39" s="1"/>
  <c r="F452" i="39"/>
  <c r="C451" i="39"/>
  <c r="U451" i="39" s="1"/>
  <c r="C172" i="39"/>
  <c r="U172" i="39" s="1"/>
  <c r="F173" i="39"/>
  <c r="F2026" i="39"/>
  <c r="C2025" i="39"/>
  <c r="U2025" i="39" s="1"/>
  <c r="V1844" i="39" l="1"/>
  <c r="Y1844" i="39"/>
  <c r="V1137" i="39"/>
  <c r="Y1137" i="39"/>
  <c r="V1085" i="39"/>
  <c r="Y1085" i="39"/>
  <c r="V409" i="39"/>
  <c r="Y409" i="39"/>
  <c r="V858" i="39"/>
  <c r="Y858" i="39"/>
  <c r="Y1606" i="39"/>
  <c r="V1606" i="39"/>
  <c r="X1844" i="39"/>
  <c r="V452" i="39"/>
  <c r="Y452" i="39"/>
  <c r="X2027" i="39"/>
  <c r="F1138" i="39"/>
  <c r="V788" i="39"/>
  <c r="Y788" i="39"/>
  <c r="V2026" i="39"/>
  <c r="Y2026" i="39"/>
  <c r="V173" i="39"/>
  <c r="Y173" i="39"/>
  <c r="V1843" i="39"/>
  <c r="Y1843" i="39"/>
  <c r="X1085" i="39"/>
  <c r="F1086" i="39"/>
  <c r="C1085" i="39"/>
  <c r="U1085" i="39" s="1"/>
  <c r="C1606" i="39"/>
  <c r="U1606" i="39" s="1"/>
  <c r="F1607" i="39"/>
  <c r="C858" i="39"/>
  <c r="U858" i="39" s="1"/>
  <c r="F859" i="39"/>
  <c r="F410" i="39"/>
  <c r="F789" i="39"/>
  <c r="C788" i="39"/>
  <c r="U788" i="39" s="1"/>
  <c r="C409" i="39"/>
  <c r="U409" i="39" s="1"/>
  <c r="C1844" i="39"/>
  <c r="U1844" i="39" s="1"/>
  <c r="F1845" i="39"/>
  <c r="C1843" i="39"/>
  <c r="U1843" i="39" s="1"/>
  <c r="F453" i="39"/>
  <c r="C452" i="39"/>
  <c r="U452" i="39" s="1"/>
  <c r="F174" i="39"/>
  <c r="C173" i="39"/>
  <c r="U173" i="39" s="1"/>
  <c r="C2026" i="39"/>
  <c r="U2026" i="39" s="1"/>
  <c r="F2027" i="39"/>
  <c r="X1086" i="39" l="1"/>
  <c r="X1845" i="39"/>
  <c r="V1607" i="39"/>
  <c r="Y1607" i="39"/>
  <c r="V1845" i="39"/>
  <c r="Y1845" i="39"/>
  <c r="V1138" i="39"/>
  <c r="Y1138" i="39"/>
  <c r="V789" i="39"/>
  <c r="Y789" i="39"/>
  <c r="V410" i="39"/>
  <c r="Y410" i="39"/>
  <c r="V859" i="39"/>
  <c r="Y859" i="39"/>
  <c r="X1087" i="39"/>
  <c r="V453" i="39"/>
  <c r="Y453" i="39"/>
  <c r="C1138" i="39"/>
  <c r="U1138" i="39" s="1"/>
  <c r="F1139" i="39"/>
  <c r="V1086" i="39"/>
  <c r="Y1086" i="39"/>
  <c r="V2027" i="39"/>
  <c r="Y2027" i="39"/>
  <c r="V174" i="39"/>
  <c r="Y174" i="39"/>
  <c r="C1086" i="39"/>
  <c r="U1086" i="39" s="1"/>
  <c r="F1087" i="39"/>
  <c r="C1607" i="39"/>
  <c r="U1607" i="39" s="1"/>
  <c r="F1608" i="39"/>
  <c r="C859" i="39"/>
  <c r="U859" i="39" s="1"/>
  <c r="F860" i="39"/>
  <c r="F411" i="39"/>
  <c r="C410" i="39"/>
  <c r="U410" i="39" s="1"/>
  <c r="C789" i="39"/>
  <c r="U789" i="39" s="1"/>
  <c r="F790" i="39"/>
  <c r="C1845" i="39"/>
  <c r="U1845" i="39" s="1"/>
  <c r="F1846" i="39"/>
  <c r="F454" i="39"/>
  <c r="C453" i="39"/>
  <c r="U453" i="39" s="1"/>
  <c r="F175" i="39"/>
  <c r="C174" i="39"/>
  <c r="U174" i="39" s="1"/>
  <c r="F2028" i="39"/>
  <c r="C2027" i="39"/>
  <c r="U2027" i="39" s="1"/>
  <c r="AC1781" i="39"/>
  <c r="AA1781" i="39"/>
  <c r="I1781" i="39"/>
  <c r="F1761" i="39"/>
  <c r="AC1761" i="39"/>
  <c r="AA1761" i="39"/>
  <c r="I1761"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F2004" i="39"/>
  <c r="AC2003" i="39"/>
  <c r="AA2003" i="39"/>
  <c r="I2003" i="39"/>
  <c r="C2003" i="39"/>
  <c r="U2003" i="39" s="1"/>
  <c r="AC2037" i="39"/>
  <c r="AA2037" i="39"/>
  <c r="I2037" i="39"/>
  <c r="AC2038" i="39"/>
  <c r="AA2038" i="39"/>
  <c r="I2038" i="39"/>
  <c r="AC2039" i="39"/>
  <c r="AA2039" i="39"/>
  <c r="I2039" i="39"/>
  <c r="AC2036" i="39"/>
  <c r="AA2036" i="39"/>
  <c r="I2036" i="39"/>
  <c r="F2036" i="39"/>
  <c r="AC2035" i="39"/>
  <c r="AA2035" i="39"/>
  <c r="I2035" i="39"/>
  <c r="C2035" i="39"/>
  <c r="U2035" i="39" s="1"/>
  <c r="F893" i="39"/>
  <c r="AC892" i="39"/>
  <c r="AA892" i="39"/>
  <c r="I892" i="39"/>
  <c r="C892" i="39"/>
  <c r="U892" i="39" s="1"/>
  <c r="AC1378" i="39"/>
  <c r="AA1378" i="39"/>
  <c r="I1378" i="39"/>
  <c r="AC1388" i="39"/>
  <c r="AA1388" i="39"/>
  <c r="I138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391" i="39"/>
  <c r="AA1391" i="39"/>
  <c r="I1391" i="39"/>
  <c r="AC1379" i="39"/>
  <c r="AA1379" i="39"/>
  <c r="I1379" i="39"/>
  <c r="X2"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0" i="39"/>
  <c r="AA1390" i="39"/>
  <c r="I1390" i="39"/>
  <c r="AC1389" i="39"/>
  <c r="AA1389" i="39"/>
  <c r="I1389"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AC1361" i="39"/>
  <c r="AA1361" i="39"/>
  <c r="I1361" i="39"/>
  <c r="AC1360" i="39"/>
  <c r="AA1360" i="39"/>
  <c r="I1360" i="39"/>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F1347" i="39"/>
  <c r="AC1346" i="39"/>
  <c r="AA1346" i="39"/>
  <c r="I1346" i="39"/>
  <c r="C1346" i="39"/>
  <c r="U1346" i="39" s="1"/>
  <c r="V1347" i="39" l="1"/>
  <c r="Y1347" i="39"/>
  <c r="V893" i="39"/>
  <c r="Y893" i="39"/>
  <c r="V2004" i="39"/>
  <c r="Y2004" i="39"/>
  <c r="V411" i="39"/>
  <c r="Y411" i="39"/>
  <c r="V860" i="39"/>
  <c r="Y860" i="39"/>
  <c r="Y2028" i="39"/>
  <c r="V2028" i="39"/>
  <c r="V175" i="39"/>
  <c r="Y175" i="39"/>
  <c r="V1139" i="39"/>
  <c r="Y1139" i="39"/>
  <c r="Y1608" i="39"/>
  <c r="V1608" i="39"/>
  <c r="X1609" i="39"/>
  <c r="V1761" i="39"/>
  <c r="Y1761" i="39"/>
  <c r="V1087" i="39"/>
  <c r="Y1087" i="39"/>
  <c r="V1846" i="39"/>
  <c r="Y1846" i="39"/>
  <c r="V2036" i="39"/>
  <c r="Y2036" i="39"/>
  <c r="X2028" i="39"/>
  <c r="F1140" i="39"/>
  <c r="C1139" i="39"/>
  <c r="U1139" i="39" s="1"/>
  <c r="V454" i="39"/>
  <c r="Y454" i="39"/>
  <c r="V790" i="39"/>
  <c r="Y790" i="39"/>
  <c r="X791" i="39"/>
  <c r="X1846" i="39"/>
  <c r="X1847" i="39" s="1"/>
  <c r="C1087" i="39"/>
  <c r="U1087" i="39" s="1"/>
  <c r="F1088" i="39"/>
  <c r="X1088" i="39" s="1"/>
  <c r="C1608" i="39"/>
  <c r="U1608" i="39" s="1"/>
  <c r="F861" i="39"/>
  <c r="C860" i="39"/>
  <c r="U860" i="39" s="1"/>
  <c r="C411" i="39"/>
  <c r="U411" i="39" s="1"/>
  <c r="F412" i="39"/>
  <c r="C790" i="39"/>
  <c r="U790" i="39" s="1"/>
  <c r="F1847" i="39"/>
  <c r="C1846" i="39"/>
  <c r="U1846" i="39" s="1"/>
  <c r="C454" i="39"/>
  <c r="U454" i="39" s="1"/>
  <c r="F455" i="39"/>
  <c r="F176" i="39"/>
  <c r="C175" i="39"/>
  <c r="U175" i="39" s="1"/>
  <c r="C2028" i="39"/>
  <c r="U2028" i="39" s="1"/>
  <c r="F2029" i="39"/>
  <c r="F1762" i="39"/>
  <c r="C2004" i="39"/>
  <c r="U2004" i="39" s="1"/>
  <c r="C2036" i="39"/>
  <c r="U2036" i="39" s="1"/>
  <c r="F2005" i="39"/>
  <c r="F2037" i="39"/>
  <c r="C893" i="39"/>
  <c r="U893" i="39" s="1"/>
  <c r="C1347" i="39"/>
  <c r="U1347" i="39" s="1"/>
  <c r="F1348" i="39"/>
  <c r="Y1140" i="39" l="1"/>
  <c r="V1140" i="39"/>
  <c r="V1348" i="39"/>
  <c r="Y1348" i="39"/>
  <c r="V861" i="39"/>
  <c r="Y861" i="39"/>
  <c r="V1762" i="39"/>
  <c r="Y1762" i="39"/>
  <c r="V455" i="39"/>
  <c r="Y455" i="39"/>
  <c r="V2005" i="39"/>
  <c r="Y2005" i="39"/>
  <c r="V176" i="39"/>
  <c r="Y176" i="39"/>
  <c r="V412" i="39"/>
  <c r="Y412" i="39"/>
  <c r="V1088" i="39"/>
  <c r="Y1088" i="39"/>
  <c r="V2037" i="39"/>
  <c r="Y2037" i="39"/>
  <c r="Y2029" i="39"/>
  <c r="V2029" i="39"/>
  <c r="X2029" i="39"/>
  <c r="V1847" i="39"/>
  <c r="Y1847" i="39"/>
  <c r="C1140" i="39"/>
  <c r="U1140" i="39" s="1"/>
  <c r="F1141" i="39"/>
  <c r="C1088" i="39"/>
  <c r="U1088" i="39" s="1"/>
  <c r="F1089" i="39"/>
  <c r="C412" i="39"/>
  <c r="U412" i="39" s="1"/>
  <c r="F413" i="39"/>
  <c r="C861" i="39"/>
  <c r="U861" i="39" s="1"/>
  <c r="F862" i="39"/>
  <c r="F1142" i="39"/>
  <c r="C1141" i="39"/>
  <c r="U1141" i="39" s="1"/>
  <c r="F1848" i="39"/>
  <c r="X1848" i="39" s="1"/>
  <c r="C1847" i="39"/>
  <c r="U1847" i="39" s="1"/>
  <c r="C455" i="39"/>
  <c r="U455" i="39" s="1"/>
  <c r="F456" i="39"/>
  <c r="F177" i="39"/>
  <c r="C176" i="39"/>
  <c r="U176" i="39" s="1"/>
  <c r="F2030" i="39"/>
  <c r="C2029" i="39"/>
  <c r="U2029" i="39" s="1"/>
  <c r="F1763" i="39"/>
  <c r="C2005" i="39"/>
  <c r="U2005" i="39" s="1"/>
  <c r="F2006" i="39"/>
  <c r="F2038" i="39"/>
  <c r="F1349" i="39"/>
  <c r="C1348" i="39"/>
  <c r="U1348" i="39" s="1"/>
  <c r="X2030" i="39" l="1"/>
  <c r="V862" i="39"/>
  <c r="Y862" i="39"/>
  <c r="V456" i="39"/>
  <c r="Y456" i="39"/>
  <c r="V1142" i="39"/>
  <c r="Y1142" i="39"/>
  <c r="V1349" i="39"/>
  <c r="Y1349" i="39"/>
  <c r="V413" i="39"/>
  <c r="Y413" i="39"/>
  <c r="X2031" i="39"/>
  <c r="V1763" i="39"/>
  <c r="Y1763" i="39"/>
  <c r="V2030" i="39"/>
  <c r="Y2030" i="39"/>
  <c r="V1848" i="39"/>
  <c r="Y1848" i="39"/>
  <c r="V1089" i="39"/>
  <c r="Y1089" i="39"/>
  <c r="V1141" i="39"/>
  <c r="Y1141" i="39"/>
  <c r="V2038" i="39"/>
  <c r="Y2038" i="39"/>
  <c r="Y2006" i="39"/>
  <c r="V2006" i="39"/>
  <c r="V177" i="39"/>
  <c r="Y177" i="39"/>
  <c r="X1089" i="39"/>
  <c r="C1089" i="39"/>
  <c r="U1089" i="39" s="1"/>
  <c r="F1090" i="39"/>
  <c r="F414" i="39"/>
  <c r="C413" i="39"/>
  <c r="U413" i="39" s="1"/>
  <c r="F863" i="39"/>
  <c r="C862" i="39"/>
  <c r="U862" i="39" s="1"/>
  <c r="C1142" i="39"/>
  <c r="U1142" i="39" s="1"/>
  <c r="F1143" i="39"/>
  <c r="F1849" i="39"/>
  <c r="C1848" i="39"/>
  <c r="U1848" i="39" s="1"/>
  <c r="F178" i="39"/>
  <c r="F457" i="39"/>
  <c r="C456" i="39"/>
  <c r="U456" i="39" s="1"/>
  <c r="C177" i="39"/>
  <c r="U177" i="39" s="1"/>
  <c r="C2030" i="39"/>
  <c r="U2030" i="39" s="1"/>
  <c r="F2031" i="39"/>
  <c r="C2006" i="39"/>
  <c r="U2006" i="39" s="1"/>
  <c r="F2007" i="39"/>
  <c r="F2039" i="39"/>
  <c r="C2038" i="39"/>
  <c r="U2038" i="39" s="1"/>
  <c r="F1350" i="39"/>
  <c r="C1349" i="39"/>
  <c r="U1349" i="39" s="1"/>
  <c r="X1090" i="39" l="1"/>
  <c r="V178" i="39"/>
  <c r="Y178" i="39"/>
  <c r="V1090" i="39"/>
  <c r="Y1090" i="39"/>
  <c r="V414" i="39"/>
  <c r="Y414" i="39"/>
  <c r="Y2007" i="39"/>
  <c r="V2007" i="39"/>
  <c r="Y1849" i="39"/>
  <c r="V1849" i="39"/>
  <c r="V1143" i="39"/>
  <c r="Y1143" i="39"/>
  <c r="V863" i="39"/>
  <c r="Y863" i="39"/>
  <c r="Y1350" i="39"/>
  <c r="V1350" i="39"/>
  <c r="V2039" i="39"/>
  <c r="X2040" i="39"/>
  <c r="Y2039" i="39"/>
  <c r="V457" i="39"/>
  <c r="Y457" i="39"/>
  <c r="Y2031" i="39"/>
  <c r="V2031" i="39"/>
  <c r="X1849" i="39"/>
  <c r="F1091" i="39"/>
  <c r="C1090" i="39"/>
  <c r="U1090" i="39" s="1"/>
  <c r="F415" i="39"/>
  <c r="C414" i="39"/>
  <c r="U414" i="39" s="1"/>
  <c r="C863" i="39"/>
  <c r="U863" i="39" s="1"/>
  <c r="F864" i="39"/>
  <c r="C1143" i="39"/>
  <c r="U1143" i="39" s="1"/>
  <c r="F1144" i="39"/>
  <c r="F1850" i="39"/>
  <c r="C1849" i="39"/>
  <c r="U1849" i="39" s="1"/>
  <c r="F458" i="39"/>
  <c r="C457" i="39"/>
  <c r="U457" i="39" s="1"/>
  <c r="C178" i="39"/>
  <c r="U178" i="39" s="1"/>
  <c r="F179" i="39"/>
  <c r="F2032" i="39"/>
  <c r="X2032" i="39" s="1"/>
  <c r="C2031" i="39"/>
  <c r="U2031" i="39" s="1"/>
  <c r="C2007" i="39"/>
  <c r="U2007" i="39" s="1"/>
  <c r="F2008" i="39"/>
  <c r="C2039" i="39"/>
  <c r="U2039" i="39" s="1"/>
  <c r="C1350" i="39"/>
  <c r="U1350" i="39" s="1"/>
  <c r="F1351" i="39"/>
  <c r="V179" i="39" l="1"/>
  <c r="Y179" i="39"/>
  <c r="V1850" i="39"/>
  <c r="Y1850" i="39"/>
  <c r="X1850" i="39"/>
  <c r="Y2008" i="39"/>
  <c r="V2008" i="39"/>
  <c r="V2032" i="39"/>
  <c r="Y2032" i="39"/>
  <c r="V458" i="39"/>
  <c r="X459" i="39"/>
  <c r="X460" i="39" s="1"/>
  <c r="X461" i="39" s="1"/>
  <c r="X462" i="39" s="1"/>
  <c r="X463" i="39" s="1"/>
  <c r="Y458" i="39"/>
  <c r="V1144" i="39"/>
  <c r="Y1144" i="39"/>
  <c r="V864" i="39"/>
  <c r="Y864" i="39"/>
  <c r="V415" i="39"/>
  <c r="Y415" i="39"/>
  <c r="V1091" i="39"/>
  <c r="X1092" i="39"/>
  <c r="Y1091" i="39"/>
  <c r="V1351" i="39"/>
  <c r="Y1351" i="39"/>
  <c r="X1091" i="39"/>
  <c r="C1091" i="39"/>
  <c r="U1091" i="39" s="1"/>
  <c r="C415" i="39"/>
  <c r="U415" i="39" s="1"/>
  <c r="F416" i="39"/>
  <c r="C864" i="39"/>
  <c r="U864" i="39" s="1"/>
  <c r="F865" i="39"/>
  <c r="C1144" i="39"/>
  <c r="U1144" i="39" s="1"/>
  <c r="F1145" i="39"/>
  <c r="F1851" i="39"/>
  <c r="C1850" i="39"/>
  <c r="U1850" i="39" s="1"/>
  <c r="C458" i="39"/>
  <c r="U458" i="39" s="1"/>
  <c r="C179" i="39"/>
  <c r="U179" i="39" s="1"/>
  <c r="F180" i="39"/>
  <c r="C2032" i="39"/>
  <c r="U2032" i="39" s="1"/>
  <c r="F2033" i="39"/>
  <c r="C2008" i="39"/>
  <c r="U2008" i="39" s="1"/>
  <c r="F2009" i="39"/>
  <c r="C1351" i="39"/>
  <c r="U1351" i="39" s="1"/>
  <c r="F1352" i="39"/>
  <c r="V1352" i="39" l="1"/>
  <c r="Y1352" i="39"/>
  <c r="V2009" i="39"/>
  <c r="Y2009" i="39"/>
  <c r="V180" i="39"/>
  <c r="Y180" i="39"/>
  <c r="V1851" i="39"/>
  <c r="Y1851" i="39"/>
  <c r="V1145" i="39"/>
  <c r="Y1145" i="39"/>
  <c r="V416" i="39"/>
  <c r="Y416" i="39"/>
  <c r="V2033" i="39"/>
  <c r="Y2033" i="39"/>
  <c r="V865" i="39"/>
  <c r="Y865" i="39"/>
  <c r="X1851" i="39"/>
  <c r="X1852" i="39" s="1"/>
  <c r="X2033" i="39"/>
  <c r="X2034" i="39" s="1"/>
  <c r="F417" i="39"/>
  <c r="C416" i="39"/>
  <c r="U416" i="39" s="1"/>
  <c r="C865" i="39"/>
  <c r="U865" i="39" s="1"/>
  <c r="F866" i="39"/>
  <c r="C1145" i="39"/>
  <c r="U1145" i="39" s="1"/>
  <c r="F1146" i="39"/>
  <c r="F1852" i="39"/>
  <c r="C1851" i="39"/>
  <c r="U1851" i="39" s="1"/>
  <c r="F181" i="39"/>
  <c r="C180" i="39"/>
  <c r="U180" i="39" s="1"/>
  <c r="F2034" i="39"/>
  <c r="C2033" i="39"/>
  <c r="U2033" i="39" s="1"/>
  <c r="C2009" i="39"/>
  <c r="U2009" i="39" s="1"/>
  <c r="F2010" i="39"/>
  <c r="F1353" i="39"/>
  <c r="C1352" i="39"/>
  <c r="U1352" i="39" s="1"/>
  <c r="V1353" i="39" l="1"/>
  <c r="Y1353" i="39"/>
  <c r="V2010" i="39"/>
  <c r="Y2010" i="39"/>
  <c r="V181" i="39"/>
  <c r="Y181" i="39"/>
  <c r="V1852" i="39"/>
  <c r="Y1852" i="39"/>
  <c r="V417" i="39"/>
  <c r="Y417" i="39"/>
  <c r="V2034" i="39"/>
  <c r="X2035" i="39"/>
  <c r="X2036" i="39" s="1"/>
  <c r="X2037" i="39" s="1"/>
  <c r="X2038" i="39" s="1"/>
  <c r="X2039" i="39" s="1"/>
  <c r="Y2034" i="39"/>
  <c r="V1146" i="39"/>
  <c r="Y1146" i="39"/>
  <c r="V866" i="39"/>
  <c r="Y866" i="39"/>
  <c r="F418" i="39"/>
  <c r="C417" i="39"/>
  <c r="U417" i="39" s="1"/>
  <c r="C866" i="39"/>
  <c r="U866" i="39" s="1"/>
  <c r="F867" i="39"/>
  <c r="F1147" i="39"/>
  <c r="C1146" i="39"/>
  <c r="U1146" i="39" s="1"/>
  <c r="F1853" i="39"/>
  <c r="X1853" i="39" s="1"/>
  <c r="C1852" i="39"/>
  <c r="U1852" i="39" s="1"/>
  <c r="F182" i="39"/>
  <c r="C181" i="39"/>
  <c r="U181" i="39" s="1"/>
  <c r="C2034" i="39"/>
  <c r="U2034" i="39" s="1"/>
  <c r="C2010" i="39"/>
  <c r="U2010" i="39" s="1"/>
  <c r="F2011" i="39"/>
  <c r="C1353" i="39"/>
  <c r="U1353" i="39" s="1"/>
  <c r="F1354" i="39"/>
  <c r="V867" i="39" l="1"/>
  <c r="Y867" i="39"/>
  <c r="V1354" i="39"/>
  <c r="Y1354" i="39"/>
  <c r="V182" i="39"/>
  <c r="Y182" i="39"/>
  <c r="V418" i="39"/>
  <c r="X419" i="39"/>
  <c r="Y418" i="39"/>
  <c r="V2011" i="39"/>
  <c r="Y2011" i="39"/>
  <c r="V1853" i="39"/>
  <c r="Y1853" i="39"/>
  <c r="V1147" i="39"/>
  <c r="Y1147" i="39"/>
  <c r="C418" i="39"/>
  <c r="U418" i="39" s="1"/>
  <c r="C867" i="39"/>
  <c r="U867" i="39" s="1"/>
  <c r="F868" i="39"/>
  <c r="C1147" i="39"/>
  <c r="U1147" i="39" s="1"/>
  <c r="F1148" i="39"/>
  <c r="F1854" i="39"/>
  <c r="C1853" i="39"/>
  <c r="U1853" i="39" s="1"/>
  <c r="C182" i="39"/>
  <c r="U182" i="39" s="1"/>
  <c r="F183" i="39"/>
  <c r="C2011" i="39"/>
  <c r="U2011" i="39" s="1"/>
  <c r="F2012" i="39"/>
  <c r="F1355" i="39"/>
  <c r="C1354" i="39"/>
  <c r="U1354" i="39" s="1"/>
  <c r="F961" i="39"/>
  <c r="AC996" i="39"/>
  <c r="AA996" i="39"/>
  <c r="I996" i="39"/>
  <c r="F792" i="39"/>
  <c r="I792" i="39"/>
  <c r="AA792" i="39"/>
  <c r="AC792" i="39"/>
  <c r="F651" i="39"/>
  <c r="AC628" i="39"/>
  <c r="AA628" i="39"/>
  <c r="I628" i="39"/>
  <c r="F749" i="39"/>
  <c r="AC750" i="39"/>
  <c r="AA750" i="39"/>
  <c r="I750" i="39"/>
  <c r="AC749" i="39"/>
  <c r="AA749" i="39"/>
  <c r="I749" i="39"/>
  <c r="AC751" i="39"/>
  <c r="AA751" i="39"/>
  <c r="I751" i="39"/>
  <c r="AC748" i="39"/>
  <c r="AA748" i="39"/>
  <c r="I748" i="39"/>
  <c r="C748" i="39"/>
  <c r="U748" i="39" s="1"/>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F1312" i="39"/>
  <c r="AC1311" i="39"/>
  <c r="AA1311" i="39"/>
  <c r="I1311" i="39"/>
  <c r="C1311" i="39"/>
  <c r="U1311" i="39" s="1"/>
  <c r="AC532" i="39"/>
  <c r="AA532" i="39"/>
  <c r="I532" i="39"/>
  <c r="AC531" i="39"/>
  <c r="AA531" i="39"/>
  <c r="I531" i="39"/>
  <c r="AC527" i="39"/>
  <c r="AA527" i="39"/>
  <c r="I527" i="39"/>
  <c r="AC528" i="39"/>
  <c r="AA528" i="39"/>
  <c r="I528" i="39"/>
  <c r="AC529" i="39"/>
  <c r="AA529" i="39"/>
  <c r="I529" i="39"/>
  <c r="AC530" i="39"/>
  <c r="AA530" i="39"/>
  <c r="I530" i="39"/>
  <c r="AC526" i="39"/>
  <c r="AA526" i="39"/>
  <c r="I526" i="39"/>
  <c r="AC283" i="39"/>
  <c r="AA283" i="39"/>
  <c r="I283" i="39"/>
  <c r="AC311" i="39"/>
  <c r="AA311" i="39"/>
  <c r="I311" i="39"/>
  <c r="AC312" i="39"/>
  <c r="AA312" i="39"/>
  <c r="I312"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25" i="39"/>
  <c r="AA525" i="39"/>
  <c r="I525" i="39"/>
  <c r="AC524" i="39"/>
  <c r="AA524" i="39"/>
  <c r="I524" i="39"/>
  <c r="AC523" i="39"/>
  <c r="AA523" i="39"/>
  <c r="I523" i="39"/>
  <c r="AC522" i="39"/>
  <c r="AA522" i="39"/>
  <c r="I522" i="39"/>
  <c r="AC521" i="39"/>
  <c r="AA521" i="39"/>
  <c r="I521" i="39"/>
  <c r="AC520" i="39"/>
  <c r="AA520" i="39"/>
  <c r="I520" i="39"/>
  <c r="AC519" i="39"/>
  <c r="AA519" i="39"/>
  <c r="I519" i="39"/>
  <c r="F519" i="39"/>
  <c r="AC518" i="39"/>
  <c r="AA518" i="39"/>
  <c r="I518" i="39"/>
  <c r="C518" i="39"/>
  <c r="U518" i="39" s="1"/>
  <c r="AC1968" i="39"/>
  <c r="AA1968" i="39"/>
  <c r="I1968" i="39"/>
  <c r="AC1967" i="39"/>
  <c r="AA1967" i="39"/>
  <c r="I1967" i="39"/>
  <c r="AC1966" i="39"/>
  <c r="AA1966" i="39"/>
  <c r="I1966" i="39"/>
  <c r="AC1965" i="39"/>
  <c r="AA1965" i="39"/>
  <c r="I1965" i="39"/>
  <c r="AC1964" i="39"/>
  <c r="AA1964" i="39"/>
  <c r="I1964" i="39"/>
  <c r="F1964" i="39"/>
  <c r="AC1963" i="39"/>
  <c r="AA1963" i="39"/>
  <c r="I1963" i="39"/>
  <c r="C1963" i="39"/>
  <c r="U1963" i="39" s="1"/>
  <c r="AC1962" i="39"/>
  <c r="AA1962" i="39"/>
  <c r="I1962"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F1944" i="39"/>
  <c r="AC1943" i="39"/>
  <c r="AA1943" i="39"/>
  <c r="I1943" i="39"/>
  <c r="C1943" i="39"/>
  <c r="U1943" i="39" s="1"/>
  <c r="AC479" i="39"/>
  <c r="AA479" i="39"/>
  <c r="I479" i="39"/>
  <c r="F477" i="39"/>
  <c r="AC477" i="39"/>
  <c r="AA477" i="39"/>
  <c r="I477" i="39"/>
  <c r="AC481" i="39"/>
  <c r="AA481" i="39"/>
  <c r="I481" i="39"/>
  <c r="AC480" i="39"/>
  <c r="AA480" i="39"/>
  <c r="I480" i="39"/>
  <c r="AC478" i="39"/>
  <c r="AA478" i="39"/>
  <c r="I478" i="39"/>
  <c r="AC476" i="39"/>
  <c r="AA476" i="39"/>
  <c r="I476" i="39"/>
  <c r="C476" i="39"/>
  <c r="U476" i="39" s="1"/>
  <c r="AC793" i="39"/>
  <c r="AA793" i="39"/>
  <c r="I793" i="39"/>
  <c r="F793" i="39"/>
  <c r="AC794" i="39"/>
  <c r="AA794" i="39"/>
  <c r="I794" i="39"/>
  <c r="AC791" i="39"/>
  <c r="AA791" i="39"/>
  <c r="I791" i="39"/>
  <c r="C791" i="39"/>
  <c r="U791" i="39" s="1"/>
  <c r="AC395" i="39"/>
  <c r="AA395" i="39"/>
  <c r="I395" i="39"/>
  <c r="F395" i="39"/>
  <c r="AC397" i="39"/>
  <c r="AA397" i="39"/>
  <c r="I397" i="39"/>
  <c r="AC396" i="39"/>
  <c r="AA396" i="39"/>
  <c r="I396" i="39"/>
  <c r="AC394" i="39"/>
  <c r="AA394" i="39"/>
  <c r="I394" i="39"/>
  <c r="C394" i="39"/>
  <c r="U394" i="39" s="1"/>
  <c r="AC166" i="39"/>
  <c r="AA166" i="39"/>
  <c r="I166" i="39"/>
  <c r="AC165" i="39"/>
  <c r="AA165" i="39"/>
  <c r="I165" i="39"/>
  <c r="AC164" i="39"/>
  <c r="AA164" i="39"/>
  <c r="I164" i="39"/>
  <c r="AC163" i="39"/>
  <c r="AA163" i="39"/>
  <c r="I163" i="39"/>
  <c r="F163" i="39"/>
  <c r="AC162" i="39"/>
  <c r="AA162" i="39"/>
  <c r="I162" i="39"/>
  <c r="C162" i="39"/>
  <c r="U162" i="39" s="1"/>
  <c r="AC123" i="39"/>
  <c r="AA123" i="39"/>
  <c r="I123" i="39"/>
  <c r="AC122" i="39"/>
  <c r="AA122" i="39"/>
  <c r="I122" i="39"/>
  <c r="AC121" i="39"/>
  <c r="AA121" i="39"/>
  <c r="I121" i="39"/>
  <c r="F121" i="39"/>
  <c r="AC120" i="39"/>
  <c r="AA120" i="39"/>
  <c r="I120" i="39"/>
  <c r="C120" i="39"/>
  <c r="U120" i="39" s="1"/>
  <c r="AC649" i="39"/>
  <c r="AA649" i="39"/>
  <c r="I649" i="39"/>
  <c r="AC648" i="39"/>
  <c r="AA648" i="39"/>
  <c r="I648" i="39"/>
  <c r="AC647" i="39"/>
  <c r="AA647" i="39"/>
  <c r="I647" i="39"/>
  <c r="AC646" i="39"/>
  <c r="AA646" i="39"/>
  <c r="I646" i="39"/>
  <c r="F646" i="39"/>
  <c r="AC645" i="39"/>
  <c r="AA645" i="39"/>
  <c r="I645" i="39"/>
  <c r="C645" i="39"/>
  <c r="U645" i="39" s="1"/>
  <c r="AC339" i="39"/>
  <c r="AA339" i="39"/>
  <c r="I339" i="39"/>
  <c r="AC338" i="39"/>
  <c r="AA338" i="39"/>
  <c r="I338" i="39"/>
  <c r="AC489" i="39"/>
  <c r="AA489" i="39"/>
  <c r="I489" i="39"/>
  <c r="AC488" i="39"/>
  <c r="AA488" i="39"/>
  <c r="I488" i="39"/>
  <c r="AC487" i="39"/>
  <c r="AA487" i="39"/>
  <c r="I487" i="39"/>
  <c r="AC486" i="39"/>
  <c r="AA486" i="39"/>
  <c r="I486" i="39"/>
  <c r="AC485" i="39"/>
  <c r="AA485" i="39"/>
  <c r="I485" i="39"/>
  <c r="AC484" i="39"/>
  <c r="AA484" i="39"/>
  <c r="I484" i="39"/>
  <c r="AC483" i="39"/>
  <c r="AA483" i="39"/>
  <c r="I483" i="39"/>
  <c r="F483" i="39"/>
  <c r="AC482" i="39"/>
  <c r="AA482" i="39"/>
  <c r="I482" i="39"/>
  <c r="C482" i="39"/>
  <c r="U482" i="39" s="1"/>
  <c r="F1798" i="39"/>
  <c r="AC1798" i="39"/>
  <c r="AA1798" i="39"/>
  <c r="I1798" i="39"/>
  <c r="AC1799" i="39"/>
  <c r="AA1799" i="39"/>
  <c r="I1799" i="39"/>
  <c r="AC1659" i="39"/>
  <c r="AA1659" i="39"/>
  <c r="I1659" i="39"/>
  <c r="AC1677" i="39"/>
  <c r="AA1677" i="39"/>
  <c r="I1677" i="39"/>
  <c r="AC1802" i="39"/>
  <c r="AA1802" i="39"/>
  <c r="I1802" i="39"/>
  <c r="AC1801" i="39"/>
  <c r="AA1801" i="39"/>
  <c r="I1801" i="39"/>
  <c r="AC1800" i="39"/>
  <c r="AA1800" i="39"/>
  <c r="I1800" i="39"/>
  <c r="AC1797" i="39"/>
  <c r="AA1797" i="39"/>
  <c r="I1797" i="39"/>
  <c r="C1797" i="39"/>
  <c r="U1797" i="39" s="1"/>
  <c r="AC1625" i="39"/>
  <c r="AA1625" i="39"/>
  <c r="I1625" i="39"/>
  <c r="AC1868" i="39"/>
  <c r="AA1868" i="39"/>
  <c r="I1868"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AC1882" i="39"/>
  <c r="AA1882" i="39"/>
  <c r="I1882" i="39"/>
  <c r="AC1881" i="39"/>
  <c r="AA1881" i="39"/>
  <c r="I1881" i="39"/>
  <c r="AC1880" i="39"/>
  <c r="AA1880" i="39"/>
  <c r="I1880" i="39"/>
  <c r="AC1879" i="39"/>
  <c r="AA1879" i="39"/>
  <c r="I1879" i="39"/>
  <c r="AC1878" i="39"/>
  <c r="AA1878" i="39"/>
  <c r="I187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F1871" i="39"/>
  <c r="AC1870" i="39"/>
  <c r="AA1870" i="39"/>
  <c r="I1870" i="39"/>
  <c r="C1870" i="39"/>
  <c r="U1870" i="39" s="1"/>
  <c r="F1865" i="39"/>
  <c r="AC1865" i="39"/>
  <c r="AA1865" i="39"/>
  <c r="I1865" i="39"/>
  <c r="AC1864" i="39"/>
  <c r="AA1864" i="39"/>
  <c r="I1864" i="39"/>
  <c r="C1864" i="39"/>
  <c r="U1864" i="39" s="1"/>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AC826" i="39"/>
  <c r="AA826" i="39"/>
  <c r="I826" i="39"/>
  <c r="AC625" i="39"/>
  <c r="AA625" i="39"/>
  <c r="I625" i="39"/>
  <c r="AC624" i="39"/>
  <c r="AA624" i="39"/>
  <c r="I624" i="39"/>
  <c r="AC623" i="39"/>
  <c r="AA623" i="39"/>
  <c r="I623" i="39"/>
  <c r="AC622" i="39"/>
  <c r="AA622" i="39"/>
  <c r="I622" i="39"/>
  <c r="AC621" i="39"/>
  <c r="AA621" i="39"/>
  <c r="I621" i="39"/>
  <c r="AC620" i="39"/>
  <c r="AA620" i="39"/>
  <c r="I620" i="39"/>
  <c r="F620" i="39"/>
  <c r="AC619" i="39"/>
  <c r="AA619" i="39"/>
  <c r="I619" i="39"/>
  <c r="C619" i="39"/>
  <c r="U619" i="39" s="1"/>
  <c r="AC1703" i="39"/>
  <c r="AA1703" i="39"/>
  <c r="I1703" i="39"/>
  <c r="AC1701" i="39"/>
  <c r="AA1701" i="39"/>
  <c r="I1701" i="39"/>
  <c r="AC1697" i="39"/>
  <c r="AA1697" i="39"/>
  <c r="I1697" i="39"/>
  <c r="AC1694" i="39"/>
  <c r="AA1694" i="39"/>
  <c r="I1694" i="39"/>
  <c r="AC1693" i="39"/>
  <c r="AA1693" i="39"/>
  <c r="I1693" i="39"/>
  <c r="F1691" i="39"/>
  <c r="AC1691" i="39"/>
  <c r="AA1691" i="39"/>
  <c r="I1691" i="39"/>
  <c r="AC1704" i="39"/>
  <c r="AA1704" i="39"/>
  <c r="I1704" i="39"/>
  <c r="AC1702" i="39"/>
  <c r="AA1702" i="39"/>
  <c r="I1702" i="39"/>
  <c r="AC1700" i="39"/>
  <c r="AA1700" i="39"/>
  <c r="I1700" i="39"/>
  <c r="AC1699" i="39"/>
  <c r="AA1699" i="39"/>
  <c r="I1699" i="39"/>
  <c r="AC1698" i="39"/>
  <c r="AA1698" i="39"/>
  <c r="I1698" i="39"/>
  <c r="AC1696" i="39"/>
  <c r="AA1696" i="39"/>
  <c r="I1696" i="39"/>
  <c r="AC1695" i="39"/>
  <c r="AA1695" i="39"/>
  <c r="I1695" i="39"/>
  <c r="AC1692" i="39"/>
  <c r="AA1692" i="39"/>
  <c r="I1692" i="39"/>
  <c r="AC1690" i="39"/>
  <c r="AA1690" i="39"/>
  <c r="I1690" i="39"/>
  <c r="C1690" i="39"/>
  <c r="U1690" i="39" s="1"/>
  <c r="AC1816" i="39"/>
  <c r="AA1816" i="39"/>
  <c r="I1816" i="39"/>
  <c r="AC1815" i="39"/>
  <c r="AA1815" i="39"/>
  <c r="I1815" i="39"/>
  <c r="AC1814" i="39"/>
  <c r="AA1814" i="39"/>
  <c r="I1814" i="39"/>
  <c r="AC1813" i="39"/>
  <c r="AA1813" i="39"/>
  <c r="I1813" i="39"/>
  <c r="AC1812" i="39"/>
  <c r="AA1812" i="39"/>
  <c r="I1812" i="39"/>
  <c r="AC1811" i="39"/>
  <c r="AA1811" i="39"/>
  <c r="I1811" i="39"/>
  <c r="AC1810" i="39"/>
  <c r="AA1810" i="39"/>
  <c r="I1810" i="39"/>
  <c r="AC1809" i="39"/>
  <c r="AA1809" i="39"/>
  <c r="I1809" i="39"/>
  <c r="F1809" i="39"/>
  <c r="AC1808" i="39"/>
  <c r="AA1808" i="39"/>
  <c r="I1808" i="39"/>
  <c r="C1808" i="39"/>
  <c r="U1808" i="39" s="1"/>
  <c r="AC1869" i="39"/>
  <c r="AA1869" i="39"/>
  <c r="I1869" i="39"/>
  <c r="AC1867" i="39"/>
  <c r="AA1867" i="39"/>
  <c r="I1867" i="39"/>
  <c r="AC1866" i="39"/>
  <c r="AA1866" i="39"/>
  <c r="I1866" i="39"/>
  <c r="AC1807" i="39"/>
  <c r="AA1807" i="39"/>
  <c r="I1807" i="39"/>
  <c r="F1807" i="39"/>
  <c r="AC1806" i="39"/>
  <c r="AA1806" i="39"/>
  <c r="I1806" i="39"/>
  <c r="C1806" i="39"/>
  <c r="U1806" i="39" s="1"/>
  <c r="AC1805" i="39"/>
  <c r="AA1805" i="39"/>
  <c r="I1805" i="39"/>
  <c r="AC1804" i="39"/>
  <c r="AA1804" i="39"/>
  <c r="I1804" i="39"/>
  <c r="F1804" i="39"/>
  <c r="AC1803" i="39"/>
  <c r="AA1803" i="39"/>
  <c r="I1803" i="39"/>
  <c r="C1803" i="39"/>
  <c r="U1803" i="39" s="1"/>
  <c r="AC1796" i="39"/>
  <c r="AA1796" i="39"/>
  <c r="I1796" i="39"/>
  <c r="AC1795" i="39"/>
  <c r="AA1795" i="39"/>
  <c r="I1795" i="39"/>
  <c r="AC1794" i="39"/>
  <c r="AA1794" i="39"/>
  <c r="I1794" i="39"/>
  <c r="AC1793" i="39"/>
  <c r="AA1793" i="39"/>
  <c r="I1793" i="39"/>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F1784" i="39"/>
  <c r="AC1783" i="39"/>
  <c r="AA1783" i="39"/>
  <c r="I1783" i="39"/>
  <c r="C1783" i="39"/>
  <c r="U1783" i="39" s="1"/>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F1448" i="39"/>
  <c r="AC1447" i="39"/>
  <c r="AA1447" i="39"/>
  <c r="I1447" i="39"/>
  <c r="C1447" i="39"/>
  <c r="U1447" i="39" s="1"/>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F465" i="39"/>
  <c r="AC464" i="39"/>
  <c r="AA464" i="39"/>
  <c r="I464" i="39"/>
  <c r="C464" i="39"/>
  <c r="U464"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08" i="39"/>
  <c r="AA608" i="39"/>
  <c r="I608" i="39"/>
  <c r="AC596" i="39"/>
  <c r="AA596" i="39"/>
  <c r="I596" i="39"/>
  <c r="AC582" i="39"/>
  <c r="AA582" i="39"/>
  <c r="I582" i="39"/>
  <c r="AC584" i="39"/>
  <c r="AA584" i="39"/>
  <c r="I584" i="39"/>
  <c r="AC1294" i="39"/>
  <c r="AA1294" i="39"/>
  <c r="I1294" i="39"/>
  <c r="AC1293" i="39"/>
  <c r="AA1293" i="39"/>
  <c r="I1293" i="39"/>
  <c r="F1293" i="39"/>
  <c r="AC1292" i="39"/>
  <c r="AA1292" i="39"/>
  <c r="I1292" i="39"/>
  <c r="F1292" i="39"/>
  <c r="AC1291" i="39"/>
  <c r="AA1291" i="39"/>
  <c r="I1291" i="39"/>
  <c r="C1291" i="39"/>
  <c r="U1291" i="39" s="1"/>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F226" i="39"/>
  <c r="AC225" i="39"/>
  <c r="AA225" i="39"/>
  <c r="I225" i="39"/>
  <c r="C225" i="39"/>
  <c r="U225" i="39" s="1"/>
  <c r="AC1739" i="39"/>
  <c r="AA1739" i="39"/>
  <c r="I1739" i="39"/>
  <c r="AC1758" i="39"/>
  <c r="AA1758" i="39"/>
  <c r="I1758" i="39"/>
  <c r="F1758" i="39"/>
  <c r="F1759" i="39"/>
  <c r="C1757" i="39"/>
  <c r="U1757" i="39" s="1"/>
  <c r="AC1757" i="39"/>
  <c r="AA1757" i="39"/>
  <c r="I1757" i="39"/>
  <c r="AC1737" i="39"/>
  <c r="AA1737" i="39"/>
  <c r="I1737" i="39"/>
  <c r="AC1756" i="39"/>
  <c r="AA1756" i="39"/>
  <c r="I1756" i="39"/>
  <c r="AC1755" i="39"/>
  <c r="AA1755" i="39"/>
  <c r="I1755" i="39"/>
  <c r="AC1754" i="39"/>
  <c r="AA1754" i="39"/>
  <c r="I1754" i="39"/>
  <c r="AC1753" i="39"/>
  <c r="AA1753" i="39"/>
  <c r="I1753" i="39"/>
  <c r="AC1752" i="39"/>
  <c r="AA1752" i="39"/>
  <c r="I1752" i="39"/>
  <c r="AC1751" i="39"/>
  <c r="AA1751" i="39"/>
  <c r="I1751" i="39"/>
  <c r="AC1750" i="39"/>
  <c r="AA1750" i="39"/>
  <c r="I1750" i="39"/>
  <c r="AC1749" i="39"/>
  <c r="AA1749" i="39"/>
  <c r="I1749" i="39"/>
  <c r="AC1748" i="39"/>
  <c r="AA1748" i="39"/>
  <c r="I1748" i="39"/>
  <c r="AC1747" i="39"/>
  <c r="AA1747" i="39"/>
  <c r="I1747" i="39"/>
  <c r="AC1746" i="39"/>
  <c r="AA1746" i="39"/>
  <c r="I1746" i="39"/>
  <c r="AC1745" i="39"/>
  <c r="AA1745" i="39"/>
  <c r="I1745" i="39"/>
  <c r="AC1744" i="39"/>
  <c r="AA1744" i="39"/>
  <c r="I1744" i="39"/>
  <c r="AC1743" i="39"/>
  <c r="AA1743" i="39"/>
  <c r="I1743" i="39"/>
  <c r="AC1742" i="39"/>
  <c r="AA1742" i="39"/>
  <c r="I1742" i="39"/>
  <c r="AC1741" i="39"/>
  <c r="AA1741" i="39"/>
  <c r="I1741" i="39"/>
  <c r="AC1740" i="39"/>
  <c r="AA1740" i="39"/>
  <c r="I1740" i="39"/>
  <c r="AC1738" i="39"/>
  <c r="AA1738" i="39"/>
  <c r="I1738" i="39"/>
  <c r="AC1735" i="39"/>
  <c r="AA1735" i="39"/>
  <c r="I1735" i="39"/>
  <c r="AC1734" i="39"/>
  <c r="AA1734" i="39"/>
  <c r="I1734" i="39"/>
  <c r="AC1733" i="39"/>
  <c r="AA1733" i="39"/>
  <c r="I1733" i="39"/>
  <c r="AC1732" i="39"/>
  <c r="AA1732" i="39"/>
  <c r="I1732" i="39"/>
  <c r="AC1731" i="39"/>
  <c r="AA1731" i="39"/>
  <c r="I1731" i="39"/>
  <c r="AC1729" i="39"/>
  <c r="AA1729" i="39"/>
  <c r="I1729" i="39"/>
  <c r="AC1728" i="39"/>
  <c r="AA1728" i="39"/>
  <c r="I1728" i="39"/>
  <c r="AC1725" i="39"/>
  <c r="AA1725" i="39"/>
  <c r="I1725" i="39"/>
  <c r="AC1724" i="39"/>
  <c r="AA1724" i="39"/>
  <c r="I1724" i="39"/>
  <c r="F1724" i="39"/>
  <c r="AC1723" i="39"/>
  <c r="AA1723" i="39"/>
  <c r="I1723" i="39"/>
  <c r="C1723" i="39"/>
  <c r="U1723" i="39" s="1"/>
  <c r="AC320" i="39"/>
  <c r="AA320" i="39"/>
  <c r="I320" i="39"/>
  <c r="AC319" i="39"/>
  <c r="AA319" i="39"/>
  <c r="I319" i="39"/>
  <c r="I994" i="39"/>
  <c r="AC993" i="39"/>
  <c r="AA993" i="39"/>
  <c r="I993" i="39"/>
  <c r="AC1117" i="39"/>
  <c r="AA1117" i="39"/>
  <c r="I1117" i="39"/>
  <c r="F1093" i="39"/>
  <c r="AC1101" i="39"/>
  <c r="AA1101" i="39"/>
  <c r="I1101" i="39"/>
  <c r="AC1100" i="39"/>
  <c r="AA1100" i="39"/>
  <c r="I1100" i="39"/>
  <c r="AC1093" i="39"/>
  <c r="AA1093" i="39"/>
  <c r="I1093" i="39"/>
  <c r="AC1094" i="39"/>
  <c r="AA1094" i="39"/>
  <c r="I1094" i="39"/>
  <c r="AC1095" i="39"/>
  <c r="AA1095" i="39"/>
  <c r="I1095" i="39"/>
  <c r="AC821" i="39"/>
  <c r="AA821" i="39"/>
  <c r="I821" i="39"/>
  <c r="AC820" i="39"/>
  <c r="AA820" i="39"/>
  <c r="I820" i="39"/>
  <c r="AC983" i="39"/>
  <c r="AA983" i="39"/>
  <c r="I983"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5" i="39"/>
  <c r="AA825" i="39"/>
  <c r="I825" i="39"/>
  <c r="AC824" i="39"/>
  <c r="AA824" i="39"/>
  <c r="I824" i="39"/>
  <c r="AC823" i="39"/>
  <c r="AA823" i="39"/>
  <c r="I823" i="39"/>
  <c r="AC822" i="39"/>
  <c r="AA822" i="39"/>
  <c r="I822"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F804" i="39"/>
  <c r="AC803" i="39"/>
  <c r="AA803" i="39"/>
  <c r="I803" i="39"/>
  <c r="C803" i="39"/>
  <c r="U803" i="39" s="1"/>
  <c r="V804" i="39" l="1"/>
  <c r="Y804" i="39"/>
  <c r="V1691" i="39"/>
  <c r="Y1691" i="39"/>
  <c r="X1691" i="39"/>
  <c r="V1293" i="39"/>
  <c r="Y1293" i="39"/>
  <c r="Y792" i="39"/>
  <c r="V792" i="39"/>
  <c r="X792" i="39"/>
  <c r="X793" i="39" s="1"/>
  <c r="V19" i="39"/>
  <c r="Y19" i="39"/>
  <c r="V749" i="39"/>
  <c r="Y749" i="39"/>
  <c r="V1312" i="39"/>
  <c r="Y1312" i="39"/>
  <c r="V477" i="39"/>
  <c r="Y477" i="39"/>
  <c r="V651" i="39"/>
  <c r="Y651" i="39"/>
  <c r="V646" i="39"/>
  <c r="Y646" i="39"/>
  <c r="V1519" i="39"/>
  <c r="Y1519" i="39"/>
  <c r="X1519" i="39"/>
  <c r="V1854" i="39"/>
  <c r="Y1854" i="39"/>
  <c r="V1871" i="39"/>
  <c r="Y1871" i="39"/>
  <c r="V1944" i="39"/>
  <c r="Y1944" i="39"/>
  <c r="X1944" i="39"/>
  <c r="Y1448" i="39"/>
  <c r="V1448" i="39"/>
  <c r="Y1798" i="39"/>
  <c r="V1798" i="39"/>
  <c r="V961" i="39"/>
  <c r="Y961" i="39"/>
  <c r="V1865" i="39"/>
  <c r="Y1865" i="39"/>
  <c r="V36" i="39"/>
  <c r="Y36" i="39"/>
  <c r="V163" i="39"/>
  <c r="Y163" i="39"/>
  <c r="V519" i="39"/>
  <c r="Y519" i="39"/>
  <c r="V1355" i="39"/>
  <c r="Y1355" i="39"/>
  <c r="Y395" i="39"/>
  <c r="V395" i="39"/>
  <c r="V2012" i="39"/>
  <c r="Y2012" i="39"/>
  <c r="X1854" i="39"/>
  <c r="Y793" i="39"/>
  <c r="V793" i="39"/>
  <c r="V226" i="39"/>
  <c r="Y226" i="39"/>
  <c r="V1804" i="39"/>
  <c r="Y1804" i="39"/>
  <c r="V1964" i="39"/>
  <c r="Y1964" i="39"/>
  <c r="V1148" i="39"/>
  <c r="Y1148" i="39"/>
  <c r="V1807" i="39"/>
  <c r="Y1807" i="39"/>
  <c r="X1808" i="39"/>
  <c r="X1809" i="39" s="1"/>
  <c r="X1810" i="39" s="1"/>
  <c r="Y121" i="39"/>
  <c r="V121" i="39"/>
  <c r="V868" i="39"/>
  <c r="Y868" i="39"/>
  <c r="V1758" i="39"/>
  <c r="Y1758" i="39"/>
  <c r="V1809" i="39"/>
  <c r="Y1809" i="39"/>
  <c r="V483" i="39"/>
  <c r="Y483" i="39"/>
  <c r="V183" i="39"/>
  <c r="Y183" i="39"/>
  <c r="V1093" i="39"/>
  <c r="Y1093" i="39"/>
  <c r="X1093" i="39"/>
  <c r="X1094" i="39" s="1"/>
  <c r="V465" i="39"/>
  <c r="Y465" i="39"/>
  <c r="X465" i="39"/>
  <c r="X466" i="39" s="1"/>
  <c r="V620" i="39"/>
  <c r="Y620" i="39"/>
  <c r="V1784" i="39"/>
  <c r="Y1784" i="39"/>
  <c r="V1724" i="39"/>
  <c r="Y1724" i="39"/>
  <c r="V1759" i="39"/>
  <c r="X1760" i="39"/>
  <c r="X1761" i="39" s="1"/>
  <c r="X1762" i="39" s="1"/>
  <c r="X1763" i="39" s="1"/>
  <c r="Y1759" i="39"/>
  <c r="Y1292" i="39"/>
  <c r="V1292" i="39"/>
  <c r="F869" i="39"/>
  <c r="C868" i="39"/>
  <c r="U868" i="39" s="1"/>
  <c r="F1149" i="39"/>
  <c r="C1148" i="39"/>
  <c r="U1148" i="39" s="1"/>
  <c r="F1855" i="39"/>
  <c r="C1854" i="39"/>
  <c r="U1854" i="39" s="1"/>
  <c r="C183" i="39"/>
  <c r="U183" i="39" s="1"/>
  <c r="F184" i="39"/>
  <c r="F1726" i="39"/>
  <c r="C2012" i="39"/>
  <c r="U2012" i="39" s="1"/>
  <c r="F2013" i="39"/>
  <c r="F652" i="39"/>
  <c r="C1355" i="39"/>
  <c r="U1355" i="39" s="1"/>
  <c r="F1356" i="39"/>
  <c r="C792" i="39"/>
  <c r="U792" i="39" s="1"/>
  <c r="F962" i="39"/>
  <c r="F794" i="39"/>
  <c r="F750" i="39"/>
  <c r="C1312" i="39"/>
  <c r="U1312" i="39" s="1"/>
  <c r="F1313" i="39"/>
  <c r="C1964" i="39"/>
  <c r="U1964" i="39" s="1"/>
  <c r="F1094" i="39"/>
  <c r="C519" i="39"/>
  <c r="U519" i="39" s="1"/>
  <c r="F520" i="39"/>
  <c r="C163" i="39"/>
  <c r="U163" i="39" s="1"/>
  <c r="F122" i="39"/>
  <c r="F1945" i="39"/>
  <c r="C1944" i="39"/>
  <c r="U1944" i="39" s="1"/>
  <c r="F1965" i="39"/>
  <c r="F478" i="39"/>
  <c r="F479" i="39"/>
  <c r="C793" i="39"/>
  <c r="U793" i="39" s="1"/>
  <c r="F396" i="39"/>
  <c r="C395" i="39"/>
  <c r="U395" i="39" s="1"/>
  <c r="F164" i="39"/>
  <c r="C121" i="39"/>
  <c r="U121" i="39" s="1"/>
  <c r="C646" i="39"/>
  <c r="U646" i="39" s="1"/>
  <c r="F647" i="39"/>
  <c r="F1872" i="39"/>
  <c r="F484" i="39"/>
  <c r="C483" i="39"/>
  <c r="U483" i="39" s="1"/>
  <c r="F1799" i="39"/>
  <c r="C1798" i="39"/>
  <c r="U1798" i="39" s="1"/>
  <c r="C1519" i="39"/>
  <c r="U1519" i="39" s="1"/>
  <c r="C1784" i="39"/>
  <c r="U1784" i="39" s="1"/>
  <c r="F1866" i="39"/>
  <c r="C1871" i="39"/>
  <c r="U1871" i="39" s="1"/>
  <c r="F1520" i="39"/>
  <c r="F621" i="39"/>
  <c r="C620" i="39"/>
  <c r="U620" i="39" s="1"/>
  <c r="F1694" i="39"/>
  <c r="C1691" i="39"/>
  <c r="U1691" i="39" s="1"/>
  <c r="F1692" i="39"/>
  <c r="C1809" i="39"/>
  <c r="U1809" i="39" s="1"/>
  <c r="F1810" i="39"/>
  <c r="C465" i="39"/>
  <c r="U465" i="39" s="1"/>
  <c r="F1805" i="39"/>
  <c r="C1807" i="39"/>
  <c r="U1807" i="39" s="1"/>
  <c r="C1804" i="39"/>
  <c r="U1804" i="39" s="1"/>
  <c r="F1785" i="39"/>
  <c r="C1448" i="39"/>
  <c r="U1448" i="39" s="1"/>
  <c r="F1449" i="39"/>
  <c r="F466" i="39"/>
  <c r="F37" i="39"/>
  <c r="C36" i="39"/>
  <c r="U36" i="39" s="1"/>
  <c r="C19" i="39"/>
  <c r="U19" i="39" s="1"/>
  <c r="F20" i="39"/>
  <c r="F1294" i="39"/>
  <c r="C1292" i="39"/>
  <c r="U1292" i="39" s="1"/>
  <c r="C1759" i="39"/>
  <c r="U1759" i="39" s="1"/>
  <c r="F227" i="39"/>
  <c r="F1725" i="39"/>
  <c r="C1293" i="39"/>
  <c r="U1293" i="39" s="1"/>
  <c r="C226" i="39"/>
  <c r="U226" i="39" s="1"/>
  <c r="C1758" i="39"/>
  <c r="U1758" i="39" s="1"/>
  <c r="C1724" i="39"/>
  <c r="U1724" i="39" s="1"/>
  <c r="F805" i="39"/>
  <c r="C804" i="39"/>
  <c r="U804"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3" i="39"/>
  <c r="I144" i="39"/>
  <c r="I145" i="39"/>
  <c r="I146" i="39"/>
  <c r="I147" i="39"/>
  <c r="I148" i="39"/>
  <c r="I149" i="39"/>
  <c r="I150" i="39"/>
  <c r="I151" i="39"/>
  <c r="I152" i="39"/>
  <c r="I153" i="39"/>
  <c r="I154" i="39"/>
  <c r="I155" i="39"/>
  <c r="I156" i="39"/>
  <c r="I157" i="39"/>
  <c r="I158" i="39"/>
  <c r="I159" i="39"/>
  <c r="I161"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50" i="39"/>
  <c r="I251" i="39"/>
  <c r="I252" i="39"/>
  <c r="I260" i="39"/>
  <c r="I261" i="39"/>
  <c r="I263" i="39"/>
  <c r="I264" i="39"/>
  <c r="I265" i="39"/>
  <c r="I266" i="39"/>
  <c r="I267" i="39"/>
  <c r="I268" i="39"/>
  <c r="I269" i="39"/>
  <c r="I270" i="39"/>
  <c r="I271" i="39"/>
  <c r="I272" i="39"/>
  <c r="I273" i="39"/>
  <c r="I274" i="39"/>
  <c r="I275" i="39"/>
  <c r="I276" i="39"/>
  <c r="I277" i="39"/>
  <c r="I278" i="39"/>
  <c r="I279" i="39"/>
  <c r="I280" i="39"/>
  <c r="I281" i="39"/>
  <c r="I282"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21" i="39"/>
  <c r="I322" i="39"/>
  <c r="I323" i="39"/>
  <c r="I324" i="39"/>
  <c r="I325" i="39"/>
  <c r="I326" i="39"/>
  <c r="I327" i="39"/>
  <c r="I328" i="39"/>
  <c r="I329" i="39"/>
  <c r="I330" i="39"/>
  <c r="I331" i="39"/>
  <c r="I332" i="39"/>
  <c r="I333" i="39"/>
  <c r="I334" i="39"/>
  <c r="I335" i="39"/>
  <c r="I336" i="39"/>
  <c r="I337"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59" i="39"/>
  <c r="I460" i="39"/>
  <c r="I461" i="39"/>
  <c r="I462" i="39"/>
  <c r="I463"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3" i="39"/>
  <c r="I585" i="39"/>
  <c r="I586" i="39"/>
  <c r="I587" i="39"/>
  <c r="I589" i="39"/>
  <c r="I590" i="39"/>
  <c r="I591" i="39"/>
  <c r="I592" i="39"/>
  <c r="I593" i="39"/>
  <c r="I594" i="39"/>
  <c r="I595" i="39"/>
  <c r="I597" i="39"/>
  <c r="I598" i="39"/>
  <c r="I599" i="39"/>
  <c r="I600" i="39"/>
  <c r="I601" i="39"/>
  <c r="I602" i="39"/>
  <c r="I603" i="39"/>
  <c r="I604" i="39"/>
  <c r="I605" i="39"/>
  <c r="I606" i="39"/>
  <c r="I607" i="39"/>
  <c r="I609" i="39"/>
  <c r="I610" i="39"/>
  <c r="I611" i="39"/>
  <c r="I612" i="39"/>
  <c r="I613" i="39"/>
  <c r="I614" i="39"/>
  <c r="I615" i="39"/>
  <c r="I616" i="39"/>
  <c r="I617" i="39"/>
  <c r="I618" i="39"/>
  <c r="I626" i="39"/>
  <c r="I627" i="39"/>
  <c r="I629" i="39"/>
  <c r="I630" i="39"/>
  <c r="I631" i="39"/>
  <c r="I632" i="39"/>
  <c r="I633" i="39"/>
  <c r="I634" i="39"/>
  <c r="I635" i="39"/>
  <c r="I636" i="39"/>
  <c r="I637" i="39"/>
  <c r="I638" i="39"/>
  <c r="I639" i="39"/>
  <c r="I640" i="39"/>
  <c r="I641" i="39"/>
  <c r="I642" i="39"/>
  <c r="I643" i="39"/>
  <c r="I644" i="39"/>
  <c r="I650" i="39"/>
  <c r="I651" i="39"/>
  <c r="I652" i="39"/>
  <c r="I653" i="39"/>
  <c r="I654" i="39"/>
  <c r="I655" i="39"/>
  <c r="I656" i="39"/>
  <c r="I657" i="39"/>
  <c r="I658" i="39"/>
  <c r="I659" i="39"/>
  <c r="I660" i="39"/>
  <c r="I661" i="39"/>
  <c r="I662"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52" i="39"/>
  <c r="I753" i="39"/>
  <c r="I754" i="39"/>
  <c r="I755" i="39"/>
  <c r="I756" i="39"/>
  <c r="I757" i="39"/>
  <c r="I758" i="39"/>
  <c r="I759" i="39"/>
  <c r="I760" i="39"/>
  <c r="I761" i="39"/>
  <c r="I762" i="39"/>
  <c r="I763" i="39"/>
  <c r="I764" i="39"/>
  <c r="I765" i="39"/>
  <c r="I766" i="39"/>
  <c r="I767" i="39"/>
  <c r="I768" i="39"/>
  <c r="I769" i="39"/>
  <c r="I770" i="39"/>
  <c r="I795" i="39"/>
  <c r="I796" i="39"/>
  <c r="I797" i="39"/>
  <c r="I798" i="39"/>
  <c r="I799" i="39"/>
  <c r="I800" i="39"/>
  <c r="I801" i="39"/>
  <c r="I802" i="39"/>
  <c r="I873" i="39"/>
  <c r="I874" i="39"/>
  <c r="I875" i="39"/>
  <c r="I876" i="39"/>
  <c r="I877" i="39"/>
  <c r="I878" i="39"/>
  <c r="I879" i="39"/>
  <c r="I880" i="39"/>
  <c r="I881" i="39"/>
  <c r="I882" i="39"/>
  <c r="I883" i="39"/>
  <c r="I884" i="39"/>
  <c r="I885" i="39"/>
  <c r="I886" i="39"/>
  <c r="I887" i="39"/>
  <c r="I888" i="39"/>
  <c r="I889" i="39"/>
  <c r="I890" i="39"/>
  <c r="I891"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4" i="39"/>
  <c r="I985" i="39"/>
  <c r="I986" i="39"/>
  <c r="I987" i="39"/>
  <c r="I988" i="39"/>
  <c r="I989" i="39"/>
  <c r="I990" i="39"/>
  <c r="I991" i="39"/>
  <c r="I992"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92" i="39"/>
  <c r="I1096" i="39"/>
  <c r="I1097" i="39"/>
  <c r="I1098" i="39"/>
  <c r="I1099" i="39"/>
  <c r="I1102" i="39"/>
  <c r="I1103" i="39"/>
  <c r="I1104" i="39"/>
  <c r="I1105" i="39"/>
  <c r="I1106" i="39"/>
  <c r="I1107" i="39"/>
  <c r="I1108" i="39"/>
  <c r="I1109" i="39"/>
  <c r="I1110" i="39"/>
  <c r="I1111" i="39"/>
  <c r="I1112" i="39"/>
  <c r="I1113" i="39"/>
  <c r="I1114" i="39"/>
  <c r="I1115" i="39"/>
  <c r="I1116" i="39"/>
  <c r="I1118"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5" i="39"/>
  <c r="I1296" i="39"/>
  <c r="I1297" i="39"/>
  <c r="I1298" i="39"/>
  <c r="I1299" i="39"/>
  <c r="I1300" i="39"/>
  <c r="I1301" i="39"/>
  <c r="I1302" i="39"/>
  <c r="I1303" i="39"/>
  <c r="I1304" i="39"/>
  <c r="I1305" i="39"/>
  <c r="I1306" i="39"/>
  <c r="I1307" i="39"/>
  <c r="I1308" i="39"/>
  <c r="I1309" i="39"/>
  <c r="I1310" i="39"/>
  <c r="I1329" i="39"/>
  <c r="I1330" i="39"/>
  <c r="I1331" i="39"/>
  <c r="I1332" i="39"/>
  <c r="I1333" i="39"/>
  <c r="I1334" i="39"/>
  <c r="I1335" i="39"/>
  <c r="I1336" i="39"/>
  <c r="I1337" i="39"/>
  <c r="I1338" i="39"/>
  <c r="I1339" i="39"/>
  <c r="I1340" i="39"/>
  <c r="I1341" i="39"/>
  <c r="I1342" i="39"/>
  <c r="I1343" i="39"/>
  <c r="I1344" i="39"/>
  <c r="I1345"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609" i="39"/>
  <c r="I1610" i="39"/>
  <c r="I1611" i="39"/>
  <c r="I1612" i="39"/>
  <c r="I1613" i="39"/>
  <c r="I1614" i="39"/>
  <c r="I1615" i="39"/>
  <c r="I1616" i="39"/>
  <c r="I1617" i="39"/>
  <c r="I1618" i="39"/>
  <c r="I1619" i="39"/>
  <c r="I1620" i="39"/>
  <c r="I1621" i="39"/>
  <c r="I1622" i="39"/>
  <c r="I1623" i="39"/>
  <c r="I1624" i="39"/>
  <c r="I1626" i="39"/>
  <c r="I1627" i="39"/>
  <c r="I1628" i="39"/>
  <c r="I1629" i="39"/>
  <c r="I1630" i="39"/>
  <c r="I1631" i="39"/>
  <c r="I1632" i="39"/>
  <c r="I1633" i="39"/>
  <c r="I1634" i="39"/>
  <c r="I1635" i="39"/>
  <c r="I1637" i="39"/>
  <c r="I1638" i="39"/>
  <c r="I1639" i="39"/>
  <c r="I1640" i="39"/>
  <c r="I1641" i="39"/>
  <c r="I1642" i="39"/>
  <c r="I1643" i="39"/>
  <c r="I1644" i="39"/>
  <c r="I1645" i="39"/>
  <c r="I1646" i="39"/>
  <c r="I1647" i="39"/>
  <c r="I1648" i="39"/>
  <c r="I1649" i="39"/>
  <c r="I1650" i="39"/>
  <c r="I1651" i="39"/>
  <c r="I1653" i="39"/>
  <c r="I1654" i="39"/>
  <c r="I1655" i="39"/>
  <c r="I1656" i="39"/>
  <c r="I1657" i="39"/>
  <c r="I1658" i="39"/>
  <c r="I1661" i="39"/>
  <c r="I1663" i="39"/>
  <c r="I1664" i="39"/>
  <c r="I1665" i="39"/>
  <c r="I1666" i="39"/>
  <c r="I1667" i="39"/>
  <c r="I1668" i="39"/>
  <c r="I1669" i="39"/>
  <c r="I1670" i="39"/>
  <c r="I1671" i="39"/>
  <c r="I1672" i="39"/>
  <c r="I1673" i="39"/>
  <c r="I1674" i="39"/>
  <c r="I1675" i="39"/>
  <c r="I1676" i="39"/>
  <c r="I1678" i="39"/>
  <c r="I1679" i="39"/>
  <c r="I1680" i="39"/>
  <c r="I1681" i="39"/>
  <c r="I1682" i="39"/>
  <c r="I1683" i="39"/>
  <c r="I1684" i="39"/>
  <c r="I1685" i="39"/>
  <c r="I1705" i="39"/>
  <c r="I1706" i="39"/>
  <c r="I1707" i="39"/>
  <c r="I1708" i="39"/>
  <c r="I1709" i="39"/>
  <c r="I1710" i="39"/>
  <c r="I1711" i="39"/>
  <c r="I1712" i="39"/>
  <c r="I1713" i="39"/>
  <c r="I1714" i="39"/>
  <c r="I1715" i="39"/>
  <c r="I1716" i="39"/>
  <c r="I1717" i="39"/>
  <c r="I1718" i="39"/>
  <c r="I1719" i="39"/>
  <c r="I1720" i="39"/>
  <c r="I1721" i="39"/>
  <c r="I1722" i="39"/>
  <c r="I1759" i="39"/>
  <c r="I1760" i="39"/>
  <c r="I1762" i="39"/>
  <c r="I1763" i="39"/>
  <c r="I1764" i="39"/>
  <c r="I1765" i="39"/>
  <c r="I1766" i="39"/>
  <c r="I1767" i="39"/>
  <c r="I1768" i="39"/>
  <c r="I1769" i="39"/>
  <c r="I1770" i="39"/>
  <c r="I1771" i="39"/>
  <c r="I1772" i="39"/>
  <c r="I1773" i="39"/>
  <c r="I1774" i="39"/>
  <c r="I1775" i="39"/>
  <c r="I1776" i="39"/>
  <c r="I1777" i="39"/>
  <c r="I1778" i="39"/>
  <c r="I1779" i="39"/>
  <c r="I1780" i="39"/>
  <c r="I1782" i="39"/>
  <c r="I1969" i="39"/>
  <c r="I1970" i="39"/>
  <c r="I1971" i="39"/>
  <c r="I1972" i="39"/>
  <c r="I1973" i="39"/>
  <c r="I1974" i="39"/>
  <c r="I1975" i="39"/>
  <c r="I1976" i="39"/>
  <c r="I1977" i="39"/>
  <c r="I1978" i="39"/>
  <c r="I1979" i="39"/>
  <c r="I1980" i="39"/>
  <c r="I1981" i="39"/>
  <c r="I1982" i="39"/>
  <c r="I1983" i="39"/>
  <c r="I1984" i="39"/>
  <c r="I1995" i="39"/>
  <c r="I1996" i="39"/>
  <c r="I1997" i="39"/>
  <c r="I1998" i="39"/>
  <c r="I1999" i="39"/>
  <c r="I2000" i="39"/>
  <c r="I2001" i="39"/>
  <c r="I2002" i="39"/>
  <c r="I2040" i="39"/>
  <c r="I2041" i="39"/>
  <c r="I2042" i="39"/>
  <c r="I2043" i="39"/>
  <c r="I2044" i="39"/>
  <c r="I2045" i="39"/>
  <c r="I2046" i="39"/>
  <c r="I2" i="39"/>
  <c r="AC1576" i="39"/>
  <c r="AA1576" i="39"/>
  <c r="AC2046" i="39"/>
  <c r="AA2046" i="39"/>
  <c r="AC2045" i="39"/>
  <c r="AA2045" i="39"/>
  <c r="AC2044" i="39"/>
  <c r="AA2044" i="39"/>
  <c r="AC2043" i="39"/>
  <c r="AA2043" i="39"/>
  <c r="AC2042" i="39"/>
  <c r="AA2042" i="39"/>
  <c r="AC2041" i="39"/>
  <c r="AA2041" i="39"/>
  <c r="F2041" i="39"/>
  <c r="AC2040" i="39"/>
  <c r="AA2040" i="39"/>
  <c r="C2040" i="39"/>
  <c r="U2040" i="39" s="1"/>
  <c r="AC2002" i="39"/>
  <c r="AA2002" i="39"/>
  <c r="AC2001" i="39"/>
  <c r="AA2001" i="39"/>
  <c r="AC2000" i="39"/>
  <c r="AA2000" i="39"/>
  <c r="AC1999" i="39"/>
  <c r="AA1999" i="39"/>
  <c r="AC1998" i="39"/>
  <c r="AA1998" i="39"/>
  <c r="AC1997" i="39"/>
  <c r="AA1997" i="39"/>
  <c r="AC1996" i="39"/>
  <c r="AA1996" i="39"/>
  <c r="F1996" i="39"/>
  <c r="AC1995" i="39"/>
  <c r="AA1995" i="39"/>
  <c r="C1995" i="39"/>
  <c r="U1995" i="39" s="1"/>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F1970" i="39"/>
  <c r="AC1969" i="39"/>
  <c r="AA1969" i="39"/>
  <c r="C1969" i="39"/>
  <c r="U1969" i="39" s="1"/>
  <c r="AC1782" i="39"/>
  <c r="AA1782"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0" i="39"/>
  <c r="AA1760" i="39"/>
  <c r="C1760" i="39"/>
  <c r="U1760" i="39" s="1"/>
  <c r="AC1759" i="39"/>
  <c r="AA1759"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F1711" i="39"/>
  <c r="AC1710" i="39"/>
  <c r="AA1710" i="39"/>
  <c r="C1710" i="39"/>
  <c r="U1710" i="39" s="1"/>
  <c r="AC1709" i="39"/>
  <c r="AA1709" i="39"/>
  <c r="AC1708" i="39"/>
  <c r="AA1708" i="39"/>
  <c r="AC1707" i="39"/>
  <c r="AA1707" i="39"/>
  <c r="AC1706" i="39"/>
  <c r="AA1706" i="39"/>
  <c r="F1706" i="39"/>
  <c r="AC1705" i="39"/>
  <c r="AA1705" i="39"/>
  <c r="C1705" i="39"/>
  <c r="U1705" i="39" s="1"/>
  <c r="AC1685" i="39"/>
  <c r="AA1685" i="39"/>
  <c r="AC1684" i="39"/>
  <c r="AA1684" i="39"/>
  <c r="AC1683" i="39"/>
  <c r="AA1683" i="39"/>
  <c r="F1683" i="39"/>
  <c r="AC1682" i="39"/>
  <c r="AA1682" i="39"/>
  <c r="C1682" i="39"/>
  <c r="U1682" i="39" s="1"/>
  <c r="AC1681" i="39"/>
  <c r="AA1681" i="39"/>
  <c r="AC1680" i="39"/>
  <c r="AA1680" i="39"/>
  <c r="AC1679" i="39"/>
  <c r="AA1679" i="39"/>
  <c r="AC1678" i="39"/>
  <c r="AA1678"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1" i="39"/>
  <c r="AA1661" i="39"/>
  <c r="AC1658" i="39"/>
  <c r="AA1658" i="39"/>
  <c r="AC1657" i="39"/>
  <c r="AA1657" i="39"/>
  <c r="AC1656" i="39"/>
  <c r="AA1656" i="39"/>
  <c r="AC1655" i="39"/>
  <c r="AA1655" i="39"/>
  <c r="AC1654" i="39"/>
  <c r="AA1654" i="39"/>
  <c r="AC1653" i="39"/>
  <c r="AA1653"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4" i="39"/>
  <c r="AA1624" i="39"/>
  <c r="AC1623" i="39"/>
  <c r="AA1623" i="39"/>
  <c r="AC1622" i="39"/>
  <c r="AA1622" i="39"/>
  <c r="AC1621" i="39"/>
  <c r="AA1621" i="39"/>
  <c r="AC1620" i="39"/>
  <c r="AA1620" i="39"/>
  <c r="AC1619" i="39"/>
  <c r="AA1619" i="39"/>
  <c r="AC1618" i="39"/>
  <c r="AA1618" i="39"/>
  <c r="AC1617" i="39"/>
  <c r="AA1617" i="39"/>
  <c r="AC1616" i="39"/>
  <c r="AA1616" i="39"/>
  <c r="F1616" i="39"/>
  <c r="AC1615" i="39"/>
  <c r="AA1615" i="39"/>
  <c r="C1615" i="39"/>
  <c r="U1615" i="39" s="1"/>
  <c r="AC1614" i="39"/>
  <c r="AA1614" i="39"/>
  <c r="AC1613" i="39"/>
  <c r="AA1613" i="39"/>
  <c r="AC1612" i="39"/>
  <c r="AA1612" i="39"/>
  <c r="AC1611" i="39"/>
  <c r="AA1611" i="39"/>
  <c r="AC1610" i="39"/>
  <c r="AA1610" i="39"/>
  <c r="F1610" i="39"/>
  <c r="AC1609" i="39"/>
  <c r="AA1609" i="39"/>
  <c r="C1609" i="39"/>
  <c r="U1609" i="39" s="1"/>
  <c r="AC1583" i="39"/>
  <c r="AA1583" i="39"/>
  <c r="AC1582" i="39"/>
  <c r="AA1582" i="39"/>
  <c r="AC1581" i="39"/>
  <c r="AA1581" i="39"/>
  <c r="AC1580" i="39"/>
  <c r="AA1580" i="39"/>
  <c r="AC1579" i="39"/>
  <c r="AA1579" i="39"/>
  <c r="F1579" i="39"/>
  <c r="AC1578" i="39"/>
  <c r="AA1578" i="39"/>
  <c r="C1578" i="39"/>
  <c r="U1578" i="39" s="1"/>
  <c r="AC1577" i="39"/>
  <c r="AA1577"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F1560" i="39"/>
  <c r="AC1559" i="39"/>
  <c r="AA1559" i="39"/>
  <c r="C1559" i="39"/>
  <c r="U1559" i="39" s="1"/>
  <c r="AC1558" i="39"/>
  <c r="AA1558" i="39"/>
  <c r="F1558" i="39"/>
  <c r="AC1557" i="39"/>
  <c r="AA1557" i="39"/>
  <c r="C1557" i="39"/>
  <c r="U1557" i="39" s="1"/>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F1529" i="39"/>
  <c r="AC1528" i="39"/>
  <c r="AA1528" i="39"/>
  <c r="C1528" i="39"/>
  <c r="U1528" i="39" s="1"/>
  <c r="AC1506" i="39"/>
  <c r="AA1506" i="39"/>
  <c r="AC1505" i="39"/>
  <c r="AA1505" i="39"/>
  <c r="AC1504" i="39"/>
  <c r="AA1504" i="39"/>
  <c r="AC1503" i="39"/>
  <c r="AA1503" i="39"/>
  <c r="AC1502" i="39"/>
  <c r="AA1502" i="39"/>
  <c r="F1502" i="39"/>
  <c r="AC1501" i="39"/>
  <c r="AA1501" i="39"/>
  <c r="C1501" i="39"/>
  <c r="U1501" i="39" s="1"/>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F1482" i="39"/>
  <c r="AC1481" i="39"/>
  <c r="AA1481" i="39"/>
  <c r="C1481" i="39"/>
  <c r="U1481" i="39" s="1"/>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F1469" i="39"/>
  <c r="AC1468" i="39"/>
  <c r="AA1468" i="39"/>
  <c r="C1468" i="39"/>
  <c r="U1468" i="39" s="1"/>
  <c r="AC1446" i="39"/>
  <c r="AA1446" i="39"/>
  <c r="AC1445" i="39"/>
  <c r="AA1445" i="39"/>
  <c r="AC1444" i="39"/>
  <c r="AA1444" i="39"/>
  <c r="AC1443" i="39"/>
  <c r="AA1443" i="39"/>
  <c r="AC1442" i="39"/>
  <c r="AA1442" i="39"/>
  <c r="AC1441" i="39"/>
  <c r="AA1441" i="39"/>
  <c r="AC1440" i="39"/>
  <c r="AA1440" i="39"/>
  <c r="F1440" i="39"/>
  <c r="AC1439" i="39"/>
  <c r="AA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F1422" i="39"/>
  <c r="AC1421" i="39"/>
  <c r="AA1421" i="39"/>
  <c r="C1421" i="39"/>
  <c r="U1421" i="39" s="1"/>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F1408" i="39"/>
  <c r="AC1407" i="39"/>
  <c r="AA1407" i="39"/>
  <c r="C1407" i="39"/>
  <c r="U1407" i="39" s="1"/>
  <c r="AC1345" i="39"/>
  <c r="AA1345" i="39"/>
  <c r="AC1344" i="39"/>
  <c r="AA1344" i="39"/>
  <c r="AC1343" i="39"/>
  <c r="AA1343" i="39"/>
  <c r="F1343" i="39"/>
  <c r="AC1342" i="39"/>
  <c r="AA1342" i="39"/>
  <c r="C1342" i="39"/>
  <c r="U1342" i="39" s="1"/>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F1330" i="39"/>
  <c r="AC1329" i="39"/>
  <c r="AA1329" i="39"/>
  <c r="C1329" i="39"/>
  <c r="U1329" i="39" s="1"/>
  <c r="AC1310" i="39"/>
  <c r="AA1310" i="39"/>
  <c r="AC1309" i="39"/>
  <c r="AA1309" i="39"/>
  <c r="AC1308" i="39"/>
  <c r="AA1308" i="39"/>
  <c r="AC1307" i="39"/>
  <c r="AA1307" i="39"/>
  <c r="AC1306" i="39"/>
  <c r="AA1306" i="39"/>
  <c r="F1306" i="39"/>
  <c r="AC1305" i="39"/>
  <c r="AA1305" i="39"/>
  <c r="C1305" i="39"/>
  <c r="U1305" i="39" s="1"/>
  <c r="AC1304" i="39"/>
  <c r="AA1304" i="39"/>
  <c r="AC1303" i="39"/>
  <c r="AA1303" i="39"/>
  <c r="AC1302" i="39"/>
  <c r="AA1302" i="39"/>
  <c r="AC1301" i="39"/>
  <c r="AA1301" i="39"/>
  <c r="AC1300" i="39"/>
  <c r="AA1300" i="39"/>
  <c r="AC1299" i="39"/>
  <c r="AA1299" i="39"/>
  <c r="AC1298" i="39"/>
  <c r="AA1298" i="39"/>
  <c r="AC1297" i="39"/>
  <c r="AA1297" i="39"/>
  <c r="AC1296" i="39"/>
  <c r="AA1296" i="39"/>
  <c r="F1296" i="39"/>
  <c r="AC1295" i="39"/>
  <c r="AA1295" i="39"/>
  <c r="C1295" i="39"/>
  <c r="U1295" i="39" s="1"/>
  <c r="AC1290" i="39"/>
  <c r="AA1290" i="39"/>
  <c r="AC1289" i="39"/>
  <c r="AA1289" i="39"/>
  <c r="F1289" i="39"/>
  <c r="AC1288" i="39"/>
  <c r="AA1288" i="39"/>
  <c r="F1288" i="39"/>
  <c r="AC1287" i="39"/>
  <c r="AA1287" i="39"/>
  <c r="C1287" i="39"/>
  <c r="U1287" i="39" s="1"/>
  <c r="AC1286" i="39"/>
  <c r="AA1286" i="39"/>
  <c r="C1286" i="39"/>
  <c r="U1286" i="39" s="1"/>
  <c r="AC1285" i="39"/>
  <c r="AA1285" i="39"/>
  <c r="C1285" i="39"/>
  <c r="U1285" i="39" s="1"/>
  <c r="AC1284" i="39"/>
  <c r="AA1284" i="39"/>
  <c r="C1284" i="39"/>
  <c r="U1284" i="39" s="1"/>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C1272" i="39"/>
  <c r="AA1272" i="39"/>
  <c r="AC1271" i="39"/>
  <c r="AA1271" i="39"/>
  <c r="AC1270" i="39"/>
  <c r="AA1270" i="39"/>
  <c r="F1270" i="39"/>
  <c r="AC1269" i="39"/>
  <c r="AA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F1256" i="39"/>
  <c r="AC1255" i="39"/>
  <c r="AA1255" i="39"/>
  <c r="C1255" i="39"/>
  <c r="U1255" i="39" s="1"/>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U122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C1198" i="39"/>
  <c r="U1198" i="39" s="1"/>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AC1183" i="39"/>
  <c r="AA1183" i="39"/>
  <c r="F1183" i="39"/>
  <c r="AC1182" i="39"/>
  <c r="AA1182" i="39"/>
  <c r="C1182" i="39"/>
  <c r="U1182" i="39" s="1"/>
  <c r="AC1118" i="39"/>
  <c r="AA1118"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099" i="39"/>
  <c r="AA1099" i="39"/>
  <c r="AC1098" i="39"/>
  <c r="AA1098" i="39"/>
  <c r="AC1097" i="39"/>
  <c r="AA1097" i="39"/>
  <c r="AC1096" i="39"/>
  <c r="AA1096" i="39"/>
  <c r="AC1092" i="39"/>
  <c r="AA1092" i="39"/>
  <c r="C1092" i="39"/>
  <c r="U1092" i="39" s="1"/>
  <c r="AC1049" i="39"/>
  <c r="AA1049" i="39"/>
  <c r="AC1048" i="39"/>
  <c r="AA1048" i="39"/>
  <c r="F1048" i="39"/>
  <c r="AC1047" i="39"/>
  <c r="AA1047" i="39"/>
  <c r="C1047" i="39"/>
  <c r="U1047" i="39" s="1"/>
  <c r="AC1046" i="39"/>
  <c r="AA1046" i="39"/>
  <c r="AC1045" i="39"/>
  <c r="AA1045" i="39"/>
  <c r="AC1044" i="39"/>
  <c r="AA1044" i="39"/>
  <c r="AC1043" i="39"/>
  <c r="AA1043" i="39"/>
  <c r="AC1042" i="39"/>
  <c r="AA1042" i="39"/>
  <c r="AC1041" i="39"/>
  <c r="AA1041" i="39"/>
  <c r="AC1040" i="39"/>
  <c r="AA1040" i="39"/>
  <c r="F1040" i="39"/>
  <c r="AC1039" i="39"/>
  <c r="AA1039" i="39"/>
  <c r="C1039" i="39"/>
  <c r="U1039" i="39" s="1"/>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F1007" i="39"/>
  <c r="AC1006" i="39"/>
  <c r="AA1006" i="39"/>
  <c r="C1006" i="39"/>
  <c r="U1006" i="39" s="1"/>
  <c r="AC1005" i="39"/>
  <c r="AA1005" i="39"/>
  <c r="AC1004" i="39"/>
  <c r="AA1004" i="39"/>
  <c r="AC1003" i="39"/>
  <c r="AA1003" i="39"/>
  <c r="AC1002" i="39"/>
  <c r="AA1002" i="39"/>
  <c r="AC1001" i="39"/>
  <c r="AA1001" i="39"/>
  <c r="AC1000" i="39"/>
  <c r="AA1000" i="39"/>
  <c r="AC999" i="39"/>
  <c r="AA999" i="39"/>
  <c r="AC998" i="39"/>
  <c r="AA998" i="39"/>
  <c r="AC997" i="39"/>
  <c r="AA997" i="39"/>
  <c r="AC995" i="39"/>
  <c r="AA995" i="39"/>
  <c r="AC994" i="39"/>
  <c r="AA994" i="39"/>
  <c r="AC992" i="39"/>
  <c r="AA992" i="39"/>
  <c r="AC991" i="39"/>
  <c r="AA991" i="39"/>
  <c r="AC990" i="39"/>
  <c r="AA990" i="39"/>
  <c r="AC989" i="39"/>
  <c r="AA989" i="39"/>
  <c r="AC988" i="39"/>
  <c r="AA988" i="39"/>
  <c r="AC987" i="39"/>
  <c r="AA987" i="39"/>
  <c r="AC986" i="39"/>
  <c r="AA986" i="39"/>
  <c r="AC985" i="39"/>
  <c r="AA985" i="39"/>
  <c r="AC984" i="39"/>
  <c r="AA984"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C960" i="39"/>
  <c r="U960" i="39" s="1"/>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F945" i="39"/>
  <c r="AC944" i="39"/>
  <c r="AA944" i="39"/>
  <c r="C944" i="39"/>
  <c r="U944" i="39" s="1"/>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896" i="39"/>
  <c r="AA896" i="39"/>
  <c r="AC895" i="39"/>
  <c r="AA895" i="39"/>
  <c r="AC894" i="39"/>
  <c r="AA894" i="39"/>
  <c r="F894" i="39"/>
  <c r="AC893" i="39"/>
  <c r="AA893"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F874" i="39"/>
  <c r="AC873" i="39"/>
  <c r="AA873" i="39"/>
  <c r="C873" i="39"/>
  <c r="U873" i="39" s="1"/>
  <c r="X1855" i="39" l="1"/>
  <c r="V1469" i="39"/>
  <c r="Y1469" i="39"/>
  <c r="V227" i="39"/>
  <c r="Y227" i="39"/>
  <c r="V621" i="39"/>
  <c r="Y621" i="39"/>
  <c r="V1945" i="39"/>
  <c r="Y1945" i="39"/>
  <c r="V1855" i="39"/>
  <c r="Y1855" i="39"/>
  <c r="X1945" i="39"/>
  <c r="X1946" i="39" s="1"/>
  <c r="V1692" i="39"/>
  <c r="Y1692" i="39"/>
  <c r="V184" i="39"/>
  <c r="Y184" i="39"/>
  <c r="V2041" i="39"/>
  <c r="Y2041" i="39"/>
  <c r="X2041" i="39"/>
  <c r="Y122" i="39"/>
  <c r="V122" i="39"/>
  <c r="V1408" i="39"/>
  <c r="Y1408" i="39"/>
  <c r="V1149" i="39"/>
  <c r="Y1149" i="39"/>
  <c r="V1520" i="39"/>
  <c r="Y1520" i="39"/>
  <c r="V1294" i="39"/>
  <c r="X1295" i="39"/>
  <c r="X1296" i="39" s="1"/>
  <c r="Y1294" i="39"/>
  <c r="V1866" i="39"/>
  <c r="Y1866" i="39"/>
  <c r="V520" i="39"/>
  <c r="Y520" i="39"/>
  <c r="V1529" i="39"/>
  <c r="Y1529" i="39"/>
  <c r="V1183" i="39"/>
  <c r="X1184" i="39"/>
  <c r="X1185" i="39" s="1"/>
  <c r="X1186" i="39" s="1"/>
  <c r="Y1183" i="39"/>
  <c r="V945" i="39"/>
  <c r="Y945" i="39"/>
  <c r="Y1185" i="39"/>
  <c r="V1185" i="39"/>
  <c r="V1440" i="39"/>
  <c r="Y1440" i="39"/>
  <c r="V1502" i="39"/>
  <c r="Y1502" i="39"/>
  <c r="V1610" i="39"/>
  <c r="Y1610" i="39"/>
  <c r="X1610" i="39"/>
  <c r="V20" i="39"/>
  <c r="Y20" i="39"/>
  <c r="V869" i="39"/>
  <c r="Y869" i="39"/>
  <c r="V1288" i="39"/>
  <c r="X1288" i="39"/>
  <c r="X1289" i="39" s="1"/>
  <c r="Y1288" i="39"/>
  <c r="V1996" i="39"/>
  <c r="Y1996" i="39"/>
  <c r="X1996" i="39"/>
  <c r="V1094" i="39"/>
  <c r="Y1094" i="39"/>
  <c r="V1040" i="39"/>
  <c r="Y1040" i="39"/>
  <c r="V1560" i="39"/>
  <c r="Y1560" i="39"/>
  <c r="V1270" i="39"/>
  <c r="Y1270" i="39"/>
  <c r="V1482" i="39"/>
  <c r="Y1482" i="39"/>
  <c r="V37" i="39"/>
  <c r="Y37" i="39"/>
  <c r="V1799" i="39"/>
  <c r="Y1799" i="39"/>
  <c r="V1313" i="39"/>
  <c r="Y1313" i="39"/>
  <c r="X794" i="39"/>
  <c r="V1289" i="39"/>
  <c r="Y1289" i="39"/>
  <c r="V1330" i="39"/>
  <c r="Y1330" i="39"/>
  <c r="V1683" i="39"/>
  <c r="Y1683" i="39"/>
  <c r="V1711" i="39"/>
  <c r="Y1711" i="39"/>
  <c r="V466" i="39"/>
  <c r="X467" i="39"/>
  <c r="Y466" i="39"/>
  <c r="X1520" i="39"/>
  <c r="V1449" i="39"/>
  <c r="Y1449" i="39"/>
  <c r="V484" i="39"/>
  <c r="Y484" i="39"/>
  <c r="V750" i="39"/>
  <c r="Y750" i="39"/>
  <c r="V1872" i="39"/>
  <c r="Y1872" i="39"/>
  <c r="X795" i="39"/>
  <c r="Y794" i="39"/>
  <c r="V794" i="39"/>
  <c r="Y1785" i="39"/>
  <c r="V1785" i="39"/>
  <c r="V647" i="39"/>
  <c r="Y647" i="39"/>
  <c r="V962" i="39"/>
  <c r="Y962" i="39"/>
  <c r="V1616" i="39"/>
  <c r="Y1616" i="39"/>
  <c r="V1706" i="39"/>
  <c r="Y1706" i="39"/>
  <c r="V1726" i="39"/>
  <c r="Y1726" i="39"/>
  <c r="V1965" i="39"/>
  <c r="Y1965" i="39"/>
  <c r="V894" i="39"/>
  <c r="Y894" i="39"/>
  <c r="V1199" i="39"/>
  <c r="Y1199" i="39"/>
  <c r="V1558" i="39"/>
  <c r="Y1558" i="39"/>
  <c r="X1559" i="39"/>
  <c r="X1560" i="39" s="1"/>
  <c r="V1579" i="39"/>
  <c r="Y1579" i="39"/>
  <c r="X1692" i="39"/>
  <c r="V874" i="39"/>
  <c r="Y874" i="39"/>
  <c r="V1048" i="39"/>
  <c r="Y1048" i="39"/>
  <c r="V1356" i="39"/>
  <c r="Y1356" i="39"/>
  <c r="V898" i="39"/>
  <c r="Y898" i="39"/>
  <c r="V479" i="39"/>
  <c r="Y479" i="39"/>
  <c r="V1256" i="39"/>
  <c r="Y1256" i="39"/>
  <c r="V1694" i="39"/>
  <c r="Y1694" i="39"/>
  <c r="V1343" i="39"/>
  <c r="Y1343" i="39"/>
  <c r="V1805" i="39"/>
  <c r="X1806" i="39"/>
  <c r="X1807" i="39" s="1"/>
  <c r="Y1805" i="39"/>
  <c r="V164" i="39"/>
  <c r="Y164" i="39"/>
  <c r="V478" i="39"/>
  <c r="Y478" i="39"/>
  <c r="V1725" i="39"/>
  <c r="Y1725" i="39"/>
  <c r="X1095" i="39"/>
  <c r="V1422" i="39"/>
  <c r="Y1422" i="39"/>
  <c r="V1007" i="39"/>
  <c r="Y1007" i="39"/>
  <c r="Y1970" i="39"/>
  <c r="V1970" i="39"/>
  <c r="V652" i="39"/>
  <c r="Y652" i="39"/>
  <c r="V1223" i="39"/>
  <c r="Y1223" i="39"/>
  <c r="V1274" i="39"/>
  <c r="Y1274" i="39"/>
  <c r="V1296" i="39"/>
  <c r="Y1296" i="39"/>
  <c r="V1306" i="39"/>
  <c r="Y1306" i="39"/>
  <c r="V805" i="39"/>
  <c r="Y805" i="39"/>
  <c r="V1810" i="39"/>
  <c r="Y1810" i="39"/>
  <c r="V396" i="39"/>
  <c r="Y396" i="39"/>
  <c r="V2013" i="39"/>
  <c r="Y2013" i="39"/>
  <c r="F870" i="39"/>
  <c r="C869" i="39"/>
  <c r="U869" i="39" s="1"/>
  <c r="F1150" i="39"/>
  <c r="C1149" i="39"/>
  <c r="U1149" i="39" s="1"/>
  <c r="F1856" i="39"/>
  <c r="X1856" i="39" s="1"/>
  <c r="C1855" i="39"/>
  <c r="U1855" i="39" s="1"/>
  <c r="C184" i="39"/>
  <c r="U184" i="39" s="1"/>
  <c r="F185" i="39"/>
  <c r="F1727" i="39"/>
  <c r="C1726" i="39"/>
  <c r="U1726" i="39" s="1"/>
  <c r="F123" i="39"/>
  <c r="C1761" i="39"/>
  <c r="U1761" i="39" s="1"/>
  <c r="C2013" i="39"/>
  <c r="U2013" i="39" s="1"/>
  <c r="F2014" i="39"/>
  <c r="C1356" i="39"/>
  <c r="U1356" i="39" s="1"/>
  <c r="F1357" i="39"/>
  <c r="F653" i="39"/>
  <c r="F963" i="39"/>
  <c r="F751" i="39"/>
  <c r="C1313" i="39"/>
  <c r="U1313" i="39" s="1"/>
  <c r="F1314" i="39"/>
  <c r="F1966" i="39"/>
  <c r="F1095" i="39"/>
  <c r="C122" i="39"/>
  <c r="U122" i="39" s="1"/>
  <c r="C1965" i="39"/>
  <c r="U1965" i="39" s="1"/>
  <c r="F521" i="39"/>
  <c r="C520" i="39"/>
  <c r="U520" i="39" s="1"/>
  <c r="C1945" i="39"/>
  <c r="U1945" i="39" s="1"/>
  <c r="F1946" i="39"/>
  <c r="C478" i="39"/>
  <c r="U478" i="39" s="1"/>
  <c r="C479" i="39"/>
  <c r="U479" i="39" s="1"/>
  <c r="F480" i="39"/>
  <c r="C794" i="39"/>
  <c r="U794" i="39" s="1"/>
  <c r="C396" i="39"/>
  <c r="U396" i="39" s="1"/>
  <c r="F397" i="39"/>
  <c r="C164" i="39"/>
  <c r="U164" i="39" s="1"/>
  <c r="F165" i="39"/>
  <c r="C1872" i="39"/>
  <c r="U1872" i="39" s="1"/>
  <c r="C484" i="39"/>
  <c r="U484" i="39" s="1"/>
  <c r="F485" i="39"/>
  <c r="F648" i="39"/>
  <c r="C647" i="39"/>
  <c r="U647" i="39" s="1"/>
  <c r="C1799" i="39"/>
  <c r="U1799" i="39" s="1"/>
  <c r="F1873" i="39"/>
  <c r="F1800" i="39"/>
  <c r="C1866" i="39"/>
  <c r="U1866" i="39" s="1"/>
  <c r="F1867" i="39"/>
  <c r="F1695" i="39"/>
  <c r="C1692" i="39"/>
  <c r="U1692" i="39" s="1"/>
  <c r="F1521" i="39"/>
  <c r="C1520" i="39"/>
  <c r="U1520" i="39" s="1"/>
  <c r="F1693" i="39"/>
  <c r="C621" i="39"/>
  <c r="U621" i="39" s="1"/>
  <c r="F622" i="39"/>
  <c r="C1694" i="39"/>
  <c r="U1694" i="39" s="1"/>
  <c r="F1811" i="39"/>
  <c r="C1810" i="39"/>
  <c r="U1810" i="39" s="1"/>
  <c r="C1805" i="39"/>
  <c r="U1805" i="39" s="1"/>
  <c r="C1785" i="39"/>
  <c r="U1785" i="39" s="1"/>
  <c r="F1786" i="39"/>
  <c r="F1450" i="39"/>
  <c r="C1449" i="39"/>
  <c r="U1449" i="39" s="1"/>
  <c r="F467" i="39"/>
  <c r="C466" i="39"/>
  <c r="U466" i="39" s="1"/>
  <c r="F38" i="39"/>
  <c r="C37" i="39"/>
  <c r="U37" i="39" s="1"/>
  <c r="F21" i="39"/>
  <c r="C20" i="39"/>
  <c r="U20" i="39" s="1"/>
  <c r="C1294" i="39"/>
  <c r="U1294" i="39" s="1"/>
  <c r="F228" i="39"/>
  <c r="C227" i="39"/>
  <c r="U227" i="39" s="1"/>
  <c r="C1725" i="39"/>
  <c r="U1725" i="39" s="1"/>
  <c r="F806" i="39"/>
  <c r="C805" i="39"/>
  <c r="U805" i="39" s="1"/>
  <c r="C894" i="39"/>
  <c r="U894" i="39" s="1"/>
  <c r="C1330" i="39"/>
  <c r="U1330" i="39" s="1"/>
  <c r="F946" i="39"/>
  <c r="C1256" i="39"/>
  <c r="U1256" i="39" s="1"/>
  <c r="F1275" i="39"/>
  <c r="C1616" i="39"/>
  <c r="U1616" i="39" s="1"/>
  <c r="C1422" i="39"/>
  <c r="U1422" i="39" s="1"/>
  <c r="F1562" i="39"/>
  <c r="F1290" i="39"/>
  <c r="F1224" i="39"/>
  <c r="C898" i="39"/>
  <c r="U898" i="39" s="1"/>
  <c r="C1007" i="39"/>
  <c r="U1007" i="39" s="1"/>
  <c r="C1502" i="39"/>
  <c r="U1502" i="39" s="1"/>
  <c r="C1970" i="39"/>
  <c r="U1970" i="39" s="1"/>
  <c r="C1274" i="39"/>
  <c r="U1274" i="39" s="1"/>
  <c r="F895" i="39"/>
  <c r="C1440" i="39"/>
  <c r="U1440" i="39" s="1"/>
  <c r="F875" i="39"/>
  <c r="C1610" i="39"/>
  <c r="U1610" i="39" s="1"/>
  <c r="F1186" i="39"/>
  <c r="F1530" i="39"/>
  <c r="F1200" i="39"/>
  <c r="C2041" i="39"/>
  <c r="U2041" i="39" s="1"/>
  <c r="C961" i="39"/>
  <c r="U961" i="39" s="1"/>
  <c r="F1271" i="39"/>
  <c r="F1272" i="39"/>
  <c r="C1199" i="39"/>
  <c r="U1199" i="39" s="1"/>
  <c r="F1611" i="39"/>
  <c r="C1529" i="39"/>
  <c r="U1529" i="39" s="1"/>
  <c r="C1711" i="39"/>
  <c r="U1711" i="39" s="1"/>
  <c r="F1441" i="39"/>
  <c r="F1257" i="39"/>
  <c r="F1580" i="39"/>
  <c r="C874" i="39"/>
  <c r="U874" i="39" s="1"/>
  <c r="F1041" i="39"/>
  <c r="C1270" i="39"/>
  <c r="U1270" i="39" s="1"/>
  <c r="F1409" i="39"/>
  <c r="F899" i="39"/>
  <c r="F1997" i="39"/>
  <c r="C1185" i="39"/>
  <c r="U1185" i="39" s="1"/>
  <c r="F1712" i="39"/>
  <c r="C1579" i="39"/>
  <c r="U1579" i="39" s="1"/>
  <c r="C1040" i="39"/>
  <c r="U1040" i="39" s="1"/>
  <c r="C1048" i="39"/>
  <c r="U1048" i="39" s="1"/>
  <c r="C1996" i="39"/>
  <c r="U1996" i="39" s="1"/>
  <c r="C945" i="39"/>
  <c r="U945" i="39" s="1"/>
  <c r="C1343" i="39"/>
  <c r="U1343" i="39" s="1"/>
  <c r="F1344" i="39"/>
  <c r="F1008" i="39"/>
  <c r="C1288" i="39"/>
  <c r="U1288" i="39" s="1"/>
  <c r="C1223" i="39"/>
  <c r="U1223" i="39" s="1"/>
  <c r="F1297" i="39"/>
  <c r="C1296" i="39"/>
  <c r="U1296" i="39" s="1"/>
  <c r="C1183" i="39"/>
  <c r="U1183" i="39" s="1"/>
  <c r="C1683" i="39"/>
  <c r="U1683" i="39" s="1"/>
  <c r="F1684" i="39"/>
  <c r="F1423" i="39"/>
  <c r="F1049" i="39"/>
  <c r="C1306" i="39"/>
  <c r="U1306" i="39" s="1"/>
  <c r="F1307" i="39"/>
  <c r="C1408" i="39"/>
  <c r="U1408" i="39" s="1"/>
  <c r="F1617" i="39"/>
  <c r="C1706" i="39"/>
  <c r="U1706" i="39" s="1"/>
  <c r="F1707" i="39"/>
  <c r="C1762" i="39"/>
  <c r="U1762" i="39" s="1"/>
  <c r="F1331" i="39"/>
  <c r="C1289" i="39"/>
  <c r="U1289" i="39" s="1"/>
  <c r="C1560" i="39"/>
  <c r="U1560" i="39" s="1"/>
  <c r="F1561" i="39"/>
  <c r="C1469" i="39"/>
  <c r="U1469" i="39" s="1"/>
  <c r="F1470" i="39"/>
  <c r="C1482" i="39"/>
  <c r="U1482" i="39" s="1"/>
  <c r="F1483" i="39"/>
  <c r="F1563" i="39"/>
  <c r="F1503" i="39"/>
  <c r="C1558" i="39"/>
  <c r="U1558" i="39" s="1"/>
  <c r="F1971" i="39"/>
  <c r="F2042" i="39"/>
  <c r="X2042" i="39" l="1"/>
  <c r="X1521" i="39"/>
  <c r="V1450" i="39"/>
  <c r="Y1450" i="39"/>
  <c r="V1357" i="39"/>
  <c r="Y1357" i="39"/>
  <c r="V1563" i="39"/>
  <c r="Y1563" i="39"/>
  <c r="V1786" i="39"/>
  <c r="Y1786" i="39"/>
  <c r="V1611" i="39"/>
  <c r="Y1611" i="39"/>
  <c r="Y1271" i="39"/>
  <c r="V1271" i="39"/>
  <c r="V123" i="39"/>
  <c r="Y123" i="39"/>
  <c r="X124" i="39"/>
  <c r="X125" i="39" s="1"/>
  <c r="X126" i="39" s="1"/>
  <c r="X127" i="39" s="1"/>
  <c r="X128" i="39" s="1"/>
  <c r="X129" i="39" s="1"/>
  <c r="X130" i="39" s="1"/>
  <c r="X131" i="39" s="1"/>
  <c r="X132" i="39" s="1"/>
  <c r="X133" i="39" s="1"/>
  <c r="X134" i="39" s="1"/>
  <c r="X135" i="39" s="1"/>
  <c r="X136" i="39" s="1"/>
  <c r="X137" i="39" s="1"/>
  <c r="X138" i="39" s="1"/>
  <c r="X1611" i="39"/>
  <c r="V1344" i="39"/>
  <c r="Y1344" i="39"/>
  <c r="V480" i="39"/>
  <c r="Y480" i="39"/>
  <c r="X1297" i="39"/>
  <c r="V1483" i="39"/>
  <c r="Y1483" i="39"/>
  <c r="V1561" i="39"/>
  <c r="Y1561" i="39"/>
  <c r="V622" i="39"/>
  <c r="Y622" i="39"/>
  <c r="V806" i="39"/>
  <c r="Y806" i="39"/>
  <c r="V1470" i="39"/>
  <c r="Y1470" i="39"/>
  <c r="V1727" i="39"/>
  <c r="Y1727" i="39"/>
  <c r="V1200" i="39"/>
  <c r="Y1200" i="39"/>
  <c r="V1811" i="39"/>
  <c r="Y1811" i="39"/>
  <c r="V946" i="39"/>
  <c r="Y946" i="39"/>
  <c r="X1693" i="39"/>
  <c r="X1694" i="39" s="1"/>
  <c r="X1695" i="39" s="1"/>
  <c r="V1441" i="39"/>
  <c r="Y1441" i="39"/>
  <c r="V653" i="39"/>
  <c r="Y653" i="39"/>
  <c r="V1272" i="39"/>
  <c r="X1273" i="39"/>
  <c r="X1274" i="39" s="1"/>
  <c r="X1275" i="39" s="1"/>
  <c r="Y1272" i="39"/>
  <c r="V1331" i="39"/>
  <c r="Y1331" i="39"/>
  <c r="V875" i="39"/>
  <c r="Y875" i="39"/>
  <c r="V521" i="39"/>
  <c r="Y521" i="39"/>
  <c r="V1867" i="39"/>
  <c r="Y1867" i="39"/>
  <c r="V1307" i="39"/>
  <c r="Y1307" i="39"/>
  <c r="V895" i="39"/>
  <c r="Y895" i="39"/>
  <c r="X1561" i="39"/>
  <c r="X1562" i="39" s="1"/>
  <c r="X1563" i="39" s="1"/>
  <c r="V1503" i="39"/>
  <c r="Y1503" i="39"/>
  <c r="V1707" i="39"/>
  <c r="Y1707" i="39"/>
  <c r="V1617" i="39"/>
  <c r="Y1617" i="39"/>
  <c r="V899" i="39"/>
  <c r="Y899" i="39"/>
  <c r="V1409" i="39"/>
  <c r="Y1409" i="39"/>
  <c r="V21" i="39"/>
  <c r="Y21" i="39"/>
  <c r="Y1800" i="39"/>
  <c r="V1800" i="39"/>
  <c r="V1095" i="39"/>
  <c r="Y1095" i="39"/>
  <c r="V870" i="39"/>
  <c r="Y870" i="39"/>
  <c r="Y1186" i="39"/>
  <c r="V1186" i="39"/>
  <c r="V1290" i="39"/>
  <c r="Y1290" i="39"/>
  <c r="X1291" i="39"/>
  <c r="X1292" i="39" s="1"/>
  <c r="X1293" i="39" s="1"/>
  <c r="X1294" i="39" s="1"/>
  <c r="V1297" i="39"/>
  <c r="Y1297" i="39"/>
  <c r="V165" i="39"/>
  <c r="Y165" i="39"/>
  <c r="V1275" i="39"/>
  <c r="Y1275" i="39"/>
  <c r="V1530" i="39"/>
  <c r="Y1530" i="39"/>
  <c r="V1712" i="39"/>
  <c r="Y1712" i="39"/>
  <c r="V228" i="39"/>
  <c r="Y228" i="39"/>
  <c r="V1049" i="39"/>
  <c r="Y1049" i="39"/>
  <c r="X1050" i="39"/>
  <c r="X1051" i="39" s="1"/>
  <c r="X1052" i="39" s="1"/>
  <c r="X1053" i="39" s="1"/>
  <c r="X1054" i="39" s="1"/>
  <c r="X1055" i="39" s="1"/>
  <c r="X1056" i="39" s="1"/>
  <c r="V38" i="39"/>
  <c r="Y38" i="39"/>
  <c r="Y1314" i="39"/>
  <c r="V1314" i="39"/>
  <c r="Y2014" i="39"/>
  <c r="V2014" i="39"/>
  <c r="V1693" i="39"/>
  <c r="Y1693" i="39"/>
  <c r="V1946" i="39"/>
  <c r="Y1946" i="39"/>
  <c r="V1856" i="39"/>
  <c r="Y1856" i="39"/>
  <c r="V1695" i="39"/>
  <c r="Y1695" i="39"/>
  <c r="V1150" i="39"/>
  <c r="Y1150" i="39"/>
  <c r="Y1873" i="39"/>
  <c r="V1873" i="39"/>
  <c r="V1966" i="39"/>
  <c r="Y1966" i="39"/>
  <c r="V1423" i="39"/>
  <c r="Y1423" i="39"/>
  <c r="V1041" i="39"/>
  <c r="Y1041" i="39"/>
  <c r="V2042" i="39"/>
  <c r="Y2042" i="39"/>
  <c r="V1684" i="39"/>
  <c r="Y1684" i="39"/>
  <c r="X1290" i="39"/>
  <c r="V1008" i="39"/>
  <c r="Y1008" i="39"/>
  <c r="V397" i="39"/>
  <c r="Y397" i="39"/>
  <c r="X398" i="39"/>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V1971" i="39"/>
  <c r="Y1971" i="39"/>
  <c r="Y751" i="39"/>
  <c r="V751" i="39"/>
  <c r="X752" i="39"/>
  <c r="V1562" i="39"/>
  <c r="Y1562" i="39"/>
  <c r="V185" i="39"/>
  <c r="Y185" i="39"/>
  <c r="V1521" i="39"/>
  <c r="Y1521" i="39"/>
  <c r="V1997" i="39"/>
  <c r="Y1997" i="39"/>
  <c r="V1580" i="39"/>
  <c r="Y1580" i="39"/>
  <c r="V467" i="39"/>
  <c r="Y467" i="39"/>
  <c r="V648" i="39"/>
  <c r="Y648" i="39"/>
  <c r="V1257" i="39"/>
  <c r="Y1257" i="39"/>
  <c r="V1224" i="39"/>
  <c r="Y1224" i="39"/>
  <c r="V485" i="39"/>
  <c r="Y485" i="39"/>
  <c r="V963" i="39"/>
  <c r="Y963" i="39"/>
  <c r="X1997" i="39"/>
  <c r="X1998" i="39" s="1"/>
  <c r="X1811" i="39"/>
  <c r="C870" i="39"/>
  <c r="U870" i="39" s="1"/>
  <c r="F871" i="39"/>
  <c r="C1150" i="39"/>
  <c r="U1150" i="39" s="1"/>
  <c r="F1151" i="39"/>
  <c r="F1857" i="39"/>
  <c r="X1857" i="39" s="1"/>
  <c r="C1856" i="39"/>
  <c r="U1856" i="39" s="1"/>
  <c r="F186" i="39"/>
  <c r="C185" i="39"/>
  <c r="U185" i="39" s="1"/>
  <c r="F1728" i="39"/>
  <c r="C1727" i="39"/>
  <c r="U1727" i="39" s="1"/>
  <c r="F2015" i="39"/>
  <c r="C2014" i="39"/>
  <c r="U2014" i="39" s="1"/>
  <c r="F654" i="39"/>
  <c r="C1357" i="39"/>
  <c r="U1357" i="39" s="1"/>
  <c r="F1358" i="39"/>
  <c r="F964" i="39"/>
  <c r="C751" i="39"/>
  <c r="U751" i="39" s="1"/>
  <c r="F1315" i="39"/>
  <c r="C1314" i="39"/>
  <c r="U1314" i="39" s="1"/>
  <c r="C1966" i="39"/>
  <c r="U1966" i="39" s="1"/>
  <c r="F1967" i="39"/>
  <c r="F527" i="39"/>
  <c r="F1096" i="39"/>
  <c r="X1096" i="39" s="1"/>
  <c r="F1947" i="39"/>
  <c r="X1947" i="39" s="1"/>
  <c r="C1946" i="39"/>
  <c r="U1946" i="39" s="1"/>
  <c r="C521" i="39"/>
  <c r="U521" i="39" s="1"/>
  <c r="F522" i="39"/>
  <c r="C165" i="39"/>
  <c r="U165" i="39" s="1"/>
  <c r="F481" i="39"/>
  <c r="C480" i="39"/>
  <c r="U480" i="39" s="1"/>
  <c r="F486" i="39"/>
  <c r="F166" i="39"/>
  <c r="C397" i="39"/>
  <c r="U397" i="39" s="1"/>
  <c r="C485" i="39"/>
  <c r="U485" i="39" s="1"/>
  <c r="C648" i="39"/>
  <c r="U648" i="39" s="1"/>
  <c r="F649" i="39"/>
  <c r="C1873" i="39"/>
  <c r="U1873" i="39" s="1"/>
  <c r="F1874" i="39"/>
  <c r="F1801" i="39"/>
  <c r="C1800" i="39"/>
  <c r="U1800" i="39" s="1"/>
  <c r="F1868" i="39"/>
  <c r="F1869" i="39"/>
  <c r="C1867" i="39"/>
  <c r="U1867" i="39" s="1"/>
  <c r="C1695" i="39"/>
  <c r="U1695" i="39" s="1"/>
  <c r="F1697" i="39"/>
  <c r="F1696" i="39"/>
  <c r="C1693" i="39"/>
  <c r="U1693" i="39" s="1"/>
  <c r="F1522" i="39"/>
  <c r="C1521" i="39"/>
  <c r="U1521" i="39" s="1"/>
  <c r="F623" i="39"/>
  <c r="C622" i="39"/>
  <c r="U622" i="39" s="1"/>
  <c r="F1812" i="39"/>
  <c r="C1811" i="39"/>
  <c r="U1811" i="39" s="1"/>
  <c r="F1787" i="39"/>
  <c r="C1786" i="39"/>
  <c r="U1786" i="39" s="1"/>
  <c r="F1451" i="39"/>
  <c r="C1450" i="39"/>
  <c r="U1450" i="39" s="1"/>
  <c r="C467" i="39"/>
  <c r="U467" i="39" s="1"/>
  <c r="F468" i="39"/>
  <c r="X468" i="39" s="1"/>
  <c r="C38" i="39"/>
  <c r="U38" i="39" s="1"/>
  <c r="F39" i="39"/>
  <c r="F22" i="39"/>
  <c r="C21" i="39"/>
  <c r="U21" i="39" s="1"/>
  <c r="C228" i="39"/>
  <c r="U228" i="39" s="1"/>
  <c r="F229" i="39"/>
  <c r="C806" i="39"/>
  <c r="U806" i="39" s="1"/>
  <c r="F807" i="39"/>
  <c r="F1276" i="39"/>
  <c r="C1275" i="39"/>
  <c r="U1275" i="39" s="1"/>
  <c r="C1530" i="39"/>
  <c r="U1530" i="39" s="1"/>
  <c r="C1224" i="39"/>
  <c r="U1224" i="39" s="1"/>
  <c r="F947" i="39"/>
  <c r="F1225" i="39"/>
  <c r="F876" i="39"/>
  <c r="C1272" i="39"/>
  <c r="U1272" i="39" s="1"/>
  <c r="C1200" i="39"/>
  <c r="U1200" i="39" s="1"/>
  <c r="C1271" i="39"/>
  <c r="U1271" i="39" s="1"/>
  <c r="F896" i="39"/>
  <c r="F1258" i="39"/>
  <c r="C1562" i="39"/>
  <c r="U1562" i="39" s="1"/>
  <c r="C1441" i="39"/>
  <c r="U1441" i="39" s="1"/>
  <c r="C1290" i="39"/>
  <c r="U1290" i="39" s="1"/>
  <c r="C946" i="39"/>
  <c r="U946" i="39" s="1"/>
  <c r="F900" i="39"/>
  <c r="C962" i="39"/>
  <c r="U962" i="39" s="1"/>
  <c r="F1201" i="39"/>
  <c r="C875" i="39"/>
  <c r="U875" i="39" s="1"/>
  <c r="F1187" i="39"/>
  <c r="X1187" i="39" s="1"/>
  <c r="C1186" i="39"/>
  <c r="U1186" i="39" s="1"/>
  <c r="C895" i="39"/>
  <c r="U895" i="39" s="1"/>
  <c r="F1042" i="39"/>
  <c r="F1531" i="39"/>
  <c r="C899" i="39"/>
  <c r="U899" i="39" s="1"/>
  <c r="F1410" i="39"/>
  <c r="F1612" i="39"/>
  <c r="C1611" i="39"/>
  <c r="U1611" i="39" s="1"/>
  <c r="C1409" i="39"/>
  <c r="U1409" i="39" s="1"/>
  <c r="F1582" i="39"/>
  <c r="C1257" i="39"/>
  <c r="U1257" i="39" s="1"/>
  <c r="C1580" i="39"/>
  <c r="U1580" i="39" s="1"/>
  <c r="F1581" i="39"/>
  <c r="F1442" i="39"/>
  <c r="C1041" i="39"/>
  <c r="U1041" i="39" s="1"/>
  <c r="F1259" i="39"/>
  <c r="F1713" i="39"/>
  <c r="C1712" i="39"/>
  <c r="U1712" i="39" s="1"/>
  <c r="F1998" i="39"/>
  <c r="C1997" i="39"/>
  <c r="U1997" i="39" s="1"/>
  <c r="F1564" i="39"/>
  <c r="C1561" i="39"/>
  <c r="U1561" i="39" s="1"/>
  <c r="C1423" i="39"/>
  <c r="U1423" i="39" s="1"/>
  <c r="F1424" i="39"/>
  <c r="F1685" i="39"/>
  <c r="C1684" i="39"/>
  <c r="U1684" i="39" s="1"/>
  <c r="F1308" i="39"/>
  <c r="C1307" i="39"/>
  <c r="U1307" i="39" s="1"/>
  <c r="C1563" i="39"/>
  <c r="U1563" i="39" s="1"/>
  <c r="F1345" i="39"/>
  <c r="C1344" i="39"/>
  <c r="U1344" i="39" s="1"/>
  <c r="F2043" i="39"/>
  <c r="X2043" i="39" s="1"/>
  <c r="C2042" i="39"/>
  <c r="U2042" i="39" s="1"/>
  <c r="F1764" i="39"/>
  <c r="C1763" i="39"/>
  <c r="U1763" i="39" s="1"/>
  <c r="C1503" i="39"/>
  <c r="U1503" i="39" s="1"/>
  <c r="F1504" i="39"/>
  <c r="C1707" i="39"/>
  <c r="U1707" i="39" s="1"/>
  <c r="F1708" i="39"/>
  <c r="C1617" i="39"/>
  <c r="U1617" i="39" s="1"/>
  <c r="F1618" i="39"/>
  <c r="C1049" i="39"/>
  <c r="U1049" i="39" s="1"/>
  <c r="C1331" i="39"/>
  <c r="U1331" i="39" s="1"/>
  <c r="F1332" i="39"/>
  <c r="F1484" i="39"/>
  <c r="C1483" i="39"/>
  <c r="U1483" i="39" s="1"/>
  <c r="C1971" i="39"/>
  <c r="U1971" i="39" s="1"/>
  <c r="F1972" i="39"/>
  <c r="C1008" i="39"/>
  <c r="U1008" i="39" s="1"/>
  <c r="F1009" i="39"/>
  <c r="F1298" i="39"/>
  <c r="C1297" i="39"/>
  <c r="U1297" i="39" s="1"/>
  <c r="F1471" i="39"/>
  <c r="C1470" i="39"/>
  <c r="U1470" i="39" s="1"/>
  <c r="X1564" i="39" l="1"/>
  <c r="X1276" i="39"/>
  <c r="V1728" i="39"/>
  <c r="Y1728" i="39"/>
  <c r="V896" i="39"/>
  <c r="Y896" i="39"/>
  <c r="X897" i="39"/>
  <c r="X898" i="39" s="1"/>
  <c r="X899" i="39" s="1"/>
  <c r="X900" i="39" s="1"/>
  <c r="V2015" i="39"/>
  <c r="Y2015" i="39"/>
  <c r="Y876" i="39"/>
  <c r="V876" i="39"/>
  <c r="V1582" i="39"/>
  <c r="Y1582" i="39"/>
  <c r="Y1298" i="39"/>
  <c r="V1298" i="39"/>
  <c r="Y1471" i="39"/>
  <c r="V1471" i="39"/>
  <c r="V1442" i="39"/>
  <c r="Y1442" i="39"/>
  <c r="V1451" i="39"/>
  <c r="Y1451" i="39"/>
  <c r="V486" i="39"/>
  <c r="Y486" i="39"/>
  <c r="V623" i="39"/>
  <c r="Y623" i="39"/>
  <c r="V654" i="39"/>
  <c r="Y654" i="39"/>
  <c r="Y1697" i="39"/>
  <c r="V1697" i="39"/>
  <c r="V481" i="39"/>
  <c r="Y481" i="39"/>
  <c r="X482" i="39"/>
  <c r="X483" i="39" s="1"/>
  <c r="X484" i="39" s="1"/>
  <c r="X485" i="39" s="1"/>
  <c r="X486" i="39" s="1"/>
  <c r="V1410" i="39"/>
  <c r="Y1410" i="39"/>
  <c r="V1332" i="39"/>
  <c r="Y1332" i="39"/>
  <c r="X1696" i="39"/>
  <c r="X1697" i="39" s="1"/>
  <c r="X1298" i="39"/>
  <c r="V2043" i="39"/>
  <c r="Y2043" i="39"/>
  <c r="V1308" i="39"/>
  <c r="Y1308" i="39"/>
  <c r="V871" i="39"/>
  <c r="Y871" i="39"/>
  <c r="V1096" i="39"/>
  <c r="Y1096" i="39"/>
  <c r="V649" i="39"/>
  <c r="X650" i="39"/>
  <c r="X651" i="39" s="1"/>
  <c r="X652" i="39" s="1"/>
  <c r="X653" i="39" s="1"/>
  <c r="X654" i="39" s="1"/>
  <c r="Y649" i="39"/>
  <c r="V166" i="39"/>
  <c r="Y166" i="39"/>
  <c r="X167" i="39"/>
  <c r="X168" i="39" s="1"/>
  <c r="X169" i="39" s="1"/>
  <c r="X170" i="39" s="1"/>
  <c r="X171" i="39" s="1"/>
  <c r="X172" i="39" s="1"/>
  <c r="X173" i="39" s="1"/>
  <c r="X174" i="39" s="1"/>
  <c r="X175" i="39" s="1"/>
  <c r="X176" i="39" s="1"/>
  <c r="X177" i="39" s="1"/>
  <c r="X178" i="39" s="1"/>
  <c r="X179" i="39" s="1"/>
  <c r="X180" i="39" s="1"/>
  <c r="X181" i="39" s="1"/>
  <c r="X182" i="39" s="1"/>
  <c r="X183" i="39" s="1"/>
  <c r="X184" i="39" s="1"/>
  <c r="X185" i="39" s="1"/>
  <c r="X186" i="39" s="1"/>
  <c r="X187" i="39" s="1"/>
  <c r="V1225" i="39"/>
  <c r="Y1225" i="39"/>
  <c r="V1531" i="39"/>
  <c r="Y1531" i="39"/>
  <c r="V1522" i="39"/>
  <c r="Y1522" i="39"/>
  <c r="V1151" i="39"/>
  <c r="Y1151" i="39"/>
  <c r="V1042" i="39"/>
  <c r="Y1042" i="39"/>
  <c r="V1696" i="39"/>
  <c r="Y1696" i="39"/>
  <c r="V1187" i="39"/>
  <c r="Y1187" i="39"/>
  <c r="V1998" i="39"/>
  <c r="Y1998" i="39"/>
  <c r="V1868" i="39"/>
  <c r="Y1868" i="39"/>
  <c r="Y1581" i="39"/>
  <c r="V1581" i="39"/>
  <c r="V1258" i="39"/>
  <c r="Y1258" i="39"/>
  <c r="V1612" i="39"/>
  <c r="Y1612" i="39"/>
  <c r="V186" i="39"/>
  <c r="Y186" i="39"/>
  <c r="Y1009" i="39"/>
  <c r="V1009" i="39"/>
  <c r="V947" i="39"/>
  <c r="Y947" i="39"/>
  <c r="V1276" i="39"/>
  <c r="Y1276" i="39"/>
  <c r="V1564" i="39"/>
  <c r="Y1564" i="39"/>
  <c r="Y1967" i="39"/>
  <c r="V1967" i="39"/>
  <c r="V900" i="39"/>
  <c r="Y900" i="39"/>
  <c r="V22" i="39"/>
  <c r="Y22" i="39"/>
  <c r="V1315" i="39"/>
  <c r="Y1315" i="39"/>
  <c r="V522" i="39"/>
  <c r="Y522" i="39"/>
  <c r="V1685" i="39"/>
  <c r="Y1685" i="39"/>
  <c r="X1686" i="39"/>
  <c r="X1687" i="39" s="1"/>
  <c r="X1688" i="39" s="1"/>
  <c r="X1689" i="39" s="1"/>
  <c r="V1424" i="39"/>
  <c r="Y1424" i="39"/>
  <c r="V807" i="39"/>
  <c r="Y807" i="39"/>
  <c r="Y527" i="39"/>
  <c r="V527" i="39"/>
  <c r="V1869" i="39"/>
  <c r="X1870" i="39"/>
  <c r="X1871" i="39" s="1"/>
  <c r="X1872" i="39" s="1"/>
  <c r="X1873" i="39" s="1"/>
  <c r="X1874" i="39" s="1"/>
  <c r="X1875" i="39" s="1"/>
  <c r="Y1869" i="39"/>
  <c r="V39" i="39"/>
  <c r="Y39" i="39"/>
  <c r="V1764" i="39"/>
  <c r="Y1764" i="39"/>
  <c r="X1764" i="39"/>
  <c r="V1345" i="39"/>
  <c r="Y1345" i="39"/>
  <c r="X1346" i="39"/>
  <c r="X1347" i="39" s="1"/>
  <c r="X1348" i="39" s="1"/>
  <c r="X1349" i="39" s="1"/>
  <c r="X1350" i="39" s="1"/>
  <c r="X1351" i="39" s="1"/>
  <c r="X1352" i="39" s="1"/>
  <c r="X1353" i="39" s="1"/>
  <c r="X1354" i="39" s="1"/>
  <c r="X1355" i="39" s="1"/>
  <c r="X1356" i="39" s="1"/>
  <c r="X1357" i="39" s="1"/>
  <c r="X1358" i="39" s="1"/>
  <c r="V1812" i="39"/>
  <c r="Y1812" i="39"/>
  <c r="V1972" i="39"/>
  <c r="Y1972" i="39"/>
  <c r="V1484" i="39"/>
  <c r="Y1484" i="39"/>
  <c r="V1618" i="39"/>
  <c r="Y1618" i="39"/>
  <c r="V1708" i="39"/>
  <c r="Y1708" i="39"/>
  <c r="Y1713" i="39"/>
  <c r="V1713" i="39"/>
  <c r="Y1801" i="39"/>
  <c r="V1801" i="39"/>
  <c r="X1612" i="39"/>
  <c r="Y1787" i="39"/>
  <c r="V1787" i="39"/>
  <c r="V1857" i="39"/>
  <c r="Y1857" i="39"/>
  <c r="V1947" i="39"/>
  <c r="Y1947" i="39"/>
  <c r="X1812" i="39"/>
  <c r="X1813" i="39" s="1"/>
  <c r="Y229" i="39"/>
  <c r="V229" i="39"/>
  <c r="V1201" i="39"/>
  <c r="Y1201" i="39"/>
  <c r="V1259" i="39"/>
  <c r="Y1259" i="39"/>
  <c r="Y1874" i="39"/>
  <c r="V1874" i="39"/>
  <c r="Y964" i="39"/>
  <c r="V964" i="39"/>
  <c r="V1504" i="39"/>
  <c r="Y1504" i="39"/>
  <c r="V468" i="39"/>
  <c r="Y468" i="39"/>
  <c r="V1358" i="39"/>
  <c r="Y1358" i="39"/>
  <c r="X1522" i="39"/>
  <c r="X1523" i="39" s="1"/>
  <c r="F872" i="39"/>
  <c r="C871" i="39"/>
  <c r="U871" i="39" s="1"/>
  <c r="C1151" i="39"/>
  <c r="U1151" i="39" s="1"/>
  <c r="F1152" i="39"/>
  <c r="F187" i="39"/>
  <c r="C186" i="39"/>
  <c r="U186" i="39" s="1"/>
  <c r="F1858" i="39"/>
  <c r="C1857" i="39"/>
  <c r="U1857" i="39" s="1"/>
  <c r="C1728" i="39"/>
  <c r="U1728" i="39" s="1"/>
  <c r="F1729" i="39"/>
  <c r="F1730" i="39"/>
  <c r="F2016" i="39"/>
  <c r="C2015" i="39"/>
  <c r="U2015" i="39" s="1"/>
  <c r="F1359" i="39"/>
  <c r="C1358" i="39"/>
  <c r="U1358" i="39" s="1"/>
  <c r="F655" i="39"/>
  <c r="F965" i="39"/>
  <c r="C1967" i="39"/>
  <c r="U1967" i="39" s="1"/>
  <c r="F1968" i="39"/>
  <c r="F1316" i="39"/>
  <c r="C1315" i="39"/>
  <c r="U1315" i="39" s="1"/>
  <c r="C527" i="39"/>
  <c r="U527" i="39" s="1"/>
  <c r="F528" i="39"/>
  <c r="F1097" i="39"/>
  <c r="F1948" i="39"/>
  <c r="C1947" i="39"/>
  <c r="U1947" i="39" s="1"/>
  <c r="C522" i="39"/>
  <c r="U522" i="39" s="1"/>
  <c r="F523" i="39"/>
  <c r="C481" i="39"/>
  <c r="U481" i="39" s="1"/>
  <c r="C166" i="39"/>
  <c r="U166" i="39" s="1"/>
  <c r="C486" i="39"/>
  <c r="U486" i="39" s="1"/>
  <c r="F487" i="39"/>
  <c r="C649" i="39"/>
  <c r="U649" i="39" s="1"/>
  <c r="C1874" i="39"/>
  <c r="U1874" i="39" s="1"/>
  <c r="F1875" i="39"/>
  <c r="C1869" i="39"/>
  <c r="U1869" i="39" s="1"/>
  <c r="C1801" i="39"/>
  <c r="U1801" i="39" s="1"/>
  <c r="C1868" i="39"/>
  <c r="U1868" i="39" s="1"/>
  <c r="F1802" i="39"/>
  <c r="F1698" i="39"/>
  <c r="C1697" i="39"/>
  <c r="U1697" i="39" s="1"/>
  <c r="C1696" i="39"/>
  <c r="U1696" i="39" s="1"/>
  <c r="F1523" i="39"/>
  <c r="C1522" i="39"/>
  <c r="U1522" i="39" s="1"/>
  <c r="C623" i="39"/>
  <c r="U623" i="39" s="1"/>
  <c r="F624" i="39"/>
  <c r="F1813" i="39"/>
  <c r="C1812" i="39"/>
  <c r="U1812" i="39" s="1"/>
  <c r="F1788" i="39"/>
  <c r="C1787" i="39"/>
  <c r="U1787" i="39" s="1"/>
  <c r="F1452" i="39"/>
  <c r="C1451" i="39"/>
  <c r="U1451" i="39" s="1"/>
  <c r="C468" i="39"/>
  <c r="U468" i="39" s="1"/>
  <c r="F469" i="39"/>
  <c r="X469" i="39" s="1"/>
  <c r="C39" i="39"/>
  <c r="U39" i="39" s="1"/>
  <c r="F40" i="39"/>
  <c r="F23" i="39"/>
  <c r="C22" i="39"/>
  <c r="U22" i="39" s="1"/>
  <c r="C229" i="39"/>
  <c r="U229" i="39" s="1"/>
  <c r="F230" i="39"/>
  <c r="C1096" i="39"/>
  <c r="U1096" i="39" s="1"/>
  <c r="F808" i="39"/>
  <c r="C807" i="39"/>
  <c r="U807" i="39" s="1"/>
  <c r="C1276" i="39"/>
  <c r="U1276" i="39" s="1"/>
  <c r="F1277" i="39"/>
  <c r="X1277" i="39" s="1"/>
  <c r="F1226" i="39"/>
  <c r="C1225" i="39"/>
  <c r="U1225" i="39" s="1"/>
  <c r="F948" i="39"/>
  <c r="C947" i="39"/>
  <c r="U947" i="39" s="1"/>
  <c r="C876" i="39"/>
  <c r="U876" i="39" s="1"/>
  <c r="C963" i="39"/>
  <c r="U963" i="39" s="1"/>
  <c r="F877" i="39"/>
  <c r="F1260" i="39"/>
  <c r="C896" i="39"/>
  <c r="U896" i="39" s="1"/>
  <c r="F1202" i="39"/>
  <c r="C1201" i="39"/>
  <c r="U1201" i="39" s="1"/>
  <c r="F1443" i="39"/>
  <c r="F1583" i="39"/>
  <c r="F901" i="39"/>
  <c r="F1188" i="39"/>
  <c r="X1188" i="39" s="1"/>
  <c r="C1258" i="39"/>
  <c r="U1258" i="39" s="1"/>
  <c r="C900" i="39"/>
  <c r="U900" i="39" s="1"/>
  <c r="C1612" i="39"/>
  <c r="U1612" i="39" s="1"/>
  <c r="C1410" i="39"/>
  <c r="U1410" i="39" s="1"/>
  <c r="C1187" i="39"/>
  <c r="U1187" i="39" s="1"/>
  <c r="C1042" i="39"/>
  <c r="U1042" i="39" s="1"/>
  <c r="F1043" i="39"/>
  <c r="C1581" i="39"/>
  <c r="U1581" i="39" s="1"/>
  <c r="F1532" i="39"/>
  <c r="C1531" i="39"/>
  <c r="U1531" i="39" s="1"/>
  <c r="F1613" i="39"/>
  <c r="C1582" i="39"/>
  <c r="U1582" i="39" s="1"/>
  <c r="F1411" i="39"/>
  <c r="C1259" i="39"/>
  <c r="U1259" i="39" s="1"/>
  <c r="F1261" i="39"/>
  <c r="C1442" i="39"/>
  <c r="U1442" i="39" s="1"/>
  <c r="C1998" i="39"/>
  <c r="U1998" i="39" s="1"/>
  <c r="F1999" i="39"/>
  <c r="C1713" i="39"/>
  <c r="U1713" i="39" s="1"/>
  <c r="F1714" i="39"/>
  <c r="C2043" i="39"/>
  <c r="U2043" i="39" s="1"/>
  <c r="F2044" i="39"/>
  <c r="X2044" i="39" s="1"/>
  <c r="C1308" i="39"/>
  <c r="U1308" i="39" s="1"/>
  <c r="F1309" i="39"/>
  <c r="C1564" i="39"/>
  <c r="U1564" i="39" s="1"/>
  <c r="F1569" i="39"/>
  <c r="F1570" i="39"/>
  <c r="F1565" i="39"/>
  <c r="F1010" i="39"/>
  <c r="C1009" i="39"/>
  <c r="U1009" i="39" s="1"/>
  <c r="F1973" i="39"/>
  <c r="C1972" i="39"/>
  <c r="U1972" i="39" s="1"/>
  <c r="C1685" i="39"/>
  <c r="U1685" i="39" s="1"/>
  <c r="C1424" i="39"/>
  <c r="U1424" i="39" s="1"/>
  <c r="F1425" i="39"/>
  <c r="F1333" i="39"/>
  <c r="C1332" i="39"/>
  <c r="U1332" i="39" s="1"/>
  <c r="C1484" i="39"/>
  <c r="U1484" i="39" s="1"/>
  <c r="F1485" i="39"/>
  <c r="C1298" i="39"/>
  <c r="U1298" i="39" s="1"/>
  <c r="F1299" i="39"/>
  <c r="F1619" i="39"/>
  <c r="C1618" i="39"/>
  <c r="U1618" i="39" s="1"/>
  <c r="C1345" i="39"/>
  <c r="U1345" i="39" s="1"/>
  <c r="F1765" i="39"/>
  <c r="C1764" i="39"/>
  <c r="U1764" i="39" s="1"/>
  <c r="C1471" i="39"/>
  <c r="U1471" i="39" s="1"/>
  <c r="F1472" i="39"/>
  <c r="F1505" i="39"/>
  <c r="C1504" i="39"/>
  <c r="U1504" i="39" s="1"/>
  <c r="F1709" i="39"/>
  <c r="C1708" i="39"/>
  <c r="U1708" i="39" s="1"/>
  <c r="X487" i="39" l="1"/>
  <c r="X901" i="39"/>
  <c r="X655" i="39"/>
  <c r="X1765" i="39"/>
  <c r="X1359" i="39"/>
  <c r="V624" i="39"/>
  <c r="Y624" i="39"/>
  <c r="V872" i="39"/>
  <c r="Y872" i="39"/>
  <c r="X873" i="39"/>
  <c r="X874" i="39" s="1"/>
  <c r="X875" i="39" s="1"/>
  <c r="X876" i="39" s="1"/>
  <c r="X877" i="39" s="1"/>
  <c r="V187" i="39"/>
  <c r="Y187" i="39"/>
  <c r="V1788" i="39"/>
  <c r="Y1788" i="39"/>
  <c r="V523" i="39"/>
  <c r="Y523" i="39"/>
  <c r="V1948" i="39"/>
  <c r="Y1948" i="39"/>
  <c r="Y1411" i="39"/>
  <c r="V1411" i="39"/>
  <c r="V1425" i="39"/>
  <c r="Y1425" i="39"/>
  <c r="V1523" i="39"/>
  <c r="Y1523" i="39"/>
  <c r="V808" i="39"/>
  <c r="Y808" i="39"/>
  <c r="V1097" i="39"/>
  <c r="Y1097" i="39"/>
  <c r="Y1565" i="39"/>
  <c r="V1565" i="39"/>
  <c r="V1505" i="39"/>
  <c r="Y1505" i="39"/>
  <c r="V877" i="39"/>
  <c r="Y877" i="39"/>
  <c r="V1152" i="39"/>
  <c r="Y1152" i="39"/>
  <c r="V1043" i="39"/>
  <c r="Y1043" i="39"/>
  <c r="X1969" i="39"/>
  <c r="X1970" i="39" s="1"/>
  <c r="X1971" i="39" s="1"/>
  <c r="X1972" i="39" s="1"/>
  <c r="X1973" i="39" s="1"/>
  <c r="X1974" i="39" s="1"/>
  <c r="V1968" i="39"/>
  <c r="Y1968" i="39"/>
  <c r="V1333" i="39"/>
  <c r="Y1333" i="39"/>
  <c r="V1472" i="39"/>
  <c r="Y1472" i="39"/>
  <c r="V1698" i="39"/>
  <c r="Y1698" i="39"/>
  <c r="X1948" i="39"/>
  <c r="Y1858" i="39"/>
  <c r="V1858" i="39"/>
  <c r="V1973" i="39"/>
  <c r="Y1973" i="39"/>
  <c r="V1277" i="39"/>
  <c r="Y1277" i="39"/>
  <c r="V2044" i="39"/>
  <c r="Y2044" i="39"/>
  <c r="V901" i="39"/>
  <c r="Y901" i="39"/>
  <c r="V23" i="39"/>
  <c r="Y23" i="39"/>
  <c r="V1875" i="39"/>
  <c r="Y1875" i="39"/>
  <c r="X1858" i="39"/>
  <c r="V1813" i="39"/>
  <c r="Y1813" i="39"/>
  <c r="X1710" i="39"/>
  <c r="X1711" i="39" s="1"/>
  <c r="X1712" i="39" s="1"/>
  <c r="X1713" i="39" s="1"/>
  <c r="X1714" i="39" s="1"/>
  <c r="V1709" i="39"/>
  <c r="Y1709" i="39"/>
  <c r="V1316" i="39"/>
  <c r="Y1316" i="39"/>
  <c r="V965" i="39"/>
  <c r="Y965" i="39"/>
  <c r="V1619" i="39"/>
  <c r="Y1619" i="39"/>
  <c r="V1714" i="39"/>
  <c r="Y1714" i="39"/>
  <c r="V1583" i="39"/>
  <c r="Y1583" i="39"/>
  <c r="X1584" i="39"/>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V40" i="39"/>
  <c r="Y40" i="39"/>
  <c r="V2016" i="39"/>
  <c r="Y2016" i="39"/>
  <c r="X1097" i="39"/>
  <c r="V1260" i="39"/>
  <c r="Y1260" i="39"/>
  <c r="V1452" i="39"/>
  <c r="Y1452" i="39"/>
  <c r="V948" i="39"/>
  <c r="Y948" i="39"/>
  <c r="V1010" i="39"/>
  <c r="Y1010" i="39"/>
  <c r="V1569" i="39"/>
  <c r="Y1569" i="39"/>
  <c r="V1309" i="39"/>
  <c r="Y1309" i="39"/>
  <c r="V230" i="39"/>
  <c r="Y230" i="39"/>
  <c r="V655" i="39"/>
  <c r="Y655" i="39"/>
  <c r="V1188" i="39"/>
  <c r="Y1188" i="39"/>
  <c r="Y1359" i="39"/>
  <c r="V1359" i="39"/>
  <c r="V1443" i="39"/>
  <c r="Y1443" i="39"/>
  <c r="V1730" i="39"/>
  <c r="Y1730" i="39"/>
  <c r="V1613" i="39"/>
  <c r="Y1613" i="39"/>
  <c r="V1532" i="39"/>
  <c r="Y1532" i="39"/>
  <c r="V1570" i="39"/>
  <c r="Y1570" i="39"/>
  <c r="Y1802" i="39"/>
  <c r="V1802" i="39"/>
  <c r="X1803" i="39"/>
  <c r="X1804" i="39" s="1"/>
  <c r="X1805" i="39" s="1"/>
  <c r="V1299" i="39"/>
  <c r="Y1299" i="39"/>
  <c r="Y1999" i="39"/>
  <c r="V1999" i="39"/>
  <c r="V469" i="39"/>
  <c r="Y469" i="39"/>
  <c r="V487" i="39"/>
  <c r="Y487" i="39"/>
  <c r="V1729" i="39"/>
  <c r="Y1729" i="39"/>
  <c r="X1999" i="39"/>
  <c r="X2000" i="39" s="1"/>
  <c r="X1299" i="39"/>
  <c r="X1565" i="39"/>
  <c r="V1261" i="39"/>
  <c r="Y1261" i="39"/>
  <c r="V528" i="39"/>
  <c r="Y528" i="39"/>
  <c r="V1226" i="39"/>
  <c r="Y1226" i="39"/>
  <c r="X1613" i="39"/>
  <c r="X1614" i="39" s="1"/>
  <c r="V1765" i="39"/>
  <c r="Y1765" i="39"/>
  <c r="V1485" i="39"/>
  <c r="Y1485" i="39"/>
  <c r="V1202" i="39"/>
  <c r="Y1202" i="39"/>
  <c r="X1698" i="39"/>
  <c r="C872" i="39"/>
  <c r="U872" i="39" s="1"/>
  <c r="F1153" i="39"/>
  <c r="C1152" i="39"/>
  <c r="U1152" i="39" s="1"/>
  <c r="F188" i="39"/>
  <c r="C187" i="39"/>
  <c r="U187" i="39" s="1"/>
  <c r="F1861" i="39"/>
  <c r="F1859" i="39"/>
  <c r="C1858" i="39"/>
  <c r="U1858" i="39" s="1"/>
  <c r="C1730" i="39"/>
  <c r="U1730" i="39" s="1"/>
  <c r="F1731" i="39"/>
  <c r="C1729" i="39"/>
  <c r="U1729" i="39" s="1"/>
  <c r="F2017" i="39"/>
  <c r="C2016" i="39"/>
  <c r="U2016" i="39" s="1"/>
  <c r="F656" i="39"/>
  <c r="X656" i="39" s="1"/>
  <c r="F1360" i="39"/>
  <c r="C1359" i="39"/>
  <c r="U1359" i="39" s="1"/>
  <c r="F966" i="39"/>
  <c r="C123" i="39"/>
  <c r="U123" i="39" s="1"/>
  <c r="C1968" i="39"/>
  <c r="U1968" i="39" s="1"/>
  <c r="C1316" i="39"/>
  <c r="U1316" i="39" s="1"/>
  <c r="F1317" i="39"/>
  <c r="F1949" i="39"/>
  <c r="C528" i="39"/>
  <c r="U528" i="39" s="1"/>
  <c r="F529" i="39"/>
  <c r="F1098" i="39"/>
  <c r="C1948" i="39"/>
  <c r="U1948" i="39" s="1"/>
  <c r="C523" i="39"/>
  <c r="U523" i="39" s="1"/>
  <c r="F524" i="39"/>
  <c r="F488" i="39"/>
  <c r="C487" i="39"/>
  <c r="U487" i="39" s="1"/>
  <c r="C1875" i="39"/>
  <c r="U1875" i="39" s="1"/>
  <c r="F1876" i="39"/>
  <c r="C1698" i="39"/>
  <c r="U1698" i="39" s="1"/>
  <c r="C1802" i="39"/>
  <c r="U1802" i="39" s="1"/>
  <c r="F1699" i="39"/>
  <c r="F1524" i="39"/>
  <c r="C1523" i="39"/>
  <c r="U1523" i="39" s="1"/>
  <c r="F625" i="39"/>
  <c r="C624" i="39"/>
  <c r="U624" i="39" s="1"/>
  <c r="F1814" i="39"/>
  <c r="C1813" i="39"/>
  <c r="U1813" i="39" s="1"/>
  <c r="C1788" i="39"/>
  <c r="U1788" i="39" s="1"/>
  <c r="F1789" i="39"/>
  <c r="F1453" i="39"/>
  <c r="C1452" i="39"/>
  <c r="U1452" i="39" s="1"/>
  <c r="C469" i="39"/>
  <c r="U469" i="39" s="1"/>
  <c r="F470" i="39"/>
  <c r="C40" i="39"/>
  <c r="U40" i="39" s="1"/>
  <c r="F41" i="39"/>
  <c r="C23" i="39"/>
  <c r="U23" i="39" s="1"/>
  <c r="F24" i="39"/>
  <c r="F231" i="39"/>
  <c r="C230" i="39"/>
  <c r="U230" i="39" s="1"/>
  <c r="C1097" i="39"/>
  <c r="U1097" i="39" s="1"/>
  <c r="C808" i="39"/>
  <c r="U808" i="39" s="1"/>
  <c r="F809" i="39"/>
  <c r="F1278" i="39"/>
  <c r="C1277" i="39"/>
  <c r="U1277" i="39" s="1"/>
  <c r="F1262" i="39"/>
  <c r="C964" i="39"/>
  <c r="U964" i="39" s="1"/>
  <c r="C1226" i="39"/>
  <c r="U1226" i="39" s="1"/>
  <c r="F1227" i="39"/>
  <c r="F949" i="39"/>
  <c r="C948" i="39"/>
  <c r="U948" i="39" s="1"/>
  <c r="C1260" i="39"/>
  <c r="U1260" i="39" s="1"/>
  <c r="F878" i="39"/>
  <c r="C877" i="39"/>
  <c r="U877" i="39" s="1"/>
  <c r="C1202" i="39"/>
  <c r="U1202" i="39" s="1"/>
  <c r="F1444" i="39"/>
  <c r="C1443" i="39"/>
  <c r="U1443" i="39" s="1"/>
  <c r="F1203" i="39"/>
  <c r="C1583" i="39"/>
  <c r="U1583" i="39" s="1"/>
  <c r="C901" i="39"/>
  <c r="U901" i="39" s="1"/>
  <c r="F902" i="39"/>
  <c r="X902" i="39" s="1"/>
  <c r="F1189" i="39"/>
  <c r="C1188" i="39"/>
  <c r="U1188" i="39" s="1"/>
  <c r="F1263" i="39"/>
  <c r="C1261" i="39"/>
  <c r="U1261" i="39" s="1"/>
  <c r="C1613" i="39"/>
  <c r="U1613" i="39" s="1"/>
  <c r="F1614" i="39"/>
  <c r="F1044" i="39"/>
  <c r="C1043" i="39"/>
  <c r="U1043" i="39" s="1"/>
  <c r="F1533" i="39"/>
  <c r="C1532" i="39"/>
  <c r="U1532" i="39" s="1"/>
  <c r="F1412" i="39"/>
  <c r="C1411" i="39"/>
  <c r="U1411" i="39" s="1"/>
  <c r="F1715" i="39"/>
  <c r="C1714" i="39"/>
  <c r="U1714" i="39" s="1"/>
  <c r="F2000" i="39"/>
  <c r="C1999" i="39"/>
  <c r="U1999" i="39" s="1"/>
  <c r="C1570" i="39"/>
  <c r="U1570" i="39" s="1"/>
  <c r="F1426" i="39"/>
  <c r="C1425" i="39"/>
  <c r="U1425" i="39" s="1"/>
  <c r="F1486" i="39"/>
  <c r="C1485" i="39"/>
  <c r="U1485" i="39" s="1"/>
  <c r="F1310" i="39"/>
  <c r="C1309" i="39"/>
  <c r="U1309" i="39" s="1"/>
  <c r="C1299" i="39"/>
  <c r="U1299" i="39" s="1"/>
  <c r="F1300" i="39"/>
  <c r="C1973" i="39"/>
  <c r="U1973" i="39" s="1"/>
  <c r="F1974" i="39"/>
  <c r="C1010" i="39"/>
  <c r="U1010" i="39" s="1"/>
  <c r="F1011" i="39"/>
  <c r="F1568" i="39"/>
  <c r="F1571" i="39"/>
  <c r="F1566" i="39"/>
  <c r="C1565" i="39"/>
  <c r="U1565" i="39" s="1"/>
  <c r="C2044" i="39"/>
  <c r="U2044" i="39" s="1"/>
  <c r="F2045" i="39"/>
  <c r="X2045" i="39" s="1"/>
  <c r="C1505" i="39"/>
  <c r="U1505" i="39" s="1"/>
  <c r="F1506" i="39"/>
  <c r="C1569" i="39"/>
  <c r="U1569" i="39" s="1"/>
  <c r="C1709" i="39"/>
  <c r="U1709" i="39" s="1"/>
  <c r="C1619" i="39"/>
  <c r="U1619" i="39" s="1"/>
  <c r="F1620" i="39"/>
  <c r="F1621" i="39"/>
  <c r="F1473" i="39"/>
  <c r="C1472" i="39"/>
  <c r="U1472" i="39" s="1"/>
  <c r="C1333" i="39"/>
  <c r="U1333" i="39" s="1"/>
  <c r="F1334" i="39"/>
  <c r="C1765" i="39"/>
  <c r="U1765" i="39" s="1"/>
  <c r="F1766" i="39"/>
  <c r="X1766" i="39" s="1"/>
  <c r="X1949" i="39" l="1"/>
  <c r="X878" i="39"/>
  <c r="X1715" i="39"/>
  <c r="V1814" i="39"/>
  <c r="Y1814" i="39"/>
  <c r="V1699" i="39"/>
  <c r="Y1699" i="39"/>
  <c r="V1300" i="39"/>
  <c r="Y1300" i="39"/>
  <c r="V1278" i="39"/>
  <c r="Y1278" i="39"/>
  <c r="V1227" i="39"/>
  <c r="Y1227" i="39"/>
  <c r="V1524" i="39"/>
  <c r="Y1524" i="39"/>
  <c r="V625" i="39"/>
  <c r="Y625" i="39"/>
  <c r="X626" i="39"/>
  <c r="Y1360" i="39"/>
  <c r="V1360" i="39"/>
  <c r="V809" i="39"/>
  <c r="Y809" i="39"/>
  <c r="Y231" i="39"/>
  <c r="V231" i="39"/>
  <c r="V1974" i="39"/>
  <c r="Y1974" i="39"/>
  <c r="V488" i="39"/>
  <c r="Y488" i="39"/>
  <c r="V656" i="39"/>
  <c r="Y656" i="39"/>
  <c r="V2017" i="39"/>
  <c r="Y2017" i="39"/>
  <c r="V1568" i="39"/>
  <c r="Y1568" i="39"/>
  <c r="V1263" i="39"/>
  <c r="Y1263" i="39"/>
  <c r="V949" i="39"/>
  <c r="Y949" i="39"/>
  <c r="V1011" i="39"/>
  <c r="Y1011" i="39"/>
  <c r="V1766" i="39"/>
  <c r="Y1766" i="39"/>
  <c r="X1814" i="39"/>
  <c r="V1203" i="39"/>
  <c r="Y1203" i="39"/>
  <c r="Y188" i="39"/>
  <c r="V188" i="39"/>
  <c r="V1444" i="39"/>
  <c r="Y1444" i="39"/>
  <c r="V470" i="39"/>
  <c r="Y470" i="39"/>
  <c r="V1098" i="39"/>
  <c r="Y1098" i="39"/>
  <c r="X1098" i="39"/>
  <c r="X470" i="39"/>
  <c r="V1566" i="39"/>
  <c r="Y1566" i="39"/>
  <c r="V1571" i="39"/>
  <c r="Y1571" i="39"/>
  <c r="V1614" i="39"/>
  <c r="Y1614" i="39"/>
  <c r="X1615" i="39"/>
  <c r="X1616" i="39" s="1"/>
  <c r="X1617" i="39" s="1"/>
  <c r="X1618" i="39" s="1"/>
  <c r="X1619" i="39" s="1"/>
  <c r="X1620" i="39" s="1"/>
  <c r="X1621" i="39" s="1"/>
  <c r="V1334" i="39"/>
  <c r="Y1334" i="39"/>
  <c r="V1876" i="39"/>
  <c r="Y1876" i="39"/>
  <c r="V1189" i="39"/>
  <c r="Y1189" i="39"/>
  <c r="X1189" i="39"/>
  <c r="V902" i="39"/>
  <c r="Y902" i="39"/>
  <c r="X1566" i="39"/>
  <c r="Y1486" i="39"/>
  <c r="V1486" i="39"/>
  <c r="X1300" i="39"/>
  <c r="X488" i="39"/>
  <c r="V41" i="39"/>
  <c r="Y41" i="39"/>
  <c r="V529" i="39"/>
  <c r="Y529" i="39"/>
  <c r="V1153" i="39"/>
  <c r="Y1153" i="39"/>
  <c r="X1859" i="39"/>
  <c r="V1533" i="39"/>
  <c r="Y1533" i="39"/>
  <c r="V1262" i="39"/>
  <c r="Y1262" i="39"/>
  <c r="V1310" i="39"/>
  <c r="X1311" i="39"/>
  <c r="X1312" i="39" s="1"/>
  <c r="X1313" i="39" s="1"/>
  <c r="X1314" i="39" s="1"/>
  <c r="X1315" i="39" s="1"/>
  <c r="X1316" i="39" s="1"/>
  <c r="X1317" i="39" s="1"/>
  <c r="Y1310" i="39"/>
  <c r="V24" i="39"/>
  <c r="Y24" i="39"/>
  <c r="V1859" i="39"/>
  <c r="Y1859" i="39"/>
  <c r="V524" i="39"/>
  <c r="Y524" i="39"/>
  <c r="V1861" i="39"/>
  <c r="Y1861" i="39"/>
  <c r="X1360" i="39"/>
  <c r="X1361" i="39" s="1"/>
  <c r="X1716" i="39"/>
  <c r="V1426" i="39"/>
  <c r="Y1426" i="39"/>
  <c r="V1453" i="39"/>
  <c r="Y1453" i="39"/>
  <c r="X1699" i="39"/>
  <c r="X1876" i="39"/>
  <c r="X188" i="39"/>
  <c r="X189" i="39" s="1"/>
  <c r="V1412" i="39"/>
  <c r="Y1412" i="39"/>
  <c r="V966" i="39"/>
  <c r="Y966" i="39"/>
  <c r="V1044" i="39"/>
  <c r="Y1044" i="39"/>
  <c r="V1731" i="39"/>
  <c r="Y1731" i="39"/>
  <c r="V1473" i="39"/>
  <c r="Y1473" i="39"/>
  <c r="V1621" i="39"/>
  <c r="Y1621" i="39"/>
  <c r="V1620" i="39"/>
  <c r="Y1620" i="39"/>
  <c r="V1506" i="39"/>
  <c r="Y1506" i="39"/>
  <c r="X1507" i="39"/>
  <c r="X1508" i="39" s="1"/>
  <c r="X1509" i="39" s="1"/>
  <c r="X1510" i="39" s="1"/>
  <c r="X1511" i="39" s="1"/>
  <c r="X1512" i="39" s="1"/>
  <c r="X1513" i="39" s="1"/>
  <c r="X1514" i="39" s="1"/>
  <c r="X1515" i="39" s="1"/>
  <c r="X1516" i="39" s="1"/>
  <c r="X1517" i="39" s="1"/>
  <c r="V2000" i="39"/>
  <c r="Y2000" i="39"/>
  <c r="V878" i="39"/>
  <c r="Y878" i="39"/>
  <c r="V1949" i="39"/>
  <c r="Y1949" i="39"/>
  <c r="V2045" i="39"/>
  <c r="Y2045" i="39"/>
  <c r="V1715" i="39"/>
  <c r="Y1715" i="39"/>
  <c r="V1789" i="39"/>
  <c r="Y1789" i="39"/>
  <c r="V1317" i="39"/>
  <c r="Y1317" i="39"/>
  <c r="X1524" i="39"/>
  <c r="X1525" i="39" s="1"/>
  <c r="X1278" i="39"/>
  <c r="X1279" i="39" s="1"/>
  <c r="C1153" i="39"/>
  <c r="U1153" i="39" s="1"/>
  <c r="F1154" i="39"/>
  <c r="C188" i="39"/>
  <c r="U188" i="39" s="1"/>
  <c r="F189" i="39"/>
  <c r="C1861" i="39"/>
  <c r="U1861" i="39" s="1"/>
  <c r="F1862" i="39"/>
  <c r="F1860" i="39"/>
  <c r="C1859" i="39"/>
  <c r="U1859" i="39" s="1"/>
  <c r="C1731" i="39"/>
  <c r="U1731" i="39" s="1"/>
  <c r="F1732" i="39"/>
  <c r="F2018" i="39"/>
  <c r="C2037" i="39"/>
  <c r="U2037" i="39" s="1"/>
  <c r="F657" i="39"/>
  <c r="C1360" i="39"/>
  <c r="U1360" i="39" s="1"/>
  <c r="F1361" i="39"/>
  <c r="F967" i="39"/>
  <c r="F1950" i="39"/>
  <c r="C1949" i="39"/>
  <c r="U1949" i="39" s="1"/>
  <c r="C1317" i="39"/>
  <c r="U1317" i="39" s="1"/>
  <c r="F1318" i="39"/>
  <c r="F532" i="39"/>
  <c r="F531" i="39"/>
  <c r="C529" i="39"/>
  <c r="U529" i="39" s="1"/>
  <c r="F530" i="39"/>
  <c r="F526" i="39"/>
  <c r="F1099" i="39"/>
  <c r="C524" i="39"/>
  <c r="U524" i="39" s="1"/>
  <c r="F525" i="39"/>
  <c r="F489" i="39"/>
  <c r="C488" i="39"/>
  <c r="U488" i="39" s="1"/>
  <c r="F1877" i="39"/>
  <c r="C1876" i="39"/>
  <c r="U1876" i="39" s="1"/>
  <c r="C1699" i="39"/>
  <c r="U1699" i="39" s="1"/>
  <c r="F1701" i="39"/>
  <c r="F1700" i="39"/>
  <c r="F1525" i="39"/>
  <c r="C1524" i="39"/>
  <c r="U1524" i="39" s="1"/>
  <c r="C625" i="39"/>
  <c r="U625" i="39" s="1"/>
  <c r="C1814" i="39"/>
  <c r="U1814" i="39" s="1"/>
  <c r="F1815" i="39"/>
  <c r="F1790" i="39"/>
  <c r="C1789" i="39"/>
  <c r="U1789" i="39" s="1"/>
  <c r="F1454" i="39"/>
  <c r="C1453" i="39"/>
  <c r="U1453" i="39" s="1"/>
  <c r="F471" i="39"/>
  <c r="C470" i="39"/>
  <c r="U470" i="39" s="1"/>
  <c r="C41" i="39"/>
  <c r="U41" i="39" s="1"/>
  <c r="F42" i="39"/>
  <c r="C24" i="39"/>
  <c r="U24" i="39" s="1"/>
  <c r="F25" i="39"/>
  <c r="C231" i="39"/>
  <c r="U231" i="39" s="1"/>
  <c r="F232" i="39"/>
  <c r="C1098" i="39"/>
  <c r="U1098" i="39" s="1"/>
  <c r="F810" i="39"/>
  <c r="C809" i="39"/>
  <c r="U809" i="39" s="1"/>
  <c r="C1278" i="39"/>
  <c r="U1278" i="39" s="1"/>
  <c r="F1279" i="39"/>
  <c r="C1262" i="39"/>
  <c r="U1262" i="39" s="1"/>
  <c r="F1264" i="39"/>
  <c r="C1227" i="39"/>
  <c r="U1227" i="39" s="1"/>
  <c r="F1228" i="39"/>
  <c r="C965" i="39"/>
  <c r="U965" i="39" s="1"/>
  <c r="F950" i="39"/>
  <c r="C949" i="39"/>
  <c r="U949" i="39" s="1"/>
  <c r="C1444" i="39"/>
  <c r="U1444" i="39" s="1"/>
  <c r="F879" i="39"/>
  <c r="X879" i="39" s="1"/>
  <c r="C878" i="39"/>
  <c r="U878" i="39" s="1"/>
  <c r="F1445" i="39"/>
  <c r="C1203" i="39"/>
  <c r="U1203" i="39" s="1"/>
  <c r="F1204" i="39"/>
  <c r="F903" i="39"/>
  <c r="X903" i="39" s="1"/>
  <c r="C902" i="39"/>
  <c r="U902" i="39" s="1"/>
  <c r="C1189" i="39"/>
  <c r="U1189" i="39" s="1"/>
  <c r="F1190" i="39"/>
  <c r="F1265" i="39"/>
  <c r="C1412" i="39"/>
  <c r="U1412" i="39" s="1"/>
  <c r="C1263" i="39"/>
  <c r="U1263" i="39" s="1"/>
  <c r="C1614" i="39"/>
  <c r="U1614" i="39" s="1"/>
  <c r="F1413" i="39"/>
  <c r="C1533" i="39"/>
  <c r="U1533" i="39" s="1"/>
  <c r="F1534" i="39"/>
  <c r="F1045" i="39"/>
  <c r="C1044" i="39"/>
  <c r="U1044" i="39" s="1"/>
  <c r="F2001" i="39"/>
  <c r="C2000" i="39"/>
  <c r="U2000" i="39" s="1"/>
  <c r="F1716" i="39"/>
  <c r="C1715" i="39"/>
  <c r="U1715" i="39" s="1"/>
  <c r="F1335" i="39"/>
  <c r="C1334" i="39"/>
  <c r="U1334" i="39" s="1"/>
  <c r="C1566" i="39"/>
  <c r="U1566" i="39" s="1"/>
  <c r="F1572" i="39"/>
  <c r="F1567" i="39"/>
  <c r="C1310" i="39"/>
  <c r="U1310" i="39" s="1"/>
  <c r="C1568" i="39"/>
  <c r="U1568" i="39" s="1"/>
  <c r="C1011" i="39"/>
  <c r="U1011" i="39" s="1"/>
  <c r="F1012" i="39"/>
  <c r="C1300" i="39"/>
  <c r="U1300" i="39" s="1"/>
  <c r="F1301" i="39"/>
  <c r="C1506" i="39"/>
  <c r="U1506" i="39" s="1"/>
  <c r="F2046" i="39"/>
  <c r="X2046" i="39" s="1"/>
  <c r="C2045" i="39"/>
  <c r="U2045" i="39" s="1"/>
  <c r="F1975" i="39"/>
  <c r="C1974" i="39"/>
  <c r="U1974" i="39" s="1"/>
  <c r="C1426" i="39"/>
  <c r="U1426" i="39" s="1"/>
  <c r="F1427" i="39"/>
  <c r="C1621" i="39"/>
  <c r="U1621" i="39" s="1"/>
  <c r="C1571" i="39"/>
  <c r="U1571" i="39" s="1"/>
  <c r="F1622" i="39"/>
  <c r="C1620" i="39"/>
  <c r="U1620" i="39" s="1"/>
  <c r="F1487" i="39"/>
  <c r="C1486" i="39"/>
  <c r="U1486" i="39" s="1"/>
  <c r="F1767" i="39"/>
  <c r="C1766" i="39"/>
  <c r="U1766" i="39" s="1"/>
  <c r="C1473" i="39"/>
  <c r="U1473" i="39" s="1"/>
  <c r="F1474" i="39"/>
  <c r="X1301" i="39" l="1"/>
  <c r="X489" i="39"/>
  <c r="X1099" i="39"/>
  <c r="X1190" i="39"/>
  <c r="X1567" i="39"/>
  <c r="X1568" i="39" s="1"/>
  <c r="X1569" i="39" s="1"/>
  <c r="X1570" i="39" s="1"/>
  <c r="X1571" i="39" s="1"/>
  <c r="V1767" i="39"/>
  <c r="Y1767" i="39"/>
  <c r="V1335" i="39"/>
  <c r="Y1335" i="39"/>
  <c r="V1318" i="39"/>
  <c r="Y1318" i="39"/>
  <c r="V471" i="39"/>
  <c r="Y471" i="39"/>
  <c r="V532" i="39"/>
  <c r="Y532" i="39"/>
  <c r="Y1790" i="39"/>
  <c r="V1790" i="39"/>
  <c r="V526" i="39"/>
  <c r="Y526" i="39"/>
  <c r="X1362" i="39"/>
  <c r="V1716" i="39"/>
  <c r="Y1716" i="39"/>
  <c r="V967" i="39"/>
  <c r="Y967" i="39"/>
  <c r="V1975" i="39"/>
  <c r="Y1975" i="39"/>
  <c r="V1525" i="39"/>
  <c r="Y1525" i="39"/>
  <c r="V1572" i="39"/>
  <c r="Y1572" i="39"/>
  <c r="V1950" i="39"/>
  <c r="Y1950" i="39"/>
  <c r="V1154" i="39"/>
  <c r="Y1154" i="39"/>
  <c r="V1622" i="39"/>
  <c r="Y1622" i="39"/>
  <c r="V950" i="39"/>
  <c r="Y950" i="39"/>
  <c r="X1191" i="39"/>
  <c r="V530" i="39"/>
  <c r="Y530" i="39"/>
  <c r="V1487" i="39"/>
  <c r="Y1487" i="39"/>
  <c r="V1454" i="39"/>
  <c r="Y1454" i="39"/>
  <c r="X1318" i="39"/>
  <c r="V1012" i="39"/>
  <c r="Y1012" i="39"/>
  <c r="V1190" i="39"/>
  <c r="Y1190" i="39"/>
  <c r="Y232" i="39"/>
  <c r="V232" i="39"/>
  <c r="V879" i="39"/>
  <c r="Y879" i="39"/>
  <c r="V531" i="39"/>
  <c r="Y531" i="39"/>
  <c r="X471" i="39"/>
  <c r="X472" i="39" s="1"/>
  <c r="V2001" i="39"/>
  <c r="Y2001" i="39"/>
  <c r="V1427" i="39"/>
  <c r="Y1427" i="39"/>
  <c r="V1534" i="39"/>
  <c r="Y1534" i="39"/>
  <c r="Y1413" i="39"/>
  <c r="V1413" i="39"/>
  <c r="V1301" i="39"/>
  <c r="Y1301" i="39"/>
  <c r="V1265" i="39"/>
  <c r="Y1265" i="39"/>
  <c r="V1877" i="39"/>
  <c r="Y1877" i="39"/>
  <c r="V489" i="39"/>
  <c r="Y489" i="39"/>
  <c r="X490" i="39"/>
  <c r="X491" i="39" s="1"/>
  <c r="X492" i="39" s="1"/>
  <c r="X493" i="39" s="1"/>
  <c r="X494" i="39" s="1"/>
  <c r="X495" i="39" s="1"/>
  <c r="X496" i="39" s="1"/>
  <c r="X497" i="39" s="1"/>
  <c r="X498" i="39" s="1"/>
  <c r="V1860" i="39"/>
  <c r="Y1860" i="39"/>
  <c r="X2001" i="39"/>
  <c r="X2002" i="39" s="1"/>
  <c r="X1877" i="39"/>
  <c r="X1950" i="39"/>
  <c r="X1951" i="39" s="1"/>
  <c r="X1975" i="39"/>
  <c r="X1976" i="39" s="1"/>
  <c r="X1302" i="39"/>
  <c r="V1228" i="39"/>
  <c r="Y1228" i="39"/>
  <c r="V1361" i="39"/>
  <c r="Y1361" i="39"/>
  <c r="V1279" i="39"/>
  <c r="Y1279" i="39"/>
  <c r="V657" i="39"/>
  <c r="Y657" i="39"/>
  <c r="V2018" i="39"/>
  <c r="X2019" i="39"/>
  <c r="X2020" i="39" s="1"/>
  <c r="Y2018" i="39"/>
  <c r="V25" i="39"/>
  <c r="Y25" i="39"/>
  <c r="V525" i="39"/>
  <c r="Y525" i="39"/>
  <c r="V1862" i="39"/>
  <c r="Y1862" i="39"/>
  <c r="X1700" i="39"/>
  <c r="X1701" i="39" s="1"/>
  <c r="X1815" i="39"/>
  <c r="X1816" i="39" s="1"/>
  <c r="X657" i="39"/>
  <c r="V1445" i="39"/>
  <c r="Y1445" i="39"/>
  <c r="V1045" i="39"/>
  <c r="Y1045" i="39"/>
  <c r="V1264" i="39"/>
  <c r="Y1264" i="39"/>
  <c r="V1700" i="39"/>
  <c r="Y1700" i="39"/>
  <c r="V1732" i="39"/>
  <c r="Y1732" i="39"/>
  <c r="V1474" i="39"/>
  <c r="Y1474" i="39"/>
  <c r="V903" i="39"/>
  <c r="Y903" i="39"/>
  <c r="X1622" i="39"/>
  <c r="X1572" i="39"/>
  <c r="X1573" i="39" s="1"/>
  <c r="V1815" i="39"/>
  <c r="Y1815" i="39"/>
  <c r="V2046" i="39"/>
  <c r="Y2046" i="39"/>
  <c r="V1701" i="39"/>
  <c r="Y1701" i="39"/>
  <c r="V810" i="39"/>
  <c r="Y810" i="39"/>
  <c r="V1567" i="39"/>
  <c r="Y1567" i="39"/>
  <c r="V1204" i="39"/>
  <c r="Y1204" i="39"/>
  <c r="V42" i="39"/>
  <c r="Y42" i="39"/>
  <c r="V1099" i="39"/>
  <c r="Y1099" i="39"/>
  <c r="V189" i="39"/>
  <c r="Y189" i="39"/>
  <c r="X1860" i="39"/>
  <c r="X1861" i="39" s="1"/>
  <c r="X1862" i="39" s="1"/>
  <c r="X1767" i="39"/>
  <c r="F1155" i="39"/>
  <c r="C1154" i="39"/>
  <c r="U1154" i="39" s="1"/>
  <c r="C189" i="39"/>
  <c r="U189" i="39" s="1"/>
  <c r="F190" i="39"/>
  <c r="X190" i="39" s="1"/>
  <c r="C1862" i="39"/>
  <c r="U1862" i="39" s="1"/>
  <c r="F1863" i="39"/>
  <c r="C1860" i="39"/>
  <c r="U1860" i="39" s="1"/>
  <c r="C1732" i="39"/>
  <c r="U1732" i="39" s="1"/>
  <c r="F1733" i="39"/>
  <c r="F1319" i="39"/>
  <c r="C2017" i="39"/>
  <c r="U2017" i="39" s="1"/>
  <c r="F658" i="39"/>
  <c r="C1361" i="39"/>
  <c r="U1361" i="39" s="1"/>
  <c r="F1362" i="39"/>
  <c r="F968" i="39"/>
  <c r="F1951" i="39"/>
  <c r="C1950" i="39"/>
  <c r="U1950" i="39" s="1"/>
  <c r="C1318" i="39"/>
  <c r="U1318" i="39" s="1"/>
  <c r="C532" i="39"/>
  <c r="U532" i="39" s="1"/>
  <c r="C531" i="39"/>
  <c r="U531" i="39" s="1"/>
  <c r="C530" i="39"/>
  <c r="U530" i="39" s="1"/>
  <c r="F1100" i="39"/>
  <c r="C526" i="39"/>
  <c r="U526" i="39" s="1"/>
  <c r="F533" i="39"/>
  <c r="C525" i="39"/>
  <c r="U525" i="39" s="1"/>
  <c r="C489" i="39"/>
  <c r="U489" i="39" s="1"/>
  <c r="C1700" i="39"/>
  <c r="U1700" i="39" s="1"/>
  <c r="F1703" i="39"/>
  <c r="F1702" i="39"/>
  <c r="F1878" i="39"/>
  <c r="C1877" i="39"/>
  <c r="U1877" i="39" s="1"/>
  <c r="C1701" i="39"/>
  <c r="U1701" i="39" s="1"/>
  <c r="F904" i="39"/>
  <c r="X904" i="39" s="1"/>
  <c r="F1526" i="39"/>
  <c r="X1526" i="39" s="1"/>
  <c r="C1525" i="39"/>
  <c r="U1525" i="39" s="1"/>
  <c r="F1816" i="39"/>
  <c r="C1815" i="39"/>
  <c r="U1815" i="39" s="1"/>
  <c r="F1791" i="39"/>
  <c r="C1790" i="39"/>
  <c r="U1790" i="39" s="1"/>
  <c r="F1455" i="39"/>
  <c r="C1454" i="39"/>
  <c r="U1454" i="39" s="1"/>
  <c r="C471" i="39"/>
  <c r="U471" i="39" s="1"/>
  <c r="F472" i="39"/>
  <c r="F43" i="39"/>
  <c r="C42" i="39"/>
  <c r="U42" i="39" s="1"/>
  <c r="F26" i="39"/>
  <c r="C25" i="39"/>
  <c r="U25" i="39" s="1"/>
  <c r="C232" i="39"/>
  <c r="U232" i="39" s="1"/>
  <c r="F233" i="39"/>
  <c r="C1099" i="39"/>
  <c r="U1099" i="39" s="1"/>
  <c r="C810" i="39"/>
  <c r="U810" i="39" s="1"/>
  <c r="F811" i="39"/>
  <c r="C1279" i="39"/>
  <c r="U1279" i="39" s="1"/>
  <c r="F1280" i="39"/>
  <c r="X1280" i="39" s="1"/>
  <c r="F1266" i="39"/>
  <c r="C1264" i="39"/>
  <c r="U1264" i="39" s="1"/>
  <c r="C1228" i="39"/>
  <c r="U1228" i="39" s="1"/>
  <c r="F1229" i="39"/>
  <c r="C966" i="39"/>
  <c r="U966" i="39" s="1"/>
  <c r="F951" i="39"/>
  <c r="C950" i="39"/>
  <c r="U950" i="39" s="1"/>
  <c r="C879" i="39"/>
  <c r="U879" i="39" s="1"/>
  <c r="F1446" i="39"/>
  <c r="C1445" i="39"/>
  <c r="U1445" i="39" s="1"/>
  <c r="F880" i="39"/>
  <c r="F1205" i="39"/>
  <c r="C1204" i="39"/>
  <c r="U1204" i="39" s="1"/>
  <c r="C903" i="39"/>
  <c r="U903" i="39" s="1"/>
  <c r="F1191" i="39"/>
  <c r="C1190" i="39"/>
  <c r="U1190" i="39" s="1"/>
  <c r="C1413" i="39"/>
  <c r="U1413" i="39" s="1"/>
  <c r="F1414" i="39"/>
  <c r="C1265" i="39"/>
  <c r="U1265" i="39" s="1"/>
  <c r="F1267" i="39"/>
  <c r="F1535" i="39"/>
  <c r="C1534" i="39"/>
  <c r="U1534" i="39" s="1"/>
  <c r="F1046" i="39"/>
  <c r="C1045" i="39"/>
  <c r="U1045" i="39" s="1"/>
  <c r="F1717" i="39"/>
  <c r="X1717" i="39" s="1"/>
  <c r="C1716" i="39"/>
  <c r="U1716" i="39" s="1"/>
  <c r="C2001" i="39"/>
  <c r="U2001" i="39" s="1"/>
  <c r="F2002" i="39"/>
  <c r="F1013" i="39"/>
  <c r="C1012" i="39"/>
  <c r="U1012" i="39" s="1"/>
  <c r="C2046" i="39"/>
  <c r="U2046" i="39" s="1"/>
  <c r="C1567" i="39"/>
  <c r="U1567" i="39" s="1"/>
  <c r="F1573" i="39"/>
  <c r="C1301" i="39"/>
  <c r="U1301" i="39" s="1"/>
  <c r="F1302" i="39"/>
  <c r="C1572" i="39"/>
  <c r="U1572" i="39" s="1"/>
  <c r="F1428" i="39"/>
  <c r="C1427" i="39"/>
  <c r="U1427" i="39" s="1"/>
  <c r="F1488" i="39"/>
  <c r="C1487" i="39"/>
  <c r="U1487" i="39" s="1"/>
  <c r="C1767" i="39"/>
  <c r="U1767" i="39" s="1"/>
  <c r="F1768" i="39"/>
  <c r="C1622" i="39"/>
  <c r="U1622" i="39" s="1"/>
  <c r="F1623" i="39"/>
  <c r="F1475" i="39"/>
  <c r="C1474" i="39"/>
  <c r="U1474" i="39" s="1"/>
  <c r="C1975" i="39"/>
  <c r="U1975" i="39" s="1"/>
  <c r="F1976" i="39"/>
  <c r="F1336" i="39"/>
  <c r="C1335" i="39"/>
  <c r="U1335" i="39" s="1"/>
  <c r="X658" i="39" l="1"/>
  <c r="X1623" i="39"/>
  <c r="X1702" i="39"/>
  <c r="X1703" i="39" s="1"/>
  <c r="Y1702" i="39"/>
  <c r="V1702" i="39"/>
  <c r="V1878" i="39"/>
  <c r="Y1878" i="39"/>
  <c r="V1535" i="39"/>
  <c r="Y1535" i="39"/>
  <c r="V1488" i="39"/>
  <c r="Y1488" i="39"/>
  <c r="X1574" i="39"/>
  <c r="V1573" i="39"/>
  <c r="Y1573" i="39"/>
  <c r="X1527" i="39"/>
  <c r="V1205" i="39"/>
  <c r="Y1205" i="39"/>
  <c r="X1281" i="39"/>
  <c r="V1267" i="39"/>
  <c r="Y1267" i="39"/>
  <c r="V26" i="39"/>
  <c r="Y26" i="39"/>
  <c r="X1878" i="39"/>
  <c r="V1100" i="39"/>
  <c r="Y1100" i="39"/>
  <c r="V1733" i="39"/>
  <c r="Y1733" i="39"/>
  <c r="V1428" i="39"/>
  <c r="Y1428" i="39"/>
  <c r="V533" i="39"/>
  <c r="Y533" i="39"/>
  <c r="V1446" i="39"/>
  <c r="Y1446" i="39"/>
  <c r="X1447" i="39"/>
  <c r="X1448" i="39" s="1"/>
  <c r="X1449" i="39" s="1"/>
  <c r="X1450" i="39" s="1"/>
  <c r="X1451" i="39" s="1"/>
  <c r="X1452" i="39" s="1"/>
  <c r="X1453" i="39" s="1"/>
  <c r="X1454" i="39" s="1"/>
  <c r="X1455" i="39" s="1"/>
  <c r="X1456" i="39" s="1"/>
  <c r="X1100" i="39"/>
  <c r="V1951" i="39"/>
  <c r="Y1951" i="39"/>
  <c r="V1336" i="39"/>
  <c r="Y1336" i="39"/>
  <c r="V1976" i="39"/>
  <c r="Y1976" i="39"/>
  <c r="V1229" i="39"/>
  <c r="Y1229" i="39"/>
  <c r="V1816" i="39"/>
  <c r="Y1816" i="39"/>
  <c r="X1817" i="39"/>
  <c r="X1818" i="39" s="1"/>
  <c r="X1819" i="39" s="1"/>
  <c r="X1820" i="39" s="1"/>
  <c r="X1821" i="39" s="1"/>
  <c r="X1822" i="39" s="1"/>
  <c r="X1823" i="39" s="1"/>
  <c r="V1362" i="39"/>
  <c r="Y1362" i="39"/>
  <c r="V1414" i="39"/>
  <c r="Y1414" i="39"/>
  <c r="V1302" i="39"/>
  <c r="Y1302" i="39"/>
  <c r="V1155" i="39"/>
  <c r="Y1155" i="39"/>
  <c r="V43" i="39"/>
  <c r="Y43" i="39"/>
  <c r="V880" i="39"/>
  <c r="Y880" i="39"/>
  <c r="V2002" i="39"/>
  <c r="X2003" i="39"/>
  <c r="X2004" i="39" s="1"/>
  <c r="X2005" i="39" s="1"/>
  <c r="X2006" i="39" s="1"/>
  <c r="X2007" i="39" s="1"/>
  <c r="X2008" i="39" s="1"/>
  <c r="X2009" i="39" s="1"/>
  <c r="X2010" i="39" s="1"/>
  <c r="X2011" i="39" s="1"/>
  <c r="X2012" i="39" s="1"/>
  <c r="X2013" i="39" s="1"/>
  <c r="X2014" i="39" s="1"/>
  <c r="X2015" i="39" s="1"/>
  <c r="X2016" i="39" s="1"/>
  <c r="X2017" i="39" s="1"/>
  <c r="X2018" i="39" s="1"/>
  <c r="Y2002" i="39"/>
  <c r="V1863" i="39"/>
  <c r="Y1863" i="39"/>
  <c r="X1864" i="39"/>
  <c r="X1865" i="39" s="1"/>
  <c r="X1866" i="39" s="1"/>
  <c r="X1867" i="39" s="1"/>
  <c r="X1868" i="39" s="1"/>
  <c r="X1869" i="39" s="1"/>
  <c r="V233" i="39"/>
  <c r="Y233" i="39"/>
  <c r="X1863" i="39"/>
  <c r="V968" i="39"/>
  <c r="Y968" i="39"/>
  <c r="V1526" i="39"/>
  <c r="Y1526" i="39"/>
  <c r="Y658" i="39"/>
  <c r="V658" i="39"/>
  <c r="X659" i="39"/>
  <c r="V1703" i="39"/>
  <c r="Y1703" i="39"/>
  <c r="X1768" i="39"/>
  <c r="V472" i="39"/>
  <c r="Y472" i="39"/>
  <c r="V1455" i="39"/>
  <c r="Y1455" i="39"/>
  <c r="V951" i="39"/>
  <c r="Y951" i="39"/>
  <c r="V1266" i="39"/>
  <c r="Y1266" i="39"/>
  <c r="V904" i="39"/>
  <c r="Y904" i="39"/>
  <c r="X1319" i="39"/>
  <c r="V1768" i="39"/>
  <c r="Y1768" i="39"/>
  <c r="V811" i="39"/>
  <c r="Y811" i="39"/>
  <c r="V190" i="39"/>
  <c r="Y190" i="39"/>
  <c r="V1191" i="39"/>
  <c r="Y1191" i="39"/>
  <c r="V1013" i="39"/>
  <c r="Y1013" i="39"/>
  <c r="V1791" i="39"/>
  <c r="Y1791" i="39"/>
  <c r="V1717" i="39"/>
  <c r="Y1717" i="39"/>
  <c r="V1475" i="39"/>
  <c r="Y1475" i="39"/>
  <c r="V1046" i="39"/>
  <c r="Y1046" i="39"/>
  <c r="X1047" i="39"/>
  <c r="X1048" i="39" s="1"/>
  <c r="X1049" i="39" s="1"/>
  <c r="V1623" i="39"/>
  <c r="Y1623" i="39"/>
  <c r="V1280" i="39"/>
  <c r="Y1280" i="39"/>
  <c r="V1319" i="39"/>
  <c r="Y1319" i="39"/>
  <c r="X880" i="39"/>
  <c r="C1155" i="39"/>
  <c r="U1155" i="39" s="1"/>
  <c r="F1156" i="39"/>
  <c r="F191" i="39"/>
  <c r="C190" i="39"/>
  <c r="U190" i="39" s="1"/>
  <c r="C1863" i="39"/>
  <c r="U1863" i="39" s="1"/>
  <c r="F1734" i="39"/>
  <c r="C1733" i="39"/>
  <c r="U1733" i="39" s="1"/>
  <c r="F1320" i="39"/>
  <c r="C2018" i="39"/>
  <c r="U2018" i="39" s="1"/>
  <c r="F1363" i="39"/>
  <c r="X1363" i="39" s="1"/>
  <c r="C1362" i="39"/>
  <c r="U1362" i="39" s="1"/>
  <c r="F969" i="39"/>
  <c r="F1952" i="39"/>
  <c r="X1952" i="39" s="1"/>
  <c r="C1951" i="39"/>
  <c r="U1951" i="39" s="1"/>
  <c r="F1101" i="39"/>
  <c r="C533" i="39"/>
  <c r="U533" i="39" s="1"/>
  <c r="F534" i="39"/>
  <c r="C1703" i="39"/>
  <c r="U1703" i="39" s="1"/>
  <c r="C1702" i="39"/>
  <c r="U1702" i="39" s="1"/>
  <c r="F1704" i="39"/>
  <c r="X1704" i="39" s="1"/>
  <c r="C1878" i="39"/>
  <c r="U1878" i="39" s="1"/>
  <c r="F1879" i="39"/>
  <c r="F1625" i="39"/>
  <c r="F905" i="39"/>
  <c r="X905" i="39" s="1"/>
  <c r="F1527" i="39"/>
  <c r="C1526" i="39"/>
  <c r="U1526" i="39" s="1"/>
  <c r="C1816" i="39"/>
  <c r="U1816" i="39" s="1"/>
  <c r="F1792" i="39"/>
  <c r="C1791" i="39"/>
  <c r="U1791" i="39" s="1"/>
  <c r="F1456" i="39"/>
  <c r="C1455" i="39"/>
  <c r="U1455" i="39" s="1"/>
  <c r="F473" i="39"/>
  <c r="X473" i="39" s="1"/>
  <c r="C472" i="39"/>
  <c r="U472" i="39" s="1"/>
  <c r="F44" i="39"/>
  <c r="C43" i="39"/>
  <c r="U43" i="39" s="1"/>
  <c r="C26" i="39"/>
  <c r="U26" i="39" s="1"/>
  <c r="F27" i="39"/>
  <c r="C233" i="39"/>
  <c r="U233" i="39" s="1"/>
  <c r="F234" i="39"/>
  <c r="F812" i="39"/>
  <c r="C811" i="39"/>
  <c r="U811" i="39" s="1"/>
  <c r="F1281" i="39"/>
  <c r="C1280" i="39"/>
  <c r="U1280" i="39" s="1"/>
  <c r="C1266" i="39"/>
  <c r="U1266" i="39" s="1"/>
  <c r="F1268" i="39"/>
  <c r="F1230" i="39"/>
  <c r="C967" i="39"/>
  <c r="U967" i="39" s="1"/>
  <c r="C1446" i="39"/>
  <c r="U1446" i="39" s="1"/>
  <c r="C1229" i="39"/>
  <c r="U1229" i="39" s="1"/>
  <c r="F952" i="39"/>
  <c r="C951" i="39"/>
  <c r="U951" i="39" s="1"/>
  <c r="F881" i="39"/>
  <c r="C880" i="39"/>
  <c r="U880" i="39" s="1"/>
  <c r="F1206" i="39"/>
  <c r="C1205" i="39"/>
  <c r="U1205" i="39" s="1"/>
  <c r="C1414" i="39"/>
  <c r="U1414" i="39" s="1"/>
  <c r="F1192" i="39"/>
  <c r="X1192" i="39" s="1"/>
  <c r="C1191" i="39"/>
  <c r="U1191" i="39" s="1"/>
  <c r="F1415" i="39"/>
  <c r="F1576" i="39"/>
  <c r="C1267" i="39"/>
  <c r="U1267" i="39" s="1"/>
  <c r="C1046" i="39"/>
  <c r="U1046" i="39" s="1"/>
  <c r="F1536" i="39"/>
  <c r="C1535" i="39"/>
  <c r="U1535" i="39" s="1"/>
  <c r="C2002" i="39"/>
  <c r="U2002" i="39" s="1"/>
  <c r="C1717" i="39"/>
  <c r="U1717" i="39" s="1"/>
  <c r="F1718" i="39"/>
  <c r="F1303" i="39"/>
  <c r="C1302" i="39"/>
  <c r="U1302" i="39" s="1"/>
  <c r="C1475" i="39"/>
  <c r="U1475" i="39" s="1"/>
  <c r="F1476" i="39"/>
  <c r="C1623" i="39"/>
  <c r="U1623" i="39" s="1"/>
  <c r="F1624" i="39"/>
  <c r="F1014" i="39"/>
  <c r="C1013" i="39"/>
  <c r="U1013" i="39" s="1"/>
  <c r="C1488" i="39"/>
  <c r="U1488" i="39" s="1"/>
  <c r="F1489" i="39"/>
  <c r="F1769" i="39"/>
  <c r="C1768" i="39"/>
  <c r="U1768" i="39" s="1"/>
  <c r="F1337" i="39"/>
  <c r="C1336" i="39"/>
  <c r="U1336" i="39" s="1"/>
  <c r="C1428" i="39"/>
  <c r="U1428" i="39" s="1"/>
  <c r="F1429" i="39"/>
  <c r="C1976" i="39"/>
  <c r="U1976" i="39" s="1"/>
  <c r="F1977" i="39"/>
  <c r="C1573" i="39"/>
  <c r="U1573" i="39" s="1"/>
  <c r="F1574" i="39"/>
  <c r="X1769" i="39" l="1"/>
  <c r="X1101" i="39"/>
  <c r="V1456" i="39"/>
  <c r="Y1456" i="39"/>
  <c r="V881" i="39"/>
  <c r="Y881" i="39"/>
  <c r="V191" i="39"/>
  <c r="Y191" i="39"/>
  <c r="V1156" i="39"/>
  <c r="Y1156" i="39"/>
  <c r="V1718" i="39"/>
  <c r="Y1718" i="39"/>
  <c r="V1624" i="39"/>
  <c r="Y1624" i="39"/>
  <c r="V952" i="39"/>
  <c r="Y952" i="39"/>
  <c r="V1476" i="39"/>
  <c r="Y1476" i="39"/>
  <c r="X1193" i="39"/>
  <c r="V1879" i="39"/>
  <c r="Y1879" i="39"/>
  <c r="Y1977" i="39"/>
  <c r="V1977" i="39"/>
  <c r="X1977" i="39"/>
  <c r="V1734" i="39"/>
  <c r="Y1734" i="39"/>
  <c r="X1624" i="39"/>
  <c r="X1625" i="39" s="1"/>
  <c r="V1625" i="39"/>
  <c r="Y1625" i="39"/>
  <c r="X881" i="39"/>
  <c r="V1536" i="39"/>
  <c r="Y1536" i="39"/>
  <c r="V1429" i="39"/>
  <c r="Y1429" i="39"/>
  <c r="V1415" i="39"/>
  <c r="Y1415" i="39"/>
  <c r="X1879" i="39"/>
  <c r="X1880" i="39" s="1"/>
  <c r="V1792" i="39"/>
  <c r="Y1792" i="39"/>
  <c r="X1575" i="39"/>
  <c r="X1576" i="39" s="1"/>
  <c r="X1320" i="39"/>
  <c r="V234" i="39"/>
  <c r="Y234" i="39"/>
  <c r="V1576" i="39"/>
  <c r="Y1576" i="39"/>
  <c r="V27" i="39"/>
  <c r="Y27" i="39"/>
  <c r="V1337" i="39"/>
  <c r="Y1337" i="39"/>
  <c r="V1192" i="39"/>
  <c r="Y1192" i="39"/>
  <c r="V1952" i="39"/>
  <c r="Y1952" i="39"/>
  <c r="V1014" i="39"/>
  <c r="Y1014" i="39"/>
  <c r="V1320" i="39"/>
  <c r="Y1320" i="39"/>
  <c r="Y1303" i="39"/>
  <c r="V1303" i="39"/>
  <c r="V1268" i="39"/>
  <c r="Y1268" i="39"/>
  <c r="X1269" i="39"/>
  <c r="X1270" i="39" s="1"/>
  <c r="X1271" i="39" s="1"/>
  <c r="X1272" i="39" s="1"/>
  <c r="X1303" i="39"/>
  <c r="X1304" i="39" s="1"/>
  <c r="X1718" i="39"/>
  <c r="V534" i="39"/>
  <c r="Y534" i="39"/>
  <c r="V1769" i="39"/>
  <c r="Y1769" i="39"/>
  <c r="V44" i="39"/>
  <c r="Y44" i="39"/>
  <c r="V969" i="39"/>
  <c r="Y969" i="39"/>
  <c r="V1527" i="39"/>
  <c r="X1528" i="39"/>
  <c r="X1529" i="39" s="1"/>
  <c r="X1530" i="39" s="1"/>
  <c r="X1531" i="39" s="1"/>
  <c r="X1532" i="39" s="1"/>
  <c r="X1533" i="39" s="1"/>
  <c r="X1534" i="39" s="1"/>
  <c r="X1535" i="39" s="1"/>
  <c r="X1536" i="39" s="1"/>
  <c r="X1537" i="39" s="1"/>
  <c r="Y1527" i="39"/>
  <c r="Y812" i="39"/>
  <c r="V812" i="39"/>
  <c r="V1101" i="39"/>
  <c r="Y1101" i="39"/>
  <c r="V1489" i="39"/>
  <c r="Y1489" i="39"/>
  <c r="X1102" i="39"/>
  <c r="V1230" i="39"/>
  <c r="Y1230" i="39"/>
  <c r="V905" i="39"/>
  <c r="Y905" i="39"/>
  <c r="V1574" i="39"/>
  <c r="Y1574" i="39"/>
  <c r="V1281" i="39"/>
  <c r="Y1281" i="39"/>
  <c r="V1704" i="39"/>
  <c r="X1705" i="39"/>
  <c r="X1706" i="39" s="1"/>
  <c r="X1707" i="39" s="1"/>
  <c r="X1708" i="39" s="1"/>
  <c r="X1709" i="39" s="1"/>
  <c r="Y1704" i="39"/>
  <c r="V1206" i="39"/>
  <c r="Y1206" i="39"/>
  <c r="V473" i="39"/>
  <c r="Y473" i="39"/>
  <c r="V1363" i="39"/>
  <c r="Y1363" i="39"/>
  <c r="X191" i="39"/>
  <c r="F1157" i="39"/>
  <c r="C1156" i="39"/>
  <c r="U1156" i="39" s="1"/>
  <c r="C191" i="39"/>
  <c r="U191" i="39" s="1"/>
  <c r="F192" i="39"/>
  <c r="C1734" i="39"/>
  <c r="U1734" i="39" s="1"/>
  <c r="F1736" i="39"/>
  <c r="F1735" i="39"/>
  <c r="F1321" i="39"/>
  <c r="C1363" i="39"/>
  <c r="U1363" i="39" s="1"/>
  <c r="F1364" i="39"/>
  <c r="X1364" i="39" s="1"/>
  <c r="F970" i="39"/>
  <c r="C1952" i="39"/>
  <c r="U1952" i="39" s="1"/>
  <c r="F1953" i="39"/>
  <c r="C1319" i="39"/>
  <c r="U1319" i="39" s="1"/>
  <c r="F1102" i="39"/>
  <c r="F535" i="39"/>
  <c r="C534" i="39"/>
  <c r="U534" i="39" s="1"/>
  <c r="C1879" i="39"/>
  <c r="U1879" i="39" s="1"/>
  <c r="F1880" i="39"/>
  <c r="C1704" i="39"/>
  <c r="U1704" i="39" s="1"/>
  <c r="C1625" i="39"/>
  <c r="U1625" i="39" s="1"/>
  <c r="F906" i="39"/>
  <c r="C1527" i="39"/>
  <c r="U1527" i="39" s="1"/>
  <c r="F1793" i="39"/>
  <c r="C1792" i="39"/>
  <c r="U1792" i="39" s="1"/>
  <c r="F1457" i="39"/>
  <c r="X1457" i="39" s="1"/>
  <c r="C1456" i="39"/>
  <c r="U1456" i="39" s="1"/>
  <c r="F474" i="39"/>
  <c r="X474" i="39" s="1"/>
  <c r="C473" i="39"/>
  <c r="U473" i="39" s="1"/>
  <c r="F45" i="39"/>
  <c r="C44" i="39"/>
  <c r="U44" i="39" s="1"/>
  <c r="F28" i="39"/>
  <c r="C27" i="39"/>
  <c r="U27" i="39" s="1"/>
  <c r="F235" i="39"/>
  <c r="C234" i="39"/>
  <c r="U234" i="39" s="1"/>
  <c r="C1100" i="39"/>
  <c r="U1100" i="39" s="1"/>
  <c r="C812" i="39"/>
  <c r="U812" i="39" s="1"/>
  <c r="F813" i="39"/>
  <c r="C1281" i="39"/>
  <c r="U1281" i="39" s="1"/>
  <c r="F1282" i="39"/>
  <c r="X1282" i="39" s="1"/>
  <c r="C1268" i="39"/>
  <c r="U1268" i="39" s="1"/>
  <c r="C968" i="39"/>
  <c r="U968" i="39" s="1"/>
  <c r="C1230" i="39"/>
  <c r="U1230" i="39" s="1"/>
  <c r="F1231" i="39"/>
  <c r="C904" i="39"/>
  <c r="U904" i="39" s="1"/>
  <c r="C952" i="39"/>
  <c r="U952" i="39" s="1"/>
  <c r="F953" i="39"/>
  <c r="F1207" i="39"/>
  <c r="C881" i="39"/>
  <c r="U881" i="39" s="1"/>
  <c r="F882" i="39"/>
  <c r="C1206" i="39"/>
  <c r="U1206" i="39" s="1"/>
  <c r="C1192" i="39"/>
  <c r="U1192" i="39" s="1"/>
  <c r="F1193" i="39"/>
  <c r="F1416" i="39"/>
  <c r="C1415" i="39"/>
  <c r="U1415" i="39" s="1"/>
  <c r="C1576" i="39"/>
  <c r="U1576" i="39" s="1"/>
  <c r="F1537" i="39"/>
  <c r="C1536" i="39"/>
  <c r="U1536" i="39" s="1"/>
  <c r="F1719" i="39"/>
  <c r="C1718" i="39"/>
  <c r="U1718" i="39" s="1"/>
  <c r="C1977" i="39"/>
  <c r="U1977" i="39" s="1"/>
  <c r="F1978" i="39"/>
  <c r="C1624" i="39"/>
  <c r="U1624" i="39" s="1"/>
  <c r="F1626" i="39"/>
  <c r="F1304" i="39"/>
  <c r="C1303" i="39"/>
  <c r="U1303" i="39" s="1"/>
  <c r="F1015" i="39"/>
  <c r="C1014" i="39"/>
  <c r="U1014" i="39" s="1"/>
  <c r="C1337" i="39"/>
  <c r="U1337" i="39" s="1"/>
  <c r="F1338" i="39"/>
  <c r="F1770" i="39"/>
  <c r="X1770" i="39" s="1"/>
  <c r="C1769" i="39"/>
  <c r="U1769" i="39" s="1"/>
  <c r="F1490" i="39"/>
  <c r="C1489" i="39"/>
  <c r="U1489" i="39" s="1"/>
  <c r="C1574" i="39"/>
  <c r="U1574" i="39" s="1"/>
  <c r="F1575" i="39"/>
  <c r="F1477" i="39"/>
  <c r="C1476" i="39"/>
  <c r="U1476" i="39" s="1"/>
  <c r="C1429" i="39"/>
  <c r="U1429" i="39" s="1"/>
  <c r="F1430" i="39"/>
  <c r="X882" i="39" l="1"/>
  <c r="X192" i="39"/>
  <c r="V1626" i="39"/>
  <c r="Y1626" i="39"/>
  <c r="V1015" i="39"/>
  <c r="Y1015" i="39"/>
  <c r="V906" i="39"/>
  <c r="Y906" i="39"/>
  <c r="V1157" i="39"/>
  <c r="Y1157" i="39"/>
  <c r="X1626" i="39"/>
  <c r="X1627" i="39" s="1"/>
  <c r="V1231" i="39"/>
  <c r="Y1231" i="39"/>
  <c r="X475" i="39"/>
  <c r="V1880" i="39"/>
  <c r="Y1880" i="39"/>
  <c r="V1719" i="39"/>
  <c r="Y1719" i="39"/>
  <c r="V953" i="39"/>
  <c r="Y953" i="39"/>
  <c r="V1953" i="39"/>
  <c r="Y1953" i="39"/>
  <c r="V45" i="39"/>
  <c r="Y45" i="39"/>
  <c r="V1321" i="39"/>
  <c r="Y1321" i="39"/>
  <c r="X1978" i="39"/>
  <c r="V1793" i="39"/>
  <c r="Y1793" i="39"/>
  <c r="V813" i="39"/>
  <c r="Y813" i="39"/>
  <c r="V1102" i="39"/>
  <c r="Y1102" i="39"/>
  <c r="V235" i="39"/>
  <c r="Y235" i="39"/>
  <c r="V1477" i="39"/>
  <c r="Y1477" i="39"/>
  <c r="V28" i="39"/>
  <c r="Y28" i="39"/>
  <c r="Y1735" i="39"/>
  <c r="V1735" i="39"/>
  <c r="Y1304" i="39"/>
  <c r="V1304" i="39"/>
  <c r="X1305" i="39"/>
  <c r="X1306" i="39" s="1"/>
  <c r="X1307" i="39" s="1"/>
  <c r="X1308" i="39" s="1"/>
  <c r="X1309" i="39" s="1"/>
  <c r="X1310" i="39" s="1"/>
  <c r="V1978" i="39"/>
  <c r="Y1978" i="39"/>
  <c r="V535" i="39"/>
  <c r="Y535" i="39"/>
  <c r="Y1537" i="39"/>
  <c r="V1537" i="39"/>
  <c r="V970" i="39"/>
  <c r="Y970" i="39"/>
  <c r="V1575" i="39"/>
  <c r="Y1575" i="39"/>
  <c r="V1193" i="39"/>
  <c r="Y1193" i="39"/>
  <c r="V882" i="39"/>
  <c r="Y882" i="39"/>
  <c r="V474" i="39"/>
  <c r="Y474" i="39"/>
  <c r="V1736" i="39"/>
  <c r="Y1736" i="39"/>
  <c r="X1719" i="39"/>
  <c r="V1282" i="39"/>
  <c r="Y1282" i="39"/>
  <c r="V1770" i="39"/>
  <c r="Y1770" i="39"/>
  <c r="X1953" i="39"/>
  <c r="X883" i="39"/>
  <c r="V1430" i="39"/>
  <c r="Y1430" i="39"/>
  <c r="V1416" i="39"/>
  <c r="Y1416" i="39"/>
  <c r="V1364" i="39"/>
  <c r="Y1364" i="39"/>
  <c r="V1490" i="39"/>
  <c r="Y1490" i="39"/>
  <c r="V1338" i="39"/>
  <c r="Y1338" i="39"/>
  <c r="V1207" i="39"/>
  <c r="Y1207" i="39"/>
  <c r="V1457" i="39"/>
  <c r="Y1457" i="39"/>
  <c r="V192" i="39"/>
  <c r="Y192" i="39"/>
  <c r="X1321" i="39"/>
  <c r="X906" i="39"/>
  <c r="F193" i="39"/>
  <c r="C192" i="39"/>
  <c r="U192" i="39" s="1"/>
  <c r="F1158" i="39"/>
  <c r="C1157" i="39"/>
  <c r="U1157" i="39" s="1"/>
  <c r="C1735" i="39"/>
  <c r="U1735" i="39" s="1"/>
  <c r="C1736" i="39"/>
  <c r="U1736" i="39" s="1"/>
  <c r="F1737" i="39"/>
  <c r="F1322" i="39"/>
  <c r="F1365" i="39"/>
  <c r="X1365" i="39" s="1"/>
  <c r="C1364" i="39"/>
  <c r="U1364" i="39" s="1"/>
  <c r="F971" i="39"/>
  <c r="F1954" i="39"/>
  <c r="C1953" i="39"/>
  <c r="U1953" i="39" s="1"/>
  <c r="C1320" i="39"/>
  <c r="U1320" i="39" s="1"/>
  <c r="F1103" i="39"/>
  <c r="X1103" i="39" s="1"/>
  <c r="C1102" i="39"/>
  <c r="U1102" i="39" s="1"/>
  <c r="C535" i="39"/>
  <c r="U535" i="39" s="1"/>
  <c r="F536" i="39"/>
  <c r="C1880" i="39"/>
  <c r="U1880" i="39" s="1"/>
  <c r="F1881" i="39"/>
  <c r="X1881" i="39" s="1"/>
  <c r="F907" i="39"/>
  <c r="F1794" i="39"/>
  <c r="C1793" i="39"/>
  <c r="U1793" i="39" s="1"/>
  <c r="C1457" i="39"/>
  <c r="U1457" i="39" s="1"/>
  <c r="F1458" i="39"/>
  <c r="X1458" i="39" s="1"/>
  <c r="C474" i="39"/>
  <c r="U474" i="39" s="1"/>
  <c r="F475" i="39"/>
  <c r="C45" i="39"/>
  <c r="U45" i="39" s="1"/>
  <c r="F46" i="39"/>
  <c r="F29" i="39"/>
  <c r="C28" i="39"/>
  <c r="U28" i="39" s="1"/>
  <c r="F236" i="39"/>
  <c r="F814" i="39"/>
  <c r="C1101" i="39"/>
  <c r="U1101" i="39" s="1"/>
  <c r="C235" i="39"/>
  <c r="U235" i="39" s="1"/>
  <c r="C813" i="39"/>
  <c r="U813" i="39" s="1"/>
  <c r="C1282" i="39"/>
  <c r="U1282" i="39" s="1"/>
  <c r="F1283" i="39"/>
  <c r="C969" i="39"/>
  <c r="U969" i="39" s="1"/>
  <c r="F1232" i="39"/>
  <c r="C1231" i="39"/>
  <c r="U1231" i="39" s="1"/>
  <c r="C905" i="39"/>
  <c r="U905" i="39" s="1"/>
  <c r="C953" i="39"/>
  <c r="U953" i="39" s="1"/>
  <c r="F954" i="39"/>
  <c r="F1208" i="39"/>
  <c r="C1207" i="39"/>
  <c r="U1207" i="39" s="1"/>
  <c r="F883" i="39"/>
  <c r="C882" i="39"/>
  <c r="U882" i="39" s="1"/>
  <c r="C1193" i="39"/>
  <c r="U1193" i="39" s="1"/>
  <c r="F1194" i="39"/>
  <c r="X1194" i="39" s="1"/>
  <c r="C1416" i="39"/>
  <c r="U1416" i="39" s="1"/>
  <c r="F1417" i="39"/>
  <c r="C1537" i="39"/>
  <c r="U1537" i="39" s="1"/>
  <c r="F1538" i="39"/>
  <c r="C1719" i="39"/>
  <c r="U1719" i="39" s="1"/>
  <c r="F1720" i="39"/>
  <c r="F1577" i="39"/>
  <c r="C1575" i="39"/>
  <c r="U1575" i="39" s="1"/>
  <c r="F1979" i="39"/>
  <c r="C1978" i="39"/>
  <c r="U1978" i="39" s="1"/>
  <c r="F1771" i="39"/>
  <c r="X1771" i="39" s="1"/>
  <c r="C1770" i="39"/>
  <c r="U1770" i="39" s="1"/>
  <c r="C1015" i="39"/>
  <c r="U1015" i="39" s="1"/>
  <c r="F1016" i="39"/>
  <c r="C1626" i="39"/>
  <c r="U1626" i="39" s="1"/>
  <c r="F1627" i="39"/>
  <c r="F1431" i="39"/>
  <c r="C1430" i="39"/>
  <c r="U1430" i="39" s="1"/>
  <c r="F1339" i="39"/>
  <c r="C1338" i="39"/>
  <c r="U1338" i="39" s="1"/>
  <c r="C1477" i="39"/>
  <c r="U1477" i="39" s="1"/>
  <c r="F1478" i="39"/>
  <c r="C1304" i="39"/>
  <c r="U1304" i="39" s="1"/>
  <c r="F1491" i="39"/>
  <c r="C1490" i="39"/>
  <c r="U1490" i="39" s="1"/>
  <c r="X907" i="39" l="1"/>
  <c r="V1979" i="39"/>
  <c r="Y1979" i="39"/>
  <c r="V1720" i="39"/>
  <c r="Y1720" i="39"/>
  <c r="X1979" i="39"/>
  <c r="V1208" i="39"/>
  <c r="Y1208" i="39"/>
  <c r="V1538" i="39"/>
  <c r="Y1538" i="39"/>
  <c r="Y1103" i="39"/>
  <c r="V1103" i="39"/>
  <c r="V1577" i="39"/>
  <c r="X1578" i="39"/>
  <c r="X1579" i="39" s="1"/>
  <c r="X1580" i="39" s="1"/>
  <c r="X1581" i="39" s="1"/>
  <c r="X1582" i="39" s="1"/>
  <c r="X1583" i="39" s="1"/>
  <c r="Y1577" i="39"/>
  <c r="V1954" i="39"/>
  <c r="Y1954" i="39"/>
  <c r="V971" i="39"/>
  <c r="Y971" i="39"/>
  <c r="V1158" i="39"/>
  <c r="Y1158" i="39"/>
  <c r="V193" i="39"/>
  <c r="Y193" i="39"/>
  <c r="V1794" i="39"/>
  <c r="Y1794" i="39"/>
  <c r="V236" i="39"/>
  <c r="Y236" i="39"/>
  <c r="Y883" i="39"/>
  <c r="V883" i="39"/>
  <c r="V1627" i="39"/>
  <c r="Y1627" i="39"/>
  <c r="X1322" i="39"/>
  <c r="X1323" i="39" s="1"/>
  <c r="V1417" i="39"/>
  <c r="Y1417" i="39"/>
  <c r="V1322" i="39"/>
  <c r="Y1322" i="39"/>
  <c r="V1737" i="39"/>
  <c r="Y1737" i="39"/>
  <c r="X1538" i="39"/>
  <c r="X1539" i="39" s="1"/>
  <c r="V1431" i="39"/>
  <c r="Y1431" i="39"/>
  <c r="V954" i="39"/>
  <c r="Y954" i="39"/>
  <c r="V907" i="39"/>
  <c r="Y907" i="39"/>
  <c r="V1232" i="39"/>
  <c r="Y1232" i="39"/>
  <c r="V536" i="39"/>
  <c r="Y536" i="39"/>
  <c r="X193" i="39"/>
  <c r="X194" i="39" s="1"/>
  <c r="X1577" i="39"/>
  <c r="V1491" i="39"/>
  <c r="Y1491" i="39"/>
  <c r="V46" i="39"/>
  <c r="Y46" i="39"/>
  <c r="V1478" i="39"/>
  <c r="Y1478" i="39"/>
  <c r="V475" i="39"/>
  <c r="Y475" i="39"/>
  <c r="X476" i="39"/>
  <c r="X477" i="39" s="1"/>
  <c r="X478" i="39" s="1"/>
  <c r="X479" i="39" s="1"/>
  <c r="X480" i="39" s="1"/>
  <c r="X481" i="39" s="1"/>
  <c r="Y1339" i="39"/>
  <c r="V1339" i="39"/>
  <c r="X1954" i="39"/>
  <c r="V1016" i="39"/>
  <c r="Y1016" i="39"/>
  <c r="Y1881" i="39"/>
  <c r="V1881" i="39"/>
  <c r="X1720" i="39"/>
  <c r="V814" i="39"/>
  <c r="Y814" i="39"/>
  <c r="V1365" i="39"/>
  <c r="Y1365" i="39"/>
  <c r="V29" i="39"/>
  <c r="Y29" i="39"/>
  <c r="V1194" i="39"/>
  <c r="Y1194" i="39"/>
  <c r="X884" i="39"/>
  <c r="V1458" i="39"/>
  <c r="Y1458" i="39"/>
  <c r="X1772" i="39"/>
  <c r="V1771" i="39"/>
  <c r="Y1771" i="39"/>
  <c r="V1283" i="39"/>
  <c r="X1284" i="39"/>
  <c r="X1285" i="39" s="1"/>
  <c r="X1286" i="39" s="1"/>
  <c r="Y1283" i="39"/>
  <c r="X1283" i="39"/>
  <c r="C193" i="39"/>
  <c r="U193" i="39" s="1"/>
  <c r="F194" i="39"/>
  <c r="C1158" i="39"/>
  <c r="U1158" i="39" s="1"/>
  <c r="F1159" i="39"/>
  <c r="F1738" i="39"/>
  <c r="C1737" i="39"/>
  <c r="U1737" i="39" s="1"/>
  <c r="F1323" i="39"/>
  <c r="F1366" i="39"/>
  <c r="C1365" i="39"/>
  <c r="U1365" i="39" s="1"/>
  <c r="C1954" i="39"/>
  <c r="U1954" i="39" s="1"/>
  <c r="F1955" i="39"/>
  <c r="F972" i="39"/>
  <c r="C1321" i="39"/>
  <c r="U1321" i="39" s="1"/>
  <c r="F1104" i="39"/>
  <c r="C1103" i="39"/>
  <c r="U1103" i="39" s="1"/>
  <c r="F537" i="39"/>
  <c r="C536" i="39"/>
  <c r="U536" i="39" s="1"/>
  <c r="C1881" i="39"/>
  <c r="U1881" i="39" s="1"/>
  <c r="F1882" i="39"/>
  <c r="X1882" i="39" s="1"/>
  <c r="F908" i="39"/>
  <c r="X908" i="39" s="1"/>
  <c r="F1795" i="39"/>
  <c r="C1794" i="39"/>
  <c r="U1794" i="39" s="1"/>
  <c r="F1459" i="39"/>
  <c r="C1458" i="39"/>
  <c r="U1458" i="39" s="1"/>
  <c r="C475" i="39"/>
  <c r="U475" i="39" s="1"/>
  <c r="F47" i="39"/>
  <c r="C46" i="39"/>
  <c r="U46" i="39" s="1"/>
  <c r="F30" i="39"/>
  <c r="C29" i="39"/>
  <c r="U29" i="39" s="1"/>
  <c r="F237" i="39"/>
  <c r="F815" i="39"/>
  <c r="C814" i="39"/>
  <c r="U814" i="39" s="1"/>
  <c r="C236" i="39"/>
  <c r="U236" i="39" s="1"/>
  <c r="C906" i="39"/>
  <c r="U906" i="39" s="1"/>
  <c r="C970" i="39"/>
  <c r="U970" i="39" s="1"/>
  <c r="C1283" i="39"/>
  <c r="U1283" i="39" s="1"/>
  <c r="C1208" i="39"/>
  <c r="U1208" i="39" s="1"/>
  <c r="F1209" i="39"/>
  <c r="F1195" i="39"/>
  <c r="C1194" i="39"/>
  <c r="U1194" i="39" s="1"/>
  <c r="F1233" i="39"/>
  <c r="C1232" i="39"/>
  <c r="U1232" i="39" s="1"/>
  <c r="C954" i="39"/>
  <c r="U954" i="39" s="1"/>
  <c r="F955" i="39"/>
  <c r="C883" i="39"/>
  <c r="U883" i="39" s="1"/>
  <c r="F884" i="39"/>
  <c r="F1418" i="39"/>
  <c r="C1417" i="39"/>
  <c r="U1417" i="39" s="1"/>
  <c r="C1538" i="39"/>
  <c r="U1538" i="39" s="1"/>
  <c r="F1539" i="39"/>
  <c r="F1721" i="39"/>
  <c r="C1720" i="39"/>
  <c r="U1720" i="39" s="1"/>
  <c r="F1772" i="39"/>
  <c r="C1771" i="39"/>
  <c r="U1771" i="39" s="1"/>
  <c r="C1577" i="39"/>
  <c r="U1577" i="39" s="1"/>
  <c r="F1017" i="39"/>
  <c r="C1016" i="39"/>
  <c r="U1016" i="39" s="1"/>
  <c r="C1627" i="39"/>
  <c r="U1627" i="39" s="1"/>
  <c r="F1628" i="39"/>
  <c r="X1628" i="39" s="1"/>
  <c r="F1980" i="39"/>
  <c r="C1979" i="39"/>
  <c r="U1979" i="39" s="1"/>
  <c r="C1339" i="39"/>
  <c r="U1339" i="39" s="1"/>
  <c r="F1340" i="39"/>
  <c r="C1491" i="39"/>
  <c r="U1491" i="39" s="1"/>
  <c r="F1492" i="39"/>
  <c r="C1431" i="39"/>
  <c r="U1431" i="39" s="1"/>
  <c r="F1432" i="39"/>
  <c r="F1479" i="39"/>
  <c r="C1478" i="39"/>
  <c r="U1478" i="39" s="1"/>
  <c r="V537" i="39" l="1"/>
  <c r="Y537" i="39"/>
  <c r="V815" i="39"/>
  <c r="Y815" i="39"/>
  <c r="X1980" i="39"/>
  <c r="V1721" i="39"/>
  <c r="Y1721" i="39"/>
  <c r="V1159" i="39"/>
  <c r="Y1159" i="39"/>
  <c r="X1773" i="39"/>
  <c r="V972" i="39"/>
  <c r="Y972" i="39"/>
  <c r="V1539" i="39"/>
  <c r="Y1539" i="39"/>
  <c r="V1195" i="39"/>
  <c r="Y1195" i="39"/>
  <c r="V1628" i="39"/>
  <c r="Y1628" i="39"/>
  <c r="Y1955" i="39"/>
  <c r="V1955" i="39"/>
  <c r="V237" i="39"/>
  <c r="Y237" i="39"/>
  <c r="V1366" i="39"/>
  <c r="Y1366" i="39"/>
  <c r="X1721" i="39"/>
  <c r="V1459" i="39"/>
  <c r="Y1459" i="39"/>
  <c r="Y1104" i="39"/>
  <c r="V1104" i="39"/>
  <c r="V1772" i="39"/>
  <c r="Y1772" i="39"/>
  <c r="V47" i="39"/>
  <c r="Y47" i="39"/>
  <c r="X1195" i="39"/>
  <c r="X1196" i="39" s="1"/>
  <c r="V1209" i="39"/>
  <c r="Y1209" i="39"/>
  <c r="V1017" i="39"/>
  <c r="Y1017" i="39"/>
  <c r="V1323" i="39"/>
  <c r="Y1323" i="39"/>
  <c r="V1492" i="39"/>
  <c r="Y1492" i="39"/>
  <c r="V1795" i="39"/>
  <c r="Y1795" i="39"/>
  <c r="X1104" i="39"/>
  <c r="V1980" i="39"/>
  <c r="Y1980" i="39"/>
  <c r="V30" i="39"/>
  <c r="Y30" i="39"/>
  <c r="V1418" i="39"/>
  <c r="Y1418" i="39"/>
  <c r="V884" i="39"/>
  <c r="Y884" i="39"/>
  <c r="V1432" i="39"/>
  <c r="Y1432" i="39"/>
  <c r="V908" i="39"/>
  <c r="Y908" i="39"/>
  <c r="X1955" i="39"/>
  <c r="X1459" i="39"/>
  <c r="X1460" i="39" s="1"/>
  <c r="X885" i="39"/>
  <c r="X1883" i="39"/>
  <c r="V1738" i="39"/>
  <c r="Y1738" i="39"/>
  <c r="V1479" i="39"/>
  <c r="Y1479" i="39"/>
  <c r="V194" i="39"/>
  <c r="Y194" i="39"/>
  <c r="V955" i="39"/>
  <c r="Y955" i="39"/>
  <c r="Y1340" i="39"/>
  <c r="V1340" i="39"/>
  <c r="V1233" i="39"/>
  <c r="Y1233" i="39"/>
  <c r="Y1882" i="39"/>
  <c r="V1882" i="39"/>
  <c r="X1366" i="39"/>
  <c r="F195" i="39"/>
  <c r="X195" i="39" s="1"/>
  <c r="C194" i="39"/>
  <c r="U194" i="39" s="1"/>
  <c r="C1159" i="39"/>
  <c r="U1159" i="39" s="1"/>
  <c r="F1160" i="39"/>
  <c r="C1738" i="39"/>
  <c r="U1738" i="39" s="1"/>
  <c r="F1739" i="39"/>
  <c r="F1324" i="39"/>
  <c r="F1367" i="39"/>
  <c r="C1366" i="39"/>
  <c r="U1366" i="39" s="1"/>
  <c r="F1956" i="39"/>
  <c r="C1955" i="39"/>
  <c r="U1955" i="39" s="1"/>
  <c r="F973" i="39"/>
  <c r="C1322" i="39"/>
  <c r="U1322" i="39" s="1"/>
  <c r="F1105" i="39"/>
  <c r="C1104" i="39"/>
  <c r="U1104" i="39" s="1"/>
  <c r="C537" i="39"/>
  <c r="U537" i="39" s="1"/>
  <c r="F538" i="39"/>
  <c r="C477" i="39"/>
  <c r="U477" i="39" s="1"/>
  <c r="C1882" i="39"/>
  <c r="U1882" i="39" s="1"/>
  <c r="F1883" i="39"/>
  <c r="F909" i="39"/>
  <c r="F1796" i="39"/>
  <c r="C1795" i="39"/>
  <c r="U1795" i="39" s="1"/>
  <c r="C1459" i="39"/>
  <c r="U1459" i="39" s="1"/>
  <c r="F1460" i="39"/>
  <c r="C47" i="39"/>
  <c r="U47" i="39" s="1"/>
  <c r="F48" i="39"/>
  <c r="F31" i="39"/>
  <c r="C30" i="39"/>
  <c r="U30" i="39" s="1"/>
  <c r="F238" i="39"/>
  <c r="C815" i="39"/>
  <c r="U815" i="39" s="1"/>
  <c r="C907" i="39"/>
  <c r="U907" i="39" s="1"/>
  <c r="F816" i="39"/>
  <c r="C237" i="39"/>
  <c r="U237" i="39" s="1"/>
  <c r="C971" i="39"/>
  <c r="U971" i="39" s="1"/>
  <c r="F1210" i="39"/>
  <c r="C1209" i="39"/>
  <c r="U1209" i="39" s="1"/>
  <c r="C1195" i="39"/>
  <c r="U1195" i="39" s="1"/>
  <c r="F1196" i="39"/>
  <c r="F1234" i="39"/>
  <c r="C1233" i="39"/>
  <c r="U1233" i="39" s="1"/>
  <c r="F956" i="39"/>
  <c r="C955" i="39"/>
  <c r="U955" i="39" s="1"/>
  <c r="C884" i="39"/>
  <c r="U884" i="39" s="1"/>
  <c r="F885" i="39"/>
  <c r="F1419" i="39"/>
  <c r="C1418" i="39"/>
  <c r="U1418" i="39" s="1"/>
  <c r="F1540" i="39"/>
  <c r="X1540" i="39" s="1"/>
  <c r="C1539" i="39"/>
  <c r="U1539" i="39" s="1"/>
  <c r="C1721" i="39"/>
  <c r="U1721" i="39" s="1"/>
  <c r="F1722" i="39"/>
  <c r="F1981" i="39"/>
  <c r="C1980" i="39"/>
  <c r="U1980" i="39" s="1"/>
  <c r="C1492" i="39"/>
  <c r="U1492" i="39" s="1"/>
  <c r="F1493" i="39"/>
  <c r="C1017" i="39"/>
  <c r="U1017" i="39" s="1"/>
  <c r="F1018" i="39"/>
  <c r="F1773" i="39"/>
  <c r="C1772" i="39"/>
  <c r="U1772" i="39" s="1"/>
  <c r="C1628" i="39"/>
  <c r="U1628" i="39" s="1"/>
  <c r="F1629" i="39"/>
  <c r="C1479" i="39"/>
  <c r="U1479" i="39" s="1"/>
  <c r="F1480" i="39"/>
  <c r="F1433" i="39"/>
  <c r="C1432" i="39"/>
  <c r="U1432" i="39" s="1"/>
  <c r="F1341" i="39"/>
  <c r="C1340" i="39"/>
  <c r="U1340" i="39" s="1"/>
  <c r="X1367" i="39" l="1"/>
  <c r="X1981" i="39"/>
  <c r="X1956" i="39"/>
  <c r="V1324" i="39"/>
  <c r="Y1324" i="39"/>
  <c r="V1739" i="39"/>
  <c r="Y1739" i="39"/>
  <c r="V1341" i="39"/>
  <c r="Y1341" i="39"/>
  <c r="X1342" i="39"/>
  <c r="X1343" i="39" s="1"/>
  <c r="X1344" i="39" s="1"/>
  <c r="X1345" i="39" s="1"/>
  <c r="V909" i="39"/>
  <c r="Y909" i="39"/>
  <c r="X1957" i="39"/>
  <c r="X1958" i="39" s="1"/>
  <c r="V1433" i="39"/>
  <c r="Y1433" i="39"/>
  <c r="V1722" i="39"/>
  <c r="Y1722" i="39"/>
  <c r="X1723" i="39"/>
  <c r="X1724" i="39" s="1"/>
  <c r="X1725" i="39" s="1"/>
  <c r="X1726" i="39" s="1"/>
  <c r="X1727" i="39" s="1"/>
  <c r="X1728" i="39" s="1"/>
  <c r="X1729" i="39" s="1"/>
  <c r="X1730" i="39" s="1"/>
  <c r="X1731" i="39" s="1"/>
  <c r="X1732" i="39" s="1"/>
  <c r="X1733" i="39" s="1"/>
  <c r="X1734" i="39" s="1"/>
  <c r="X1735" i="39" s="1"/>
  <c r="X1736" i="39" s="1"/>
  <c r="X1737" i="39" s="1"/>
  <c r="X1738" i="39" s="1"/>
  <c r="X1739" i="39" s="1"/>
  <c r="X1982" i="39"/>
  <c r="V48" i="39"/>
  <c r="Y48" i="39"/>
  <c r="V956" i="39"/>
  <c r="Y956" i="39"/>
  <c r="V1480" i="39"/>
  <c r="Y1480" i="39"/>
  <c r="X1481" i="39"/>
  <c r="X1482" i="39" s="1"/>
  <c r="X1483" i="39" s="1"/>
  <c r="X1484" i="39" s="1"/>
  <c r="X1485" i="39" s="1"/>
  <c r="X1486" i="39" s="1"/>
  <c r="X1487" i="39" s="1"/>
  <c r="X1488" i="39" s="1"/>
  <c r="X1489" i="39" s="1"/>
  <c r="X1490" i="39" s="1"/>
  <c r="X1491" i="39" s="1"/>
  <c r="X1492" i="39" s="1"/>
  <c r="X1493" i="39" s="1"/>
  <c r="X1324" i="39"/>
  <c r="X1325" i="39" s="1"/>
  <c r="V1419" i="39"/>
  <c r="Y1419" i="39"/>
  <c r="V1883" i="39"/>
  <c r="Y1883" i="39"/>
  <c r="X1105" i="39"/>
  <c r="X1106" i="39" s="1"/>
  <c r="V1018" i="39"/>
  <c r="Y1018" i="39"/>
  <c r="Y1493" i="39"/>
  <c r="V1493" i="39"/>
  <c r="X1884" i="39"/>
  <c r="V1540" i="39"/>
  <c r="Y1540" i="39"/>
  <c r="V1796" i="39"/>
  <c r="X1797" i="39"/>
  <c r="X1798" i="39" s="1"/>
  <c r="X1799" i="39" s="1"/>
  <c r="X1800" i="39" s="1"/>
  <c r="X1801" i="39" s="1"/>
  <c r="X1802" i="39" s="1"/>
  <c r="Y1796" i="39"/>
  <c r="V1629" i="39"/>
  <c r="Y1629" i="39"/>
  <c r="V1956" i="39"/>
  <c r="Y1956" i="39"/>
  <c r="V31" i="39"/>
  <c r="Y31" i="39"/>
  <c r="V1160" i="39"/>
  <c r="Y1160" i="39"/>
  <c r="V1460" i="39"/>
  <c r="Y1460" i="39"/>
  <c r="V885" i="39"/>
  <c r="Y885" i="39"/>
  <c r="V195" i="39"/>
  <c r="Y195" i="39"/>
  <c r="X1774" i="39"/>
  <c r="V538" i="39"/>
  <c r="Y538" i="39"/>
  <c r="X1722" i="39"/>
  <c r="X909" i="39"/>
  <c r="X910" i="39" s="1"/>
  <c r="X1197" i="39"/>
  <c r="V1234" i="39"/>
  <c r="Y1234" i="39"/>
  <c r="V1196" i="39"/>
  <c r="Y1196" i="39"/>
  <c r="V1773" i="39"/>
  <c r="Y1773" i="39"/>
  <c r="V1210" i="39"/>
  <c r="Y1210" i="39"/>
  <c r="Y1105" i="39"/>
  <c r="V1105" i="39"/>
  <c r="V973" i="39"/>
  <c r="Y973" i="39"/>
  <c r="V816" i="39"/>
  <c r="Y816" i="39"/>
  <c r="V1981" i="39"/>
  <c r="Y1981" i="39"/>
  <c r="V238" i="39"/>
  <c r="Y238" i="39"/>
  <c r="V1367" i="39"/>
  <c r="Y1367" i="39"/>
  <c r="X1629" i="39"/>
  <c r="X1630" i="39" s="1"/>
  <c r="C195" i="39"/>
  <c r="U195" i="39" s="1"/>
  <c r="F196" i="39"/>
  <c r="F1161" i="39"/>
  <c r="C1160" i="39"/>
  <c r="U1160" i="39" s="1"/>
  <c r="C1739" i="39"/>
  <c r="U1739" i="39" s="1"/>
  <c r="F1740" i="39"/>
  <c r="F1958" i="39"/>
  <c r="F1325" i="39"/>
  <c r="F1957" i="39"/>
  <c r="C1956" i="39"/>
  <c r="U1956" i="39" s="1"/>
  <c r="F1368" i="39"/>
  <c r="C1367" i="39"/>
  <c r="U1367" i="39" s="1"/>
  <c r="C1323" i="39"/>
  <c r="U1323" i="39" s="1"/>
  <c r="F1106" i="39"/>
  <c r="C1105" i="39"/>
  <c r="U1105" i="39" s="1"/>
  <c r="F539" i="39"/>
  <c r="C538" i="39"/>
  <c r="U538" i="39" s="1"/>
  <c r="C1883" i="39"/>
  <c r="U1883" i="39" s="1"/>
  <c r="F1884" i="39"/>
  <c r="F910" i="39"/>
  <c r="F49" i="39"/>
  <c r="C1796" i="39"/>
  <c r="U1796" i="39" s="1"/>
  <c r="F1461" i="39"/>
  <c r="C1460" i="39"/>
  <c r="U1460" i="39" s="1"/>
  <c r="C48" i="39"/>
  <c r="U48" i="39" s="1"/>
  <c r="C31" i="39"/>
  <c r="U31" i="39" s="1"/>
  <c r="F32" i="39"/>
  <c r="F239" i="39"/>
  <c r="C972" i="39"/>
  <c r="U972" i="39" s="1"/>
  <c r="C908" i="39"/>
  <c r="U908" i="39" s="1"/>
  <c r="F817" i="39"/>
  <c r="C816" i="39"/>
  <c r="U816" i="39" s="1"/>
  <c r="C238" i="39"/>
  <c r="U238" i="39" s="1"/>
  <c r="F1197" i="39"/>
  <c r="C1196" i="39"/>
  <c r="U1196" i="39" s="1"/>
  <c r="F1211" i="39"/>
  <c r="C1210" i="39"/>
  <c r="U1210" i="39" s="1"/>
  <c r="F1235" i="39"/>
  <c r="C1234" i="39"/>
  <c r="U1234" i="39" s="1"/>
  <c r="F957" i="39"/>
  <c r="C956" i="39"/>
  <c r="U956" i="39" s="1"/>
  <c r="C885" i="39"/>
  <c r="U885" i="39" s="1"/>
  <c r="F886" i="39"/>
  <c r="F1420" i="39"/>
  <c r="C1419" i="39"/>
  <c r="U1419" i="39" s="1"/>
  <c r="C1540" i="39"/>
  <c r="U1540" i="39" s="1"/>
  <c r="F1541" i="39"/>
  <c r="X1541" i="39" s="1"/>
  <c r="C1722" i="39"/>
  <c r="U1722" i="39" s="1"/>
  <c r="C1773" i="39"/>
  <c r="U1773" i="39" s="1"/>
  <c r="F1774" i="39"/>
  <c r="C1480" i="39"/>
  <c r="U1480" i="39" s="1"/>
  <c r="C1341" i="39"/>
  <c r="U1341" i="39" s="1"/>
  <c r="F1019" i="39"/>
  <c r="C1018" i="39"/>
  <c r="U1018" i="39" s="1"/>
  <c r="C1981" i="39"/>
  <c r="U1981" i="39" s="1"/>
  <c r="F1982" i="39"/>
  <c r="F1494" i="39"/>
  <c r="C1493" i="39"/>
  <c r="U1493" i="39" s="1"/>
  <c r="C1629" i="39"/>
  <c r="U1629" i="39" s="1"/>
  <c r="F1630" i="39"/>
  <c r="C1433" i="39"/>
  <c r="U1433" i="39" s="1"/>
  <c r="F1434" i="39"/>
  <c r="X1740" i="39" l="1"/>
  <c r="V1420" i="39"/>
  <c r="Y1420" i="39"/>
  <c r="X1421" i="39"/>
  <c r="X1422" i="39" s="1"/>
  <c r="X1423" i="39" s="1"/>
  <c r="X1424" i="39" s="1"/>
  <c r="X1425" i="39" s="1"/>
  <c r="X1426" i="39" s="1"/>
  <c r="X1427" i="39" s="1"/>
  <c r="X1428" i="39" s="1"/>
  <c r="X1429" i="39" s="1"/>
  <c r="X1430" i="39" s="1"/>
  <c r="X1431" i="39" s="1"/>
  <c r="X1432" i="39" s="1"/>
  <c r="X1433" i="39" s="1"/>
  <c r="X1434" i="39" s="1"/>
  <c r="V886" i="39"/>
  <c r="Y886" i="39"/>
  <c r="V1211" i="39"/>
  <c r="Y1211" i="39"/>
  <c r="V1368" i="39"/>
  <c r="Y1368" i="39"/>
  <c r="V1235" i="39"/>
  <c r="Y1235" i="39"/>
  <c r="V957" i="39"/>
  <c r="Y957" i="39"/>
  <c r="X1631" i="39"/>
  <c r="V49" i="39"/>
  <c r="Y49" i="39"/>
  <c r="V910" i="39"/>
  <c r="Y910" i="39"/>
  <c r="V1884" i="39"/>
  <c r="Y1884" i="39"/>
  <c r="V1197" i="39"/>
  <c r="Y1197" i="39"/>
  <c r="X1198" i="39"/>
  <c r="X1199" i="39" s="1"/>
  <c r="X1200" i="39" s="1"/>
  <c r="X1201" i="39" s="1"/>
  <c r="X1202" i="39" s="1"/>
  <c r="X1203" i="39" s="1"/>
  <c r="X1204" i="39" s="1"/>
  <c r="X1205" i="39" s="1"/>
  <c r="X1206" i="39" s="1"/>
  <c r="X1207" i="39" s="1"/>
  <c r="X1208" i="39" s="1"/>
  <c r="X1209" i="39" s="1"/>
  <c r="X1210" i="39" s="1"/>
  <c r="X1211" i="39" s="1"/>
  <c r="V1461" i="39"/>
  <c r="Y1461" i="39"/>
  <c r="V1494" i="39"/>
  <c r="Y1494" i="39"/>
  <c r="V1982" i="39"/>
  <c r="Y1982" i="39"/>
  <c r="V1019" i="39"/>
  <c r="Y1019" i="39"/>
  <c r="V1958" i="39"/>
  <c r="Y1958" i="39"/>
  <c r="X886" i="39"/>
  <c r="X887" i="39" s="1"/>
  <c r="X1461" i="39"/>
  <c r="X1462" i="39" s="1"/>
  <c r="X1494" i="39"/>
  <c r="V196" i="39"/>
  <c r="Y196" i="39"/>
  <c r="X1959" i="39"/>
  <c r="X1960" i="39" s="1"/>
  <c r="Y1106" i="39"/>
  <c r="V1106" i="39"/>
  <c r="V817" i="39"/>
  <c r="Y817" i="39"/>
  <c r="V1325" i="39"/>
  <c r="Y1325" i="39"/>
  <c r="V32" i="39"/>
  <c r="Y32" i="39"/>
  <c r="V1434" i="39"/>
  <c r="Y1434" i="39"/>
  <c r="V539" i="39"/>
  <c r="Y539" i="39"/>
  <c r="X1368" i="39"/>
  <c r="V1774" i="39"/>
  <c r="Y1774" i="39"/>
  <c r="V1740" i="39"/>
  <c r="Y1740" i="39"/>
  <c r="X1885" i="39"/>
  <c r="V1630" i="39"/>
  <c r="Y1630" i="39"/>
  <c r="V1957" i="39"/>
  <c r="Y1957" i="39"/>
  <c r="V239" i="39"/>
  <c r="Y239" i="39"/>
  <c r="V1541" i="39"/>
  <c r="Y1541" i="39"/>
  <c r="V1161" i="39"/>
  <c r="Y1161" i="39"/>
  <c r="X196" i="39"/>
  <c r="C196" i="39"/>
  <c r="U196" i="39" s="1"/>
  <c r="F197" i="39"/>
  <c r="C1740" i="39"/>
  <c r="U1740" i="39" s="1"/>
  <c r="C1161" i="39"/>
  <c r="U1161" i="39" s="1"/>
  <c r="F1162" i="39"/>
  <c r="F1741" i="39"/>
  <c r="F1959" i="39"/>
  <c r="F1960" i="39"/>
  <c r="C1958" i="39"/>
  <c r="U1958" i="39" s="1"/>
  <c r="F1326" i="39"/>
  <c r="X1326" i="39" s="1"/>
  <c r="C1957" i="39"/>
  <c r="U1957" i="39" s="1"/>
  <c r="C1368" i="39"/>
  <c r="U1368" i="39" s="1"/>
  <c r="F1369" i="39"/>
  <c r="C1324" i="39"/>
  <c r="U1324" i="39" s="1"/>
  <c r="F1107" i="39"/>
  <c r="X1107" i="39" s="1"/>
  <c r="C1106" i="39"/>
  <c r="U1106" i="39" s="1"/>
  <c r="C539" i="39"/>
  <c r="U539" i="39" s="1"/>
  <c r="F540" i="39"/>
  <c r="C1884" i="39"/>
  <c r="U1884" i="39" s="1"/>
  <c r="F1885" i="39"/>
  <c r="F911" i="39"/>
  <c r="X911" i="39" s="1"/>
  <c r="F50" i="39"/>
  <c r="C1461" i="39"/>
  <c r="U1461" i="39" s="1"/>
  <c r="F1462" i="39"/>
  <c r="F33" i="39"/>
  <c r="C32" i="39"/>
  <c r="U32" i="39" s="1"/>
  <c r="F240" i="39"/>
  <c r="C909" i="39"/>
  <c r="U909" i="39" s="1"/>
  <c r="C973" i="39"/>
  <c r="U973" i="39" s="1"/>
  <c r="F974" i="39"/>
  <c r="F818" i="39"/>
  <c r="F820" i="39"/>
  <c r="C817" i="39"/>
  <c r="U817" i="39" s="1"/>
  <c r="C239" i="39"/>
  <c r="U239" i="39" s="1"/>
  <c r="C1197" i="39"/>
  <c r="U1197" i="39" s="1"/>
  <c r="C1211" i="39"/>
  <c r="U1211" i="39" s="1"/>
  <c r="F1212" i="39"/>
  <c r="C1235" i="39"/>
  <c r="U1235" i="39" s="1"/>
  <c r="F1236" i="39"/>
  <c r="F958" i="39"/>
  <c r="C957" i="39"/>
  <c r="U957" i="39" s="1"/>
  <c r="C886" i="39"/>
  <c r="U886" i="39" s="1"/>
  <c r="F887" i="39"/>
  <c r="C1420" i="39"/>
  <c r="U1420" i="39" s="1"/>
  <c r="C1541" i="39"/>
  <c r="U1541" i="39" s="1"/>
  <c r="F1542" i="39"/>
  <c r="C1630" i="39"/>
  <c r="U1630" i="39" s="1"/>
  <c r="F1631" i="39"/>
  <c r="F1775" i="39"/>
  <c r="C1774" i="39"/>
  <c r="U1774" i="39" s="1"/>
  <c r="F1983" i="39"/>
  <c r="C1982" i="39"/>
  <c r="U1982" i="39" s="1"/>
  <c r="F1021" i="39"/>
  <c r="C1019" i="39"/>
  <c r="U1019" i="39" s="1"/>
  <c r="F1020" i="39"/>
  <c r="C1494" i="39"/>
  <c r="U1494" i="39" s="1"/>
  <c r="F1495" i="39"/>
  <c r="C1434" i="39"/>
  <c r="U1434" i="39" s="1"/>
  <c r="F1435" i="39"/>
  <c r="X1435" i="39" l="1"/>
  <c r="X1212" i="39"/>
  <c r="X1495" i="39"/>
  <c r="V818" i="39"/>
  <c r="Y818" i="39"/>
  <c r="V240" i="39"/>
  <c r="Y240" i="39"/>
  <c r="V1631" i="39"/>
  <c r="Y1631" i="39"/>
  <c r="V820" i="39"/>
  <c r="Y820" i="39"/>
  <c r="V974" i="39"/>
  <c r="Y974" i="39"/>
  <c r="V1495" i="39"/>
  <c r="Y1495" i="39"/>
  <c r="X1369" i="39"/>
  <c r="X1370" i="39" s="1"/>
  <c r="V1021" i="39"/>
  <c r="Y1021" i="39"/>
  <c r="V1775" i="39"/>
  <c r="Y1775" i="39"/>
  <c r="Y1020" i="39"/>
  <c r="V1020" i="39"/>
  <c r="Y1960" i="39"/>
  <c r="V1960" i="39"/>
  <c r="V1326" i="39"/>
  <c r="Y1326" i="39"/>
  <c r="V1983" i="39"/>
  <c r="Y1983" i="39"/>
  <c r="V1741" i="39"/>
  <c r="Y1741" i="39"/>
  <c r="X1213" i="39"/>
  <c r="V1162" i="39"/>
  <c r="Y1162" i="39"/>
  <c r="V1542" i="39"/>
  <c r="Y1542" i="39"/>
  <c r="V1462" i="39"/>
  <c r="Y1462" i="39"/>
  <c r="V197" i="39"/>
  <c r="Y197" i="39"/>
  <c r="V50" i="39"/>
  <c r="Y50" i="39"/>
  <c r="V911" i="39"/>
  <c r="Y911" i="39"/>
  <c r="X1775" i="39"/>
  <c r="V540" i="39"/>
  <c r="Y540" i="39"/>
  <c r="V1236" i="39"/>
  <c r="Y1236" i="39"/>
  <c r="V1369" i="39"/>
  <c r="Y1369" i="39"/>
  <c r="V1959" i="39"/>
  <c r="Y1959" i="39"/>
  <c r="V33" i="39"/>
  <c r="Y33" i="39"/>
  <c r="V887" i="39"/>
  <c r="Y887" i="39"/>
  <c r="X1983" i="39"/>
  <c r="X1984" i="39" s="1"/>
  <c r="V958" i="39"/>
  <c r="Y958" i="39"/>
  <c r="V1435" i="39"/>
  <c r="Y1435" i="39"/>
  <c r="V1212" i="39"/>
  <c r="Y1212" i="39"/>
  <c r="V1107" i="39"/>
  <c r="Y1107" i="39"/>
  <c r="X1542" i="39"/>
  <c r="X197" i="39"/>
  <c r="Y1885" i="39"/>
  <c r="V1885" i="39"/>
  <c r="X1741" i="39"/>
  <c r="C197" i="39"/>
  <c r="U197" i="39" s="1"/>
  <c r="F198" i="39"/>
  <c r="F1163" i="39"/>
  <c r="C1162" i="39"/>
  <c r="U1162" i="39" s="1"/>
  <c r="F1742" i="39"/>
  <c r="C1741" i="39"/>
  <c r="U1741" i="39" s="1"/>
  <c r="C1960" i="39"/>
  <c r="U1960" i="39" s="1"/>
  <c r="F1962" i="39"/>
  <c r="F1961" i="39"/>
  <c r="X1961" i="39" s="1"/>
  <c r="X1962" i="39" s="1"/>
  <c r="C1959" i="39"/>
  <c r="U1959" i="39" s="1"/>
  <c r="F1327" i="39"/>
  <c r="F1370" i="39"/>
  <c r="C1369" i="39"/>
  <c r="U1369" i="39" s="1"/>
  <c r="C1325" i="39"/>
  <c r="U1325" i="39" s="1"/>
  <c r="F1108" i="39"/>
  <c r="X1108" i="39" s="1"/>
  <c r="C1107" i="39"/>
  <c r="U1107" i="39" s="1"/>
  <c r="C540" i="39"/>
  <c r="U540" i="39" s="1"/>
  <c r="F541" i="39"/>
  <c r="F1886" i="39"/>
  <c r="C1885" i="39"/>
  <c r="U1885" i="39" s="1"/>
  <c r="F912" i="39"/>
  <c r="F51" i="39"/>
  <c r="F1463" i="39"/>
  <c r="X1463" i="39" s="1"/>
  <c r="C1462" i="39"/>
  <c r="U1462" i="39" s="1"/>
  <c r="F34" i="39"/>
  <c r="C33" i="39"/>
  <c r="U33" i="39" s="1"/>
  <c r="C49" i="39"/>
  <c r="U49" i="39" s="1"/>
  <c r="F241" i="39"/>
  <c r="C910" i="39"/>
  <c r="U910" i="39" s="1"/>
  <c r="F819" i="39"/>
  <c r="C818" i="39"/>
  <c r="U818" i="39" s="1"/>
  <c r="C974" i="39"/>
  <c r="U974" i="39" s="1"/>
  <c r="F975" i="39"/>
  <c r="F821" i="39"/>
  <c r="C820" i="39"/>
  <c r="U820" i="39" s="1"/>
  <c r="C240" i="39"/>
  <c r="U240" i="39" s="1"/>
  <c r="C1236" i="39"/>
  <c r="U1236" i="39" s="1"/>
  <c r="F1237" i="39"/>
  <c r="C1212" i="39"/>
  <c r="U1212" i="39" s="1"/>
  <c r="F1213" i="39"/>
  <c r="F959" i="39"/>
  <c r="C958" i="39"/>
  <c r="U958" i="39" s="1"/>
  <c r="C887" i="39"/>
  <c r="U887" i="39" s="1"/>
  <c r="F890" i="39"/>
  <c r="F888" i="39"/>
  <c r="F889" i="39"/>
  <c r="F1543" i="39"/>
  <c r="C1542" i="39"/>
  <c r="U1542" i="39" s="1"/>
  <c r="C1983" i="39"/>
  <c r="U1983" i="39" s="1"/>
  <c r="F1984" i="39"/>
  <c r="F1632" i="39"/>
  <c r="C1631" i="39"/>
  <c r="U1631" i="39" s="1"/>
  <c r="F1436" i="39"/>
  <c r="C1435" i="39"/>
  <c r="U1435" i="39" s="1"/>
  <c r="F1776" i="39"/>
  <c r="C1775" i="39"/>
  <c r="U1775" i="39" s="1"/>
  <c r="C1495" i="39"/>
  <c r="U1495" i="39" s="1"/>
  <c r="F1496" i="39"/>
  <c r="C1021" i="39"/>
  <c r="U1021" i="39" s="1"/>
  <c r="C1020" i="39"/>
  <c r="U1020" i="39" s="1"/>
  <c r="F1022" i="39"/>
  <c r="V1962" i="39" l="1"/>
  <c r="Y1962" i="39"/>
  <c r="X1963" i="39"/>
  <c r="X1964" i="39" s="1"/>
  <c r="X1965" i="39" s="1"/>
  <c r="X1966" i="39" s="1"/>
  <c r="X1967" i="39" s="1"/>
  <c r="X1968" i="39" s="1"/>
  <c r="V241" i="39"/>
  <c r="Y241" i="39"/>
  <c r="V975" i="39"/>
  <c r="Y975" i="39"/>
  <c r="Y1543" i="39"/>
  <c r="V1543" i="39"/>
  <c r="X1371" i="39"/>
  <c r="V1163" i="39"/>
  <c r="Y1163" i="39"/>
  <c r="V34" i="39"/>
  <c r="Y34" i="39"/>
  <c r="X35" i="39"/>
  <c r="X36" i="39" s="1"/>
  <c r="X37" i="39" s="1"/>
  <c r="X38" i="39" s="1"/>
  <c r="X39" i="39" s="1"/>
  <c r="X40" i="39" s="1"/>
  <c r="X41" i="39" s="1"/>
  <c r="X42" i="39" s="1"/>
  <c r="X43" i="39" s="1"/>
  <c r="X44" i="39" s="1"/>
  <c r="X45" i="39" s="1"/>
  <c r="X46" i="39" s="1"/>
  <c r="X47" i="39" s="1"/>
  <c r="X48" i="39" s="1"/>
  <c r="X49" i="39" s="1"/>
  <c r="X50" i="39" s="1"/>
  <c r="X51" i="39" s="1"/>
  <c r="X52" i="39" s="1"/>
  <c r="V889" i="39"/>
  <c r="Y889" i="39"/>
  <c r="V51" i="39"/>
  <c r="Y51" i="39"/>
  <c r="V1327" i="39"/>
  <c r="Y1327" i="39"/>
  <c r="Y1436" i="39"/>
  <c r="V1436" i="39"/>
  <c r="V1632" i="39"/>
  <c r="Y1632" i="39"/>
  <c r="V198" i="39"/>
  <c r="Y198" i="39"/>
  <c r="V1213" i="39"/>
  <c r="Y1213" i="39"/>
  <c r="V1237" i="39"/>
  <c r="Y1237" i="39"/>
  <c r="X1543" i="39"/>
  <c r="V819" i="39"/>
  <c r="Y819" i="39"/>
  <c r="V912" i="39"/>
  <c r="Y912" i="39"/>
  <c r="X1632" i="39"/>
  <c r="V1886" i="39"/>
  <c r="Y1886" i="39"/>
  <c r="V1022" i="39"/>
  <c r="Y1022" i="39"/>
  <c r="X1886" i="39"/>
  <c r="X1887" i="39" s="1"/>
  <c r="V1108" i="39"/>
  <c r="Y1108" i="39"/>
  <c r="X1436" i="39"/>
  <c r="X1496" i="39"/>
  <c r="V1776" i="39"/>
  <c r="Y1776" i="39"/>
  <c r="V1742" i="39"/>
  <c r="Y1742" i="39"/>
  <c r="X1109" i="39"/>
  <c r="V1463" i="39"/>
  <c r="Y1463" i="39"/>
  <c r="X1742" i="39"/>
  <c r="V541" i="39"/>
  <c r="Y541" i="39"/>
  <c r="X1776" i="39"/>
  <c r="Y1961" i="39"/>
  <c r="V1961" i="39"/>
  <c r="V888" i="39"/>
  <c r="Y888" i="39"/>
  <c r="X1214" i="39"/>
  <c r="X198" i="39"/>
  <c r="X199" i="39" s="1"/>
  <c r="X888" i="39"/>
  <c r="X889" i="39" s="1"/>
  <c r="X890" i="39" s="1"/>
  <c r="X891" i="39" s="1"/>
  <c r="V1496" i="39"/>
  <c r="Y1496" i="39"/>
  <c r="X912" i="39"/>
  <c r="V1984" i="39"/>
  <c r="Y1984" i="39"/>
  <c r="X1985" i="39"/>
  <c r="X1986" i="39" s="1"/>
  <c r="X1987" i="39" s="1"/>
  <c r="X1988" i="39" s="1"/>
  <c r="X1989" i="39" s="1"/>
  <c r="X1990" i="39" s="1"/>
  <c r="X1991" i="39" s="1"/>
  <c r="X1992" i="39" s="1"/>
  <c r="X1993" i="39" s="1"/>
  <c r="X1994" i="39" s="1"/>
  <c r="V890" i="39"/>
  <c r="Y890" i="39"/>
  <c r="V959" i="39"/>
  <c r="Y959" i="39"/>
  <c r="X960" i="39"/>
  <c r="X961" i="39" s="1"/>
  <c r="X962" i="39" s="1"/>
  <c r="X963" i="39" s="1"/>
  <c r="X964" i="39" s="1"/>
  <c r="X965" i="39" s="1"/>
  <c r="X966" i="39" s="1"/>
  <c r="X967" i="39" s="1"/>
  <c r="X968" i="39" s="1"/>
  <c r="X969" i="39" s="1"/>
  <c r="X970" i="39" s="1"/>
  <c r="X971" i="39" s="1"/>
  <c r="X972" i="39" s="1"/>
  <c r="X973" i="39" s="1"/>
  <c r="X974" i="39" s="1"/>
  <c r="X975" i="39" s="1"/>
  <c r="V821" i="39"/>
  <c r="Y821" i="39"/>
  <c r="V1370" i="39"/>
  <c r="Y1370" i="39"/>
  <c r="X1327" i="39"/>
  <c r="X1328" i="39" s="1"/>
  <c r="F199" i="39"/>
  <c r="C198" i="39"/>
  <c r="U198" i="39" s="1"/>
  <c r="F1164" i="39"/>
  <c r="C1163" i="39"/>
  <c r="U1163" i="39" s="1"/>
  <c r="C1962" i="39"/>
  <c r="U1962" i="39" s="1"/>
  <c r="C1742" i="39"/>
  <c r="U1742" i="39" s="1"/>
  <c r="F1743" i="39"/>
  <c r="C1961" i="39"/>
  <c r="U1961" i="39" s="1"/>
  <c r="F1328" i="39"/>
  <c r="F1371" i="39"/>
  <c r="C1370" i="39"/>
  <c r="U1370" i="39" s="1"/>
  <c r="C1326" i="39"/>
  <c r="U1326" i="39" s="1"/>
  <c r="F1109" i="39"/>
  <c r="C1108" i="39"/>
  <c r="U1108" i="39" s="1"/>
  <c r="C541" i="39"/>
  <c r="U541" i="39" s="1"/>
  <c r="F542" i="39"/>
  <c r="C1886" i="39"/>
  <c r="U1886" i="39" s="1"/>
  <c r="F1887" i="39"/>
  <c r="F913" i="39"/>
  <c r="F52" i="39"/>
  <c r="F1464" i="39"/>
  <c r="C1463" i="39"/>
  <c r="U1463" i="39" s="1"/>
  <c r="C34" i="39"/>
  <c r="U34" i="39" s="1"/>
  <c r="C50" i="39"/>
  <c r="U50" i="39" s="1"/>
  <c r="F242" i="39"/>
  <c r="C911" i="39"/>
  <c r="U911" i="39" s="1"/>
  <c r="C819" i="39"/>
  <c r="U819" i="39" s="1"/>
  <c r="F822" i="39"/>
  <c r="F976" i="39"/>
  <c r="C975" i="39"/>
  <c r="U975" i="39" s="1"/>
  <c r="C821" i="39"/>
  <c r="U821" i="39" s="1"/>
  <c r="C241" i="39"/>
  <c r="U241" i="39" s="1"/>
  <c r="F1238" i="39"/>
  <c r="C1237" i="39"/>
  <c r="U1237" i="39" s="1"/>
  <c r="C1213" i="39"/>
  <c r="U1213" i="39" s="1"/>
  <c r="F1214" i="39"/>
  <c r="C959" i="39"/>
  <c r="U959" i="39" s="1"/>
  <c r="F891" i="39"/>
  <c r="C888" i="39"/>
  <c r="U888" i="39" s="1"/>
  <c r="C889" i="39"/>
  <c r="U889" i="39" s="1"/>
  <c r="C890" i="39"/>
  <c r="U890" i="39" s="1"/>
  <c r="F1544" i="39"/>
  <c r="C1543" i="39"/>
  <c r="U1543" i="39" s="1"/>
  <c r="C1984" i="39"/>
  <c r="U1984" i="39" s="1"/>
  <c r="C1436" i="39"/>
  <c r="U1436" i="39" s="1"/>
  <c r="F1437" i="39"/>
  <c r="C1632" i="39"/>
  <c r="U1632" i="39" s="1"/>
  <c r="F1633" i="39"/>
  <c r="F1023" i="39"/>
  <c r="C1022" i="39"/>
  <c r="U1022" i="39" s="1"/>
  <c r="F1777" i="39"/>
  <c r="C1776" i="39"/>
  <c r="U1776" i="39" s="1"/>
  <c r="C1496" i="39"/>
  <c r="U1496" i="39" s="1"/>
  <c r="F1497" i="39"/>
  <c r="V1633" i="39" l="1"/>
  <c r="Y1633" i="39"/>
  <c r="V913" i="39"/>
  <c r="Y913" i="39"/>
  <c r="V1544" i="39"/>
  <c r="Y1544" i="39"/>
  <c r="X1215" i="39"/>
  <c r="V1887" i="39"/>
  <c r="Y1887" i="39"/>
  <c r="X1888" i="39"/>
  <c r="V242" i="39"/>
  <c r="Y242" i="39"/>
  <c r="X1633" i="39"/>
  <c r="X1634" i="39" s="1"/>
  <c r="X1777" i="39"/>
  <c r="X1743" i="39"/>
  <c r="X53" i="39"/>
  <c r="V52" i="39"/>
  <c r="Y52" i="39"/>
  <c r="X1372" i="39"/>
  <c r="V891" i="39"/>
  <c r="Y891" i="39"/>
  <c r="X892" i="39"/>
  <c r="X893" i="39" s="1"/>
  <c r="X894" i="39" s="1"/>
  <c r="X895" i="39" s="1"/>
  <c r="X896" i="39" s="1"/>
  <c r="V822" i="39"/>
  <c r="Y822" i="39"/>
  <c r="V1437" i="39"/>
  <c r="Y1437" i="39"/>
  <c r="V199" i="39"/>
  <c r="Y199" i="39"/>
  <c r="X200" i="39"/>
  <c r="V1214" i="39"/>
  <c r="Y1214" i="39"/>
  <c r="V1109" i="39"/>
  <c r="Y1109" i="39"/>
  <c r="V1238" i="39"/>
  <c r="Y1238" i="39"/>
  <c r="V1371" i="39"/>
  <c r="Y1371" i="39"/>
  <c r="X1497" i="39"/>
  <c r="X1498" i="39" s="1"/>
  <c r="V976" i="39"/>
  <c r="Y976" i="39"/>
  <c r="V1743" i="39"/>
  <c r="Y1743" i="39"/>
  <c r="X976" i="39"/>
  <c r="X977" i="39" s="1"/>
  <c r="V542" i="39"/>
  <c r="Y542" i="39"/>
  <c r="X913" i="39"/>
  <c r="X1437" i="39"/>
  <c r="V1777" i="39"/>
  <c r="Y1777" i="39"/>
  <c r="V1023" i="39"/>
  <c r="Y1023" i="39"/>
  <c r="V1164" i="39"/>
  <c r="Y1164" i="39"/>
  <c r="V1464" i="39"/>
  <c r="Y1464" i="39"/>
  <c r="X1544" i="39"/>
  <c r="X1545" i="39" s="1"/>
  <c r="V1497" i="39"/>
  <c r="Y1497" i="39"/>
  <c r="V1328" i="39"/>
  <c r="X1329" i="39"/>
  <c r="X1330" i="39" s="1"/>
  <c r="X1331" i="39" s="1"/>
  <c r="X1332" i="39" s="1"/>
  <c r="X1333" i="39" s="1"/>
  <c r="X1334" i="39" s="1"/>
  <c r="X1335" i="39" s="1"/>
  <c r="X1336" i="39" s="1"/>
  <c r="X1337" i="39" s="1"/>
  <c r="X1338" i="39" s="1"/>
  <c r="X1339" i="39" s="1"/>
  <c r="X1340" i="39" s="1"/>
  <c r="X1341" i="39" s="1"/>
  <c r="Y1328" i="39"/>
  <c r="X1464" i="39"/>
  <c r="X1465" i="39" s="1"/>
  <c r="C1164" i="39"/>
  <c r="U1164" i="39" s="1"/>
  <c r="F1165" i="39"/>
  <c r="F1744" i="39"/>
  <c r="C1743" i="39"/>
  <c r="U1743" i="39" s="1"/>
  <c r="C1371" i="39"/>
  <c r="U1371" i="39" s="1"/>
  <c r="F1372" i="39"/>
  <c r="C1327" i="39"/>
  <c r="U1327" i="39" s="1"/>
  <c r="F1110" i="39"/>
  <c r="C1109" i="39"/>
  <c r="U1109" i="39" s="1"/>
  <c r="C542" i="39"/>
  <c r="U542" i="39" s="1"/>
  <c r="F543" i="39"/>
  <c r="F1888" i="39"/>
  <c r="C1887" i="39"/>
  <c r="U1887" i="39" s="1"/>
  <c r="F914" i="39"/>
  <c r="F826" i="39"/>
  <c r="F53" i="39"/>
  <c r="C1464" i="39"/>
  <c r="U1464" i="39" s="1"/>
  <c r="F1465" i="39"/>
  <c r="C51" i="39"/>
  <c r="U51" i="39" s="1"/>
  <c r="F243" i="39"/>
  <c r="C912" i="39"/>
  <c r="U912" i="39" s="1"/>
  <c r="C976" i="39"/>
  <c r="U976" i="39" s="1"/>
  <c r="F977" i="39"/>
  <c r="F823" i="39"/>
  <c r="C822" i="39"/>
  <c r="U822" i="39" s="1"/>
  <c r="C242" i="39"/>
  <c r="U242" i="39" s="1"/>
  <c r="F1239" i="39"/>
  <c r="C1238" i="39"/>
  <c r="U1238" i="39" s="1"/>
  <c r="F1215" i="39"/>
  <c r="C1214" i="39"/>
  <c r="U1214" i="39" s="1"/>
  <c r="C891" i="39"/>
  <c r="U891" i="39" s="1"/>
  <c r="C1544" i="39"/>
  <c r="U1544" i="39" s="1"/>
  <c r="F1545" i="39"/>
  <c r="F1498" i="39"/>
  <c r="C1497" i="39"/>
  <c r="U1497" i="39" s="1"/>
  <c r="F1634" i="39"/>
  <c r="C1633" i="39"/>
  <c r="U1633" i="39" s="1"/>
  <c r="C1777" i="39"/>
  <c r="U1777" i="39" s="1"/>
  <c r="F1778" i="39"/>
  <c r="C1437" i="39"/>
  <c r="U1437" i="39" s="1"/>
  <c r="F1438" i="39"/>
  <c r="C1023" i="39"/>
  <c r="U1023" i="39" s="1"/>
  <c r="F1024" i="39"/>
  <c r="V1024" i="39" l="1"/>
  <c r="Y1024" i="39"/>
  <c r="V1498" i="39"/>
  <c r="Y1498" i="39"/>
  <c r="V977" i="39"/>
  <c r="Y977" i="39"/>
  <c r="X1635" i="39"/>
  <c r="V914" i="39"/>
  <c r="Y914" i="39"/>
  <c r="V1888" i="39"/>
  <c r="Y1888" i="39"/>
  <c r="V1110" i="39"/>
  <c r="Y1110" i="39"/>
  <c r="X1466" i="39"/>
  <c r="V1438" i="39"/>
  <c r="X1439" i="39"/>
  <c r="X1440" i="39" s="1"/>
  <c r="X1441" i="39" s="1"/>
  <c r="X1442" i="39" s="1"/>
  <c r="X1443" i="39" s="1"/>
  <c r="X1444" i="39" s="1"/>
  <c r="X1445" i="39" s="1"/>
  <c r="X1446" i="39" s="1"/>
  <c r="Y1438" i="39"/>
  <c r="V1778" i="39"/>
  <c r="Y1778" i="39"/>
  <c r="V826" i="39"/>
  <c r="Y826" i="39"/>
  <c r="V543" i="39"/>
  <c r="Y543" i="39"/>
  <c r="V1215" i="39"/>
  <c r="Y1215" i="39"/>
  <c r="X1438" i="39"/>
  <c r="V1744" i="39"/>
  <c r="Y1744" i="39"/>
  <c r="Y823" i="39"/>
  <c r="V823" i="39"/>
  <c r="X54" i="39"/>
  <c r="V1465" i="39"/>
  <c r="Y1465" i="39"/>
  <c r="X1778" i="39"/>
  <c r="X1779" i="39" s="1"/>
  <c r="V53" i="39"/>
  <c r="Y53" i="39"/>
  <c r="V1634" i="39"/>
  <c r="Y1634" i="39"/>
  <c r="V1545" i="39"/>
  <c r="Y1545" i="39"/>
  <c r="V1372" i="39"/>
  <c r="Y1372" i="39"/>
  <c r="X914" i="39"/>
  <c r="X1744" i="39"/>
  <c r="V1239" i="39"/>
  <c r="Y1239" i="39"/>
  <c r="X1110" i="39"/>
  <c r="V1165" i="39"/>
  <c r="Y1165" i="39"/>
  <c r="Y243" i="39"/>
  <c r="V243" i="39"/>
  <c r="X1546" i="39"/>
  <c r="C1165" i="39"/>
  <c r="U1165" i="39" s="1"/>
  <c r="F1166" i="39"/>
  <c r="C1744" i="39"/>
  <c r="U1744" i="39" s="1"/>
  <c r="F1745" i="39"/>
  <c r="C199" i="39"/>
  <c r="U199" i="39" s="1"/>
  <c r="F1636" i="39"/>
  <c r="F1373" i="39"/>
  <c r="C1372" i="39"/>
  <c r="U1372" i="39" s="1"/>
  <c r="C1328" i="39"/>
  <c r="U1328" i="39" s="1"/>
  <c r="F1111" i="39"/>
  <c r="C1110" i="39"/>
  <c r="U1110" i="39" s="1"/>
  <c r="F544" i="39"/>
  <c r="C543" i="39"/>
  <c r="U543" i="39" s="1"/>
  <c r="C1888" i="39"/>
  <c r="U1888" i="39" s="1"/>
  <c r="F1889" i="39"/>
  <c r="X1889" i="39" s="1"/>
  <c r="F915" i="39"/>
  <c r="C826" i="39"/>
  <c r="U826" i="39" s="1"/>
  <c r="F54" i="39"/>
  <c r="C1465" i="39"/>
  <c r="U1465" i="39" s="1"/>
  <c r="F1466" i="39"/>
  <c r="F244" i="39"/>
  <c r="C52" i="39"/>
  <c r="U52" i="39" s="1"/>
  <c r="C913" i="39"/>
  <c r="U913" i="39" s="1"/>
  <c r="F824" i="39"/>
  <c r="F828" i="39"/>
  <c r="C823" i="39"/>
  <c r="U823" i="39" s="1"/>
  <c r="F829" i="39"/>
  <c r="F827" i="39"/>
  <c r="F978" i="39"/>
  <c r="C977" i="39"/>
  <c r="U977" i="39" s="1"/>
  <c r="C243" i="39"/>
  <c r="U243" i="39" s="1"/>
  <c r="C1239" i="39"/>
  <c r="U1239" i="39" s="1"/>
  <c r="F1240" i="39"/>
  <c r="C1215" i="39"/>
  <c r="U1215" i="39" s="1"/>
  <c r="F1216" i="39"/>
  <c r="X1216" i="39" s="1"/>
  <c r="F1546" i="39"/>
  <c r="C1545" i="39"/>
  <c r="U1545" i="39" s="1"/>
  <c r="C1634" i="39"/>
  <c r="U1634" i="39" s="1"/>
  <c r="F1635" i="39"/>
  <c r="F1779" i="39"/>
  <c r="C1778" i="39"/>
  <c r="U1778" i="39" s="1"/>
  <c r="C1438" i="39"/>
  <c r="U1438" i="39" s="1"/>
  <c r="C1498" i="39"/>
  <c r="U1498" i="39" s="1"/>
  <c r="F1499" i="39"/>
  <c r="X1499" i="39" s="1"/>
  <c r="F1025" i="39"/>
  <c r="C1024" i="39"/>
  <c r="U1024" i="39" s="1"/>
  <c r="X1111" i="39" l="1"/>
  <c r="V828" i="39"/>
  <c r="Y828" i="39"/>
  <c r="V1025" i="39"/>
  <c r="Y1025" i="39"/>
  <c r="V1779" i="39"/>
  <c r="Y1779" i="39"/>
  <c r="V1373" i="39"/>
  <c r="Y1373" i="39"/>
  <c r="V827" i="39"/>
  <c r="Y827" i="39"/>
  <c r="V1745" i="39"/>
  <c r="Y1745" i="39"/>
  <c r="V824" i="39"/>
  <c r="Y824" i="39"/>
  <c r="X1780" i="39"/>
  <c r="X1467" i="39"/>
  <c r="V1499" i="39"/>
  <c r="Y1499" i="39"/>
  <c r="V244" i="39"/>
  <c r="Y244" i="39"/>
  <c r="V915" i="39"/>
  <c r="Y915" i="39"/>
  <c r="V1546" i="39"/>
  <c r="Y1546" i="39"/>
  <c r="X1636" i="39"/>
  <c r="V1635" i="39"/>
  <c r="Y1635" i="39"/>
  <c r="X1745" i="39"/>
  <c r="V978" i="39"/>
  <c r="Y978" i="39"/>
  <c r="V1636" i="39"/>
  <c r="Y1636" i="39"/>
  <c r="X1547" i="39"/>
  <c r="V1466" i="39"/>
  <c r="Y1466" i="39"/>
  <c r="V54" i="39"/>
  <c r="Y54" i="39"/>
  <c r="Y1889" i="39"/>
  <c r="V1889" i="39"/>
  <c r="V1240" i="39"/>
  <c r="Y1240" i="39"/>
  <c r="X915" i="39"/>
  <c r="X916" i="39" s="1"/>
  <c r="V829" i="39"/>
  <c r="Y829" i="39"/>
  <c r="X1373" i="39"/>
  <c r="V1216" i="39"/>
  <c r="Y1216" i="39"/>
  <c r="X1217" i="39"/>
  <c r="V1111" i="39"/>
  <c r="Y1111" i="39"/>
  <c r="V1166" i="39"/>
  <c r="Y1166" i="39"/>
  <c r="V544" i="39"/>
  <c r="Y544" i="39"/>
  <c r="X978" i="39"/>
  <c r="C1166" i="39"/>
  <c r="U1166" i="39" s="1"/>
  <c r="F1167" i="39"/>
  <c r="F1746" i="39"/>
  <c r="C1745" i="39"/>
  <c r="U1745" i="39" s="1"/>
  <c r="C1636" i="39"/>
  <c r="U1636" i="39" s="1"/>
  <c r="C1373" i="39"/>
  <c r="U1373" i="39" s="1"/>
  <c r="F1374" i="39"/>
  <c r="F1112" i="39"/>
  <c r="X1112" i="39" s="1"/>
  <c r="C1111" i="39"/>
  <c r="U1111" i="39" s="1"/>
  <c r="C544" i="39"/>
  <c r="U544" i="39" s="1"/>
  <c r="F545" i="39"/>
  <c r="F1890" i="39"/>
  <c r="C1889" i="39"/>
  <c r="U1889" i="39" s="1"/>
  <c r="F916" i="39"/>
  <c r="F55" i="39"/>
  <c r="F1467" i="39"/>
  <c r="C1466" i="39"/>
  <c r="U1466" i="39" s="1"/>
  <c r="F245" i="39"/>
  <c r="C53" i="39"/>
  <c r="U53" i="39" s="1"/>
  <c r="C914" i="39"/>
  <c r="U914" i="39" s="1"/>
  <c r="C824" i="39"/>
  <c r="U824" i="39" s="1"/>
  <c r="F830" i="39"/>
  <c r="F825" i="39"/>
  <c r="C828" i="39"/>
  <c r="U828" i="39" s="1"/>
  <c r="C827" i="39"/>
  <c r="U827" i="39" s="1"/>
  <c r="C829" i="39"/>
  <c r="U829" i="39" s="1"/>
  <c r="C978" i="39"/>
  <c r="U978" i="39" s="1"/>
  <c r="F979" i="39"/>
  <c r="C244" i="39"/>
  <c r="U244" i="39" s="1"/>
  <c r="F1241" i="39"/>
  <c r="C1240" i="39"/>
  <c r="U1240" i="39" s="1"/>
  <c r="F1217" i="39"/>
  <c r="C1216" i="39"/>
  <c r="U1216" i="39" s="1"/>
  <c r="F1547" i="39"/>
  <c r="C1546" i="39"/>
  <c r="U1546" i="39" s="1"/>
  <c r="F1026" i="39"/>
  <c r="C1025" i="39"/>
  <c r="U1025" i="39" s="1"/>
  <c r="F1637" i="39"/>
  <c r="C1635" i="39"/>
  <c r="U1635" i="39" s="1"/>
  <c r="C1779" i="39"/>
  <c r="U1779" i="39" s="1"/>
  <c r="F1780" i="39"/>
  <c r="F1500" i="39"/>
  <c r="C1499" i="39"/>
  <c r="U1499" i="39" s="1"/>
  <c r="V979" i="39" l="1"/>
  <c r="Y979" i="39"/>
  <c r="Y1637" i="39"/>
  <c r="V1637" i="39"/>
  <c r="X979" i="39"/>
  <c r="V1467" i="39"/>
  <c r="X1468" i="39"/>
  <c r="X1469" i="39" s="1"/>
  <c r="X1470" i="39" s="1"/>
  <c r="X1471" i="39" s="1"/>
  <c r="X1472" i="39" s="1"/>
  <c r="X1473" i="39" s="1"/>
  <c r="X1474" i="39" s="1"/>
  <c r="X1475" i="39" s="1"/>
  <c r="X1476" i="39" s="1"/>
  <c r="X1477" i="39" s="1"/>
  <c r="X1478" i="39" s="1"/>
  <c r="X1479" i="39" s="1"/>
  <c r="X1480" i="39" s="1"/>
  <c r="Y1467" i="39"/>
  <c r="X1637" i="39"/>
  <c r="V1167" i="39"/>
  <c r="Y1167" i="39"/>
  <c r="V1780" i="39"/>
  <c r="Y1780" i="39"/>
  <c r="V55" i="39"/>
  <c r="Y55" i="39"/>
  <c r="V916" i="39"/>
  <c r="Y916" i="39"/>
  <c r="X1374" i="39"/>
  <c r="X1375" i="39" s="1"/>
  <c r="V1374" i="39"/>
  <c r="Y1374" i="39"/>
  <c r="V245" i="39"/>
  <c r="Y245" i="39"/>
  <c r="V1890" i="39"/>
  <c r="Y1890" i="39"/>
  <c r="V1217" i="39"/>
  <c r="Y1217" i="39"/>
  <c r="X55" i="39"/>
  <c r="X56" i="39" s="1"/>
  <c r="V1746" i="39"/>
  <c r="Y1746" i="39"/>
  <c r="V830" i="39"/>
  <c r="Y830" i="39"/>
  <c r="V1500" i="39"/>
  <c r="Y1500" i="39"/>
  <c r="X1501" i="39"/>
  <c r="X1502" i="39" s="1"/>
  <c r="X1503" i="39" s="1"/>
  <c r="X1504" i="39" s="1"/>
  <c r="X1505" i="39" s="1"/>
  <c r="X1506" i="39" s="1"/>
  <c r="X1746" i="39"/>
  <c r="X1747" i="39" s="1"/>
  <c r="V1026" i="39"/>
  <c r="Y1026" i="39"/>
  <c r="V1547" i="39"/>
  <c r="Y1547" i="39"/>
  <c r="X1500" i="39"/>
  <c r="V825" i="39"/>
  <c r="Y825" i="39"/>
  <c r="V545" i="39"/>
  <c r="Y545" i="39"/>
  <c r="V1241" i="39"/>
  <c r="Y1241" i="39"/>
  <c r="V1112" i="39"/>
  <c r="Y1112" i="39"/>
  <c r="X1890" i="39"/>
  <c r="F1747" i="39"/>
  <c r="C1746" i="39"/>
  <c r="U1746" i="39" s="1"/>
  <c r="C1167" i="39"/>
  <c r="U1167" i="39" s="1"/>
  <c r="F1168" i="39"/>
  <c r="F1781" i="39"/>
  <c r="X1781" i="39" s="1"/>
  <c r="F1375" i="39"/>
  <c r="C1374" i="39"/>
  <c r="U1374" i="39" s="1"/>
  <c r="F1113" i="39"/>
  <c r="C1112" i="39"/>
  <c r="U1112" i="39" s="1"/>
  <c r="F546" i="39"/>
  <c r="C545" i="39"/>
  <c r="U545" i="39" s="1"/>
  <c r="C1890" i="39"/>
  <c r="U1890" i="39" s="1"/>
  <c r="F1891" i="39"/>
  <c r="C1865" i="39"/>
  <c r="U1865" i="39" s="1"/>
  <c r="F917" i="39"/>
  <c r="X917" i="39" s="1"/>
  <c r="F246" i="39"/>
  <c r="F56" i="39"/>
  <c r="C1467" i="39"/>
  <c r="U1467" i="39" s="1"/>
  <c r="C54" i="39"/>
  <c r="U54" i="39" s="1"/>
  <c r="C915" i="39"/>
  <c r="U915" i="39" s="1"/>
  <c r="C825" i="39"/>
  <c r="U825" i="39" s="1"/>
  <c r="F831" i="39"/>
  <c r="F832" i="39"/>
  <c r="C830" i="39"/>
  <c r="U830" i="39" s="1"/>
  <c r="F980" i="39"/>
  <c r="C979" i="39"/>
  <c r="U979" i="39" s="1"/>
  <c r="C245" i="39"/>
  <c r="U245" i="39" s="1"/>
  <c r="F1242" i="39"/>
  <c r="C1241" i="39"/>
  <c r="U1241" i="39" s="1"/>
  <c r="C1217" i="39"/>
  <c r="U1217" i="39" s="1"/>
  <c r="F1218" i="39"/>
  <c r="C1547" i="39"/>
  <c r="U1547" i="39" s="1"/>
  <c r="F1548" i="39"/>
  <c r="X1548" i="39" s="1"/>
  <c r="C1637" i="39"/>
  <c r="U1637" i="39" s="1"/>
  <c r="F1638" i="39"/>
  <c r="F1782" i="39"/>
  <c r="C1780" i="39"/>
  <c r="U1780" i="39" s="1"/>
  <c r="C1500" i="39"/>
  <c r="U1500" i="39" s="1"/>
  <c r="C1026" i="39"/>
  <c r="U1026" i="39" s="1"/>
  <c r="F1027" i="39"/>
  <c r="X1782" i="39" l="1"/>
  <c r="X1638" i="39"/>
  <c r="X1891" i="39"/>
  <c r="V1218" i="39"/>
  <c r="Y1218" i="39"/>
  <c r="V1747" i="39"/>
  <c r="Y1747" i="39"/>
  <c r="X1748" i="39"/>
  <c r="V1242" i="39"/>
  <c r="Y1242" i="39"/>
  <c r="V1375" i="39"/>
  <c r="Y1375" i="39"/>
  <c r="V980" i="39"/>
  <c r="Y980" i="39"/>
  <c r="V1027" i="39"/>
  <c r="Y1027" i="39"/>
  <c r="V1113" i="39"/>
  <c r="Y1113" i="39"/>
  <c r="V1781" i="39"/>
  <c r="Y1781" i="39"/>
  <c r="V546" i="39"/>
  <c r="Y546" i="39"/>
  <c r="V1168" i="39"/>
  <c r="Y1168" i="39"/>
  <c r="V832" i="39"/>
  <c r="Y832" i="39"/>
  <c r="V831" i="39"/>
  <c r="Y831" i="39"/>
  <c r="X980" i="39"/>
  <c r="X981" i="39" s="1"/>
  <c r="V56" i="39"/>
  <c r="Y56" i="39"/>
  <c r="V246" i="39"/>
  <c r="Y246" i="39"/>
  <c r="V917" i="39"/>
  <c r="Y917" i="39"/>
  <c r="X1218" i="39"/>
  <c r="X1219" i="39" s="1"/>
  <c r="V1548" i="39"/>
  <c r="Y1548" i="39"/>
  <c r="V1782" i="39"/>
  <c r="X1783" i="39"/>
  <c r="X1784" i="39" s="1"/>
  <c r="X1785" i="39" s="1"/>
  <c r="X1786" i="39" s="1"/>
  <c r="X1787" i="39" s="1"/>
  <c r="X1788" i="39" s="1"/>
  <c r="X1789" i="39" s="1"/>
  <c r="X1790" i="39" s="1"/>
  <c r="X1791" i="39" s="1"/>
  <c r="X1792" i="39" s="1"/>
  <c r="X1793" i="39" s="1"/>
  <c r="X1794" i="39" s="1"/>
  <c r="X1795" i="39" s="1"/>
  <c r="X1796" i="39" s="1"/>
  <c r="Y1782" i="39"/>
  <c r="V1638" i="39"/>
  <c r="Y1638" i="39"/>
  <c r="V1891" i="39"/>
  <c r="Y1891" i="39"/>
  <c r="X1113" i="39"/>
  <c r="F1748" i="39"/>
  <c r="C1747" i="39"/>
  <c r="U1747" i="39" s="1"/>
  <c r="F1169" i="39"/>
  <c r="C1168" i="39"/>
  <c r="U1168" i="39" s="1"/>
  <c r="C1781" i="39"/>
  <c r="U1781" i="39" s="1"/>
  <c r="F1378" i="39"/>
  <c r="C1375" i="39"/>
  <c r="U1375" i="39" s="1"/>
  <c r="F1376" i="39"/>
  <c r="F1114" i="39"/>
  <c r="C1113" i="39"/>
  <c r="U1113" i="39" s="1"/>
  <c r="C546" i="39"/>
  <c r="U546" i="39" s="1"/>
  <c r="F547" i="39"/>
  <c r="C1891" i="39"/>
  <c r="U1891" i="39" s="1"/>
  <c r="F1892" i="39"/>
  <c r="X1892" i="39" s="1"/>
  <c r="F918" i="39"/>
  <c r="F247" i="39"/>
  <c r="F57" i="39"/>
  <c r="C55" i="39"/>
  <c r="U55" i="39" s="1"/>
  <c r="C916" i="39"/>
  <c r="U916" i="39" s="1"/>
  <c r="F834" i="39"/>
  <c r="C832" i="39"/>
  <c r="U832" i="39" s="1"/>
  <c r="F833" i="39"/>
  <c r="C831" i="39"/>
  <c r="U831" i="39" s="1"/>
  <c r="F981" i="39"/>
  <c r="C980" i="39"/>
  <c r="U980" i="39" s="1"/>
  <c r="C246" i="39"/>
  <c r="U246" i="39" s="1"/>
  <c r="C1242" i="39"/>
  <c r="U1242" i="39" s="1"/>
  <c r="F1243" i="39"/>
  <c r="C1218" i="39"/>
  <c r="U1218" i="39" s="1"/>
  <c r="F1219" i="39"/>
  <c r="C1548" i="39"/>
  <c r="U1548" i="39" s="1"/>
  <c r="F1549" i="39"/>
  <c r="F1028" i="39"/>
  <c r="C1027" i="39"/>
  <c r="U1027" i="39" s="1"/>
  <c r="C1638" i="39"/>
  <c r="U1638" i="39" s="1"/>
  <c r="F1639" i="39"/>
  <c r="X1639" i="39" s="1"/>
  <c r="C1782" i="39"/>
  <c r="U1782" i="39" s="1"/>
  <c r="V57" i="39" l="1"/>
  <c r="Y57" i="39"/>
  <c r="V547" i="39"/>
  <c r="Y547" i="39"/>
  <c r="V1028" i="39"/>
  <c r="Y1028" i="39"/>
  <c r="V1549" i="39"/>
  <c r="Y1549" i="39"/>
  <c r="V1219" i="39"/>
  <c r="Y1219" i="39"/>
  <c r="X57" i="39"/>
  <c r="V1639" i="39"/>
  <c r="Y1639" i="39"/>
  <c r="X1220" i="39"/>
  <c r="Y1376" i="39"/>
  <c r="V1376" i="39"/>
  <c r="V247" i="39"/>
  <c r="Y247" i="39"/>
  <c r="V918" i="39"/>
  <c r="Y918" i="39"/>
  <c r="V1892" i="39"/>
  <c r="Y1892" i="39"/>
  <c r="V1378" i="39"/>
  <c r="Y1378" i="39"/>
  <c r="X1749" i="39"/>
  <c r="V981" i="39"/>
  <c r="Y981" i="39"/>
  <c r="V1748" i="39"/>
  <c r="Y1748" i="39"/>
  <c r="V833" i="39"/>
  <c r="Y833" i="39"/>
  <c r="V834" i="39"/>
  <c r="Y834" i="39"/>
  <c r="X918" i="39"/>
  <c r="X1114" i="39"/>
  <c r="X1115" i="39" s="1"/>
  <c r="X1376" i="39"/>
  <c r="X1377" i="39" s="1"/>
  <c r="X1378" i="39" s="1"/>
  <c r="X1379" i="39" s="1"/>
  <c r="V1114" i="39"/>
  <c r="Y1114" i="39"/>
  <c r="Y1243" i="39"/>
  <c r="V1243" i="39"/>
  <c r="V1169" i="39"/>
  <c r="Y1169" i="39"/>
  <c r="X1549" i="39"/>
  <c r="F1749" i="39"/>
  <c r="C1748" i="39"/>
  <c r="U1748" i="39" s="1"/>
  <c r="C1169" i="39"/>
  <c r="U1169" i="39" s="1"/>
  <c r="F1170" i="39"/>
  <c r="C1378" i="39"/>
  <c r="U1378" i="39" s="1"/>
  <c r="F1379" i="39"/>
  <c r="F1377" i="39"/>
  <c r="C1376" i="39"/>
  <c r="U1376" i="39" s="1"/>
  <c r="F1115" i="39"/>
  <c r="C1114" i="39"/>
  <c r="U1114" i="39" s="1"/>
  <c r="F548" i="39"/>
  <c r="C547" i="39"/>
  <c r="U547" i="39" s="1"/>
  <c r="C1892" i="39"/>
  <c r="U1892" i="39" s="1"/>
  <c r="F1893" i="39"/>
  <c r="F919" i="39"/>
  <c r="F248" i="39"/>
  <c r="F58" i="39"/>
  <c r="C56" i="39"/>
  <c r="U56" i="39" s="1"/>
  <c r="C917" i="39"/>
  <c r="U917" i="39" s="1"/>
  <c r="C981" i="39"/>
  <c r="U981" i="39" s="1"/>
  <c r="F982" i="39"/>
  <c r="X982" i="39" s="1"/>
  <c r="F835" i="39"/>
  <c r="C833" i="39"/>
  <c r="U833" i="39" s="1"/>
  <c r="F836" i="39"/>
  <c r="C834" i="39"/>
  <c r="U834" i="39" s="1"/>
  <c r="C1243" i="39"/>
  <c r="U1243" i="39" s="1"/>
  <c r="C1219" i="39"/>
  <c r="U1219" i="39" s="1"/>
  <c r="F1220" i="39"/>
  <c r="F1244" i="39"/>
  <c r="C247" i="39"/>
  <c r="U247" i="39" s="1"/>
  <c r="F1550" i="39"/>
  <c r="C1549" i="39"/>
  <c r="U1549" i="39" s="1"/>
  <c r="F1029" i="39"/>
  <c r="C1028" i="39"/>
  <c r="U1028" i="39" s="1"/>
  <c r="C1639" i="39"/>
  <c r="U1639" i="39" s="1"/>
  <c r="F1640" i="39"/>
  <c r="V919" i="39" l="1"/>
  <c r="Y919" i="39"/>
  <c r="Y58" i="39"/>
  <c r="V58" i="39"/>
  <c r="V1893" i="39"/>
  <c r="Y1893" i="39"/>
  <c r="V548" i="39"/>
  <c r="Y548" i="39"/>
  <c r="Y1115" i="39"/>
  <c r="V1115" i="39"/>
  <c r="X919" i="39"/>
  <c r="V1550" i="39"/>
  <c r="Y1550" i="39"/>
  <c r="X58" i="39"/>
  <c r="X1750" i="39"/>
  <c r="V836" i="39"/>
  <c r="Y836" i="39"/>
  <c r="X1116" i="39"/>
  <c r="V1377" i="39"/>
  <c r="Y1377" i="39"/>
  <c r="X983" i="39"/>
  <c r="V248" i="39"/>
  <c r="Y248" i="39"/>
  <c r="V1640" i="39"/>
  <c r="Y1640" i="39"/>
  <c r="Y1029" i="39"/>
  <c r="V1029" i="39"/>
  <c r="V1244" i="39"/>
  <c r="Y1244" i="39"/>
  <c r="V1379" i="39"/>
  <c r="Y1379" i="39"/>
  <c r="V1170" i="39"/>
  <c r="Y1170" i="39"/>
  <c r="X1550" i="39"/>
  <c r="X1551" i="39" s="1"/>
  <c r="X1640" i="39"/>
  <c r="X1641" i="39" s="1"/>
  <c r="X1380" i="39"/>
  <c r="V1220" i="39"/>
  <c r="Y1220" i="39"/>
  <c r="V1749" i="39"/>
  <c r="Y1749" i="39"/>
  <c r="V835" i="39"/>
  <c r="Y835" i="39"/>
  <c r="V982" i="39"/>
  <c r="Y982" i="39"/>
  <c r="X1893" i="39"/>
  <c r="F1750" i="39"/>
  <c r="C1749" i="39"/>
  <c r="U1749" i="39" s="1"/>
  <c r="F1171" i="39"/>
  <c r="C1170" i="39"/>
  <c r="U1170" i="39" s="1"/>
  <c r="C1377" i="39"/>
  <c r="U1377" i="39" s="1"/>
  <c r="F1380" i="39"/>
  <c r="C1379" i="39"/>
  <c r="U1379" i="39" s="1"/>
  <c r="F1116" i="39"/>
  <c r="C1115" i="39"/>
  <c r="U1115" i="39" s="1"/>
  <c r="C548" i="39"/>
  <c r="U548" i="39" s="1"/>
  <c r="F549" i="39"/>
  <c r="C1893" i="39"/>
  <c r="U1893" i="39" s="1"/>
  <c r="F1894" i="39"/>
  <c r="F249" i="39"/>
  <c r="F59" i="39"/>
  <c r="C57" i="39"/>
  <c r="U57" i="39" s="1"/>
  <c r="C918" i="39"/>
  <c r="U918" i="39" s="1"/>
  <c r="F983" i="39"/>
  <c r="C982" i="39"/>
  <c r="U982" i="39" s="1"/>
  <c r="C836" i="39"/>
  <c r="U836" i="39" s="1"/>
  <c r="F838" i="39"/>
  <c r="F837" i="39"/>
  <c r="C835" i="39"/>
  <c r="U835" i="39" s="1"/>
  <c r="F1245" i="39"/>
  <c r="C1244" i="39"/>
  <c r="U1244" i="39" s="1"/>
  <c r="C1220" i="39"/>
  <c r="U1220" i="39" s="1"/>
  <c r="F1221" i="39"/>
  <c r="X1221" i="39" s="1"/>
  <c r="C248" i="39"/>
  <c r="U248" i="39" s="1"/>
  <c r="C1550" i="39"/>
  <c r="U1550" i="39" s="1"/>
  <c r="F1551" i="39"/>
  <c r="C1640" i="39"/>
  <c r="U1640" i="39" s="1"/>
  <c r="F1641" i="39"/>
  <c r="C1029" i="39"/>
  <c r="U1029" i="39" s="1"/>
  <c r="F1030" i="39"/>
  <c r="X59" i="39" l="1"/>
  <c r="V249" i="39"/>
  <c r="Y249" i="39"/>
  <c r="X250" i="39"/>
  <c r="V549" i="39"/>
  <c r="Y549" i="39"/>
  <c r="X1642" i="39"/>
  <c r="Y1116" i="39"/>
  <c r="V1116" i="39"/>
  <c r="V983" i="39"/>
  <c r="Y983" i="39"/>
  <c r="V59" i="39"/>
  <c r="Y59" i="39"/>
  <c r="X1381" i="39"/>
  <c r="V1030" i="39"/>
  <c r="Y1030" i="39"/>
  <c r="V1641" i="39"/>
  <c r="Y1641" i="39"/>
  <c r="V1750" i="39"/>
  <c r="Y1750" i="39"/>
  <c r="X984" i="39"/>
  <c r="X1751" i="39"/>
  <c r="V1894" i="39"/>
  <c r="Y1894" i="39"/>
  <c r="V1551" i="39"/>
  <c r="Y1551" i="39"/>
  <c r="V1221" i="39"/>
  <c r="Y1221" i="39"/>
  <c r="X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894" i="39"/>
  <c r="X1895" i="39" s="1"/>
  <c r="X1552" i="39"/>
  <c r="V1380" i="39"/>
  <c r="Y1380" i="39"/>
  <c r="Y1171" i="39"/>
  <c r="V1171" i="39"/>
  <c r="V1245" i="39"/>
  <c r="Y1245" i="39"/>
  <c r="V837" i="39"/>
  <c r="Y837" i="39"/>
  <c r="V838" i="39"/>
  <c r="Y838" i="39"/>
  <c r="C1750" i="39"/>
  <c r="U1750" i="39" s="1"/>
  <c r="F1751" i="39"/>
  <c r="F1172" i="39"/>
  <c r="C1171" i="39"/>
  <c r="U1171" i="39" s="1"/>
  <c r="F1381" i="39"/>
  <c r="C1380" i="39"/>
  <c r="U1380" i="39" s="1"/>
  <c r="F1117" i="39"/>
  <c r="C1116" i="39"/>
  <c r="U1116" i="39" s="1"/>
  <c r="F550" i="39"/>
  <c r="C549" i="39"/>
  <c r="U549" i="39" s="1"/>
  <c r="C1894" i="39"/>
  <c r="U1894" i="39" s="1"/>
  <c r="F1895" i="39"/>
  <c r="F60" i="39"/>
  <c r="C58" i="39"/>
  <c r="U58" i="39" s="1"/>
  <c r="C919" i="39"/>
  <c r="U919" i="39" s="1"/>
  <c r="F920" i="39"/>
  <c r="F984" i="39"/>
  <c r="C983" i="39"/>
  <c r="U983" i="39" s="1"/>
  <c r="C838" i="39"/>
  <c r="U838" i="39" s="1"/>
  <c r="C837" i="39"/>
  <c r="U837" i="39" s="1"/>
  <c r="F839" i="39"/>
  <c r="F1246" i="39"/>
  <c r="C1245" i="39"/>
  <c r="U1245" i="39" s="1"/>
  <c r="C1221" i="39"/>
  <c r="U1221" i="39" s="1"/>
  <c r="C249" i="39"/>
  <c r="U249" i="39" s="1"/>
  <c r="C1093" i="39"/>
  <c r="U1093" i="39" s="1"/>
  <c r="C1551" i="39"/>
  <c r="U1551" i="39" s="1"/>
  <c r="F1552" i="39"/>
  <c r="F1642" i="39"/>
  <c r="C1641" i="39"/>
  <c r="U1641" i="39" s="1"/>
  <c r="C1030" i="39"/>
  <c r="U1030" i="39" s="1"/>
  <c r="F1031" i="39"/>
  <c r="V920" i="39" l="1"/>
  <c r="Y920" i="39"/>
  <c r="X920" i="39"/>
  <c r="V60" i="39"/>
  <c r="Y60" i="39"/>
  <c r="V1246" i="39"/>
  <c r="Y1246" i="39"/>
  <c r="V984" i="39"/>
  <c r="Y984" i="39"/>
  <c r="V839" i="39"/>
  <c r="X840" i="39"/>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Y839" i="39"/>
  <c r="Y1895" i="39"/>
  <c r="V1895" i="39"/>
  <c r="X1896" i="39"/>
  <c r="V1552" i="39"/>
  <c r="Y1552" i="39"/>
  <c r="V1031" i="39"/>
  <c r="Y1031" i="39"/>
  <c r="V1642" i="39"/>
  <c r="Y1642" i="39"/>
  <c r="V1117" i="39"/>
  <c r="Y1117" i="39"/>
  <c r="V1381" i="39"/>
  <c r="Y1381" i="39"/>
  <c r="V550" i="39"/>
  <c r="Y550" i="39"/>
  <c r="V1172" i="39"/>
  <c r="Y1172" i="39"/>
  <c r="V1751" i="39"/>
  <c r="Y1751" i="39"/>
  <c r="X1117" i="39"/>
  <c r="X1118" i="39" s="1"/>
  <c r="X60" i="39"/>
  <c r="X61" i="39" s="1"/>
  <c r="C1751" i="39"/>
  <c r="U1751" i="39" s="1"/>
  <c r="F1752" i="39"/>
  <c r="C1172" i="39"/>
  <c r="U1172" i="39" s="1"/>
  <c r="F1173" i="39"/>
  <c r="C1381" i="39"/>
  <c r="U1381" i="39" s="1"/>
  <c r="F1382" i="39"/>
  <c r="X1382" i="39" s="1"/>
  <c r="F1118" i="39"/>
  <c r="C1117" i="39"/>
  <c r="U1117" i="39" s="1"/>
  <c r="C550" i="39"/>
  <c r="U550" i="39" s="1"/>
  <c r="F551" i="39"/>
  <c r="C1895" i="39"/>
  <c r="U1895" i="39" s="1"/>
  <c r="F1896" i="39"/>
  <c r="F61" i="39"/>
  <c r="C59" i="39"/>
  <c r="U59" i="39" s="1"/>
  <c r="C984" i="39"/>
  <c r="U984" i="39" s="1"/>
  <c r="F985" i="39"/>
  <c r="F921" i="39"/>
  <c r="C920" i="39"/>
  <c r="U920" i="39" s="1"/>
  <c r="C839" i="39"/>
  <c r="U839" i="39" s="1"/>
  <c r="C1246" i="39"/>
  <c r="U1246" i="39" s="1"/>
  <c r="F1247" i="39"/>
  <c r="C1094" i="39"/>
  <c r="U1094" i="39" s="1"/>
  <c r="C1552" i="39"/>
  <c r="U1552" i="39" s="1"/>
  <c r="F1553" i="39"/>
  <c r="F1643" i="39"/>
  <c r="C1642" i="39"/>
  <c r="U1642" i="39" s="1"/>
  <c r="C1031" i="39"/>
  <c r="U1031" i="39" s="1"/>
  <c r="F1032" i="39"/>
  <c r="V1643" i="39" l="1"/>
  <c r="Y1643" i="39"/>
  <c r="V1553" i="39"/>
  <c r="Y1553" i="39"/>
  <c r="V1247" i="39"/>
  <c r="Y1247" i="39"/>
  <c r="V1173" i="39"/>
  <c r="Y1173" i="39"/>
  <c r="X1553" i="39"/>
  <c r="V1896" i="39"/>
  <c r="Y1896" i="39"/>
  <c r="V1752" i="39"/>
  <c r="Y1752" i="39"/>
  <c r="V921" i="39"/>
  <c r="Y921" i="39"/>
  <c r="X1752" i="39"/>
  <c r="X1753" i="39" s="1"/>
  <c r="V1118" i="39"/>
  <c r="X1119" i="39"/>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Y1118" i="39"/>
  <c r="X921" i="39"/>
  <c r="X922" i="39" s="1"/>
  <c r="V985" i="39"/>
  <c r="Y985" i="39"/>
  <c r="V61" i="39"/>
  <c r="Y61" i="39"/>
  <c r="V1032" i="39"/>
  <c r="Y1032" i="39"/>
  <c r="V1382" i="39"/>
  <c r="Y1382" i="39"/>
  <c r="X1643" i="39"/>
  <c r="X62" i="39"/>
  <c r="X1247" i="39"/>
  <c r="V551" i="39"/>
  <c r="Y551" i="39"/>
  <c r="X985" i="39"/>
  <c r="X986" i="39" s="1"/>
  <c r="C1752" i="39"/>
  <c r="U1752" i="39" s="1"/>
  <c r="F1753" i="39"/>
  <c r="C1173" i="39"/>
  <c r="U1173" i="39" s="1"/>
  <c r="F1174" i="39"/>
  <c r="C1382" i="39"/>
  <c r="U1382" i="39" s="1"/>
  <c r="F1383" i="39"/>
  <c r="C1118" i="39"/>
  <c r="U1118" i="39" s="1"/>
  <c r="C551" i="39"/>
  <c r="U551" i="39" s="1"/>
  <c r="F552" i="39"/>
  <c r="F1897" i="39"/>
  <c r="X1897" i="39" s="1"/>
  <c r="C1896" i="39"/>
  <c r="U1896" i="39" s="1"/>
  <c r="F986" i="39"/>
  <c r="F62" i="39"/>
  <c r="C985" i="39"/>
  <c r="U985" i="39" s="1"/>
  <c r="C60" i="39"/>
  <c r="U60" i="39" s="1"/>
  <c r="F922" i="39"/>
  <c r="C921" i="39"/>
  <c r="U921" i="39" s="1"/>
  <c r="C1247" i="39"/>
  <c r="U1247" i="39" s="1"/>
  <c r="F1248" i="39"/>
  <c r="C1095" i="39"/>
  <c r="U1095" i="39" s="1"/>
  <c r="F1554" i="39"/>
  <c r="C1553" i="39"/>
  <c r="U1553" i="39" s="1"/>
  <c r="C1643" i="39"/>
  <c r="U1643" i="39" s="1"/>
  <c r="F1644" i="39"/>
  <c r="F1033" i="39"/>
  <c r="C1032" i="39"/>
  <c r="U1032" i="39" s="1"/>
  <c r="X1248" i="39" l="1"/>
  <c r="Y1383" i="39"/>
  <c r="V1383" i="39"/>
  <c r="V1174" i="39"/>
  <c r="Y1174" i="39"/>
  <c r="V1033" i="39"/>
  <c r="Y1033" i="39"/>
  <c r="X1554" i="39"/>
  <c r="X1555" i="39" s="1"/>
  <c r="V1644" i="39"/>
  <c r="Y1644" i="39"/>
  <c r="X1249" i="39"/>
  <c r="X1383" i="39"/>
  <c r="V922" i="39"/>
  <c r="Y922" i="39"/>
  <c r="V1248" i="39"/>
  <c r="Y1248" i="39"/>
  <c r="X923" i="39"/>
  <c r="V1554" i="39"/>
  <c r="Y1554" i="39"/>
  <c r="X1644" i="39"/>
  <c r="X1645" i="39" s="1"/>
  <c r="V62" i="39"/>
  <c r="Y62" i="39"/>
  <c r="V986" i="39"/>
  <c r="Y986" i="39"/>
  <c r="V1897" i="39"/>
  <c r="Y1897" i="39"/>
  <c r="V1753" i="39"/>
  <c r="Y1753" i="39"/>
  <c r="X63" i="39"/>
  <c r="V552" i="39"/>
  <c r="Y552" i="39"/>
  <c r="C1753" i="39"/>
  <c r="U1753" i="39" s="1"/>
  <c r="F1754" i="39"/>
  <c r="F1175" i="39"/>
  <c r="C1174" i="39"/>
  <c r="U1174" i="39" s="1"/>
  <c r="F1384" i="39"/>
  <c r="C1383" i="39"/>
  <c r="U1383" i="39" s="1"/>
  <c r="C552" i="39"/>
  <c r="U552" i="39" s="1"/>
  <c r="F553" i="39"/>
  <c r="C1897" i="39"/>
  <c r="U1897" i="39" s="1"/>
  <c r="F1898" i="39"/>
  <c r="F987" i="39"/>
  <c r="X987" i="39" s="1"/>
  <c r="C986" i="39"/>
  <c r="U986" i="39" s="1"/>
  <c r="F63" i="39"/>
  <c r="F923" i="39"/>
  <c r="C922" i="39"/>
  <c r="U922" i="39" s="1"/>
  <c r="F1249" i="39"/>
  <c r="C1248" i="39"/>
  <c r="U1248" i="39" s="1"/>
  <c r="C1554" i="39"/>
  <c r="U1554" i="39" s="1"/>
  <c r="F1555" i="39"/>
  <c r="F1034" i="39"/>
  <c r="C1033" i="39"/>
  <c r="U1033" i="39" s="1"/>
  <c r="C1644" i="39"/>
  <c r="U1644" i="39" s="1"/>
  <c r="F1645" i="39"/>
  <c r="V1175" i="39" l="1"/>
  <c r="Y1175" i="39"/>
  <c r="V1754" i="39"/>
  <c r="Y1754" i="39"/>
  <c r="V1034" i="39"/>
  <c r="Y1034" i="39"/>
  <c r="V1249" i="39"/>
  <c r="Y1249" i="39"/>
  <c r="V1384" i="39"/>
  <c r="Y1384" i="39"/>
  <c r="V1645" i="39"/>
  <c r="Y1645" i="39"/>
  <c r="X1754" i="39"/>
  <c r="X1755" i="39" s="1"/>
  <c r="V1898" i="39"/>
  <c r="Y1898" i="39"/>
  <c r="X1384" i="39"/>
  <c r="X1385" i="39" s="1"/>
  <c r="V1555" i="39"/>
  <c r="Y1555" i="39"/>
  <c r="X1175" i="39"/>
  <c r="Y553" i="39"/>
  <c r="V553" i="39"/>
  <c r="X554" i="39"/>
  <c r="V923" i="39"/>
  <c r="Y923" i="39"/>
  <c r="V63" i="39"/>
  <c r="Y63" i="39"/>
  <c r="V987" i="39"/>
  <c r="Y987" i="39"/>
  <c r="X1898" i="39"/>
  <c r="C1754" i="39"/>
  <c r="U1754" i="39" s="1"/>
  <c r="F1755" i="39"/>
  <c r="C1175" i="39"/>
  <c r="U1175" i="39" s="1"/>
  <c r="F1176" i="39"/>
  <c r="C1384" i="39"/>
  <c r="U1384" i="39" s="1"/>
  <c r="F1385" i="39"/>
  <c r="C553" i="39"/>
  <c r="U553" i="39" s="1"/>
  <c r="C1898" i="39"/>
  <c r="U1898" i="39" s="1"/>
  <c r="F1899" i="39"/>
  <c r="F988" i="39"/>
  <c r="C987" i="39"/>
  <c r="U987" i="39" s="1"/>
  <c r="F64" i="39"/>
  <c r="X64" i="39" s="1"/>
  <c r="F924" i="39"/>
  <c r="X924" i="39" s="1"/>
  <c r="C923" i="39"/>
  <c r="U923" i="39" s="1"/>
  <c r="F1250" i="39"/>
  <c r="C1249" i="39"/>
  <c r="U1249" i="39" s="1"/>
  <c r="C1555" i="39"/>
  <c r="U1555" i="39" s="1"/>
  <c r="F1556" i="39"/>
  <c r="X1556" i="39" s="1"/>
  <c r="F1035" i="39"/>
  <c r="C1034" i="39"/>
  <c r="U1034" i="39" s="1"/>
  <c r="C1645" i="39"/>
  <c r="U1645" i="39" s="1"/>
  <c r="F1646" i="39"/>
  <c r="X1646" i="39" s="1"/>
  <c r="X1899" i="39" l="1"/>
  <c r="V1035" i="39"/>
  <c r="Y1035" i="39"/>
  <c r="V1899" i="39"/>
  <c r="Y1899" i="39"/>
  <c r="V1385" i="39"/>
  <c r="Y1385" i="39"/>
  <c r="V1250" i="39"/>
  <c r="Y1250" i="39"/>
  <c r="V1176" i="39"/>
  <c r="Y1176" i="39"/>
  <c r="V1646" i="39"/>
  <c r="Y1646" i="39"/>
  <c r="X1176" i="39"/>
  <c r="X1177" i="39" s="1"/>
  <c r="X1756" i="39"/>
  <c r="V1755" i="39"/>
  <c r="Y1755" i="39"/>
  <c r="V1556" i="39"/>
  <c r="X1557" i="39"/>
  <c r="X1558" i="39" s="1"/>
  <c r="Y1556" i="39"/>
  <c r="X1250" i="39"/>
  <c r="V924" i="39"/>
  <c r="Y924" i="39"/>
  <c r="V64" i="39"/>
  <c r="Y64" i="39"/>
  <c r="V988" i="39"/>
  <c r="Y988" i="39"/>
  <c r="X988" i="39"/>
  <c r="C1755" i="39"/>
  <c r="U1755" i="39" s="1"/>
  <c r="F1756" i="39"/>
  <c r="F1177" i="39"/>
  <c r="C1176" i="39"/>
  <c r="U1176" i="39" s="1"/>
  <c r="F1386" i="39"/>
  <c r="X1386" i="39" s="1"/>
  <c r="C1385" i="39"/>
  <c r="U1385" i="39" s="1"/>
  <c r="F1900" i="39"/>
  <c r="C1899" i="39"/>
  <c r="U1899" i="39" s="1"/>
  <c r="F989" i="39"/>
  <c r="C988" i="39"/>
  <c r="U988" i="39" s="1"/>
  <c r="F925" i="39"/>
  <c r="C924" i="39"/>
  <c r="U924" i="39" s="1"/>
  <c r="F65" i="39"/>
  <c r="X65" i="39" s="1"/>
  <c r="C61" i="39"/>
  <c r="U61" i="39" s="1"/>
  <c r="F1251" i="39"/>
  <c r="C1250" i="39"/>
  <c r="U1250" i="39" s="1"/>
  <c r="C1556" i="39"/>
  <c r="U1556" i="39" s="1"/>
  <c r="C1035" i="39"/>
  <c r="U1035" i="39" s="1"/>
  <c r="F1036" i="39"/>
  <c r="F1647" i="39"/>
  <c r="C1646" i="39"/>
  <c r="U1646" i="39" s="1"/>
  <c r="V1900" i="39" l="1"/>
  <c r="Y1900" i="39"/>
  <c r="V925" i="39"/>
  <c r="Y925" i="39"/>
  <c r="V989" i="39"/>
  <c r="Y989" i="39"/>
  <c r="V1756" i="39"/>
  <c r="X1757" i="39"/>
  <c r="X1758" i="39" s="1"/>
  <c r="X1759" i="39" s="1"/>
  <c r="Y1756" i="39"/>
  <c r="V1036" i="39"/>
  <c r="Y1036" i="39"/>
  <c r="Y1251" i="39"/>
  <c r="V1251" i="39"/>
  <c r="X1900" i="39"/>
  <c r="X1901" i="39" s="1"/>
  <c r="V1386" i="39"/>
  <c r="Y1386" i="39"/>
  <c r="V1177" i="39"/>
  <c r="Y1177" i="39"/>
  <c r="X989" i="39"/>
  <c r="V1647" i="39"/>
  <c r="Y1647" i="39"/>
  <c r="X1251" i="39"/>
  <c r="X1647" i="39"/>
  <c r="V65" i="39"/>
  <c r="Y65" i="39"/>
  <c r="X925" i="39"/>
  <c r="C1756" i="39"/>
  <c r="U1756" i="39" s="1"/>
  <c r="C1177" i="39"/>
  <c r="U1177" i="39" s="1"/>
  <c r="F1178" i="39"/>
  <c r="C1386" i="39"/>
  <c r="U1386" i="39" s="1"/>
  <c r="F1387" i="39"/>
  <c r="C1900" i="39"/>
  <c r="U1900" i="39" s="1"/>
  <c r="F1901" i="39"/>
  <c r="C989" i="39"/>
  <c r="U989" i="39" s="1"/>
  <c r="F990" i="39"/>
  <c r="F926" i="39"/>
  <c r="C925" i="39"/>
  <c r="U925" i="39" s="1"/>
  <c r="F66" i="39"/>
  <c r="C62" i="39"/>
  <c r="U62" i="39" s="1"/>
  <c r="C1251" i="39"/>
  <c r="U1251" i="39" s="1"/>
  <c r="F1252" i="39"/>
  <c r="F1037" i="39"/>
  <c r="C1036" i="39"/>
  <c r="U1036" i="39" s="1"/>
  <c r="F1648" i="39"/>
  <c r="C1647" i="39"/>
  <c r="U1647" i="39" s="1"/>
  <c r="X990" i="39" l="1"/>
  <c r="X1648" i="39"/>
  <c r="V1901" i="39"/>
  <c r="Y1901" i="39"/>
  <c r="V66" i="39"/>
  <c r="Y66" i="39"/>
  <c r="X67" i="39"/>
  <c r="X68" i="39" s="1"/>
  <c r="X69" i="39" s="1"/>
  <c r="X70" i="39" s="1"/>
  <c r="X71" i="39" s="1"/>
  <c r="X72" i="39" s="1"/>
  <c r="X73" i="39" s="1"/>
  <c r="X74" i="39" s="1"/>
  <c r="X75" i="39" s="1"/>
  <c r="X76" i="39" s="1"/>
  <c r="X77" i="39" s="1"/>
  <c r="X78" i="39" s="1"/>
  <c r="X79" i="39" s="1"/>
  <c r="X80" i="39" s="1"/>
  <c r="X81" i="39" s="1"/>
  <c r="X82" i="39" s="1"/>
  <c r="V926" i="39"/>
  <c r="Y926" i="39"/>
  <c r="V1387" i="39"/>
  <c r="Y1387" i="39"/>
  <c r="Y1178" i="39"/>
  <c r="V1178" i="39"/>
  <c r="X66" i="39"/>
  <c r="X1178" i="39"/>
  <c r="X1179" i="39" s="1"/>
  <c r="V1252" i="39"/>
  <c r="Y1252" i="39"/>
  <c r="V990" i="39"/>
  <c r="Y990" i="39"/>
  <c r="X926" i="39"/>
  <c r="X927" i="39" s="1"/>
  <c r="V1648" i="39"/>
  <c r="Y1648" i="39"/>
  <c r="V1037" i="39"/>
  <c r="Y1037" i="39"/>
  <c r="X1252" i="39"/>
  <c r="X1387" i="39"/>
  <c r="F1179" i="39"/>
  <c r="C1178" i="39"/>
  <c r="U1178" i="39" s="1"/>
  <c r="F1388" i="39"/>
  <c r="C1387" i="39"/>
  <c r="U1387" i="39" s="1"/>
  <c r="C1901" i="39"/>
  <c r="U1901" i="39" s="1"/>
  <c r="F1902" i="39"/>
  <c r="C990" i="39"/>
  <c r="U990" i="39" s="1"/>
  <c r="F991" i="39"/>
  <c r="F927" i="39"/>
  <c r="C926" i="39"/>
  <c r="U926" i="39" s="1"/>
  <c r="C63" i="39"/>
  <c r="U63" i="39" s="1"/>
  <c r="F1253" i="39"/>
  <c r="C1252" i="39"/>
  <c r="U1252" i="39" s="1"/>
  <c r="C1648" i="39"/>
  <c r="U1648" i="39" s="1"/>
  <c r="F1649" i="39"/>
  <c r="X1649" i="39" s="1"/>
  <c r="C1037" i="39"/>
  <c r="U1037" i="39" s="1"/>
  <c r="F1038" i="39"/>
  <c r="V1902" i="39" l="1"/>
  <c r="Y1902" i="39"/>
  <c r="Y927" i="39"/>
  <c r="V927" i="39"/>
  <c r="Y1179" i="39"/>
  <c r="V1179" i="39"/>
  <c r="V1038" i="39"/>
  <c r="Y1038" i="39"/>
  <c r="X1039" i="39"/>
  <c r="X1040" i="39" s="1"/>
  <c r="X1041" i="39" s="1"/>
  <c r="X1042" i="39" s="1"/>
  <c r="X1043" i="39" s="1"/>
  <c r="X1044" i="39" s="1"/>
  <c r="X1045" i="39" s="1"/>
  <c r="X1046" i="39" s="1"/>
  <c r="V1649" i="39"/>
  <c r="Y1649" i="39"/>
  <c r="V1253" i="39"/>
  <c r="Y1253" i="39"/>
  <c r="V991" i="39"/>
  <c r="Y991" i="39"/>
  <c r="V1388" i="39"/>
  <c r="Y1388" i="39"/>
  <c r="X1388" i="39"/>
  <c r="X1389" i="39" s="1"/>
  <c r="X1902" i="39"/>
  <c r="X1903" i="39" s="1"/>
  <c r="X1253" i="39"/>
  <c r="X991" i="39"/>
  <c r="F1180" i="39"/>
  <c r="X1180" i="39" s="1"/>
  <c r="C1179" i="39"/>
  <c r="U1179" i="39" s="1"/>
  <c r="C1388" i="39"/>
  <c r="U1388" i="39" s="1"/>
  <c r="F1389" i="39"/>
  <c r="C1902" i="39"/>
  <c r="U1902" i="39" s="1"/>
  <c r="F1903" i="39"/>
  <c r="F993" i="39"/>
  <c r="F992" i="39"/>
  <c r="C991" i="39"/>
  <c r="U991" i="39" s="1"/>
  <c r="C927" i="39"/>
  <c r="U927" i="39" s="1"/>
  <c r="F928" i="39"/>
  <c r="X928" i="39" s="1"/>
  <c r="C64" i="39"/>
  <c r="U64" i="39" s="1"/>
  <c r="F1254" i="39"/>
  <c r="C1253" i="39"/>
  <c r="U1253" i="39" s="1"/>
  <c r="C1038" i="39"/>
  <c r="U1038" i="39" s="1"/>
  <c r="C1649" i="39"/>
  <c r="U1649" i="39" s="1"/>
  <c r="F1650" i="39"/>
  <c r="Y928" i="39" l="1"/>
  <c r="V928" i="39"/>
  <c r="V1650" i="39"/>
  <c r="Y1650" i="39"/>
  <c r="V1254" i="39"/>
  <c r="X1255" i="39"/>
  <c r="X1256" i="39" s="1"/>
  <c r="X1257" i="39" s="1"/>
  <c r="X1258" i="39" s="1"/>
  <c r="X1259" i="39" s="1"/>
  <c r="X1260" i="39" s="1"/>
  <c r="X1261" i="39" s="1"/>
  <c r="X1262" i="39" s="1"/>
  <c r="X1263" i="39" s="1"/>
  <c r="X1264" i="39" s="1"/>
  <c r="X1265" i="39" s="1"/>
  <c r="X1266" i="39" s="1"/>
  <c r="X1267" i="39" s="1"/>
  <c r="X1268" i="39" s="1"/>
  <c r="Y1254" i="39"/>
  <c r="Y1180" i="39"/>
  <c r="V1180" i="39"/>
  <c r="Y992" i="39"/>
  <c r="V992" i="39"/>
  <c r="Y993" i="39"/>
  <c r="V993" i="39"/>
  <c r="V1903" i="39"/>
  <c r="Y1903" i="39"/>
  <c r="X992" i="39"/>
  <c r="X993" i="39" s="1"/>
  <c r="X994" i="39" s="1"/>
  <c r="V1389" i="39"/>
  <c r="Y1389" i="39"/>
  <c r="X1254" i="39"/>
  <c r="X1650" i="39"/>
  <c r="C1180" i="39"/>
  <c r="U1180" i="39" s="1"/>
  <c r="F1181" i="39"/>
  <c r="F1652" i="39"/>
  <c r="C1389" i="39"/>
  <c r="U1389" i="39" s="1"/>
  <c r="F1390" i="39"/>
  <c r="F1904" i="39"/>
  <c r="C1903" i="39"/>
  <c r="U1903" i="39" s="1"/>
  <c r="C993" i="39"/>
  <c r="U993" i="39" s="1"/>
  <c r="F994" i="39"/>
  <c r="C992" i="39"/>
  <c r="U992" i="39" s="1"/>
  <c r="F929" i="39"/>
  <c r="X929" i="39" s="1"/>
  <c r="C928" i="39"/>
  <c r="U928" i="39" s="1"/>
  <c r="C65" i="39"/>
  <c r="U65" i="39" s="1"/>
  <c r="C1254" i="39"/>
  <c r="U1254" i="39" s="1"/>
  <c r="C1650" i="39"/>
  <c r="U1650" i="39" s="1"/>
  <c r="F1651" i="39"/>
  <c r="V1390" i="39" l="1"/>
  <c r="Y1390" i="39"/>
  <c r="V1651" i="39"/>
  <c r="Y1651" i="39"/>
  <c r="Y994" i="39"/>
  <c r="V994" i="39"/>
  <c r="V1904" i="39"/>
  <c r="Y1904" i="39"/>
  <c r="X1390" i="39"/>
  <c r="X1391" i="39" s="1"/>
  <c r="X1651" i="39"/>
  <c r="X1652" i="39" s="1"/>
  <c r="X1653" i="39" s="1"/>
  <c r="X1904" i="39"/>
  <c r="X1905" i="39" s="1"/>
  <c r="V929" i="39"/>
  <c r="Y929" i="39"/>
  <c r="V1652" i="39"/>
  <c r="Y1652" i="39"/>
  <c r="V1181" i="39"/>
  <c r="X1182" i="39"/>
  <c r="X1183" i="39" s="1"/>
  <c r="Y1181" i="39"/>
  <c r="X1181" i="39"/>
  <c r="C1181" i="39"/>
  <c r="U1181" i="39" s="1"/>
  <c r="C1390" i="39"/>
  <c r="U1390" i="39" s="1"/>
  <c r="C1652" i="39"/>
  <c r="U1652" i="39" s="1"/>
  <c r="F1391" i="39"/>
  <c r="F1905" i="39"/>
  <c r="C1904" i="39"/>
  <c r="U1904" i="39" s="1"/>
  <c r="F995" i="39"/>
  <c r="C994" i="39"/>
  <c r="U994" i="39" s="1"/>
  <c r="C929" i="39"/>
  <c r="U929" i="39" s="1"/>
  <c r="F930" i="39"/>
  <c r="C66" i="39"/>
  <c r="U66" i="39" s="1"/>
  <c r="C1651" i="39"/>
  <c r="U1651" i="39" s="1"/>
  <c r="F1653" i="39"/>
  <c r="V1653" i="39" l="1"/>
  <c r="Y1653" i="39"/>
  <c r="V995" i="39"/>
  <c r="Y995" i="39"/>
  <c r="X995" i="39"/>
  <c r="V930" i="39"/>
  <c r="Y930" i="39"/>
  <c r="V1905" i="39"/>
  <c r="Y1905" i="39"/>
  <c r="Y1391" i="39"/>
  <c r="V1391" i="39"/>
  <c r="X930" i="39"/>
  <c r="F1392" i="39"/>
  <c r="C1391" i="39"/>
  <c r="U1391" i="39" s="1"/>
  <c r="F996" i="39"/>
  <c r="C1905" i="39"/>
  <c r="U1905" i="39" s="1"/>
  <c r="F1906" i="39"/>
  <c r="X1906" i="39" s="1"/>
  <c r="C995" i="39"/>
  <c r="U995" i="39" s="1"/>
  <c r="F931" i="39"/>
  <c r="C930" i="39"/>
  <c r="U930" i="39" s="1"/>
  <c r="F1654" i="39"/>
  <c r="C1653" i="39"/>
  <c r="U1653" i="39" s="1"/>
  <c r="X931" i="39" l="1"/>
  <c r="Y1392" i="39"/>
  <c r="V1392" i="39"/>
  <c r="X1392" i="39"/>
  <c r="V1654" i="39"/>
  <c r="Y1654" i="39"/>
  <c r="V931" i="39"/>
  <c r="Y931" i="39"/>
  <c r="V1906" i="39"/>
  <c r="Y1906" i="39"/>
  <c r="V996" i="39"/>
  <c r="Y996" i="39"/>
  <c r="X996" i="39"/>
  <c r="X1654" i="39"/>
  <c r="X1655" i="39" s="1"/>
  <c r="F1393" i="39"/>
  <c r="C1392" i="39"/>
  <c r="U1392" i="39" s="1"/>
  <c r="F997" i="39"/>
  <c r="C996" i="39"/>
  <c r="U996" i="39" s="1"/>
  <c r="C1906" i="39"/>
  <c r="U1906" i="39" s="1"/>
  <c r="F1907" i="39"/>
  <c r="F932" i="39"/>
  <c r="X932" i="39" s="1"/>
  <c r="C931" i="39"/>
  <c r="U931" i="39" s="1"/>
  <c r="F1655" i="39"/>
  <c r="C1654" i="39"/>
  <c r="U1654" i="39" s="1"/>
  <c r="V1393" i="39" l="1"/>
  <c r="Y1393" i="39"/>
  <c r="V997" i="39"/>
  <c r="Y997" i="39"/>
  <c r="V1655" i="39"/>
  <c r="Y1655" i="39"/>
  <c r="Y932" i="39"/>
  <c r="V932" i="39"/>
  <c r="V1907" i="39"/>
  <c r="Y1907" i="39"/>
  <c r="X997" i="39"/>
  <c r="X1393" i="39"/>
  <c r="X1907" i="39"/>
  <c r="F1394" i="39"/>
  <c r="C1393" i="39"/>
  <c r="U1393" i="39" s="1"/>
  <c r="C997" i="39"/>
  <c r="U997" i="39" s="1"/>
  <c r="F998" i="39"/>
  <c r="F1908" i="39"/>
  <c r="C1907" i="39"/>
  <c r="U1907" i="39" s="1"/>
  <c r="F933" i="39"/>
  <c r="C932" i="39"/>
  <c r="U932" i="39" s="1"/>
  <c r="F1656" i="39"/>
  <c r="C1655" i="39"/>
  <c r="U1655" i="39" s="1"/>
  <c r="X1394" i="39" l="1"/>
  <c r="V933" i="39"/>
  <c r="Y933" i="39"/>
  <c r="V998" i="39"/>
  <c r="Y998" i="39"/>
  <c r="Y1394" i="39"/>
  <c r="V1394" i="39"/>
  <c r="V1908" i="39"/>
  <c r="Y1908" i="39"/>
  <c r="X998" i="39"/>
  <c r="X1908" i="39"/>
  <c r="V1656" i="39"/>
  <c r="Y1656" i="39"/>
  <c r="X1656" i="39"/>
  <c r="X1657" i="39" s="1"/>
  <c r="X933" i="39"/>
  <c r="X934" i="39" s="1"/>
  <c r="C998" i="39"/>
  <c r="U998" i="39" s="1"/>
  <c r="F1395" i="39"/>
  <c r="C1394" i="39"/>
  <c r="U1394" i="39" s="1"/>
  <c r="F999" i="39"/>
  <c r="F1909" i="39"/>
  <c r="C1908" i="39"/>
  <c r="U1908" i="39" s="1"/>
  <c r="F1659" i="39"/>
  <c r="F934" i="39"/>
  <c r="C933" i="39"/>
  <c r="U933" i="39" s="1"/>
  <c r="C1656" i="39"/>
  <c r="U1656" i="39" s="1"/>
  <c r="F1657" i="39"/>
  <c r="V1659" i="39" l="1"/>
  <c r="Y1659" i="39"/>
  <c r="X999" i="39"/>
  <c r="V1909" i="39"/>
  <c r="Y1909" i="39"/>
  <c r="V999" i="39"/>
  <c r="Y999" i="39"/>
  <c r="X1909" i="39"/>
  <c r="X1910" i="39" s="1"/>
  <c r="X935" i="39"/>
  <c r="Y1395" i="39"/>
  <c r="V1395" i="39"/>
  <c r="X1395" i="39"/>
  <c r="V1657" i="39"/>
  <c r="Y1657" i="39"/>
  <c r="X1658" i="39"/>
  <c r="X1659" i="39" s="1"/>
  <c r="V934" i="39"/>
  <c r="Y934" i="39"/>
  <c r="F1662" i="39"/>
  <c r="F1660" i="39"/>
  <c r="F1396" i="39"/>
  <c r="C1395" i="39"/>
  <c r="U1395" i="39" s="1"/>
  <c r="F1000" i="39"/>
  <c r="C999" i="39"/>
  <c r="U999" i="39" s="1"/>
  <c r="C1909" i="39"/>
  <c r="U1909" i="39" s="1"/>
  <c r="F1910" i="39"/>
  <c r="C1659" i="39"/>
  <c r="U1659" i="39" s="1"/>
  <c r="F935" i="39"/>
  <c r="C934" i="39"/>
  <c r="U934" i="39" s="1"/>
  <c r="F1658" i="39"/>
  <c r="C1657" i="39"/>
  <c r="U1657" i="39" s="1"/>
  <c r="X1660" i="39" l="1"/>
  <c r="V1000" i="39"/>
  <c r="Y1000" i="39"/>
  <c r="V1662" i="39"/>
  <c r="Y1662" i="39"/>
  <c r="V1396" i="39"/>
  <c r="Y1396" i="39"/>
  <c r="V1660" i="39"/>
  <c r="Y1660" i="39"/>
  <c r="X936" i="39"/>
  <c r="V1658" i="39"/>
  <c r="Y1658" i="39"/>
  <c r="X1000" i="39"/>
  <c r="X1911" i="39"/>
  <c r="X1912" i="39" s="1"/>
  <c r="V935" i="39"/>
  <c r="Y935" i="39"/>
  <c r="X1396" i="39"/>
  <c r="X1397" i="39" s="1"/>
  <c r="V1910" i="39"/>
  <c r="Y1910" i="39"/>
  <c r="F1001" i="39"/>
  <c r="F1663" i="39"/>
  <c r="F1661" i="39"/>
  <c r="X1661" i="39" s="1"/>
  <c r="X1662" i="39" s="1"/>
  <c r="X1663" i="39" s="1"/>
  <c r="F1665" i="39"/>
  <c r="C1000" i="39"/>
  <c r="U1000" i="39" s="1"/>
  <c r="F1397" i="39"/>
  <c r="C1396" i="39"/>
  <c r="U1396" i="39" s="1"/>
  <c r="C1910" i="39"/>
  <c r="U1910" i="39" s="1"/>
  <c r="F1911" i="39"/>
  <c r="F1912" i="39"/>
  <c r="F936" i="39"/>
  <c r="C935" i="39"/>
  <c r="U935" i="39" s="1"/>
  <c r="C1658" i="39"/>
  <c r="U1658" i="39" s="1"/>
  <c r="X1001" i="39" l="1"/>
  <c r="V1001" i="39"/>
  <c r="Y1001" i="39"/>
  <c r="V936" i="39"/>
  <c r="Y936" i="39"/>
  <c r="X1398" i="39"/>
  <c r="V1912" i="39"/>
  <c r="Y1912" i="39"/>
  <c r="V1911" i="39"/>
  <c r="Y1911" i="39"/>
  <c r="V1661" i="39"/>
  <c r="Y1661" i="39"/>
  <c r="V1663" i="39"/>
  <c r="Y1663" i="39"/>
  <c r="X937" i="39"/>
  <c r="V1397" i="39"/>
  <c r="Y1397" i="39"/>
  <c r="V1665" i="39"/>
  <c r="Y1665" i="39"/>
  <c r="C1001" i="39"/>
  <c r="U1001" i="39" s="1"/>
  <c r="F1002" i="39"/>
  <c r="F1664" i="39"/>
  <c r="C1662" i="39"/>
  <c r="U1662" i="39" s="1"/>
  <c r="C1660" i="39"/>
  <c r="U1660" i="39" s="1"/>
  <c r="F1398" i="39"/>
  <c r="C1397" i="39"/>
  <c r="U1397" i="39" s="1"/>
  <c r="C1912" i="39"/>
  <c r="U1912" i="39" s="1"/>
  <c r="F1913" i="39"/>
  <c r="X1913" i="39" s="1"/>
  <c r="C1911" i="39"/>
  <c r="U1911" i="39" s="1"/>
  <c r="F937" i="39"/>
  <c r="C936" i="39"/>
  <c r="U936" i="39" s="1"/>
  <c r="C1661" i="39"/>
  <c r="U1661" i="39" s="1"/>
  <c r="X1002" i="39" l="1"/>
  <c r="V937" i="39"/>
  <c r="Y937" i="39"/>
  <c r="V1398" i="39"/>
  <c r="Y1398" i="39"/>
  <c r="V1913" i="39"/>
  <c r="Y1913" i="39"/>
  <c r="V1664" i="39"/>
  <c r="Y1664" i="39"/>
  <c r="V1002" i="39"/>
  <c r="Y1002" i="39"/>
  <c r="X1664" i="39"/>
  <c r="X1665" i="39" s="1"/>
  <c r="C1002" i="39"/>
  <c r="U1002" i="39" s="1"/>
  <c r="F1003" i="39"/>
  <c r="F1399" i="39"/>
  <c r="X1399" i="39" s="1"/>
  <c r="C1398" i="39"/>
  <c r="U1398" i="39" s="1"/>
  <c r="C1913" i="39"/>
  <c r="U1913" i="39" s="1"/>
  <c r="F1914" i="39"/>
  <c r="F938" i="39"/>
  <c r="C937" i="39"/>
  <c r="U937" i="39" s="1"/>
  <c r="C1663" i="39"/>
  <c r="U1663" i="39" s="1"/>
  <c r="V938" i="39" l="1"/>
  <c r="Y938" i="39"/>
  <c r="V1003" i="39"/>
  <c r="Y1003" i="39"/>
  <c r="V1399" i="39"/>
  <c r="Y1399" i="39"/>
  <c r="X1003" i="39"/>
  <c r="V1914" i="39"/>
  <c r="Y1914" i="39"/>
  <c r="X938" i="39"/>
  <c r="X1914" i="39"/>
  <c r="C1003" i="39"/>
  <c r="U1003" i="39" s="1"/>
  <c r="F1004" i="39"/>
  <c r="F1400" i="39"/>
  <c r="C1399" i="39"/>
  <c r="U1399" i="39" s="1"/>
  <c r="F1915" i="39"/>
  <c r="C1914" i="39"/>
  <c r="U1914" i="39" s="1"/>
  <c r="F939" i="39"/>
  <c r="C938" i="39"/>
  <c r="U938" i="39" s="1"/>
  <c r="C1664" i="39"/>
  <c r="U1664" i="39" s="1"/>
  <c r="X1915" i="39" l="1"/>
  <c r="X1004" i="39"/>
  <c r="Y939" i="39"/>
  <c r="V939" i="39"/>
  <c r="X939" i="39"/>
  <c r="V1915" i="39"/>
  <c r="Y1915" i="39"/>
  <c r="V1400" i="39"/>
  <c r="Y1400" i="39"/>
  <c r="V1004" i="39"/>
  <c r="Y1004" i="39"/>
  <c r="X1400" i="39"/>
  <c r="X1401" i="39" s="1"/>
  <c r="F1005" i="39"/>
  <c r="C1004" i="39"/>
  <c r="U1004" i="39" s="1"/>
  <c r="F1401" i="39"/>
  <c r="C1400" i="39"/>
  <c r="U1400" i="39" s="1"/>
  <c r="F1916" i="39"/>
  <c r="X1916" i="39" s="1"/>
  <c r="C1915" i="39"/>
  <c r="U1915" i="39" s="1"/>
  <c r="C939" i="39"/>
  <c r="U939" i="39" s="1"/>
  <c r="F940" i="39"/>
  <c r="F1666" i="39"/>
  <c r="C1665" i="39"/>
  <c r="U1665" i="39" s="1"/>
  <c r="V1401" i="39" l="1"/>
  <c r="Y1401" i="39"/>
  <c r="V1666" i="39"/>
  <c r="Y1666" i="39"/>
  <c r="X1666" i="39"/>
  <c r="X1667" i="39" s="1"/>
  <c r="V940" i="39"/>
  <c r="Y940" i="39"/>
  <c r="V1916" i="39"/>
  <c r="Y1916" i="39"/>
  <c r="X940" i="39"/>
  <c r="V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Y1005" i="39"/>
  <c r="X1005" i="39"/>
  <c r="C1005" i="39"/>
  <c r="U1005" i="39" s="1"/>
  <c r="F1402" i="39"/>
  <c r="C1401" i="39"/>
  <c r="U1401" i="39" s="1"/>
  <c r="F1917" i="39"/>
  <c r="C1916" i="39"/>
  <c r="U1916" i="39" s="1"/>
  <c r="F941" i="39"/>
  <c r="C940" i="39"/>
  <c r="U940" i="39" s="1"/>
  <c r="C1666" i="39"/>
  <c r="U1666" i="39" s="1"/>
  <c r="F1667" i="39"/>
  <c r="V1917" i="39" l="1"/>
  <c r="Y1917" i="39"/>
  <c r="V1402" i="39"/>
  <c r="Y1402" i="39"/>
  <c r="X1402" i="39"/>
  <c r="X941" i="39"/>
  <c r="V941" i="39"/>
  <c r="Y941" i="39"/>
  <c r="V1667" i="39"/>
  <c r="Y1667" i="39"/>
  <c r="X1917" i="39"/>
  <c r="X1918" i="39" s="1"/>
  <c r="F1403" i="39"/>
  <c r="C1402" i="39"/>
  <c r="U1402" i="39" s="1"/>
  <c r="C1917" i="39"/>
  <c r="U1917" i="39" s="1"/>
  <c r="F1918" i="39"/>
  <c r="F942" i="39"/>
  <c r="C941" i="39"/>
  <c r="U941" i="39" s="1"/>
  <c r="F1668" i="39"/>
  <c r="C1667" i="39"/>
  <c r="U1667" i="39" s="1"/>
  <c r="V1668" i="39" l="1"/>
  <c r="Y1668" i="39"/>
  <c r="X1668" i="39"/>
  <c r="X1403" i="39"/>
  <c r="V942" i="39"/>
  <c r="Y942" i="39"/>
  <c r="V1918" i="39"/>
  <c r="Y1918" i="39"/>
  <c r="Y1403" i="39"/>
  <c r="V1403" i="39"/>
  <c r="X942" i="39"/>
  <c r="F1404" i="39"/>
  <c r="C1403" i="39"/>
  <c r="U1403" i="39" s="1"/>
  <c r="F1919" i="39"/>
  <c r="C1918" i="39"/>
  <c r="U1918" i="39" s="1"/>
  <c r="F943" i="39"/>
  <c r="C942" i="39"/>
  <c r="U942" i="39" s="1"/>
  <c r="F1669" i="39"/>
  <c r="C1668" i="39"/>
  <c r="U1668" i="39" s="1"/>
  <c r="X943" i="39" l="1"/>
  <c r="V1919" i="39"/>
  <c r="Y1919" i="39"/>
  <c r="V1404" i="39"/>
  <c r="Y1404" i="39"/>
  <c r="X1404" i="39"/>
  <c r="Y1669" i="39"/>
  <c r="V1669" i="39"/>
  <c r="V943" i="39"/>
  <c r="X944" i="39"/>
  <c r="X945" i="39" s="1"/>
  <c r="X946" i="39" s="1"/>
  <c r="X947" i="39" s="1"/>
  <c r="X948" i="39" s="1"/>
  <c r="X949" i="39" s="1"/>
  <c r="X950" i="39" s="1"/>
  <c r="X951" i="39" s="1"/>
  <c r="X952" i="39" s="1"/>
  <c r="X953" i="39" s="1"/>
  <c r="X954" i="39" s="1"/>
  <c r="X955" i="39" s="1"/>
  <c r="X956" i="39" s="1"/>
  <c r="X957" i="39" s="1"/>
  <c r="X958" i="39" s="1"/>
  <c r="X959" i="39" s="1"/>
  <c r="Y943" i="39"/>
  <c r="X1669" i="39"/>
  <c r="X1919" i="39"/>
  <c r="F1405" i="39"/>
  <c r="C1404" i="39"/>
  <c r="U1404" i="39" s="1"/>
  <c r="C1919" i="39"/>
  <c r="U1919" i="39" s="1"/>
  <c r="F1920" i="39"/>
  <c r="C943" i="39"/>
  <c r="U943" i="39" s="1"/>
  <c r="F1670" i="39"/>
  <c r="C1669" i="39"/>
  <c r="U1669" i="39" s="1"/>
  <c r="X1920" i="39" l="1"/>
  <c r="V1670" i="39"/>
  <c r="Y1670" i="39"/>
  <c r="X1670" i="39"/>
  <c r="V1920" i="39"/>
  <c r="Y1920" i="39"/>
  <c r="V1405" i="39"/>
  <c r="Y1405" i="39"/>
  <c r="X1405" i="39"/>
  <c r="X1406" i="39" s="1"/>
  <c r="F1406" i="39"/>
  <c r="C1405" i="39"/>
  <c r="U1405" i="39" s="1"/>
  <c r="F1921" i="39"/>
  <c r="C1920" i="39"/>
  <c r="U1920" i="39" s="1"/>
  <c r="C1670" i="39"/>
  <c r="U1670" i="39" s="1"/>
  <c r="F1671" i="39"/>
  <c r="V1671" i="39" l="1"/>
  <c r="Y1671" i="39"/>
  <c r="V1921" i="39"/>
  <c r="Y1921" i="39"/>
  <c r="V1406" i="39"/>
  <c r="X1407" i="39"/>
  <c r="X1408" i="39" s="1"/>
  <c r="X1409" i="39" s="1"/>
  <c r="X1410" i="39" s="1"/>
  <c r="X1411" i="39" s="1"/>
  <c r="X1412" i="39" s="1"/>
  <c r="X1413" i="39" s="1"/>
  <c r="X1414" i="39" s="1"/>
  <c r="X1415" i="39" s="1"/>
  <c r="X1416" i="39" s="1"/>
  <c r="X1417" i="39" s="1"/>
  <c r="X1418" i="39" s="1"/>
  <c r="X1419" i="39" s="1"/>
  <c r="X1420" i="39" s="1"/>
  <c r="Y1406" i="39"/>
  <c r="X1671" i="39"/>
  <c r="X1921" i="39"/>
  <c r="C1406" i="39"/>
  <c r="U1406" i="39" s="1"/>
  <c r="C1921" i="39"/>
  <c r="U1921" i="39" s="1"/>
  <c r="F1922" i="39"/>
  <c r="C1671" i="39"/>
  <c r="U1671" i="39" s="1"/>
  <c r="F1672" i="39"/>
  <c r="X1922" i="39" l="1"/>
  <c r="V1672" i="39"/>
  <c r="Y1672" i="39"/>
  <c r="V1922" i="39"/>
  <c r="Y1922" i="39"/>
  <c r="X1672" i="39"/>
  <c r="X1673" i="39" s="1"/>
  <c r="X1674" i="39" s="1"/>
  <c r="F1923" i="39"/>
  <c r="C1922" i="39"/>
  <c r="U1922" i="39" s="1"/>
  <c r="F1673" i="39"/>
  <c r="C1672" i="39"/>
  <c r="U1672" i="39" s="1"/>
  <c r="F1674" i="39"/>
  <c r="V1674" i="39" l="1"/>
  <c r="Y1674" i="39"/>
  <c r="V1673" i="39"/>
  <c r="Y1673" i="39"/>
  <c r="V1923" i="39"/>
  <c r="Y1923" i="39"/>
  <c r="X1923" i="39"/>
  <c r="X1924" i="39" s="1"/>
  <c r="C1923" i="39"/>
  <c r="U1923" i="39" s="1"/>
  <c r="F1924" i="39"/>
  <c r="F1676" i="39"/>
  <c r="F1675" i="39"/>
  <c r="C1674" i="39"/>
  <c r="U1674" i="39" s="1"/>
  <c r="C1673" i="39"/>
  <c r="U1673" i="39" s="1"/>
  <c r="V1675" i="39" l="1"/>
  <c r="Y1675" i="39"/>
  <c r="V1676" i="39"/>
  <c r="Y1676" i="39"/>
  <c r="V1924" i="39"/>
  <c r="Y1924" i="39"/>
  <c r="X1675" i="39"/>
  <c r="X1676" i="39" s="1"/>
  <c r="F1925" i="39"/>
  <c r="C1924" i="39"/>
  <c r="U1924" i="39" s="1"/>
  <c r="F1677" i="39"/>
  <c r="F1678" i="39"/>
  <c r="C1675" i="39"/>
  <c r="U1675" i="39" s="1"/>
  <c r="C1676" i="39"/>
  <c r="U1676" i="39" s="1"/>
  <c r="X1677" i="39" l="1"/>
  <c r="X1678" i="39" s="1"/>
  <c r="V1678" i="39"/>
  <c r="Y1678" i="39"/>
  <c r="V1925" i="39"/>
  <c r="Y1925" i="39"/>
  <c r="V1677" i="39"/>
  <c r="Y1677" i="39"/>
  <c r="X1925" i="39"/>
  <c r="X1926" i="39" s="1"/>
  <c r="C1677" i="39"/>
  <c r="U1677" i="39" s="1"/>
  <c r="F1926" i="39"/>
  <c r="C1925" i="39"/>
  <c r="U1925" i="39" s="1"/>
  <c r="F1680" i="39"/>
  <c r="C1678" i="39"/>
  <c r="U1678" i="39" s="1"/>
  <c r="F1679" i="39"/>
  <c r="V1679" i="39" l="1"/>
  <c r="Y1679" i="39"/>
  <c r="V1680" i="39"/>
  <c r="Y1680" i="39"/>
  <c r="V1926" i="39"/>
  <c r="Y1926" i="39"/>
  <c r="X1679" i="39"/>
  <c r="X1680" i="39" s="1"/>
  <c r="X1681" i="39" s="1"/>
  <c r="C1926" i="39"/>
  <c r="U1926" i="39" s="1"/>
  <c r="F1927" i="39"/>
  <c r="F1681" i="39"/>
  <c r="C1679" i="39"/>
  <c r="U1679" i="39" s="1"/>
  <c r="C1680" i="39"/>
  <c r="U1680" i="39" s="1"/>
  <c r="V1681" i="39" l="1"/>
  <c r="X1682" i="39"/>
  <c r="X1683" i="39" s="1"/>
  <c r="X1684" i="39" s="1"/>
  <c r="X1685" i="39" s="1"/>
  <c r="Y1681" i="39"/>
  <c r="V1927" i="39"/>
  <c r="Y1927" i="39"/>
  <c r="X1927" i="39"/>
  <c r="X1928" i="39" s="1"/>
  <c r="C1927" i="39"/>
  <c r="U1927" i="39" s="1"/>
  <c r="F1928" i="39"/>
  <c r="C1681" i="39"/>
  <c r="U1681" i="39" s="1"/>
  <c r="V1928" i="39" l="1"/>
  <c r="Y1928" i="39"/>
  <c r="C1928" i="39"/>
  <c r="U1928" i="39" s="1"/>
  <c r="F1929" i="39"/>
  <c r="V1929" i="39" l="1"/>
  <c r="Y1929" i="39"/>
  <c r="X1929" i="39"/>
  <c r="X1930" i="39" s="1"/>
  <c r="C1929" i="39"/>
  <c r="U1929" i="39" s="1"/>
  <c r="F1930" i="39"/>
  <c r="Y1930" i="39" l="1"/>
  <c r="V1930" i="39"/>
  <c r="C1930" i="39"/>
  <c r="U1930" i="39" s="1"/>
  <c r="F1931" i="39"/>
  <c r="V1931" i="39" l="1"/>
  <c r="Y1931" i="39"/>
  <c r="X1931" i="39"/>
  <c r="F1932" i="39"/>
  <c r="C1931" i="39"/>
  <c r="U1931" i="39" s="1"/>
  <c r="X1932" i="39" l="1"/>
  <c r="V1932" i="39"/>
  <c r="Y1932" i="39"/>
  <c r="F1933" i="39"/>
  <c r="X1933" i="39" s="1"/>
  <c r="C1932" i="39"/>
  <c r="U1932" i="39" s="1"/>
  <c r="V1933" i="39" l="1"/>
  <c r="Y1933" i="39"/>
  <c r="C1933" i="39"/>
  <c r="U1933" i="39" s="1"/>
  <c r="F1934" i="39"/>
  <c r="Y1934" i="39" l="1"/>
  <c r="V1934" i="39"/>
  <c r="X1934" i="39"/>
  <c r="X1935" i="39" s="1"/>
  <c r="C1934" i="39"/>
  <c r="U1934" i="39" s="1"/>
  <c r="F1935" i="39"/>
  <c r="C260" i="39"/>
  <c r="U260" i="39" s="1"/>
  <c r="V1935" i="39" l="1"/>
  <c r="Y1935" i="39"/>
  <c r="X1936" i="39"/>
  <c r="X1937" i="39" s="1"/>
  <c r="X1938" i="39" s="1"/>
  <c r="X1939" i="39" s="1"/>
  <c r="X1940" i="39" s="1"/>
  <c r="X1941" i="39" s="1"/>
  <c r="X1942" i="39" s="1"/>
  <c r="C1935" i="39"/>
  <c r="U1935" i="39" s="1"/>
  <c r="AC618" i="39"/>
  <c r="AA618" i="39"/>
  <c r="AC617" i="39"/>
  <c r="AA617" i="39"/>
  <c r="AC616" i="39"/>
  <c r="AA616" i="39"/>
  <c r="AC615" i="39"/>
  <c r="AA615" i="39"/>
  <c r="AC614" i="39"/>
  <c r="AA614" i="39"/>
  <c r="AC613" i="39"/>
  <c r="AA613" i="39"/>
  <c r="AC612" i="39"/>
  <c r="AA612" i="39"/>
  <c r="AC611" i="39"/>
  <c r="AA611" i="39"/>
  <c r="AC610" i="39"/>
  <c r="AA610" i="39"/>
  <c r="AC609" i="39"/>
  <c r="AA609"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5" i="39"/>
  <c r="AA595" i="39"/>
  <c r="AC594" i="39"/>
  <c r="AA594" i="39"/>
  <c r="AC593" i="39"/>
  <c r="AA593" i="39"/>
  <c r="AC592" i="39"/>
  <c r="AA592" i="39"/>
  <c r="AC591" i="39"/>
  <c r="AA591" i="39"/>
  <c r="AC590" i="39"/>
  <c r="AA590" i="39"/>
  <c r="AC589" i="39"/>
  <c r="AA589" i="39"/>
  <c r="AC587" i="39"/>
  <c r="AA587" i="39"/>
  <c r="AC586" i="39"/>
  <c r="AA586" i="39"/>
  <c r="AC585" i="39"/>
  <c r="AA585" i="39"/>
  <c r="AC583" i="39"/>
  <c r="AA583"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F555" i="39"/>
  <c r="AC554" i="39"/>
  <c r="AA554" i="39"/>
  <c r="C554" i="39"/>
  <c r="U554"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3" i="39"/>
  <c r="AA144" i="39"/>
  <c r="AA145" i="39"/>
  <c r="AA146" i="39"/>
  <c r="AA147" i="39"/>
  <c r="AA148" i="39"/>
  <c r="AA149" i="39"/>
  <c r="AA150" i="39"/>
  <c r="AA151" i="39"/>
  <c r="AA152" i="39"/>
  <c r="AA153" i="39"/>
  <c r="AA154" i="39"/>
  <c r="AA155" i="39"/>
  <c r="AA156" i="39"/>
  <c r="AA157" i="39"/>
  <c r="AA158" i="39"/>
  <c r="AA159" i="39"/>
  <c r="AA161"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50" i="39"/>
  <c r="AA251" i="39"/>
  <c r="AA252" i="39"/>
  <c r="AA260" i="39"/>
  <c r="AA261" i="39"/>
  <c r="AA263" i="39"/>
  <c r="AA264" i="39"/>
  <c r="AA265" i="39"/>
  <c r="AA266" i="39"/>
  <c r="AA267" i="39"/>
  <c r="AA268" i="39"/>
  <c r="AA269" i="39"/>
  <c r="AA270" i="39"/>
  <c r="AA271" i="39"/>
  <c r="AA272" i="39"/>
  <c r="AA273" i="39"/>
  <c r="AA274" i="39"/>
  <c r="AA275" i="39"/>
  <c r="AA276" i="39"/>
  <c r="AA277" i="39"/>
  <c r="AA278" i="39"/>
  <c r="AA279" i="39"/>
  <c r="AA280"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21" i="39"/>
  <c r="AA322" i="39"/>
  <c r="AA323" i="39"/>
  <c r="AA324" i="39"/>
  <c r="AA325" i="39"/>
  <c r="AA326" i="39"/>
  <c r="AA327" i="39"/>
  <c r="AA328" i="39"/>
  <c r="AA329" i="39"/>
  <c r="AA330" i="39"/>
  <c r="AA331" i="39"/>
  <c r="AA332" i="39"/>
  <c r="AA333" i="39"/>
  <c r="AA334" i="39"/>
  <c r="AA335" i="39"/>
  <c r="AA336" i="39"/>
  <c r="AA337"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59" i="39"/>
  <c r="AA460" i="39"/>
  <c r="AA461" i="39"/>
  <c r="AA462" i="39"/>
  <c r="AA463"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626" i="39"/>
  <c r="AA627" i="39"/>
  <c r="AA629" i="39"/>
  <c r="AA630" i="39"/>
  <c r="AA631" i="39"/>
  <c r="AA632" i="39"/>
  <c r="AA633" i="39"/>
  <c r="AA634" i="39"/>
  <c r="AA635" i="39"/>
  <c r="AA636" i="39"/>
  <c r="AA637" i="39"/>
  <c r="AA638" i="39"/>
  <c r="AA639" i="39"/>
  <c r="AA640" i="39"/>
  <c r="AA641" i="39"/>
  <c r="AA642" i="39"/>
  <c r="AA643" i="39"/>
  <c r="AA644" i="39"/>
  <c r="AA650" i="39"/>
  <c r="AA651" i="39"/>
  <c r="AA652" i="39"/>
  <c r="AA653" i="39"/>
  <c r="AA654" i="39"/>
  <c r="AA655" i="39"/>
  <c r="AA656" i="39"/>
  <c r="AA657" i="39"/>
  <c r="AA658" i="39"/>
  <c r="AA659" i="39"/>
  <c r="AA660" i="39"/>
  <c r="AA661" i="39"/>
  <c r="AA662"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52" i="39"/>
  <c r="AA753" i="39"/>
  <c r="AA754" i="39"/>
  <c r="AA755" i="39"/>
  <c r="AA756" i="39"/>
  <c r="AA757" i="39"/>
  <c r="AA758" i="39"/>
  <c r="AA759" i="39"/>
  <c r="AA760" i="39"/>
  <c r="AA761" i="39"/>
  <c r="AA762" i="39"/>
  <c r="AA763" i="39"/>
  <c r="AA764" i="39"/>
  <c r="AA765" i="39"/>
  <c r="AA766" i="39"/>
  <c r="AA767" i="39"/>
  <c r="AA768" i="39"/>
  <c r="AA769" i="39"/>
  <c r="AA770" i="39"/>
  <c r="AA795" i="39"/>
  <c r="AA796" i="39"/>
  <c r="AA797" i="39"/>
  <c r="AA798" i="39"/>
  <c r="AA799" i="39"/>
  <c r="AA800" i="39"/>
  <c r="AA801" i="39"/>
  <c r="AA802"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3" i="39"/>
  <c r="AC144" i="39"/>
  <c r="AC145" i="39"/>
  <c r="AC146" i="39"/>
  <c r="AC147" i="39"/>
  <c r="AC148" i="39"/>
  <c r="AC149" i="39"/>
  <c r="AC150" i="39"/>
  <c r="AC151" i="39"/>
  <c r="AC152" i="39"/>
  <c r="AC153" i="39"/>
  <c r="AC154" i="39"/>
  <c r="AC155" i="39"/>
  <c r="AC156" i="39"/>
  <c r="AC157" i="39"/>
  <c r="AC158" i="39"/>
  <c r="AC159" i="39"/>
  <c r="AC161"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50" i="39"/>
  <c r="AC251" i="39"/>
  <c r="AC252" i="39"/>
  <c r="AC260" i="39"/>
  <c r="AC261" i="39"/>
  <c r="AC263" i="39"/>
  <c r="AC264" i="39"/>
  <c r="AC265" i="39"/>
  <c r="AC266" i="39"/>
  <c r="AC267" i="39"/>
  <c r="AC268" i="39"/>
  <c r="AC269" i="39"/>
  <c r="AC270" i="39"/>
  <c r="AC271" i="39"/>
  <c r="AC272" i="39"/>
  <c r="AC273" i="39"/>
  <c r="AC274" i="39"/>
  <c r="AC275" i="39"/>
  <c r="AC276" i="39"/>
  <c r="AC277" i="39"/>
  <c r="AC278" i="39"/>
  <c r="AC279" i="39"/>
  <c r="AC280"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21" i="39"/>
  <c r="AC322" i="39"/>
  <c r="AC323" i="39"/>
  <c r="AC324" i="39"/>
  <c r="AC325" i="39"/>
  <c r="AC326" i="39"/>
  <c r="AC327" i="39"/>
  <c r="AC328" i="39"/>
  <c r="AC329" i="39"/>
  <c r="AC330" i="39"/>
  <c r="AC331" i="39"/>
  <c r="AC332" i="39"/>
  <c r="AC333" i="39"/>
  <c r="AC334" i="39"/>
  <c r="AC335" i="39"/>
  <c r="AC336" i="39"/>
  <c r="AC337"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59" i="39"/>
  <c r="AC460" i="39"/>
  <c r="AC461" i="39"/>
  <c r="AC462" i="39"/>
  <c r="AC463"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626" i="39"/>
  <c r="AC627" i="39"/>
  <c r="AC629" i="39"/>
  <c r="AC630" i="39"/>
  <c r="AC631" i="39"/>
  <c r="AC632" i="39"/>
  <c r="AC633" i="39"/>
  <c r="AC634" i="39"/>
  <c r="AC635" i="39"/>
  <c r="AC636" i="39"/>
  <c r="AC637" i="39"/>
  <c r="AC638" i="39"/>
  <c r="AC639" i="39"/>
  <c r="AC640" i="39"/>
  <c r="AC641" i="39"/>
  <c r="AC642" i="39"/>
  <c r="AC643" i="39"/>
  <c r="AC644" i="39"/>
  <c r="AC650" i="39"/>
  <c r="AC651" i="39"/>
  <c r="AC652" i="39"/>
  <c r="AC653" i="39"/>
  <c r="AC654" i="39"/>
  <c r="AC655" i="39"/>
  <c r="AC656" i="39"/>
  <c r="AC657" i="39"/>
  <c r="AC658" i="39"/>
  <c r="AC659" i="39"/>
  <c r="AC660" i="39"/>
  <c r="AC661" i="39"/>
  <c r="AC662"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52" i="39"/>
  <c r="AC753" i="39"/>
  <c r="AC754" i="39"/>
  <c r="AC755" i="39"/>
  <c r="AC756" i="39"/>
  <c r="AC757" i="39"/>
  <c r="AC758" i="39"/>
  <c r="AC759" i="39"/>
  <c r="AC760" i="39"/>
  <c r="AC761" i="39"/>
  <c r="AC762" i="39"/>
  <c r="AC763" i="39"/>
  <c r="AC764" i="39"/>
  <c r="AC765" i="39"/>
  <c r="AC766" i="39"/>
  <c r="AC767" i="39"/>
  <c r="AC768" i="39"/>
  <c r="AC769" i="39"/>
  <c r="AC770" i="39"/>
  <c r="AC795" i="39"/>
  <c r="AC796" i="39"/>
  <c r="AC797" i="39"/>
  <c r="AC798" i="39"/>
  <c r="AC799" i="39"/>
  <c r="AC800" i="39"/>
  <c r="AC801" i="39"/>
  <c r="AC802" i="39"/>
  <c r="AC2" i="39"/>
  <c r="C491" i="39"/>
  <c r="U491" i="39" s="1"/>
  <c r="C490" i="39"/>
  <c r="U490" i="39" s="1"/>
  <c r="C496" i="39"/>
  <c r="U496" i="39" s="1"/>
  <c r="C495" i="39"/>
  <c r="U495" i="39" s="1"/>
  <c r="C492" i="39"/>
  <c r="U492" i="39" s="1"/>
  <c r="C493" i="39"/>
  <c r="U493" i="39" s="1"/>
  <c r="C494" i="39"/>
  <c r="U494" i="39" s="1"/>
  <c r="C497" i="39"/>
  <c r="U497" i="39" s="1"/>
  <c r="V555" i="39" l="1"/>
  <c r="Y555" i="39"/>
  <c r="X555" i="39"/>
  <c r="F556" i="39"/>
  <c r="C555" i="39"/>
  <c r="U555" i="39" s="1"/>
  <c r="X556" i="39" l="1"/>
  <c r="V556" i="39"/>
  <c r="Y556" i="39"/>
  <c r="F557" i="39"/>
  <c r="C556" i="39"/>
  <c r="U556" i="39" s="1"/>
  <c r="V557" i="39" l="1"/>
  <c r="Y557" i="39"/>
  <c r="X557" i="39"/>
  <c r="F558" i="39"/>
  <c r="C557" i="39"/>
  <c r="U557" i="39" s="1"/>
  <c r="V558" i="39" l="1"/>
  <c r="Y558" i="39"/>
  <c r="X558" i="39"/>
  <c r="X559" i="39" s="1"/>
  <c r="F559" i="39"/>
  <c r="C558" i="39"/>
  <c r="U558" i="39" s="1"/>
  <c r="V559" i="39" l="1"/>
  <c r="Y559" i="39"/>
  <c r="F560" i="39"/>
  <c r="C559" i="39"/>
  <c r="U559" i="39" s="1"/>
  <c r="F153" i="39"/>
  <c r="F152" i="39"/>
  <c r="F281" i="39"/>
  <c r="C280" i="39"/>
  <c r="U280" i="39" s="1"/>
  <c r="A2" i="39"/>
  <c r="V281" i="39" l="1"/>
  <c r="Y281" i="39"/>
  <c r="V153" i="39"/>
  <c r="Y153" i="39"/>
  <c r="V560" i="39"/>
  <c r="Y560" i="39"/>
  <c r="V152" i="39"/>
  <c r="Y152" i="39"/>
  <c r="X560" i="39"/>
  <c r="X561" i="39" s="1"/>
  <c r="F561" i="39"/>
  <c r="F283" i="39"/>
  <c r="C560" i="39"/>
  <c r="U560" i="39" s="1"/>
  <c r="F154" i="39"/>
  <c r="F282" i="39"/>
  <c r="C153" i="39"/>
  <c r="U153" i="39" s="1"/>
  <c r="C281" i="39"/>
  <c r="U281" i="39" s="1"/>
  <c r="V282" i="39" l="1"/>
  <c r="Y282" i="39"/>
  <c r="Y561" i="39"/>
  <c r="V561" i="39"/>
  <c r="V154" i="39"/>
  <c r="Y154" i="39"/>
  <c r="V283" i="39"/>
  <c r="Y283" i="39"/>
  <c r="F562" i="39"/>
  <c r="X562" i="39" s="1"/>
  <c r="C283" i="39"/>
  <c r="U283" i="39" s="1"/>
  <c r="C282" i="39"/>
  <c r="U282" i="39" s="1"/>
  <c r="C561" i="39"/>
  <c r="U561" i="39" s="1"/>
  <c r="F284" i="39"/>
  <c r="F155" i="39"/>
  <c r="B21" i="37"/>
  <c r="B20" i="37"/>
  <c r="B25" i="37"/>
  <c r="B26" i="37"/>
  <c r="V155" i="39" l="1"/>
  <c r="Y155" i="39"/>
  <c r="V562" i="39"/>
  <c r="Y562" i="39"/>
  <c r="V284" i="39"/>
  <c r="Y284" i="39"/>
  <c r="F563" i="39"/>
  <c r="C562" i="39"/>
  <c r="U562" i="39" s="1"/>
  <c r="C284" i="39"/>
  <c r="U284" i="39" s="1"/>
  <c r="F156" i="39"/>
  <c r="F285" i="39"/>
  <c r="F796" i="39"/>
  <c r="C795" i="39"/>
  <c r="U795" i="39" s="1"/>
  <c r="F765" i="39"/>
  <c r="C764" i="39"/>
  <c r="U764" i="39" s="1"/>
  <c r="F753" i="39"/>
  <c r="C752" i="39"/>
  <c r="U752" i="39" s="1"/>
  <c r="F734" i="39"/>
  <c r="C733" i="39"/>
  <c r="U733" i="39" s="1"/>
  <c r="F712" i="39"/>
  <c r="C711" i="39"/>
  <c r="U711" i="39" s="1"/>
  <c r="F671" i="39"/>
  <c r="C670" i="39"/>
  <c r="U670" i="39" s="1"/>
  <c r="F668" i="39"/>
  <c r="C667" i="39"/>
  <c r="U667" i="39" s="1"/>
  <c r="F660" i="39"/>
  <c r="C659" i="39"/>
  <c r="U659" i="39" s="1"/>
  <c r="C650" i="39"/>
  <c r="U650" i="39" s="1"/>
  <c r="F635" i="39"/>
  <c r="C634" i="39"/>
  <c r="U634" i="39" s="1"/>
  <c r="F627" i="39"/>
  <c r="C626" i="39"/>
  <c r="U626" i="39" s="1"/>
  <c r="F500" i="39"/>
  <c r="C499" i="39"/>
  <c r="U499" i="39" s="1"/>
  <c r="C498" i="39"/>
  <c r="U498" i="39" s="1"/>
  <c r="F434" i="39"/>
  <c r="C433" i="39"/>
  <c r="U433" i="39" s="1"/>
  <c r="F425" i="39"/>
  <c r="C424" i="39"/>
  <c r="U424" i="39" s="1"/>
  <c r="F420" i="39"/>
  <c r="C419" i="39"/>
  <c r="U419" i="39" s="1"/>
  <c r="F346" i="39"/>
  <c r="C345" i="39"/>
  <c r="U345" i="39" s="1"/>
  <c r="F329" i="39"/>
  <c r="C328" i="39"/>
  <c r="U328" i="39" s="1"/>
  <c r="F265" i="39"/>
  <c r="C264" i="39"/>
  <c r="U264" i="39" s="1"/>
  <c r="F251" i="39"/>
  <c r="C250" i="39"/>
  <c r="U250" i="39" s="1"/>
  <c r="F220" i="39"/>
  <c r="C219" i="39"/>
  <c r="U219" i="39" s="1"/>
  <c r="F209" i="39"/>
  <c r="C208" i="39"/>
  <c r="U208" i="39" s="1"/>
  <c r="F205" i="39"/>
  <c r="F204" i="39"/>
  <c r="F203" i="39"/>
  <c r="F202" i="39"/>
  <c r="F201" i="39"/>
  <c r="C200" i="39"/>
  <c r="U200" i="39" s="1"/>
  <c r="C151" i="39"/>
  <c r="U151" i="39" s="1"/>
  <c r="F144" i="39"/>
  <c r="C143" i="39"/>
  <c r="U143" i="39" s="1"/>
  <c r="F92" i="39"/>
  <c r="C91" i="39"/>
  <c r="U91" i="39" s="1"/>
  <c r="F84" i="39"/>
  <c r="C83" i="39"/>
  <c r="U83" i="39" s="1"/>
  <c r="F3" i="39"/>
  <c r="V2" i="39"/>
  <c r="D2" i="39"/>
  <c r="C2" i="39"/>
  <c r="B18" i="37"/>
  <c r="B6" i="37"/>
  <c r="B5" i="37"/>
  <c r="V734" i="39" l="1"/>
  <c r="Y734" i="39"/>
  <c r="V346" i="39"/>
  <c r="Y346" i="39"/>
  <c r="V92" i="39"/>
  <c r="Y92" i="39"/>
  <c r="Y420" i="39"/>
  <c r="V420" i="39"/>
  <c r="X420" i="39"/>
  <c r="X421" i="39" s="1"/>
  <c r="V144" i="39"/>
  <c r="Y144" i="39"/>
  <c r="X144" i="39"/>
  <c r="V753" i="39"/>
  <c r="Y753" i="39"/>
  <c r="X753" i="39"/>
  <c r="X754" i="39" s="1"/>
  <c r="V500" i="39"/>
  <c r="Y500" i="39"/>
  <c r="X500" i="39"/>
  <c r="V627" i="39"/>
  <c r="Y627" i="39"/>
  <c r="X627" i="39"/>
  <c r="V251" i="39"/>
  <c r="Y251" i="39"/>
  <c r="X251" i="39"/>
  <c r="V84" i="39"/>
  <c r="Y84" i="39"/>
  <c r="X84" i="39"/>
  <c r="V712" i="39"/>
  <c r="Y712" i="39"/>
  <c r="X712" i="39"/>
  <c r="V434" i="39"/>
  <c r="Y434" i="39"/>
  <c r="V202" i="39"/>
  <c r="Y202" i="39"/>
  <c r="V203" i="39"/>
  <c r="Y203" i="39"/>
  <c r="V635" i="39"/>
  <c r="Y635" i="39"/>
  <c r="V265" i="39"/>
  <c r="Y265" i="39"/>
  <c r="V668" i="39"/>
  <c r="Y668" i="39"/>
  <c r="V201" i="39"/>
  <c r="Y201" i="39"/>
  <c r="X201" i="39"/>
  <c r="X202" i="39" s="1"/>
  <c r="X203" i="39" s="1"/>
  <c r="X204" i="39" s="1"/>
  <c r="X205" i="39" s="1"/>
  <c r="Y765" i="39"/>
  <c r="V765" i="39"/>
  <c r="V796" i="39"/>
  <c r="Y796" i="39"/>
  <c r="X796" i="39"/>
  <c r="V204" i="39"/>
  <c r="Y204" i="39"/>
  <c r="V205" i="39"/>
  <c r="Y205" i="39"/>
  <c r="V156" i="39"/>
  <c r="Y156" i="39"/>
  <c r="V563" i="39"/>
  <c r="Y563" i="39"/>
  <c r="V220" i="39"/>
  <c r="Y220" i="39"/>
  <c r="V660" i="39"/>
  <c r="Y660" i="39"/>
  <c r="X660" i="39"/>
  <c r="V3" i="39"/>
  <c r="Y3" i="39"/>
  <c r="X3" i="39"/>
  <c r="V425" i="39"/>
  <c r="Y425" i="39"/>
  <c r="Y285" i="39"/>
  <c r="V285" i="39"/>
  <c r="V209" i="39"/>
  <c r="Y209" i="39"/>
  <c r="V329" i="39"/>
  <c r="Y329" i="39"/>
  <c r="V671" i="39"/>
  <c r="Y671" i="39"/>
  <c r="X563" i="39"/>
  <c r="F628" i="39"/>
  <c r="F564" i="39"/>
  <c r="F266" i="39"/>
  <c r="C563" i="39"/>
  <c r="U563" i="39" s="1"/>
  <c r="C285" i="39"/>
  <c r="U285" i="39" s="1"/>
  <c r="F286" i="39"/>
  <c r="F157" i="39"/>
  <c r="C144" i="39"/>
  <c r="U144" i="39" s="1"/>
  <c r="C205" i="39"/>
  <c r="U205" i="39" s="1"/>
  <c r="F4" i="39"/>
  <c r="F252" i="39"/>
  <c r="C500" i="39"/>
  <c r="U500" i="39" s="1"/>
  <c r="C712" i="39"/>
  <c r="U712" i="39" s="1"/>
  <c r="F435" i="39"/>
  <c r="F672" i="39"/>
  <c r="C220" i="39"/>
  <c r="U220" i="39" s="1"/>
  <c r="F766" i="39"/>
  <c r="C251" i="39"/>
  <c r="U251" i="39" s="1"/>
  <c r="F261" i="39"/>
  <c r="C209" i="39"/>
  <c r="U209" i="39" s="1"/>
  <c r="C753" i="39"/>
  <c r="U753" i="39" s="1"/>
  <c r="F426" i="39"/>
  <c r="C796" i="39"/>
  <c r="U796" i="39" s="1"/>
  <c r="C671" i="39"/>
  <c r="U671" i="39" s="1"/>
  <c r="C84" i="39"/>
  <c r="U84" i="39" s="1"/>
  <c r="C420" i="39"/>
  <c r="U420" i="39" s="1"/>
  <c r="F797" i="39"/>
  <c r="F210" i="39"/>
  <c r="F713" i="39"/>
  <c r="C92" i="39"/>
  <c r="U92" i="39" s="1"/>
  <c r="C668" i="39"/>
  <c r="U668" i="39" s="1"/>
  <c r="C765" i="39"/>
  <c r="U765" i="39" s="1"/>
  <c r="U2" i="39"/>
  <c r="C203" i="39"/>
  <c r="U203" i="39" s="1"/>
  <c r="F206" i="39"/>
  <c r="F93" i="39"/>
  <c r="F85" i="39"/>
  <c r="C201" i="39"/>
  <c r="U201" i="39" s="1"/>
  <c r="C425" i="39"/>
  <c r="U425" i="39" s="1"/>
  <c r="F421" i="39"/>
  <c r="F221" i="39"/>
  <c r="F669" i="39"/>
  <c r="F501" i="39"/>
  <c r="F754" i="39"/>
  <c r="C204" i="39"/>
  <c r="U204" i="39" s="1"/>
  <c r="C3" i="39"/>
  <c r="U3" i="39" s="1"/>
  <c r="F145" i="39"/>
  <c r="C265" i="39"/>
  <c r="U265" i="39" s="1"/>
  <c r="C202" i="39"/>
  <c r="U202" i="39" s="1"/>
  <c r="C734" i="39"/>
  <c r="U734" i="39" s="1"/>
  <c r="F735" i="39"/>
  <c r="C346" i="39"/>
  <c r="U346" i="39" s="1"/>
  <c r="F347" i="39"/>
  <c r="C329" i="39"/>
  <c r="U329" i="39" s="1"/>
  <c r="C434" i="39"/>
  <c r="U434" i="39" s="1"/>
  <c r="F636" i="39"/>
  <c r="C635" i="39"/>
  <c r="U635" i="39" s="1"/>
  <c r="F661" i="39"/>
  <c r="C660" i="39"/>
  <c r="U660" i="39" s="1"/>
  <c r="F330" i="39"/>
  <c r="C627" i="39"/>
  <c r="U627" i="39" s="1"/>
  <c r="X145" i="39" l="1"/>
  <c r="X797" i="39"/>
  <c r="X713" i="39"/>
  <c r="V85" i="39"/>
  <c r="Y85" i="39"/>
  <c r="V4" i="39"/>
  <c r="Y4" i="39"/>
  <c r="V157" i="39"/>
  <c r="Y157" i="39"/>
  <c r="V636" i="39"/>
  <c r="Y636" i="39"/>
  <c r="V713" i="39"/>
  <c r="Y713" i="39"/>
  <c r="V286" i="39"/>
  <c r="Y286" i="39"/>
  <c r="V93" i="39"/>
  <c r="Y93" i="39"/>
  <c r="V252" i="39"/>
  <c r="Y252" i="39"/>
  <c r="X253" i="39"/>
  <c r="X254" i="39" s="1"/>
  <c r="X255" i="39" s="1"/>
  <c r="X256" i="39" s="1"/>
  <c r="X257" i="39" s="1"/>
  <c r="X258" i="39" s="1"/>
  <c r="X259" i="39" s="1"/>
  <c r="X206" i="39"/>
  <c r="V266" i="39"/>
  <c r="Y266" i="39"/>
  <c r="V669" i="39"/>
  <c r="Y669" i="39"/>
  <c r="X670" i="39"/>
  <c r="X671" i="39" s="1"/>
  <c r="X672" i="39" s="1"/>
  <c r="V672" i="39"/>
  <c r="Y672" i="39"/>
  <c r="V206" i="39"/>
  <c r="Y206" i="39"/>
  <c r="V145" i="39"/>
  <c r="Y145" i="39"/>
  <c r="V564" i="39"/>
  <c r="Y564" i="39"/>
  <c r="X564" i="39"/>
  <c r="X565" i="39" s="1"/>
  <c r="V501" i="39"/>
  <c r="Y501" i="39"/>
  <c r="V221" i="39"/>
  <c r="Y221" i="39"/>
  <c r="V261" i="39"/>
  <c r="Y261" i="39"/>
  <c r="X261" i="39"/>
  <c r="X262" i="39" s="1"/>
  <c r="V435" i="39"/>
  <c r="Y435" i="39"/>
  <c r="V735" i="39"/>
  <c r="Y735" i="39"/>
  <c r="V210" i="39"/>
  <c r="Y210" i="39"/>
  <c r="V797" i="39"/>
  <c r="Y797" i="39"/>
  <c r="X661" i="39"/>
  <c r="X252" i="39"/>
  <c r="V421" i="39"/>
  <c r="Y421" i="39"/>
  <c r="X501" i="39"/>
  <c r="X502" i="39" s="1"/>
  <c r="X755" i="39"/>
  <c r="V347" i="39"/>
  <c r="Y347" i="39"/>
  <c r="X4" i="39"/>
  <c r="X85" i="39"/>
  <c r="X86" i="39" s="1"/>
  <c r="V754" i="39"/>
  <c r="Y754" i="39"/>
  <c r="V426" i="39"/>
  <c r="Y426" i="39"/>
  <c r="V766" i="39"/>
  <c r="Y766" i="39"/>
  <c r="V661" i="39"/>
  <c r="Y661" i="39"/>
  <c r="X422" i="39"/>
  <c r="V628" i="39"/>
  <c r="Y628" i="39"/>
  <c r="X628" i="39"/>
  <c r="V330" i="39"/>
  <c r="Y330" i="39"/>
  <c r="F663" i="39"/>
  <c r="F629" i="39"/>
  <c r="C628" i="39"/>
  <c r="U628" i="39" s="1"/>
  <c r="F565" i="39"/>
  <c r="F267" i="39"/>
  <c r="C564" i="39"/>
  <c r="U564" i="39" s="1"/>
  <c r="C206" i="39"/>
  <c r="U206" i="39" s="1"/>
  <c r="F158" i="39"/>
  <c r="F287" i="39"/>
  <c r="C286" i="39"/>
  <c r="U286" i="39" s="1"/>
  <c r="C4" i="39"/>
  <c r="U4" i="39" s="1"/>
  <c r="F436" i="39"/>
  <c r="F673" i="39"/>
  <c r="C797" i="39"/>
  <c r="U797" i="39" s="1"/>
  <c r="F5" i="39"/>
  <c r="C435" i="39"/>
  <c r="U435" i="39" s="1"/>
  <c r="C221" i="39"/>
  <c r="U221" i="39" s="1"/>
  <c r="C261" i="39"/>
  <c r="U261" i="39" s="1"/>
  <c r="C672" i="39"/>
  <c r="U672" i="39" s="1"/>
  <c r="C766" i="39"/>
  <c r="U766" i="39" s="1"/>
  <c r="C252" i="39"/>
  <c r="U252" i="39" s="1"/>
  <c r="F211" i="39"/>
  <c r="F427" i="39"/>
  <c r="C669" i="39"/>
  <c r="U669" i="39" s="1"/>
  <c r="F767" i="39"/>
  <c r="C754" i="39"/>
  <c r="U754" i="39" s="1"/>
  <c r="C426" i="39"/>
  <c r="U426" i="39" s="1"/>
  <c r="F263" i="39"/>
  <c r="C501" i="39"/>
  <c r="U501" i="39" s="1"/>
  <c r="F798" i="39"/>
  <c r="X798" i="39" s="1"/>
  <c r="C713" i="39"/>
  <c r="U713" i="39" s="1"/>
  <c r="F714" i="39"/>
  <c r="X714" i="39" s="1"/>
  <c r="C651" i="39"/>
  <c r="U651" i="39" s="1"/>
  <c r="C421" i="39"/>
  <c r="U421" i="39" s="1"/>
  <c r="C210" i="39"/>
  <c r="U210" i="39" s="1"/>
  <c r="C266" i="39"/>
  <c r="U266" i="39" s="1"/>
  <c r="F755" i="39"/>
  <c r="F422" i="39"/>
  <c r="F502" i="39"/>
  <c r="C93" i="39"/>
  <c r="U93" i="39" s="1"/>
  <c r="F94" i="39"/>
  <c r="F207" i="39"/>
  <c r="F86" i="39"/>
  <c r="F222" i="39"/>
  <c r="C85" i="39"/>
  <c r="U85" i="39" s="1"/>
  <c r="F146" i="39"/>
  <c r="C145" i="39"/>
  <c r="U145" i="39" s="1"/>
  <c r="F637" i="39"/>
  <c r="C636" i="39"/>
  <c r="U636" i="39" s="1"/>
  <c r="F736" i="39"/>
  <c r="C735" i="39"/>
  <c r="U735" i="39" s="1"/>
  <c r="F348" i="39"/>
  <c r="C347" i="39"/>
  <c r="U347" i="39" s="1"/>
  <c r="C330" i="39"/>
  <c r="U330" i="39" s="1"/>
  <c r="F331" i="39"/>
  <c r="F662" i="39"/>
  <c r="C661" i="39"/>
  <c r="U661" i="39" s="1"/>
  <c r="X673" i="39" l="1"/>
  <c r="X662" i="39"/>
  <c r="X5" i="39"/>
  <c r="V348" i="39"/>
  <c r="Y348" i="39"/>
  <c r="V263" i="39"/>
  <c r="Y263" i="39"/>
  <c r="X264" i="39"/>
  <c r="X265" i="39" s="1"/>
  <c r="X266" i="39" s="1"/>
  <c r="X267" i="39" s="1"/>
  <c r="X268" i="39" s="1"/>
  <c r="V158" i="39"/>
  <c r="Y158" i="39"/>
  <c r="Y211" i="39"/>
  <c r="V211" i="39"/>
  <c r="X629" i="39"/>
  <c r="X630" i="39" s="1"/>
  <c r="Y673" i="39"/>
  <c r="V673" i="39"/>
  <c r="V798" i="39"/>
  <c r="Y798" i="39"/>
  <c r="V267" i="39"/>
  <c r="Y267" i="39"/>
  <c r="X663" i="39"/>
  <c r="V207" i="39"/>
  <c r="X208" i="39"/>
  <c r="X209" i="39" s="1"/>
  <c r="X210" i="39" s="1"/>
  <c r="X211" i="39" s="1"/>
  <c r="Y207" i="39"/>
  <c r="V755" i="39"/>
  <c r="Y755" i="39"/>
  <c r="V5" i="39"/>
  <c r="Y5" i="39"/>
  <c r="V662" i="39"/>
  <c r="Y662" i="39"/>
  <c r="V436" i="39"/>
  <c r="Y436" i="39"/>
  <c r="V736" i="39"/>
  <c r="Y736" i="39"/>
  <c r="V637" i="39"/>
  <c r="Y637" i="39"/>
  <c r="V767" i="39"/>
  <c r="Y767" i="39"/>
  <c r="V427" i="39"/>
  <c r="Y427" i="39"/>
  <c r="V86" i="39"/>
  <c r="Y86" i="39"/>
  <c r="V502" i="39"/>
  <c r="Y502" i="39"/>
  <c r="V331" i="39"/>
  <c r="Y331" i="39"/>
  <c r="V146" i="39"/>
  <c r="Y146" i="39"/>
  <c r="V222" i="39"/>
  <c r="Y222" i="39"/>
  <c r="V714" i="39"/>
  <c r="Y714" i="39"/>
  <c r="X263" i="39"/>
  <c r="V565" i="39"/>
  <c r="Y565" i="39"/>
  <c r="V629" i="39"/>
  <c r="Y629" i="39"/>
  <c r="V663" i="39"/>
  <c r="Y663" i="39"/>
  <c r="X146" i="39"/>
  <c r="X147" i="39" s="1"/>
  <c r="V94" i="39"/>
  <c r="Y94" i="39"/>
  <c r="V422" i="39"/>
  <c r="Y422" i="39"/>
  <c r="V287" i="39"/>
  <c r="Y287" i="39"/>
  <c r="X207" i="39"/>
  <c r="C663" i="39"/>
  <c r="U663" i="39" s="1"/>
  <c r="F160" i="39"/>
  <c r="C629" i="39"/>
  <c r="U629" i="39" s="1"/>
  <c r="F630" i="39"/>
  <c r="F566" i="39"/>
  <c r="X566" i="39" s="1"/>
  <c r="F268" i="39"/>
  <c r="C565" i="39"/>
  <c r="U565" i="39" s="1"/>
  <c r="C5" i="39"/>
  <c r="U5" i="39" s="1"/>
  <c r="F437" i="39"/>
  <c r="F288" i="39"/>
  <c r="C287" i="39"/>
  <c r="U287" i="39" s="1"/>
  <c r="F159" i="39"/>
  <c r="C673" i="39"/>
  <c r="U673" i="39" s="1"/>
  <c r="C436" i="39"/>
  <c r="U436" i="39" s="1"/>
  <c r="C652" i="39"/>
  <c r="U652" i="39" s="1"/>
  <c r="C263" i="39"/>
  <c r="U263" i="39" s="1"/>
  <c r="F675" i="39"/>
  <c r="F674" i="39"/>
  <c r="X674" i="39" s="1"/>
  <c r="X675" i="39" s="1"/>
  <c r="F715" i="39"/>
  <c r="X715" i="39" s="1"/>
  <c r="F6" i="39"/>
  <c r="C211" i="39"/>
  <c r="U211" i="39" s="1"/>
  <c r="F212" i="39"/>
  <c r="F503" i="39"/>
  <c r="C767" i="39"/>
  <c r="U767" i="39" s="1"/>
  <c r="F768" i="39"/>
  <c r="F428" i="39"/>
  <c r="C427" i="39"/>
  <c r="U427" i="39" s="1"/>
  <c r="C502" i="39"/>
  <c r="U502" i="39" s="1"/>
  <c r="C714" i="39"/>
  <c r="U714" i="39" s="1"/>
  <c r="F799" i="39"/>
  <c r="X799" i="39" s="1"/>
  <c r="C798" i="39"/>
  <c r="U798" i="39" s="1"/>
  <c r="F756" i="39"/>
  <c r="X756" i="39" s="1"/>
  <c r="C755" i="39"/>
  <c r="U755" i="39" s="1"/>
  <c r="C86" i="39"/>
  <c r="U86" i="39" s="1"/>
  <c r="F87" i="39"/>
  <c r="F223" i="39"/>
  <c r="C222" i="39"/>
  <c r="U222" i="39" s="1"/>
  <c r="C94" i="39"/>
  <c r="U94" i="39" s="1"/>
  <c r="F95" i="39"/>
  <c r="C267" i="39"/>
  <c r="U267" i="39" s="1"/>
  <c r="C207" i="39"/>
  <c r="U207" i="39" s="1"/>
  <c r="F423" i="39"/>
  <c r="X423" i="39" s="1"/>
  <c r="C422" i="39"/>
  <c r="U422" i="39" s="1"/>
  <c r="C662" i="39"/>
  <c r="U662" i="39" s="1"/>
  <c r="F664" i="39"/>
  <c r="F737" i="39"/>
  <c r="C736" i="39"/>
  <c r="U736" i="39" s="1"/>
  <c r="F349" i="39"/>
  <c r="C348" i="39"/>
  <c r="U348" i="39" s="1"/>
  <c r="C460" i="39"/>
  <c r="U460" i="39" s="1"/>
  <c r="C146" i="39"/>
  <c r="U146" i="39" s="1"/>
  <c r="F147" i="39"/>
  <c r="C331" i="39"/>
  <c r="U331" i="39" s="1"/>
  <c r="F332" i="39"/>
  <c r="C637" i="39"/>
  <c r="U637" i="39" s="1"/>
  <c r="F638" i="39"/>
  <c r="V87" i="39" l="1"/>
  <c r="Y87" i="39"/>
  <c r="V288" i="39"/>
  <c r="Y288" i="39"/>
  <c r="V437" i="39"/>
  <c r="Y437" i="39"/>
  <c r="V147" i="39"/>
  <c r="Y147" i="39"/>
  <c r="V768" i="39"/>
  <c r="Y768" i="39"/>
  <c r="V160" i="39"/>
  <c r="Y160" i="39"/>
  <c r="V428" i="39"/>
  <c r="Y428" i="39"/>
  <c r="V268" i="39"/>
  <c r="Y268" i="39"/>
  <c r="X87" i="39"/>
  <c r="V349" i="39"/>
  <c r="Y349" i="39"/>
  <c r="V664" i="39"/>
  <c r="Y664" i="39"/>
  <c r="V630" i="39"/>
  <c r="Y630" i="39"/>
  <c r="V212" i="39"/>
  <c r="Y212" i="39"/>
  <c r="Y6" i="39"/>
  <c r="V6" i="39"/>
  <c r="V715" i="39"/>
  <c r="Y715" i="39"/>
  <c r="Y674" i="39"/>
  <c r="V674" i="39"/>
  <c r="V638" i="39"/>
  <c r="Y638" i="39"/>
  <c r="V756" i="39"/>
  <c r="Y756" i="39"/>
  <c r="V566" i="39"/>
  <c r="Y566" i="39"/>
  <c r="V737" i="39"/>
  <c r="Y737" i="39"/>
  <c r="V95" i="39"/>
  <c r="Y95" i="39"/>
  <c r="V675" i="39"/>
  <c r="Y675" i="39"/>
  <c r="X664" i="39"/>
  <c r="V159" i="39"/>
  <c r="Y159" i="39"/>
  <c r="V332" i="39"/>
  <c r="Y332" i="39"/>
  <c r="V799" i="39"/>
  <c r="Y799" i="39"/>
  <c r="V503" i="39"/>
  <c r="Y503" i="39"/>
  <c r="V423" i="39"/>
  <c r="Y423" i="39"/>
  <c r="X424" i="39"/>
  <c r="X425" i="39" s="1"/>
  <c r="X426" i="39" s="1"/>
  <c r="X427" i="39" s="1"/>
  <c r="X428" i="39" s="1"/>
  <c r="X212" i="39"/>
  <c r="V223" i="39"/>
  <c r="Y223" i="39"/>
  <c r="X503" i="39"/>
  <c r="X6" i="39"/>
  <c r="C160" i="39"/>
  <c r="U160" i="39" s="1"/>
  <c r="F631" i="39"/>
  <c r="X631" i="39" s="1"/>
  <c r="C630" i="39"/>
  <c r="U630" i="39" s="1"/>
  <c r="F567" i="39"/>
  <c r="F269" i="39"/>
  <c r="X269" i="39" s="1"/>
  <c r="C566" i="39"/>
  <c r="U566" i="39" s="1"/>
  <c r="F438" i="39"/>
  <c r="F504" i="39"/>
  <c r="C437" i="39"/>
  <c r="U437" i="39" s="1"/>
  <c r="F289" i="39"/>
  <c r="C288" i="39"/>
  <c r="U288" i="39" s="1"/>
  <c r="F161" i="39"/>
  <c r="C653" i="39"/>
  <c r="U653" i="39" s="1"/>
  <c r="F676" i="39"/>
  <c r="X676" i="39" s="1"/>
  <c r="C715" i="39"/>
  <c r="U715" i="39" s="1"/>
  <c r="C675" i="39"/>
  <c r="U675" i="39" s="1"/>
  <c r="C674" i="39"/>
  <c r="U674" i="39" s="1"/>
  <c r="F716" i="39"/>
  <c r="X716" i="39" s="1"/>
  <c r="C6" i="39"/>
  <c r="U6" i="39" s="1"/>
  <c r="F7" i="39"/>
  <c r="X7" i="39" s="1"/>
  <c r="C503" i="39"/>
  <c r="U503" i="39" s="1"/>
  <c r="F213" i="39"/>
  <c r="C212" i="39"/>
  <c r="U212" i="39" s="1"/>
  <c r="F757" i="39"/>
  <c r="X757" i="39" s="1"/>
  <c r="F769" i="39"/>
  <c r="F770" i="39"/>
  <c r="C768" i="39"/>
  <c r="U768" i="39" s="1"/>
  <c r="F429" i="39"/>
  <c r="C428" i="39"/>
  <c r="U428" i="39" s="1"/>
  <c r="F88" i="39"/>
  <c r="C756" i="39"/>
  <c r="U756" i="39" s="1"/>
  <c r="C799" i="39"/>
  <c r="U799" i="39" s="1"/>
  <c r="F801" i="39"/>
  <c r="F800" i="39"/>
  <c r="C87" i="39"/>
  <c r="U87" i="39" s="1"/>
  <c r="C423" i="39"/>
  <c r="U423" i="39" s="1"/>
  <c r="C268" i="39"/>
  <c r="U268" i="39" s="1"/>
  <c r="F224" i="39"/>
  <c r="C223" i="39"/>
  <c r="U223" i="39" s="1"/>
  <c r="C95" i="39"/>
  <c r="U95" i="39" s="1"/>
  <c r="F96" i="39"/>
  <c r="C638" i="39"/>
  <c r="U638" i="39" s="1"/>
  <c r="F639" i="39"/>
  <c r="C737" i="39"/>
  <c r="U737" i="39" s="1"/>
  <c r="F738" i="39"/>
  <c r="F333" i="39"/>
  <c r="C332" i="39"/>
  <c r="U332" i="39" s="1"/>
  <c r="C147" i="39"/>
  <c r="U147" i="39" s="1"/>
  <c r="F148" i="39"/>
  <c r="X148" i="39" s="1"/>
  <c r="C349" i="39"/>
  <c r="U349" i="39" s="1"/>
  <c r="F350" i="39"/>
  <c r="C664" i="39"/>
  <c r="U664" i="39" s="1"/>
  <c r="F665" i="39"/>
  <c r="C462" i="39"/>
  <c r="U462" i="39" s="1"/>
  <c r="C461" i="39"/>
  <c r="U461" i="39" s="1"/>
  <c r="V800" i="39" l="1"/>
  <c r="Y800" i="39"/>
  <c r="V801" i="39"/>
  <c r="Y801" i="39"/>
  <c r="V224" i="39"/>
  <c r="Y224" i="39"/>
  <c r="X225" i="39"/>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V350" i="39"/>
  <c r="Y350" i="39"/>
  <c r="V161" i="39"/>
  <c r="Y161" i="39"/>
  <c r="X162" i="39"/>
  <c r="X163" i="39" s="1"/>
  <c r="X164" i="39" s="1"/>
  <c r="X165" i="39" s="1"/>
  <c r="X166" i="39" s="1"/>
  <c r="V88" i="39"/>
  <c r="Y88" i="39"/>
  <c r="V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Y770" i="39"/>
  <c r="V665" i="39"/>
  <c r="Y665" i="39"/>
  <c r="V438" i="39"/>
  <c r="Y438" i="39"/>
  <c r="V567" i="39"/>
  <c r="Y567" i="39"/>
  <c r="X504" i="39"/>
  <c r="V7" i="39"/>
  <c r="Y7" i="39"/>
  <c r="X567" i="39"/>
  <c r="V504" i="39"/>
  <c r="Y504" i="39"/>
  <c r="V769" i="39"/>
  <c r="Y769" i="39"/>
  <c r="V333" i="39"/>
  <c r="Y333" i="39"/>
  <c r="V213" i="39"/>
  <c r="Y213" i="39"/>
  <c r="V639" i="39"/>
  <c r="Y639" i="39"/>
  <c r="V96" i="39"/>
  <c r="Y96" i="39"/>
  <c r="V676" i="39"/>
  <c r="Y676" i="39"/>
  <c r="Y289" i="39"/>
  <c r="V289" i="39"/>
  <c r="V429" i="39"/>
  <c r="Y429" i="39"/>
  <c r="V269" i="39"/>
  <c r="Y269" i="39"/>
  <c r="V738" i="39"/>
  <c r="Y738" i="39"/>
  <c r="V716" i="39"/>
  <c r="Y716" i="39"/>
  <c r="X213" i="39"/>
  <c r="X88" i="39"/>
  <c r="V148" i="39"/>
  <c r="Y148" i="39"/>
  <c r="X665" i="39"/>
  <c r="V757" i="39"/>
  <c r="Y757" i="39"/>
  <c r="V631" i="39"/>
  <c r="Y631" i="39"/>
  <c r="X429" i="39"/>
  <c r="X800" i="39"/>
  <c r="X801" i="39" s="1"/>
  <c r="F632" i="39"/>
  <c r="C631" i="39"/>
  <c r="U631" i="39" s="1"/>
  <c r="F568" i="39"/>
  <c r="F270" i="39"/>
  <c r="X270" i="39" s="1"/>
  <c r="C567" i="39"/>
  <c r="U567" i="39" s="1"/>
  <c r="F439" i="39"/>
  <c r="C438" i="39"/>
  <c r="U438" i="39" s="1"/>
  <c r="F290" i="39"/>
  <c r="C289" i="39"/>
  <c r="U289" i="39" s="1"/>
  <c r="F505" i="39"/>
  <c r="F677" i="39"/>
  <c r="C504" i="39"/>
  <c r="U504" i="39" s="1"/>
  <c r="C7" i="39"/>
  <c r="U7" i="39" s="1"/>
  <c r="F717" i="39"/>
  <c r="X717" i="39" s="1"/>
  <c r="C757" i="39"/>
  <c r="U757" i="39" s="1"/>
  <c r="C654" i="39"/>
  <c r="U654" i="39" s="1"/>
  <c r="C676" i="39"/>
  <c r="U676" i="39" s="1"/>
  <c r="C716" i="39"/>
  <c r="U716" i="39" s="1"/>
  <c r="F8" i="39"/>
  <c r="F758" i="39"/>
  <c r="C213" i="39"/>
  <c r="U213" i="39" s="1"/>
  <c r="F214" i="39"/>
  <c r="F89" i="39"/>
  <c r="C769" i="39"/>
  <c r="U769" i="39" s="1"/>
  <c r="C429" i="39"/>
  <c r="U429" i="39" s="1"/>
  <c r="F430" i="39"/>
  <c r="C88" i="39"/>
  <c r="U88" i="39" s="1"/>
  <c r="C770" i="39"/>
  <c r="U770" i="39" s="1"/>
  <c r="C801" i="39"/>
  <c r="U801" i="39" s="1"/>
  <c r="C800" i="39"/>
  <c r="U800" i="39" s="1"/>
  <c r="F802" i="39"/>
  <c r="C224" i="39"/>
  <c r="U224" i="39" s="1"/>
  <c r="C269" i="39"/>
  <c r="U269" i="39" s="1"/>
  <c r="C96" i="39"/>
  <c r="U96" i="39" s="1"/>
  <c r="F97" i="39"/>
  <c r="C350" i="39"/>
  <c r="U350" i="39" s="1"/>
  <c r="F351" i="39"/>
  <c r="F334" i="39"/>
  <c r="C333" i="39"/>
  <c r="U333" i="39" s="1"/>
  <c r="C463" i="39"/>
  <c r="U463" i="39" s="1"/>
  <c r="F666" i="39"/>
  <c r="C665" i="39"/>
  <c r="U665" i="39" s="1"/>
  <c r="F149" i="39"/>
  <c r="X149" i="39" s="1"/>
  <c r="C148" i="39"/>
  <c r="U148" i="39" s="1"/>
  <c r="F640" i="39"/>
  <c r="C639" i="39"/>
  <c r="U639" i="39" s="1"/>
  <c r="C738" i="39"/>
  <c r="U738" i="39" s="1"/>
  <c r="F739" i="39"/>
  <c r="X214" i="39" l="1"/>
  <c r="X568" i="39"/>
  <c r="X666" i="39"/>
  <c r="X89" i="39"/>
  <c r="V666" i="39"/>
  <c r="X667" i="39"/>
  <c r="X668" i="39" s="1"/>
  <c r="X669" i="39" s="1"/>
  <c r="Y666" i="39"/>
  <c r="Y505" i="39"/>
  <c r="V505" i="39"/>
  <c r="V8" i="39"/>
  <c r="Y8" i="39"/>
  <c r="X8" i="39"/>
  <c r="X9" i="39" s="1"/>
  <c r="V97" i="39"/>
  <c r="Y97" i="39"/>
  <c r="V717" i="39"/>
  <c r="Y717" i="39"/>
  <c r="V677" i="39"/>
  <c r="Y677" i="39"/>
  <c r="X505" i="39"/>
  <c r="X506" i="39" s="1"/>
  <c r="V270" i="39"/>
  <c r="Y270" i="39"/>
  <c r="X271" i="39"/>
  <c r="V640" i="39"/>
  <c r="Y640" i="39"/>
  <c r="V89" i="39"/>
  <c r="Y89" i="39"/>
  <c r="V632" i="39"/>
  <c r="Y632" i="39"/>
  <c r="V290" i="39"/>
  <c r="Y290" i="39"/>
  <c r="V430" i="39"/>
  <c r="Y430" i="39"/>
  <c r="X802" i="39"/>
  <c r="X677" i="39"/>
  <c r="V739" i="39"/>
  <c r="Y739" i="39"/>
  <c r="V568" i="39"/>
  <c r="Y568" i="39"/>
  <c r="X430" i="39"/>
  <c r="X431" i="39" s="1"/>
  <c r="X632" i="39"/>
  <c r="X633" i="39" s="1"/>
  <c r="V334" i="39"/>
  <c r="Y334" i="39"/>
  <c r="V351" i="39"/>
  <c r="Y351" i="39"/>
  <c r="V802" i="39"/>
  <c r="X803" i="39"/>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Y802" i="39"/>
  <c r="V439" i="39"/>
  <c r="Y439" i="39"/>
  <c r="V214" i="39"/>
  <c r="Y214" i="39"/>
  <c r="V149" i="39"/>
  <c r="Y149" i="39"/>
  <c r="V758" i="39"/>
  <c r="Y758" i="39"/>
  <c r="X758" i="39"/>
  <c r="X759" i="39" s="1"/>
  <c r="F633" i="39"/>
  <c r="C632" i="39"/>
  <c r="U632" i="39" s="1"/>
  <c r="F569" i="39"/>
  <c r="F271" i="39"/>
  <c r="C568" i="39"/>
  <c r="U568" i="39" s="1"/>
  <c r="F440" i="39"/>
  <c r="C439" i="39"/>
  <c r="U439" i="39" s="1"/>
  <c r="F678" i="39"/>
  <c r="C505" i="39"/>
  <c r="U505" i="39" s="1"/>
  <c r="C677" i="39"/>
  <c r="U677" i="39" s="1"/>
  <c r="C717" i="39"/>
  <c r="U717" i="39" s="1"/>
  <c r="C655" i="39"/>
  <c r="U655" i="39" s="1"/>
  <c r="F506" i="39"/>
  <c r="F718" i="39"/>
  <c r="F291" i="39"/>
  <c r="C290" i="39"/>
  <c r="U290" i="39" s="1"/>
  <c r="C89" i="39"/>
  <c r="U89" i="39" s="1"/>
  <c r="F759" i="39"/>
  <c r="F9" i="39"/>
  <c r="C8" i="39"/>
  <c r="U8" i="39" s="1"/>
  <c r="C758" i="39"/>
  <c r="U758" i="39" s="1"/>
  <c r="F215" i="39"/>
  <c r="C214" i="39"/>
  <c r="U214" i="39" s="1"/>
  <c r="F431" i="39"/>
  <c r="C430" i="39"/>
  <c r="U430" i="39" s="1"/>
  <c r="F90" i="39"/>
  <c r="C802" i="39"/>
  <c r="U802" i="39" s="1"/>
  <c r="C270" i="39"/>
  <c r="U270" i="39" s="1"/>
  <c r="F98" i="39"/>
  <c r="C97" i="39"/>
  <c r="U97" i="39" s="1"/>
  <c r="F740" i="39"/>
  <c r="C739" i="39"/>
  <c r="U739" i="39" s="1"/>
  <c r="C666" i="39"/>
  <c r="U666" i="39" s="1"/>
  <c r="F352" i="39"/>
  <c r="C351" i="39"/>
  <c r="U351" i="39" s="1"/>
  <c r="F641" i="39"/>
  <c r="C640" i="39"/>
  <c r="U640" i="39" s="1"/>
  <c r="F150" i="39"/>
  <c r="C149" i="39"/>
  <c r="U149" i="39" s="1"/>
  <c r="C334" i="39"/>
  <c r="U334" i="39" s="1"/>
  <c r="F335" i="39"/>
  <c r="V740" i="39" l="1"/>
  <c r="Y740" i="39"/>
  <c r="V90" i="39"/>
  <c r="Y90" i="39"/>
  <c r="X91" i="39"/>
  <c r="X92" i="39" s="1"/>
  <c r="X93" i="39" s="1"/>
  <c r="X94" i="39" s="1"/>
  <c r="X95" i="39" s="1"/>
  <c r="X96" i="39" s="1"/>
  <c r="X97" i="39" s="1"/>
  <c r="X98" i="39" s="1"/>
  <c r="V569" i="39"/>
  <c r="Y569" i="39"/>
  <c r="V678" i="39"/>
  <c r="Y678" i="39"/>
  <c r="V271" i="39"/>
  <c r="Y271" i="39"/>
  <c r="X272" i="39"/>
  <c r="X90" i="39"/>
  <c r="V98" i="39"/>
  <c r="Y98" i="39"/>
  <c r="V431" i="39"/>
  <c r="Y431" i="39"/>
  <c r="V440" i="39"/>
  <c r="Y440" i="39"/>
  <c r="X678" i="39"/>
  <c r="V633" i="39"/>
  <c r="Y633" i="39"/>
  <c r="X634" i="39"/>
  <c r="X635" i="39" s="1"/>
  <c r="X636" i="39" s="1"/>
  <c r="X637" i="39" s="1"/>
  <c r="X638" i="39" s="1"/>
  <c r="X639" i="39" s="1"/>
  <c r="X640" i="39" s="1"/>
  <c r="X641" i="39" s="1"/>
  <c r="V215" i="39"/>
  <c r="Y215" i="39"/>
  <c r="X569" i="39"/>
  <c r="V335" i="39"/>
  <c r="Y335" i="39"/>
  <c r="V9" i="39"/>
  <c r="Y9" i="39"/>
  <c r="V759" i="39"/>
  <c r="Y759" i="39"/>
  <c r="Y150" i="39"/>
  <c r="V150" i="39"/>
  <c r="X151" i="39"/>
  <c r="X152" i="39" s="1"/>
  <c r="X153" i="39" s="1"/>
  <c r="X154" i="39" s="1"/>
  <c r="X155" i="39" s="1"/>
  <c r="X156" i="39" s="1"/>
  <c r="X157" i="39" s="1"/>
  <c r="X158" i="39" s="1"/>
  <c r="X159" i="39" s="1"/>
  <c r="X160" i="39" s="1"/>
  <c r="X161" i="39" s="1"/>
  <c r="V291" i="39"/>
  <c r="Y291" i="39"/>
  <c r="V641" i="39"/>
  <c r="Y641" i="39"/>
  <c r="V718" i="39"/>
  <c r="Y718" i="39"/>
  <c r="V352" i="39"/>
  <c r="Y352" i="39"/>
  <c r="X150" i="39"/>
  <c r="V506" i="39"/>
  <c r="Y506" i="39"/>
  <c r="X215" i="39"/>
  <c r="X216" i="39" s="1"/>
  <c r="X718" i="39"/>
  <c r="C633" i="39"/>
  <c r="U633" i="39" s="1"/>
  <c r="F570" i="39"/>
  <c r="F272" i="39"/>
  <c r="C569" i="39"/>
  <c r="U569" i="39" s="1"/>
  <c r="F719" i="39"/>
  <c r="F441" i="39"/>
  <c r="C678" i="39"/>
  <c r="U678" i="39" s="1"/>
  <c r="F507" i="39"/>
  <c r="C718" i="39"/>
  <c r="U718" i="39" s="1"/>
  <c r="C506" i="39"/>
  <c r="U506" i="39" s="1"/>
  <c r="C440" i="39"/>
  <c r="U440" i="39" s="1"/>
  <c r="C656" i="39"/>
  <c r="U656" i="39" s="1"/>
  <c r="F679" i="39"/>
  <c r="F292" i="39"/>
  <c r="C291" i="39"/>
  <c r="U291" i="39" s="1"/>
  <c r="F760" i="39"/>
  <c r="X760" i="39" s="1"/>
  <c r="C759" i="39"/>
  <c r="U759" i="39" s="1"/>
  <c r="C9" i="39"/>
  <c r="U9" i="39" s="1"/>
  <c r="C215" i="39"/>
  <c r="U215" i="39" s="1"/>
  <c r="F216" i="39"/>
  <c r="F10" i="39"/>
  <c r="X10" i="39" s="1"/>
  <c r="C90" i="39"/>
  <c r="U90" i="39" s="1"/>
  <c r="F432" i="39"/>
  <c r="C431" i="39"/>
  <c r="U431" i="39" s="1"/>
  <c r="F99" i="39"/>
  <c r="C98" i="39"/>
  <c r="U98" i="39" s="1"/>
  <c r="F353" i="39"/>
  <c r="C352" i="39"/>
  <c r="U352" i="39" s="1"/>
  <c r="F741" i="39"/>
  <c r="C740" i="39"/>
  <c r="U740" i="39" s="1"/>
  <c r="C335" i="39"/>
  <c r="U335" i="39" s="1"/>
  <c r="F336" i="39"/>
  <c r="C641" i="39"/>
  <c r="U641" i="39" s="1"/>
  <c r="F642" i="39"/>
  <c r="C150" i="39"/>
  <c r="U150" i="39" s="1"/>
  <c r="X719" i="39" l="1"/>
  <c r="X570" i="39"/>
  <c r="V272" i="39"/>
  <c r="Y272" i="39"/>
  <c r="Y679" i="39"/>
  <c r="V679" i="39"/>
  <c r="V642" i="39"/>
  <c r="Y642" i="39"/>
  <c r="V507" i="39"/>
  <c r="Y507" i="39"/>
  <c r="V719" i="39"/>
  <c r="Y719" i="39"/>
  <c r="X642" i="39"/>
  <c r="X643" i="39" s="1"/>
  <c r="V336" i="39"/>
  <c r="Y336" i="39"/>
  <c r="V741" i="39"/>
  <c r="Y741" i="39"/>
  <c r="V99" i="39"/>
  <c r="Y99" i="39"/>
  <c r="V570" i="39"/>
  <c r="Y570" i="39"/>
  <c r="X679" i="39"/>
  <c r="V432" i="39"/>
  <c r="X433" i="39"/>
  <c r="X434" i="39" s="1"/>
  <c r="X435" i="39" s="1"/>
  <c r="X436" i="39" s="1"/>
  <c r="X437" i="39" s="1"/>
  <c r="X438" i="39" s="1"/>
  <c r="X439" i="39" s="1"/>
  <c r="X440" i="39" s="1"/>
  <c r="X441" i="39" s="1"/>
  <c r="Y432" i="39"/>
  <c r="V10" i="39"/>
  <c r="Y10" i="39"/>
  <c r="X273" i="39"/>
  <c r="X99" i="39"/>
  <c r="Y441" i="39"/>
  <c r="X442" i="39"/>
  <c r="X443" i="39" s="1"/>
  <c r="X444" i="39" s="1"/>
  <c r="X445" i="39" s="1"/>
  <c r="X446" i="39" s="1"/>
  <c r="X447" i="39" s="1"/>
  <c r="X448" i="39" s="1"/>
  <c r="X449" i="39" s="1"/>
  <c r="X450" i="39" s="1"/>
  <c r="X451" i="39" s="1"/>
  <c r="X452" i="39" s="1"/>
  <c r="X453" i="39" s="1"/>
  <c r="X454" i="39" s="1"/>
  <c r="X455" i="39" s="1"/>
  <c r="X456" i="39" s="1"/>
  <c r="X457" i="39" s="1"/>
  <c r="X458" i="39" s="1"/>
  <c r="V441" i="39"/>
  <c r="V353" i="39"/>
  <c r="Y353" i="39"/>
  <c r="V216" i="39"/>
  <c r="Y216" i="39"/>
  <c r="X432" i="39"/>
  <c r="V760" i="39"/>
  <c r="Y760" i="39"/>
  <c r="V292" i="39"/>
  <c r="Y292" i="39"/>
  <c r="X507" i="39"/>
  <c r="F571" i="39"/>
  <c r="F339" i="39"/>
  <c r="F338" i="39"/>
  <c r="F273" i="39"/>
  <c r="C719" i="39"/>
  <c r="U719" i="39" s="1"/>
  <c r="C570" i="39"/>
  <c r="U570" i="39" s="1"/>
  <c r="F720" i="39"/>
  <c r="C507" i="39"/>
  <c r="U507" i="39" s="1"/>
  <c r="C441" i="39"/>
  <c r="U441" i="39" s="1"/>
  <c r="F508" i="39"/>
  <c r="C657" i="39"/>
  <c r="U657" i="39" s="1"/>
  <c r="F680" i="39"/>
  <c r="C679" i="39"/>
  <c r="U679" i="39" s="1"/>
  <c r="F293" i="39"/>
  <c r="C292" i="39"/>
  <c r="U292" i="39" s="1"/>
  <c r="F217" i="39"/>
  <c r="C760" i="39"/>
  <c r="U760" i="39" s="1"/>
  <c r="F761" i="39"/>
  <c r="F11" i="39"/>
  <c r="C10" i="39"/>
  <c r="U10" i="39" s="1"/>
  <c r="C216" i="39"/>
  <c r="U216" i="39" s="1"/>
  <c r="C432" i="39"/>
  <c r="U432" i="39" s="1"/>
  <c r="C271" i="39"/>
  <c r="U271" i="39" s="1"/>
  <c r="F100" i="39"/>
  <c r="C99" i="39"/>
  <c r="U99" i="39" s="1"/>
  <c r="F742" i="39"/>
  <c r="C741" i="39"/>
  <c r="U741" i="39" s="1"/>
  <c r="F337" i="39"/>
  <c r="C336" i="39"/>
  <c r="U336" i="39" s="1"/>
  <c r="C152" i="39"/>
  <c r="U152" i="39" s="1"/>
  <c r="C642" i="39"/>
  <c r="U642" i="39" s="1"/>
  <c r="F643" i="39"/>
  <c r="C353" i="39"/>
  <c r="U353" i="39" s="1"/>
  <c r="F354" i="39"/>
  <c r="X100" i="39" l="1"/>
  <c r="V680" i="39"/>
  <c r="Y680" i="39"/>
  <c r="V643" i="39"/>
  <c r="Y643" i="39"/>
  <c r="V11" i="39"/>
  <c r="Y11" i="39"/>
  <c r="V761" i="39"/>
  <c r="Y761" i="39"/>
  <c r="V338" i="39"/>
  <c r="Y338" i="39"/>
  <c r="Y217" i="39"/>
  <c r="V217" i="39"/>
  <c r="V293" i="39"/>
  <c r="Y293" i="39"/>
  <c r="X761" i="39"/>
  <c r="V354" i="39"/>
  <c r="Y354" i="39"/>
  <c r="V720" i="39"/>
  <c r="Y720" i="39"/>
  <c r="V337" i="39"/>
  <c r="Y337" i="39"/>
  <c r="V742" i="39"/>
  <c r="Y742" i="39"/>
  <c r="V273" i="39"/>
  <c r="Y273" i="39"/>
  <c r="V339" i="39"/>
  <c r="Y339" i="39"/>
  <c r="Y571" i="39"/>
  <c r="V571" i="39"/>
  <c r="X571" i="39"/>
  <c r="X644" i="39"/>
  <c r="V508" i="39"/>
  <c r="Y508" i="39"/>
  <c r="X11" i="39"/>
  <c r="X217" i="39"/>
  <c r="X680" i="39"/>
  <c r="V100" i="39"/>
  <c r="Y100" i="39"/>
  <c r="X508" i="39"/>
  <c r="X509" i="39" s="1"/>
  <c r="X720" i="39"/>
  <c r="X721" i="39" s="1"/>
  <c r="F572" i="39"/>
  <c r="C339" i="39"/>
  <c r="U339" i="39" s="1"/>
  <c r="C338" i="39"/>
  <c r="U338" i="39" s="1"/>
  <c r="C273" i="39"/>
  <c r="U273" i="39" s="1"/>
  <c r="F274" i="39"/>
  <c r="C720" i="39"/>
  <c r="U720" i="39" s="1"/>
  <c r="C571" i="39"/>
  <c r="U571" i="39" s="1"/>
  <c r="F721" i="39"/>
  <c r="F509" i="39"/>
  <c r="C508" i="39"/>
  <c r="U508" i="39" s="1"/>
  <c r="F681" i="39"/>
  <c r="C658" i="39"/>
  <c r="U658" i="39" s="1"/>
  <c r="C680" i="39"/>
  <c r="U680" i="39" s="1"/>
  <c r="C217" i="39"/>
  <c r="U217" i="39" s="1"/>
  <c r="C761" i="39"/>
  <c r="U761" i="39" s="1"/>
  <c r="F294" i="39"/>
  <c r="C293" i="39"/>
  <c r="U293" i="39" s="1"/>
  <c r="F218" i="39"/>
  <c r="F762" i="39"/>
  <c r="C11" i="39"/>
  <c r="U11" i="39" s="1"/>
  <c r="F12" i="39"/>
  <c r="C272" i="39"/>
  <c r="U272" i="39" s="1"/>
  <c r="F101" i="39"/>
  <c r="X101" i="39" s="1"/>
  <c r="C100" i="39"/>
  <c r="U100" i="39" s="1"/>
  <c r="C154" i="39"/>
  <c r="U154" i="39" s="1"/>
  <c r="C354" i="39"/>
  <c r="U354" i="39" s="1"/>
  <c r="F355" i="39"/>
  <c r="F743" i="39"/>
  <c r="C742" i="39"/>
  <c r="U742" i="39" s="1"/>
  <c r="F644" i="39"/>
  <c r="C643" i="39"/>
  <c r="U643" i="39" s="1"/>
  <c r="F340" i="39"/>
  <c r="C337" i="39"/>
  <c r="U337" i="39" s="1"/>
  <c r="X572" i="39" l="1"/>
  <c r="X681" i="39"/>
  <c r="V218" i="39"/>
  <c r="Y218" i="39"/>
  <c r="X219" i="39"/>
  <c r="X220" i="39" s="1"/>
  <c r="X221" i="39" s="1"/>
  <c r="X222" i="39" s="1"/>
  <c r="X223" i="39" s="1"/>
  <c r="X224" i="39" s="1"/>
  <c r="V274" i="39"/>
  <c r="Y274" i="39"/>
  <c r="X762" i="39"/>
  <c r="X763" i="39" s="1"/>
  <c r="V340" i="39"/>
  <c r="Y340" i="39"/>
  <c r="V12" i="39"/>
  <c r="Y12" i="39"/>
  <c r="X218" i="39"/>
  <c r="V509" i="39"/>
  <c r="Y509" i="39"/>
  <c r="V743" i="39"/>
  <c r="Y743" i="39"/>
  <c r="V681" i="39"/>
  <c r="Y681" i="39"/>
  <c r="V644" i="39"/>
  <c r="X645" i="39"/>
  <c r="X646" i="39" s="1"/>
  <c r="X647" i="39" s="1"/>
  <c r="X648" i="39" s="1"/>
  <c r="X649" i="39" s="1"/>
  <c r="Y644" i="39"/>
  <c r="X274" i="39"/>
  <c r="V355" i="39"/>
  <c r="Y355" i="39"/>
  <c r="V762" i="39"/>
  <c r="Y762" i="39"/>
  <c r="V294" i="39"/>
  <c r="Y294" i="39"/>
  <c r="V721" i="39"/>
  <c r="Y721" i="39"/>
  <c r="X12" i="39"/>
  <c r="X13" i="39" s="1"/>
  <c r="V101" i="39"/>
  <c r="Y101" i="39"/>
  <c r="V572" i="39"/>
  <c r="Y572" i="39"/>
  <c r="F573" i="39"/>
  <c r="F275" i="39"/>
  <c r="C274" i="39"/>
  <c r="U274" i="39" s="1"/>
  <c r="C572" i="39"/>
  <c r="U572" i="39" s="1"/>
  <c r="C509" i="39"/>
  <c r="U509" i="39" s="1"/>
  <c r="C721" i="39"/>
  <c r="U721" i="39" s="1"/>
  <c r="F722" i="39"/>
  <c r="X722" i="39" s="1"/>
  <c r="F682" i="39"/>
  <c r="C681" i="39"/>
  <c r="U681" i="39" s="1"/>
  <c r="F510" i="39"/>
  <c r="F763" i="39"/>
  <c r="C762" i="39"/>
  <c r="U762" i="39" s="1"/>
  <c r="C218" i="39"/>
  <c r="U218" i="39" s="1"/>
  <c r="F295" i="39"/>
  <c r="C294" i="39"/>
  <c r="U294" i="39" s="1"/>
  <c r="C12" i="39"/>
  <c r="U12" i="39" s="1"/>
  <c r="F13" i="39"/>
  <c r="C101" i="39"/>
  <c r="U101" i="39" s="1"/>
  <c r="F102" i="39"/>
  <c r="C340" i="39"/>
  <c r="U340" i="39" s="1"/>
  <c r="F341" i="39"/>
  <c r="F356" i="39"/>
  <c r="C355" i="39"/>
  <c r="U355" i="39" s="1"/>
  <c r="F746" i="39"/>
  <c r="C743" i="39"/>
  <c r="U743" i="39" s="1"/>
  <c r="F744" i="39"/>
  <c r="F745" i="39"/>
  <c r="C155" i="39"/>
  <c r="U155" i="39" s="1"/>
  <c r="C644" i="39"/>
  <c r="U644" i="39" s="1"/>
  <c r="V102" i="39" l="1"/>
  <c r="Y102" i="39"/>
  <c r="Y295" i="39"/>
  <c r="V295" i="39"/>
  <c r="V746" i="39"/>
  <c r="Y746" i="39"/>
  <c r="X102" i="39"/>
  <c r="V722" i="39"/>
  <c r="Y722" i="39"/>
  <c r="V356" i="39"/>
  <c r="Y356" i="39"/>
  <c r="V341" i="39"/>
  <c r="Y341" i="39"/>
  <c r="Y13" i="39"/>
  <c r="V13" i="39"/>
  <c r="X14" i="39"/>
  <c r="V275" i="39"/>
  <c r="Y275" i="39"/>
  <c r="V573" i="39"/>
  <c r="Y573" i="39"/>
  <c r="V763" i="39"/>
  <c r="Y763" i="39"/>
  <c r="X764" i="39"/>
  <c r="X765" i="39" s="1"/>
  <c r="X766" i="39" s="1"/>
  <c r="X767" i="39" s="1"/>
  <c r="X768" i="39" s="1"/>
  <c r="X769" i="39" s="1"/>
  <c r="X770" i="39" s="1"/>
  <c r="X275" i="39"/>
  <c r="V510" i="39"/>
  <c r="Y510" i="39"/>
  <c r="V682" i="39"/>
  <c r="Y682" i="39"/>
  <c r="X682" i="39"/>
  <c r="X510" i="39"/>
  <c r="X511" i="39" s="1"/>
  <c r="V745" i="39"/>
  <c r="Y745" i="39"/>
  <c r="V744" i="39"/>
  <c r="Y744" i="39"/>
  <c r="X573" i="39"/>
  <c r="F574" i="39"/>
  <c r="F276" i="39"/>
  <c r="C275" i="39"/>
  <c r="U275" i="39" s="1"/>
  <c r="C682" i="39"/>
  <c r="U682" i="39" s="1"/>
  <c r="F683" i="39"/>
  <c r="C573" i="39"/>
  <c r="U573" i="39" s="1"/>
  <c r="C722" i="39"/>
  <c r="U722" i="39" s="1"/>
  <c r="F723" i="39"/>
  <c r="X723" i="39" s="1"/>
  <c r="C510" i="39"/>
  <c r="U510" i="39" s="1"/>
  <c r="F511" i="39"/>
  <c r="C763" i="39"/>
  <c r="U763" i="39" s="1"/>
  <c r="F296" i="39"/>
  <c r="C295" i="39"/>
  <c r="U295" i="39" s="1"/>
  <c r="C13" i="39"/>
  <c r="U13" i="39" s="1"/>
  <c r="F14" i="39"/>
  <c r="C102" i="39"/>
  <c r="U102" i="39" s="1"/>
  <c r="F103" i="39"/>
  <c r="F747" i="39"/>
  <c r="C744" i="39"/>
  <c r="U744" i="39" s="1"/>
  <c r="C746" i="39"/>
  <c r="U746" i="39" s="1"/>
  <c r="F357" i="39"/>
  <c r="C356" i="39"/>
  <c r="U356" i="39" s="1"/>
  <c r="C341" i="39"/>
  <c r="U341" i="39" s="1"/>
  <c r="F342" i="39"/>
  <c r="C745" i="39"/>
  <c r="U745" i="39" s="1"/>
  <c r="C156" i="39"/>
  <c r="U156" i="39" s="1"/>
  <c r="X574" i="39" l="1"/>
  <c r="V276" i="39"/>
  <c r="Y276" i="39"/>
  <c r="V574" i="39"/>
  <c r="Y574" i="39"/>
  <c r="V747" i="39"/>
  <c r="X748" i="39"/>
  <c r="X749" i="39" s="1"/>
  <c r="X750" i="39" s="1"/>
  <c r="X751" i="39" s="1"/>
  <c r="Y747" i="39"/>
  <c r="V296" i="39"/>
  <c r="Y296" i="39"/>
  <c r="Y683" i="39"/>
  <c r="V683" i="39"/>
  <c r="V342" i="39"/>
  <c r="Y342" i="39"/>
  <c r="V357" i="39"/>
  <c r="Y357" i="39"/>
  <c r="V103" i="39"/>
  <c r="Y103" i="39"/>
  <c r="V14" i="39"/>
  <c r="Y14" i="39"/>
  <c r="X103" i="39"/>
  <c r="X276" i="39"/>
  <c r="X683" i="39"/>
  <c r="V511" i="39"/>
  <c r="Y511" i="39"/>
  <c r="V723" i="39"/>
  <c r="Y723" i="39"/>
  <c r="F575" i="39"/>
  <c r="F277" i="39"/>
  <c r="C276" i="39"/>
  <c r="U276" i="39" s="1"/>
  <c r="F297" i="39"/>
  <c r="C683" i="39"/>
  <c r="U683" i="39" s="1"/>
  <c r="F684" i="39"/>
  <c r="X684" i="39" s="1"/>
  <c r="C574" i="39"/>
  <c r="U574" i="39" s="1"/>
  <c r="C723" i="39"/>
  <c r="U723" i="39" s="1"/>
  <c r="F724" i="39"/>
  <c r="X724" i="39" s="1"/>
  <c r="F512" i="39"/>
  <c r="X512" i="39" s="1"/>
  <c r="C511" i="39"/>
  <c r="U511" i="39" s="1"/>
  <c r="C296" i="39"/>
  <c r="U296" i="39" s="1"/>
  <c r="F15" i="39"/>
  <c r="F16" i="39"/>
  <c r="C14" i="39"/>
  <c r="U14" i="39" s="1"/>
  <c r="C103" i="39"/>
  <c r="U103" i="39" s="1"/>
  <c r="F104" i="39"/>
  <c r="F343" i="39"/>
  <c r="C342" i="39"/>
  <c r="U342" i="39" s="1"/>
  <c r="C357" i="39"/>
  <c r="U357" i="39" s="1"/>
  <c r="F358" i="39"/>
  <c r="C157" i="39"/>
  <c r="U157" i="39" s="1"/>
  <c r="C747" i="39"/>
  <c r="U747" i="39" s="1"/>
  <c r="V297" i="39" l="1"/>
  <c r="Y297" i="39"/>
  <c r="V575" i="39"/>
  <c r="Y575" i="39"/>
  <c r="V104" i="39"/>
  <c r="Y104" i="39"/>
  <c r="V277" i="39"/>
  <c r="Y277" i="39"/>
  <c r="X277" i="39"/>
  <c r="X278" i="39" s="1"/>
  <c r="V15" i="39"/>
  <c r="Y15" i="39"/>
  <c r="X16" i="39"/>
  <c r="X104" i="39"/>
  <c r="X105" i="39" s="1"/>
  <c r="V512" i="39"/>
  <c r="Y512" i="39"/>
  <c r="V724" i="39"/>
  <c r="Y724" i="39"/>
  <c r="Y684" i="39"/>
  <c r="V684" i="39"/>
  <c r="X575" i="39"/>
  <c r="V358" i="39"/>
  <c r="Y358" i="39"/>
  <c r="V343" i="39"/>
  <c r="Y343" i="39"/>
  <c r="V16" i="39"/>
  <c r="Y16" i="39"/>
  <c r="X15" i="39"/>
  <c r="C750" i="39"/>
  <c r="U750" i="39" s="1"/>
  <c r="C749" i="39"/>
  <c r="U749" i="39" s="1"/>
  <c r="F576" i="39"/>
  <c r="F278" i="39"/>
  <c r="C277" i="39"/>
  <c r="U277" i="39" s="1"/>
  <c r="F298" i="39"/>
  <c r="F685" i="39"/>
  <c r="C684" i="39"/>
  <c r="U684" i="39" s="1"/>
  <c r="F513" i="39"/>
  <c r="C512" i="39"/>
  <c r="U512" i="39" s="1"/>
  <c r="C724" i="39"/>
  <c r="U724" i="39" s="1"/>
  <c r="C575" i="39"/>
  <c r="U575" i="39" s="1"/>
  <c r="F727" i="39"/>
  <c r="F725" i="39"/>
  <c r="X725" i="39" s="1"/>
  <c r="C15" i="39"/>
  <c r="U15" i="39" s="1"/>
  <c r="F17" i="39"/>
  <c r="C16" i="39"/>
  <c r="U16" i="39" s="1"/>
  <c r="F105" i="39"/>
  <c r="C104" i="39"/>
  <c r="U104" i="39" s="1"/>
  <c r="C161" i="39"/>
  <c r="U161" i="39" s="1"/>
  <c r="F344" i="39"/>
  <c r="C343" i="39"/>
  <c r="U343" i="39" s="1"/>
  <c r="C158" i="39"/>
  <c r="U158" i="39" s="1"/>
  <c r="C358" i="39"/>
  <c r="U358" i="39" s="1"/>
  <c r="F359" i="39"/>
  <c r="C159" i="39"/>
  <c r="U159" i="39" s="1"/>
  <c r="X17" i="39" l="1"/>
  <c r="V685" i="39"/>
  <c r="Y685" i="39"/>
  <c r="V727" i="39"/>
  <c r="Y727" i="39"/>
  <c r="X685" i="39"/>
  <c r="V278" i="39"/>
  <c r="Y278" i="39"/>
  <c r="V576" i="39"/>
  <c r="Y576" i="39"/>
  <c r="V344" i="39"/>
  <c r="Y344" i="39"/>
  <c r="X345" i="39"/>
  <c r="X346" i="39" s="1"/>
  <c r="X347" i="39" s="1"/>
  <c r="X348" i="39" s="1"/>
  <c r="X349" i="39" s="1"/>
  <c r="X350" i="39" s="1"/>
  <c r="X351" i="39" s="1"/>
  <c r="X352" i="39" s="1"/>
  <c r="X353" i="39" s="1"/>
  <c r="X354" i="39" s="1"/>
  <c r="X355" i="39" s="1"/>
  <c r="X356" i="39" s="1"/>
  <c r="X357" i="39" s="1"/>
  <c r="X358" i="39" s="1"/>
  <c r="X359" i="39" s="1"/>
  <c r="V105" i="39"/>
  <c r="Y105" i="39"/>
  <c r="X106" i="39"/>
  <c r="V513" i="39"/>
  <c r="Y513" i="39"/>
  <c r="V298" i="39"/>
  <c r="Y298" i="39"/>
  <c r="V359" i="39"/>
  <c r="Y359" i="39"/>
  <c r="V17" i="39"/>
  <c r="Y17" i="39"/>
  <c r="X18" i="39"/>
  <c r="X19" i="39" s="1"/>
  <c r="X20" i="39" s="1"/>
  <c r="X21" i="39" s="1"/>
  <c r="X22" i="39" s="1"/>
  <c r="X23" i="39" s="1"/>
  <c r="X24" i="39" s="1"/>
  <c r="X25" i="39" s="1"/>
  <c r="X26" i="39" s="1"/>
  <c r="X27" i="39" s="1"/>
  <c r="X28" i="39" s="1"/>
  <c r="X29" i="39" s="1"/>
  <c r="X30" i="39" s="1"/>
  <c r="X31" i="39" s="1"/>
  <c r="X32" i="39" s="1"/>
  <c r="X33" i="39" s="1"/>
  <c r="X34" i="39" s="1"/>
  <c r="V725" i="39"/>
  <c r="Y725" i="39"/>
  <c r="X576" i="39"/>
  <c r="X513" i="39"/>
  <c r="F577" i="39"/>
  <c r="F279" i="39"/>
  <c r="X279" i="39" s="1"/>
  <c r="C278" i="39"/>
  <c r="U278" i="39" s="1"/>
  <c r="F299" i="39"/>
  <c r="C685" i="39"/>
  <c r="U685" i="39" s="1"/>
  <c r="F686" i="39"/>
  <c r="C513" i="39"/>
  <c r="U513" i="39" s="1"/>
  <c r="F514" i="39"/>
  <c r="C576" i="39"/>
  <c r="U576" i="39" s="1"/>
  <c r="F726" i="39"/>
  <c r="F728" i="39"/>
  <c r="C727" i="39"/>
  <c r="U727" i="39" s="1"/>
  <c r="F730" i="39"/>
  <c r="C725" i="39"/>
  <c r="U725" i="39" s="1"/>
  <c r="F729" i="39"/>
  <c r="F731" i="39"/>
  <c r="C17" i="39"/>
  <c r="U17" i="39" s="1"/>
  <c r="F106" i="39"/>
  <c r="C105" i="39"/>
  <c r="U105" i="39" s="1"/>
  <c r="F360" i="39"/>
  <c r="C359" i="39"/>
  <c r="U359" i="39" s="1"/>
  <c r="C344" i="39"/>
  <c r="U344" i="39" s="1"/>
  <c r="X514" i="39" l="1"/>
  <c r="V726" i="39"/>
  <c r="Y726" i="39"/>
  <c r="V514" i="39"/>
  <c r="Y514" i="39"/>
  <c r="V577" i="39"/>
  <c r="Y577" i="39"/>
  <c r="V728" i="39"/>
  <c r="Y728" i="39"/>
  <c r="X577" i="39"/>
  <c r="X578" i="39" s="1"/>
  <c r="V299" i="39"/>
  <c r="Y299" i="39"/>
  <c r="V360" i="39"/>
  <c r="Y360" i="39"/>
  <c r="X107" i="39"/>
  <c r="V686" i="39"/>
  <c r="Y686" i="39"/>
  <c r="V279" i="39"/>
  <c r="Y279" i="39"/>
  <c r="X280" i="39"/>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686" i="39"/>
  <c r="X687" i="39" s="1"/>
  <c r="V106" i="39"/>
  <c r="Y106" i="39"/>
  <c r="V731" i="39"/>
  <c r="Y731" i="39"/>
  <c r="V729" i="39"/>
  <c r="Y729" i="39"/>
  <c r="V730" i="39"/>
  <c r="Y730" i="39"/>
  <c r="X360" i="39"/>
  <c r="X361" i="39" s="1"/>
  <c r="X726" i="39"/>
  <c r="X727" i="39" s="1"/>
  <c r="X728" i="39" s="1"/>
  <c r="X729" i="39" s="1"/>
  <c r="X730" i="39" s="1"/>
  <c r="X731" i="39" s="1"/>
  <c r="F578" i="39"/>
  <c r="C279" i="39"/>
  <c r="U279" i="39" s="1"/>
  <c r="F300" i="39"/>
  <c r="C686" i="39"/>
  <c r="U686" i="39" s="1"/>
  <c r="F687" i="39"/>
  <c r="F515" i="39"/>
  <c r="X515" i="39" s="1"/>
  <c r="C514" i="39"/>
  <c r="U514" i="39" s="1"/>
  <c r="C731" i="39"/>
  <c r="U731" i="39" s="1"/>
  <c r="C728" i="39"/>
  <c r="U728" i="39" s="1"/>
  <c r="C726" i="39"/>
  <c r="U726" i="39" s="1"/>
  <c r="C577" i="39"/>
  <c r="U577" i="39" s="1"/>
  <c r="F732" i="39"/>
  <c r="C730" i="39"/>
  <c r="U730" i="39" s="1"/>
  <c r="C729" i="39"/>
  <c r="U729" i="39" s="1"/>
  <c r="C106" i="39"/>
  <c r="U106" i="39" s="1"/>
  <c r="F107" i="39"/>
  <c r="F109" i="39"/>
  <c r="F361" i="39"/>
  <c r="C360" i="39"/>
  <c r="U360" i="39" s="1"/>
  <c r="V687" i="39" l="1"/>
  <c r="Y687" i="39"/>
  <c r="X732" i="39"/>
  <c r="Y107" i="39"/>
  <c r="V107" i="39"/>
  <c r="V732" i="39"/>
  <c r="Y732" i="39"/>
  <c r="X733" i="39"/>
  <c r="X734" i="39" s="1"/>
  <c r="X735" i="39" s="1"/>
  <c r="X736" i="39" s="1"/>
  <c r="X737" i="39" s="1"/>
  <c r="X738" i="39" s="1"/>
  <c r="X739" i="39" s="1"/>
  <c r="X740" i="39" s="1"/>
  <c r="X741" i="39" s="1"/>
  <c r="X742" i="39" s="1"/>
  <c r="X743" i="39" s="1"/>
  <c r="X744" i="39" s="1"/>
  <c r="X745" i="39" s="1"/>
  <c r="X746" i="39" s="1"/>
  <c r="X747" i="39" s="1"/>
  <c r="V515" i="39"/>
  <c r="X516" i="39"/>
  <c r="Y515" i="39"/>
  <c r="V300" i="39"/>
  <c r="Y300" i="39"/>
  <c r="V578" i="39"/>
  <c r="Y578" i="39"/>
  <c r="V361" i="39"/>
  <c r="Y361" i="39"/>
  <c r="X301" i="39"/>
  <c r="X579" i="39"/>
  <c r="V109" i="39"/>
  <c r="Y109" i="39"/>
  <c r="C578" i="39"/>
  <c r="U578" i="39" s="1"/>
  <c r="F579" i="39"/>
  <c r="F301" i="39"/>
  <c r="F688" i="39"/>
  <c r="C687" i="39"/>
  <c r="U687" i="39" s="1"/>
  <c r="F516" i="39"/>
  <c r="C515" i="39"/>
  <c r="U515" i="39" s="1"/>
  <c r="C732" i="39"/>
  <c r="U732" i="39" s="1"/>
  <c r="C297" i="39"/>
  <c r="U297" i="39" s="1"/>
  <c r="C107" i="39"/>
  <c r="U107" i="39" s="1"/>
  <c r="F108" i="39"/>
  <c r="F110" i="39"/>
  <c r="C109" i="39"/>
  <c r="U109" i="39" s="1"/>
  <c r="C361" i="39"/>
  <c r="U361" i="39" s="1"/>
  <c r="F362" i="39"/>
  <c r="V362" i="39" l="1"/>
  <c r="Y362" i="39"/>
  <c r="V110" i="39"/>
  <c r="Y110" i="39"/>
  <c r="V108" i="39"/>
  <c r="Y108" i="39"/>
  <c r="V688" i="39"/>
  <c r="Y688" i="39"/>
  <c r="X688" i="39"/>
  <c r="X689" i="39" s="1"/>
  <c r="X362" i="39"/>
  <c r="X363" i="39" s="1"/>
  <c r="X108" i="39"/>
  <c r="X109" i="39" s="1"/>
  <c r="X110" i="39" s="1"/>
  <c r="X111" i="39" s="1"/>
  <c r="V579" i="39"/>
  <c r="Y579" i="39"/>
  <c r="V516" i="39"/>
  <c r="Y516" i="39"/>
  <c r="V301" i="39"/>
  <c r="Y301" i="39"/>
  <c r="F580" i="39"/>
  <c r="X580" i="39" s="1"/>
  <c r="C579" i="39"/>
  <c r="U579" i="39" s="1"/>
  <c r="F302" i="39"/>
  <c r="X302" i="39" s="1"/>
  <c r="F517" i="39"/>
  <c r="X517" i="39" s="1"/>
  <c r="C516" i="39"/>
  <c r="U516" i="39" s="1"/>
  <c r="C688" i="39"/>
  <c r="U688" i="39" s="1"/>
  <c r="F689" i="39"/>
  <c r="C298" i="39"/>
  <c r="U298" i="39" s="1"/>
  <c r="C108" i="39"/>
  <c r="U108" i="39" s="1"/>
  <c r="F111" i="39"/>
  <c r="C110" i="39"/>
  <c r="U110" i="39" s="1"/>
  <c r="C362" i="39"/>
  <c r="U362" i="39" s="1"/>
  <c r="F363" i="39"/>
  <c r="V580" i="39" l="1"/>
  <c r="Y580" i="39"/>
  <c r="V689" i="39"/>
  <c r="Y689" i="39"/>
  <c r="V517" i="39"/>
  <c r="X518" i="39"/>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Y517" i="39"/>
  <c r="X364" i="39"/>
  <c r="V363" i="39"/>
  <c r="Y363" i="39"/>
  <c r="V111" i="39"/>
  <c r="Y111" i="39"/>
  <c r="V302" i="39"/>
  <c r="Y302" i="39"/>
  <c r="F581" i="39"/>
  <c r="C580" i="39"/>
  <c r="U580" i="39" s="1"/>
  <c r="F303" i="39"/>
  <c r="C517" i="39"/>
  <c r="U517" i="39" s="1"/>
  <c r="C689" i="39"/>
  <c r="U689" i="39" s="1"/>
  <c r="F690" i="39"/>
  <c r="X690" i="39" s="1"/>
  <c r="C299" i="39"/>
  <c r="U299" i="39" s="1"/>
  <c r="C111" i="39"/>
  <c r="U111" i="39" s="1"/>
  <c r="F112" i="39"/>
  <c r="X112" i="39" s="1"/>
  <c r="F364" i="39"/>
  <c r="C363" i="39"/>
  <c r="U363" i="39" s="1"/>
  <c r="V581" i="39" l="1"/>
  <c r="Y581" i="39"/>
  <c r="V303" i="39"/>
  <c r="Y303" i="39"/>
  <c r="V690" i="39"/>
  <c r="Y690" i="39"/>
  <c r="X303" i="39"/>
  <c r="V364" i="39"/>
  <c r="Y364" i="39"/>
  <c r="V112" i="39"/>
  <c r="Y112" i="39"/>
  <c r="X581" i="39"/>
  <c r="X582" i="39" s="1"/>
  <c r="F582" i="39"/>
  <c r="C581" i="39"/>
  <c r="U581" i="39" s="1"/>
  <c r="F304" i="39"/>
  <c r="F691" i="39"/>
  <c r="X691" i="39" s="1"/>
  <c r="C690" i="39"/>
  <c r="U690" i="39" s="1"/>
  <c r="C300" i="39"/>
  <c r="U300" i="39" s="1"/>
  <c r="F113" i="39"/>
  <c r="C112" i="39"/>
  <c r="U112" i="39" s="1"/>
  <c r="F365" i="39"/>
  <c r="X365" i="39" s="1"/>
  <c r="C364" i="39"/>
  <c r="U364" i="39" s="1"/>
  <c r="V113" i="39" l="1"/>
  <c r="Y113" i="39"/>
  <c r="V304" i="39"/>
  <c r="Y304" i="39"/>
  <c r="V582" i="39"/>
  <c r="Y582" i="39"/>
  <c r="V691" i="39"/>
  <c r="Y691" i="39"/>
  <c r="X304" i="39"/>
  <c r="X305" i="39" s="1"/>
  <c r="V365" i="39"/>
  <c r="Y365" i="39"/>
  <c r="X113" i="39"/>
  <c r="F583" i="39"/>
  <c r="C582" i="39"/>
  <c r="U582" i="39" s="1"/>
  <c r="F305" i="39"/>
  <c r="C691" i="39"/>
  <c r="U691" i="39" s="1"/>
  <c r="F692" i="39"/>
  <c r="C301" i="39"/>
  <c r="U301" i="39" s="1"/>
  <c r="F115" i="39"/>
  <c r="C113" i="39"/>
  <c r="U113" i="39" s="1"/>
  <c r="F114" i="39"/>
  <c r="C365" i="39"/>
  <c r="U365" i="39" s="1"/>
  <c r="F366" i="39"/>
  <c r="X114" i="39" l="1"/>
  <c r="X115" i="39" s="1"/>
  <c r="V115" i="39"/>
  <c r="Y115" i="39"/>
  <c r="V305" i="39"/>
  <c r="Y305" i="39"/>
  <c r="V583" i="39"/>
  <c r="Y583" i="39"/>
  <c r="X583" i="39"/>
  <c r="V366" i="39"/>
  <c r="Y366" i="39"/>
  <c r="V692" i="39"/>
  <c r="Y692" i="39"/>
  <c r="X116" i="39"/>
  <c r="V114" i="39"/>
  <c r="Y114" i="39"/>
  <c r="X692" i="39"/>
  <c r="X366" i="39"/>
  <c r="X367" i="39" s="1"/>
  <c r="F584" i="39"/>
  <c r="C583" i="39"/>
  <c r="U583" i="39" s="1"/>
  <c r="F306" i="39"/>
  <c r="X306" i="39" s="1"/>
  <c r="F693" i="39"/>
  <c r="C692" i="39"/>
  <c r="U692" i="39" s="1"/>
  <c r="C302" i="39"/>
  <c r="U302" i="39" s="1"/>
  <c r="C115" i="39"/>
  <c r="U115" i="39" s="1"/>
  <c r="F116" i="39"/>
  <c r="C114" i="39"/>
  <c r="U114" i="39" s="1"/>
  <c r="C366" i="39"/>
  <c r="U366" i="39" s="1"/>
  <c r="F367" i="39"/>
  <c r="V584" i="39" l="1"/>
  <c r="Y584" i="39"/>
  <c r="X584" i="39"/>
  <c r="V116" i="39"/>
  <c r="Y116" i="39"/>
  <c r="V693" i="39"/>
  <c r="Y693" i="39"/>
  <c r="V306" i="39"/>
  <c r="Y306" i="39"/>
  <c r="V367" i="39"/>
  <c r="Y367" i="39"/>
  <c r="X693" i="39"/>
  <c r="F585" i="39"/>
  <c r="C584" i="39"/>
  <c r="U584" i="39" s="1"/>
  <c r="F307" i="39"/>
  <c r="C693" i="39"/>
  <c r="U693" i="39" s="1"/>
  <c r="C303" i="39"/>
  <c r="U303" i="39" s="1"/>
  <c r="C116" i="39"/>
  <c r="U116" i="39" s="1"/>
  <c r="F117" i="39"/>
  <c r="F368" i="39"/>
  <c r="X368" i="39" s="1"/>
  <c r="C367" i="39"/>
  <c r="U367" i="39" s="1"/>
  <c r="V117" i="39" l="1"/>
  <c r="Y117" i="39"/>
  <c r="Y307" i="39"/>
  <c r="V307" i="39"/>
  <c r="V585" i="39"/>
  <c r="Y585" i="39"/>
  <c r="X117" i="39"/>
  <c r="X585" i="39"/>
  <c r="V368" i="39"/>
  <c r="Y368" i="39"/>
  <c r="X307" i="39"/>
  <c r="X308" i="39" s="1"/>
  <c r="F586" i="39"/>
  <c r="C585" i="39"/>
  <c r="U585" i="39" s="1"/>
  <c r="F308" i="39"/>
  <c r="C304" i="39"/>
  <c r="U304" i="39" s="1"/>
  <c r="F118" i="39"/>
  <c r="C117" i="39"/>
  <c r="U117" i="39" s="1"/>
  <c r="F369" i="39"/>
  <c r="X369" i="39" s="1"/>
  <c r="C368" i="39"/>
  <c r="U368" i="39" s="1"/>
  <c r="V586" i="39" l="1"/>
  <c r="Y586" i="39"/>
  <c r="V118" i="39"/>
  <c r="Y118" i="39"/>
  <c r="V308" i="39"/>
  <c r="Y308" i="39"/>
  <c r="X118" i="39"/>
  <c r="V369" i="39"/>
  <c r="Y369" i="39"/>
  <c r="X586" i="39"/>
  <c r="X587" i="39" s="1"/>
  <c r="X588" i="39" s="1"/>
  <c r="F588" i="39"/>
  <c r="F587" i="39"/>
  <c r="C586" i="39"/>
  <c r="U586" i="39" s="1"/>
  <c r="F311" i="39"/>
  <c r="F309" i="39"/>
  <c r="C305" i="39"/>
  <c r="U305" i="39" s="1"/>
  <c r="C118" i="39"/>
  <c r="U118" i="39" s="1"/>
  <c r="F119" i="39"/>
  <c r="C369" i="39"/>
  <c r="U369" i="39" s="1"/>
  <c r="F370" i="39"/>
  <c r="X119" i="39" l="1"/>
  <c r="Y370" i="39"/>
  <c r="V370" i="39"/>
  <c r="V119" i="39"/>
  <c r="Y119" i="39"/>
  <c r="X120" i="39"/>
  <c r="X121" i="39" s="1"/>
  <c r="X122" i="39" s="1"/>
  <c r="X123" i="39" s="1"/>
  <c r="V309" i="39"/>
  <c r="Y309" i="39"/>
  <c r="V311" i="39"/>
  <c r="Y311" i="39"/>
  <c r="V587" i="39"/>
  <c r="Y587" i="39"/>
  <c r="V588" i="39"/>
  <c r="Y588" i="39"/>
  <c r="X309" i="39"/>
  <c r="X370" i="39"/>
  <c r="X371" i="39" s="1"/>
  <c r="C588" i="39"/>
  <c r="U588" i="39" s="1"/>
  <c r="F589" i="39"/>
  <c r="C587" i="39"/>
  <c r="U587" i="39" s="1"/>
  <c r="C311" i="39"/>
  <c r="U311" i="39" s="1"/>
  <c r="F312" i="39"/>
  <c r="F310" i="39"/>
  <c r="C306" i="39"/>
  <c r="U306" i="39" s="1"/>
  <c r="C119" i="39"/>
  <c r="U119" i="39" s="1"/>
  <c r="C370" i="39"/>
  <c r="U370" i="39" s="1"/>
  <c r="F371" i="39"/>
  <c r="X310" i="39" l="1"/>
  <c r="X311" i="39" s="1"/>
  <c r="V589" i="39"/>
  <c r="Y589" i="39"/>
  <c r="V312" i="39"/>
  <c r="Y312" i="39"/>
  <c r="X589" i="39"/>
  <c r="V371" i="39"/>
  <c r="Y371" i="39"/>
  <c r="X312" i="39"/>
  <c r="X313" i="39" s="1"/>
  <c r="V310" i="39"/>
  <c r="Y310" i="39"/>
  <c r="F590" i="39"/>
  <c r="C589" i="39"/>
  <c r="U589" i="39" s="1"/>
  <c r="C312" i="39"/>
  <c r="U312" i="39" s="1"/>
  <c r="F313" i="39"/>
  <c r="C307" i="39"/>
  <c r="U307" i="39" s="1"/>
  <c r="F372" i="39"/>
  <c r="X372" i="39" s="1"/>
  <c r="C371" i="39"/>
  <c r="U371" i="39" s="1"/>
  <c r="V313" i="39" l="1"/>
  <c r="Y313" i="39"/>
  <c r="V372" i="39"/>
  <c r="Y372" i="39"/>
  <c r="V590" i="39"/>
  <c r="Y590" i="39"/>
  <c r="X590" i="39"/>
  <c r="X591" i="39" s="1"/>
  <c r="F591" i="39"/>
  <c r="C590" i="39"/>
  <c r="U590" i="39" s="1"/>
  <c r="F314" i="39"/>
  <c r="C308" i="39"/>
  <c r="U308" i="39" s="1"/>
  <c r="F373" i="39"/>
  <c r="C372" i="39"/>
  <c r="U372" i="39" s="1"/>
  <c r="V373" i="39" l="1"/>
  <c r="Y373" i="39"/>
  <c r="V314" i="39"/>
  <c r="Y314" i="39"/>
  <c r="X314" i="39"/>
  <c r="Y591" i="39"/>
  <c r="V591" i="39"/>
  <c r="X373" i="39"/>
  <c r="F592" i="39"/>
  <c r="C591" i="39"/>
  <c r="U591" i="39" s="1"/>
  <c r="F315" i="39"/>
  <c r="C309" i="39"/>
  <c r="U309" i="39" s="1"/>
  <c r="C373" i="39"/>
  <c r="U373" i="39" s="1"/>
  <c r="F374" i="39"/>
  <c r="V592" i="39" l="1"/>
  <c r="Y592" i="39"/>
  <c r="V374" i="39"/>
  <c r="Y374" i="39"/>
  <c r="V315" i="39"/>
  <c r="Y315" i="39"/>
  <c r="X315" i="39"/>
  <c r="X374" i="39"/>
  <c r="X592" i="39"/>
  <c r="X593" i="39" s="1"/>
  <c r="F593" i="39"/>
  <c r="C592" i="39"/>
  <c r="U592" i="39" s="1"/>
  <c r="F316" i="39"/>
  <c r="C310" i="39"/>
  <c r="U310" i="39" s="1"/>
  <c r="C374" i="39"/>
  <c r="U374" i="39" s="1"/>
  <c r="F375" i="39"/>
  <c r="V316" i="39" l="1"/>
  <c r="Y316" i="39"/>
  <c r="V593" i="39"/>
  <c r="Y593" i="39"/>
  <c r="Y375" i="39"/>
  <c r="V375" i="39"/>
  <c r="X375" i="39"/>
  <c r="X316" i="39"/>
  <c r="X317" i="39" s="1"/>
  <c r="F594" i="39"/>
  <c r="C593" i="39"/>
  <c r="U593" i="39" s="1"/>
  <c r="F317" i="39"/>
  <c r="C313" i="39"/>
  <c r="U313" i="39" s="1"/>
  <c r="F376" i="39"/>
  <c r="C375" i="39"/>
  <c r="U375" i="39" s="1"/>
  <c r="V376" i="39" l="1"/>
  <c r="Y376" i="39"/>
  <c r="V317" i="39"/>
  <c r="Y317" i="39"/>
  <c r="V594" i="39"/>
  <c r="Y594" i="39"/>
  <c r="X376" i="39"/>
  <c r="X594" i="39"/>
  <c r="X595" i="39" s="1"/>
  <c r="F595" i="39"/>
  <c r="C594" i="39"/>
  <c r="U594" i="39" s="1"/>
  <c r="F318" i="39"/>
  <c r="C314" i="39"/>
  <c r="U314" i="39" s="1"/>
  <c r="F377" i="39"/>
  <c r="C376" i="39"/>
  <c r="U376" i="39" s="1"/>
  <c r="V318" i="39" l="1"/>
  <c r="Y318" i="39"/>
  <c r="X318" i="39"/>
  <c r="V377" i="39"/>
  <c r="Y377" i="39"/>
  <c r="V595" i="39"/>
  <c r="Y595" i="39"/>
  <c r="X377" i="39"/>
  <c r="F596" i="39"/>
  <c r="C595" i="39"/>
  <c r="U595" i="39" s="1"/>
  <c r="F319" i="39"/>
  <c r="C315" i="39"/>
  <c r="U315" i="39" s="1"/>
  <c r="C377" i="39"/>
  <c r="U377" i="39" s="1"/>
  <c r="F378" i="39"/>
  <c r="V378" i="39" l="1"/>
  <c r="Y378" i="39"/>
  <c r="X378" i="39"/>
  <c r="V319" i="39"/>
  <c r="Y319" i="39"/>
  <c r="V596" i="39"/>
  <c r="Y596" i="39"/>
  <c r="X596" i="39"/>
  <c r="X597" i="39" s="1"/>
  <c r="X319" i="39"/>
  <c r="X320" i="39" s="1"/>
  <c r="F597" i="39"/>
  <c r="C596" i="39"/>
  <c r="U596" i="39" s="1"/>
  <c r="F320" i="39"/>
  <c r="C319" i="39"/>
  <c r="U319" i="39" s="1"/>
  <c r="C316" i="39"/>
  <c r="U316" i="39" s="1"/>
  <c r="C378" i="39"/>
  <c r="U378" i="39" s="1"/>
  <c r="F379" i="39"/>
  <c r="Y320" i="39" l="1"/>
  <c r="V320" i="39"/>
  <c r="V597" i="39"/>
  <c r="Y597" i="39"/>
  <c r="V379" i="39"/>
  <c r="Y379" i="39"/>
  <c r="X379" i="39"/>
  <c r="X380" i="39" s="1"/>
  <c r="F598" i="39"/>
  <c r="C597" i="39"/>
  <c r="U597" i="39" s="1"/>
  <c r="F321" i="39"/>
  <c r="C320" i="39"/>
  <c r="U320" i="39" s="1"/>
  <c r="C317" i="39"/>
  <c r="U317" i="39" s="1"/>
  <c r="F380" i="39"/>
  <c r="C379" i="39"/>
  <c r="U379" i="39" s="1"/>
  <c r="V321" i="39" l="1"/>
  <c r="Y321" i="39"/>
  <c r="X321" i="39"/>
  <c r="V380" i="39"/>
  <c r="Y380" i="39"/>
  <c r="V598" i="39"/>
  <c r="Y598" i="39"/>
  <c r="X598" i="39"/>
  <c r="X599" i="39" s="1"/>
  <c r="F599" i="39"/>
  <c r="C598" i="39"/>
  <c r="U598" i="39" s="1"/>
  <c r="F322" i="39"/>
  <c r="C318" i="39"/>
  <c r="U318" i="39" s="1"/>
  <c r="F381" i="39"/>
  <c r="C380" i="39"/>
  <c r="U380" i="39" s="1"/>
  <c r="V381" i="39" l="1"/>
  <c r="Y381" i="39"/>
  <c r="X322" i="39"/>
  <c r="Y322" i="39"/>
  <c r="V322" i="39"/>
  <c r="V599" i="39"/>
  <c r="Y599" i="39"/>
  <c r="X381" i="39"/>
  <c r="F600" i="39"/>
  <c r="C599" i="39"/>
  <c r="U599" i="39" s="1"/>
  <c r="F323" i="39"/>
  <c r="C321" i="39"/>
  <c r="U321" i="39" s="1"/>
  <c r="C381" i="39"/>
  <c r="U381" i="39" s="1"/>
  <c r="F382" i="39"/>
  <c r="V323" i="39" l="1"/>
  <c r="Y323" i="39"/>
  <c r="X323" i="39"/>
  <c r="Y382" i="39"/>
  <c r="V382" i="39"/>
  <c r="X382" i="39"/>
  <c r="V600" i="39"/>
  <c r="Y600" i="39"/>
  <c r="X600" i="39"/>
  <c r="X601" i="39" s="1"/>
  <c r="F601" i="39"/>
  <c r="C600" i="39"/>
  <c r="U600" i="39" s="1"/>
  <c r="F324" i="39"/>
  <c r="C322" i="39"/>
  <c r="U322" i="39" s="1"/>
  <c r="C382" i="39"/>
  <c r="U382" i="39" s="1"/>
  <c r="F383" i="39"/>
  <c r="V383" i="39" l="1"/>
  <c r="Y383" i="39"/>
  <c r="X324" i="39"/>
  <c r="Y324" i="39"/>
  <c r="V324" i="39"/>
  <c r="V601" i="39"/>
  <c r="Y601" i="39"/>
  <c r="X383" i="39"/>
  <c r="F602" i="39"/>
  <c r="C601" i="39"/>
  <c r="U601" i="39" s="1"/>
  <c r="F325" i="39"/>
  <c r="C323" i="39"/>
  <c r="U323" i="39" s="1"/>
  <c r="F384" i="39"/>
  <c r="C383" i="39"/>
  <c r="U383" i="39" s="1"/>
  <c r="V325" i="39" l="1"/>
  <c r="Y325" i="39"/>
  <c r="V384" i="39"/>
  <c r="Y384" i="39"/>
  <c r="X325" i="39"/>
  <c r="V602" i="39"/>
  <c r="Y602" i="39"/>
  <c r="X602" i="39"/>
  <c r="X603" i="39" s="1"/>
  <c r="X384" i="39"/>
  <c r="F603" i="39"/>
  <c r="C602" i="39"/>
  <c r="U602" i="39" s="1"/>
  <c r="F326" i="39"/>
  <c r="C324" i="39"/>
  <c r="U324" i="39" s="1"/>
  <c r="F385" i="39"/>
  <c r="C384" i="39"/>
  <c r="U384" i="39" s="1"/>
  <c r="V385" i="39" l="1"/>
  <c r="Y385" i="39"/>
  <c r="V603" i="39"/>
  <c r="Y603" i="39"/>
  <c r="X385" i="39"/>
  <c r="Y326" i="39"/>
  <c r="V326" i="39"/>
  <c r="X326" i="39"/>
  <c r="X327" i="39" s="1"/>
  <c r="F604" i="39"/>
  <c r="C603" i="39"/>
  <c r="U603" i="39" s="1"/>
  <c r="F327" i="39"/>
  <c r="C325" i="39"/>
  <c r="U325" i="39" s="1"/>
  <c r="C385" i="39"/>
  <c r="U385" i="39" s="1"/>
  <c r="F386" i="39"/>
  <c r="V327" i="39" l="1"/>
  <c r="Y327" i="39"/>
  <c r="X328" i="39"/>
  <c r="X329" i="39" s="1"/>
  <c r="X330" i="39" s="1"/>
  <c r="X331" i="39" s="1"/>
  <c r="X332" i="39" s="1"/>
  <c r="X333" i="39" s="1"/>
  <c r="X334" i="39" s="1"/>
  <c r="X335" i="39" s="1"/>
  <c r="X336" i="39" s="1"/>
  <c r="X337" i="39" s="1"/>
  <c r="X338" i="39" s="1"/>
  <c r="X339" i="39" s="1"/>
  <c r="X340" i="39" s="1"/>
  <c r="X341" i="39" s="1"/>
  <c r="X342" i="39" s="1"/>
  <c r="X343" i="39" s="1"/>
  <c r="X344" i="39" s="1"/>
  <c r="V604" i="39"/>
  <c r="Y604" i="39"/>
  <c r="X386" i="39"/>
  <c r="V386" i="39"/>
  <c r="Y386" i="39"/>
  <c r="X604" i="39"/>
  <c r="X605" i="39" s="1"/>
  <c r="F605" i="39"/>
  <c r="C604" i="39"/>
  <c r="U604" i="39" s="1"/>
  <c r="C326" i="39"/>
  <c r="U326" i="39" s="1"/>
  <c r="C386" i="39"/>
  <c r="U386" i="39" s="1"/>
  <c r="F387" i="39"/>
  <c r="V605" i="39" l="1"/>
  <c r="Y605" i="39"/>
  <c r="V387" i="39"/>
  <c r="Y387" i="39"/>
  <c r="X387" i="39"/>
  <c r="F606" i="39"/>
  <c r="X606" i="39" s="1"/>
  <c r="C605" i="39"/>
  <c r="U605" i="39" s="1"/>
  <c r="C327" i="39"/>
  <c r="U327" i="39" s="1"/>
  <c r="F388" i="39"/>
  <c r="C387" i="39"/>
  <c r="U387" i="39" s="1"/>
  <c r="X388" i="39" l="1"/>
  <c r="V388" i="39"/>
  <c r="Y388" i="39"/>
  <c r="V606" i="39"/>
  <c r="Y606" i="39"/>
  <c r="F607" i="39"/>
  <c r="C606" i="39"/>
  <c r="U606" i="39" s="1"/>
  <c r="F389" i="39"/>
  <c r="C388" i="39"/>
  <c r="U388" i="39" s="1"/>
  <c r="V389" i="39" l="1"/>
  <c r="Y389" i="39"/>
  <c r="V607" i="39"/>
  <c r="Y607" i="39"/>
  <c r="X389" i="39"/>
  <c r="X607" i="39"/>
  <c r="X608" i="39" s="1"/>
  <c r="F608" i="39"/>
  <c r="C607" i="39"/>
  <c r="U607" i="39" s="1"/>
  <c r="C389" i="39"/>
  <c r="U389" i="39" s="1"/>
  <c r="F390" i="39"/>
  <c r="V608" i="39" l="1"/>
  <c r="Y608" i="39"/>
  <c r="V390" i="39"/>
  <c r="Y390" i="39"/>
  <c r="X390" i="39"/>
  <c r="F609" i="39"/>
  <c r="C608" i="39"/>
  <c r="U608" i="39" s="1"/>
  <c r="C390" i="39"/>
  <c r="U390" i="39" s="1"/>
  <c r="F391" i="39"/>
  <c r="X391" i="39" l="1"/>
  <c r="V609" i="39"/>
  <c r="Y609" i="39"/>
  <c r="V391" i="39"/>
  <c r="Y391" i="39"/>
  <c r="X609" i="39"/>
  <c r="X610" i="39" s="1"/>
  <c r="F610" i="39"/>
  <c r="C609" i="39"/>
  <c r="U609" i="39" s="1"/>
  <c r="F392" i="39"/>
  <c r="C391" i="39"/>
  <c r="U391" i="39" s="1"/>
  <c r="V610" i="39" l="1"/>
  <c r="Y610" i="39"/>
  <c r="V392" i="39"/>
  <c r="Y392" i="39"/>
  <c r="X392" i="39"/>
  <c r="F611" i="39"/>
  <c r="C610" i="39"/>
  <c r="U610" i="39" s="1"/>
  <c r="F393" i="39"/>
  <c r="C392" i="39"/>
  <c r="U392" i="39" s="1"/>
  <c r="X393" i="39" l="1"/>
  <c r="V393" i="39"/>
  <c r="X394" i="39"/>
  <c r="X395" i="39" s="1"/>
  <c r="X396" i="39" s="1"/>
  <c r="X397" i="39" s="1"/>
  <c r="Y393" i="39"/>
  <c r="V611" i="39"/>
  <c r="Y611" i="39"/>
  <c r="X611" i="39"/>
  <c r="X612" i="39" s="1"/>
  <c r="F612" i="39"/>
  <c r="C611" i="39"/>
  <c r="U611" i="39" s="1"/>
  <c r="C393" i="39"/>
  <c r="U393" i="39" s="1"/>
  <c r="V612" i="39" l="1"/>
  <c r="Y612" i="39"/>
  <c r="F613" i="39"/>
  <c r="C612" i="39"/>
  <c r="U612" i="39" s="1"/>
  <c r="V613" i="39" l="1"/>
  <c r="Y613" i="39"/>
  <c r="X613" i="39"/>
  <c r="X614" i="39" s="1"/>
  <c r="F614" i="39"/>
  <c r="C613" i="39"/>
  <c r="U613" i="39" s="1"/>
  <c r="V614" i="39" l="1"/>
  <c r="Y614" i="39"/>
  <c r="F615" i="39"/>
  <c r="C614" i="39"/>
  <c r="U614" i="39" s="1"/>
  <c r="V615" i="39" l="1"/>
  <c r="Y615" i="39"/>
  <c r="X615" i="39"/>
  <c r="X616" i="39" s="1"/>
  <c r="F616" i="39"/>
  <c r="C615" i="39"/>
  <c r="U615" i="39" s="1"/>
  <c r="V616" i="39" l="1"/>
  <c r="Y616" i="39"/>
  <c r="F617" i="39"/>
  <c r="C616" i="39"/>
  <c r="U616" i="39" s="1"/>
  <c r="Y617" i="39" l="1"/>
  <c r="V617" i="39"/>
  <c r="X617" i="39"/>
  <c r="X618" i="39" s="1"/>
  <c r="F618" i="39"/>
  <c r="C617" i="39"/>
  <c r="U617" i="39" s="1"/>
  <c r="V618" i="39" l="1"/>
  <c r="X619" i="39"/>
  <c r="X620" i="39" s="1"/>
  <c r="X621" i="39" s="1"/>
  <c r="X622" i="39" s="1"/>
  <c r="X623" i="39" s="1"/>
  <c r="X624" i="39" s="1"/>
  <c r="X625" i="39" s="1"/>
  <c r="Y618" i="39"/>
  <c r="C618" i="39"/>
  <c r="U618" i="39" s="1"/>
</calcChain>
</file>

<file path=xl/sharedStrings.xml><?xml version="1.0" encoding="utf-8"?>
<sst xmlns="http://schemas.openxmlformats.org/spreadsheetml/2006/main" count="43289" uniqueCount="8723">
  <si>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</si>
  <si>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</si>
  <si>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</si>
  <si>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</si>
  <si>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</si>
  <si>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</si>
  <si>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</si>
  <si>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</si>
  <si>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</si>
  <si>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</si>
  <si>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</si>
  <si>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</si>
  <si>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</si>
  <si>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</si>
  <si>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</si>
  <si>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</si>
  <si>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</si>
  <si>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</si>
  <si>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</si>
  <si>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</si>
  <si>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</si>
  <si>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</si>
  <si>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</si>
  <si>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</si>
  <si>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</si>
  <si>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</si>
  <si>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</si>
  <si>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</si>
  <si>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</si>
  <si>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</si>
  <si>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</si>
  <si>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</si>
  <si>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</si>
  <si>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</si>
  <si>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</si>
  <si>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</si>
  <si>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</si>
  <si>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</si>
  <si>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</si>
  <si>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</si>
  <si>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</si>
  <si>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</si>
  <si>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</si>
  <si>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</si>
  <si>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</si>
  <si>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</si>
  <si>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</si>
  <si>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</si>
  <si>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</si>
  <si>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</si>
  <si>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</si>
  <si>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</si>
  <si>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</si>
  <si>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</si>
  <si>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</si>
  <si>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</si>
  <si>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</si>
  <si>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</si>
  <si>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</si>
  <si>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</si>
  <si>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</si>
  <si>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</si>
  <si>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</si>
  <si>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</si>
  <si>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</si>
  <si>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</si>
  <si>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</si>
  <si>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</si>
  <si>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</si>
  <si>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</si>
  <si>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</si>
  <si>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</si>
  <si>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</si>
  <si>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</si>
  <si>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</si>
  <si>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</si>
  <si>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</si>
  <si>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</si>
  <si>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</si>
  <si>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</si>
  <si>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</si>
  <si>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</si>
  <si>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</si>
  <si>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</si>
  <si>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</si>
  <si>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</si>
  <si>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</si>
  <si>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</si>
  <si>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</si>
  <si>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</si>
  <si>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</si>
  <si>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</si>
  <si>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</si>
  <si>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</si>
  <si>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</si>
  <si>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</si>
  <si>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</si>
  <si>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</si>
  <si>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</si>
  <si>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</si>
  <si>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</si>
  <si>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</si>
  <si>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</si>
  <si>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</si>
  <si>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</si>
  <si>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</si>
  <si>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</si>
  <si>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</si>
  <si>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</si>
  <si>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</si>
  <si>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</si>
  <si>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</si>
  <si>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</si>
  <si>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</si>
  <si>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</si>
  <si>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</si>
  <si>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</si>
  <si>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</si>
  <si>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</si>
  <si>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</si>
  <si>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</si>
  <si>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</si>
  <si>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</si>
  <si>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</si>
  <si>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</si>
  <si>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</si>
  <si>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</si>
  <si>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</si>
  <si>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</si>
  <si>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</si>
  <si>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</si>
  <si>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</si>
  <si>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</si>
  <si>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</si>
  <si>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</si>
  <si>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</si>
  <si>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</si>
  <si>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</si>
  <si>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</si>
  <si>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</si>
  <si>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</si>
  <si>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</si>
  <si>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</si>
  <si>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</si>
  <si>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</si>
  <si>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</si>
  <si>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</si>
  <si>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</si>
  <si>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</si>
  <si>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</si>
  <si>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</si>
  <si>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</si>
  <si>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</si>
  <si>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</si>
  <si>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</si>
  <si>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</si>
  <si>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</si>
  <si>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</si>
  <si>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</si>
  <si>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</si>
  <si>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</si>
  <si>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</si>
  <si>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</si>
  <si>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</si>
  <si>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</si>
  <si>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</si>
  <si>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</si>
  <si>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</si>
  <si>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</si>
  <si>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</si>
  <si>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</si>
  <si>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</si>
  <si>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</si>
  <si>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</si>
  <si>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</si>
  <si>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</si>
  <si>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</si>
  <si>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</si>
  <si>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</si>
  <si>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</si>
  <si>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</si>
  <si>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</si>
  <si>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</si>
  <si>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</si>
  <si>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</si>
  <si>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</si>
  <si>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</si>
  <si>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</si>
  <si>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</si>
  <si>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</si>
  <si>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</si>
  <si>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</si>
  <si>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</si>
  <si>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</si>
  <si>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</si>
  <si>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</si>
  <si>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</si>
  <si>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</si>
  <si>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</si>
  <si>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</si>
  <si>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</si>
  <si>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</si>
  <si>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</si>
  <si>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</si>
  <si>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</si>
  <si>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</si>
  <si>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</si>
  <si>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</si>
  <si>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</si>
  <si>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</si>
  <si>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</si>
  <si>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</si>
  <si>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</si>
  <si>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</si>
  <si>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</si>
  <si>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</si>
  <si>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</si>
  <si>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</si>
  <si>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</si>
  <si>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</si>
  <si>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</si>
  <si>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</si>
  <si>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</si>
  <si>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</si>
  <si>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</si>
  <si>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</si>
  <si>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</si>
  <si>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</si>
  <si>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</si>
  <si>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</si>
  <si>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</si>
  <si>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</si>
  <si>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</si>
  <si>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</si>
  <si>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</si>
  <si>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</si>
  <si>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</si>
  <si>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</si>
  <si>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</si>
  <si>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</si>
  <si>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</si>
  <si>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</si>
  <si>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</si>
  <si>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</si>
  <si>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</si>
  <si>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</si>
  <si>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</si>
  <si>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</si>
  <si>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</si>
  <si>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</si>
  <si>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</si>
  <si>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</si>
  <si>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</si>
  <si>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</si>
  <si>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</si>
  <si>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</si>
  <si>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</si>
  <si>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</si>
  <si>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</si>
  <si>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</si>
  <si>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</si>
  <si>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</si>
  <si>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</si>
  <si>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</si>
  <si>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</si>
  <si>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</si>
  <si>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</si>
  <si>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</si>
  <si>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</si>
  <si>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</si>
  <si>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</si>
  <si>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</si>
  <si>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</si>
  <si>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</si>
  <si>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</si>
  <si>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</si>
  <si>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</si>
  <si>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</si>
  <si>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</si>
  <si>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</si>
  <si>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</si>
  <si>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</si>
  <si>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</si>
  <si>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</si>
  <si>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</si>
  <si>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</si>
  <si>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</si>
  <si>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</si>
  <si>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</si>
  <si>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</si>
  <si>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</si>
  <si>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</si>
  <si>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</si>
  <si>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</si>
  <si>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</si>
  <si>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</si>
  <si>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</si>
  <si>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</si>
  <si>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</si>
  <si>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</si>
  <si>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</si>
  <si>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</si>
  <si>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</si>
  <si>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</si>
  <si>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</si>
  <si>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</si>
  <si>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</si>
  <si>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</si>
  <si>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</si>
  <si>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</si>
  <si>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</si>
  <si>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</si>
  <si>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</si>
  <si>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</si>
  <si>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</si>
  <si>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</si>
  <si>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</si>
  <si>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</si>
  <si>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</si>
  <si>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</si>
  <si>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</si>
  <si>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</si>
  <si>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</si>
  <si>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</si>
  <si>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</si>
  <si>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</si>
  <si>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</si>
  <si>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</si>
  <si>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</si>
  <si>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</si>
  <si>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</si>
  <si>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</si>
  <si>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</si>
  <si>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</si>
  <si>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</si>
  <si>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</si>
  <si>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</si>
  <si>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</si>
  <si>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</si>
  <si>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</si>
  <si>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</si>
  <si>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</si>
  <si>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</si>
  <si>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</si>
  <si>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</si>
  <si>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</si>
  <si>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</si>
  <si>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</si>
  <si>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</si>
  <si>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</si>
  <si>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</si>
  <si>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</si>
  <si>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</si>
  <si>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</si>
  <si>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</si>
  <si>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</si>
  <si>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</si>
  <si>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</si>
  <si>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</si>
  <si>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</si>
  <si>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</si>
  <si>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</si>
  <si>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</si>
  <si>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</si>
  <si>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</si>
  <si>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</si>
  <si>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</si>
  <si>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</si>
  <si>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</si>
  <si>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</si>
  <si>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</si>
  <si>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</si>
  <si>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</si>
  <si>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</si>
  <si>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</si>
  <si>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</si>
  <si>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</si>
  <si>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</si>
  <si>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</si>
  <si>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</si>
  <si>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</si>
  <si>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</si>
  <si>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</si>
  <si>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</si>
  <si>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</si>
  <si>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</si>
  <si>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</si>
  <si>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</si>
  <si>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</si>
  <si>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</si>
  <si>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</si>
  <si>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</si>
  <si>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</si>
  <si>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</si>
  <si>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</si>
  <si>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</si>
  <si>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</si>
  <si>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</si>
  <si>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</si>
  <si>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</si>
  <si>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</si>
  <si>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</si>
  <si>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</si>
  <si>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</si>
  <si>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</si>
  <si>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</si>
  <si>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</si>
  <si>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</si>
  <si>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</si>
  <si>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</si>
  <si>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</si>
  <si>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</si>
  <si>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</si>
  <si>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</si>
  <si>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</si>
  <si>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</si>
  <si>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</si>
  <si>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</si>
  <si>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</si>
  <si>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</si>
  <si>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</si>
  <si>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</si>
  <si>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</si>
  <si>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</si>
  <si>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</si>
  <si>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</si>
  <si>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</si>
  <si>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</si>
  <si>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</si>
  <si>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</si>
  <si>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</si>
  <si>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</si>
  <si>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</si>
  <si>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</si>
  <si>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</si>
  <si>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</si>
  <si>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</si>
  <si>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</si>
  <si>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</si>
  <si>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</si>
  <si>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</si>
  <si>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</si>
  <si>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</si>
  <si>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</si>
  <si>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</si>
  <si>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</si>
  <si>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</si>
  <si>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</si>
  <si>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</si>
  <si>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</si>
  <si>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</si>
  <si>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</si>
  <si>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</si>
  <si>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</si>
  <si>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</si>
  <si>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</si>
  <si>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</si>
  <si>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</si>
  <si>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</si>
  <si>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</si>
  <si>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</si>
  <si>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</si>
  <si>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</si>
  <si>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</si>
  <si>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</si>
  <si>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</si>
  <si>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</si>
  <si>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</si>
  <si>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</si>
  <si>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</si>
  <si>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</si>
  <si>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</si>
  <si>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</si>
  <si>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</si>
  <si>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</si>
  <si>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</si>
  <si>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</si>
  <si>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</si>
  <si>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</si>
  <si>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</si>
  <si>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</si>
  <si>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</si>
  <si>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</si>
  <si>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</si>
  <si>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</si>
  <si>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</si>
  <si>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</si>
  <si>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</si>
  <si>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</si>
  <si>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</si>
  <si>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</si>
  <si>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</si>
  <si>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</si>
  <si>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</si>
  <si>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</si>
  <si>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</si>
  <si>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</si>
  <si>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</si>
  <si>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</si>
  <si>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</si>
  <si>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</si>
  <si>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</si>
  <si>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</si>
  <si>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</si>
  <si>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</si>
  <si>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</si>
  <si>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</si>
  <si>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</si>
  <si>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</si>
  <si>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</si>
  <si>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</si>
  <si>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</si>
  <si>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</si>
  <si>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</si>
  <si>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</si>
  <si>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</si>
  <si>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</si>
  <si>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</si>
  <si>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</si>
  <si>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</si>
  <si>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</si>
  <si>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</si>
  <si>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</si>
  <si>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</si>
  <si>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</si>
  <si>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</si>
  <si>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</si>
  <si>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</si>
  <si>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</si>
  <si>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</si>
  <si>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</si>
  <si>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</si>
  <si>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</si>
  <si>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</si>
  <si>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</si>
  <si>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</si>
  <si>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</si>
  <si>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</si>
  <si>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</si>
  <si>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</si>
  <si>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</si>
  <si>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</si>
  <si>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</si>
  <si>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</si>
  <si>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</si>
  <si>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</si>
  <si>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</si>
  <si>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</si>
  <si>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</si>
  <si>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</si>
  <si>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</si>
  <si>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</si>
  <si>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</si>
  <si>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</si>
  <si>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</si>
  <si>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</si>
  <si>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</si>
  <si>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</si>
  <si>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</si>
  <si>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</si>
  <si>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</si>
  <si>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</si>
  <si>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</si>
  <si>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</si>
  <si>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</si>
  <si>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</si>
  <si>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</si>
  <si>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</si>
  <si>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</si>
  <si>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</si>
  <si>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</si>
  <si>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</si>
  <si>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</si>
  <si>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</si>
  <si>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</si>
  <si>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</si>
  <si>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</si>
  <si>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</si>
  <si>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</si>
  <si>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</si>
  <si>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</si>
  <si>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</si>
  <si>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</si>
  <si>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</si>
  <si>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</si>
  <si>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</si>
  <si>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</si>
  <si>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</si>
  <si>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</si>
  <si>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</si>
  <si>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</si>
  <si>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</si>
  <si>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</si>
  <si>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</si>
  <si>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</si>
  <si>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</si>
  <si>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</si>
  <si>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</si>
  <si>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</si>
  <si>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</si>
  <si>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</si>
  <si>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</si>
  <si>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</si>
  <si>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</si>
  <si>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</si>
  <si>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</si>
  <si>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</si>
  <si>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</si>
  <si>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</si>
  <si>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</si>
  <si>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</si>
  <si>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</si>
  <si>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</si>
  <si>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</si>
  <si>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</si>
  <si>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</si>
  <si>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</si>
  <si>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</si>
  <si>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</si>
  <si>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</si>
  <si>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</si>
  <si>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</si>
  <si>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</si>
  <si>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</si>
  <si>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</si>
  <si>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</si>
  <si>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</si>
  <si>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</si>
  <si>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</si>
  <si>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</si>
  <si>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</si>
  <si>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</si>
  <si>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</si>
  <si>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</si>
  <si>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</si>
  <si>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</si>
  <si>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</si>
  <si>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</si>
  <si>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</si>
  <si>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</si>
  <si>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</si>
  <si>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</si>
  <si>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</si>
  <si>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</si>
  <si>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</si>
  <si>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</si>
  <si>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</si>
  <si>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</si>
  <si>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</si>
  <si>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</si>
  <si>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</si>
  <si>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</si>
  <si>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</si>
  <si>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</si>
  <si>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</si>
  <si>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</si>
  <si>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</si>
  <si>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</si>
  <si>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</si>
  <si>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</si>
  <si>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</si>
  <si>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</si>
  <si>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</si>
  <si>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</si>
  <si>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</si>
  <si>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</si>
  <si>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</si>
  <si>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</si>
  <si>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</si>
  <si>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</si>
  <si>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</si>
  <si>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</si>
  <si>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</si>
  <si>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</si>
  <si>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</si>
  <si>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</si>
  <si>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</si>
  <si>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</si>
  <si>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</si>
  <si>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</si>
  <si>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</si>
  <si>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</si>
  <si>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</si>
  <si>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</si>
  <si>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</si>
  <si>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</si>
  <si>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</si>
  <si>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</si>
  <si>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</si>
  <si>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</si>
  <si>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</si>
  <si>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</si>
  <si>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</si>
  <si>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</si>
  <si>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</si>
  <si>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</si>
  <si>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</si>
  <si>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</si>
  <si>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</si>
  <si>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</si>
  <si>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</si>
  <si>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</si>
  <si>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</si>
  <si>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</si>
  <si>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</si>
  <si>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</si>
  <si>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</si>
  <si>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</si>
  <si>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</si>
  <si>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</si>
  <si>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</si>
  <si>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</si>
  <si>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</si>
  <si>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</si>
  <si>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</si>
  <si>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</si>
  <si>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</si>
  <si>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</si>
  <si>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</si>
  <si>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</si>
  <si>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</si>
  <si>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</si>
  <si>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</si>
  <si>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</si>
  <si>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</si>
  <si>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</si>
  <si>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</si>
  <si>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</si>
  <si>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</si>
  <si>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</si>
  <si>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</si>
  <si>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</si>
  <si>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</si>
  <si>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</si>
  <si>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</si>
  <si>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</si>
  <si>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</si>
  <si>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</si>
  <si>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</si>
  <si>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</si>
  <si>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</si>
  <si>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</si>
  <si>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</si>
  <si>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</si>
  <si>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</si>
  <si>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</si>
  <si>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</si>
  <si>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</si>
  <si>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</si>
  <si>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</si>
  <si>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</si>
  <si>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</si>
  <si>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</si>
  <si>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</si>
  <si>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</si>
  <si>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</si>
  <si>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</si>
  <si>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</si>
  <si>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</si>
  <si>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</si>
  <si>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</si>
  <si>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</si>
  <si>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</si>
  <si>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</si>
  <si>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</si>
  <si>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</si>
  <si>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</si>
  <si>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</si>
  <si>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</si>
  <si>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</si>
  <si>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</si>
  <si>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</si>
  <si>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</si>
  <si>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</si>
  <si>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</si>
  <si>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</si>
  <si>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</si>
  <si>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</si>
  <si>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</si>
  <si>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</si>
  <si>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</si>
  <si>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</si>
  <si>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</si>
  <si>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</si>
  <si>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</si>
  <si>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</si>
  <si>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</si>
  <si>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</si>
  <si>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</si>
  <si>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</si>
  <si>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</si>
  <si>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</si>
  <si>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</si>
  <si>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</si>
  <si>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</si>
  <si>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</si>
  <si>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</si>
  <si>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</si>
  <si>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</si>
  <si>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</si>
  <si>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</si>
  <si>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</si>
  <si>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</si>
  <si>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</si>
  <si>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</si>
  <si>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</si>
  <si>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</si>
  <si>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</si>
  <si>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</si>
  <si>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</si>
  <si>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</si>
  <si>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</si>
  <si>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</si>
  <si>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</si>
  <si>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</si>
  <si>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</si>
  <si>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</si>
  <si>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</si>
  <si>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</si>
  <si>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</si>
  <si>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</si>
  <si>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</si>
  <si>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</si>
  <si>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</si>
  <si>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</si>
  <si>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</si>
  <si>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</si>
  <si>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</si>
  <si>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</si>
  <si>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</si>
  <si>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</si>
  <si>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</si>
  <si>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</si>
  <si>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</si>
  <si>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</si>
  <si>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</si>
  <si>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</si>
  <si>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</si>
  <si>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</si>
  <si>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</si>
  <si>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</si>
  <si>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</si>
  <si>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</si>
  <si>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</si>
  <si>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</si>
  <si>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</si>
  <si>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</si>
  <si>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</si>
  <si>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</si>
  <si>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</si>
  <si>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</si>
  <si>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</si>
  <si>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</si>
  <si>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</si>
  <si>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</si>
  <si>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</si>
  <si>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</si>
  <si>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</si>
  <si>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</si>
  <si>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</si>
  <si>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</si>
  <si>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</si>
  <si>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</si>
  <si>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</si>
  <si>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</si>
  <si>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</si>
  <si>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</si>
  <si>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</si>
  <si>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</si>
  <si>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</si>
  <si>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</si>
  <si>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</si>
  <si>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</si>
  <si>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</si>
  <si>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</si>
  <si>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</si>
  <si>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</si>
  <si>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</si>
  <si>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</si>
  <si>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</si>
  <si>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</si>
  <si>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</si>
  <si>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</si>
  <si>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</si>
  <si>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</si>
  <si>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</si>
  <si>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</si>
  <si>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</si>
  <si>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</si>
  <si>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</si>
  <si>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</si>
  <si>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</si>
  <si>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</si>
  <si>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</si>
  <si>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</si>
  <si>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</si>
  <si>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</si>
  <si>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</si>
  <si>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</si>
  <si>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</si>
  <si>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</si>
  <si>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</si>
  <si>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</si>
  <si>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</si>
  <si>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</si>
  <si>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</si>
  <si>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</si>
  <si>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</si>
  <si>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</si>
  <si>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</si>
  <si>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</si>
  <si>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</si>
  <si>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</si>
  <si>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</si>
  <si>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</si>
  <si>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</si>
  <si>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</si>
  <si>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</si>
  <si>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</si>
  <si>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</si>
  <si>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</si>
  <si>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</si>
  <si>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</si>
  <si>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</si>
  <si>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</si>
  <si>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</si>
  <si>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</si>
  <si>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</si>
  <si>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</si>
  <si>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</si>
  <si>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</si>
  <si>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</si>
  <si>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</si>
  <si>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</si>
  <si>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</si>
  <si>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</si>
  <si>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</si>
  <si>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</si>
  <si>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</si>
  <si>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</si>
  <si>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</si>
  <si>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</si>
  <si>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</si>
  <si>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</si>
  <si>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</si>
  <si>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</si>
  <si>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</si>
  <si>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</si>
  <si>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</si>
  <si>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</si>
  <si>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</si>
  <si>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</si>
  <si>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</si>
  <si>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</si>
  <si>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</si>
  <si>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</si>
  <si>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</si>
  <si>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</si>
  <si>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</si>
  <si>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</si>
  <si>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</si>
  <si>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</si>
  <si>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</si>
  <si>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</si>
  <si>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</si>
  <si>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</si>
  <si>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</si>
  <si>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</si>
  <si>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</si>
  <si>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</si>
  <si>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</si>
  <si>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</si>
  <si>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</si>
  <si>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</si>
  <si>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</si>
  <si>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</si>
  <si>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</si>
  <si>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</si>
  <si>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</si>
  <si>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</si>
  <si>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</si>
  <si>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</si>
  <si>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</si>
  <si>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</si>
  <si>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</si>
  <si>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</si>
  <si>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</si>
  <si>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</si>
  <si>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</si>
  <si>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</si>
  <si>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</si>
  <si>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</si>
  <si>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</si>
  <si>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</si>
  <si>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</si>
  <si>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</si>
  <si>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</si>
  <si>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</si>
  <si>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</si>
  <si>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</si>
  <si>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</si>
  <si>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</si>
  <si>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</si>
  <si>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</si>
  <si>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</si>
  <si>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</si>
  <si>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</si>
  <si>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</si>
  <si>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</si>
  <si>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</si>
  <si>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</si>
  <si>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</si>
  <si>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</si>
  <si>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</si>
  <si>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</si>
  <si>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</si>
  <si>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</si>
  <si>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</si>
  <si>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</si>
  <si>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</si>
  <si>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</si>
  <si>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</si>
  <si>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</si>
  <si>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</si>
  <si>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</si>
  <si>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</si>
  <si>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</si>
  <si>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</si>
  <si>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</si>
  <si>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</si>
  <si>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</si>
  <si>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</si>
  <si>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</si>
  <si>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</si>
  <si>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</si>
  <si>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</si>
  <si>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</si>
  <si>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</si>
  <si>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</si>
  <si>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</si>
  <si>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</si>
  <si>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</si>
  <si>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</si>
  <si>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</si>
  <si>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</si>
  <si>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</si>
  <si>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</si>
  <si>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</si>
  <si>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</si>
  <si>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</si>
  <si>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</si>
  <si>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</si>
  <si>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</si>
  <si>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</si>
  <si>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</si>
  <si>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</si>
  <si>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</si>
  <si>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</si>
  <si>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</si>
  <si>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</si>
  <si>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</si>
  <si>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</si>
  <si>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</si>
  <si>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</si>
  <si>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</si>
  <si>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</si>
  <si>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</si>
  <si>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</si>
  <si>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</si>
  <si>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</si>
  <si>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</si>
  <si>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</si>
  <si>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</si>
  <si>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</si>
  <si>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</si>
  <si>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</si>
  <si>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</si>
  <si>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</si>
  <si>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</si>
  <si>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</si>
  <si>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</si>
  <si>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</si>
  <si>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</si>
  <si>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</si>
  <si>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</si>
  <si>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</si>
  <si>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</si>
  <si>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</si>
  <si>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</si>
  <si>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</si>
  <si>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</si>
  <si>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</si>
  <si>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</si>
  <si>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</si>
  <si>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</si>
  <si>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</si>
  <si>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</si>
  <si>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</si>
  <si>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</si>
  <si>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</si>
  <si>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</si>
  <si>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</si>
  <si>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</si>
  <si>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</si>
  <si>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</si>
  <si>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</si>
  <si>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</si>
  <si>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</si>
  <si>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</si>
  <si>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</si>
  <si>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</si>
  <si>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</si>
  <si>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</si>
  <si>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</si>
  <si>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</si>
  <si>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</si>
  <si>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</si>
  <si>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</si>
  <si>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</si>
  <si>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</si>
  <si>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</si>
  <si>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</si>
  <si>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</si>
  <si>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</si>
  <si>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</si>
  <si>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</si>
  <si>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</si>
  <si>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</si>
  <si>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</si>
  <si>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</si>
  <si>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</si>
  <si>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</si>
  <si>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</si>
  <si>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</si>
  <si>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</si>
  <si>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</si>
  <si>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</si>
  <si>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</si>
  <si>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</si>
  <si>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</si>
  <si>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</si>
  <si>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</si>
  <si>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</si>
  <si>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</si>
  <si>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</si>
  <si>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</si>
  <si>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</si>
  <si>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</si>
  <si>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</si>
  <si>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</si>
  <si>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</si>
  <si>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</si>
  <si>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</si>
  <si>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</si>
  <si>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</si>
  <si>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</si>
  <si>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</si>
  <si>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</si>
  <si>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</si>
  <si>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</si>
  <si>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</si>
  <si>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</si>
  <si>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</si>
  <si>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</si>
  <si>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</si>
  <si>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</si>
  <si>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</si>
  <si>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</si>
  <si>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</si>
  <si>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</si>
  <si>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</si>
  <si>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</si>
  <si>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</si>
  <si>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</si>
  <si>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</si>
  <si>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</si>
  <si>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</si>
  <si>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</si>
  <si>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</si>
  <si>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</si>
  <si>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</si>
  <si>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</si>
  <si>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</si>
  <si>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</si>
  <si>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</si>
  <si>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</si>
  <si>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</si>
  <si>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</si>
  <si>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</si>
  <si>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</si>
  <si>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</si>
  <si>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</si>
  <si>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</si>
  <si>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</si>
  <si>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</si>
  <si>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</si>
  <si>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</si>
  <si>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</si>
  <si>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</si>
  <si>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</si>
  <si>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</si>
  <si>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</si>
  <si>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</si>
  <si>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</si>
  <si>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</si>
  <si>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</si>
  <si>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</si>
  <si>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</si>
  <si>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</si>
  <si>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</si>
  <si>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</si>
  <si>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</si>
  <si>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</si>
  <si>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</si>
  <si>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</si>
  <si>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</si>
  <si>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</si>
  <si>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</si>
  <si>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</si>
  <si>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</si>
  <si>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</si>
  <si>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</si>
  <si>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</si>
  <si>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</si>
  <si>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</si>
  <si>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</si>
  <si>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</si>
  <si>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</si>
  <si>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</si>
  <si>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</si>
  <si>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</si>
  <si>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</si>
  <si>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</si>
  <si>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</si>
  <si>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</si>
  <si>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</si>
  <si>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</si>
  <si>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</si>
  <si>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</si>
  <si>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</si>
  <si>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</si>
  <si>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</si>
  <si>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</si>
  <si>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</si>
  <si>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</si>
  <si>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</si>
  <si>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</si>
  <si>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</si>
  <si>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</si>
  <si>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</si>
  <si>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</si>
  <si>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</si>
  <si>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</si>
  <si>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</si>
  <si>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</si>
  <si>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</si>
  <si>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</si>
  <si>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</si>
  <si>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</si>
  <si>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</si>
  <si>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</si>
  <si>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</si>
  <si>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</si>
  <si>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</si>
  <si>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</si>
  <si>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</si>
  <si>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</si>
  <si>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</si>
  <si>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</si>
  <si>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</si>
  <si>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</si>
  <si>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</si>
  <si>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</si>
  <si>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</si>
  <si>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</si>
  <si>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</si>
  <si>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</si>
  <si>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</si>
  <si>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</si>
  <si>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</si>
  <si>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</si>
  <si>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</si>
  <si>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</si>
  <si>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</si>
  <si>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</si>
  <si>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</si>
  <si>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</si>
  <si>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</si>
  <si>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</si>
  <si>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</si>
  <si>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</si>
  <si>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</si>
  <si>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</si>
  <si>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</si>
  <si>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</si>
  <si>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</si>
  <si>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</si>
  <si>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</si>
  <si>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</si>
  <si>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</si>
  <si>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</si>
  <si>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</si>
  <si>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</si>
  <si>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</si>
  <si>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</si>
  <si>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</si>
  <si>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</si>
  <si>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</si>
  <si>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</si>
  <si>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</si>
  <si>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</si>
  <si>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</si>
  <si>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</si>
  <si>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</si>
  <si>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</si>
  <si>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</si>
  <si>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</si>
  <si>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</si>
  <si>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</si>
  <si>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</si>
  <si>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</si>
  <si>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</si>
  <si>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</si>
  <si>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</si>
  <si>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</si>
  <si>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</si>
  <si>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</si>
  <si>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</si>
  <si>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</si>
  <si>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</si>
  <si>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</si>
  <si>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</si>
  <si>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</si>
  <si>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</si>
  <si>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</si>
  <si>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</si>
  <si>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</si>
  <si>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</si>
  <si>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</si>
  <si>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</si>
  <si>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</si>
  <si>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</si>
  <si>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</si>
  <si>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</si>
  <si>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</si>
  <si>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</si>
  <si>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</si>
  <si>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</si>
  <si>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</si>
  <si>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</si>
  <si>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</si>
  <si>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</si>
  <si>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</si>
  <si>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</si>
  <si>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</si>
  <si>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</si>
  <si>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</si>
  <si>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</si>
  <si>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</si>
  <si>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</si>
  <si>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</si>
  <si>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</si>
  <si>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</si>
  <si>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</si>
  <si>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</si>
  <si>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</si>
  <si>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</si>
  <si>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</si>
  <si>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</si>
  <si>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</si>
  <si>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</si>
  <si>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</si>
  <si>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</si>
  <si>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</si>
  <si>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</si>
  <si>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</si>
  <si>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</si>
  <si>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</si>
  <si>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</si>
  <si>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</si>
  <si>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</si>
  <si>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</si>
  <si>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</si>
  <si>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</si>
  <si>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</si>
  <si>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</si>
  <si>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</si>
  <si>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</si>
  <si>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</si>
  <si>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</si>
  <si>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</si>
  <si>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</si>
  <si>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</si>
  <si>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</si>
  <si>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</si>
  <si>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</si>
  <si>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</si>
  <si>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</si>
  <si>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</si>
  <si>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</si>
  <si>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</si>
  <si>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</si>
  <si>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</si>
  <si>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</si>
  <si>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</si>
  <si>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</si>
  <si>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</si>
  <si>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</si>
  <si>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</si>
  <si>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</si>
  <si>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</si>
  <si>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</si>
  <si>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</si>
  <si>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</si>
  <si>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</si>
  <si>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</si>
  <si>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</si>
  <si>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</si>
  <si>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</si>
  <si>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</si>
  <si>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</si>
  <si>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</si>
  <si>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</si>
  <si>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</si>
  <si>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</si>
  <si>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</si>
  <si>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</si>
  <si>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</si>
  <si>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</si>
  <si>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</si>
  <si>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</si>
  <si>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</si>
  <si>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</si>
  <si>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</si>
  <si>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</si>
  <si>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</si>
  <si>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</si>
  <si>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</si>
  <si>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</si>
  <si>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</si>
  <si>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</si>
  <si>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</si>
  <si>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</si>
  <si>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</si>
  <si>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</si>
  <si>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</si>
  <si>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</si>
  <si>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</si>
  <si>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</si>
  <si>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</si>
  <si>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</si>
  <si>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</si>
  <si>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</si>
  <si>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</si>
  <si>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</si>
  <si>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</si>
  <si>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</si>
  <si>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</si>
  <si>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</si>
  <si>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</si>
  <si>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</si>
  <si>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</si>
  <si>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</si>
  <si>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</si>
  <si>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</si>
  <si>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</si>
  <si>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</si>
  <si>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</si>
  <si>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</si>
  <si>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</si>
  <si>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</si>
  <si>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</si>
  <si>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</si>
  <si>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</si>
  <si>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</si>
  <si>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</si>
  <si>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</si>
  <si>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</si>
  <si>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</si>
  <si>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</si>
  <si>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</si>
  <si>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</si>
  <si>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</si>
  <si>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</si>
  <si>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</si>
  <si>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</si>
  <si>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</si>
  <si>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</si>
  <si>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</si>
  <si>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</si>
  <si>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</si>
  <si>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</si>
  <si>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</si>
  <si>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</si>
  <si>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</si>
  <si>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</si>
  <si>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</si>
  <si>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</si>
  <si>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</si>
  <si>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</si>
  <si>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</si>
  <si>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</si>
  <si>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</si>
  <si>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</si>
  <si>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</si>
  <si>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</si>
  <si>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</si>
  <si>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</si>
  <si>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</si>
  <si>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</si>
  <si>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</si>
  <si>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</si>
  <si>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</si>
  <si>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</si>
  <si>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</si>
  <si>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</si>
  <si>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</si>
  <si>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</si>
  <si>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</si>
  <si>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</si>
  <si>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</si>
  <si>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</si>
  <si>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</si>
  <si>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</si>
  <si>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</si>
  <si>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</si>
  <si>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</si>
  <si>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</si>
  <si>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</si>
  <si>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</si>
  <si>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</si>
  <si>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</si>
  <si>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</si>
  <si>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</si>
  <si>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</si>
  <si>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</si>
  <si>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</si>
  <si>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</si>
  <si>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</si>
  <si>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</si>
  <si>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</si>
  <si>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</si>
  <si>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</si>
  <si>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</si>
  <si>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</si>
  <si>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</si>
  <si>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</si>
  <si>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</si>
  <si>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</si>
  <si>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</si>
  <si>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</si>
  <si>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</si>
  <si>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</si>
  <si>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</si>
  <si>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</si>
  <si>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</si>
  <si>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</si>
  <si>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</si>
  <si>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</si>
  <si>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</si>
  <si>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</si>
  <si>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</si>
  <si>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</si>
  <si>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</si>
  <si>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</si>
  <si>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</si>
  <si>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</si>
  <si>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</si>
  <si>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</si>
  <si>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</si>
  <si>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</si>
  <si>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</si>
  <si>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</si>
  <si>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</si>
  <si>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</si>
  <si>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</si>
  <si>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</si>
  <si>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</si>
  <si>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</si>
  <si>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</si>
  <si>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</si>
  <si>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</si>
  <si>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</si>
  <si>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</si>
  <si>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</si>
  <si>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</si>
  <si>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</si>
  <si>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</si>
  <si>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</si>
  <si>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</si>
  <si>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</si>
  <si>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</si>
  <si>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</si>
  <si>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</si>
  <si>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</si>
  <si>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</si>
  <si>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</si>
  <si>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</si>
  <si>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</si>
  <si>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</si>
  <si>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</si>
  <si>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</si>
  <si>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</si>
  <si>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</si>
  <si>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</si>
  <si>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</si>
  <si>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</si>
  <si>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</si>
  <si>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</si>
  <si>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</si>
  <si>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</si>
  <si>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</si>
  <si>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</si>
  <si>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</si>
  <si>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</si>
  <si>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</si>
  <si>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</si>
  <si>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</si>
  <si>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</si>
  <si>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</si>
  <si>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</si>
  <si>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</si>
  <si>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</si>
  <si>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</si>
  <si>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</si>
  <si>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</si>
  <si>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</si>
  <si>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</si>
  <si>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</si>
  <si>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</si>
  <si>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</si>
  <si>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</si>
  <si>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</si>
  <si>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</si>
  <si>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</si>
  <si>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</si>
  <si>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</si>
  <si>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</si>
  <si>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</si>
  <si>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</si>
  <si>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</si>
  <si>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</si>
  <si>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</si>
  <si>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</si>
  <si>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</si>
  <si>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</si>
  <si>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</si>
  <si>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</si>
  <si>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</si>
  <si>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</si>
  <si>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</si>
  <si>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</si>
  <si>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</si>
  <si>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</si>
  <si>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</si>
  <si>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</si>
  <si>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</si>
  <si>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</si>
  <si>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</si>
  <si>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</si>
  <si>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</si>
  <si>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</si>
  <si>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</si>
  <si>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</si>
  <si>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</si>
  <si>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</si>
  <si>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</si>
  <si>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</si>
  <si>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</si>
  <si>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</si>
  <si>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</si>
  <si>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</si>
  <si>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</si>
  <si>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</si>
  <si>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</si>
  <si>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</si>
  <si>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</si>
  <si>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</si>
  <si>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</si>
  <si>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</si>
  <si>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</si>
  <si>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</si>
  <si>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</si>
  <si>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</si>
  <si>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</si>
  <si>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</si>
  <si>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</si>
  <si>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</si>
  <si>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</si>
  <si>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</si>
  <si>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</si>
  <si>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</si>
  <si>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</si>
  <si>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</si>
  <si>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</si>
  <si>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</si>
  <si>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</si>
  <si>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</si>
  <si>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</si>
  <si>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</si>
  <si>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</si>
  <si>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</si>
  <si>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</si>
  <si>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</si>
  <si>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</si>
  <si>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</si>
  <si>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</si>
  <si>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</si>
  <si>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</si>
  <si>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</si>
  <si>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</si>
  <si>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</si>
  <si>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</si>
  <si>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</si>
  <si>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</si>
  <si>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</si>
  <si>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</si>
  <si>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</si>
  <si>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</si>
  <si>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</si>
  <si>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</si>
  <si>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</si>
  <si>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</si>
  <si>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</si>
  <si>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</si>
  <si>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</si>
  <si>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</si>
  <si>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</si>
  <si>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</si>
  <si>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</si>
  <si>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</si>
  <si>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</si>
  <si>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</si>
  <si>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</si>
  <si>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</si>
  <si>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</si>
  <si>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</si>
  <si>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</si>
  <si>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</si>
  <si>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</si>
  <si>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</si>
  <si>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</si>
  <si>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</si>
  <si>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</si>
  <si>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</si>
  <si>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</si>
  <si>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</si>
  <si>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</si>
  <si>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</si>
  <si>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</si>
  <si>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</si>
  <si>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</si>
  <si>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</si>
  <si>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</si>
  <si>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</si>
  <si>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</si>
  <si>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</si>
  <si>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</si>
  <si>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</si>
  <si>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</si>
  <si>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</si>
  <si>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</si>
  <si>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</si>
  <si>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</si>
  <si>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</si>
  <si>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</si>
  <si>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</si>
  <si>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</si>
  <si>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</si>
  <si>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</si>
  <si>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</si>
  <si>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</si>
  <si>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</si>
  <si>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</si>
  <si>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</si>
  <si>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</si>
  <si>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</si>
  <si>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</si>
  <si>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</si>
  <si>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</si>
  <si>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</si>
  <si>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</si>
  <si>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</si>
  <si>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</si>
  <si>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</si>
  <si>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</si>
  <si>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</si>
  <si>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</si>
  <si>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</si>
  <si>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</si>
  <si>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</si>
  <si>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</si>
  <si>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</si>
  <si>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</si>
  <si>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</si>
  <si>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</si>
  <si>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</si>
  <si>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</si>
  <si>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</si>
  <si>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</si>
  <si>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</si>
  <si>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</si>
  <si>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</si>
  <si>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</si>
  <si>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</si>
  <si>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</si>
  <si>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</si>
  <si>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</si>
  <si>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</si>
  <si>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</si>
  <si>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</si>
  <si>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</si>
  <si>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</si>
  <si>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</si>
  <si>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</si>
  <si>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</si>
  <si>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</si>
  <si>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</si>
  <si>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</si>
  <si>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</si>
  <si>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</si>
  <si>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</si>
  <si>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</si>
  <si>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</si>
  <si>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</si>
  <si>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</si>
  <si>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</si>
  <si>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</si>
  <si>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</si>
  <si>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</si>
  <si>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</si>
  <si>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</si>
  <si>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</si>
  <si>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</si>
  <si>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</si>
  <si>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</si>
  <si>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</si>
  <si>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</si>
  <si>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</si>
  <si>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</si>
  <si>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</si>
  <si>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</si>
  <si>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</si>
  <si>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</si>
  <si>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</si>
  <si>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</si>
  <si>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</si>
  <si>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</si>
  <si>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</si>
  <si>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</si>
  <si>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</si>
  <si>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</si>
  <si>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</si>
  <si>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</si>
  <si>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</si>
  <si>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</si>
  <si>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</si>
  <si>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</si>
  <si>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</si>
  <si>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</si>
  <si>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</si>
  <si>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</si>
  <si>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</si>
  <si>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</si>
  <si>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</si>
  <si>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</si>
  <si>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</si>
  <si>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</si>
  <si>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</si>
  <si>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</si>
  <si>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</si>
  <si>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</si>
  <si>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</si>
  <si>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</si>
  <si>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</si>
  <si>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</si>
  <si>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</si>
  <si>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</si>
  <si>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</si>
  <si>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</si>
  <si>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</si>
  <si>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</si>
  <si>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</si>
  <si>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</si>
  <si>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</si>
  <si>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</si>
  <si>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</si>
  <si>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</si>
  <si>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</si>
  <si>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</si>
  <si>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</si>
  <si>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</si>
  <si>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</si>
  <si>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</si>
  <si>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</si>
  <si>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</si>
  <si>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</si>
  <si>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</si>
  <si>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</si>
  <si>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</si>
  <si>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</si>
  <si>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</si>
  <si>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</si>
  <si>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</si>
  <si>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</si>
  <si>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</si>
  <si>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</si>
  <si>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</si>
  <si>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</si>
  <si>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</si>
  <si>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</si>
  <si>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</si>
  <si>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</si>
  <si>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</si>
  <si>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</si>
  <si>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</si>
  <si>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</si>
  <si>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</si>
  <si>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</si>
  <si>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</si>
  <si>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</si>
  <si>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</si>
  <si>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</si>
  <si>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</si>
  <si>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</si>
  <si>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</si>
  <si>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</si>
  <si>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</si>
  <si>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</si>
  <si>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</si>
  <si>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</si>
  <si>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</si>
  <si>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</si>
  <si>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</si>
  <si>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</si>
  <si>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</si>
  <si>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</si>
  <si>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</si>
  <si>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</si>
  <si>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</si>
  <si>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</si>
  <si>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</si>
  <si>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</si>
  <si>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</si>
  <si>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</si>
  <si>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</si>
  <si>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</si>
  <si>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</si>
  <si>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</si>
  <si>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</si>
  <si>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</si>
  <si>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</si>
  <si>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</si>
  <si>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</si>
  <si>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</si>
  <si>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</si>
  <si>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</si>
  <si>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</si>
  <si>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</si>
  <si>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</si>
  <si>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</si>
  <si>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</si>
  <si>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</si>
  <si>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</si>
  <si>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</si>
  <si>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</si>
  <si>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</si>
  <si>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</si>
  <si>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</si>
  <si>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</si>
  <si>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</si>
  <si>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</si>
  <si>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</si>
  <si>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</si>
  <si>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</si>
  <si>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</si>
  <si>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</si>
  <si>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</si>
  <si>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</si>
  <si>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</si>
  <si>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</si>
  <si>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</si>
  <si>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</si>
  <si>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</si>
  <si>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</si>
  <si>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</si>
  <si>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</si>
  <si>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</si>
  <si>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</si>
  <si>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</si>
  <si>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</si>
  <si>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</si>
  <si>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</si>
  <si>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</si>
  <si>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</si>
  <si>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</si>
  <si>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</si>
  <si>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</si>
  <si>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</si>
  <si>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</si>
  <si>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</si>
  <si>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</si>
  <si>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</si>
  <si>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</si>
  <si>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</si>
  <si>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</si>
  <si>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</si>
  <si>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</si>
  <si>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</si>
  <si>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</si>
  <si>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</si>
  <si>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</si>
  <si>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</si>
  <si>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</si>
  <si>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</si>
  <si>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</si>
  <si>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</si>
  <si>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</si>
  <si>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</si>
  <si>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</si>
  <si>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</si>
  <si>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</si>
  <si>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</si>
  <si>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</si>
  <si>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</si>
  <si>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</si>
  <si>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</si>
  <si>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</si>
  <si>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</si>
  <si>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</si>
  <si>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</si>
  <si>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</si>
  <si>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</si>
  <si>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</si>
  <si>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</si>
  <si>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</si>
  <si>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</si>
  <si>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</si>
  <si>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</si>
  <si>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</si>
  <si>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</si>
  <si>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</si>
  <si>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</si>
  <si>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</si>
  <si>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</si>
  <si>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</si>
  <si>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</si>
  <si>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</si>
  <si>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</si>
  <si>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</si>
  <si>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</si>
  <si>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</si>
  <si>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</si>
  <si>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</si>
  <si>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</si>
  <si>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</si>
  <si>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</si>
  <si>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</si>
  <si>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</si>
  <si>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</si>
  <si>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</si>
  <si>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</si>
  <si>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</si>
  <si>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</si>
  <si>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</si>
  <si>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</si>
  <si>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</si>
  <si>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</si>
  <si>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</si>
  <si>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</si>
  <si>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</si>
  <si>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</si>
  <si>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</si>
  <si>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</si>
  <si>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</si>
  <si>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</si>
  <si>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</si>
  <si>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</si>
  <si>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</si>
  <si>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</si>
  <si>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</si>
  <si>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</si>
  <si>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</si>
  <si>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</si>
  <si>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</si>
  <si>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</si>
  <si>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</si>
  <si>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</si>
  <si>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</si>
  <si>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</si>
  <si>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</si>
  <si>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</si>
  <si>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</si>
  <si>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</si>
  <si>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</si>
  <si>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</si>
  <si>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</si>
  <si>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</si>
  <si>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</si>
  <si>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</si>
  <si>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</si>
  <si>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</si>
  <si>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</si>
  <si>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</si>
  <si>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</si>
  <si>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</si>
  <si>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</si>
  <si>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</si>
  <si>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</si>
  <si>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</si>
  <si>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</si>
  <si>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</si>
  <si>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</si>
  <si>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</si>
  <si>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</si>
  <si>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</si>
  <si>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</si>
  <si>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</si>
  <si>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</si>
  <si>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</si>
  <si>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</si>
  <si>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</si>
  <si>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</si>
  <si>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</si>
  <si>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</si>
  <si>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</si>
  <si>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</si>
  <si>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</si>
  <si>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</si>
  <si>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</si>
  <si>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</si>
  <si>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</si>
  <si>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</si>
  <si>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</si>
  <si>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</si>
  <si>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</si>
  <si>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</si>
  <si>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</si>
  <si>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</si>
  <si>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</si>
  <si>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</si>
  <si>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</si>
  <si>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</si>
  <si>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</si>
  <si>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</si>
  <si>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</si>
  <si>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</si>
  <si>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</si>
  <si>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</si>
  <si>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</si>
  <si>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</si>
  <si>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</si>
  <si>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</si>
  <si>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</si>
  <si>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</si>
  <si>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</si>
  <si>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</si>
  <si>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</si>
  <si>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</si>
  <si>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</si>
  <si>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</si>
  <si>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</si>
  <si>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</si>
  <si>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</si>
  <si>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</si>
  <si>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</si>
  <si>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</si>
  <si>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</si>
  <si>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</si>
  <si>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</si>
  <si>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</si>
  <si>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</si>
  <si>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</si>
  <si>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</si>
  <si>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</si>
  <si>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</si>
  <si>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</si>
  <si>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</si>
  <si>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</si>
  <si>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</si>
  <si>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</si>
  <si>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</si>
  <si>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</si>
  <si>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</si>
  <si>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</si>
  <si>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</si>
  <si>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</si>
  <si>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</si>
  <si>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</si>
  <si>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</si>
  <si>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</si>
  <si>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</si>
  <si>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</si>
  <si>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</si>
  <si>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</si>
  <si>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</si>
  <si>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</si>
  <si>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</si>
  <si>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</si>
  <si>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</si>
  <si>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</si>
  <si>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</si>
  <si>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</si>
  <si>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</si>
  <si>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</si>
  <si>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</si>
  <si>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</si>
  <si>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</si>
  <si>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</si>
  <si>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</si>
  <si>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</si>
  <si>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</si>
  <si>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</si>
  <si>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</si>
  <si>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</si>
  <si>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</si>
  <si>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</si>
  <si>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</si>
  <si>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</si>
  <si>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</si>
  <si>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</si>
  <si>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</si>
  <si>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</si>
  <si>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</si>
  <si>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</si>
  <si>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</si>
  <si>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</si>
  <si>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</si>
  <si>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</si>
  <si>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</si>
  <si>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</si>
  <si>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</si>
  <si>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</si>
  <si>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</si>
  <si>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</si>
  <si>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</si>
  <si>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</si>
  <si>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</si>
  <si>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</si>
  <si>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</si>
  <si>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</si>
  <si>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</si>
  <si>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</si>
  <si>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</si>
  <si>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</si>
  <si>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</si>
  <si>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</si>
  <si>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</si>
  <si>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</si>
  <si>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</si>
  <si>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</si>
  <si>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</si>
  <si>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</si>
  <si>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</si>
  <si>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</si>
  <si>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</si>
  <si>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</si>
  <si>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</si>
  <si>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</si>
  <si>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</si>
  <si>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</si>
  <si>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</si>
  <si>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</si>
  <si>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</si>
  <si>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</si>
  <si>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</si>
  <si>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</si>
  <si>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</si>
  <si>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</si>
  <si>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</si>
  <si>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</si>
  <si>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</si>
  <si>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</si>
  <si>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</si>
  <si>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</si>
  <si>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</si>
  <si>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</si>
  <si>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</si>
  <si>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</si>
  <si>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</si>
  <si>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</si>
  <si>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</si>
  <si>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</si>
  <si>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</si>
  <si>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</si>
  <si>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</si>
  <si>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</si>
  <si>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</si>
  <si>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</si>
  <si>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</si>
  <si>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</si>
  <si>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</si>
  <si>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</si>
  <si>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</si>
  <si>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</si>
  <si>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</si>
  <si>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</si>
  <si>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</si>
  <si>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</si>
  <si>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</si>
  <si>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</si>
  <si>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</si>
  <si>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</si>
  <si>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</si>
  <si>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</si>
  <si>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</si>
  <si>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</si>
  <si>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</si>
  <si>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</si>
  <si>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</si>
  <si>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</si>
  <si>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</si>
  <si>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</si>
  <si>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</si>
  <si>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</si>
  <si>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</si>
  <si>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</si>
  <si>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</si>
  <si>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</si>
  <si>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</si>
  <si>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</si>
  <si>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</si>
  <si>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</si>
  <si>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</si>
  <si>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</si>
  <si>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</si>
  <si>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</si>
  <si>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</si>
  <si>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</si>
  <si>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</si>
  <si>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</si>
  <si>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</si>
  <si>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</si>
  <si>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</si>
  <si>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</si>
  <si>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</si>
  <si>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</si>
  <si>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</si>
  <si>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</si>
  <si>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</si>
  <si>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</si>
  <si>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</si>
  <si>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</si>
  <si>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</si>
  <si>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</si>
  <si>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</si>
  <si>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</si>
  <si>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</si>
  <si>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</si>
  <si>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</si>
  <si>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</si>
  <si>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</si>
  <si>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</si>
  <si>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</si>
  <si>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</si>
  <si>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</si>
  <si>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</si>
  <si>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</si>
  <si>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</si>
  <si>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</si>
  <si>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</si>
  <si>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</si>
  <si>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</si>
  <si>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</si>
  <si>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</si>
  <si>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</si>
  <si>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</si>
  <si>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</si>
  <si>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</si>
  <si>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</si>
  <si>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</si>
  <si>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</si>
  <si>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</si>
  <si>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</si>
  <si>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</si>
  <si>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</si>
  <si>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</si>
  <si>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</si>
  <si>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</si>
  <si>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</si>
  <si>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</si>
  <si>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</si>
  <si>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</si>
  <si>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</si>
  <si>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</si>
  <si>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</si>
  <si>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</si>
  <si>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</si>
  <si>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</si>
  <si>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</si>
  <si>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</si>
  <si>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</si>
  <si>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</si>
  <si>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</si>
  <si>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</si>
  <si>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</si>
  <si>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</si>
  <si>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</si>
  <si>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</si>
  <si>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</si>
  <si>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</si>
  <si>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</si>
  <si>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</si>
  <si>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</si>
  <si>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</si>
  <si>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</si>
  <si>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</si>
  <si>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</si>
  <si>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</si>
  <si>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</si>
  <si>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</si>
  <si>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</si>
  <si>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</si>
  <si>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</si>
  <si>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</si>
  <si>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</si>
  <si>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</si>
  <si>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</si>
  <si>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</si>
  <si>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</si>
  <si>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</si>
  <si>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</si>
  <si>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</si>
  <si>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</si>
  <si>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</si>
  <si>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</si>
  <si>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</si>
  <si>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</si>
  <si>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</si>
  <si>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</si>
  <si>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</si>
  <si>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</si>
  <si>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</si>
  <si>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</si>
  <si>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</si>
  <si>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</si>
  <si>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</si>
  <si>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</si>
  <si>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</si>
  <si>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</si>
  <si>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</si>
  <si>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</si>
  <si>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</si>
  <si>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</si>
  <si>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</si>
  <si>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</si>
  <si>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</si>
  <si>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</si>
  <si>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</si>
  <si>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</si>
  <si>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</si>
  <si>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</si>
  <si>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</si>
  <si>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</si>
  <si>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</si>
  <si>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</si>
  <si>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</si>
  <si>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</si>
  <si>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</si>
  <si>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</si>
  <si>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</si>
  <si>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</si>
  <si>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</si>
  <si>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</si>
  <si>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</si>
  <si>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</si>
  <si>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</si>
  <si>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</si>
  <si>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</si>
  <si>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</si>
  <si>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</si>
  <si>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</si>
  <si>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</si>
  <si>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</si>
  <si>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</si>
  <si>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</si>
  <si>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</si>
  <si>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</si>
  <si>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</si>
  <si>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</si>
  <si>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</si>
  <si>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</si>
  <si>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</si>
  <si>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</si>
  <si>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</si>
  <si>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</si>
  <si>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</si>
  <si>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</si>
  <si>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</si>
  <si>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</si>
  <si>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</si>
  <si>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</si>
  <si>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</si>
  <si>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</si>
  <si>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</si>
  <si>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</si>
  <si>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</si>
  <si>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</si>
  <si>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</si>
  <si>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</si>
  <si>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</si>
  <si>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</si>
  <si>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</si>
  <si>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</si>
  <si>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</si>
  <si>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</si>
  <si>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</si>
  <si>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</si>
  <si>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</si>
  <si>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</si>
  <si>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</si>
  <si>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</si>
  <si>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</si>
  <si>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</si>
  <si>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</si>
  <si>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</si>
  <si>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</si>
  <si>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</si>
  <si>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</si>
  <si>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</si>
  <si>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</si>
  <si>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</si>
  <si>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</si>
  <si>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</si>
  <si>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</si>
  <si>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</si>
  <si>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</si>
  <si>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</si>
  <si>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</si>
  <si>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</si>
  <si>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</si>
  <si>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</si>
  <si>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</si>
  <si>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</si>
  <si>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</si>
  <si>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</si>
  <si>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</si>
  <si>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</si>
  <si>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</si>
  <si>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</si>
  <si>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</si>
  <si>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</si>
  <si>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</si>
  <si>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</si>
  <si>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</si>
  <si>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</si>
  <si>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</si>
  <si>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</si>
  <si>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</si>
  <si>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</si>
  <si>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</si>
  <si>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</si>
  <si>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</si>
  <si>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</si>
  <si>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</si>
  <si>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</si>
  <si>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</si>
  <si>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</si>
  <si>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</si>
  <si>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</si>
  <si>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</si>
  <si>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</si>
  <si>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</si>
  <si>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</si>
  <si>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</si>
  <si>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</si>
  <si>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</si>
  <si>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</si>
  <si>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</si>
  <si>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</si>
  <si>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</si>
  <si>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</si>
  <si>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</si>
  <si>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</si>
  <si>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</si>
  <si>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</si>
  <si>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</si>
  <si>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</si>
  <si>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</si>
  <si>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</si>
  <si>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</si>
  <si>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</si>
  <si>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</si>
  <si>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</si>
  <si>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</si>
  <si>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</si>
  <si>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</si>
  <si>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</si>
  <si>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</si>
  <si>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</si>
  <si>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</si>
  <si>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</si>
  <si>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</si>
  <si>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</si>
  <si>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</si>
  <si>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</si>
  <si>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</si>
  <si>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</si>
  <si>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</si>
  <si>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</si>
  <si>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</si>
  <si>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</si>
  <si>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</si>
  <si>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</si>
  <si>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</si>
  <si>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</si>
  <si>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</si>
  <si>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</si>
  <si>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</si>
  <si>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</si>
  <si>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</si>
  <si>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</si>
  <si>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</si>
  <si>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</si>
  <si>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</si>
  <si>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</si>
  <si>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</si>
  <si>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</si>
  <si>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</si>
  <si>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</si>
  <si>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</si>
  <si>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</si>
  <si>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</si>
  <si>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</si>
  <si>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</si>
  <si>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</si>
  <si>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</si>
  <si>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</si>
  <si>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</si>
  <si>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</si>
  <si>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</si>
  <si>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</si>
  <si>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</si>
  <si>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</si>
  <si>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</si>
  <si>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</si>
  <si>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</si>
  <si>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</si>
  <si>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</si>
  <si>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</si>
  <si>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</si>
  <si>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</si>
  <si>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</si>
  <si>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</si>
  <si>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</si>
  <si>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</si>
  <si>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</si>
  <si>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</si>
  <si>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</si>
  <si>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</si>
  <si>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</si>
  <si>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</si>
  <si>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</si>
  <si>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</si>
  <si>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</si>
  <si>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</si>
  <si>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</si>
  <si>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</si>
  <si>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</si>
  <si>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</si>
  <si>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</si>
  <si>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</si>
  <si>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</si>
  <si>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</si>
  <si>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</si>
  <si>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</si>
  <si>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</si>
  <si>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</si>
  <si>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</si>
  <si>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</si>
  <si>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</si>
  <si>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</si>
  <si>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</si>
  <si>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</si>
  <si>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</si>
  <si>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</si>
  <si>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</si>
  <si>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</si>
  <si>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</si>
  <si>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</si>
  <si>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</si>
  <si>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</si>
  <si>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</si>
  <si>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</si>
  <si>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</si>
  <si>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</si>
  <si>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</si>
  <si>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</si>
  <si>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</si>
  <si>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</si>
  <si>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</si>
  <si>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</si>
  <si>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</si>
  <si>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</si>
  <si>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</si>
  <si>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</si>
  <si>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</si>
  <si>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</si>
  <si>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</si>
  <si>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</si>
  <si>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</si>
  <si>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</si>
  <si>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</si>
  <si>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</si>
  <si>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</si>
  <si>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</si>
  <si>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</si>
  <si>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</si>
  <si>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</si>
  <si>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</si>
  <si>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</si>
  <si>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</si>
  <si>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</si>
  <si>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</si>
  <si>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</si>
  <si>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</si>
  <si>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</si>
  <si>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</si>
  <si>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</si>
  <si>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</si>
  <si>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</si>
  <si>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</si>
  <si>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</si>
  <si>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</si>
  <si>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</si>
  <si>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</si>
  <si>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</si>
  <si>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</si>
  <si>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</si>
  <si>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</si>
  <si>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</si>
  <si>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</si>
  <si>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</si>
  <si>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</si>
  <si>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</si>
  <si>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</si>
  <si>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</si>
  <si>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</si>
  <si>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</si>
  <si>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</si>
  <si>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</si>
  <si>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</si>
  <si>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</si>
  <si>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</si>
  <si>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</si>
  <si>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</si>
  <si>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</si>
  <si>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</si>
  <si>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</si>
  <si>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</si>
  <si>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</si>
  <si>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</si>
  <si>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</si>
  <si>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</si>
  <si>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</si>
  <si>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</si>
  <si>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</si>
  <si>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</si>
  <si>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</si>
  <si>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</si>
  <si>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</si>
  <si>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</si>
  <si>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</si>
  <si>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</si>
  <si>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</si>
  <si>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</si>
  <si>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</si>
  <si>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</si>
  <si>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</si>
  <si>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</si>
  <si>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</si>
  <si>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</si>
  <si>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</si>
  <si>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</si>
  <si>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</si>
  <si>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</si>
  <si>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</si>
  <si>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</si>
  <si>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</si>
  <si>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</si>
  <si>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</si>
  <si>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</si>
  <si>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</si>
  <si>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</si>
  <si>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</si>
  <si>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</si>
  <si>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</si>
  <si>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</si>
  <si>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</si>
  <si>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</si>
  <si>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</si>
  <si>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</si>
  <si>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</si>
  <si>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</si>
  <si>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</si>
  <si>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</si>
  <si>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</si>
  <si>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</si>
  <si>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</si>
  <si>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</si>
  <si>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</si>
  <si>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</si>
  <si>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</si>
  <si>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</si>
  <si>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</si>
  <si>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</si>
  <si>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</si>
  <si>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</si>
  <si>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</si>
  <si>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</si>
  <si>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</si>
  <si>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</si>
  <si>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</si>
  <si>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</si>
  <si>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</si>
  <si>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</si>
  <si>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</si>
  <si>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</si>
  <si>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</si>
  <si>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</si>
  <si>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</si>
  <si>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</si>
  <si>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</si>
  <si>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</si>
  <si>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</si>
  <si>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</si>
  <si>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</si>
  <si>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</si>
  <si>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</si>
  <si>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</si>
  <si>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</si>
  <si>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</si>
  <si>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</si>
  <si>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</si>
  <si>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</si>
  <si>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</si>
  <si>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</si>
  <si>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</si>
  <si>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</si>
  <si>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</si>
  <si>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</si>
  <si>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</si>
  <si>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</si>
  <si>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</si>
  <si>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</si>
  <si>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</si>
  <si>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</si>
  <si>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</si>
  <si>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</si>
  <si>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</si>
  <si>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</si>
  <si>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</si>
  <si>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</si>
  <si>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</si>
  <si>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</si>
  <si>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</si>
  <si>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</si>
  <si>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</si>
  <si>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</si>
  <si>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</si>
  <si>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</si>
  <si>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</si>
  <si>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</si>
  <si>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</si>
  <si>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</si>
  <si>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</si>
  <si>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</si>
  <si>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</si>
  <si>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</si>
  <si>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</si>
  <si>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</si>
  <si>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</si>
  <si>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</si>
  <si>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</si>
  <si>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</si>
  <si>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</si>
  <si>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</si>
  <si>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</si>
  <si>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</si>
  <si>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</si>
  <si>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</si>
  <si>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</si>
  <si>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</si>
  <si>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</si>
  <si>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</si>
  <si>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</si>
  <si>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</si>
  <si>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</si>
  <si>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</si>
  <si>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</si>
  <si>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</si>
  <si>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</si>
  <si>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</si>
  <si>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</si>
  <si>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</si>
  <si>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</si>
  <si>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</si>
  <si>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</si>
  <si>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</si>
  <si>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</si>
  <si>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</si>
  <si>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</si>
  <si>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</si>
  <si>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</si>
  <si>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</si>
  <si>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</si>
  <si>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</si>
  <si>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</si>
  <si>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</si>
  <si>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</si>
  <si>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</si>
  <si>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</si>
  <si>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</si>
  <si>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</si>
  <si>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</si>
  <si>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</si>
  <si>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</si>
  <si>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</si>
  <si>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</si>
  <si>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</si>
  <si>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</si>
  <si>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</si>
  <si>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</si>
  <si>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</si>
  <si>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</si>
  <si>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</si>
  <si>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</si>
  <si>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</si>
  <si>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</si>
  <si>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</si>
  <si>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</si>
  <si>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</si>
  <si>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</si>
  <si>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</si>
  <si>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</si>
  <si>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</si>
  <si>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</si>
  <si>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</si>
  <si>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</si>
  <si>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</si>
  <si>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</si>
  <si>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</si>
  <si>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</si>
  <si>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</si>
  <si>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</si>
  <si>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</si>
  <si>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</si>
  <si>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</si>
  <si>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</si>
  <si>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</si>
  <si>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</si>
  <si>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</si>
  <si>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</si>
  <si>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</si>
  <si>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</si>
  <si>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</si>
  <si>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</si>
  <si>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</si>
  <si>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</si>
  <si>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</si>
  <si>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</si>
  <si>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</si>
  <si>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</si>
  <si>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</si>
  <si>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</si>
  <si>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</si>
  <si>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</si>
  <si>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</si>
  <si>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</si>
  <si>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</si>
  <si>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</si>
  <si>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</si>
  <si>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</si>
  <si>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</si>
  <si>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</si>
  <si>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</si>
  <si>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</si>
  <si>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</si>
  <si>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</si>
  <si>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</si>
  <si>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</si>
  <si>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</si>
  <si>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</si>
  <si>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</si>
  <si>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</si>
  <si>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</si>
  <si>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</si>
  <si>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</si>
  <si>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</si>
  <si>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</si>
  <si>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</si>
  <si>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</si>
  <si>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</si>
  <si>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</si>
  <si>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</si>
  <si>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</si>
  <si>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</si>
  <si>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</si>
  <si>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</si>
  <si>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</si>
  <si>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</si>
  <si>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</si>
  <si>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</si>
  <si>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</si>
  <si>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</si>
  <si>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</si>
  <si>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</si>
  <si>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</si>
  <si>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</si>
  <si>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</si>
  <si>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</si>
  <si>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</si>
  <si>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</si>
  <si>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</si>
  <si>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</si>
  <si>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</si>
  <si>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</si>
  <si>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</si>
  <si>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</si>
  <si>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</si>
  <si>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</si>
  <si>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</si>
  <si>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</si>
  <si>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</si>
  <si>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</si>
  <si>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</si>
  <si>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</si>
  <si>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</si>
  <si>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</si>
  <si>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</si>
  <si>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</si>
  <si>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</si>
  <si>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</si>
  <si>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</si>
  <si>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</si>
  <si>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</si>
  <si>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</si>
  <si>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</si>
  <si>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</si>
  <si>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</si>
  <si>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</si>
  <si>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</si>
  <si>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</si>
  <si>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</si>
  <si>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</si>
  <si>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</si>
  <si>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</si>
  <si>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</si>
  <si>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</si>
  <si>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</si>
  <si>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</si>
  <si>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</si>
  <si>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</si>
  <si>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</si>
  <si>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</si>
  <si>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</si>
  <si>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</si>
  <si>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</si>
  <si>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</si>
  <si>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</si>
  <si>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</si>
  <si>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</si>
  <si>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</si>
  <si>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</si>
  <si>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</si>
  <si>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</si>
  <si>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</si>
  <si>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</si>
  <si>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</si>
  <si>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</si>
  <si>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</si>
  <si>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</si>
  <si>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</si>
  <si>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</si>
  <si>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</si>
  <si>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</si>
  <si>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</si>
  <si>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</si>
  <si>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</si>
  <si>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</si>
  <si>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</si>
  <si>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</si>
  <si>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</si>
  <si>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</si>
  <si>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</si>
  <si>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</si>
  <si>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</si>
  <si>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</si>
  <si>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</si>
  <si>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</si>
  <si>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</si>
  <si>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</si>
  <si>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</si>
  <si>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</si>
  <si>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</si>
  <si>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</si>
  <si>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</si>
  <si>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</si>
  <si>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</si>
  <si>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</si>
  <si>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</si>
  <si>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</si>
  <si>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</si>
  <si>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</si>
  <si>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</si>
  <si>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</si>
  <si>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</si>
  <si>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</si>
  <si>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</si>
  <si>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</si>
  <si>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</si>
  <si>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</si>
  <si>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</si>
  <si>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</si>
  <si>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</si>
  <si>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</si>
  <si>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</si>
  <si>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</si>
  <si>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</si>
  <si>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</si>
  <si>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</si>
  <si>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</si>
  <si>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</si>
  <si>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</si>
  <si>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</si>
  <si>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</si>
  <si>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</si>
  <si>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</si>
  <si>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</si>
  <si>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</si>
  <si>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</si>
  <si>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</si>
  <si>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</si>
  <si>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</si>
  <si>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</si>
  <si>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</si>
  <si>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</si>
  <si>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</si>
  <si>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</si>
  <si>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</si>
  <si>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</si>
  <si>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</si>
  <si>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</si>
  <si>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</si>
  <si>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</si>
  <si>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</si>
  <si>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</si>
  <si>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</si>
  <si>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</si>
  <si>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</si>
  <si>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</si>
  <si>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</si>
  <si>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</si>
  <si>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</si>
  <si>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</si>
  <si>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</si>
  <si>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</si>
  <si>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</si>
  <si>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</si>
  <si>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</si>
  <si>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</si>
  <si>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</si>
  <si>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</si>
  <si>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</si>
  <si>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</si>
  <si>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</si>
  <si>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</si>
  <si>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</si>
  <si>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</si>
  <si>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</si>
  <si>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</si>
  <si>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</si>
  <si>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</si>
  <si>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</si>
  <si>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</si>
  <si>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</si>
  <si>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</si>
  <si>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</si>
  <si>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</si>
  <si>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</si>
  <si>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</si>
  <si>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</si>
  <si>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</si>
  <si>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</si>
  <si>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</si>
  <si>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</si>
  <si>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</si>
  <si>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</si>
  <si>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</si>
  <si>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</si>
  <si>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</si>
  <si>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</si>
  <si>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</si>
  <si>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</si>
  <si>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</si>
  <si>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</si>
  <si>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</si>
  <si>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</si>
  <si>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</si>
  <si>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</si>
  <si>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</si>
  <si>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</si>
  <si>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</si>
  <si>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</si>
  <si>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</si>
  <si>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</si>
  <si>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</si>
  <si>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</si>
  <si>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</si>
  <si>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</si>
  <si>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</si>
  <si>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</si>
  <si>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</si>
  <si>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</si>
  <si>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</si>
  <si>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</si>
  <si>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</si>
  <si>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</si>
  <si>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</si>
  <si>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</si>
  <si>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</si>
  <si>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</si>
  <si>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</si>
  <si>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</si>
  <si>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</si>
  <si>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</si>
  <si>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</si>
  <si>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</si>
  <si>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</si>
  <si>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</si>
  <si>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</si>
  <si>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</si>
  <si>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</si>
  <si>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</si>
  <si>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</si>
  <si>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</si>
  <si>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</si>
  <si>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</si>
  <si>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</si>
  <si>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</si>
  <si>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</si>
  <si>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</si>
  <si>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</si>
  <si>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</si>
  <si>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</si>
  <si>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</si>
  <si>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</si>
  <si>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</si>
  <si>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</si>
  <si>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</si>
  <si>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</si>
  <si>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</si>
  <si>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</si>
  <si>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</si>
  <si>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</si>
  <si>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</si>
  <si>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</si>
  <si>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</si>
  <si>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</si>
  <si>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</si>
  <si>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</si>
  <si>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</si>
  <si>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</si>
  <si>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</si>
  <si>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</si>
  <si>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</si>
  <si>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</si>
  <si>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</si>
  <si>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</si>
  <si>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</si>
  <si>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</si>
  <si>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</si>
  <si>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</si>
  <si>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</si>
  <si>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</si>
  <si>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</si>
  <si>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</si>
  <si>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</si>
  <si>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</si>
  <si>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</si>
  <si>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</si>
  <si>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</si>
  <si>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</si>
  <si>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</si>
  <si>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</si>
  <si>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</si>
  <si>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</si>
  <si>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</si>
  <si>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</si>
  <si>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</si>
  <si>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</si>
  <si>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</si>
  <si>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</si>
  <si>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</si>
  <si>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</si>
  <si>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</si>
  <si>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</si>
  <si>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</si>
  <si>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</si>
  <si>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</si>
  <si>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</si>
  <si>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</si>
  <si>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</si>
  <si>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</si>
  <si>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</si>
  <si>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</si>
  <si>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</si>
  <si>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</si>
  <si>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</si>
  <si>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</si>
  <si>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</si>
  <si>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</si>
  <si>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</si>
  <si>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</si>
  <si>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</si>
  <si>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</si>
  <si>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</si>
  <si>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</si>
  <si>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</si>
  <si>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</si>
  <si>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</si>
  <si>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</si>
  <si>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</si>
  <si>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</si>
  <si>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</si>
  <si>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</si>
  <si>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</si>
  <si>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</si>
  <si>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</si>
  <si>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</si>
  <si>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</si>
  <si>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</si>
  <si>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</si>
  <si>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</si>
  <si>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</si>
  <si>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</si>
  <si>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</si>
  <si>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</si>
  <si>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</si>
  <si>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</si>
  <si>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</si>
  <si>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</si>
  <si>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</si>
  <si>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</si>
  <si>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</si>
  <si>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</si>
  <si>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</si>
  <si>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</si>
  <si>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</si>
  <si>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</si>
  <si>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</si>
  <si>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</si>
  <si>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</si>
  <si>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</si>
  <si>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</si>
  <si>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</si>
  <si>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</si>
  <si>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</si>
  <si>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</si>
  <si>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</si>
  <si>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</si>
  <si>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</si>
  <si>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</si>
  <si>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</si>
  <si>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</si>
  <si>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</si>
  <si>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</si>
  <si>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</si>
  <si>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</si>
  <si>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</si>
  <si>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</si>
  <si>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</si>
  <si>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</si>
  <si>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</si>
  <si>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</si>
  <si>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</si>
  <si>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</si>
  <si>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</si>
  <si>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</si>
  <si>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</si>
  <si>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</si>
  <si>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</si>
  <si>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</si>
  <si>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</si>
  <si>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</si>
  <si>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</si>
  <si>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</si>
  <si>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</si>
  <si>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</si>
  <si>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</si>
  <si>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</si>
  <si>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</si>
  <si>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</si>
  <si>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</si>
  <si>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</si>
  <si>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</si>
  <si>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</si>
  <si>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</si>
  <si>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</si>
  <si>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</si>
  <si>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</si>
  <si>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</si>
  <si>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</si>
  <si>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</si>
  <si>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</si>
  <si>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</si>
  <si>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</si>
  <si>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</si>
  <si>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</si>
  <si>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</si>
  <si>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</si>
  <si>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</si>
  <si>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</si>
  <si>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</si>
  <si>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</si>
  <si>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</si>
  <si>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</si>
  <si>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</si>
  <si>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</si>
  <si>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</si>
  <si>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</si>
  <si>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</si>
  <si>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</si>
  <si>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</si>
  <si>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</si>
  <si>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</si>
  <si>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</si>
  <si>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</si>
  <si>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</si>
  <si>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</si>
  <si>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</si>
  <si>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</si>
  <si>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</si>
  <si>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</si>
  <si>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</si>
  <si>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</si>
  <si>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</si>
  <si>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</si>
  <si>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</si>
  <si>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</si>
  <si>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</si>
  <si>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</si>
  <si>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</si>
  <si>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</si>
  <si>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</si>
  <si>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</si>
  <si>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</si>
  <si>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</si>
  <si>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</si>
  <si>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</si>
  <si>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</si>
  <si>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</si>
  <si>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</si>
  <si>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</si>
  <si>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</si>
  <si>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</si>
  <si>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</si>
  <si>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</si>
  <si>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</si>
  <si>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</si>
  <si>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</si>
  <si>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</si>
  <si>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</si>
  <si>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</si>
  <si>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</si>
  <si>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</si>
  <si>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</si>
  <si>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</si>
  <si>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</si>
  <si>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</si>
  <si>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</si>
  <si>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</si>
  <si>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</si>
  <si>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</si>
  <si>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</si>
  <si>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</si>
  <si>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</si>
  <si>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</si>
  <si>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</si>
  <si>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</si>
  <si>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</si>
  <si>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</si>
  <si>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</si>
  <si>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</si>
  <si>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</si>
  <si>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</si>
  <si>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</si>
  <si>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</si>
  <si>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</si>
  <si>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</si>
  <si>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</si>
  <si>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</si>
  <si>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</si>
  <si>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</si>
  <si>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</si>
  <si>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</si>
  <si>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</si>
  <si>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</si>
  <si>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</si>
  <si>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</si>
  <si>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</si>
  <si>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</si>
  <si>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</si>
  <si>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</si>
  <si>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</si>
  <si>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</si>
  <si>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</si>
  <si>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</si>
  <si>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</si>
  <si>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</si>
  <si>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</si>
  <si>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</si>
  <si>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</si>
  <si>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</si>
  <si>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</si>
  <si>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</si>
  <si>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</si>
  <si>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</si>
  <si>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</si>
  <si>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</si>
  <si>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</si>
  <si>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</si>
  <si>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</si>
  <si>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</si>
  <si>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</si>
  <si>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</si>
  <si>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</si>
  <si>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</si>
  <si>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</si>
  <si>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</si>
  <si>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</si>
  <si>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</si>
  <si>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</si>
  <si>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</si>
  <si>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</si>
  <si>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</si>
  <si>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</si>
  <si>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</si>
  <si>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</si>
  <si>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</si>
  <si>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</si>
  <si>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</si>
  <si>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</si>
  <si>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</si>
  <si>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</si>
  <si>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</si>
  <si>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</si>
  <si>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</si>
  <si>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</si>
  <si>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</si>
  <si>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</si>
  <si>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</si>
  <si>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</si>
  <si>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</si>
  <si>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</si>
  <si>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</si>
  <si>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</si>
  <si>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</si>
  <si>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</si>
  <si>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</si>
  <si>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</si>
  <si>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</si>
  <si>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</si>
  <si>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</si>
  <si>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</si>
  <si>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</si>
  <si>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</si>
  <si>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</si>
  <si>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</si>
  <si>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</si>
  <si>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</si>
  <si>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</si>
  <si>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</si>
  <si>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</si>
  <si>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</si>
  <si>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</si>
  <si>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</si>
  <si>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</si>
  <si>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</si>
  <si>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</si>
  <si>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</si>
  <si>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</si>
  <si>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</si>
  <si>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</si>
  <si>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</si>
  <si>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</si>
  <si>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</si>
  <si>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</si>
  <si>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</si>
  <si>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</si>
  <si>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</si>
  <si>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</si>
  <si>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</si>
  <si>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</si>
  <si>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</si>
  <si>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</si>
  <si>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</si>
  <si>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</si>
  <si>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</si>
  <si>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</si>
  <si>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</si>
  <si>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</si>
  <si>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</si>
  <si>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</si>
  <si>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</si>
  <si>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</si>
  <si>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</si>
  <si>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</si>
  <si>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</si>
  <si>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</si>
  <si>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</si>
  <si>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</si>
  <si>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</si>
  <si>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</si>
  <si>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</si>
  <si>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</si>
  <si>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</si>
  <si>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</si>
  <si>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</si>
  <si>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</si>
  <si>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</si>
  <si>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</si>
  <si>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</si>
  <si>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</si>
  <si>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</si>
  <si>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</si>
  <si>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</si>
  <si>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</si>
  <si>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</si>
  <si>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</si>
  <si>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</si>
  <si>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</si>
  <si>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</si>
  <si>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</si>
  <si>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</si>
  <si>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</si>
  <si>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</si>
  <si>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</si>
  <si>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</si>
  <si>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</si>
  <si>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</si>
  <si>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</si>
  <si>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</si>
  <si>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</si>
  <si>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</si>
  <si>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</si>
  <si>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</si>
  <si>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</si>
  <si>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</si>
  <si>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</si>
  <si>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</si>
  <si>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</si>
  <si>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</si>
  <si>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</si>
  <si>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</si>
  <si>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</si>
  <si>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</si>
  <si>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</si>
  <si>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</si>
  <si>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</si>
  <si>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</si>
  <si>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</si>
  <si>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</si>
  <si>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</si>
  <si>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</si>
  <si>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</si>
  <si>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</si>
  <si>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</si>
  <si>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</si>
  <si>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</si>
  <si>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</si>
  <si>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</si>
  <si>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</si>
  <si>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</si>
  <si>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</si>
  <si>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</si>
  <si>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</si>
  <si>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</si>
  <si>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</si>
  <si>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</si>
  <si>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</si>
  <si>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</si>
  <si>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</si>
  <si>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</si>
  <si>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</si>
  <si>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</si>
  <si>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</si>
  <si>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</si>
  <si>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</si>
  <si>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</si>
  <si>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</si>
  <si>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</si>
  <si>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</si>
  <si>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</si>
  <si>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</si>
  <si>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</si>
  <si>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</si>
  <si>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</si>
  <si>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</si>
  <si>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</si>
  <si>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</si>
  <si>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</si>
  <si>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</si>
  <si>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</si>
  <si>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</si>
  <si>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</si>
  <si>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</si>
  <si>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</si>
  <si>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</si>
  <si>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</si>
  <si>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</si>
  <si>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</si>
  <si>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</si>
  <si>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</si>
  <si>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</si>
  <si>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</si>
  <si>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</si>
  <si>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</si>
  <si>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</si>
  <si>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</si>
  <si>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</si>
  <si>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</si>
  <si>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</si>
  <si>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</si>
  <si>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</si>
  <si>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</si>
  <si>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</si>
  <si>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</si>
  <si>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</si>
  <si>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</si>
  <si>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</si>
  <si>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</si>
  <si>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</si>
  <si>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</si>
  <si>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</si>
  <si>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</si>
  <si>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</si>
  <si>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</si>
  <si>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</si>
  <si>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</si>
  <si>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</si>
  <si>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</si>
  <si>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</si>
  <si>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</si>
  <si>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</si>
  <si>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</si>
  <si>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</si>
  <si>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</si>
  <si>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</si>
  <si>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</si>
  <si>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</si>
  <si>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</si>
  <si>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</si>
  <si>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</si>
  <si>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</si>
  <si>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</si>
  <si>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</si>
  <si>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</si>
  <si>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</si>
  <si>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</si>
  <si>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</si>
  <si>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</si>
  <si>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</si>
  <si>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</si>
  <si>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</si>
  <si>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</si>
  <si>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</si>
  <si>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</si>
  <si>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</si>
  <si>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</si>
  <si>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</si>
  <si>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</si>
  <si>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</si>
  <si>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</si>
  <si>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</si>
  <si>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</si>
  <si>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</si>
  <si>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</si>
  <si>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</si>
  <si>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</si>
  <si>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</si>
  <si>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</si>
  <si>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</si>
  <si>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</si>
  <si>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</si>
  <si>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</si>
  <si>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</si>
  <si>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</si>
  <si>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</si>
  <si>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</si>
  <si>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</si>
  <si>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</si>
  <si>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</si>
  <si>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</si>
  <si>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</si>
  <si>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</si>
  <si>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</si>
  <si>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</si>
  <si>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</si>
  <si>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</si>
  <si>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</si>
  <si>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</si>
  <si>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</si>
  <si>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</si>
  <si>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</si>
  <si>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</si>
  <si>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</si>
  <si>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</si>
  <si>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</si>
  <si>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</si>
  <si>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</si>
  <si>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</si>
  <si>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</si>
  <si>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</si>
  <si>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</si>
  <si>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</si>
  <si>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</si>
  <si>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</si>
  <si>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</si>
  <si>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</si>
  <si>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</si>
  <si>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</si>
  <si>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</si>
  <si>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</si>
  <si>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</si>
  <si>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</si>
  <si>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</si>
  <si>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</si>
  <si>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</si>
  <si>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</si>
  <si>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</si>
  <si>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</si>
  <si>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</si>
  <si>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</si>
  <si>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</si>
  <si>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</si>
  <si>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</si>
  <si>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</si>
  <si>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</si>
  <si>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</si>
  <si>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</si>
  <si>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</si>
  <si>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</si>
  <si>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</si>
  <si>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</si>
  <si>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</si>
  <si>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</si>
  <si>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</si>
  <si>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</si>
  <si>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</si>
  <si>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</si>
  <si>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</si>
  <si>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</si>
  <si>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</si>
  <si>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</si>
  <si>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</si>
  <si>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</si>
  <si>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</si>
  <si>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</si>
  <si>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</si>
  <si>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</si>
  <si>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</si>
  <si>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</si>
  <si>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</si>
  <si>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</si>
  <si>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</si>
  <si>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</si>
  <si>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</si>
  <si>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</si>
  <si>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</si>
  <si>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</si>
  <si>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</si>
  <si>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</si>
  <si>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</si>
  <si>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</si>
  <si>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</si>
  <si>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</si>
  <si>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</si>
  <si>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</si>
  <si>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</si>
  <si>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</si>
  <si>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</si>
  <si>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</si>
  <si>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</si>
  <si>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</si>
  <si>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</si>
  <si>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</si>
  <si>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</si>
  <si>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</si>
  <si>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</si>
  <si>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</si>
  <si>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</si>
  <si>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</si>
  <si>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</si>
  <si>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</si>
  <si>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</si>
  <si>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</si>
  <si>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</si>
  <si>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</si>
  <si>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</si>
  <si>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</si>
  <si>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</si>
  <si>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</si>
  <si>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</si>
  <si>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</si>
  <si>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</si>
  <si>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</si>
  <si>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</si>
  <si>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</si>
  <si>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</si>
  <si>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</si>
  <si>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</si>
  <si>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</si>
  <si>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</si>
  <si>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</si>
  <si>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</si>
  <si>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</si>
  <si>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</si>
  <si>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</si>
  <si>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</si>
  <si>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</si>
  <si>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</si>
  <si>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</si>
  <si>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</si>
  <si>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</si>
  <si>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</si>
  <si>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</si>
  <si>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</si>
  <si>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</si>
  <si>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</si>
  <si>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</si>
  <si>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</si>
  <si>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</si>
  <si>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</si>
  <si>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</si>
  <si>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</si>
  <si>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</si>
  <si>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</si>
  <si>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</si>
  <si>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</si>
  <si>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</si>
  <si>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</si>
  <si>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</si>
  <si>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</si>
  <si>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</si>
  <si>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</si>
  <si>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</si>
  <si>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</si>
  <si>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</si>
  <si>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</si>
  <si>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</si>
  <si>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</si>
  <si>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</si>
  <si>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</si>
  <si>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</si>
  <si>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</si>
  <si>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</si>
  <si>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</si>
  <si>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</si>
  <si>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</si>
  <si>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</si>
  <si>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</si>
  <si>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</si>
  <si>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</si>
  <si>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</si>
  <si>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</si>
  <si>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</si>
  <si>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</si>
  <si>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</si>
  <si>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</si>
  <si>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</si>
  <si>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</si>
  <si>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</si>
  <si>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</si>
  <si>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</si>
  <si>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</si>
  <si>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</si>
  <si>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</si>
  <si>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</si>
  <si>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</si>
  <si>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</si>
  <si>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</si>
  <si>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</si>
  <si>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</si>
  <si>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</si>
  <si>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</si>
  <si>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</si>
  <si>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</si>
  <si>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</si>
  <si>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</si>
  <si>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</si>
  <si>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</si>
  <si>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</si>
  <si>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</si>
  <si>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</si>
  <si>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</si>
  <si>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</si>
  <si>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</si>
  <si>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</si>
  <si>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</si>
  <si>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</si>
  <si>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</si>
  <si>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</si>
  <si>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</si>
  <si>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</si>
  <si>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</si>
  <si>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</si>
  <si>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</si>
  <si>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</si>
  <si>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</si>
  <si>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</si>
  <si>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</si>
  <si>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</si>
  <si>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</si>
  <si>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</si>
  <si>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</si>
  <si>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</si>
  <si>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</si>
  <si>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</si>
  <si>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</si>
  <si>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</si>
  <si>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</si>
  <si>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</si>
  <si>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</si>
  <si>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</si>
  <si>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</si>
  <si>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</si>
  <si>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</si>
  <si>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</si>
  <si>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</si>
  <si>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</si>
  <si>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</si>
  <si>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</si>
  <si>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</si>
  <si>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</si>
  <si>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</si>
  <si>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</si>
  <si>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</si>
  <si>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</si>
  <si>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</si>
  <si>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</si>
  <si>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</si>
  <si>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</si>
  <si>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</si>
  <si>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</si>
  <si>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</si>
  <si>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</si>
  <si>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</si>
  <si>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</si>
  <si>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</si>
  <si>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</si>
  <si>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</si>
  <si>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</si>
  <si>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</si>
  <si>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</si>
  <si>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</si>
  <si>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</si>
  <si>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</si>
  <si>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</si>
  <si>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</si>
  <si>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</si>
  <si>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</si>
  <si>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</si>
  <si>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</si>
  <si>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</si>
  <si>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</si>
  <si>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</si>
  <si>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</si>
  <si>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</si>
  <si>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</si>
  <si>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</si>
  <si>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</si>
  <si>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</si>
  <si>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</si>
  <si>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</si>
  <si>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</si>
  <si>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</si>
  <si>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</si>
  <si>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</si>
  <si>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</si>
  <si>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</si>
  <si>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</si>
  <si>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</si>
  <si>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</si>
  <si>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</si>
  <si>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</si>
  <si>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</si>
  <si>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</si>
  <si>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</si>
  <si>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</si>
  <si>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</si>
  <si>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</si>
  <si>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</si>
  <si>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</si>
  <si>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</si>
  <si>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</si>
  <si>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</si>
  <si>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</si>
  <si>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</si>
  <si>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</si>
  <si>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</si>
  <si>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</si>
  <si>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</si>
  <si>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</si>
  <si>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</si>
  <si>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</si>
  <si>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</si>
  <si>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</si>
  <si>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</si>
  <si>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</si>
  <si>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</si>
  <si>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</si>
  <si>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</si>
  <si>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</si>
  <si>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</si>
  <si>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</si>
  <si>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</si>
  <si>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</si>
  <si>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</si>
  <si>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</si>
  <si>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</si>
  <si>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</si>
  <si>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</si>
  <si>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</si>
  <si>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</si>
  <si>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</si>
  <si>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</si>
  <si>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</si>
  <si>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</si>
  <si>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</si>
  <si>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</si>
  <si>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</si>
  <si>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</si>
  <si>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</si>
  <si>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</si>
  <si>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</si>
  <si>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</si>
  <si>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</si>
  <si>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</si>
  <si>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</si>
  <si>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</si>
  <si>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</si>
  <si>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</si>
  <si>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</si>
  <si>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</si>
  <si>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</si>
  <si>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</si>
  <si>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</si>
  <si>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</si>
  <si>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</si>
  <si>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</si>
  <si>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</si>
  <si>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</si>
  <si>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</si>
  <si>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</si>
  <si>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</si>
  <si>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</si>
  <si>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</si>
  <si>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</si>
  <si>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</si>
  <si>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</si>
  <si>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</si>
  <si>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</si>
  <si>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</si>
  <si>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</si>
  <si>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</si>
  <si>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</si>
  <si>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</si>
  <si>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</si>
  <si>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</si>
  <si>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</si>
  <si>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</si>
  <si>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</si>
  <si>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</si>
  <si>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</si>
  <si>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</si>
  <si>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</si>
  <si>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</si>
  <si>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</si>
  <si>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</si>
  <si>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</si>
  <si>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</si>
  <si>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</si>
  <si>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</si>
  <si>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</si>
  <si>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</si>
  <si>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</si>
  <si>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</si>
  <si>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</si>
  <si>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</si>
  <si>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</si>
  <si>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</si>
  <si>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</si>
  <si>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</si>
  <si>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</si>
  <si>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</si>
  <si>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</si>
  <si>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</si>
  <si>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</si>
  <si>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</si>
  <si>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</si>
  <si>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</si>
  <si>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</si>
  <si>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</si>
  <si>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</si>
  <si>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</si>
  <si>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</si>
  <si>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</si>
  <si>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</si>
  <si>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</si>
  <si>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</si>
  <si>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</si>
  <si>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</si>
  <si>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</si>
  <si>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</si>
  <si>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</si>
  <si>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</si>
  <si>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</si>
  <si>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</si>
  <si>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</si>
  <si>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</si>
  <si>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</si>
  <si>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</si>
  <si>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</si>
  <si>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</si>
  <si>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</si>
  <si>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</si>
  <si>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</si>
  <si>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</si>
  <si>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</si>
  <si>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</si>
  <si>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</si>
  <si>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</si>
  <si>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</si>
  <si>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</si>
  <si>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</si>
  <si>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</si>
  <si>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</si>
  <si>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</si>
  <si>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</si>
  <si>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</si>
  <si>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</si>
  <si>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</si>
  <si>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</si>
  <si>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</si>
  <si>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</si>
  <si>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</si>
  <si>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</si>
  <si>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</si>
  <si>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</si>
  <si>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</si>
  <si>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</si>
  <si>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</si>
  <si>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</si>
  <si>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</si>
  <si>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</si>
  <si>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</si>
  <si>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</si>
  <si>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</si>
  <si>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</si>
  <si>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</si>
  <si>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</si>
  <si>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</si>
  <si>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</si>
  <si>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</si>
  <si>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</si>
  <si>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</si>
  <si>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</si>
  <si>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</si>
  <si>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</si>
  <si>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</si>
  <si>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</si>
  <si>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</si>
  <si>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</si>
  <si>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</si>
  <si>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</si>
  <si>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</si>
  <si>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</si>
  <si>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</si>
  <si>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</si>
  <si>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</si>
  <si>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</si>
  <si>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</si>
  <si>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</si>
  <si>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</si>
  <si>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</si>
  <si>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</si>
  <si>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</si>
  <si>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</si>
  <si>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</si>
  <si>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</si>
  <si>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</si>
  <si>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</si>
  <si>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</si>
  <si>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</si>
  <si>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</si>
  <si>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</si>
  <si>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</si>
  <si>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</si>
  <si>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</si>
  <si>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</si>
  <si>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</si>
  <si>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</si>
  <si>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</si>
  <si>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</si>
  <si>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</si>
  <si>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</si>
  <si>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</si>
  <si>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</si>
  <si>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</si>
  <si>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</si>
  <si>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</si>
  <si>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</si>
  <si>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</si>
  <si>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</si>
  <si>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</si>
  <si>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</si>
  <si>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</si>
  <si>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</si>
  <si>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</si>
  <si>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</si>
  <si>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</si>
  <si>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</si>
  <si>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</si>
  <si>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</si>
  <si>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</si>
  <si>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</si>
  <si>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</si>
  <si>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</si>
  <si>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</si>
  <si>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</si>
  <si>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</si>
  <si>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</si>
  <si>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</si>
  <si>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</si>
  <si>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</si>
  <si>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</si>
  <si>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</si>
  <si>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</si>
  <si>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</si>
  <si>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</si>
  <si>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</si>
  <si>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</si>
  <si>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</si>
  <si>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</si>
  <si>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</si>
  <si>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</si>
  <si>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</si>
  <si>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</si>
  <si>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</si>
  <si>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</si>
  <si>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</si>
  <si>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</si>
  <si>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</si>
  <si>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</si>
  <si>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</si>
  <si>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</si>
  <si>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</si>
  <si>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</si>
  <si>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</si>
  <si>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</si>
  <si>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</si>
  <si>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</si>
  <si>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</si>
  <si>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</si>
  <si>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</si>
  <si>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</si>
  <si>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</si>
  <si>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</si>
  <si>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</si>
  <si>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</si>
  <si>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</si>
  <si>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</si>
  <si>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</si>
  <si>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</si>
  <si>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</si>
  <si>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</si>
  <si>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</si>
  <si>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</si>
  <si>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</si>
  <si>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</si>
  <si>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</si>
  <si>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</si>
  <si>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</si>
  <si>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</si>
  <si>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</si>
  <si>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</si>
  <si>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</si>
  <si>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</si>
  <si>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</si>
  <si>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</si>
  <si>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</si>
  <si>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</si>
  <si>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</si>
  <si>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</si>
  <si>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</si>
  <si>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</si>
  <si>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</si>
  <si>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</si>
  <si>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</si>
  <si>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</si>
  <si>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</si>
  <si>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</si>
  <si>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</si>
  <si>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</si>
  <si>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</si>
  <si>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</si>
  <si>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</si>
  <si>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</si>
  <si>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</si>
  <si>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</si>
  <si>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</si>
  <si>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</si>
  <si>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</si>
  <si>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</si>
  <si>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</si>
  <si>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</si>
  <si>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</si>
  <si>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</si>
  <si>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</si>
  <si>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</si>
  <si>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</si>
  <si>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</si>
  <si>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</si>
  <si>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</si>
  <si>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</si>
  <si>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</si>
  <si>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</si>
  <si>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</si>
  <si>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</si>
  <si>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</si>
  <si>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</si>
  <si>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</si>
  <si>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</si>
  <si>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</si>
  <si>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</si>
  <si>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</si>
  <si>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</si>
  <si>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</si>
  <si>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</si>
  <si>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</si>
  <si>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</si>
  <si>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</si>
  <si>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</si>
  <si>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</si>
  <si>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</si>
  <si>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</si>
  <si>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</si>
  <si>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</si>
  <si>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</si>
  <si>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</si>
  <si>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</si>
  <si>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</si>
  <si>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</si>
  <si>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</si>
  <si>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</si>
  <si>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</si>
  <si>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</si>
  <si>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</si>
  <si>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</si>
  <si>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</si>
  <si>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</si>
  <si>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</si>
  <si>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</si>
  <si>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</si>
  <si>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</si>
  <si>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</si>
  <si>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</si>
  <si>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</si>
  <si>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</si>
  <si>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</si>
  <si>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</si>
  <si>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</si>
  <si>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</si>
  <si>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</si>
  <si>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</si>
  <si>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</si>
  <si>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</si>
  <si>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</si>
  <si>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</si>
  <si>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</si>
  <si>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</si>
  <si>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</si>
  <si>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</si>
  <si>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</si>
  <si>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</si>
  <si>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</si>
  <si>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</si>
  <si>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</si>
  <si>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</si>
  <si>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</si>
  <si>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</si>
  <si>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</si>
  <si>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</si>
  <si>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</si>
  <si>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</si>
  <si>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</si>
  <si>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</si>
  <si>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</si>
  <si>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</si>
  <si>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</si>
  <si>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</si>
  <si>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</si>
  <si>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</si>
  <si>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</si>
  <si>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</si>
  <si>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</si>
  <si>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</si>
  <si>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</si>
  <si>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</si>
  <si>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</si>
  <si>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</si>
  <si>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</si>
  <si>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</si>
  <si>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</si>
  <si>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</si>
  <si>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</si>
  <si>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</si>
  <si>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</si>
  <si>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</si>
  <si>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</si>
  <si>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</si>
  <si>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</si>
  <si>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</si>
  <si>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</si>
  <si>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</si>
  <si>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</si>
  <si>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</si>
  <si>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</si>
  <si>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</si>
  <si>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</si>
  <si>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</si>
  <si>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</si>
  <si>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</si>
  <si>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</si>
  <si>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</si>
  <si>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</si>
  <si>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</si>
  <si>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</si>
  <si>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</si>
  <si>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</si>
  <si>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</si>
  <si>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</si>
  <si>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</si>
  <si>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</si>
  <si>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</si>
  <si>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</si>
  <si>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</si>
  <si>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</si>
  <si>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</si>
  <si>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</si>
  <si>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</si>
  <si>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</si>
  <si>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</si>
  <si>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</si>
  <si>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</si>
  <si>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</si>
  <si>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</si>
  <si>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</si>
  <si>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</si>
  <si>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</si>
  <si>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</si>
  <si>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</si>
  <si>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</si>
  <si>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</si>
  <si>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</si>
  <si>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</si>
  <si>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</si>
  <si>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</si>
  <si>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</si>
  <si>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</si>
  <si>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</si>
  <si>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</si>
  <si>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</si>
  <si>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</si>
  <si>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</si>
  <si>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</si>
  <si>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</si>
  <si>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</si>
  <si>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</si>
  <si>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</si>
  <si>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</si>
  <si>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</si>
  <si>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</si>
  <si>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</si>
  <si>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</si>
  <si>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</si>
  <si>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</si>
  <si>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</si>
  <si>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</si>
  <si>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</si>
  <si>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</si>
  <si>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</si>
  <si>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</si>
  <si>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</si>
  <si>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</si>
  <si>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</si>
  <si>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</si>
  <si>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</si>
  <si>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</si>
  <si>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</si>
  <si>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</si>
  <si>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</si>
  <si>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</si>
  <si>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</si>
  <si>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</si>
  <si>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</si>
  <si>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</si>
  <si>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</si>
  <si>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</si>
  <si>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</si>
  <si>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</si>
  <si>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</si>
  <si>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</si>
  <si>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</si>
  <si>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</si>
  <si>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</si>
  <si>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</si>
  <si>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</si>
  <si>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</si>
  <si>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</si>
  <si>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</si>
  <si>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</si>
  <si>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</si>
  <si>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</si>
  <si>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</si>
  <si>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</si>
  <si>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</si>
  <si>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</si>
  <si>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</si>
  <si>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</si>
  <si>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</si>
  <si>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</si>
  <si>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</si>
  <si>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</si>
  <si>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</si>
  <si>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</si>
  <si>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</si>
  <si>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</si>
  <si>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</si>
  <si>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</si>
  <si>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</si>
  <si>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</si>
  <si>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</si>
  <si>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</si>
  <si>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</si>
  <si>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</si>
  <si>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</si>
  <si>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</si>
  <si>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</si>
  <si>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</si>
  <si>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</si>
  <si>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</si>
  <si>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</si>
  <si>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</si>
  <si>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</si>
  <si>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</si>
  <si>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</si>
  <si>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</si>
  <si>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</si>
  <si>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</si>
  <si>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</si>
  <si>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</si>
  <si>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</si>
  <si>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</si>
  <si>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</si>
  <si>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</si>
  <si>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</si>
  <si>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</si>
  <si>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</si>
  <si>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</si>
  <si>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</si>
  <si>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</si>
  <si>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</si>
  <si>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</si>
  <si>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</si>
  <si>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</si>
  <si>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</si>
  <si>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</si>
  <si>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</si>
  <si>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</si>
  <si>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</si>
  <si>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</si>
  <si>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</si>
  <si>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</si>
  <si>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</si>
  <si>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</si>
  <si>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</si>
  <si>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</si>
  <si>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</si>
  <si>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</si>
  <si>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</si>
  <si>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</si>
  <si>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</si>
  <si>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</si>
  <si>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</si>
  <si>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</si>
  <si>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</si>
  <si>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</si>
  <si>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</si>
  <si>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</si>
  <si>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</si>
  <si>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</si>
  <si>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</si>
  <si>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</si>
  <si>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</si>
  <si>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</si>
  <si>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</si>
  <si>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</si>
  <si>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</si>
  <si>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</si>
  <si>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</si>
  <si>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</si>
  <si>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</si>
  <si>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</si>
  <si>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</si>
  <si>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</si>
  <si>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</si>
  <si>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</si>
  <si>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</si>
  <si>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</si>
  <si>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</si>
  <si>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</si>
  <si>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</si>
  <si>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</si>
  <si>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</si>
  <si>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</si>
  <si>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</si>
  <si>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</si>
  <si>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</si>
  <si>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</si>
  <si>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</si>
  <si>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</si>
  <si>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</si>
  <si>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</si>
  <si>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</si>
  <si>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</si>
  <si>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</si>
  <si>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</si>
  <si>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</si>
  <si>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</si>
  <si>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</si>
  <si>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</si>
  <si>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</si>
  <si>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</si>
  <si>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</si>
  <si>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</si>
  <si>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</si>
  <si>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</si>
  <si>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</si>
  <si>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</si>
  <si>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</si>
  <si>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</si>
  <si>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</si>
  <si>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</si>
  <si>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</si>
  <si>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</si>
  <si>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</si>
  <si>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</si>
  <si>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</si>
  <si>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</si>
  <si>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</si>
  <si>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</si>
  <si>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</si>
  <si>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</si>
  <si>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</si>
  <si>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</si>
  <si>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</si>
  <si>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</si>
  <si>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</si>
  <si>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</si>
  <si>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</si>
  <si>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</si>
  <si>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</si>
  <si>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</si>
  <si>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</si>
  <si>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</si>
  <si>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</si>
  <si>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</si>
  <si>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</si>
  <si>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</si>
  <si>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</si>
  <si>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</si>
  <si>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</si>
  <si>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</si>
  <si>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</si>
  <si>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</si>
  <si>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</si>
  <si>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</si>
  <si>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</si>
  <si>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</si>
  <si>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</si>
  <si>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</si>
  <si>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</si>
  <si>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</si>
  <si>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</si>
  <si>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</si>
  <si>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</si>
  <si>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</si>
  <si>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</si>
  <si>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</si>
  <si>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</si>
  <si>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</si>
  <si>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</si>
  <si>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</si>
  <si>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</si>
  <si>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</si>
  <si>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</si>
  <si>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</si>
  <si>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</si>
  <si>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</si>
  <si>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</si>
  <si>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</si>
  <si>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</si>
  <si>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</si>
  <si>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</si>
  <si>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</si>
  <si>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</si>
  <si>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</si>
  <si>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</si>
  <si>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</si>
  <si>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</si>
  <si>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</si>
  <si>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</si>
  <si>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</si>
  <si>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</si>
  <si>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</si>
  <si>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</si>
  <si>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</si>
  <si>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</si>
  <si>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</si>
  <si>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</si>
  <si>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</si>
  <si>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</si>
  <si>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</si>
  <si>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</si>
  <si>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</si>
  <si>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</si>
  <si>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</si>
  <si>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</si>
  <si>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</si>
  <si>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</si>
  <si>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</si>
  <si>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</si>
  <si>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</si>
  <si>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</si>
  <si>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</si>
  <si>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</si>
  <si>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</si>
  <si>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</si>
  <si>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</si>
  <si>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</si>
  <si>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</si>
  <si>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</si>
  <si>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</si>
  <si>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</si>
  <si>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</si>
  <si>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</si>
  <si>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</si>
  <si>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</si>
  <si>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</si>
  <si>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</si>
  <si>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</si>
  <si>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</si>
  <si>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</si>
  <si>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</si>
  <si>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</si>
  <si>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</si>
  <si>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</si>
  <si>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</si>
  <si>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</si>
  <si>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</si>
  <si>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</si>
  <si>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</si>
  <si>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</si>
  <si>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</si>
  <si>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</si>
  <si>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</si>
  <si>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</si>
  <si>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</si>
  <si>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</si>
  <si>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</si>
  <si>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</si>
  <si>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</si>
  <si>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</si>
  <si>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</si>
  <si>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</si>
  <si>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</si>
  <si>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</si>
  <si>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</si>
  <si>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</si>
  <si>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</si>
  <si>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</si>
  <si>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</si>
  <si>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</si>
  <si>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</si>
  <si>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</si>
  <si>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</si>
  <si>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</si>
  <si>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</si>
  <si>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</si>
  <si>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</si>
  <si>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</si>
  <si>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</si>
  <si>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</si>
  <si>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</si>
  <si>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</si>
  <si>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</si>
  <si>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</si>
  <si>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</si>
  <si>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</si>
  <si>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</si>
  <si>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</si>
  <si>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</si>
  <si>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</si>
  <si>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</si>
  <si>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</si>
  <si>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</si>
  <si>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</si>
  <si>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</si>
  <si>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</si>
  <si>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</si>
  <si>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</si>
  <si>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</si>
  <si>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</si>
  <si>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</si>
  <si>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</si>
  <si>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</si>
  <si>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</si>
  <si>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</si>
  <si>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</si>
  <si>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</si>
  <si>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</si>
  <si>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</si>
  <si>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</si>
  <si>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</si>
  <si>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</si>
  <si>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</si>
  <si>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</si>
  <si>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</si>
  <si>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</si>
  <si>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</si>
  <si>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</si>
  <si>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</si>
  <si>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</si>
  <si>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</si>
  <si>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</si>
  <si>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</si>
  <si>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</si>
  <si>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</si>
  <si>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</si>
  <si>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</si>
  <si>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</si>
  <si>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</si>
  <si>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</si>
  <si>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</si>
  <si>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</si>
  <si>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</si>
  <si>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</si>
  <si>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</si>
  <si>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</si>
  <si>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</si>
  <si>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</si>
  <si>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</si>
  <si>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</si>
  <si>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</si>
  <si>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</si>
  <si>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</si>
  <si>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</si>
  <si>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</si>
  <si>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</si>
  <si>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</si>
  <si>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</si>
  <si>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</si>
  <si>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</si>
  <si>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</si>
  <si>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</si>
  <si>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</si>
  <si>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</si>
  <si>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</si>
  <si>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</si>
  <si>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</si>
  <si>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</si>
  <si>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</si>
  <si>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</si>
  <si>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</si>
  <si>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</si>
  <si>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</si>
  <si>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</si>
  <si>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</si>
  <si>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</si>
  <si>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</si>
  <si>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</si>
  <si>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</si>
  <si>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</si>
  <si>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</si>
  <si>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</si>
  <si>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</si>
  <si>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</si>
  <si>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</si>
  <si>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</si>
  <si>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</si>
  <si>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</si>
  <si>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</si>
  <si>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</si>
  <si>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</si>
  <si>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</si>
  <si>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</si>
  <si>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</si>
  <si>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</si>
  <si>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</si>
  <si>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</si>
  <si>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</si>
  <si>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</si>
  <si>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</si>
  <si>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</si>
  <si>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</si>
  <si>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</si>
  <si>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</si>
  <si>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</si>
  <si>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</si>
  <si>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</si>
  <si>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</si>
  <si>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</si>
  <si>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</si>
  <si>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</si>
  <si>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</si>
  <si>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</si>
  <si>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</si>
  <si>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</si>
  <si>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</si>
  <si>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</si>
  <si>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</si>
  <si>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</si>
  <si>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</si>
  <si>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</si>
  <si>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</si>
  <si>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</si>
  <si>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</si>
  <si>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</si>
  <si>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</si>
  <si>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</si>
  <si>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</si>
  <si>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</si>
  <si>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</si>
  <si>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</si>
  <si>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</si>
  <si>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</si>
  <si>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</si>
  <si>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</si>
  <si>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</si>
  <si>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</si>
  <si>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</si>
  <si>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</si>
  <si>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</si>
  <si>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</si>
  <si>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</si>
  <si>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</si>
  <si>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</si>
  <si>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</si>
  <si>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</si>
  <si>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</si>
  <si>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</si>
  <si>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</si>
  <si>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</si>
  <si>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</si>
  <si>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</si>
  <si>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</si>
  <si>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</si>
  <si>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</si>
  <si>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</si>
  <si>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</si>
  <si>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</si>
  <si>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</si>
  <si>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</si>
  <si>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</si>
  <si>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</si>
  <si>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</si>
  <si>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</si>
  <si>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</si>
  <si>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</si>
  <si>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</si>
  <si>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</si>
  <si>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</si>
  <si>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</si>
  <si>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</si>
  <si>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</si>
  <si>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</si>
  <si>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</si>
  <si>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</si>
  <si>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</si>
  <si>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</si>
  <si>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</si>
  <si>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</si>
  <si>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</si>
  <si>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</si>
  <si>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</si>
  <si>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</si>
  <si>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</si>
  <si>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</si>
  <si>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</si>
  <si>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</si>
  <si>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</si>
  <si>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</si>
  <si>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</si>
  <si>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</si>
  <si>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</si>
  <si>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</si>
  <si>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</si>
  <si>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</si>
  <si>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</si>
  <si>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</si>
  <si>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</si>
  <si>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</si>
  <si>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</si>
  <si>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</si>
  <si>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</si>
  <si>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</si>
  <si>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</si>
  <si>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</si>
  <si>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</si>
  <si>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</si>
  <si>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</si>
  <si>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</si>
  <si>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</si>
  <si>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</si>
  <si>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</si>
  <si>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</si>
  <si>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</si>
  <si>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</si>
  <si>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</si>
  <si>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</si>
  <si>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</si>
  <si>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</si>
  <si>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</si>
  <si>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</si>
  <si>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</si>
  <si>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</si>
  <si>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</si>
  <si>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</si>
  <si>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</si>
  <si>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</si>
  <si>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</si>
  <si>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</si>
  <si>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</si>
  <si>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</si>
  <si>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</si>
  <si>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</si>
  <si>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</si>
  <si>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</si>
  <si>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</si>
  <si>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</si>
  <si>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</si>
  <si>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</si>
  <si>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</si>
  <si>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</si>
  <si>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</si>
  <si>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</si>
  <si>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</si>
  <si>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</si>
  <si>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</si>
  <si>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</si>
  <si>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</si>
  <si>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</si>
  <si>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</si>
  <si>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</si>
  <si>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</si>
  <si>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</si>
  <si>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</si>
  <si>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</si>
  <si>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</si>
  <si>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</si>
  <si>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</si>
  <si>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</si>
  <si>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</si>
  <si>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</si>
  <si>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</si>
  <si>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</si>
  <si>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</si>
  <si>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</si>
  <si>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</si>
  <si>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</si>
  <si>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</si>
  <si>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</si>
  <si>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</si>
  <si>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</si>
  <si>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</si>
  <si>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</si>
  <si>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</si>
  <si>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</si>
  <si>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</si>
  <si>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</si>
  <si>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</si>
  <si>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</si>
  <si>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</si>
  <si>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</si>
  <si>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</si>
  <si>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</si>
  <si>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</si>
  <si>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</si>
  <si>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</si>
  <si>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</si>
  <si>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</si>
  <si>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</si>
  <si>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</si>
  <si>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</si>
  <si>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</si>
  <si>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</si>
  <si>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</si>
  <si>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</si>
  <si>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</si>
  <si>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</si>
  <si>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</si>
  <si>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</si>
  <si>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</si>
  <si>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</si>
  <si>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</si>
  <si>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</si>
  <si>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</si>
  <si>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</si>
  <si>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</si>
  <si>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</si>
  <si>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</si>
  <si>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</si>
  <si>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</si>
  <si>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</si>
  <si>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</si>
  <si>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</si>
  <si>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</si>
  <si>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</si>
  <si>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</si>
  <si>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</si>
  <si>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</si>
  <si>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</si>
  <si>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</si>
  <si>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</si>
  <si>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</si>
  <si>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</si>
  <si>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</si>
  <si>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</si>
  <si>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</si>
  <si>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</si>
  <si>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</si>
  <si>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</si>
  <si>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</si>
  <si>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</si>
  <si>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</si>
  <si>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</si>
  <si>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</si>
  <si>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</si>
  <si>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</si>
  <si>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</si>
  <si>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</si>
  <si>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</si>
  <si>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</si>
  <si>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</si>
  <si>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</si>
  <si>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</si>
  <si>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</si>
  <si>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</si>
  <si>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</si>
  <si>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</si>
  <si>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</si>
  <si>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</si>
  <si>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</si>
  <si>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</si>
  <si>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</si>
  <si>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</si>
  <si>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</si>
  <si>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</si>
  <si>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</si>
  <si>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</si>
  <si>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</si>
  <si>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</si>
  <si>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</si>
  <si>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</si>
  <si>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</si>
  <si>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</si>
  <si>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</si>
  <si>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</si>
  <si>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</si>
  <si>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</si>
  <si>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</si>
  <si>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</si>
  <si>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</si>
  <si>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</si>
  <si>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</si>
  <si>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</si>
  <si>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</si>
  <si>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</si>
  <si>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</si>
  <si>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</si>
  <si>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</si>
  <si>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</si>
  <si>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</si>
  <si>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</si>
  <si>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</si>
  <si>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</si>
  <si>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</si>
  <si>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</si>
  <si>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</si>
  <si>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</si>
  <si>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</si>
  <si>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</si>
  <si>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</si>
  <si>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</si>
  <si>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</si>
  <si>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</si>
  <si>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</si>
  <si>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</si>
  <si>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</si>
  <si>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</si>
  <si>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</si>
  <si>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</si>
  <si>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</si>
  <si>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</si>
  <si>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</si>
  <si>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</si>
  <si>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</si>
  <si>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</si>
  <si>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</si>
  <si>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</si>
  <si>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</si>
  <si>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</si>
  <si>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</si>
  <si>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</si>
  <si>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</si>
  <si>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</si>
  <si>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</si>
  <si>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</si>
  <si>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</si>
  <si>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</si>
  <si>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</si>
  <si>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</si>
  <si>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</si>
  <si>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</si>
  <si>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</si>
  <si>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</si>
  <si>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</si>
  <si>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</si>
  <si>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</si>
  <si>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</si>
  <si>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</si>
  <si>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</si>
  <si>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</si>
  <si>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</si>
  <si>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</si>
  <si>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</si>
  <si>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</si>
  <si>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</si>
  <si>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</si>
  <si>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</si>
  <si>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</si>
  <si>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</si>
  <si>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</si>
  <si>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</si>
  <si>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</si>
  <si>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</si>
  <si>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</si>
  <si>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</si>
  <si>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</si>
  <si>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</si>
  <si>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</si>
  <si>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</si>
  <si>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</si>
  <si>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</si>
  <si>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</si>
  <si>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</si>
  <si>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</si>
  <si>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</si>
  <si>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</si>
  <si>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</si>
  <si>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</si>
  <si>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</si>
  <si>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</si>
  <si>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</si>
  <si>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</si>
  <si>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</si>
  <si>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</si>
  <si>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</si>
  <si>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</si>
  <si>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</si>
  <si>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</si>
  <si>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</si>
  <si>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</si>
  <si>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</si>
  <si>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</si>
  <si>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</si>
  <si>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</si>
  <si>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</si>
  <si>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</si>
  <si>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</si>
  <si>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</si>
  <si>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</si>
  <si>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</si>
  <si>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</si>
  <si>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</si>
  <si>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</si>
  <si>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</si>
  <si>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</si>
  <si>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</si>
  <si>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</si>
  <si>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</si>
  <si>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</si>
  <si>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</si>
  <si>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</si>
  <si>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</si>
  <si>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</si>
  <si>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</si>
  <si>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</si>
  <si>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</si>
  <si>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</si>
  <si>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</si>
  <si>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</si>
  <si>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</si>
  <si>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</si>
  <si>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</si>
  <si>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</si>
  <si>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</si>
  <si>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</si>
  <si>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</si>
  <si>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</si>
  <si>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</si>
  <si>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</si>
  <si>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</si>
  <si>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</si>
  <si>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</si>
  <si>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</si>
  <si>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</si>
  <si>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</si>
  <si>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</si>
  <si>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</si>
  <si>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</si>
  <si>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</si>
  <si>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</si>
  <si>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</si>
  <si>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</si>
  <si>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</si>
  <si>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</si>
  <si>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</si>
  <si>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</si>
  <si>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</si>
  <si>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</si>
  <si>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</si>
  <si>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</si>
  <si>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</si>
  <si>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</si>
  <si>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</si>
  <si>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</si>
  <si>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</si>
  <si>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</si>
  <si>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</si>
  <si>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</si>
  <si>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</si>
  <si>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</si>
  <si>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</si>
  <si>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</si>
  <si>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</si>
  <si>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</si>
  <si>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</si>
  <si>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</si>
  <si>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</si>
  <si>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</si>
  <si>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</si>
  <si>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</si>
  <si>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</si>
  <si>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</si>
  <si>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</si>
  <si>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</si>
  <si>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</si>
  <si>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</si>
  <si>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</si>
  <si>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</si>
  <si>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</si>
  <si>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</si>
  <si>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</si>
  <si>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</si>
  <si>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</si>
  <si>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</si>
  <si>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</si>
  <si>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</si>
  <si>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</si>
  <si>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</si>
  <si>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</si>
  <si>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</si>
  <si>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</si>
  <si>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</si>
  <si>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</si>
  <si>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</si>
  <si>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</si>
  <si>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</si>
  <si>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</si>
  <si>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</si>
  <si>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</si>
  <si>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</si>
  <si>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</si>
  <si>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</si>
  <si>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</si>
  <si>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</si>
  <si>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</si>
  <si>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</si>
  <si>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</si>
  <si>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</si>
  <si>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</si>
  <si>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</si>
  <si>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</si>
  <si>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</si>
  <si>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</si>
  <si>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</si>
  <si>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</si>
  <si>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</si>
  <si>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</si>
  <si>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</si>
  <si>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</si>
  <si>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</si>
  <si>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</si>
  <si>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</si>
  <si>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</si>
  <si>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</si>
  <si>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</si>
  <si>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</si>
  <si>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</si>
  <si>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</si>
  <si>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</si>
  <si>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</si>
  <si>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</si>
  <si>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</si>
  <si>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</si>
  <si>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</si>
  <si>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</si>
  <si>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</si>
  <si>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</si>
  <si>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</si>
  <si>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</si>
  <si>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</si>
  <si>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</si>
  <si>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</si>
  <si>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</si>
  <si>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</si>
  <si>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</si>
  <si>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</si>
  <si>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</si>
  <si>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</si>
  <si>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</si>
  <si>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</si>
  <si>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</si>
  <si>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</si>
  <si>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</si>
  <si>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</si>
  <si>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</si>
  <si>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</si>
  <si>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</si>
  <si>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</si>
  <si>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</si>
  <si>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</si>
  <si>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</si>
  <si>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</si>
  <si>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</si>
  <si>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</si>
  <si>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</si>
  <si>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</si>
  <si>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</si>
  <si>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</si>
  <si>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</si>
  <si>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</si>
  <si>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</si>
  <si>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</si>
  <si>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</si>
  <si>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</si>
  <si>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</si>
  <si>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</si>
  <si>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</si>
  <si>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</si>
  <si>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</si>
  <si>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</si>
  <si>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</si>
  <si>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</si>
  <si>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</si>
  <si>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</si>
  <si>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</si>
  <si>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</si>
  <si>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</si>
  <si>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</si>
  <si>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</si>
  <si>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</si>
  <si>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</si>
  <si>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</si>
  <si>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</si>
  <si>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</si>
  <si>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</si>
  <si>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</si>
  <si>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</si>
  <si>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</si>
  <si>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</si>
  <si>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</si>
  <si>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</si>
  <si>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</si>
  <si>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</si>
  <si>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</si>
  <si>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</si>
  <si>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</si>
  <si>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</si>
  <si>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</si>
  <si>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</si>
  <si>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</si>
  <si>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</si>
  <si>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</si>
  <si>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</si>
  <si>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</si>
  <si>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</si>
  <si>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</si>
  <si>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</si>
  <si>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</si>
  <si>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</si>
  <si>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</si>
  <si>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</si>
  <si>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</si>
  <si>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</si>
  <si>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</si>
  <si>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</si>
  <si>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</si>
  <si>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</si>
  <si>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</si>
  <si>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</si>
  <si>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</si>
  <si>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</si>
  <si>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</si>
  <si>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</si>
  <si>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</si>
  <si>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</si>
  <si>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</si>
  <si>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</si>
  <si>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</si>
  <si>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</si>
  <si>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</si>
  <si>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</si>
  <si>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</si>
  <si>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</si>
  <si>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</si>
  <si>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</si>
  <si>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</si>
  <si>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</si>
  <si>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</si>
  <si>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</si>
  <si>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</si>
  <si>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</si>
  <si>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</si>
  <si>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</si>
  <si>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</si>
  <si>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</si>
  <si>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</si>
  <si>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</si>
  <si>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</si>
  <si>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</si>
  <si>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</si>
  <si>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</si>
  <si>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</si>
  <si>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</si>
  <si>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</si>
  <si>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</si>
  <si>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</si>
  <si>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</si>
  <si>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</si>
  <si>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</si>
  <si>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</si>
  <si>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</si>
  <si>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</si>
  <si>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</si>
  <si>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</si>
  <si>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</si>
  <si>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</si>
  <si>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</si>
  <si>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</si>
  <si>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</si>
  <si>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</si>
  <si>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</si>
  <si>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</si>
  <si>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</si>
  <si>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</si>
  <si>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</si>
  <si>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</si>
  <si>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</si>
  <si>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</si>
  <si>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</si>
  <si>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</si>
  <si>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</si>
  <si>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</si>
  <si>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</si>
  <si>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</si>
  <si>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</si>
  <si>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</si>
  <si>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</si>
  <si>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</si>
  <si>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</si>
  <si>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</si>
  <si>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</si>
  <si>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</si>
  <si>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</si>
  <si>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</si>
  <si>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</si>
  <si>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</si>
  <si>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</si>
  <si>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</si>
  <si>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</si>
  <si>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</si>
  <si>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</si>
  <si>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</si>
  <si>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</si>
  <si>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</si>
  <si>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</si>
  <si>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</si>
  <si>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</si>
  <si>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</si>
  <si>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</si>
  <si>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</si>
  <si>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</si>
  <si>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</si>
  <si>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</si>
  <si>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</si>
  <si>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</si>
  <si>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</si>
  <si>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</si>
  <si>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</si>
  <si>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</si>
  <si>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</si>
  <si>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</si>
  <si>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</si>
  <si>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</si>
  <si>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</si>
  <si>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</si>
  <si>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</si>
  <si>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</si>
  <si>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</si>
  <si>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</si>
  <si>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</si>
  <si>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</si>
  <si>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</si>
  <si>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</si>
  <si>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</si>
  <si>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</si>
  <si>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</si>
  <si>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</si>
  <si>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</si>
  <si>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</si>
  <si>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</si>
  <si>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</si>
  <si>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</si>
  <si>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</si>
  <si>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</si>
  <si>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</si>
  <si>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</si>
  <si>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</si>
  <si>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</si>
  <si>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</si>
  <si>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</si>
  <si>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</si>
  <si>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</si>
  <si>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</si>
  <si>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</si>
  <si>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</si>
  <si>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</si>
  <si>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</si>
  <si>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</si>
  <si>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</si>
  <si>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</si>
  <si>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</si>
  <si>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</si>
  <si>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</si>
  <si>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</si>
  <si>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</si>
  <si>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</si>
  <si>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</si>
  <si>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</si>
  <si>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</si>
  <si>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</si>
  <si>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</si>
  <si>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</si>
  <si>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</si>
  <si>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</si>
  <si>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</si>
  <si>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</si>
  <si>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</si>
  <si>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</si>
  <si>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</si>
  <si>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</si>
  <si>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</si>
  <si>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</si>
  <si>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</si>
  <si>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</si>
  <si>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</si>
  <si>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</si>
  <si>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</si>
  <si>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</si>
  <si>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</si>
  <si>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</si>
  <si>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</si>
  <si>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</si>
  <si>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</si>
  <si>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</si>
  <si>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</si>
  <si>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</si>
  <si>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</si>
  <si>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</si>
  <si>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</si>
  <si>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</si>
  <si>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</si>
  <si>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</si>
  <si>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</si>
  <si>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</si>
  <si>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</si>
  <si>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</si>
  <si>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</si>
  <si>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</si>
  <si>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</si>
  <si>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</si>
  <si>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</si>
  <si>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</si>
  <si>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</si>
  <si>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</si>
  <si>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</si>
  <si>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</si>
  <si>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</si>
  <si>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</si>
  <si>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</si>
  <si>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</si>
  <si>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</si>
  <si>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</si>
  <si>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</si>
  <si>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</si>
  <si>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</si>
  <si>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</si>
  <si>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</si>
  <si>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</si>
  <si>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</si>
  <si>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</si>
  <si>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</si>
  <si>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</si>
  <si>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</si>
  <si>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</si>
  <si>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</si>
  <si>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</si>
  <si>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</si>
  <si>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</si>
  <si>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</si>
  <si>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</si>
  <si>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</si>
  <si>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</si>
  <si>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</si>
  <si>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</si>
  <si>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</si>
  <si>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</si>
  <si>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</si>
  <si>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</si>
  <si>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</si>
  <si>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</si>
  <si>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</si>
  <si>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</si>
  <si>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</si>
  <si>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</si>
  <si>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</si>
  <si>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</si>
  <si>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</si>
  <si>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</si>
  <si>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</si>
  <si>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</si>
  <si>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</si>
  <si>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</si>
  <si>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</si>
  <si>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</si>
  <si>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</si>
  <si>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</si>
  <si>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</si>
  <si>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</si>
  <si>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</si>
  <si>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</si>
  <si>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</si>
  <si>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</si>
  <si>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</si>
  <si>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</si>
  <si>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</si>
  <si>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</si>
  <si>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</si>
  <si>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</si>
  <si>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</si>
  <si>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</si>
  <si>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</si>
  <si>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</si>
  <si>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</si>
  <si>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</si>
  <si>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</si>
  <si>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</si>
  <si>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</si>
  <si>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</si>
  <si>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</si>
  <si>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</si>
  <si>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</si>
  <si>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</si>
  <si>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</si>
  <si>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</si>
  <si>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</si>
  <si>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</si>
  <si>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</si>
  <si>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</si>
  <si>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</si>
  <si>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</si>
  <si>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</si>
  <si>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</si>
  <si>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</si>
  <si>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</si>
  <si>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</si>
  <si>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</si>
  <si>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</si>
  <si>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</si>
  <si>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</si>
  <si>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</si>
  <si>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</si>
  <si>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</si>
  <si>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</si>
  <si>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</si>
  <si>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</si>
  <si>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</si>
  <si>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</si>
  <si>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</si>
  <si>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</si>
  <si>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</si>
  <si>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</si>
  <si>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</si>
  <si>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</si>
  <si>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</si>
  <si>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</si>
  <si>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</si>
  <si>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</si>
  <si>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</si>
  <si>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</si>
  <si>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</si>
  <si>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</si>
  <si>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</si>
  <si>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</si>
  <si>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</si>
  <si>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</si>
  <si>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</si>
  <si>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</si>
  <si>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</si>
  <si>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</si>
  <si>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</si>
  <si>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</si>
  <si>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</si>
  <si>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</si>
  <si>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</si>
  <si>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</si>
  <si>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</si>
  <si>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</si>
  <si>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</si>
  <si>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</si>
  <si>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</si>
  <si>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</si>
  <si>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</si>
  <si>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</si>
  <si>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</si>
  <si>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</si>
  <si>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</si>
  <si>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</si>
  <si>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</si>
  <si>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</si>
  <si>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</si>
  <si>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</si>
  <si>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</si>
  <si>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</si>
  <si>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</si>
  <si>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</si>
  <si>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</si>
  <si>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</si>
  <si>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</si>
  <si>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</si>
  <si>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</si>
  <si>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</si>
  <si>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</si>
  <si>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</si>
  <si>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</si>
  <si>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</si>
  <si>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</si>
  <si>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</si>
  <si>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</si>
  <si>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</si>
  <si>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</si>
  <si>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</si>
  <si>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</si>
  <si>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</si>
  <si>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</si>
  <si>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</si>
  <si>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</si>
  <si>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</si>
  <si>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</si>
  <si>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</si>
  <si>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</si>
  <si>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</si>
  <si>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</si>
  <si>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</si>
  <si>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</si>
  <si>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</si>
  <si>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</si>
  <si>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</si>
  <si>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</si>
  <si>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</si>
  <si>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</si>
  <si>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</si>
  <si>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</si>
  <si>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</si>
  <si>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</si>
  <si>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</si>
  <si>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</si>
  <si>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</si>
  <si>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</si>
  <si>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</si>
  <si>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</si>
  <si>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</si>
  <si>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</si>
  <si>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</si>
  <si>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</si>
  <si>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</si>
  <si>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</si>
  <si>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</si>
  <si>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</si>
  <si>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</si>
  <si>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</si>
  <si>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</si>
  <si>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</si>
  <si>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</si>
  <si>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</si>
  <si>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</si>
  <si>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</si>
  <si>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</si>
  <si>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</si>
  <si>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</si>
  <si>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</si>
  <si>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</si>
  <si>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</si>
  <si>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</si>
  <si>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</si>
  <si>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</si>
  <si>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</si>
  <si>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</si>
  <si>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</si>
  <si>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</si>
  <si>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</si>
  <si>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</si>
  <si>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</si>
  <si>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</si>
  <si>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</si>
  <si>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</si>
  <si>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</si>
  <si>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</si>
  <si>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</si>
  <si>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</si>
  <si>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</si>
  <si>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</si>
  <si>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</si>
  <si>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</si>
  <si>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</si>
  <si>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</si>
  <si>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</si>
  <si>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</si>
  <si>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</si>
  <si>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</si>
  <si>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</si>
  <si>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</si>
  <si>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</si>
  <si>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</si>
  <si>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</si>
  <si>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</si>
  <si>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</si>
  <si>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</si>
  <si>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</si>
  <si>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</si>
  <si>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</si>
  <si>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</si>
  <si>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</si>
  <si>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</si>
  <si>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</si>
  <si>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</si>
  <si>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</si>
  <si>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</si>
  <si>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</si>
  <si>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</si>
  <si>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</si>
  <si>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</si>
  <si>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</si>
  <si>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</si>
  <si>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</si>
  <si>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</si>
  <si>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</si>
  <si>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</si>
  <si>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</si>
  <si>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</si>
  <si>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</si>
  <si>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</si>
  <si>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</si>
  <si>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</si>
  <si>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</si>
  <si>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</si>
  <si>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</si>
  <si>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</si>
  <si>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</si>
  <si>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</si>
  <si>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</si>
  <si>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</si>
  <si>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</si>
  <si>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</si>
  <si>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</si>
  <si>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</si>
  <si>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</si>
  <si>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</si>
  <si>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</si>
  <si>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</si>
  <si>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</si>
  <si>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</si>
  <si>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</si>
  <si>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</si>
  <si>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</si>
  <si>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</si>
  <si>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</si>
  <si>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</si>
  <si>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</si>
  <si>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</si>
  <si>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</si>
  <si>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</si>
  <si>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</si>
  <si>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</si>
  <si>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</si>
  <si>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</si>
  <si>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</si>
  <si>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</si>
  <si>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</si>
  <si>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</si>
  <si>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</si>
  <si>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</si>
  <si>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</si>
  <si>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</si>
  <si>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</si>
  <si>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</si>
  <si>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</si>
  <si>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</si>
  <si>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</si>
  <si>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</si>
  <si>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</si>
  <si>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</si>
  <si>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</si>
  <si>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</si>
  <si>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</si>
  <si>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</si>
  <si>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</si>
  <si>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</si>
  <si>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</si>
  <si>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</si>
  <si>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</si>
  <si>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</si>
  <si>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</si>
  <si>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</si>
  <si>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</si>
  <si>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</si>
  <si>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</si>
  <si>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</si>
  <si>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</si>
  <si>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</si>
  <si>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</si>
  <si>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</si>
  <si>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</si>
  <si>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</si>
  <si>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</si>
  <si>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</si>
  <si>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</si>
  <si>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</si>
  <si>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</si>
  <si>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</si>
  <si>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</si>
  <si>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</si>
  <si>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</si>
  <si>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</si>
  <si>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</si>
  <si>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</si>
  <si>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</si>
  <si>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</si>
  <si>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</si>
  <si>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</si>
  <si>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</si>
  <si>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</si>
  <si>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</si>
  <si>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</si>
  <si>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</si>
  <si>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</si>
  <si>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</si>
  <si>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</si>
  <si>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</si>
  <si>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</si>
  <si>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</si>
  <si>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</si>
  <si>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</si>
  <si>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</si>
  <si>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</si>
  <si>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</si>
  <si>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</si>
  <si>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</si>
  <si>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</si>
  <si>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</si>
  <si>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</si>
  <si>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</si>
  <si>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</si>
  <si>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</si>
  <si>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</si>
  <si>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</si>
  <si>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</si>
  <si>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</si>
  <si>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</si>
  <si>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</si>
  <si>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</si>
  <si>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</si>
  <si>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</si>
  <si>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</si>
  <si>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</si>
  <si>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</si>
  <si>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</si>
  <si>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</si>
  <si>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</si>
  <si>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</si>
  <si>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</si>
  <si>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</si>
  <si>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</si>
  <si>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</si>
  <si>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</si>
  <si>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</si>
  <si>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</si>
  <si>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</si>
  <si>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</si>
  <si>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</si>
  <si>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</si>
  <si>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</si>
  <si>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</si>
  <si>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</si>
  <si>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</si>
  <si>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</si>
  <si>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</si>
  <si>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</si>
  <si>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</si>
  <si>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</si>
  <si>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</si>
  <si>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</si>
  <si>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</si>
  <si>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</si>
  <si>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</si>
  <si>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</si>
  <si>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</si>
  <si>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</si>
  <si>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</si>
  <si>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</si>
  <si>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</si>
  <si>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</si>
  <si>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</si>
  <si>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</si>
  <si>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</si>
  <si>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</si>
  <si>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</si>
  <si>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</si>
  <si>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</si>
  <si>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</si>
  <si>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</si>
  <si>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</si>
  <si>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</si>
  <si>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</si>
  <si>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</si>
  <si>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</si>
  <si>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</si>
  <si>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</si>
  <si>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</si>
  <si>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</si>
  <si>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</si>
  <si>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</si>
  <si>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</si>
  <si>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</si>
  <si>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</si>
  <si>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</si>
  <si>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</si>
  <si>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</si>
  <si>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</si>
  <si>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</si>
  <si>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</si>
  <si>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</si>
  <si>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</si>
  <si>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</si>
  <si>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</si>
  <si>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</si>
  <si>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</si>
  <si>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</si>
  <si>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</si>
  <si>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</si>
  <si>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</si>
  <si>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</si>
  <si>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</si>
  <si>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</si>
  <si>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</si>
  <si>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</si>
  <si>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</si>
  <si>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</si>
  <si>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</si>
  <si>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</si>
  <si>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</si>
  <si>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</si>
  <si>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</si>
  <si>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</si>
  <si>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</si>
  <si>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</si>
  <si>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</si>
  <si>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</si>
  <si>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</si>
  <si>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</si>
  <si>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</si>
  <si>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</si>
  <si>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</si>
  <si>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</si>
  <si>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</si>
  <si>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</si>
  <si>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</si>
  <si>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</si>
  <si>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</si>
  <si>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</si>
  <si>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</si>
  <si>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</si>
  <si>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</si>
  <si>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</si>
  <si>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</si>
  <si>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</si>
  <si>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</si>
  <si>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</si>
  <si>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</si>
  <si>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</si>
  <si>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</si>
  <si>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</si>
  <si>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</si>
  <si>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</si>
  <si>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</si>
  <si>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</si>
  <si>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</si>
  <si>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</si>
  <si>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</si>
  <si>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</si>
  <si>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</si>
  <si>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</si>
  <si>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</si>
  <si>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</si>
  <si>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</si>
  <si>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</si>
  <si>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</si>
  <si>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</si>
  <si>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</si>
  <si>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</si>
  <si>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</si>
  <si>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</si>
  <si>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</si>
  <si>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</si>
  <si>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</si>
  <si>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</si>
  <si>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</si>
  <si>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</si>
  <si>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</si>
  <si>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</si>
  <si>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</si>
  <si>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</si>
  <si>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</si>
  <si>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</si>
  <si>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</si>
  <si>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</si>
  <si>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</si>
  <si>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</si>
  <si>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</si>
  <si>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</si>
  <si>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</si>
  <si>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</si>
  <si>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</si>
  <si>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</si>
  <si>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</si>
  <si>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</si>
  <si>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</si>
  <si>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</si>
  <si>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</si>
  <si>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</si>
  <si>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</si>
  <si>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</si>
  <si>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</si>
  <si>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</si>
  <si>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</si>
  <si>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</si>
  <si>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</si>
  <si>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</si>
  <si>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</si>
  <si>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</si>
  <si>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</si>
  <si>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</si>
  <si>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</si>
  <si>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</si>
  <si>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</si>
  <si>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</si>
  <si>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</si>
  <si>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</si>
  <si>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</si>
  <si>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</si>
  <si>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</si>
  <si>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</si>
  <si>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</si>
  <si>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</si>
  <si>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</si>
  <si>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</si>
  <si>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</si>
  <si>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</si>
  <si>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</si>
  <si>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</si>
  <si>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</si>
  <si>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</si>
  <si>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</si>
  <si>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</si>
  <si>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</si>
  <si>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</si>
  <si>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</si>
  <si>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</si>
  <si>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</si>
  <si>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</si>
  <si>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</si>
  <si>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</si>
  <si>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</si>
  <si>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</si>
  <si>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</si>
  <si>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</si>
  <si>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</si>
  <si>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</si>
  <si>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</si>
  <si>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</si>
  <si>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</si>
  <si>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</si>
  <si>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</si>
  <si>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</si>
  <si>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</si>
  <si>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</si>
  <si>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</si>
  <si>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</si>
  <si>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</si>
  <si>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</si>
  <si>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</si>
  <si>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</si>
  <si>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</si>
  <si>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</si>
  <si>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</si>
  <si>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</si>
  <si>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</si>
  <si>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</si>
  <si>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</si>
  <si>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</si>
  <si>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</si>
  <si>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</si>
  <si>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</si>
  <si>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</si>
  <si>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</si>
  <si>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</si>
  <si>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</si>
  <si>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</si>
  <si>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</si>
  <si>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</si>
  <si>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</si>
  <si>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</si>
  <si>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</si>
  <si>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</si>
  <si>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</si>
  <si>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</si>
  <si>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</si>
  <si>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</si>
  <si>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</si>
  <si>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</si>
  <si>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</si>
  <si>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</si>
  <si>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</si>
  <si>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</si>
  <si>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</si>
  <si>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</si>
  <si>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</si>
  <si>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</si>
  <si>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</si>
  <si>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</si>
  <si>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</si>
  <si>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</si>
  <si>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</si>
  <si>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</si>
  <si>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</si>
  <si>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</si>
  <si>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</si>
  <si>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</si>
  <si>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</si>
  <si>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</si>
  <si>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</si>
  <si>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</si>
  <si>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</si>
  <si>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</si>
  <si>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</si>
  <si>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</si>
  <si>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</si>
  <si>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</si>
  <si>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</si>
  <si>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</si>
  <si>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</si>
  <si>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</si>
  <si>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</si>
  <si>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</si>
  <si>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</si>
  <si>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</si>
  <si>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</si>
  <si>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</si>
  <si>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</si>
  <si>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</si>
  <si>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</si>
  <si>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</si>
  <si>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</si>
  <si>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</si>
  <si>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</si>
  <si>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</si>
  <si>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</si>
  <si>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</si>
  <si>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</si>
  <si>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</si>
  <si>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</si>
  <si>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</si>
  <si>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</si>
  <si>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</si>
  <si>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</si>
  <si>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</si>
  <si>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</si>
  <si>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</si>
  <si>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</si>
  <si>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</si>
  <si>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</si>
  <si>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</si>
  <si>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</si>
  <si>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</si>
  <si>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</si>
  <si>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</si>
  <si>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</si>
  <si>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</si>
  <si>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</si>
  <si>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</si>
  <si>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</si>
  <si>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</si>
  <si>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</si>
  <si>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</si>
  <si>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</si>
  <si>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</si>
  <si>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</si>
  <si>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</si>
  <si>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</si>
  <si>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</si>
  <si>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</si>
  <si>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</si>
  <si>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</si>
  <si>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</si>
  <si>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</si>
  <si>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</si>
  <si>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</si>
  <si>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</si>
  <si>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</si>
  <si>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</si>
  <si>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</si>
  <si>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</si>
  <si>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</si>
  <si>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</si>
  <si>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</si>
  <si>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</si>
  <si>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</si>
  <si>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</si>
  <si>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</si>
  <si>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</si>
  <si>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</si>
  <si>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</si>
  <si>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</si>
  <si>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</si>
  <si>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</si>
  <si>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</si>
  <si>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</si>
  <si>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</si>
  <si>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</si>
  <si>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</si>
  <si>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</si>
  <si>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</si>
  <si>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</si>
  <si>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</si>
  <si>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</si>
  <si>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</si>
  <si>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</si>
  <si>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</si>
  <si>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</si>
  <si>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</si>
  <si>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</si>
  <si>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</si>
  <si>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</si>
  <si>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</si>
  <si>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</si>
  <si>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</si>
  <si>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</si>
  <si>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</si>
  <si>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</si>
  <si>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</si>
  <si>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</si>
  <si>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</si>
  <si>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</si>
  <si>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</si>
  <si>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</si>
  <si>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</si>
  <si>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</si>
  <si>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</si>
  <si>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</si>
  <si>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</si>
  <si>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</si>
  <si>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</si>
  <si>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</si>
  <si>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</si>
  <si>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</si>
  <si>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</si>
  <si>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</si>
  <si>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</si>
  <si>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</si>
  <si>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</si>
  <si>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</si>
  <si>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</si>
  <si>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</si>
  <si>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</si>
  <si>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</si>
  <si>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</si>
  <si>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</si>
  <si>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</si>
  <si>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</si>
  <si>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</si>
  <si>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</si>
  <si>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</si>
  <si>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</si>
  <si>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</si>
  <si>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</si>
  <si>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</si>
  <si>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</si>
  <si>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</si>
  <si>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</si>
  <si>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</si>
  <si>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</si>
  <si>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</si>
  <si>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</si>
  <si>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</si>
  <si>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</si>
  <si>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</si>
  <si>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</si>
  <si>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</si>
  <si>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</si>
  <si>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</si>
  <si>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</si>
  <si>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</si>
  <si>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</si>
  <si>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</si>
  <si>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</si>
  <si>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</si>
  <si>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</si>
  <si>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</si>
  <si>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</si>
  <si>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</si>
  <si>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</si>
  <si>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</si>
  <si>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</si>
  <si>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</si>
  <si>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</si>
  <si>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</si>
  <si>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</si>
  <si>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</si>
  <si>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</si>
  <si>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</si>
  <si>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</si>
  <si>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</si>
  <si>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</si>
  <si>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</si>
  <si>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</si>
  <si>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</si>
  <si>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</si>
  <si>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</si>
  <si>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</si>
  <si>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</si>
  <si>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</si>
  <si>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</si>
  <si>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</si>
  <si>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</si>
  <si>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</si>
  <si>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</si>
  <si>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</si>
  <si>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</si>
  <si>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</si>
  <si>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</si>
  <si>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</si>
  <si>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</si>
  <si>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</si>
  <si>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</si>
  <si>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</si>
  <si>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</si>
  <si>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</si>
  <si>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</si>
  <si>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</si>
  <si>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</si>
  <si>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</si>
  <si>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</si>
  <si>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</si>
  <si>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</si>
  <si>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</si>
  <si>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</si>
  <si>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</si>
  <si>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</si>
  <si>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</si>
  <si>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</si>
  <si>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</si>
  <si>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</si>
  <si>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</si>
  <si>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</si>
  <si>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</si>
  <si>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</si>
  <si>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</si>
  <si>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</si>
  <si>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</si>
  <si>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</si>
  <si>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</si>
  <si>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</si>
  <si>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</si>
  <si>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</si>
  <si>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</si>
  <si>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</si>
  <si>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</si>
  <si>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</si>
  <si>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</si>
  <si>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</si>
  <si>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</si>
  <si>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</si>
  <si>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</si>
  <si>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</si>
  <si>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</si>
  <si>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</si>
  <si>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</si>
  <si>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</si>
  <si>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</si>
  <si>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</si>
  <si>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</si>
  <si>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</si>
  <si>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</si>
  <si>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</si>
  <si>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</si>
  <si>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</si>
  <si>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</si>
  <si>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</si>
  <si>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</si>
  <si>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</si>
  <si>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</si>
  <si>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</si>
  <si>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</si>
  <si>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</si>
  <si>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</si>
  <si>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</si>
  <si>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</si>
  <si>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</si>
  <si>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</si>
  <si>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</si>
  <si>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</si>
  <si>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</si>
  <si>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</si>
  <si>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</si>
  <si>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</si>
  <si>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</si>
  <si>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</si>
  <si>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</si>
  <si>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</si>
  <si>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</si>
  <si>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</si>
  <si>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</si>
  <si>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</si>
  <si>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</si>
  <si>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</si>
  <si>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</si>
  <si>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</si>
  <si>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</si>
  <si>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</si>
  <si>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</si>
  <si>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</si>
  <si>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</si>
  <si>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</si>
  <si>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</si>
  <si>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</si>
  <si>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</si>
  <si>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</si>
  <si>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</si>
  <si>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</si>
  <si>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</si>
  <si>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</si>
  <si>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</si>
  <si>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</si>
  <si>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</si>
  <si>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</si>
  <si>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</si>
  <si>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</si>
  <si>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</si>
  <si>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</si>
  <si>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</si>
  <si>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</si>
  <si>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</si>
  <si>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</si>
  <si>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</si>
  <si>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</si>
  <si>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</si>
  <si>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</si>
  <si>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</si>
  <si>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</si>
  <si>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</si>
  <si>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</si>
  <si>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</si>
  <si>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</si>
  <si>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</si>
  <si>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</si>
  <si>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</si>
  <si>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</si>
  <si>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</si>
  <si>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</si>
  <si>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</si>
  <si>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</si>
  <si>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</si>
  <si>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</si>
  <si>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</si>
  <si>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</si>
  <si>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</si>
  <si>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</si>
  <si>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</si>
  <si>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</si>
  <si>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</si>
  <si>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</si>
  <si>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</si>
  <si>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</si>
  <si>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</si>
  <si>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</si>
  <si>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</si>
  <si>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</si>
  <si>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</si>
  <si>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</si>
  <si>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</si>
  <si>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</si>
  <si>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</si>
  <si>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</si>
  <si>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</si>
  <si>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</si>
  <si>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</si>
  <si>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</si>
  <si>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</si>
  <si>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</si>
  <si>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</si>
  <si>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</si>
  <si>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</si>
  <si>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</si>
  <si>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</si>
  <si>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</si>
  <si>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</si>
  <si>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</si>
  <si>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</si>
  <si>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</si>
  <si>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</si>
  <si>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</si>
  <si>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</si>
  <si>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</si>
  <si>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</si>
  <si>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</si>
  <si>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</si>
  <si>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</si>
  <si>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</si>
  <si>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</si>
  <si>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</si>
  <si>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</si>
  <si>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</si>
  <si>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</si>
  <si>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</si>
  <si>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</si>
  <si>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</si>
  <si>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</si>
  <si>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</si>
  <si>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</si>
  <si>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</si>
  <si>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</si>
  <si>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</si>
  <si>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</si>
  <si>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</si>
  <si>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</si>
  <si>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</si>
  <si>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</si>
  <si>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</si>
  <si>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</si>
  <si>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</si>
  <si>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</si>
  <si>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</si>
  <si>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</si>
  <si>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</si>
  <si>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</si>
  <si>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</si>
  <si>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</si>
  <si>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</si>
  <si>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</si>
  <si>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</si>
  <si>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</si>
  <si>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</si>
  <si>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</si>
  <si>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</si>
  <si>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</si>
  <si>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</si>
  <si>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</si>
  <si>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</si>
  <si>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</si>
  <si>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</si>
  <si>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</si>
  <si>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</si>
  <si>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</si>
  <si>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</si>
  <si>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</si>
  <si>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</si>
  <si>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</si>
  <si>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</si>
  <si>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</si>
  <si>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</si>
  <si>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</si>
  <si>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</si>
  <si>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</si>
  <si>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</si>
  <si>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</si>
  <si>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</si>
  <si>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</si>
  <si>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</si>
  <si>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</si>
  <si>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</si>
  <si>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</si>
  <si>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</si>
  <si>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</si>
  <si>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</si>
  <si>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</si>
  <si>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</si>
  <si>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</si>
  <si>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</si>
  <si>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</si>
  <si>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</si>
  <si>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</si>
  <si>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</si>
  <si>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</si>
  <si>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</si>
  <si>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</si>
  <si>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</si>
  <si>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</si>
  <si>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</si>
  <si>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</si>
  <si>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</si>
  <si>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</si>
  <si>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</si>
  <si>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</si>
  <si>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</si>
  <si>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</si>
  <si>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</si>
  <si>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</si>
  <si>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</si>
  <si>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</si>
  <si>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</si>
  <si>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</si>
  <si>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</si>
  <si>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</si>
  <si>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</si>
  <si>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</si>
  <si>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</si>
  <si>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</si>
  <si>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</si>
  <si>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</si>
  <si>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</si>
  <si>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</si>
  <si>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</si>
  <si>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</si>
  <si>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</si>
  <si>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</si>
  <si>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</si>
  <si>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</si>
  <si>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</si>
  <si>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</si>
  <si>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</si>
  <si>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</si>
  <si>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</si>
  <si>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</si>
  <si>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</si>
  <si>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</si>
  <si>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</si>
  <si>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</si>
  <si>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</si>
  <si>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</si>
  <si>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</si>
  <si>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</si>
  <si>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</si>
  <si>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</si>
  <si>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</si>
  <si>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</si>
  <si>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</si>
  <si>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</si>
  <si>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</si>
  <si>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</si>
  <si>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</si>
  <si>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</si>
  <si>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</si>
  <si>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</si>
  <si>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</si>
  <si>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</si>
  <si>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</si>
  <si>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</si>
  <si>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</si>
  <si>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</si>
  <si>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</si>
  <si>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</si>
  <si>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</si>
  <si>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</si>
  <si>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</si>
  <si>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</si>
  <si>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</si>
  <si>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</si>
  <si>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</si>
  <si>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</si>
  <si>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</si>
  <si>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</si>
  <si>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</si>
  <si>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</si>
  <si>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</si>
  <si>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</si>
  <si>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</si>
  <si>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</si>
  <si>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</si>
  <si>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</si>
  <si>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</si>
  <si>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</si>
  <si>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</si>
  <si>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</si>
  <si>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</si>
  <si>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</si>
  <si>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</si>
  <si>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</si>
  <si>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</si>
  <si>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</si>
  <si>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</si>
  <si>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</si>
  <si>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</si>
  <si>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</si>
  <si>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</si>
  <si>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</si>
  <si>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</si>
  <si>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</si>
  <si>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</si>
  <si>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</si>
  <si>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</si>
  <si>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</si>
  <si>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</si>
  <si>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</si>
  <si>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</si>
  <si>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</si>
  <si>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</si>
  <si>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</si>
  <si>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</si>
  <si>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</si>
  <si>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</si>
  <si>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</si>
  <si>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</si>
  <si>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</si>
  <si>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</si>
  <si>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</si>
  <si>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</si>
  <si>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</si>
  <si>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</si>
  <si>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</si>
  <si>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</si>
  <si>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</si>
  <si>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</si>
  <si>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</si>
  <si>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</si>
  <si>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</si>
  <si>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</si>
  <si>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</si>
  <si>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</si>
  <si>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</si>
  <si>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</si>
  <si>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</si>
  <si>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</si>
  <si>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</si>
  <si>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</si>
  <si>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</si>
  <si>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</si>
  <si>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</si>
  <si>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</si>
  <si>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</si>
  <si>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</si>
  <si>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</si>
  <si>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</si>
  <si>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</si>
  <si>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</si>
  <si>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</si>
  <si>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</si>
  <si>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</si>
  <si>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</si>
  <si>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</si>
  <si>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</si>
  <si>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</si>
  <si>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</si>
  <si>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</si>
  <si>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</si>
  <si>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</si>
  <si>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</si>
  <si>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</si>
  <si>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</si>
  <si>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</si>
  <si>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</si>
  <si>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</si>
  <si>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</si>
  <si>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</si>
  <si>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</si>
  <si>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</si>
  <si>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</si>
  <si>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</si>
  <si>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</si>
  <si>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</si>
  <si>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</si>
  <si>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</si>
  <si>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</si>
  <si>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</si>
  <si>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</si>
  <si>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</si>
  <si>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</si>
  <si>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</si>
  <si>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</si>
  <si>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</si>
  <si>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</si>
  <si>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</si>
  <si>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</si>
  <si>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</si>
  <si>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</si>
  <si>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</si>
  <si>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</si>
  <si>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</si>
  <si>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</si>
  <si>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</si>
  <si>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</si>
  <si>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</si>
  <si>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</si>
  <si>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</si>
  <si>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</si>
  <si>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</si>
  <si>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</si>
  <si>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</si>
  <si>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</si>
  <si>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</si>
  <si>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</si>
  <si>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</si>
  <si>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</si>
  <si>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</si>
  <si>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</si>
  <si>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</si>
  <si>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</si>
  <si>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</si>
  <si>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</si>
  <si>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</si>
  <si>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</si>
  <si>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</si>
  <si>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</si>
  <si>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</si>
  <si>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</si>
  <si>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</si>
  <si>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</si>
  <si>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</si>
  <si>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</si>
  <si>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</si>
  <si>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</si>
  <si>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</si>
  <si>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</si>
  <si>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</si>
  <si>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</si>
  <si>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</si>
  <si>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</si>
  <si>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</si>
  <si>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</si>
  <si>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</si>
  <si>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</si>
  <si>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</si>
  <si>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</si>
  <si>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</si>
  <si>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</si>
  <si>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</si>
  <si>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</si>
  <si>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</si>
  <si>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</si>
  <si>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</si>
  <si>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</si>
  <si>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</si>
  <si>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</si>
  <si>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</si>
  <si>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</si>
  <si>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</si>
  <si>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</si>
  <si>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</si>
  <si>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</si>
  <si>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</si>
  <si>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</si>
  <si>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</si>
  <si>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</si>
  <si>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</si>
  <si>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</si>
  <si>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</si>
  <si>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</si>
  <si>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</si>
  <si>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</si>
  <si>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</si>
  <si>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</si>
  <si>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</si>
  <si>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</si>
  <si>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</si>
  <si>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</si>
  <si>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</si>
  <si>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</si>
  <si>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</si>
  <si>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</si>
  <si>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</si>
  <si>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</si>
  <si>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</si>
  <si>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</si>
  <si>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</si>
  <si>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</si>
  <si>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</si>
  <si>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</si>
  <si>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</si>
  <si>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</si>
  <si>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</si>
  <si>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</si>
  <si>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</si>
  <si>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</si>
  <si>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</si>
  <si>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</si>
  <si>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</si>
  <si>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</si>
  <si>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</si>
  <si>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</si>
  <si>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</si>
  <si>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</si>
  <si>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</si>
  <si>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</si>
  <si>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</si>
  <si>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</si>
  <si>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</si>
  <si>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</si>
  <si>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</si>
  <si>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</si>
  <si>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</si>
  <si>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</si>
  <si>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</si>
  <si>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</si>
  <si>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</si>
  <si>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</si>
  <si>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</si>
  <si>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</si>
  <si>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</si>
  <si>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</si>
  <si>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</si>
  <si>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</si>
  <si>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</si>
  <si>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</si>
  <si>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</si>
  <si>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</si>
  <si>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</si>
  <si>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</si>
  <si>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</si>
  <si>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</si>
  <si>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</si>
  <si>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</si>
  <si>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</si>
  <si>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</si>
  <si>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</si>
  <si>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</si>
  <si>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</si>
  <si>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</si>
  <si>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</si>
  <si>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</si>
  <si>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</si>
  <si>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</si>
  <si>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</si>
  <si>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</si>
  <si>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</si>
  <si>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</si>
  <si>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</si>
  <si>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</si>
  <si>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</si>
  <si>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</si>
  <si>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</si>
  <si>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</si>
  <si>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</si>
  <si>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</si>
  <si>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</si>
  <si>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</si>
  <si>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</si>
  <si>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</si>
  <si>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</si>
  <si>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</si>
  <si>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</si>
  <si>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</si>
  <si>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</si>
  <si>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</si>
  <si>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</si>
  <si>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</si>
  <si>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</si>
  <si>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</si>
  <si>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</si>
  <si>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</si>
  <si>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</si>
  <si>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</si>
  <si>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</si>
  <si>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</si>
  <si>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</si>
  <si>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</si>
  <si>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</si>
  <si>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</si>
  <si>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</si>
  <si>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</si>
  <si>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</si>
  <si>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</si>
  <si>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</si>
  <si>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</si>
  <si>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</si>
  <si>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</si>
  <si>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</si>
  <si>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</si>
  <si>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</si>
  <si>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</si>
  <si>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</si>
  <si>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</si>
  <si>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</si>
  <si>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</si>
  <si>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</si>
  <si>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</si>
  <si>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</si>
  <si>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</si>
  <si>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</si>
  <si>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</si>
  <si>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</si>
  <si>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</si>
  <si>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</si>
  <si>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</si>
  <si>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</si>
  <si>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</si>
  <si>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</si>
  <si>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</si>
  <si>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</si>
  <si>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</si>
  <si>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</si>
  <si>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</si>
  <si>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</si>
  <si>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</si>
  <si>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</si>
  <si>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</si>
  <si>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</si>
  <si>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</si>
  <si>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</si>
  <si>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</si>
  <si>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</si>
  <si>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</si>
  <si>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</si>
  <si>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</si>
  <si>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</si>
  <si>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</si>
  <si>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</si>
  <si>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</si>
  <si>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</si>
  <si>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</si>
  <si>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</si>
  <si>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</si>
  <si>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</si>
  <si>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</si>
  <si>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</si>
  <si>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</si>
  <si>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</si>
  <si>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</si>
  <si>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</si>
  <si>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</si>
  <si>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</si>
  <si>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</si>
  <si>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</si>
  <si>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</si>
  <si>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</si>
  <si>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</si>
  <si>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</si>
  <si>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</si>
  <si>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</si>
  <si>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</si>
  <si>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</si>
  <si>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</si>
  <si>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</si>
  <si>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</si>
  <si>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</si>
  <si>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</si>
  <si>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</si>
  <si>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</si>
  <si>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</si>
  <si>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</si>
  <si>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</si>
  <si>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</si>
  <si>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</si>
  <si>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</si>
  <si>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</si>
  <si>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</si>
  <si>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</si>
  <si>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</si>
  <si>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</si>
  <si>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</si>
  <si>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</si>
  <si>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</si>
  <si>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</si>
  <si>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</si>
  <si>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</si>
  <si>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</si>
  <si>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</si>
  <si>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</si>
  <si>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</si>
  <si>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</si>
  <si>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</si>
  <si>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</si>
  <si>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</si>
  <si>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</si>
  <si>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</si>
  <si>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</si>
  <si>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</si>
  <si>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</si>
  <si>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</si>
  <si>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</si>
  <si>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</si>
  <si>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</si>
  <si>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</si>
  <si>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</si>
  <si>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</si>
  <si>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</si>
  <si>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</si>
  <si>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</si>
  <si>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</si>
  <si>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</si>
  <si>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</si>
  <si>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</si>
  <si>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</si>
  <si>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</si>
  <si>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</si>
  <si>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</si>
  <si>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</si>
  <si>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</si>
  <si>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</si>
  <si>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</si>
  <si>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</si>
  <si>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</si>
  <si>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</si>
  <si>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</si>
  <si>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</si>
  <si>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</si>
  <si>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</si>
  <si>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</si>
  <si>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</si>
  <si>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</si>
  <si>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</si>
  <si>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</si>
  <si>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</si>
  <si>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</si>
  <si>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</si>
  <si>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</si>
  <si>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</si>
  <si>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</si>
  <si>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</si>
  <si>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</si>
  <si>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</si>
  <si>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</si>
  <si>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</si>
  <si>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</si>
  <si>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</si>
  <si>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</si>
  <si>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</si>
  <si>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</si>
  <si>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</si>
  <si>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</si>
  <si>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</si>
  <si>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</si>
  <si>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</si>
  <si>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</si>
  <si>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</si>
  <si>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</si>
  <si>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</si>
  <si>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</si>
  <si>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</si>
  <si>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</si>
  <si>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</si>
  <si>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</si>
  <si>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</si>
  <si>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</si>
  <si>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</si>
  <si>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</si>
  <si>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</si>
  <si>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</si>
  <si>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</si>
  <si>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</si>
  <si>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</si>
  <si>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</si>
  <si>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</si>
  <si>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</si>
  <si>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</si>
  <si>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</si>
  <si>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</si>
  <si>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</si>
  <si>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</si>
  <si>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</si>
  <si>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</si>
  <si>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</si>
  <si>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</si>
  <si>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</si>
  <si>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</si>
  <si>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</si>
  <si>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</si>
  <si>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</si>
  <si>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</si>
  <si>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</si>
  <si>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</si>
  <si>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</si>
  <si>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</si>
  <si>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</si>
  <si>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</si>
  <si>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</si>
  <si>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</si>
  <si>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</si>
  <si>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</si>
  <si>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</si>
  <si>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</si>
  <si>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</si>
  <si>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</si>
  <si>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</si>
  <si>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</si>
  <si>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</si>
  <si>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</si>
  <si>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</si>
  <si>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</si>
  <si>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</si>
  <si>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</si>
  <si>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</si>
  <si>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</si>
  <si>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</si>
  <si>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</si>
  <si>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</si>
  <si>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</si>
  <si>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</si>
  <si>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</si>
  <si>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</si>
  <si>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</si>
  <si>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</si>
  <si>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</si>
  <si>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</si>
  <si>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</si>
  <si>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</si>
  <si>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</si>
  <si>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</si>
  <si>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</si>
  <si>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</si>
  <si>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</si>
  <si>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</si>
  <si>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</si>
  <si>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</si>
  <si>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</si>
  <si>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</si>
  <si>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</si>
  <si>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</si>
  <si>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</si>
  <si>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</si>
  <si>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</si>
  <si>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</si>
  <si>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</si>
  <si>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</si>
  <si>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</si>
  <si>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</si>
  <si>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</si>
  <si>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</si>
  <si>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</si>
  <si>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</si>
  <si>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</si>
  <si>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</si>
  <si>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</si>
  <si>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</si>
  <si>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</si>
  <si>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</si>
  <si>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</si>
  <si>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</si>
  <si>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</si>
  <si>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</si>
  <si>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</si>
  <si>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</si>
  <si>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</si>
  <si>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</si>
  <si>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</si>
  <si>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</si>
  <si>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</si>
  <si>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</si>
  <si>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</si>
  <si>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</si>
  <si>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</si>
  <si>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</si>
  <si>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</si>
  <si>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</si>
  <si>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</si>
  <si>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</si>
  <si>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</si>
  <si>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</si>
  <si>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</si>
  <si>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</si>
  <si>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</si>
  <si>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</si>
  <si>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</si>
  <si>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</si>
  <si>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</si>
  <si>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</si>
  <si>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</si>
  <si>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</si>
  <si>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</si>
  <si>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</si>
  <si>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</si>
  <si>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</si>
  <si>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</si>
  <si>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</si>
  <si>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</si>
  <si>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</si>
  <si>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</si>
  <si>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</si>
  <si>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</si>
  <si>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</si>
  <si>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</si>
  <si>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</si>
  <si>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</si>
  <si>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</si>
  <si>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</si>
  <si>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</si>
  <si>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</si>
  <si>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</si>
  <si>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</si>
  <si>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</si>
  <si>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</si>
  <si>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</si>
  <si>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</si>
  <si>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</si>
  <si>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</si>
  <si>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</si>
  <si>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</si>
  <si>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</si>
  <si>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</si>
  <si>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</si>
  <si>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</si>
  <si>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</si>
  <si>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</si>
  <si>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</si>
  <si>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</si>
  <si>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</si>
  <si>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</si>
  <si>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</si>
  <si>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</si>
  <si>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</si>
  <si>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</si>
  <si>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</si>
  <si>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</si>
  <si>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</si>
  <si>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</si>
  <si>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</si>
  <si>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</si>
  <si>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</si>
  <si>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</si>
  <si>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</si>
  <si>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</si>
  <si>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</si>
  <si>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</si>
  <si>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</si>
  <si>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</si>
  <si>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</si>
  <si>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</si>
  <si>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</si>
  <si>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</si>
  <si>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</si>
  <si>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</si>
  <si>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</si>
  <si>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</si>
  <si>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</si>
  <si>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</si>
  <si>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</si>
  <si>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</si>
  <si>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</si>
  <si>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</si>
  <si>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</si>
  <si>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</si>
  <si>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</si>
  <si>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</si>
  <si>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</si>
  <si>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</si>
  <si>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</si>
  <si>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</si>
  <si>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</si>
  <si>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</si>
  <si>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</si>
  <si>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</si>
  <si>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</si>
  <si>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</si>
  <si>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</si>
  <si>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</si>
  <si>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</si>
  <si>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</si>
  <si>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</si>
  <si>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</si>
  <si>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</si>
  <si>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</si>
  <si>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</si>
  <si>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</si>
  <si>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</si>
  <si>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</si>
  <si>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</si>
  <si>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</si>
  <si>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</si>
  <si>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</si>
  <si>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</si>
  <si>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</si>
  <si>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</si>
  <si>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</si>
  <si>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</si>
  <si>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</si>
  <si>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</si>
  <si>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</si>
  <si>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</si>
  <si>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</si>
  <si>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</si>
  <si>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</si>
  <si>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</si>
  <si>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</si>
  <si>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</si>
  <si>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</si>
  <si>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</si>
  <si>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</si>
  <si>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</si>
  <si>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</si>
  <si>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</si>
  <si>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</si>
  <si>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</si>
  <si>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</si>
  <si>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</si>
  <si>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</si>
  <si>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</si>
  <si>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</si>
  <si>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</si>
  <si>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</si>
  <si>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</si>
  <si>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</si>
  <si>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</si>
  <si>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</si>
  <si>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</si>
  <si>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</si>
  <si>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</si>
  <si>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</si>
  <si>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</si>
  <si>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</si>
  <si>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</si>
  <si>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</si>
  <si>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</si>
  <si>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</si>
  <si>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</si>
  <si>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</si>
  <si>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</si>
  <si>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</si>
  <si>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</si>
  <si>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</si>
  <si>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</si>
  <si>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</si>
  <si>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</si>
  <si>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</si>
  <si>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</si>
  <si>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</si>
  <si>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</si>
  <si>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</si>
  <si>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</si>
  <si>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</si>
  <si>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</si>
  <si>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</si>
  <si>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</si>
  <si>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</si>
  <si>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</si>
  <si>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</si>
  <si>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</si>
  <si>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</si>
  <si>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</si>
  <si>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</si>
  <si>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</si>
  <si>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</si>
  <si>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</si>
  <si>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</si>
  <si>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</si>
  <si>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</si>
  <si>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</si>
  <si>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</si>
  <si>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</si>
  <si>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</si>
  <si>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</si>
  <si>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</si>
  <si>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</si>
  <si>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</si>
  <si>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</si>
  <si>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</si>
  <si>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</si>
  <si>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</si>
  <si>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</si>
  <si>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</si>
  <si>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</si>
  <si>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</si>
  <si>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</si>
  <si>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</si>
  <si>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</si>
  <si>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</si>
  <si>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</si>
  <si>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</si>
  <si>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</si>
  <si>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</si>
  <si>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</si>
  <si>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</si>
  <si>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</si>
  <si>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</si>
  <si>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</si>
  <si>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</si>
  <si>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</si>
  <si>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</si>
  <si>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</si>
  <si>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</si>
  <si>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</si>
  <si>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</si>
  <si>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</si>
  <si>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</si>
  <si>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</si>
  <si>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</si>
  <si>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</si>
  <si>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</si>
  <si>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</si>
  <si>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</si>
  <si>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</si>
  <si>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</si>
  <si>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</si>
  <si>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</si>
  <si>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</si>
  <si>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</si>
  <si>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</si>
  <si>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</si>
  <si>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</si>
  <si>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</si>
  <si>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</si>
  <si>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</si>
  <si>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</si>
  <si>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</si>
  <si>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</si>
  <si>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</si>
  <si>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</si>
  <si>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</si>
  <si>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</si>
  <si>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</si>
  <si>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</si>
  <si>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</si>
  <si>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</si>
  <si>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</si>
  <si>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</si>
  <si>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</si>
  <si>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</si>
  <si>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</si>
  <si>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</si>
  <si>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</si>
  <si>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</si>
  <si>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</si>
  <si>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</si>
  <si>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</si>
  <si>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</si>
  <si>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</si>
  <si>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</si>
  <si>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</si>
  <si>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</si>
  <si>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</si>
  <si>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</si>
  <si>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</si>
  <si>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</si>
  <si>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</si>
  <si>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</si>
  <si>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</si>
  <si>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</si>
  <si>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</si>
  <si>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</si>
  <si>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</si>
  <si>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</si>
  <si>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</si>
  <si>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</si>
  <si>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</si>
  <si>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</si>
  <si>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</si>
  <si>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</si>
  <si>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</si>
  <si>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</si>
  <si>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</si>
  <si>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</si>
  <si>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</si>
  <si>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</si>
  <si>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</si>
  <si>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</si>
  <si>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</si>
  <si>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</si>
  <si>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</si>
  <si>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</si>
  <si>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</si>
  <si>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</si>
  <si>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</si>
  <si>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</si>
  <si>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</si>
  <si>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</si>
  <si>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</si>
  <si>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</si>
  <si>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</si>
  <si>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</si>
  <si>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</si>
  <si>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</si>
  <si>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</si>
  <si>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</si>
  <si>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</si>
  <si>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</si>
  <si>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</si>
  <si>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</si>
  <si>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</si>
  <si>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</si>
  <si>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</si>
  <si>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</si>
  <si>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</si>
  <si>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</si>
  <si>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</si>
  <si>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</si>
  <si>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</si>
  <si>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</si>
  <si>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</si>
  <si>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</si>
  <si>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</si>
  <si>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</si>
  <si>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</si>
  <si>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</si>
  <si>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</si>
  <si>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</si>
  <si>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</si>
  <si>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</si>
  <si>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</si>
  <si>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</si>
  <si>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</si>
  <si>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</si>
  <si>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</si>
  <si>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</si>
  <si>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</si>
  <si>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</si>
  <si>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</si>
  <si>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</si>
  <si>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</si>
  <si>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</si>
  <si>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</si>
  <si>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</si>
  <si>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</si>
  <si>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</si>
  <si>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</si>
  <si>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</si>
  <si>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</si>
  <si>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</si>
  <si>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</si>
  <si>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</si>
  <si>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</si>
  <si>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</si>
  <si>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</si>
  <si>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</si>
  <si>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</si>
  <si>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</si>
  <si>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</si>
  <si>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</si>
  <si>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</si>
  <si>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</si>
  <si>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</si>
  <si>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</si>
  <si>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</si>
  <si>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</si>
  <si>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</si>
  <si>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</si>
  <si>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</si>
  <si>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</si>
  <si>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</si>
  <si>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</si>
  <si>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</si>
  <si>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</si>
  <si>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</si>
  <si>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</si>
  <si>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</si>
  <si>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</si>
  <si>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</si>
  <si>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</si>
  <si>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</si>
  <si>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</si>
  <si>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</si>
  <si>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</si>
  <si>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</si>
  <si>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</si>
  <si>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</si>
  <si>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</si>
  <si>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</si>
  <si>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</si>
  <si>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</si>
  <si>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</si>
  <si>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</si>
  <si>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</si>
  <si>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</si>
  <si>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</si>
  <si>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</si>
  <si>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</si>
  <si>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</si>
  <si>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</si>
  <si>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</si>
  <si>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</si>
  <si>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</si>
  <si>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</si>
  <si>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</si>
  <si>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</si>
  <si>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</si>
  <si>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</si>
  <si>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</si>
  <si>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</si>
  <si>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</si>
  <si>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</si>
  <si>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</si>
  <si>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</si>
  <si>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</si>
  <si>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</si>
  <si>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</si>
  <si>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</si>
  <si>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</si>
  <si>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</si>
  <si>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</si>
  <si>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</si>
  <si>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</si>
  <si>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</si>
  <si>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</si>
  <si>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</si>
  <si>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</si>
  <si>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</si>
  <si>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</si>
  <si>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</si>
  <si>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</si>
  <si>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</si>
  <si>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</si>
  <si>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</si>
  <si>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</si>
  <si>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</si>
  <si>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</si>
  <si>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</si>
  <si>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</si>
  <si>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</si>
  <si>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</si>
  <si>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</si>
  <si>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</si>
  <si>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</si>
  <si>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</si>
  <si>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</si>
  <si>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</si>
  <si>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</si>
  <si>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</si>
  <si>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</si>
  <si>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</si>
  <si>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</si>
  <si>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</si>
  <si>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</si>
  <si>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</si>
  <si>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</si>
  <si>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</si>
  <si>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</si>
  <si>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</si>
  <si>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</si>
  <si>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</si>
  <si>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</si>
  <si>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</si>
  <si>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</si>
  <si>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</si>
  <si>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</si>
  <si>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</si>
  <si>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</si>
  <si>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</si>
  <si>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</si>
  <si>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</si>
  <si>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</si>
  <si>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</si>
  <si>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</si>
  <si>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</si>
  <si>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</si>
  <si>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</si>
  <si>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</si>
  <si>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</si>
  <si>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</si>
  <si>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</si>
  <si>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</si>
  <si>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</si>
  <si>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</si>
  <si>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</si>
  <si>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</si>
  <si>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</si>
  <si>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</si>
  <si>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</si>
  <si>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</si>
  <si>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</si>
  <si>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</si>
  <si>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</si>
  <si>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</si>
  <si>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</si>
  <si>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</si>
  <si>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</si>
  <si>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</si>
  <si>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</si>
  <si>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</si>
  <si>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</si>
  <si>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</si>
  <si>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</si>
  <si>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</si>
  <si>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</si>
  <si>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</si>
  <si>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</si>
  <si>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</si>
  <si>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</si>
  <si>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</si>
  <si>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</si>
  <si>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</si>
  <si>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</si>
  <si>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</si>
  <si>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</si>
  <si>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</si>
  <si>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</si>
  <si>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</si>
  <si>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</si>
  <si>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</si>
  <si>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</si>
  <si>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</si>
  <si>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</si>
  <si>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</si>
  <si>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</si>
  <si>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</si>
  <si>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</si>
  <si>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</si>
  <si>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</si>
  <si>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</si>
  <si>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</si>
  <si>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</si>
  <si>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</si>
  <si>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</si>
  <si>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</si>
  <si>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</si>
  <si>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</si>
  <si>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</si>
  <si>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</si>
  <si>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</si>
  <si>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</si>
  <si>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</si>
  <si>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</si>
  <si>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</si>
  <si>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</si>
  <si>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</si>
  <si>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</si>
  <si>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</si>
  <si>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</si>
  <si>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</si>
  <si>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</si>
  <si>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</si>
  <si>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</si>
  <si>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</si>
  <si>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</si>
  <si>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</si>
  <si>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</si>
  <si>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</si>
  <si>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</si>
  <si>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</si>
  <si>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</si>
  <si>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</si>
  <si>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</si>
  <si>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</si>
  <si>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</si>
  <si>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</si>
  <si>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</si>
  <si>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</si>
  <si>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</si>
  <si>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</si>
  <si>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</si>
  <si>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</si>
  <si>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</si>
  <si>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</si>
  <si>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</si>
  <si>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</si>
  <si>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</si>
  <si>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</si>
  <si>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</si>
  <si>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</si>
  <si>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</si>
  <si>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</si>
  <si>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</si>
  <si>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</si>
  <si>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</si>
  <si>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</si>
  <si>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</si>
  <si>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</si>
  <si>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</si>
  <si>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</si>
  <si>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</si>
  <si>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</si>
  <si>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</si>
  <si>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</si>
  <si>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</si>
  <si>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</si>
  <si>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</si>
  <si>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</si>
  <si>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</si>
  <si>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</si>
  <si>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</si>
  <si>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</si>
  <si>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</si>
  <si>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</si>
  <si>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</si>
  <si>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</si>
  <si>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</si>
  <si>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</si>
  <si>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</si>
  <si>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</si>
  <si>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</si>
  <si>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</si>
  <si>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</si>
  <si>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</si>
  <si>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</si>
  <si>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</si>
  <si>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</si>
  <si>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</si>
  <si>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</si>
  <si>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</si>
  <si>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</si>
  <si>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</si>
  <si>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</si>
  <si>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</si>
  <si>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</si>
  <si>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</si>
  <si>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</si>
  <si>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</si>
  <si>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</si>
  <si>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</si>
  <si>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</si>
  <si>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</si>
  <si>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</si>
  <si>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</si>
  <si>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</si>
  <si>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</si>
  <si>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</si>
  <si>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</si>
  <si>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</si>
  <si>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</si>
  <si>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</si>
  <si>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</si>
  <si>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</si>
  <si>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</si>
  <si>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</si>
  <si>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</si>
  <si>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</si>
  <si>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</si>
  <si>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</si>
  <si>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</si>
  <si>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</si>
  <si>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</si>
  <si>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</si>
  <si>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</si>
  <si>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</si>
  <si>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</si>
  <si>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</si>
  <si>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</si>
  <si>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</si>
  <si>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</si>
  <si>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</si>
  <si>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</si>
  <si>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</si>
  <si>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</si>
  <si>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</si>
  <si>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</si>
  <si>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</si>
  <si>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</si>
  <si>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</si>
  <si>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</si>
  <si>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</si>
  <si>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</si>
  <si>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</si>
  <si>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</si>
  <si>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</si>
  <si>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</si>
  <si>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</si>
  <si>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</si>
  <si>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</si>
  <si>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</si>
  <si>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</si>
  <si>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</si>
  <si>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</si>
  <si>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</si>
  <si>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</si>
  <si>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</si>
  <si>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</si>
  <si>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</si>
  <si>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</si>
  <si>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</si>
  <si>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</si>
  <si>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</si>
  <si>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</si>
  <si>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</si>
  <si>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</si>
  <si>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</si>
  <si>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</si>
  <si>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</si>
  <si>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</si>
  <si>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</si>
  <si>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</si>
  <si>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</si>
  <si>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</si>
  <si>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</si>
  <si>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</si>
  <si>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</si>
  <si>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</si>
  <si>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</si>
  <si>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</si>
  <si>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</si>
  <si>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</si>
  <si>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</si>
  <si>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</si>
  <si>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</si>
  <si>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</si>
  <si>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</si>
  <si>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</si>
  <si>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</si>
  <si>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</si>
  <si>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</si>
  <si>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</si>
  <si>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</si>
  <si>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</si>
  <si>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</si>
  <si>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</si>
  <si>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</si>
  <si>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</si>
  <si>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</si>
  <si>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</si>
  <si>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</si>
  <si>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</si>
  <si>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</si>
  <si>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</si>
  <si>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</si>
  <si>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</si>
  <si>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</si>
  <si>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</si>
  <si>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</si>
  <si>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</si>
  <si>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</si>
  <si>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</si>
  <si>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</si>
  <si>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</si>
  <si>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</si>
  <si>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</si>
  <si>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</si>
  <si>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</si>
  <si>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</si>
  <si>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</si>
  <si>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</si>
  <si>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</si>
  <si>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</si>
  <si>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</si>
  <si>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</si>
  <si>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</si>
  <si>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</si>
  <si>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</si>
  <si>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</si>
  <si>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</si>
  <si>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</si>
  <si>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</si>
  <si>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</si>
  <si>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</si>
  <si>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</si>
  <si>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</si>
  <si>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</si>
  <si>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</si>
  <si>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</si>
  <si>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</si>
  <si>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</si>
  <si>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</si>
  <si>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</si>
  <si>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</si>
  <si>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</si>
  <si>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</si>
  <si>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</si>
  <si>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</si>
  <si>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</si>
  <si>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</si>
  <si>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</si>
  <si>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</si>
  <si>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</si>
  <si>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</si>
  <si>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</si>
  <si>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</si>
  <si>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</si>
  <si>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</si>
  <si>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</si>
  <si>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</si>
  <si>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</si>
  <si>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</si>
  <si>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</si>
  <si>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</si>
  <si>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</si>
  <si>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</si>
  <si>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</si>
  <si>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</si>
  <si>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</si>
  <si>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</si>
  <si>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</si>
  <si>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</si>
  <si>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</si>
  <si>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</si>
  <si>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</si>
  <si>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</si>
  <si>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</si>
  <si>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</si>
  <si>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</si>
  <si>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</si>
  <si>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</si>
  <si>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</si>
  <si>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</si>
  <si>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</si>
  <si>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</si>
  <si>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</si>
  <si>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</si>
  <si>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</si>
  <si>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</si>
  <si>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</si>
  <si>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</si>
  <si>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</si>
  <si>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</si>
  <si>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</si>
  <si>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</si>
  <si>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</si>
  <si>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</si>
  <si>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</si>
  <si>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</si>
  <si>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</si>
  <si>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</si>
  <si>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</si>
  <si>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</si>
  <si>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</si>
  <si>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</si>
  <si>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</si>
  <si>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</si>
  <si>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</si>
  <si>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</si>
  <si>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</si>
  <si>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propósito</t>
  </si>
  <si>
    <t>agente.reativo</t>
  </si>
  <si>
    <t>agente.deliberativo</t>
  </si>
  <si>
    <t>agente.híbrido</t>
  </si>
  <si>
    <t>agente.memória</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</si>
  <si>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</si>
  <si>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</si>
  <si>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</si>
  <si>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</si>
  <si>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</si>
  <si>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</si>
  <si>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</si>
  <si>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funcionalidade.gherkin</t>
  </si>
  <si>
    <t>Declara o arquivo de funcionalidade Gherkin.</t>
  </si>
  <si>
    <t xml:space="preserve">Declara o grau de autonomia (0 = Script, 0.5 = Supervisionado, 1 = Totalmente autônomo).   </t>
  </si>
  <si>
    <t>Declara o propósito do agente. Pode ser um Given 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</si>
  <si>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</si>
  <si>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</si>
  <si>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</si>
  <si>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se o modo de memória do agente articial.</t>
  </si>
  <si>
    <t>Declara que é um agente articial neurosimbólico (AlfaGeometry, por exemplo).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</si>
  <si>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</si>
  <si>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</si>
  <si>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</si>
  <si>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</si>
  <si>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</si>
  <si>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si el modo del agente artificial es híbrido. Estocástico y determinista.</t>
  </si>
  <si>
    <t>Declara que es un agente artificial reactivo. Decisión estocástica basada en estímulos sensoriales.</t>
  </si>
  <si>
    <t>Declara que es un agente artificial simbólico (ontológico, por ejemplo)</t>
  </si>
  <si>
    <t>Declara el archivo de funcionalidad Gherkin.</t>
  </si>
  <si>
    <t>Declara el grado de autonomía (0 = Guion, 0,5 = Supervisado, 1 = Totalmente autónomo).</t>
  </si>
  <si>
    <t>Declara la lista de nombres de los agentes implicados. [ nombre1 nombre2 nombre3...]</t>
  </si>
  <si>
    <t>Declara el propósito del agente. Podría ser un Gherkin Given.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</si>
  <si>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</si>
  <si>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</si>
  <si>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</si>
  <si>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</si>
  <si>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</si>
  <si>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</si>
  <si>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</si>
  <si>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</si>
  <si>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</si>
  <si>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</si>
  <si>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si el modo del agente artístico es deliberativo. Decide basándose en modelos lógicos internos con planificación.</t>
  </si>
  <si>
    <t>Declara el modo de memoria del agente artificial.</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</si>
  <si>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</si>
  <si>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</si>
  <si>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</si>
  <si>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</si>
  <si>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</si>
  <si>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</si>
  <si>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degree of autonomy (0 = Script, 0.5 = Supervised, 1 = Fully autonomous).</t>
  </si>
  <si>
    <t>Declares the list of names of the agents involved. [ name1 name2 name3...]</t>
  </si>
  <si>
    <t>Declares the agent's purpose. It could be a Gherkin Given.</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</si>
  <si>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</si>
  <si>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</si>
  <si>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</si>
  <si>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</si>
  <si>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</si>
  <si>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the memory mechanism of the artificial agent.</t>
  </si>
  <si>
    <t>Declares that it is a neuronal articial agent (an LLM for example).</t>
  </si>
  <si>
    <t>Declares that it is a neurosymbolic artificial agent (AlfaGeometry, for example).</t>
  </si>
  <si>
    <t>Declares that he is a reactive artificial agent. Stochastic decision based on sensor stimuli.</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</si>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</sst>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436</v>
      </c>
      <c r="B1" s="27" t="s">
        <v>1083</v>
      </c>
      <c r="C1" s="56" t="s">
        <v>2366</v>
      </c>
    </row>
    <row r="2" spans="1:3" ht="8.25" customHeight="1" x14ac:dyDescent="0.4">
      <c r="A2" s="28" t="s">
        <v>1084</v>
      </c>
      <c r="B2" s="28" t="s">
        <v>1085</v>
      </c>
      <c r="C2" s="57" t="s">
        <v>2372</v>
      </c>
    </row>
    <row r="3" spans="1:3" ht="8.25" customHeight="1" x14ac:dyDescent="0.4">
      <c r="A3" s="28" t="s">
        <v>1086</v>
      </c>
      <c r="B3" s="29" t="s">
        <v>3897</v>
      </c>
      <c r="C3" s="57" t="s">
        <v>2372</v>
      </c>
    </row>
    <row r="4" spans="1:3" ht="8.25" customHeight="1" x14ac:dyDescent="0.4">
      <c r="A4" s="28" t="s">
        <v>1087</v>
      </c>
      <c r="B4" s="28" t="s">
        <v>1</v>
      </c>
      <c r="C4" s="57" t="s">
        <v>2372</v>
      </c>
    </row>
    <row r="5" spans="1:3" ht="8.25" customHeight="1" x14ac:dyDescent="0.4">
      <c r="A5" s="28" t="s">
        <v>1088</v>
      </c>
      <c r="B5" s="28" t="str">
        <f>_xlfn.CONCAT(B4,"Prop")</f>
        <v>BIMProp</v>
      </c>
      <c r="C5" s="57" t="s">
        <v>2372</v>
      </c>
    </row>
    <row r="6" spans="1:3" ht="8.25" customHeight="1" x14ac:dyDescent="0.4">
      <c r="A6" s="28" t="s">
        <v>1089</v>
      </c>
      <c r="B6" s="28" t="str">
        <f>_xlfn.CONCAT(B4,"Data")</f>
        <v>BIMData</v>
      </c>
      <c r="C6" s="57" t="s">
        <v>2372</v>
      </c>
    </row>
    <row r="7" spans="1:3" ht="8.25" customHeight="1" x14ac:dyDescent="0.4">
      <c r="A7" s="28" t="s">
        <v>1090</v>
      </c>
      <c r="B7" s="28" t="s">
        <v>1091</v>
      </c>
      <c r="C7" s="57" t="s">
        <v>2372</v>
      </c>
    </row>
    <row r="8" spans="1:3" ht="8.25" customHeight="1" x14ac:dyDescent="0.4">
      <c r="A8" s="28" t="s">
        <v>1092</v>
      </c>
      <c r="B8" s="28" t="s">
        <v>2368</v>
      </c>
      <c r="C8" s="57" t="s">
        <v>2372</v>
      </c>
    </row>
    <row r="9" spans="1:3" ht="8.25" customHeight="1" x14ac:dyDescent="0.4">
      <c r="A9" s="28" t="s">
        <v>1093</v>
      </c>
      <c r="B9" s="28" t="s">
        <v>1094</v>
      </c>
      <c r="C9" s="57" t="s">
        <v>2372</v>
      </c>
    </row>
    <row r="10" spans="1:3" ht="8.25" customHeight="1" x14ac:dyDescent="0.4">
      <c r="A10" s="28" t="s">
        <v>1095</v>
      </c>
      <c r="B10" s="28" t="s">
        <v>1096</v>
      </c>
      <c r="C10" s="57" t="s">
        <v>2372</v>
      </c>
    </row>
    <row r="11" spans="1:3" ht="8.25" customHeight="1" x14ac:dyDescent="0.4">
      <c r="A11" s="28" t="s">
        <v>1097</v>
      </c>
      <c r="B11" s="28" t="s">
        <v>1096</v>
      </c>
      <c r="C11" s="57" t="s">
        <v>2372</v>
      </c>
    </row>
    <row r="12" spans="1:3" ht="8.25" customHeight="1" x14ac:dyDescent="0.4">
      <c r="A12" s="28" t="s">
        <v>1098</v>
      </c>
      <c r="B12" s="28" t="s">
        <v>1096</v>
      </c>
      <c r="C12" s="57" t="s">
        <v>2372</v>
      </c>
    </row>
    <row r="13" spans="1:3" ht="8.25" customHeight="1" x14ac:dyDescent="0.4">
      <c r="A13" s="28" t="s">
        <v>1099</v>
      </c>
      <c r="B13" s="28" t="s">
        <v>1096</v>
      </c>
      <c r="C13" s="57" t="s">
        <v>2372</v>
      </c>
    </row>
    <row r="14" spans="1:3" ht="8.25" customHeight="1" x14ac:dyDescent="0.4">
      <c r="A14" s="28" t="s">
        <v>1100</v>
      </c>
      <c r="B14" s="28" t="s">
        <v>1096</v>
      </c>
      <c r="C14" s="57" t="s">
        <v>2372</v>
      </c>
    </row>
    <row r="15" spans="1:3" ht="8.25" customHeight="1" x14ac:dyDescent="0.4">
      <c r="A15" s="28" t="s">
        <v>1101</v>
      </c>
      <c r="B15" s="28" t="s">
        <v>1096</v>
      </c>
      <c r="C15" s="57" t="s">
        <v>2372</v>
      </c>
    </row>
    <row r="16" spans="1:3" ht="8.25" customHeight="1" x14ac:dyDescent="0.4">
      <c r="A16" s="28" t="s">
        <v>1102</v>
      </c>
      <c r="B16" s="28" t="s">
        <v>1096</v>
      </c>
      <c r="C16" s="57" t="s">
        <v>2372</v>
      </c>
    </row>
    <row r="17" spans="1:3" ht="8.25" customHeight="1" x14ac:dyDescent="0.4">
      <c r="A17" s="28" t="s">
        <v>1103</v>
      </c>
      <c r="B17" s="30" t="s">
        <v>3898</v>
      </c>
      <c r="C17" s="57" t="s">
        <v>2372</v>
      </c>
    </row>
    <row r="18" spans="1:3" ht="8.25" customHeight="1" x14ac:dyDescent="0.4">
      <c r="A18" s="28" t="s">
        <v>1104</v>
      </c>
      <c r="B18" s="31">
        <f ca="1">NOW()</f>
        <v>46194.551200810187</v>
      </c>
      <c r="C18" s="57" t="s">
        <v>2372</v>
      </c>
    </row>
    <row r="19" spans="1:3" ht="8.25" customHeight="1" x14ac:dyDescent="0.4">
      <c r="A19" s="28" t="s">
        <v>1105</v>
      </c>
      <c r="B19" s="28" t="s">
        <v>2383</v>
      </c>
      <c r="C19" s="57" t="s">
        <v>2372</v>
      </c>
    </row>
    <row r="20" spans="1:3" ht="8.25" customHeight="1" x14ac:dyDescent="0.4">
      <c r="A20" s="28" t="s">
        <v>2375</v>
      </c>
      <c r="B20" s="28" t="str">
        <f>_xlfn.TRANSLATE(B19,"pt","es")</f>
        <v>Las propiedades se actualizan regularmente. Comprueba la fecha del archivo utilizado.</v>
      </c>
      <c r="C20" s="57" t="s">
        <v>2373</v>
      </c>
    </row>
    <row r="21" spans="1:3" ht="8.25" customHeight="1" x14ac:dyDescent="0.4">
      <c r="A21" s="28" t="s">
        <v>2376</v>
      </c>
      <c r="B21" s="28" t="str">
        <f>_xlfn.TRANSLATE(B19,"pt","en")</f>
        <v>The properties are updated regularly. Check the date of the file used.</v>
      </c>
      <c r="C21" s="57" t="s">
        <v>2374</v>
      </c>
    </row>
    <row r="22" spans="1:3" ht="8.25" customHeight="1" x14ac:dyDescent="0.4">
      <c r="A22" s="28" t="s">
        <v>1106</v>
      </c>
      <c r="B22" s="28" t="s">
        <v>1096</v>
      </c>
      <c r="C22" s="57" t="s">
        <v>2372</v>
      </c>
    </row>
    <row r="23" spans="1:3" ht="8.25" customHeight="1" x14ac:dyDescent="0.4">
      <c r="A23" s="28" t="s">
        <v>1107</v>
      </c>
      <c r="B23" s="28" t="s">
        <v>1096</v>
      </c>
      <c r="C23" s="57" t="s">
        <v>2372</v>
      </c>
    </row>
    <row r="24" spans="1:3" ht="42" customHeight="1" x14ac:dyDescent="0.4">
      <c r="A24" s="30" t="s">
        <v>1108</v>
      </c>
      <c r="B24" s="32" t="s">
        <v>2389</v>
      </c>
      <c r="C24" s="57" t="s">
        <v>2372</v>
      </c>
    </row>
    <row r="25" spans="1:3" ht="42" customHeight="1" x14ac:dyDescent="0.4">
      <c r="A25" s="30" t="s">
        <v>1109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2373</v>
      </c>
    </row>
    <row r="26" spans="1:3" ht="42" customHeight="1" x14ac:dyDescent="0.4">
      <c r="A26" s="30" t="s">
        <v>2367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427</v>
      </c>
      <c r="J1" s="2" t="s">
        <v>428</v>
      </c>
      <c r="K1" s="2" t="s">
        <v>438</v>
      </c>
      <c r="L1" s="2" t="s">
        <v>439</v>
      </c>
      <c r="M1" s="2" t="s">
        <v>446</v>
      </c>
      <c r="N1" s="2" t="s">
        <v>447</v>
      </c>
      <c r="O1" s="2" t="s">
        <v>2214</v>
      </c>
      <c r="P1" s="2" t="s">
        <v>2363</v>
      </c>
      <c r="Q1" s="2" t="s">
        <v>2369</v>
      </c>
      <c r="R1" s="2" t="s">
        <v>2370</v>
      </c>
      <c r="S1" s="2" t="s">
        <v>2371</v>
      </c>
      <c r="T1" s="2" t="s">
        <v>2377</v>
      </c>
      <c r="U1" s="2" t="s">
        <v>2378</v>
      </c>
      <c r="V1" s="2" t="s">
        <v>2379</v>
      </c>
    </row>
    <row r="2" spans="1:22" ht="9" customHeight="1" x14ac:dyDescent="0.2">
      <c r="A2" s="1">
        <v>2</v>
      </c>
      <c r="B2" s="3" t="s">
        <v>10</v>
      </c>
      <c r="C2" s="3" t="s">
        <v>11</v>
      </c>
      <c r="D2" s="3" t="s">
        <v>12</v>
      </c>
      <c r="E2" s="3" t="s">
        <v>13</v>
      </c>
      <c r="F2" s="3" t="s">
        <v>1040</v>
      </c>
      <c r="G2" s="3" t="s">
        <v>441</v>
      </c>
      <c r="H2" s="3" t="s">
        <v>442</v>
      </c>
      <c r="I2" s="3" t="s">
        <v>2362</v>
      </c>
      <c r="J2" s="3" t="s">
        <v>436</v>
      </c>
      <c r="K2" s="3" t="s">
        <v>437</v>
      </c>
      <c r="L2" s="3" t="s">
        <v>1039</v>
      </c>
      <c r="M2" s="3" t="s">
        <v>429</v>
      </c>
      <c r="N2" s="3" t="s">
        <v>2215</v>
      </c>
      <c r="O2" s="3" t="s">
        <v>1041</v>
      </c>
      <c r="P2" s="3" t="s">
        <v>448</v>
      </c>
      <c r="Q2" s="3" t="s">
        <v>1108</v>
      </c>
      <c r="R2" s="3" t="s">
        <v>1109</v>
      </c>
      <c r="S2" s="3" t="s">
        <v>2367</v>
      </c>
      <c r="T2" s="59" t="s">
        <v>2382</v>
      </c>
      <c r="U2" s="59" t="s">
        <v>2380</v>
      </c>
      <c r="V2" s="59" t="s">
        <v>2381</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46"/>
  <sheetViews>
    <sheetView tabSelected="1" topLeftCell="C1" zoomScale="220" zoomScaleNormal="220" workbookViewId="0">
      <pane ySplit="1" topLeftCell="A695" activePane="bottomLeft" state="frozen"/>
      <selection pane="bottomLeft" activeCell="G702" sqref="G702"/>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3945</v>
      </c>
      <c r="H1" s="40" t="s">
        <v>435</v>
      </c>
      <c r="I1" s="19" t="s">
        <v>18</v>
      </c>
      <c r="J1" s="38" t="s">
        <v>19</v>
      </c>
      <c r="K1" s="38" t="s">
        <v>476</v>
      </c>
      <c r="L1" s="38" t="s">
        <v>20</v>
      </c>
      <c r="M1" s="38" t="s">
        <v>21</v>
      </c>
      <c r="N1" s="38" t="s">
        <v>22</v>
      </c>
      <c r="O1" s="38" t="s">
        <v>23</v>
      </c>
      <c r="P1" s="38" t="s">
        <v>24</v>
      </c>
      <c r="Q1" s="38" t="s">
        <v>461</v>
      </c>
      <c r="R1" s="38" t="s">
        <v>462</v>
      </c>
      <c r="S1" s="12" t="s">
        <v>25</v>
      </c>
      <c r="T1" s="12" t="s">
        <v>26</v>
      </c>
      <c r="U1" s="2" t="s">
        <v>430</v>
      </c>
      <c r="V1" s="2" t="s">
        <v>431</v>
      </c>
      <c r="W1" s="2"/>
      <c r="X1" s="2" t="s">
        <v>432</v>
      </c>
      <c r="Y1" s="2" t="s">
        <v>433</v>
      </c>
      <c r="Z1" s="2" t="s">
        <v>434</v>
      </c>
      <c r="AA1" s="39" t="s">
        <v>423</v>
      </c>
      <c r="AB1" s="39" t="s">
        <v>424</v>
      </c>
      <c r="AC1" s="39" t="s">
        <v>425</v>
      </c>
      <c r="AD1" s="39" t="s">
        <v>426</v>
      </c>
      <c r="AE1" s="39" t="s">
        <v>450</v>
      </c>
      <c r="AF1" s="39" t="s">
        <v>451</v>
      </c>
      <c r="AG1" s="2" t="s">
        <v>2365</v>
      </c>
    </row>
    <row r="2" spans="1:33" ht="6.9" customHeight="1" x14ac:dyDescent="0.4">
      <c r="A2" s="4">
        <f>ROW()</f>
        <v>2</v>
      </c>
      <c r="B2" s="9" t="s">
        <v>27</v>
      </c>
      <c r="C2" s="54" t="str">
        <f t="shared" ref="C2:C18" si="0">SUBSTITUTE(F2,"d.","p.")</f>
        <v>p.abastecer</v>
      </c>
      <c r="D2" s="6" t="str">
        <f t="shared" ref="D2:D65" si="1">_xlfn.CONCAT("é.",G2)</f>
        <v>é.abastecedor.de</v>
      </c>
      <c r="E2" s="8" t="s">
        <v>28</v>
      </c>
      <c r="F2" s="50" t="s">
        <v>477</v>
      </c>
      <c r="G2" s="17" t="s">
        <v>2017</v>
      </c>
      <c r="H2" s="41" t="s">
        <v>2121</v>
      </c>
      <c r="I2" s="16" t="str">
        <f>J2</f>
        <v>null</v>
      </c>
      <c r="J2" s="15" t="s">
        <v>0</v>
      </c>
      <c r="K2" s="15" t="s">
        <v>0</v>
      </c>
      <c r="L2" s="15" t="s">
        <v>0</v>
      </c>
      <c r="M2" s="15" t="s">
        <v>0</v>
      </c>
      <c r="N2" s="15" t="s">
        <v>0</v>
      </c>
      <c r="O2" s="15" t="s">
        <v>0</v>
      </c>
      <c r="P2" s="15" t="s">
        <v>271</v>
      </c>
      <c r="Q2" s="21" t="s">
        <v>478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5055</v>
      </c>
      <c r="X2" s="24" t="str">
        <f>IF(F1&lt;&gt;F2,_xlfn.CONCAT(RIGHT(LEFT(F2,7),5),".100"),_xlfn.CONCAT(RIGHT(LEFT(F2,7),5),".",SUM(VALUE(RIGHT(X1,3)),1)))</f>
        <v>abast.100</v>
      </c>
      <c r="Y2" s="24" t="str">
        <f>_xlfn.CONCAT("Ação de ", SUBSTITUTE(F2, "d.",  ""))</f>
        <v>Ação de abastecer</v>
      </c>
      <c r="Z2" s="47" t="s">
        <v>1267</v>
      </c>
      <c r="AA2" s="25" t="str">
        <f>IF(AB2="null", "null", "categoria.revit")</f>
        <v>null</v>
      </c>
      <c r="AB2" s="26" t="s">
        <v>0</v>
      </c>
      <c r="AC2" s="25" t="str">
        <f>IF(AD2="null", "null", "classe.ifc")</f>
        <v>null</v>
      </c>
      <c r="AD2" s="26" t="s">
        <v>0</v>
      </c>
      <c r="AE2" s="25" t="str">
        <f>IF(AF2="null", "null", "propriedade")</f>
        <v>null</v>
      </c>
      <c r="AF2" s="26" t="s">
        <v>0</v>
      </c>
      <c r="AG2" s="47" t="s">
        <v>4642</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479</v>
      </c>
      <c r="H3" s="41" t="s">
        <v>2121</v>
      </c>
      <c r="I3" s="16" t="str">
        <f t="shared" ref="I3:I17" si="5">J3</f>
        <v>null</v>
      </c>
      <c r="J3" s="15" t="s">
        <v>0</v>
      </c>
      <c r="K3" s="15" t="s">
        <v>0</v>
      </c>
      <c r="L3" s="15" t="s">
        <v>0</v>
      </c>
      <c r="M3" s="15" t="s">
        <v>0</v>
      </c>
      <c r="N3" s="15" t="s">
        <v>0</v>
      </c>
      <c r="O3" s="15" t="s">
        <v>0</v>
      </c>
      <c r="P3" s="15" t="s">
        <v>271</v>
      </c>
      <c r="Q3" s="21" t="s">
        <v>2049</v>
      </c>
      <c r="R3" s="15" t="s">
        <v>0</v>
      </c>
      <c r="S3" s="10" t="s">
        <v>1</v>
      </c>
      <c r="T3" s="10" t="s">
        <v>32</v>
      </c>
      <c r="U3" s="5" t="str">
        <f t="shared" si="2"/>
        <v>Propriedade destinada a abastecer: é.abastecido.por</v>
      </c>
      <c r="V3" s="5" t="str">
        <f t="shared" si="3"/>
        <v>Dado para abastecer:  abastecido.por  Deve ser formatado como (rdfs:Literal  or  xsd:string)</v>
      </c>
      <c r="W3" s="5" t="s">
        <v>5056</v>
      </c>
      <c r="X3" s="24" t="str">
        <f t="shared" ref="X3:X66" si="6">IF(F2&lt;&gt;F3,_xlfn.CONCAT(RIGHT(LEFT(F3,7),5),".100"),_xlfn.CONCAT(RIGHT(LEFT(F3,7),5),".",SUM(VALUE(RIGHT(X2,3)),1)))</f>
        <v>abast.101</v>
      </c>
      <c r="Y3" s="24" t="str">
        <f t="shared" ref="Y3:Y66" si="7">_xlfn.CONCAT("Ação de ", SUBSTITUTE(F3, "d.",  ""))</f>
        <v>Ação de abastecer</v>
      </c>
      <c r="Z3" s="47" t="s">
        <v>7156</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4757</v>
      </c>
    </row>
    <row r="4" spans="1:33" ht="6.9" customHeight="1" x14ac:dyDescent="0.4">
      <c r="A4" s="4">
        <f>ROW()</f>
        <v>4</v>
      </c>
      <c r="B4" s="9" t="s">
        <v>27</v>
      </c>
      <c r="C4" s="55" t="str">
        <f t="shared" si="0"/>
        <v>p.abastecer</v>
      </c>
      <c r="D4" s="6" t="str">
        <f t="shared" si="1"/>
        <v>é.rede.urbana.de.água</v>
      </c>
      <c r="E4" s="8" t="s">
        <v>28</v>
      </c>
      <c r="F4" s="42" t="str">
        <f t="shared" si="4"/>
        <v>d.abastecer</v>
      </c>
      <c r="G4" s="17" t="s">
        <v>480</v>
      </c>
      <c r="H4" s="41" t="s">
        <v>2121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5057</v>
      </c>
      <c r="X4" s="24" t="str">
        <f t="shared" si="6"/>
        <v>abast.102</v>
      </c>
      <c r="Y4" s="24" t="str">
        <f t="shared" si="7"/>
        <v>Ação de abastecer</v>
      </c>
      <c r="Z4" s="47" t="s">
        <v>1268</v>
      </c>
      <c r="AA4" s="25" t="str">
        <f t="shared" si="8"/>
        <v>categoria.revit</v>
      </c>
      <c r="AB4" s="26" t="s">
        <v>3491</v>
      </c>
      <c r="AC4" s="25" t="str">
        <f t="shared" si="9"/>
        <v>classe.ifc</v>
      </c>
      <c r="AD4" s="26" t="s">
        <v>3456</v>
      </c>
      <c r="AE4" s="25" t="str">
        <f t="shared" si="10"/>
        <v>null</v>
      </c>
      <c r="AF4" s="26" t="s">
        <v>0</v>
      </c>
      <c r="AG4" s="47" t="s">
        <v>4643</v>
      </c>
    </row>
    <row r="5" spans="1:33" ht="6.9" customHeight="1" x14ac:dyDescent="0.4">
      <c r="A5" s="4">
        <f>ROW()</f>
        <v>5</v>
      </c>
      <c r="B5" s="9" t="s">
        <v>27</v>
      </c>
      <c r="C5" s="55" t="str">
        <f t="shared" si="0"/>
        <v>p.abastecer</v>
      </c>
      <c r="D5" s="6" t="str">
        <f t="shared" si="1"/>
        <v>é.rede.urbana.de.gás</v>
      </c>
      <c r="E5" s="8" t="s">
        <v>28</v>
      </c>
      <c r="F5" s="42" t="str">
        <f t="shared" si="4"/>
        <v>d.abastecer</v>
      </c>
      <c r="G5" s="17" t="s">
        <v>481</v>
      </c>
      <c r="H5" s="41" t="s">
        <v>2121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5058</v>
      </c>
      <c r="X5" s="24" t="str">
        <f t="shared" si="6"/>
        <v>abast.103</v>
      </c>
      <c r="Y5" s="24" t="str">
        <f t="shared" si="7"/>
        <v>Ação de abastecer</v>
      </c>
      <c r="Z5" s="47" t="s">
        <v>1269</v>
      </c>
      <c r="AA5" s="25" t="str">
        <f t="shared" si="8"/>
        <v>categoria.revit</v>
      </c>
      <c r="AB5" s="26" t="s">
        <v>3491</v>
      </c>
      <c r="AC5" s="25" t="str">
        <f t="shared" si="9"/>
        <v>classe.ifc</v>
      </c>
      <c r="AD5" s="26" t="s">
        <v>3456</v>
      </c>
      <c r="AE5" s="25" t="str">
        <f t="shared" si="10"/>
        <v>null</v>
      </c>
      <c r="AF5" s="26" t="s">
        <v>0</v>
      </c>
      <c r="AG5" s="47" t="s">
        <v>4644</v>
      </c>
    </row>
    <row r="6" spans="1:33" ht="6.9" customHeight="1" x14ac:dyDescent="0.4">
      <c r="A6" s="4">
        <f>ROW()</f>
        <v>6</v>
      </c>
      <c r="B6" s="9" t="s">
        <v>27</v>
      </c>
      <c r="C6" s="55" t="str">
        <f t="shared" si="0"/>
        <v>p.abastecer</v>
      </c>
      <c r="D6" s="6" t="str">
        <f t="shared" si="1"/>
        <v>é.retorno.de</v>
      </c>
      <c r="E6" s="8" t="s">
        <v>28</v>
      </c>
      <c r="F6" s="42" t="str">
        <f t="shared" si="4"/>
        <v>d.abastecer</v>
      </c>
      <c r="G6" s="17" t="s">
        <v>482</v>
      </c>
      <c r="H6" s="41" t="s">
        <v>2121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5059</v>
      </c>
      <c r="X6" s="24" t="str">
        <f t="shared" si="6"/>
        <v>abast.104</v>
      </c>
      <c r="Y6" s="24" t="str">
        <f t="shared" si="7"/>
        <v>Ação de abastecer</v>
      </c>
      <c r="Z6" s="47" t="s">
        <v>1270</v>
      </c>
      <c r="AA6" s="25" t="str">
        <f t="shared" si="8"/>
        <v>categoria.revit</v>
      </c>
      <c r="AB6" s="26" t="s">
        <v>3491</v>
      </c>
      <c r="AC6" s="25" t="str">
        <f t="shared" si="9"/>
        <v>classe.ifc</v>
      </c>
      <c r="AD6" s="26" t="s">
        <v>3456</v>
      </c>
      <c r="AE6" s="25" t="str">
        <f t="shared" si="10"/>
        <v>null</v>
      </c>
      <c r="AF6" s="26" t="s">
        <v>0</v>
      </c>
      <c r="AG6" s="47" t="s">
        <v>2601</v>
      </c>
    </row>
    <row r="7" spans="1:33" ht="6.9" customHeight="1" x14ac:dyDescent="0.4">
      <c r="A7" s="4">
        <f>ROW()</f>
        <v>7</v>
      </c>
      <c r="B7" s="9" t="s">
        <v>27</v>
      </c>
      <c r="C7" s="55" t="str">
        <f t="shared" si="0"/>
        <v>p.abastecer</v>
      </c>
      <c r="D7" s="6" t="str">
        <f t="shared" si="1"/>
        <v>é.tubo.de.água.fria</v>
      </c>
      <c r="E7" s="8" t="s">
        <v>28</v>
      </c>
      <c r="F7" s="42" t="str">
        <f t="shared" si="4"/>
        <v>d.abastecer</v>
      </c>
      <c r="G7" s="17" t="s">
        <v>1139</v>
      </c>
      <c r="H7" s="41" t="s">
        <v>2121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5060</v>
      </c>
      <c r="X7" s="24" t="str">
        <f t="shared" si="6"/>
        <v>abast.105</v>
      </c>
      <c r="Y7" s="24" t="str">
        <f t="shared" si="7"/>
        <v>Ação de abastecer</v>
      </c>
      <c r="Z7" s="47" t="s">
        <v>7155</v>
      </c>
      <c r="AA7" s="25" t="str">
        <f t="shared" si="8"/>
        <v>categoria.revit</v>
      </c>
      <c r="AB7" s="26" t="s">
        <v>3491</v>
      </c>
      <c r="AC7" s="25" t="str">
        <f t="shared" si="9"/>
        <v>classe.ifc</v>
      </c>
      <c r="AD7" s="26" t="s">
        <v>3456</v>
      </c>
      <c r="AE7" s="25" t="str">
        <f t="shared" si="10"/>
        <v>null</v>
      </c>
      <c r="AF7" s="26" t="s">
        <v>0</v>
      </c>
      <c r="AG7" s="47" t="s">
        <v>4758</v>
      </c>
    </row>
    <row r="8" spans="1:33" ht="6.9" customHeight="1" x14ac:dyDescent="0.4">
      <c r="A8" s="4">
        <f>ROW()</f>
        <v>8</v>
      </c>
      <c r="B8" s="9" t="s">
        <v>27</v>
      </c>
      <c r="C8" s="55" t="str">
        <f t="shared" si="0"/>
        <v>p.abastecer</v>
      </c>
      <c r="D8" s="6" t="str">
        <f t="shared" si="1"/>
        <v>é.tubo.de.água.quente</v>
      </c>
      <c r="E8" s="8" t="s">
        <v>28</v>
      </c>
      <c r="F8" s="42" t="str">
        <f t="shared" si="4"/>
        <v>d.abastecer</v>
      </c>
      <c r="G8" s="17" t="s">
        <v>1140</v>
      </c>
      <c r="H8" s="41" t="s">
        <v>2121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5061</v>
      </c>
      <c r="X8" s="24" t="str">
        <f t="shared" si="6"/>
        <v>abast.106</v>
      </c>
      <c r="Y8" s="24" t="str">
        <f t="shared" si="7"/>
        <v>Ação de abastecer</v>
      </c>
      <c r="Z8" s="47" t="s">
        <v>7157</v>
      </c>
      <c r="AA8" s="25" t="str">
        <f t="shared" si="8"/>
        <v>categoria.revit</v>
      </c>
      <c r="AB8" s="26" t="s">
        <v>3491</v>
      </c>
      <c r="AC8" s="25" t="str">
        <f t="shared" si="9"/>
        <v>classe.ifc</v>
      </c>
      <c r="AD8" s="26" t="s">
        <v>3456</v>
      </c>
      <c r="AE8" s="25" t="str">
        <f t="shared" si="10"/>
        <v>null</v>
      </c>
      <c r="AF8" s="26" t="s">
        <v>0</v>
      </c>
      <c r="AG8" s="47" t="s">
        <v>4759</v>
      </c>
    </row>
    <row r="9" spans="1:33" ht="6.9" customHeight="1" x14ac:dyDescent="0.4">
      <c r="A9" s="4">
        <f>ROW()</f>
        <v>9</v>
      </c>
      <c r="B9" s="9" t="s">
        <v>27</v>
      </c>
      <c r="C9" s="55" t="str">
        <f t="shared" si="0"/>
        <v>p.abastecer</v>
      </c>
      <c r="D9" s="6" t="str">
        <f t="shared" si="1"/>
        <v>é.tubo.de.avac</v>
      </c>
      <c r="E9" s="8" t="s">
        <v>28</v>
      </c>
      <c r="F9" s="42" t="str">
        <f t="shared" si="4"/>
        <v>d.abastecer</v>
      </c>
      <c r="G9" s="17" t="s">
        <v>483</v>
      </c>
      <c r="H9" s="41" t="s">
        <v>2121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5062</v>
      </c>
      <c r="X9" s="24" t="str">
        <f t="shared" si="6"/>
        <v>abast.107</v>
      </c>
      <c r="Y9" s="24" t="str">
        <f t="shared" si="7"/>
        <v>Ação de abastecer</v>
      </c>
      <c r="Z9" s="47" t="s">
        <v>1271</v>
      </c>
      <c r="AA9" s="25" t="str">
        <f t="shared" si="8"/>
        <v>categoria.revit</v>
      </c>
      <c r="AB9" s="26" t="s">
        <v>3491</v>
      </c>
      <c r="AC9" s="25" t="str">
        <f t="shared" si="9"/>
        <v>classe.ifc</v>
      </c>
      <c r="AD9" s="26" t="s">
        <v>3456</v>
      </c>
      <c r="AE9" s="25" t="str">
        <f t="shared" si="10"/>
        <v>null</v>
      </c>
      <c r="AF9" s="26" t="s">
        <v>0</v>
      </c>
      <c r="AG9" s="47" t="s">
        <v>2602</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484</v>
      </c>
      <c r="H10" s="41" t="s">
        <v>2121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5063</v>
      </c>
      <c r="X10" s="24" t="str">
        <f t="shared" si="6"/>
        <v>abast.108</v>
      </c>
      <c r="Y10" s="24" t="str">
        <f t="shared" si="7"/>
        <v>Ação de abastecer</v>
      </c>
      <c r="Z10" s="47" t="s">
        <v>7158</v>
      </c>
      <c r="AA10" s="25" t="str">
        <f t="shared" si="8"/>
        <v>categoria.revit</v>
      </c>
      <c r="AB10" s="26" t="s">
        <v>3491</v>
      </c>
      <c r="AC10" s="25" t="str">
        <f t="shared" si="9"/>
        <v>classe.ifc</v>
      </c>
      <c r="AD10" s="26" t="s">
        <v>3456</v>
      </c>
      <c r="AE10" s="25" t="str">
        <f t="shared" si="10"/>
        <v>null</v>
      </c>
      <c r="AF10" s="26" t="s">
        <v>0</v>
      </c>
      <c r="AG10" s="47" t="s">
        <v>4760</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485</v>
      </c>
      <c r="H11" s="41" t="s">
        <v>2121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5064</v>
      </c>
      <c r="X11" s="24" t="str">
        <f t="shared" si="6"/>
        <v>abast.109</v>
      </c>
      <c r="Y11" s="24" t="str">
        <f t="shared" si="7"/>
        <v>Ação de abastecer</v>
      </c>
      <c r="Z11" s="47" t="s">
        <v>1272</v>
      </c>
      <c r="AA11" s="25" t="str">
        <f t="shared" si="8"/>
        <v>categoria.revit</v>
      </c>
      <c r="AB11" s="26" t="s">
        <v>3491</v>
      </c>
      <c r="AC11" s="25" t="str">
        <f t="shared" si="9"/>
        <v>classe.ifc</v>
      </c>
      <c r="AD11" s="26" t="s">
        <v>3456</v>
      </c>
      <c r="AE11" s="25" t="str">
        <f t="shared" si="10"/>
        <v>null</v>
      </c>
      <c r="AF11" s="26" t="s">
        <v>0</v>
      </c>
      <c r="AG11" s="47" t="s">
        <v>2603</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486</v>
      </c>
      <c r="H12" s="41" t="s">
        <v>2121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5065</v>
      </c>
      <c r="X12" s="24" t="str">
        <f t="shared" si="6"/>
        <v>abast.110</v>
      </c>
      <c r="Y12" s="24" t="str">
        <f t="shared" si="7"/>
        <v>Ação de abastecer</v>
      </c>
      <c r="Z12" s="47" t="s">
        <v>1273</v>
      </c>
      <c r="AA12" s="25" t="str">
        <f t="shared" si="8"/>
        <v>categoria.revit</v>
      </c>
      <c r="AB12" s="26" t="s">
        <v>3491</v>
      </c>
      <c r="AC12" s="25" t="str">
        <f t="shared" si="9"/>
        <v>classe.ifc</v>
      </c>
      <c r="AD12" s="26" t="s">
        <v>3456</v>
      </c>
      <c r="AE12" s="25" t="str">
        <f t="shared" si="10"/>
        <v>null</v>
      </c>
      <c r="AF12" s="26" t="s">
        <v>0</v>
      </c>
      <c r="AG12" s="47" t="s">
        <v>2604</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487</v>
      </c>
      <c r="H13" s="41" t="s">
        <v>2121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5066</v>
      </c>
      <c r="X13" s="24" t="str">
        <f t="shared" si="6"/>
        <v>abast.111</v>
      </c>
      <c r="Y13" s="24" t="str">
        <f t="shared" si="7"/>
        <v>Ação de abastecer</v>
      </c>
      <c r="Z13" s="47" t="s">
        <v>1274</v>
      </c>
      <c r="AA13" s="25" t="str">
        <f t="shared" si="8"/>
        <v>categoria.revit</v>
      </c>
      <c r="AB13" s="26" t="s">
        <v>3492</v>
      </c>
      <c r="AC13" s="25" t="str">
        <f t="shared" si="9"/>
        <v>classe.ifc</v>
      </c>
      <c r="AD13" s="26" t="s">
        <v>3457</v>
      </c>
      <c r="AE13" s="25" t="str">
        <f t="shared" si="10"/>
        <v>null</v>
      </c>
      <c r="AF13" s="26" t="s">
        <v>0</v>
      </c>
      <c r="AG13" s="47" t="s">
        <v>2605</v>
      </c>
    </row>
    <row r="14" spans="1:33" ht="6.9" customHeight="1" x14ac:dyDescent="0.4">
      <c r="A14" s="4">
        <f>ROW()</f>
        <v>14</v>
      </c>
      <c r="B14" s="9" t="s">
        <v>27</v>
      </c>
      <c r="C14" s="55" t="str">
        <f t="shared" si="0"/>
        <v>p.abastecer</v>
      </c>
      <c r="D14" s="6" t="str">
        <f t="shared" si="1"/>
        <v>é.tubo.de.gás</v>
      </c>
      <c r="E14" s="8" t="s">
        <v>28</v>
      </c>
      <c r="F14" s="42" t="str">
        <f t="shared" si="4"/>
        <v>d.abastecer</v>
      </c>
      <c r="G14" s="17" t="s">
        <v>1138</v>
      </c>
      <c r="H14" s="41" t="s">
        <v>2121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5067</v>
      </c>
      <c r="X14" s="24" t="str">
        <f t="shared" si="6"/>
        <v>abast.112</v>
      </c>
      <c r="Y14" s="24" t="str">
        <f t="shared" si="7"/>
        <v>Ação de abastecer</v>
      </c>
      <c r="Z14" s="47" t="s">
        <v>1275</v>
      </c>
      <c r="AA14" s="25" t="str">
        <f t="shared" si="8"/>
        <v>categoria.revit</v>
      </c>
      <c r="AB14" s="26" t="s">
        <v>3491</v>
      </c>
      <c r="AC14" s="25" t="str">
        <f t="shared" si="9"/>
        <v>classe.ifc</v>
      </c>
      <c r="AD14" s="26" t="s">
        <v>3456</v>
      </c>
      <c r="AE14" s="25" t="str">
        <f t="shared" si="10"/>
        <v>null</v>
      </c>
      <c r="AF14" s="26" t="s">
        <v>0</v>
      </c>
      <c r="AG14" s="47" t="s">
        <v>2606</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488</v>
      </c>
      <c r="H15" s="41" t="s">
        <v>2121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5068</v>
      </c>
      <c r="X15" s="24" t="str">
        <f t="shared" si="6"/>
        <v>abast.113</v>
      </c>
      <c r="Y15" s="24" t="str">
        <f t="shared" si="7"/>
        <v>Ação de abastecer</v>
      </c>
      <c r="Z15" s="47" t="s">
        <v>7159</v>
      </c>
      <c r="AA15" s="25" t="str">
        <f t="shared" si="8"/>
        <v>categoria.revit</v>
      </c>
      <c r="AB15" s="26" t="s">
        <v>3491</v>
      </c>
      <c r="AC15" s="25" t="str">
        <f t="shared" si="9"/>
        <v>classe.ifc</v>
      </c>
      <c r="AD15" s="26" t="s">
        <v>3456</v>
      </c>
      <c r="AE15" s="25" t="str">
        <f t="shared" si="10"/>
        <v>null</v>
      </c>
      <c r="AF15" s="26" t="s">
        <v>0</v>
      </c>
      <c r="AG15" s="47" t="s">
        <v>4761</v>
      </c>
    </row>
    <row r="16" spans="1:33" ht="6.9" customHeight="1" x14ac:dyDescent="0.4">
      <c r="A16" s="4">
        <f>ROW()</f>
        <v>16</v>
      </c>
      <c r="B16" s="9" t="s">
        <v>27</v>
      </c>
      <c r="C16" s="55" t="str">
        <f t="shared" si="0"/>
        <v>p.abastecer</v>
      </c>
      <c r="D16" s="6" t="str">
        <f t="shared" si="1"/>
        <v>é.eixo.de.tubo</v>
      </c>
      <c r="E16" s="8" t="s">
        <v>28</v>
      </c>
      <c r="F16" s="42" t="str">
        <f>F14</f>
        <v>d.abastecer</v>
      </c>
      <c r="G16" s="17" t="s">
        <v>1147</v>
      </c>
      <c r="H16" s="41" t="s">
        <v>2121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5069</v>
      </c>
      <c r="X16" s="24" t="str">
        <f t="shared" si="6"/>
        <v>abast.114</v>
      </c>
      <c r="Y16" s="24" t="str">
        <f t="shared" si="7"/>
        <v>Ação de abastecer</v>
      </c>
      <c r="Z16" s="47" t="s">
        <v>1276</v>
      </c>
      <c r="AA16" s="25" t="str">
        <f t="shared" si="8"/>
        <v>categoria.revit</v>
      </c>
      <c r="AB16" s="26" t="s">
        <v>3493</v>
      </c>
      <c r="AC16" s="25" t="str">
        <f t="shared" si="9"/>
        <v>classe.ifc</v>
      </c>
      <c r="AD16" s="26" t="s">
        <v>3456</v>
      </c>
      <c r="AE16" s="25" t="str">
        <f t="shared" si="10"/>
        <v>null</v>
      </c>
      <c r="AF16" s="26" t="s">
        <v>0</v>
      </c>
      <c r="AG16" s="47" t="s">
        <v>2607</v>
      </c>
    </row>
    <row r="17" spans="1:33" ht="6.9" customHeight="1" x14ac:dyDescent="0.4">
      <c r="A17" s="4">
        <f>ROW()</f>
        <v>17</v>
      </c>
      <c r="B17" s="9" t="s">
        <v>27</v>
      </c>
      <c r="C17" s="55" t="str">
        <f t="shared" si="0"/>
        <v>p.abastecer</v>
      </c>
      <c r="D17" s="6" t="str">
        <f t="shared" si="1"/>
        <v>é.para.propulsão</v>
      </c>
      <c r="E17" s="8" t="s">
        <v>28</v>
      </c>
      <c r="F17" s="42" t="str">
        <f>F15</f>
        <v>d.abastecer</v>
      </c>
      <c r="G17" s="17" t="s">
        <v>2018</v>
      </c>
      <c r="H17" s="41" t="s">
        <v>2121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5070</v>
      </c>
      <c r="X17" s="24" t="str">
        <f t="shared" si="6"/>
        <v>abast.115</v>
      </c>
      <c r="Y17" s="24" t="str">
        <f t="shared" si="7"/>
        <v>Ação de abastecer</v>
      </c>
      <c r="Z17" s="47" t="s">
        <v>1972</v>
      </c>
      <c r="AA17" s="25" t="str">
        <f t="shared" si="8"/>
        <v>null</v>
      </c>
      <c r="AB17" s="26" t="s">
        <v>0</v>
      </c>
      <c r="AC17" s="25" t="str">
        <f t="shared" si="9"/>
        <v>null</v>
      </c>
      <c r="AD17" s="26" t="s">
        <v>0</v>
      </c>
      <c r="AE17" s="25" t="str">
        <f t="shared" si="10"/>
        <v>null</v>
      </c>
      <c r="AF17" s="26" t="s">
        <v>0</v>
      </c>
      <c r="AG17" s="47" t="s">
        <v>2608</v>
      </c>
    </row>
    <row r="18" spans="1:33" ht="6.9" customHeight="1" x14ac:dyDescent="0.4">
      <c r="A18" s="4">
        <f>ROW()</f>
        <v>18</v>
      </c>
      <c r="B18" s="9" t="s">
        <v>27</v>
      </c>
      <c r="C18" s="54" t="str">
        <f t="shared" si="0"/>
        <v>p.abrir</v>
      </c>
      <c r="D18" s="6" t="str">
        <f t="shared" si="1"/>
        <v>é.claraboia.cúpula</v>
      </c>
      <c r="E18" s="8" t="s">
        <v>28</v>
      </c>
      <c r="F18" s="50" t="s">
        <v>489</v>
      </c>
      <c r="G18" s="17" t="s">
        <v>498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5071</v>
      </c>
      <c r="X18" s="24" t="str">
        <f t="shared" si="6"/>
        <v>abrir.100</v>
      </c>
      <c r="Y18" s="24" t="str">
        <f t="shared" si="7"/>
        <v>Ação de abrir</v>
      </c>
      <c r="Z18" s="47" t="s">
        <v>1284</v>
      </c>
      <c r="AA18" s="25" t="str">
        <f t="shared" ref="AA18:AA23" si="12">IF(AB18="null", "null", "categoria.revit")</f>
        <v>categoria.revit</v>
      </c>
      <c r="AB18" s="26" t="s">
        <v>3494</v>
      </c>
      <c r="AC18" s="25" t="str">
        <f t="shared" ref="AC18:AC23" si="13">IF(AD18="null", "null", "classe.ifc")</f>
        <v>classe.ifc</v>
      </c>
      <c r="AD18" s="26" t="s">
        <v>3458</v>
      </c>
      <c r="AE18" s="25" t="str">
        <f t="shared" si="10"/>
        <v>null</v>
      </c>
      <c r="AF18" s="26" t="s">
        <v>0</v>
      </c>
      <c r="AG18" s="47" t="s">
        <v>2613</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5072</v>
      </c>
      <c r="X19" s="24" t="str">
        <f t="shared" si="6"/>
        <v>abrir.101</v>
      </c>
      <c r="Y19" s="24" t="str">
        <f t="shared" si="7"/>
        <v>Ação de abrir</v>
      </c>
      <c r="Z19" s="47" t="s">
        <v>1282</v>
      </c>
      <c r="AA19" s="25" t="str">
        <f t="shared" si="12"/>
        <v>categoria.revit</v>
      </c>
      <c r="AB19" s="26" t="s">
        <v>3494</v>
      </c>
      <c r="AC19" s="25" t="str">
        <f t="shared" si="13"/>
        <v>classe.ifc</v>
      </c>
      <c r="AD19" s="26" t="s">
        <v>3458</v>
      </c>
      <c r="AE19" s="25" t="str">
        <f t="shared" si="10"/>
        <v>null</v>
      </c>
      <c r="AF19" s="26" t="s">
        <v>0</v>
      </c>
      <c r="AG19" s="47" t="s">
        <v>2611</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5073</v>
      </c>
      <c r="X20" s="24" t="str">
        <f t="shared" si="6"/>
        <v>abrir.102</v>
      </c>
      <c r="Y20" s="24" t="str">
        <f t="shared" si="7"/>
        <v>Ação de abrir</v>
      </c>
      <c r="Z20" s="47" t="s">
        <v>4278</v>
      </c>
      <c r="AA20" s="25" t="str">
        <f t="shared" si="12"/>
        <v>categoria.revit</v>
      </c>
      <c r="AB20" s="26" t="s">
        <v>3494</v>
      </c>
      <c r="AC20" s="25" t="str">
        <f t="shared" si="13"/>
        <v>classe.ifc</v>
      </c>
      <c r="AD20" s="26" t="s">
        <v>3458</v>
      </c>
      <c r="AE20" s="25" t="str">
        <f t="shared" si="10"/>
        <v>null</v>
      </c>
      <c r="AF20" s="26" t="s">
        <v>0</v>
      </c>
      <c r="AG20" s="47" t="s">
        <v>4279</v>
      </c>
    </row>
    <row r="21" spans="1:33" ht="6.9" customHeight="1" x14ac:dyDescent="0.4">
      <c r="A21" s="4">
        <f>ROW()</f>
        <v>21</v>
      </c>
      <c r="B21" s="9" t="s">
        <v>27</v>
      </c>
      <c r="C21" s="55" t="str">
        <f t="shared" si="15"/>
        <v>p.abrir</v>
      </c>
      <c r="D21" s="6" t="str">
        <f t="shared" si="1"/>
        <v>é.claraboia.tubular</v>
      </c>
      <c r="E21" s="8" t="s">
        <v>28</v>
      </c>
      <c r="F21" s="42" t="str">
        <f t="shared" si="14"/>
        <v>d.abrir</v>
      </c>
      <c r="G21" s="17" t="s">
        <v>500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5074</v>
      </c>
      <c r="X21" s="24" t="str">
        <f t="shared" si="6"/>
        <v>abrir.103</v>
      </c>
      <c r="Y21" s="24" t="str">
        <f t="shared" si="7"/>
        <v>Ação de abrir</v>
      </c>
      <c r="Z21" s="47" t="s">
        <v>1285</v>
      </c>
      <c r="AA21" s="25" t="str">
        <f t="shared" si="12"/>
        <v>categoria.revit</v>
      </c>
      <c r="AB21" s="26" t="s">
        <v>3494</v>
      </c>
      <c r="AC21" s="25" t="str">
        <f t="shared" si="13"/>
        <v>classe.ifc</v>
      </c>
      <c r="AD21" s="26" t="s">
        <v>3458</v>
      </c>
      <c r="AE21" s="25" t="str">
        <f t="shared" si="10"/>
        <v>null</v>
      </c>
      <c r="AF21" s="26" t="s">
        <v>0</v>
      </c>
      <c r="AG21" s="47" t="s">
        <v>4287</v>
      </c>
    </row>
    <row r="22" spans="1:33" ht="6.9" customHeight="1" x14ac:dyDescent="0.4">
      <c r="A22" s="4">
        <f>ROW()</f>
        <v>22</v>
      </c>
      <c r="B22" s="9" t="s">
        <v>27</v>
      </c>
      <c r="C22" s="55" t="str">
        <f t="shared" si="15"/>
        <v>p.abrir</v>
      </c>
      <c r="D22" s="6" t="str">
        <f t="shared" si="1"/>
        <v>é.claraboia.ventilada</v>
      </c>
      <c r="E22" s="8" t="s">
        <v>28</v>
      </c>
      <c r="F22" s="42" t="str">
        <f t="shared" si="14"/>
        <v>d.abrir</v>
      </c>
      <c r="G22" s="17" t="s">
        <v>497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5075</v>
      </c>
      <c r="X22" s="24" t="str">
        <f t="shared" si="6"/>
        <v>abrir.104</v>
      </c>
      <c r="Y22" s="24" t="str">
        <f t="shared" si="7"/>
        <v>Ação de abrir</v>
      </c>
      <c r="Z22" s="47" t="s">
        <v>1283</v>
      </c>
      <c r="AA22" s="25" t="str">
        <f t="shared" si="12"/>
        <v>categoria.revit</v>
      </c>
      <c r="AB22" s="26" t="s">
        <v>3494</v>
      </c>
      <c r="AC22" s="25" t="str">
        <f t="shared" si="13"/>
        <v>classe.ifc</v>
      </c>
      <c r="AD22" s="26" t="s">
        <v>3458</v>
      </c>
      <c r="AE22" s="25" t="str">
        <f t="shared" si="10"/>
        <v>null</v>
      </c>
      <c r="AF22" s="26" t="s">
        <v>0</v>
      </c>
      <c r="AG22" s="47" t="s">
        <v>2612</v>
      </c>
    </row>
    <row r="23" spans="1:33" ht="6.9" customHeight="1" x14ac:dyDescent="0.4">
      <c r="A23" s="4">
        <f>ROW()</f>
        <v>23</v>
      </c>
      <c r="B23" s="9" t="s">
        <v>27</v>
      </c>
      <c r="C23" s="55" t="str">
        <f t="shared" si="15"/>
        <v>p.abrir</v>
      </c>
      <c r="D23" s="6" t="str">
        <f t="shared" si="1"/>
        <v>é.claraboia</v>
      </c>
      <c r="E23" s="8" t="s">
        <v>28</v>
      </c>
      <c r="F23" s="42" t="str">
        <f t="shared" si="14"/>
        <v>d.abrir</v>
      </c>
      <c r="G23" s="17" t="s">
        <v>4409</v>
      </c>
      <c r="H23" s="41" t="s">
        <v>2121</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5076</v>
      </c>
      <c r="X23" s="24" t="str">
        <f t="shared" si="6"/>
        <v>abrir.105</v>
      </c>
      <c r="Y23" s="24" t="str">
        <f t="shared" si="7"/>
        <v>Ação de abrir</v>
      </c>
      <c r="Z23" s="47" t="s">
        <v>3947</v>
      </c>
      <c r="AA23" s="25" t="str">
        <f t="shared" si="12"/>
        <v>categoria.revit</v>
      </c>
      <c r="AB23" s="26" t="s">
        <v>3494</v>
      </c>
      <c r="AC23" s="25" t="str">
        <f t="shared" si="13"/>
        <v>classe.ifc</v>
      </c>
      <c r="AD23" s="26" t="s">
        <v>3458</v>
      </c>
      <c r="AE23" s="25" t="str">
        <f t="shared" si="10"/>
        <v>null</v>
      </c>
      <c r="AF23" s="26" t="s">
        <v>0</v>
      </c>
      <c r="AG23" s="47" t="s">
        <v>4007</v>
      </c>
    </row>
    <row r="24" spans="1:33" ht="6.9" customHeight="1" x14ac:dyDescent="0.4">
      <c r="A24" s="4">
        <f>ROW()</f>
        <v>24</v>
      </c>
      <c r="B24" s="9" t="s">
        <v>27</v>
      </c>
      <c r="C24" s="55" t="str">
        <f t="shared" si="15"/>
        <v>p.abrir</v>
      </c>
      <c r="D24" s="6" t="str">
        <f t="shared" si="1"/>
        <v>é.janela</v>
      </c>
      <c r="E24" s="8" t="s">
        <v>28</v>
      </c>
      <c r="F24" s="42" t="str">
        <f t="shared" si="14"/>
        <v>d.abrir</v>
      </c>
      <c r="G24" s="17" t="s">
        <v>4410</v>
      </c>
      <c r="H24" s="42" t="s">
        <v>2121</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5077</v>
      </c>
      <c r="X24" s="24" t="str">
        <f t="shared" si="6"/>
        <v>abrir.106</v>
      </c>
      <c r="Y24" s="24" t="str">
        <f t="shared" si="7"/>
        <v>Ação de abrir</v>
      </c>
      <c r="Z24" s="47" t="s">
        <v>4274</v>
      </c>
      <c r="AA24" s="25" t="str">
        <f t="shared" ref="AA24" si="17">IF(AB24="null", "null", "categoria.revit")</f>
        <v>categoria.revit</v>
      </c>
      <c r="AB24" s="26" t="s">
        <v>3494</v>
      </c>
      <c r="AC24" s="25" t="str">
        <f t="shared" ref="AC24" si="18">IF(AD24="null", "null", "classe.ifc")</f>
        <v>classe.ifc</v>
      </c>
      <c r="AD24" s="26" t="s">
        <v>3458</v>
      </c>
      <c r="AE24" s="25" t="str">
        <f t="shared" si="10"/>
        <v>null</v>
      </c>
      <c r="AF24" s="26" t="s">
        <v>0</v>
      </c>
      <c r="AG24" s="47" t="s">
        <v>4286</v>
      </c>
    </row>
    <row r="25" spans="1:33" ht="6.9" customHeight="1" x14ac:dyDescent="0.4">
      <c r="A25" s="4">
        <f>ROW()</f>
        <v>25</v>
      </c>
      <c r="B25" s="9" t="s">
        <v>27</v>
      </c>
      <c r="C25" s="55" t="str">
        <f t="shared" si="15"/>
        <v>p.abrir</v>
      </c>
      <c r="D25" s="6" t="str">
        <f t="shared" si="1"/>
        <v>é.janela.basculante</v>
      </c>
      <c r="E25" s="8" t="s">
        <v>28</v>
      </c>
      <c r="F25" s="42" t="str">
        <f t="shared" si="14"/>
        <v>d.abrir</v>
      </c>
      <c r="G25" s="17" t="s">
        <v>491</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5078</v>
      </c>
      <c r="X25" s="24" t="str">
        <f t="shared" si="6"/>
        <v>abrir.107</v>
      </c>
      <c r="Y25" s="24" t="str">
        <f t="shared" si="7"/>
        <v>Ação de abrir</v>
      </c>
      <c r="Z25" s="47" t="s">
        <v>1280</v>
      </c>
      <c r="AA25" s="25" t="str">
        <f t="shared" ref="AA25:AA65" si="20">IF(AB25="null", "null", "categoria.revit")</f>
        <v>categoria.revit</v>
      </c>
      <c r="AB25" s="26" t="s">
        <v>3494</v>
      </c>
      <c r="AC25" s="25" t="str">
        <f t="shared" ref="AC25:AC65" si="21">IF(AD25="null", "null", "classe.ifc")</f>
        <v>classe.ifc</v>
      </c>
      <c r="AD25" s="26" t="s">
        <v>3458</v>
      </c>
      <c r="AE25" s="25" t="str">
        <f t="shared" si="10"/>
        <v>null</v>
      </c>
      <c r="AF25" s="26" t="s">
        <v>0</v>
      </c>
      <c r="AG25" s="47" t="s">
        <v>4280</v>
      </c>
    </row>
    <row r="26" spans="1:33" ht="6.9" customHeight="1" x14ac:dyDescent="0.4">
      <c r="A26" s="4">
        <f>ROW()</f>
        <v>26</v>
      </c>
      <c r="B26" s="9" t="s">
        <v>27</v>
      </c>
      <c r="C26" s="55" t="str">
        <f t="shared" si="15"/>
        <v>p.abrir</v>
      </c>
      <c r="D26" s="6" t="str">
        <f t="shared" si="1"/>
        <v>é.janela.batente</v>
      </c>
      <c r="E26" s="8" t="s">
        <v>28</v>
      </c>
      <c r="F26" s="42" t="str">
        <f t="shared" si="14"/>
        <v>d.abrir</v>
      </c>
      <c r="G26" s="17" t="s">
        <v>4272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5079</v>
      </c>
      <c r="X26" s="24" t="str">
        <f t="shared" si="6"/>
        <v>abrir.108</v>
      </c>
      <c r="Y26" s="24" t="str">
        <f t="shared" si="7"/>
        <v>Ação de abrir</v>
      </c>
      <c r="Z26" s="47" t="s">
        <v>1278</v>
      </c>
      <c r="AA26" s="25" t="str">
        <f t="shared" si="20"/>
        <v>categoria.revit</v>
      </c>
      <c r="AB26" s="26" t="s">
        <v>3494</v>
      </c>
      <c r="AC26" s="25" t="str">
        <f t="shared" si="21"/>
        <v>classe.ifc</v>
      </c>
      <c r="AD26" s="26" t="s">
        <v>3458</v>
      </c>
      <c r="AE26" s="25" t="str">
        <f t="shared" si="10"/>
        <v>null</v>
      </c>
      <c r="AF26" s="26" t="s">
        <v>0</v>
      </c>
      <c r="AG26" s="47" t="s">
        <v>4281</v>
      </c>
    </row>
    <row r="27" spans="1:33" ht="6.9" customHeight="1" x14ac:dyDescent="0.4">
      <c r="A27" s="4">
        <f>ROW()</f>
        <v>27</v>
      </c>
      <c r="B27" s="9" t="s">
        <v>27</v>
      </c>
      <c r="C27" s="55" t="str">
        <f t="shared" si="15"/>
        <v>p.abrir</v>
      </c>
      <c r="D27" s="6" t="str">
        <f t="shared" si="1"/>
        <v>é.janela.correr</v>
      </c>
      <c r="E27" s="8" t="s">
        <v>28</v>
      </c>
      <c r="F27" s="42" t="str">
        <f t="shared" si="14"/>
        <v>d.abrir</v>
      </c>
      <c r="G27" s="17" t="s">
        <v>4273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5080</v>
      </c>
      <c r="X27" s="24" t="str">
        <f t="shared" si="6"/>
        <v>abrir.109</v>
      </c>
      <c r="Y27" s="24" t="str">
        <f t="shared" si="7"/>
        <v>Ação de abrir</v>
      </c>
      <c r="Z27" s="47" t="s">
        <v>1279</v>
      </c>
      <c r="AA27" s="25" t="str">
        <f t="shared" si="20"/>
        <v>categoria.revit</v>
      </c>
      <c r="AB27" s="26" t="s">
        <v>3494</v>
      </c>
      <c r="AC27" s="25" t="str">
        <f t="shared" si="21"/>
        <v>classe.ifc</v>
      </c>
      <c r="AD27" s="26" t="s">
        <v>3458</v>
      </c>
      <c r="AE27" s="25" t="str">
        <f t="shared" si="10"/>
        <v>null</v>
      </c>
      <c r="AF27" s="26" t="s">
        <v>0</v>
      </c>
      <c r="AG27" s="47" t="s">
        <v>4282</v>
      </c>
    </row>
    <row r="28" spans="1:33" ht="6.9" customHeight="1" x14ac:dyDescent="0.4">
      <c r="A28" s="4">
        <f>ROW()</f>
        <v>28</v>
      </c>
      <c r="B28" s="9" t="s">
        <v>27</v>
      </c>
      <c r="C28" s="55" t="str">
        <f t="shared" si="15"/>
        <v>p.abrir</v>
      </c>
      <c r="D28" s="6" t="str">
        <f t="shared" si="1"/>
        <v>é.janela.fixa</v>
      </c>
      <c r="E28" s="8" t="s">
        <v>28</v>
      </c>
      <c r="F28" s="42" t="str">
        <f t="shared" si="14"/>
        <v>d.abrir</v>
      </c>
      <c r="G28" s="17" t="s">
        <v>490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5081</v>
      </c>
      <c r="X28" s="24" t="str">
        <f t="shared" si="6"/>
        <v>abrir.110</v>
      </c>
      <c r="Y28" s="24" t="str">
        <f t="shared" si="7"/>
        <v>Ação de abrir</v>
      </c>
      <c r="Z28" s="47" t="s">
        <v>1277</v>
      </c>
      <c r="AA28" s="25" t="str">
        <f t="shared" si="20"/>
        <v>categoria.revit</v>
      </c>
      <c r="AB28" s="26" t="s">
        <v>3494</v>
      </c>
      <c r="AC28" s="25" t="str">
        <f t="shared" si="21"/>
        <v>classe.ifc</v>
      </c>
      <c r="AD28" s="26" t="s">
        <v>3458</v>
      </c>
      <c r="AE28" s="25" t="str">
        <f t="shared" si="10"/>
        <v>null</v>
      </c>
      <c r="AF28" s="26" t="s">
        <v>0</v>
      </c>
      <c r="AG28" s="47" t="s">
        <v>2609</v>
      </c>
    </row>
    <row r="29" spans="1:33" ht="6.9" customHeight="1" x14ac:dyDescent="0.4">
      <c r="A29" s="4">
        <f>ROW()</f>
        <v>29</v>
      </c>
      <c r="B29" s="9" t="s">
        <v>27</v>
      </c>
      <c r="C29" s="55" t="str">
        <f t="shared" si="15"/>
        <v>p.abrir</v>
      </c>
      <c r="D29" s="6" t="str">
        <f t="shared" si="1"/>
        <v>é.janela.guilhotina</v>
      </c>
      <c r="E29" s="8" t="s">
        <v>28</v>
      </c>
      <c r="F29" s="42" t="str">
        <f t="shared" si="14"/>
        <v>d.abrir</v>
      </c>
      <c r="G29" s="17" t="s">
        <v>494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5082</v>
      </c>
      <c r="X29" s="24" t="str">
        <f t="shared" si="6"/>
        <v>abrir.111</v>
      </c>
      <c r="Y29" s="24" t="str">
        <f t="shared" si="7"/>
        <v>Ação de abrir</v>
      </c>
      <c r="Z29" s="47" t="s">
        <v>1281</v>
      </c>
      <c r="AA29" s="25" t="str">
        <f t="shared" si="20"/>
        <v>categoria.revit</v>
      </c>
      <c r="AB29" s="26" t="s">
        <v>3494</v>
      </c>
      <c r="AC29" s="25" t="str">
        <f t="shared" si="21"/>
        <v>classe.ifc</v>
      </c>
      <c r="AD29" s="26" t="s">
        <v>3458</v>
      </c>
      <c r="AE29" s="25" t="str">
        <f t="shared" si="10"/>
        <v>null</v>
      </c>
      <c r="AF29" s="26" t="s">
        <v>0</v>
      </c>
      <c r="AG29" s="47" t="s">
        <v>4283</v>
      </c>
    </row>
    <row r="30" spans="1:33" ht="6.9" customHeight="1" x14ac:dyDescent="0.4">
      <c r="A30" s="4">
        <f>ROW()</f>
        <v>30</v>
      </c>
      <c r="B30" s="9" t="s">
        <v>27</v>
      </c>
      <c r="C30" s="55" t="str">
        <f t="shared" si="15"/>
        <v>p.abrir</v>
      </c>
      <c r="D30" s="6" t="str">
        <f t="shared" si="1"/>
        <v>é.janela.integral</v>
      </c>
      <c r="E30" s="8" t="s">
        <v>28</v>
      </c>
      <c r="F30" s="42" t="str">
        <f t="shared" si="14"/>
        <v>d.abrir</v>
      </c>
      <c r="G30" s="17" t="s">
        <v>495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5083</v>
      </c>
      <c r="X30" s="24" t="str">
        <f t="shared" si="6"/>
        <v>abrir.112</v>
      </c>
      <c r="Y30" s="24" t="str">
        <f t="shared" si="7"/>
        <v>Ação de abrir</v>
      </c>
      <c r="Z30" s="47" t="s">
        <v>4277</v>
      </c>
      <c r="AA30" s="25" t="str">
        <f t="shared" si="20"/>
        <v>categoria.revit</v>
      </c>
      <c r="AB30" s="26" t="s">
        <v>3494</v>
      </c>
      <c r="AC30" s="25" t="str">
        <f t="shared" si="21"/>
        <v>classe.ifc</v>
      </c>
      <c r="AD30" s="26" t="s">
        <v>3458</v>
      </c>
      <c r="AE30" s="25" t="str">
        <f t="shared" si="10"/>
        <v>null</v>
      </c>
      <c r="AF30" s="26" t="s">
        <v>0</v>
      </c>
      <c r="AG30" s="47" t="s">
        <v>4284</v>
      </c>
    </row>
    <row r="31" spans="1:33" ht="6.9" customHeight="1" x14ac:dyDescent="0.4">
      <c r="A31" s="4">
        <f>ROW()</f>
        <v>31</v>
      </c>
      <c r="B31" s="9" t="s">
        <v>27</v>
      </c>
      <c r="C31" s="55" t="str">
        <f t="shared" si="15"/>
        <v>p.abrir</v>
      </c>
      <c r="D31" s="6" t="str">
        <f t="shared" si="1"/>
        <v>é.janela.maxim.ar</v>
      </c>
      <c r="E31" s="8" t="s">
        <v>28</v>
      </c>
      <c r="F31" s="42" t="str">
        <f t="shared" si="14"/>
        <v>d.abrir</v>
      </c>
      <c r="G31" s="17" t="s">
        <v>493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5084</v>
      </c>
      <c r="X31" s="24" t="str">
        <f t="shared" si="6"/>
        <v>abrir.113</v>
      </c>
      <c r="Y31" s="24" t="str">
        <f t="shared" si="7"/>
        <v>Ação de abrir</v>
      </c>
      <c r="Z31" s="47" t="s">
        <v>4276</v>
      </c>
      <c r="AA31" s="25" t="str">
        <f t="shared" si="20"/>
        <v>categoria.revit</v>
      </c>
      <c r="AB31" s="26" t="s">
        <v>3494</v>
      </c>
      <c r="AC31" s="25" t="str">
        <f t="shared" si="21"/>
        <v>classe.ifc</v>
      </c>
      <c r="AD31" s="26" t="s">
        <v>3458</v>
      </c>
      <c r="AE31" s="25" t="str">
        <f t="shared" si="10"/>
        <v>null</v>
      </c>
      <c r="AF31" s="26" t="s">
        <v>0</v>
      </c>
      <c r="AG31" s="47" t="s">
        <v>4285</v>
      </c>
    </row>
    <row r="32" spans="1:33" ht="6.9" customHeight="1" x14ac:dyDescent="0.4">
      <c r="A32" s="4">
        <f>ROW()</f>
        <v>32</v>
      </c>
      <c r="B32" s="9" t="s">
        <v>27</v>
      </c>
      <c r="C32" s="55" t="str">
        <f t="shared" si="15"/>
        <v>p.abrir</v>
      </c>
      <c r="D32" s="6" t="str">
        <f t="shared" si="1"/>
        <v>é.janela.pivotante</v>
      </c>
      <c r="E32" s="8" t="s">
        <v>28</v>
      </c>
      <c r="F32" s="42" t="str">
        <f t="shared" si="14"/>
        <v>d.abrir</v>
      </c>
      <c r="G32" s="17" t="s">
        <v>492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5085</v>
      </c>
      <c r="X32" s="24" t="str">
        <f t="shared" si="6"/>
        <v>abrir.114</v>
      </c>
      <c r="Y32" s="24" t="str">
        <f t="shared" si="7"/>
        <v>Ação de abrir</v>
      </c>
      <c r="Z32" s="47" t="s">
        <v>4275</v>
      </c>
      <c r="AA32" s="25" t="str">
        <f t="shared" si="20"/>
        <v>categoria.revit</v>
      </c>
      <c r="AB32" s="26" t="s">
        <v>3494</v>
      </c>
      <c r="AC32" s="25" t="str">
        <f t="shared" si="21"/>
        <v>classe.ifc</v>
      </c>
      <c r="AD32" s="26" t="s">
        <v>3458</v>
      </c>
      <c r="AE32" s="25" t="str">
        <f t="shared" si="10"/>
        <v>null</v>
      </c>
      <c r="AF32" s="26" t="s">
        <v>0</v>
      </c>
      <c r="AG32" s="47" t="s">
        <v>2610</v>
      </c>
    </row>
    <row r="33" spans="1:33" ht="6.9" customHeight="1" x14ac:dyDescent="0.4">
      <c r="A33" s="4">
        <f>ROW()</f>
        <v>33</v>
      </c>
      <c r="B33" s="9" t="s">
        <v>27</v>
      </c>
      <c r="C33" s="55" t="str">
        <f>SUBSTITUTE(F33,"d.","p.")</f>
        <v>p.abrir</v>
      </c>
      <c r="D33" s="6" t="str">
        <f t="shared" si="1"/>
        <v>é.fator.de.abertura</v>
      </c>
      <c r="E33" s="8" t="s">
        <v>28</v>
      </c>
      <c r="F33" s="42" t="str">
        <f t="shared" si="14"/>
        <v>d.abrir</v>
      </c>
      <c r="G33" s="17" t="s">
        <v>1150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5086</v>
      </c>
      <c r="X33" s="24" t="str">
        <f t="shared" si="6"/>
        <v>abrir.115</v>
      </c>
      <c r="Y33" s="24" t="str">
        <f t="shared" si="7"/>
        <v>Ação de abrir</v>
      </c>
      <c r="Z33" s="47" t="s">
        <v>4298</v>
      </c>
      <c r="AA33" s="25" t="str">
        <f t="shared" si="20"/>
        <v>null</v>
      </c>
      <c r="AB33" s="26" t="s">
        <v>0</v>
      </c>
      <c r="AC33" s="25" t="str">
        <f t="shared" si="21"/>
        <v>null</v>
      </c>
      <c r="AD33" s="26" t="s">
        <v>0</v>
      </c>
      <c r="AE33" s="25" t="str">
        <f t="shared" si="10"/>
        <v>null</v>
      </c>
      <c r="AF33" s="26" t="s">
        <v>0</v>
      </c>
      <c r="AG33" s="47" t="s">
        <v>4300</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5087</v>
      </c>
      <c r="X34" s="24" t="str">
        <f t="shared" si="6"/>
        <v>abrir.116</v>
      </c>
      <c r="Y34" s="24" t="str">
        <f t="shared" si="7"/>
        <v>Ação de abrir</v>
      </c>
      <c r="Z34" s="47" t="s">
        <v>4299</v>
      </c>
      <c r="AA34" s="25" t="str">
        <f t="shared" si="20"/>
        <v>null</v>
      </c>
      <c r="AB34" s="26" t="s">
        <v>0</v>
      </c>
      <c r="AC34" s="25" t="str">
        <f t="shared" si="21"/>
        <v>null</v>
      </c>
      <c r="AD34" s="26" t="s">
        <v>0</v>
      </c>
      <c r="AE34" s="25" t="str">
        <f t="shared" si="10"/>
        <v>null</v>
      </c>
      <c r="AF34" s="26" t="s">
        <v>0</v>
      </c>
      <c r="AG34" s="47" t="s">
        <v>4301</v>
      </c>
    </row>
    <row r="35" spans="1:33" ht="6.9" customHeight="1" x14ac:dyDescent="0.4">
      <c r="A35" s="4">
        <f>ROW()</f>
        <v>35</v>
      </c>
      <c r="B35" s="9" t="s">
        <v>27</v>
      </c>
      <c r="C35" s="54" t="str">
        <f t="shared" si="15"/>
        <v>p.acabar</v>
      </c>
      <c r="D35" s="6" t="str">
        <f t="shared" si="1"/>
        <v>é.acabamento.anodizado</v>
      </c>
      <c r="E35" s="8" t="s">
        <v>28</v>
      </c>
      <c r="F35" s="50" t="s">
        <v>1148</v>
      </c>
      <c r="G35" s="17" t="s">
        <v>2034</v>
      </c>
      <c r="H35" s="41" t="s">
        <v>2121</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5088</v>
      </c>
      <c r="X35" s="24" t="str">
        <f t="shared" si="6"/>
        <v>acaba.100</v>
      </c>
      <c r="Y35" s="24" t="str">
        <f t="shared" si="7"/>
        <v>Ação de acabar</v>
      </c>
      <c r="Z35" s="47" t="s">
        <v>5015</v>
      </c>
      <c r="AA35" s="25" t="str">
        <f t="shared" si="20"/>
        <v>null</v>
      </c>
      <c r="AB35" s="26" t="s">
        <v>0</v>
      </c>
      <c r="AC35" s="25" t="str">
        <f t="shared" si="21"/>
        <v>null</v>
      </c>
      <c r="AD35" s="26" t="s">
        <v>0</v>
      </c>
      <c r="AE35" s="25" t="str">
        <f t="shared" si="10"/>
        <v>propriedade</v>
      </c>
      <c r="AF35" s="26" t="s">
        <v>2479</v>
      </c>
      <c r="AG35" s="47" t="s">
        <v>8525</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2026</v>
      </c>
      <c r="H36" s="41" t="s">
        <v>2121</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5089</v>
      </c>
      <c r="X36" s="24" t="str">
        <f t="shared" si="6"/>
        <v>acaba.101</v>
      </c>
      <c r="Y36" s="24" t="str">
        <f t="shared" si="7"/>
        <v>Ação de acabar</v>
      </c>
      <c r="Z36" s="47" t="s">
        <v>5014</v>
      </c>
      <c r="AA36" s="25" t="str">
        <f t="shared" si="20"/>
        <v>null</v>
      </c>
      <c r="AB36" s="26" t="s">
        <v>0</v>
      </c>
      <c r="AC36" s="25" t="str">
        <f t="shared" si="21"/>
        <v>null</v>
      </c>
      <c r="AD36" s="26" t="s">
        <v>0</v>
      </c>
      <c r="AE36" s="25" t="str">
        <f t="shared" si="10"/>
        <v>propriedade</v>
      </c>
      <c r="AF36" s="26" t="s">
        <v>2479</v>
      </c>
      <c r="AG36" s="47" t="s">
        <v>8526</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2035</v>
      </c>
      <c r="H37" s="41" t="s">
        <v>2121</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5090</v>
      </c>
      <c r="X37" s="24" t="str">
        <f t="shared" si="6"/>
        <v>acaba.102</v>
      </c>
      <c r="Y37" s="24" t="str">
        <f t="shared" si="7"/>
        <v>Ação de acabar</v>
      </c>
      <c r="Z37" s="47" t="s">
        <v>5016</v>
      </c>
      <c r="AA37" s="25" t="str">
        <f t="shared" si="20"/>
        <v>null</v>
      </c>
      <c r="AB37" s="26" t="s">
        <v>0</v>
      </c>
      <c r="AC37" s="25" t="str">
        <f t="shared" si="21"/>
        <v>null</v>
      </c>
      <c r="AD37" s="26" t="s">
        <v>0</v>
      </c>
      <c r="AE37" s="25" t="str">
        <f t="shared" si="10"/>
        <v>propriedade</v>
      </c>
      <c r="AF37" s="26" t="s">
        <v>2479</v>
      </c>
      <c r="AG37" s="47" t="s">
        <v>8527</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2466</v>
      </c>
      <c r="H38" s="41" t="s">
        <v>2121</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5091</v>
      </c>
      <c r="X38" s="24" t="str">
        <f t="shared" si="6"/>
        <v>acaba.103</v>
      </c>
      <c r="Y38" s="24" t="str">
        <f t="shared" si="7"/>
        <v>Ação de acabar</v>
      </c>
      <c r="Z38" s="47" t="s">
        <v>2472</v>
      </c>
      <c r="AA38" s="25" t="str">
        <f t="shared" si="20"/>
        <v>null</v>
      </c>
      <c r="AB38" s="26" t="s">
        <v>0</v>
      </c>
      <c r="AC38" s="25" t="str">
        <f t="shared" si="21"/>
        <v>null</v>
      </c>
      <c r="AD38" s="26" t="s">
        <v>0</v>
      </c>
      <c r="AE38" s="25" t="str">
        <f t="shared" si="10"/>
        <v>propriedade</v>
      </c>
      <c r="AF38" s="61" t="s">
        <v>2463</v>
      </c>
      <c r="AG38" s="47" t="s">
        <v>2617</v>
      </c>
    </row>
    <row r="39" spans="1:33" ht="6.9" customHeight="1" x14ac:dyDescent="0.4">
      <c r="A39" s="4">
        <f>ROW()</f>
        <v>39</v>
      </c>
      <c r="B39" s="9" t="s">
        <v>27</v>
      </c>
      <c r="C39" s="55" t="str">
        <f t="shared" si="22"/>
        <v>p.acabar</v>
      </c>
      <c r="D39" s="6" t="str">
        <f t="shared" si="1"/>
        <v>é.acabamento.de.piso</v>
      </c>
      <c r="E39" s="8" t="s">
        <v>28</v>
      </c>
      <c r="F39" s="42" t="str">
        <f t="shared" si="23"/>
        <v>d.acabar</v>
      </c>
      <c r="G39" s="17" t="s">
        <v>2467</v>
      </c>
      <c r="H39" s="41" t="s">
        <v>2121</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5092</v>
      </c>
      <c r="X39" s="24" t="str">
        <f t="shared" si="6"/>
        <v>acaba.104</v>
      </c>
      <c r="Y39" s="24" t="str">
        <f t="shared" si="7"/>
        <v>Ação de acabar</v>
      </c>
      <c r="Z39" s="47" t="s">
        <v>2471</v>
      </c>
      <c r="AA39" s="25" t="str">
        <f t="shared" si="20"/>
        <v>null</v>
      </c>
      <c r="AB39" s="26" t="s">
        <v>0</v>
      </c>
      <c r="AC39" s="25" t="str">
        <f t="shared" si="21"/>
        <v>null</v>
      </c>
      <c r="AD39" s="26" t="s">
        <v>0</v>
      </c>
      <c r="AE39" s="25" t="str">
        <f t="shared" si="10"/>
        <v>propriedade</v>
      </c>
      <c r="AF39" s="61" t="s">
        <v>2464</v>
      </c>
      <c r="AG39" s="47" t="s">
        <v>2619</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2469</v>
      </c>
      <c r="H40" s="41" t="s">
        <v>2121</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5093</v>
      </c>
      <c r="X40" s="24" t="str">
        <f t="shared" si="6"/>
        <v>acaba.105</v>
      </c>
      <c r="Y40" s="24" t="str">
        <f t="shared" si="7"/>
        <v>Ação de acabar</v>
      </c>
      <c r="Z40" s="47" t="s">
        <v>2473</v>
      </c>
      <c r="AA40" s="25" t="str">
        <f t="shared" si="20"/>
        <v>null</v>
      </c>
      <c r="AB40" s="26" t="s">
        <v>0</v>
      </c>
      <c r="AC40" s="25" t="str">
        <f t="shared" si="21"/>
        <v>null</v>
      </c>
      <c r="AD40" s="26" t="s">
        <v>0</v>
      </c>
      <c r="AE40" s="25" t="str">
        <f t="shared" si="10"/>
        <v>propriedade</v>
      </c>
      <c r="AF40" s="61" t="s">
        <v>2464</v>
      </c>
      <c r="AG40" s="47" t="s">
        <v>2618</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2468</v>
      </c>
      <c r="H41" s="41" t="s">
        <v>2121</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5094</v>
      </c>
      <c r="X41" s="24" t="str">
        <f t="shared" si="6"/>
        <v>acaba.106</v>
      </c>
      <c r="Y41" s="24" t="str">
        <f t="shared" si="7"/>
        <v>Ação de acabar</v>
      </c>
      <c r="Z41" s="47" t="s">
        <v>2474</v>
      </c>
      <c r="AA41" s="25" t="str">
        <f t="shared" si="20"/>
        <v>null</v>
      </c>
      <c r="AB41" s="26" t="s">
        <v>0</v>
      </c>
      <c r="AC41" s="25" t="str">
        <f t="shared" si="21"/>
        <v>null</v>
      </c>
      <c r="AD41" s="26" t="s">
        <v>0</v>
      </c>
      <c r="AE41" s="25" t="str">
        <f t="shared" si="10"/>
        <v>propriedade</v>
      </c>
      <c r="AF41" s="61" t="s">
        <v>2462</v>
      </c>
      <c r="AG41" s="47" t="s">
        <v>2616</v>
      </c>
    </row>
    <row r="42" spans="1:33" ht="6.9" customHeight="1" x14ac:dyDescent="0.4">
      <c r="A42" s="4">
        <f>ROW()</f>
        <v>42</v>
      </c>
      <c r="B42" s="9" t="s">
        <v>27</v>
      </c>
      <c r="C42" s="55" t="str">
        <f t="shared" si="22"/>
        <v>p.acabar</v>
      </c>
      <c r="D42" s="6" t="str">
        <f t="shared" si="1"/>
        <v>é.acabamento.de.teto</v>
      </c>
      <c r="E42" s="8" t="s">
        <v>28</v>
      </c>
      <c r="F42" s="42" t="str">
        <f t="shared" si="23"/>
        <v>d.acabar</v>
      </c>
      <c r="G42" s="17" t="s">
        <v>2465</v>
      </c>
      <c r="H42" s="41" t="s">
        <v>2121</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5095</v>
      </c>
      <c r="X42" s="24" t="str">
        <f t="shared" si="6"/>
        <v>acaba.107</v>
      </c>
      <c r="Y42" s="24" t="str">
        <f t="shared" si="7"/>
        <v>Ação de acabar</v>
      </c>
      <c r="Z42" s="47" t="s">
        <v>2470</v>
      </c>
      <c r="AA42" s="25" t="str">
        <f t="shared" si="20"/>
        <v>null</v>
      </c>
      <c r="AB42" s="26" t="s">
        <v>0</v>
      </c>
      <c r="AC42" s="25" t="str">
        <f t="shared" si="21"/>
        <v>null</v>
      </c>
      <c r="AD42" s="26" t="s">
        <v>0</v>
      </c>
      <c r="AE42" s="25" t="str">
        <f t="shared" si="10"/>
        <v>propriedade</v>
      </c>
      <c r="AF42" s="61" t="s">
        <v>2462</v>
      </c>
      <c r="AG42" s="47" t="s">
        <v>2615</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2036</v>
      </c>
      <c r="H43" s="41" t="s">
        <v>2121</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5096</v>
      </c>
      <c r="X43" s="24" t="str">
        <f t="shared" si="6"/>
        <v>acaba.108</v>
      </c>
      <c r="Y43" s="24" t="str">
        <f t="shared" si="7"/>
        <v>Ação de acabar</v>
      </c>
      <c r="Z43" s="47" t="s">
        <v>5017</v>
      </c>
      <c r="AA43" s="25" t="str">
        <f t="shared" si="20"/>
        <v>null</v>
      </c>
      <c r="AB43" s="26" t="s">
        <v>0</v>
      </c>
      <c r="AC43" s="25" t="str">
        <f t="shared" si="21"/>
        <v>null</v>
      </c>
      <c r="AD43" s="26" t="s">
        <v>0</v>
      </c>
      <c r="AE43" s="25" t="str">
        <f t="shared" si="10"/>
        <v>propriedade</v>
      </c>
      <c r="AF43" s="26" t="s">
        <v>2479</v>
      </c>
      <c r="AG43" s="47" t="s">
        <v>8528</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2031</v>
      </c>
      <c r="H44" s="41" t="s">
        <v>2121</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5097</v>
      </c>
      <c r="X44" s="24" t="str">
        <f t="shared" si="6"/>
        <v>acaba.109</v>
      </c>
      <c r="Y44" s="24" t="str">
        <f t="shared" si="7"/>
        <v>Ação de acabar</v>
      </c>
      <c r="Z44" s="47" t="s">
        <v>5018</v>
      </c>
      <c r="AA44" s="25" t="str">
        <f t="shared" si="20"/>
        <v>null</v>
      </c>
      <c r="AB44" s="26" t="s">
        <v>0</v>
      </c>
      <c r="AC44" s="25" t="str">
        <f t="shared" si="21"/>
        <v>null</v>
      </c>
      <c r="AD44" s="26" t="s">
        <v>0</v>
      </c>
      <c r="AE44" s="25" t="str">
        <f t="shared" si="10"/>
        <v>propriedade</v>
      </c>
      <c r="AF44" s="26" t="s">
        <v>2479</v>
      </c>
      <c r="AG44" s="47" t="s">
        <v>8529</v>
      </c>
    </row>
    <row r="45" spans="1:33" ht="6.9" customHeight="1" x14ac:dyDescent="0.4">
      <c r="A45" s="4">
        <f>ROW()</f>
        <v>45</v>
      </c>
      <c r="B45" s="9" t="s">
        <v>27</v>
      </c>
      <c r="C45" s="55" t="str">
        <f t="shared" si="22"/>
        <v>p.acabar</v>
      </c>
      <c r="D45" s="6" t="str">
        <f t="shared" si="1"/>
        <v>é.acabamento.fosco</v>
      </c>
      <c r="E45" s="8" t="s">
        <v>28</v>
      </c>
      <c r="F45" s="42" t="str">
        <f t="shared" si="23"/>
        <v>d.acabar</v>
      </c>
      <c r="G45" s="17" t="s">
        <v>2023</v>
      </c>
      <c r="H45" s="41" t="s">
        <v>2121</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5098</v>
      </c>
      <c r="X45" s="24" t="str">
        <f t="shared" si="6"/>
        <v>acaba.110</v>
      </c>
      <c r="Y45" s="24" t="str">
        <f t="shared" si="7"/>
        <v>Ação de acabar</v>
      </c>
      <c r="Z45" s="47" t="s">
        <v>5019</v>
      </c>
      <c r="AA45" s="25" t="str">
        <f t="shared" si="20"/>
        <v>null</v>
      </c>
      <c r="AB45" s="26" t="s">
        <v>0</v>
      </c>
      <c r="AC45" s="25" t="str">
        <f t="shared" si="21"/>
        <v>null</v>
      </c>
      <c r="AD45" s="26" t="s">
        <v>0</v>
      </c>
      <c r="AE45" s="25" t="str">
        <f t="shared" si="10"/>
        <v>propriedade</v>
      </c>
      <c r="AF45" s="26" t="s">
        <v>2479</v>
      </c>
      <c r="AG45" s="47" t="s">
        <v>8530</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2032</v>
      </c>
      <c r="H46" s="41" t="s">
        <v>2121</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5099</v>
      </c>
      <c r="X46" s="24" t="str">
        <f t="shared" si="6"/>
        <v>acaba.111</v>
      </c>
      <c r="Y46" s="24" t="str">
        <f t="shared" si="7"/>
        <v>Ação de acabar</v>
      </c>
      <c r="Z46" s="47" t="s">
        <v>5020</v>
      </c>
      <c r="AA46" s="25" t="str">
        <f t="shared" si="20"/>
        <v>null</v>
      </c>
      <c r="AB46" s="26" t="s">
        <v>0</v>
      </c>
      <c r="AC46" s="25" t="str">
        <f t="shared" si="21"/>
        <v>null</v>
      </c>
      <c r="AD46" s="26" t="s">
        <v>0</v>
      </c>
      <c r="AE46" s="25" t="str">
        <f t="shared" si="10"/>
        <v>propriedade</v>
      </c>
      <c r="AF46" s="26" t="s">
        <v>2476</v>
      </c>
      <c r="AG46" s="47" t="s">
        <v>8531</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2025</v>
      </c>
      <c r="H47" s="41" t="s">
        <v>2121</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5100</v>
      </c>
      <c r="X47" s="24" t="str">
        <f t="shared" si="6"/>
        <v>acaba.112</v>
      </c>
      <c r="Y47" s="24" t="str">
        <f t="shared" si="7"/>
        <v>Ação de acabar</v>
      </c>
      <c r="Z47" s="47" t="s">
        <v>5021</v>
      </c>
      <c r="AA47" s="25" t="str">
        <f t="shared" si="20"/>
        <v>null</v>
      </c>
      <c r="AB47" s="26" t="s">
        <v>0</v>
      </c>
      <c r="AC47" s="25" t="str">
        <f t="shared" si="21"/>
        <v>null</v>
      </c>
      <c r="AD47" s="26" t="s">
        <v>0</v>
      </c>
      <c r="AE47" s="25" t="str">
        <f t="shared" si="10"/>
        <v>propriedade</v>
      </c>
      <c r="AF47" s="26" t="s">
        <v>2478</v>
      </c>
      <c r="AG47" s="47" t="s">
        <v>8532</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2033</v>
      </c>
      <c r="H48" s="41" t="s">
        <v>2121</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5101</v>
      </c>
      <c r="X48" s="24" t="str">
        <f t="shared" si="6"/>
        <v>acaba.113</v>
      </c>
      <c r="Y48" s="24" t="str">
        <f t="shared" si="7"/>
        <v>Ação de acabar</v>
      </c>
      <c r="Z48" s="47" t="s">
        <v>5022</v>
      </c>
      <c r="AA48" s="25" t="str">
        <f t="shared" si="20"/>
        <v>null</v>
      </c>
      <c r="AB48" s="26" t="s">
        <v>0</v>
      </c>
      <c r="AC48" s="25" t="str">
        <f t="shared" si="21"/>
        <v>null</v>
      </c>
      <c r="AD48" s="26" t="s">
        <v>0</v>
      </c>
      <c r="AE48" s="25" t="str">
        <f t="shared" si="10"/>
        <v>propriedade</v>
      </c>
      <c r="AF48" s="26" t="s">
        <v>2479</v>
      </c>
      <c r="AG48" s="47" t="s">
        <v>8533</v>
      </c>
    </row>
    <row r="49" spans="1:33" ht="6.9" customHeight="1" x14ac:dyDescent="0.4">
      <c r="A49" s="4">
        <f>ROW()</f>
        <v>49</v>
      </c>
      <c r="B49" s="9" t="s">
        <v>27</v>
      </c>
      <c r="C49" s="55" t="str">
        <f t="shared" si="22"/>
        <v>p.acabar</v>
      </c>
      <c r="D49" s="6" t="str">
        <f t="shared" si="1"/>
        <v>é.acabamento.polido</v>
      </c>
      <c r="E49" s="8" t="s">
        <v>28</v>
      </c>
      <c r="F49" s="42" t="str">
        <f t="shared" si="23"/>
        <v>d.acabar</v>
      </c>
      <c r="G49" s="17" t="s">
        <v>2024</v>
      </c>
      <c r="H49" s="41" t="s">
        <v>2121</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5102</v>
      </c>
      <c r="X49" s="24" t="str">
        <f t="shared" si="6"/>
        <v>acaba.114</v>
      </c>
      <c r="Y49" s="24" t="str">
        <f t="shared" si="7"/>
        <v>Ação de acabar</v>
      </c>
      <c r="Z49" s="47" t="s">
        <v>5023</v>
      </c>
      <c r="AA49" s="25" t="str">
        <f t="shared" si="20"/>
        <v>null</v>
      </c>
      <c r="AB49" s="26" t="s">
        <v>0</v>
      </c>
      <c r="AC49" s="25" t="str">
        <f t="shared" si="21"/>
        <v>null</v>
      </c>
      <c r="AD49" s="26" t="s">
        <v>0</v>
      </c>
      <c r="AE49" s="25" t="str">
        <f t="shared" si="10"/>
        <v>propriedade</v>
      </c>
      <c r="AF49" s="26" t="s">
        <v>2475</v>
      </c>
      <c r="AG49" s="47" t="s">
        <v>8532</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2029</v>
      </c>
      <c r="H50" s="41" t="s">
        <v>2121</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5103</v>
      </c>
      <c r="X50" s="24" t="str">
        <f t="shared" si="6"/>
        <v>acaba.115</v>
      </c>
      <c r="Y50" s="24" t="str">
        <f t="shared" si="7"/>
        <v>Ação de acabar</v>
      </c>
      <c r="Z50" s="47" t="s">
        <v>5024</v>
      </c>
      <c r="AA50" s="25" t="str">
        <f t="shared" si="20"/>
        <v>null</v>
      </c>
      <c r="AB50" s="26" t="s">
        <v>0</v>
      </c>
      <c r="AC50" s="25" t="str">
        <f t="shared" si="21"/>
        <v>null</v>
      </c>
      <c r="AD50" s="26" t="s">
        <v>0</v>
      </c>
      <c r="AE50" s="25" t="str">
        <f t="shared" si="10"/>
        <v>propriedade</v>
      </c>
      <c r="AF50" s="26" t="s">
        <v>2479</v>
      </c>
      <c r="AG50" s="47" t="s">
        <v>8534</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2027</v>
      </c>
      <c r="H51" s="41" t="s">
        <v>2121</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5104</v>
      </c>
      <c r="X51" s="24" t="str">
        <f t="shared" si="6"/>
        <v>acaba.116</v>
      </c>
      <c r="Y51" s="24" t="str">
        <f t="shared" si="7"/>
        <v>Ação de acabar</v>
      </c>
      <c r="Z51" s="47" t="s">
        <v>5025</v>
      </c>
      <c r="AA51" s="25" t="str">
        <f t="shared" si="20"/>
        <v>null</v>
      </c>
      <c r="AB51" s="26" t="s">
        <v>0</v>
      </c>
      <c r="AC51" s="25" t="str">
        <f t="shared" si="21"/>
        <v>null</v>
      </c>
      <c r="AD51" s="26" t="s">
        <v>0</v>
      </c>
      <c r="AE51" s="25" t="str">
        <f t="shared" si="10"/>
        <v>propriedade</v>
      </c>
      <c r="AF51" s="26" t="s">
        <v>2479</v>
      </c>
      <c r="AG51" s="47" t="s">
        <v>8535</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2030</v>
      </c>
      <c r="H52" s="41" t="s">
        <v>2121</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5105</v>
      </c>
      <c r="X52" s="24" t="str">
        <f t="shared" si="6"/>
        <v>acaba.117</v>
      </c>
      <c r="Y52" s="24" t="str">
        <f t="shared" si="7"/>
        <v>Ação de acabar</v>
      </c>
      <c r="Z52" s="47" t="s">
        <v>5026</v>
      </c>
      <c r="AA52" s="25" t="str">
        <f t="shared" si="20"/>
        <v>null</v>
      </c>
      <c r="AB52" s="26" t="s">
        <v>0</v>
      </c>
      <c r="AC52" s="25" t="str">
        <f t="shared" si="21"/>
        <v>null</v>
      </c>
      <c r="AD52" s="26" t="s">
        <v>0</v>
      </c>
      <c r="AE52" s="25" t="str">
        <f t="shared" si="10"/>
        <v>propriedade</v>
      </c>
      <c r="AF52" s="26" t="s">
        <v>2479</v>
      </c>
      <c r="AG52" s="47" t="s">
        <v>8536</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2028</v>
      </c>
      <c r="H53" s="41" t="s">
        <v>2121</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5106</v>
      </c>
      <c r="X53" s="24" t="str">
        <f t="shared" si="6"/>
        <v>acaba.118</v>
      </c>
      <c r="Y53" s="24" t="str">
        <f t="shared" si="7"/>
        <v>Ação de acabar</v>
      </c>
      <c r="Z53" s="47" t="s">
        <v>5027</v>
      </c>
      <c r="AA53" s="25" t="str">
        <f t="shared" si="20"/>
        <v>null</v>
      </c>
      <c r="AB53" s="26" t="s">
        <v>0</v>
      </c>
      <c r="AC53" s="25" t="str">
        <f t="shared" si="21"/>
        <v>null</v>
      </c>
      <c r="AD53" s="26" t="s">
        <v>0</v>
      </c>
      <c r="AE53" s="25" t="str">
        <f t="shared" si="10"/>
        <v>propriedade</v>
      </c>
      <c r="AF53" s="26" t="s">
        <v>2477</v>
      </c>
      <c r="AG53" s="47" t="s">
        <v>8537</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2037</v>
      </c>
      <c r="H54" s="41" t="s">
        <v>2121</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5107</v>
      </c>
      <c r="X54" s="24" t="str">
        <f t="shared" si="6"/>
        <v>acaba.119</v>
      </c>
      <c r="Y54" s="24" t="str">
        <f t="shared" si="7"/>
        <v>Ação de acabar</v>
      </c>
      <c r="Z54" s="47" t="s">
        <v>5028</v>
      </c>
      <c r="AA54" s="25" t="str">
        <f t="shared" si="20"/>
        <v>null</v>
      </c>
      <c r="AB54" s="26" t="s">
        <v>0</v>
      </c>
      <c r="AC54" s="25" t="str">
        <f t="shared" si="21"/>
        <v>null</v>
      </c>
      <c r="AD54" s="26" t="s">
        <v>0</v>
      </c>
      <c r="AE54" s="25" t="str">
        <f t="shared" si="10"/>
        <v>propriedade</v>
      </c>
      <c r="AF54" s="26" t="s">
        <v>2479</v>
      </c>
      <c r="AG54" s="47" t="s">
        <v>8538</v>
      </c>
    </row>
    <row r="55" spans="1:33" ht="6.9" customHeight="1" x14ac:dyDescent="0.4">
      <c r="A55" s="4">
        <f>ROW()</f>
        <v>55</v>
      </c>
      <c r="B55" s="9" t="s">
        <v>27</v>
      </c>
      <c r="C55" s="55" t="str">
        <f t="shared" si="22"/>
        <v>p.acabar</v>
      </c>
      <c r="D55" s="6" t="str">
        <f t="shared" si="1"/>
        <v>é.chapiscada.com</v>
      </c>
      <c r="E55" s="8" t="s">
        <v>28</v>
      </c>
      <c r="F55" s="42" t="str">
        <f t="shared" si="23"/>
        <v>d.acabar</v>
      </c>
      <c r="G55" s="17" t="s">
        <v>2019</v>
      </c>
      <c r="H55" s="41" t="s">
        <v>2121</v>
      </c>
      <c r="I55" s="16" t="str">
        <f t="shared" si="19"/>
        <v>null</v>
      </c>
      <c r="J55" s="15" t="s">
        <v>0</v>
      </c>
      <c r="K55" s="15" t="s">
        <v>0</v>
      </c>
      <c r="L55" s="15" t="s">
        <v>0</v>
      </c>
      <c r="M55" s="15" t="s">
        <v>0</v>
      </c>
      <c r="N55" s="15" t="s">
        <v>0</v>
      </c>
      <c r="O55" s="15" t="s">
        <v>0</v>
      </c>
      <c r="P55" s="15" t="s">
        <v>0</v>
      </c>
      <c r="Q55" s="15" t="s">
        <v>0</v>
      </c>
      <c r="R55" s="15" t="s">
        <v>4295</v>
      </c>
      <c r="S55" s="10" t="s">
        <v>1</v>
      </c>
      <c r="T55" s="10" t="s">
        <v>32</v>
      </c>
      <c r="U55" s="5" t="str">
        <f t="shared" si="2"/>
        <v>Propriedade destinada a acabar: é.chapiscada.com</v>
      </c>
      <c r="V55" s="5" t="str">
        <f t="shared" si="3"/>
        <v>Dado para acabar:  chapiscada.com  Deve ser formatado como (rdfs:Literal  or  xsd:string)</v>
      </c>
      <c r="W55" s="5" t="s">
        <v>5108</v>
      </c>
      <c r="X55" s="24" t="str">
        <f t="shared" si="6"/>
        <v>acaba.120</v>
      </c>
      <c r="Y55" s="24" t="str">
        <f t="shared" si="7"/>
        <v>Ação de acabar</v>
      </c>
      <c r="Z55" s="47" t="s">
        <v>4908</v>
      </c>
      <c r="AA55" s="25" t="str">
        <f t="shared" si="20"/>
        <v>null</v>
      </c>
      <c r="AB55" s="26" t="s">
        <v>0</v>
      </c>
      <c r="AC55" s="25" t="str">
        <f t="shared" si="21"/>
        <v>null</v>
      </c>
      <c r="AD55" s="26" t="s">
        <v>0</v>
      </c>
      <c r="AE55" s="25" t="str">
        <f t="shared" si="10"/>
        <v>null</v>
      </c>
      <c r="AF55" s="26" t="s">
        <v>0</v>
      </c>
      <c r="AG55" s="47" t="s">
        <v>4762</v>
      </c>
    </row>
    <row r="56" spans="1:33" ht="6.9" customHeight="1" x14ac:dyDescent="0.4">
      <c r="A56" s="4">
        <f>ROW()</f>
        <v>56</v>
      </c>
      <c r="B56" s="9" t="s">
        <v>27</v>
      </c>
      <c r="C56" s="55" t="str">
        <f t="shared" si="22"/>
        <v>p.acabar</v>
      </c>
      <c r="D56" s="6" t="str">
        <f t="shared" si="1"/>
        <v>é.chapiscado.com</v>
      </c>
      <c r="E56" s="8" t="s">
        <v>28</v>
      </c>
      <c r="F56" s="42" t="str">
        <f t="shared" si="23"/>
        <v>d.acabar</v>
      </c>
      <c r="G56" s="17" t="s">
        <v>1935</v>
      </c>
      <c r="H56" s="41" t="s">
        <v>2121</v>
      </c>
      <c r="I56" s="16" t="str">
        <f t="shared" si="19"/>
        <v>null</v>
      </c>
      <c r="J56" s="15" t="s">
        <v>0</v>
      </c>
      <c r="K56" s="15" t="s">
        <v>0</v>
      </c>
      <c r="L56" s="15" t="s">
        <v>0</v>
      </c>
      <c r="M56" s="15" t="s">
        <v>0</v>
      </c>
      <c r="N56" s="15" t="s">
        <v>0</v>
      </c>
      <c r="O56" s="15" t="s">
        <v>0</v>
      </c>
      <c r="P56" s="15" t="s">
        <v>0</v>
      </c>
      <c r="Q56" s="15" t="s">
        <v>0</v>
      </c>
      <c r="R56" s="15" t="s">
        <v>4294</v>
      </c>
      <c r="S56" s="10" t="s">
        <v>1</v>
      </c>
      <c r="T56" s="10" t="s">
        <v>32</v>
      </c>
      <c r="U56" s="5" t="str">
        <f t="shared" si="2"/>
        <v>Propriedade destinada a acabar: é.chapiscado.com</v>
      </c>
      <c r="V56" s="5" t="str">
        <f t="shared" si="3"/>
        <v>Dado para acabar:  chapiscado.com  Deve ser formatado como (rdfs:Literal  or  xsd:string)</v>
      </c>
      <c r="W56" s="5" t="s">
        <v>5108</v>
      </c>
      <c r="X56" s="24" t="str">
        <f t="shared" si="6"/>
        <v>acaba.121</v>
      </c>
      <c r="Y56" s="24" t="str">
        <f t="shared" si="7"/>
        <v>Ação de acabar</v>
      </c>
      <c r="Z56" s="47" t="s">
        <v>4908</v>
      </c>
      <c r="AA56" s="25" t="str">
        <f t="shared" si="20"/>
        <v>null</v>
      </c>
      <c r="AB56" s="26" t="s">
        <v>0</v>
      </c>
      <c r="AC56" s="25" t="str">
        <f t="shared" si="21"/>
        <v>null</v>
      </c>
      <c r="AD56" s="26" t="s">
        <v>0</v>
      </c>
      <c r="AE56" s="25" t="str">
        <f t="shared" si="10"/>
        <v>null</v>
      </c>
      <c r="AF56" s="26" t="s">
        <v>0</v>
      </c>
      <c r="AG56" s="47" t="s">
        <v>4762</v>
      </c>
    </row>
    <row r="57" spans="1:33" ht="6.9" customHeight="1" x14ac:dyDescent="0.4">
      <c r="A57" s="4">
        <f>ROW()</f>
        <v>57</v>
      </c>
      <c r="B57" s="9" t="s">
        <v>27</v>
      </c>
      <c r="C57" s="55" t="str">
        <f t="shared" si="22"/>
        <v>p.acabar</v>
      </c>
      <c r="D57" s="6" t="str">
        <f t="shared" si="1"/>
        <v>é.emboçada.com</v>
      </c>
      <c r="E57" s="8" t="s">
        <v>28</v>
      </c>
      <c r="F57" s="42" t="str">
        <f t="shared" si="23"/>
        <v>d.acabar</v>
      </c>
      <c r="G57" s="17" t="s">
        <v>2020</v>
      </c>
      <c r="H57" s="41" t="s">
        <v>2121</v>
      </c>
      <c r="I57" s="16" t="str">
        <f t="shared" si="19"/>
        <v>null</v>
      </c>
      <c r="J57" s="15" t="s">
        <v>0</v>
      </c>
      <c r="K57" s="15" t="s">
        <v>0</v>
      </c>
      <c r="L57" s="15" t="s">
        <v>0</v>
      </c>
      <c r="M57" s="15" t="s">
        <v>0</v>
      </c>
      <c r="N57" s="15" t="s">
        <v>0</v>
      </c>
      <c r="O57" s="15" t="s">
        <v>0</v>
      </c>
      <c r="P57" s="15" t="s">
        <v>0</v>
      </c>
      <c r="Q57" s="15" t="s">
        <v>0</v>
      </c>
      <c r="R57" s="15" t="s">
        <v>4297</v>
      </c>
      <c r="S57" s="10" t="s">
        <v>1</v>
      </c>
      <c r="T57" s="10" t="s">
        <v>32</v>
      </c>
      <c r="U57" s="5" t="str">
        <f t="shared" si="2"/>
        <v>Propriedade destinada a acabar: é.emboçada.com</v>
      </c>
      <c r="V57" s="5" t="str">
        <f t="shared" si="3"/>
        <v>Dado para acabar:  emboçada.com  Deve ser formatado como (rdfs:Literal  or  xsd:string)</v>
      </c>
      <c r="W57" s="5" t="s">
        <v>6986</v>
      </c>
      <c r="X57" s="24" t="str">
        <f t="shared" si="6"/>
        <v>acaba.122</v>
      </c>
      <c r="Y57" s="24" t="str">
        <f t="shared" si="7"/>
        <v>Ação de acabar</v>
      </c>
      <c r="Z57" s="47" t="s">
        <v>6989</v>
      </c>
      <c r="AA57" s="25" t="str">
        <f t="shared" si="20"/>
        <v>null</v>
      </c>
      <c r="AB57" s="26" t="s">
        <v>0</v>
      </c>
      <c r="AC57" s="25" t="str">
        <f t="shared" si="21"/>
        <v>null</v>
      </c>
      <c r="AD57" s="26" t="s">
        <v>0</v>
      </c>
      <c r="AE57" s="25" t="str">
        <f t="shared" si="10"/>
        <v>null</v>
      </c>
      <c r="AF57" s="26" t="s">
        <v>0</v>
      </c>
      <c r="AG57" s="47" t="s">
        <v>4762</v>
      </c>
    </row>
    <row r="58" spans="1:33" ht="6.9" customHeight="1" x14ac:dyDescent="0.4">
      <c r="A58" s="4">
        <f>ROW()</f>
        <v>58</v>
      </c>
      <c r="B58" s="9" t="s">
        <v>27</v>
      </c>
      <c r="C58" s="55" t="str">
        <f t="shared" si="22"/>
        <v>p.acabar</v>
      </c>
      <c r="D58" s="6" t="str">
        <f t="shared" si="1"/>
        <v>é.emboçado.com</v>
      </c>
      <c r="E58" s="8" t="s">
        <v>28</v>
      </c>
      <c r="F58" s="42" t="str">
        <f t="shared" si="23"/>
        <v>d.acabar</v>
      </c>
      <c r="G58" s="17" t="s">
        <v>1936</v>
      </c>
      <c r="H58" s="41" t="s">
        <v>2121</v>
      </c>
      <c r="I58" s="16" t="str">
        <f t="shared" si="19"/>
        <v>null</v>
      </c>
      <c r="J58" s="15" t="s">
        <v>0</v>
      </c>
      <c r="K58" s="15" t="s">
        <v>0</v>
      </c>
      <c r="L58" s="15" t="s">
        <v>0</v>
      </c>
      <c r="M58" s="15" t="s">
        <v>0</v>
      </c>
      <c r="N58" s="15" t="s">
        <v>0</v>
      </c>
      <c r="O58" s="15" t="s">
        <v>0</v>
      </c>
      <c r="P58" s="15" t="s">
        <v>0</v>
      </c>
      <c r="Q58" s="15" t="s">
        <v>0</v>
      </c>
      <c r="R58" s="15" t="s">
        <v>4296</v>
      </c>
      <c r="S58" s="10" t="s">
        <v>1</v>
      </c>
      <c r="T58" s="10" t="s">
        <v>32</v>
      </c>
      <c r="U58" s="5" t="str">
        <f t="shared" si="2"/>
        <v>Propriedade destinada a acabar: é.emboçado.com</v>
      </c>
      <c r="V58" s="5" t="str">
        <f t="shared" si="3"/>
        <v>Dado para acabar:  emboçado.com  Deve ser formatado como (rdfs:Literal  or  xsd:string)</v>
      </c>
      <c r="W58" s="5" t="s">
        <v>6986</v>
      </c>
      <c r="X58" s="24" t="str">
        <f t="shared" si="6"/>
        <v>acaba.123</v>
      </c>
      <c r="Y58" s="24" t="str">
        <f t="shared" si="7"/>
        <v>Ação de acabar</v>
      </c>
      <c r="Z58" s="47" t="s">
        <v>6989</v>
      </c>
      <c r="AA58" s="25" t="str">
        <f t="shared" si="20"/>
        <v>null</v>
      </c>
      <c r="AB58" s="26" t="s">
        <v>0</v>
      </c>
      <c r="AC58" s="25" t="str">
        <f t="shared" si="21"/>
        <v>null</v>
      </c>
      <c r="AD58" s="26" t="s">
        <v>0</v>
      </c>
      <c r="AE58" s="25" t="str">
        <f t="shared" si="10"/>
        <v>null</v>
      </c>
      <c r="AF58" s="26" t="s">
        <v>0</v>
      </c>
      <c r="AG58" s="47" t="s">
        <v>4762</v>
      </c>
    </row>
    <row r="59" spans="1:33" ht="6.9" customHeight="1" x14ac:dyDescent="0.4">
      <c r="A59" s="4">
        <f>ROW()</f>
        <v>59</v>
      </c>
      <c r="B59" s="9" t="s">
        <v>27</v>
      </c>
      <c r="C59" s="55" t="str">
        <f t="shared" si="22"/>
        <v>p.acabar</v>
      </c>
      <c r="D59" s="6" t="str">
        <f t="shared" si="1"/>
        <v>é.emassada.com</v>
      </c>
      <c r="E59" s="8" t="s">
        <v>28</v>
      </c>
      <c r="F59" s="42" t="str">
        <f t="shared" si="23"/>
        <v>d.acabar</v>
      </c>
      <c r="G59" s="17" t="s">
        <v>6931</v>
      </c>
      <c r="H59" s="41" t="s">
        <v>2121</v>
      </c>
      <c r="I59" s="16" t="str">
        <f t="shared" si="19"/>
        <v>null</v>
      </c>
      <c r="J59" s="15" t="s">
        <v>0</v>
      </c>
      <c r="K59" s="15" t="s">
        <v>0</v>
      </c>
      <c r="L59" s="15" t="s">
        <v>0</v>
      </c>
      <c r="M59" s="15" t="s">
        <v>0</v>
      </c>
      <c r="N59" s="15" t="s">
        <v>0</v>
      </c>
      <c r="O59" s="15" t="s">
        <v>0</v>
      </c>
      <c r="P59" s="15" t="s">
        <v>0</v>
      </c>
      <c r="Q59" s="15" t="s">
        <v>0</v>
      </c>
      <c r="R59" s="15" t="s">
        <v>6933</v>
      </c>
      <c r="S59" s="10" t="s">
        <v>1</v>
      </c>
      <c r="T59" s="10" t="s">
        <v>32</v>
      </c>
      <c r="U59" s="5" t="str">
        <f t="shared" si="2"/>
        <v>Propriedade destinada a acabar: é.emassada.com</v>
      </c>
      <c r="V59" s="5" t="str">
        <f t="shared" si="3"/>
        <v>Dado para acabar:  emassada.com  Deve ser formatado como (rdfs:Literal  or  xsd:string)</v>
      </c>
      <c r="W59" s="5" t="s">
        <v>6982</v>
      </c>
      <c r="X59" s="24" t="str">
        <f t="shared" si="6"/>
        <v>acaba.124</v>
      </c>
      <c r="Y59" s="24" t="str">
        <f t="shared" si="7"/>
        <v>Ação de acabar</v>
      </c>
      <c r="Z59" s="47" t="s">
        <v>6987</v>
      </c>
      <c r="AA59" s="25" t="str">
        <f t="shared" si="20"/>
        <v>null</v>
      </c>
      <c r="AB59" s="26" t="s">
        <v>0</v>
      </c>
      <c r="AC59" s="25" t="str">
        <f t="shared" si="21"/>
        <v>null</v>
      </c>
      <c r="AD59" s="26" t="s">
        <v>0</v>
      </c>
      <c r="AE59" s="25" t="str">
        <f t="shared" si="10"/>
        <v>null</v>
      </c>
      <c r="AF59" s="26" t="s">
        <v>0</v>
      </c>
      <c r="AG59" s="47" t="s">
        <v>8539</v>
      </c>
    </row>
    <row r="60" spans="1:33" ht="6.9" customHeight="1" x14ac:dyDescent="0.4">
      <c r="A60" s="4">
        <f>ROW()</f>
        <v>60</v>
      </c>
      <c r="B60" s="9" t="s">
        <v>27</v>
      </c>
      <c r="C60" s="55" t="str">
        <f t="shared" si="22"/>
        <v>p.acabar</v>
      </c>
      <c r="D60" s="6" t="str">
        <f t="shared" si="1"/>
        <v>é.emassado.com</v>
      </c>
      <c r="E60" s="8" t="s">
        <v>28</v>
      </c>
      <c r="F60" s="42" t="str">
        <f t="shared" si="23"/>
        <v>d.acabar</v>
      </c>
      <c r="G60" s="17" t="s">
        <v>6932</v>
      </c>
      <c r="H60" s="41" t="s">
        <v>2121</v>
      </c>
      <c r="I60" s="16" t="str">
        <f t="shared" si="19"/>
        <v>null</v>
      </c>
      <c r="J60" s="15" t="s">
        <v>0</v>
      </c>
      <c r="K60" s="15" t="s">
        <v>0</v>
      </c>
      <c r="L60" s="15" t="s">
        <v>0</v>
      </c>
      <c r="M60" s="15" t="s">
        <v>0</v>
      </c>
      <c r="N60" s="15" t="s">
        <v>0</v>
      </c>
      <c r="O60" s="15" t="s">
        <v>0</v>
      </c>
      <c r="P60" s="15" t="s">
        <v>0</v>
      </c>
      <c r="Q60" s="15" t="s">
        <v>0</v>
      </c>
      <c r="R60" s="15" t="s">
        <v>6934</v>
      </c>
      <c r="S60" s="10" t="s">
        <v>1</v>
      </c>
      <c r="T60" s="10" t="s">
        <v>32</v>
      </c>
      <c r="U60" s="5" t="str">
        <f t="shared" si="2"/>
        <v>Propriedade destinada a acabar: é.emassado.com</v>
      </c>
      <c r="V60" s="5" t="str">
        <f t="shared" si="3"/>
        <v>Dado para acabar:  emassado.com  Deve ser formatado como (rdfs:Literal  or  xsd:string)</v>
      </c>
      <c r="W60" s="5" t="s">
        <v>6982</v>
      </c>
      <c r="X60" s="24" t="str">
        <f t="shared" si="6"/>
        <v>acaba.125</v>
      </c>
      <c r="Y60" s="24" t="str">
        <f t="shared" si="7"/>
        <v>Ação de acabar</v>
      </c>
      <c r="Z60" s="47" t="s">
        <v>6987</v>
      </c>
      <c r="AA60" s="25" t="str">
        <f t="shared" si="20"/>
        <v>null</v>
      </c>
      <c r="AB60" s="26" t="s">
        <v>0</v>
      </c>
      <c r="AC60" s="25" t="str">
        <f t="shared" si="21"/>
        <v>null</v>
      </c>
      <c r="AD60" s="26" t="s">
        <v>0</v>
      </c>
      <c r="AE60" s="25" t="str">
        <f t="shared" si="10"/>
        <v>null</v>
      </c>
      <c r="AF60" s="26" t="s">
        <v>0</v>
      </c>
      <c r="AG60" s="47" t="s">
        <v>8539</v>
      </c>
    </row>
    <row r="61" spans="1:33" ht="6.9" customHeight="1" x14ac:dyDescent="0.4">
      <c r="A61" s="4">
        <f>ROW()</f>
        <v>61</v>
      </c>
      <c r="B61" s="9" t="s">
        <v>27</v>
      </c>
      <c r="C61" s="55" t="str">
        <f t="shared" si="22"/>
        <v>p.acabar</v>
      </c>
      <c r="D61" s="6" t="str">
        <f t="shared" si="1"/>
        <v>é.pintada.com</v>
      </c>
      <c r="E61" s="8" t="s">
        <v>28</v>
      </c>
      <c r="F61" s="42" t="str">
        <f t="shared" si="23"/>
        <v>d.acabar</v>
      </c>
      <c r="G61" s="17" t="s">
        <v>2022</v>
      </c>
      <c r="H61" s="41" t="s">
        <v>2121</v>
      </c>
      <c r="I61" s="16" t="str">
        <f t="shared" si="19"/>
        <v>null</v>
      </c>
      <c r="J61" s="15" t="s">
        <v>0</v>
      </c>
      <c r="K61" s="15" t="s">
        <v>0</v>
      </c>
      <c r="L61" s="15" t="s">
        <v>0</v>
      </c>
      <c r="M61" s="15" t="s">
        <v>0</v>
      </c>
      <c r="N61" s="15" t="s">
        <v>0</v>
      </c>
      <c r="O61" s="15" t="s">
        <v>0</v>
      </c>
      <c r="P61" s="15" t="s">
        <v>0</v>
      </c>
      <c r="Q61" s="15" t="s">
        <v>0</v>
      </c>
      <c r="R61" s="15" t="s">
        <v>4292</v>
      </c>
      <c r="S61" s="10" t="s">
        <v>1</v>
      </c>
      <c r="T61" s="10" t="s">
        <v>32</v>
      </c>
      <c r="U61" s="5" t="str">
        <f t="shared" si="2"/>
        <v>Propriedade destinada a acabar: é.pintada.com</v>
      </c>
      <c r="V61" s="5" t="str">
        <f t="shared" si="3"/>
        <v>Dado para acabar:  pintada.com  Deve ser formatado como (rdfs:Literal  or  xsd:string)</v>
      </c>
      <c r="W61" s="5" t="s">
        <v>6983</v>
      </c>
      <c r="X61" s="24" t="str">
        <f t="shared" si="6"/>
        <v>acaba.126</v>
      </c>
      <c r="Y61" s="24" t="str">
        <f t="shared" si="7"/>
        <v>Ação de acabar</v>
      </c>
      <c r="Z61" s="47" t="s">
        <v>6985</v>
      </c>
      <c r="AA61" s="25" t="str">
        <f t="shared" si="20"/>
        <v>null</v>
      </c>
      <c r="AB61" s="26" t="s">
        <v>0</v>
      </c>
      <c r="AC61" s="25" t="str">
        <f t="shared" si="21"/>
        <v>null</v>
      </c>
      <c r="AD61" s="26" t="s">
        <v>0</v>
      </c>
      <c r="AE61" s="25" t="str">
        <f t="shared" si="10"/>
        <v>null</v>
      </c>
      <c r="AF61" s="26" t="s">
        <v>0</v>
      </c>
      <c r="AG61" s="47" t="s">
        <v>6984</v>
      </c>
    </row>
    <row r="62" spans="1:33" ht="6.9" customHeight="1" x14ac:dyDescent="0.4">
      <c r="A62" s="4">
        <f>ROW()</f>
        <v>62</v>
      </c>
      <c r="B62" s="9" t="s">
        <v>27</v>
      </c>
      <c r="C62" s="55" t="str">
        <f t="shared" si="22"/>
        <v>p.acabar</v>
      </c>
      <c r="D62" s="6" t="str">
        <f t="shared" si="1"/>
        <v>é.pintado.com</v>
      </c>
      <c r="E62" s="8" t="s">
        <v>28</v>
      </c>
      <c r="F62" s="42" t="str">
        <f t="shared" si="23"/>
        <v>d.acabar</v>
      </c>
      <c r="G62" s="17" t="s">
        <v>1938</v>
      </c>
      <c r="H62" s="41" t="s">
        <v>2121</v>
      </c>
      <c r="I62" s="16" t="str">
        <f t="shared" si="19"/>
        <v>null</v>
      </c>
      <c r="J62" s="15" t="s">
        <v>0</v>
      </c>
      <c r="K62" s="15" t="s">
        <v>0</v>
      </c>
      <c r="L62" s="15" t="s">
        <v>0</v>
      </c>
      <c r="M62" s="15" t="s">
        <v>0</v>
      </c>
      <c r="N62" s="15" t="s">
        <v>0</v>
      </c>
      <c r="O62" s="15" t="s">
        <v>0</v>
      </c>
      <c r="P62" s="15" t="s">
        <v>0</v>
      </c>
      <c r="Q62" s="15" t="s">
        <v>0</v>
      </c>
      <c r="R62" s="15" t="s">
        <v>4293</v>
      </c>
      <c r="S62" s="10" t="s">
        <v>1</v>
      </c>
      <c r="T62" s="10" t="s">
        <v>32</v>
      </c>
      <c r="U62" s="5" t="str">
        <f t="shared" si="2"/>
        <v>Propriedade destinada a acabar: é.pintado.com</v>
      </c>
      <c r="V62" s="5" t="str">
        <f t="shared" si="3"/>
        <v>Dado para acabar:  pintado.com  Deve ser formatado como (rdfs:Literal  or  xsd:string)</v>
      </c>
      <c r="W62" s="5" t="s">
        <v>6983</v>
      </c>
      <c r="X62" s="24" t="str">
        <f t="shared" si="6"/>
        <v>acaba.127</v>
      </c>
      <c r="Y62" s="24" t="str">
        <f t="shared" si="7"/>
        <v>Ação de acabar</v>
      </c>
      <c r="Z62" s="47" t="s">
        <v>6985</v>
      </c>
      <c r="AA62" s="25" t="str">
        <f t="shared" si="20"/>
        <v>null</v>
      </c>
      <c r="AB62" s="26" t="s">
        <v>0</v>
      </c>
      <c r="AC62" s="25" t="str">
        <f t="shared" si="21"/>
        <v>null</v>
      </c>
      <c r="AD62" s="26" t="s">
        <v>0</v>
      </c>
      <c r="AE62" s="25" t="str">
        <f t="shared" si="10"/>
        <v>null</v>
      </c>
      <c r="AF62" s="26" t="s">
        <v>0</v>
      </c>
      <c r="AG62" s="47" t="s">
        <v>6984</v>
      </c>
    </row>
    <row r="63" spans="1:33" ht="6.9" customHeight="1" x14ac:dyDescent="0.4">
      <c r="A63" s="4">
        <f>ROW()</f>
        <v>63</v>
      </c>
      <c r="B63" s="9" t="s">
        <v>27</v>
      </c>
      <c r="C63" s="55" t="str">
        <f t="shared" si="22"/>
        <v>p.acabar</v>
      </c>
      <c r="D63" s="6" t="str">
        <f t="shared" si="1"/>
        <v>é.rebocada.com</v>
      </c>
      <c r="E63" s="8" t="s">
        <v>28</v>
      </c>
      <c r="F63" s="42" t="str">
        <f t="shared" si="23"/>
        <v>d.acabar</v>
      </c>
      <c r="G63" s="17" t="s">
        <v>2021</v>
      </c>
      <c r="H63" s="41" t="s">
        <v>2121</v>
      </c>
      <c r="I63" s="16" t="str">
        <f t="shared" si="19"/>
        <v>null</v>
      </c>
      <c r="J63" s="15" t="s">
        <v>0</v>
      </c>
      <c r="K63" s="15" t="s">
        <v>0</v>
      </c>
      <c r="L63" s="15" t="s">
        <v>0</v>
      </c>
      <c r="M63" s="15" t="s">
        <v>0</v>
      </c>
      <c r="N63" s="15" t="s">
        <v>0</v>
      </c>
      <c r="O63" s="15" t="s">
        <v>0</v>
      </c>
      <c r="P63" s="15" t="s">
        <v>0</v>
      </c>
      <c r="Q63" s="15" t="s">
        <v>0</v>
      </c>
      <c r="R63" s="15" t="s">
        <v>4290</v>
      </c>
      <c r="S63" s="10" t="s">
        <v>1</v>
      </c>
      <c r="T63" s="10" t="s">
        <v>32</v>
      </c>
      <c r="U63" s="5" t="str">
        <f t="shared" si="2"/>
        <v>Propriedade destinada a acabar: é.rebocada.com</v>
      </c>
      <c r="V63" s="5" t="str">
        <f t="shared" si="3"/>
        <v>Dado para acabar:  rebocada.com  Deve ser formatado como (rdfs:Literal  or  xsd:string)</v>
      </c>
      <c r="W63" s="5" t="s">
        <v>5109</v>
      </c>
      <c r="X63" s="24" t="str">
        <f t="shared" si="6"/>
        <v>acaba.128</v>
      </c>
      <c r="Y63" s="24" t="str">
        <f t="shared" si="7"/>
        <v>Ação de acabar</v>
      </c>
      <c r="Z63" s="47" t="s">
        <v>6988</v>
      </c>
      <c r="AA63" s="25" t="str">
        <f t="shared" si="20"/>
        <v>null</v>
      </c>
      <c r="AB63" s="26" t="s">
        <v>0</v>
      </c>
      <c r="AC63" s="25" t="str">
        <f t="shared" si="21"/>
        <v>null</v>
      </c>
      <c r="AD63" s="26" t="s">
        <v>0</v>
      </c>
      <c r="AE63" s="25" t="str">
        <f t="shared" si="10"/>
        <v>null</v>
      </c>
      <c r="AF63" s="26" t="s">
        <v>0</v>
      </c>
      <c r="AG63" s="47" t="s">
        <v>4762</v>
      </c>
    </row>
    <row r="64" spans="1:33" ht="6.9" customHeight="1" x14ac:dyDescent="0.4">
      <c r="A64" s="4">
        <f>ROW()</f>
        <v>64</v>
      </c>
      <c r="B64" s="9" t="s">
        <v>27</v>
      </c>
      <c r="C64" s="55" t="str">
        <f t="shared" si="22"/>
        <v>p.acabar</v>
      </c>
      <c r="D64" s="6" t="str">
        <f t="shared" si="1"/>
        <v>é.rebocado.com</v>
      </c>
      <c r="E64" s="8" t="s">
        <v>28</v>
      </c>
      <c r="F64" s="42" t="str">
        <f t="shared" si="23"/>
        <v>d.acabar</v>
      </c>
      <c r="G64" s="17" t="s">
        <v>1937</v>
      </c>
      <c r="H64" s="41" t="s">
        <v>2121</v>
      </c>
      <c r="I64" s="16" t="str">
        <f t="shared" si="19"/>
        <v>null</v>
      </c>
      <c r="J64" s="15" t="s">
        <v>0</v>
      </c>
      <c r="K64" s="15" t="s">
        <v>0</v>
      </c>
      <c r="L64" s="15" t="s">
        <v>0</v>
      </c>
      <c r="M64" s="15" t="s">
        <v>0</v>
      </c>
      <c r="N64" s="15" t="s">
        <v>0</v>
      </c>
      <c r="O64" s="15" t="s">
        <v>0</v>
      </c>
      <c r="P64" s="15" t="s">
        <v>0</v>
      </c>
      <c r="Q64" s="15" t="s">
        <v>0</v>
      </c>
      <c r="R64" s="15" t="s">
        <v>4291</v>
      </c>
      <c r="S64" s="10" t="s">
        <v>1</v>
      </c>
      <c r="T64" s="10" t="s">
        <v>32</v>
      </c>
      <c r="U64" s="5" t="str">
        <f t="shared" si="2"/>
        <v>Propriedade destinada a acabar: é.rebocado.com</v>
      </c>
      <c r="V64" s="5" t="str">
        <f t="shared" si="3"/>
        <v>Dado para acabar:  rebocado.com  Deve ser formatado como (rdfs:Literal  or  xsd:string)</v>
      </c>
      <c r="W64" s="5" t="s">
        <v>5109</v>
      </c>
      <c r="X64" s="24" t="str">
        <f t="shared" si="6"/>
        <v>acaba.129</v>
      </c>
      <c r="Y64" s="24" t="str">
        <f t="shared" si="7"/>
        <v>Ação de acabar</v>
      </c>
      <c r="Z64" s="47" t="s">
        <v>6988</v>
      </c>
      <c r="AA64" s="25" t="str">
        <f t="shared" si="20"/>
        <v>null</v>
      </c>
      <c r="AB64" s="26" t="s">
        <v>0</v>
      </c>
      <c r="AC64" s="25" t="str">
        <f t="shared" si="21"/>
        <v>null</v>
      </c>
      <c r="AD64" s="26" t="s">
        <v>0</v>
      </c>
      <c r="AE64" s="25" t="str">
        <f t="shared" si="10"/>
        <v>null</v>
      </c>
      <c r="AF64" s="26" t="s">
        <v>0</v>
      </c>
      <c r="AG64" s="47" t="s">
        <v>4762</v>
      </c>
    </row>
    <row r="65" spans="1:33" ht="6.9" customHeight="1" x14ac:dyDescent="0.4">
      <c r="A65" s="4">
        <f>ROW()</f>
        <v>65</v>
      </c>
      <c r="B65" s="9" t="s">
        <v>27</v>
      </c>
      <c r="C65" s="55" t="str">
        <f t="shared" si="22"/>
        <v>p.acabar</v>
      </c>
      <c r="D65" s="6" t="str">
        <f t="shared" si="1"/>
        <v>é.revestida.com</v>
      </c>
      <c r="E65" s="8" t="s">
        <v>28</v>
      </c>
      <c r="F65" s="42" t="str">
        <f t="shared" si="23"/>
        <v>d.acabar</v>
      </c>
      <c r="G65" s="17" t="s">
        <v>1928</v>
      </c>
      <c r="H65" s="41" t="s">
        <v>2121</v>
      </c>
      <c r="I65" s="16" t="str">
        <f t="shared" si="19"/>
        <v>null</v>
      </c>
      <c r="J65" s="15" t="s">
        <v>0</v>
      </c>
      <c r="K65" s="15" t="s">
        <v>0</v>
      </c>
      <c r="L65" s="15" t="s">
        <v>0</v>
      </c>
      <c r="M65" s="15" t="s">
        <v>0</v>
      </c>
      <c r="N65" s="15" t="s">
        <v>0</v>
      </c>
      <c r="O65" s="15" t="s">
        <v>0</v>
      </c>
      <c r="P65" s="15" t="s">
        <v>0</v>
      </c>
      <c r="Q65" s="15" t="s">
        <v>0</v>
      </c>
      <c r="R65" s="15" t="s">
        <v>4288</v>
      </c>
      <c r="S65" s="10" t="s">
        <v>1</v>
      </c>
      <c r="T65" s="10" t="s">
        <v>32</v>
      </c>
      <c r="U65" s="5" t="str">
        <f t="shared" si="2"/>
        <v>Propriedade destinada a acabar: é.revestida.com</v>
      </c>
      <c r="V65" s="5" t="str">
        <f t="shared" si="3"/>
        <v>Dado para acabar:  revestida.com  Deve ser formatado como (rdfs:Literal  or  xsd:string)</v>
      </c>
      <c r="W65" s="5" t="s">
        <v>5110</v>
      </c>
      <c r="X65" s="24" t="str">
        <f t="shared" si="6"/>
        <v>acaba.130</v>
      </c>
      <c r="Y65" s="24" t="str">
        <f t="shared" si="7"/>
        <v>Ação de acabar</v>
      </c>
      <c r="Z65" s="47" t="s">
        <v>1932</v>
      </c>
      <c r="AA65" s="25" t="str">
        <f t="shared" si="20"/>
        <v>null</v>
      </c>
      <c r="AB65" s="26" t="s">
        <v>0</v>
      </c>
      <c r="AC65" s="25" t="str">
        <f t="shared" si="21"/>
        <v>null</v>
      </c>
      <c r="AD65" s="26" t="s">
        <v>0</v>
      </c>
      <c r="AE65" s="25" t="str">
        <f t="shared" si="10"/>
        <v>null</v>
      </c>
      <c r="AF65" s="26" t="s">
        <v>0</v>
      </c>
      <c r="AG65" s="47" t="s">
        <v>2614</v>
      </c>
    </row>
    <row r="66" spans="1:33" ht="6.9" customHeight="1" x14ac:dyDescent="0.4">
      <c r="A66" s="4">
        <f>ROW()</f>
        <v>66</v>
      </c>
      <c r="B66" s="9" t="s">
        <v>27</v>
      </c>
      <c r="C66" s="55" t="str">
        <f t="shared" si="22"/>
        <v>p.acabar</v>
      </c>
      <c r="D66" s="6" t="str">
        <f t="shared" ref="D66:D142" si="24">_xlfn.CONCAT("é.",G66)</f>
        <v>é.revestido.com</v>
      </c>
      <c r="E66" s="8" t="s">
        <v>28</v>
      </c>
      <c r="F66" s="42" t="str">
        <f t="shared" si="23"/>
        <v>d.acabar</v>
      </c>
      <c r="G66" s="17" t="s">
        <v>1927</v>
      </c>
      <c r="H66" s="41" t="s">
        <v>2121</v>
      </c>
      <c r="I66" s="16" t="str">
        <f t="shared" ref="I66:I67" si="25">J66</f>
        <v>null</v>
      </c>
      <c r="J66" s="15" t="s">
        <v>0</v>
      </c>
      <c r="K66" s="15" t="s">
        <v>0</v>
      </c>
      <c r="L66" s="15" t="s">
        <v>0</v>
      </c>
      <c r="M66" s="15" t="s">
        <v>0</v>
      </c>
      <c r="N66" s="15" t="s">
        <v>0</v>
      </c>
      <c r="O66" s="15" t="s">
        <v>0</v>
      </c>
      <c r="P66" s="15" t="s">
        <v>0</v>
      </c>
      <c r="Q66" s="15" t="s">
        <v>0</v>
      </c>
      <c r="R66" s="15" t="s">
        <v>4289</v>
      </c>
      <c r="S66" s="10" t="s">
        <v>1</v>
      </c>
      <c r="T66" s="10" t="s">
        <v>32</v>
      </c>
      <c r="U66" s="5" t="str">
        <f t="shared" ref="U66:U129" si="26">_xlfn.CONCAT("Propriedade destinada a ",MID(C66,FIND("p.",C66,1)+2,100),": ",D66)</f>
        <v>Propriedade destinada a acabar: é.revestido.com</v>
      </c>
      <c r="V66" s="5" t="str">
        <f t="shared" ref="V66:V129" si="27">_xlfn.CONCAT("Dado para ",MID(F66,FIND("d.",F66,1)+2,100),":  ",G66, "  Deve ser formatado como (",H66, ")")</f>
        <v>Dado para acabar:  revestido.com  Deve ser formatado como (rdfs:Literal  or  xsd:string)</v>
      </c>
      <c r="W66" s="5" t="s">
        <v>5111</v>
      </c>
      <c r="X66" s="24" t="str">
        <f t="shared" si="6"/>
        <v>acaba.131</v>
      </c>
      <c r="Y66" s="24" t="str">
        <f t="shared" si="7"/>
        <v>Ação de acabar</v>
      </c>
      <c r="Z66" s="47" t="s">
        <v>1931</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2614</v>
      </c>
    </row>
    <row r="67" spans="1:33" ht="6.9" customHeight="1" x14ac:dyDescent="0.4">
      <c r="A67" s="4">
        <f>ROW()</f>
        <v>67</v>
      </c>
      <c r="B67" s="9" t="s">
        <v>27</v>
      </c>
      <c r="C67" s="54" t="str">
        <f t="shared" ref="C67:C82" si="30">SUBSTITUTE(F67,"d.","p.")</f>
        <v>p.aceder</v>
      </c>
      <c r="D67" s="6" t="str">
        <f t="shared" si="24"/>
        <v>é.altura.máxima</v>
      </c>
      <c r="E67" s="8" t="s">
        <v>28</v>
      </c>
      <c r="F67" s="50" t="s">
        <v>3403</v>
      </c>
      <c r="G67" s="17" t="s">
        <v>3405</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5112</v>
      </c>
      <c r="X67" s="24" t="str">
        <f t="shared" ref="X67:X130" si="31">IF(F66&lt;&gt;F67,_xlfn.CONCAT(RIGHT(LEFT(F67,7),5),".100"),_xlfn.CONCAT(RIGHT(LEFT(F67,7),5),".",SUM(VALUE(RIGHT(X66,3)),1)))</f>
        <v>acede.100</v>
      </c>
      <c r="Y67" s="24" t="str">
        <f t="shared" ref="Y67:Y130" si="32">_xlfn.CONCAT("Ação de ", SUBSTITUTE(F67, "d.",  ""))</f>
        <v>Ação de aceder</v>
      </c>
      <c r="Z67" s="47" t="s">
        <v>3406</v>
      </c>
      <c r="AA67" s="25" t="str">
        <f t="shared" si="28"/>
        <v>null</v>
      </c>
      <c r="AB67" s="26" t="s">
        <v>0</v>
      </c>
      <c r="AC67" s="25" t="str">
        <f t="shared" si="29"/>
        <v>null</v>
      </c>
      <c r="AD67" s="26" t="s">
        <v>0</v>
      </c>
      <c r="AE67" s="25" t="str">
        <f t="shared" ref="AE67" si="33">IF(AF67="null", "null", "propriedade")</f>
        <v>null</v>
      </c>
      <c r="AF67" s="26" t="s">
        <v>0</v>
      </c>
      <c r="AG67" s="47" t="s">
        <v>8388</v>
      </c>
    </row>
    <row r="68" spans="1:33" ht="6.9" customHeight="1" x14ac:dyDescent="0.4">
      <c r="A68" s="4">
        <f>ROW()</f>
        <v>68</v>
      </c>
      <c r="B68" s="9" t="s">
        <v>27</v>
      </c>
      <c r="C68" s="55" t="str">
        <f t="shared" si="30"/>
        <v>p.aceder</v>
      </c>
      <c r="D68" s="6" t="str">
        <f t="shared" si="24"/>
        <v>é.altura.mínima</v>
      </c>
      <c r="E68" s="8" t="s">
        <v>28</v>
      </c>
      <c r="F68" s="42" t="str">
        <f>F67</f>
        <v>d.aceder</v>
      </c>
      <c r="G68" s="17" t="s">
        <v>3410</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5113</v>
      </c>
      <c r="X68" s="24" t="str">
        <f t="shared" si="31"/>
        <v>acede.101</v>
      </c>
      <c r="Y68" s="24" t="str">
        <f t="shared" si="32"/>
        <v>Ação de aceder</v>
      </c>
      <c r="Z68" s="47" t="s">
        <v>3412</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8389</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8371</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8377</v>
      </c>
      <c r="X69" s="24" t="str">
        <f t="shared" si="31"/>
        <v>acede.102</v>
      </c>
      <c r="Y69" s="24" t="str">
        <f t="shared" si="32"/>
        <v>Ação de aceder</v>
      </c>
      <c r="Z69" s="47" t="s">
        <v>8415</v>
      </c>
      <c r="AA69" s="25" t="str">
        <f t="shared" si="35"/>
        <v>null</v>
      </c>
      <c r="AB69" s="26" t="s">
        <v>0</v>
      </c>
      <c r="AC69" s="25" t="str">
        <f t="shared" si="36"/>
        <v>null</v>
      </c>
      <c r="AD69" s="26" t="s">
        <v>0</v>
      </c>
      <c r="AE69" s="25" t="str">
        <f t="shared" si="37"/>
        <v>null</v>
      </c>
      <c r="AF69" s="26" t="s">
        <v>0</v>
      </c>
      <c r="AG69" s="47" t="s">
        <v>8402</v>
      </c>
    </row>
    <row r="70" spans="1:33" ht="6.9" customHeight="1" x14ac:dyDescent="0.4">
      <c r="A70" s="4">
        <f>ROW()</f>
        <v>70</v>
      </c>
      <c r="B70" s="9" t="s">
        <v>27</v>
      </c>
      <c r="C70" s="55" t="str">
        <f t="shared" si="30"/>
        <v>p.aceder</v>
      </c>
      <c r="D70" s="6" t="str">
        <f t="shared" si="24"/>
        <v>é.área.de.resgate</v>
      </c>
      <c r="E70" s="8" t="s">
        <v>28</v>
      </c>
      <c r="F70" s="42" t="str">
        <f t="shared" si="38"/>
        <v>d.aceder</v>
      </c>
      <c r="G70" s="17" t="s">
        <v>8376</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8385</v>
      </c>
      <c r="X70" s="24" t="str">
        <f t="shared" si="31"/>
        <v>acede.103</v>
      </c>
      <c r="Y70" s="24" t="str">
        <f t="shared" si="32"/>
        <v>Ação de aceder</v>
      </c>
      <c r="Z70" s="47" t="s">
        <v>8413</v>
      </c>
      <c r="AA70" s="25" t="str">
        <f t="shared" si="35"/>
        <v>null</v>
      </c>
      <c r="AB70" s="26" t="s">
        <v>0</v>
      </c>
      <c r="AC70" s="25" t="str">
        <f t="shared" si="36"/>
        <v>null</v>
      </c>
      <c r="AD70" s="26" t="s">
        <v>0</v>
      </c>
      <c r="AE70" s="25" t="str">
        <f t="shared" si="37"/>
        <v>null</v>
      </c>
      <c r="AF70" s="26" t="s">
        <v>0</v>
      </c>
      <c r="AG70" s="47" t="s">
        <v>8400</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3411</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5114</v>
      </c>
      <c r="X71" s="24" t="str">
        <f t="shared" si="31"/>
        <v>acede.104</v>
      </c>
      <c r="Y71" s="24" t="str">
        <f t="shared" si="32"/>
        <v>Ação de aceder</v>
      </c>
      <c r="Z71" s="47" t="s">
        <v>8403</v>
      </c>
      <c r="AA71" s="25" t="str">
        <f t="shared" si="35"/>
        <v>null</v>
      </c>
      <c r="AB71" s="26" t="s">
        <v>0</v>
      </c>
      <c r="AC71" s="25" t="str">
        <f t="shared" si="36"/>
        <v>null</v>
      </c>
      <c r="AD71" s="26" t="s">
        <v>0</v>
      </c>
      <c r="AE71" s="25" t="str">
        <f t="shared" si="37"/>
        <v>null</v>
      </c>
      <c r="AF71" s="26" t="s">
        <v>0</v>
      </c>
      <c r="AG71" s="47" t="s">
        <v>8390</v>
      </c>
    </row>
    <row r="72" spans="1:33" ht="6.9" customHeight="1" x14ac:dyDescent="0.4">
      <c r="A72" s="4">
        <f>ROW()</f>
        <v>72</v>
      </c>
      <c r="B72" s="9" t="s">
        <v>27</v>
      </c>
      <c r="C72" s="55" t="str">
        <f t="shared" si="30"/>
        <v>p.aceder</v>
      </c>
      <c r="D72" s="6" t="str">
        <f t="shared" si="24"/>
        <v>é.faixa.livre</v>
      </c>
      <c r="E72" s="8" t="s">
        <v>28</v>
      </c>
      <c r="F72" s="42" t="str">
        <f t="shared" si="38"/>
        <v>d.aceder</v>
      </c>
      <c r="G72" s="17" t="s">
        <v>8370</v>
      </c>
      <c r="H72" s="41" t="s">
        <v>2121</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8378</v>
      </c>
      <c r="X72" s="24" t="str">
        <f t="shared" si="31"/>
        <v>acede.105</v>
      </c>
      <c r="Y72" s="24" t="str">
        <f t="shared" si="32"/>
        <v>Ação de aceder</v>
      </c>
      <c r="Z72" s="47" t="s">
        <v>8404</v>
      </c>
      <c r="AA72" s="25" t="str">
        <f t="shared" si="35"/>
        <v>null</v>
      </c>
      <c r="AB72" s="26" t="s">
        <v>0</v>
      </c>
      <c r="AC72" s="25" t="str">
        <f t="shared" si="36"/>
        <v>null</v>
      </c>
      <c r="AD72" s="26" t="s">
        <v>0</v>
      </c>
      <c r="AE72" s="25" t="str">
        <f t="shared" si="37"/>
        <v>null</v>
      </c>
      <c r="AF72" s="26" t="s">
        <v>0</v>
      </c>
      <c r="AG72" s="47" t="s">
        <v>8391</v>
      </c>
    </row>
    <row r="73" spans="1:33" ht="6.9" customHeight="1" x14ac:dyDescent="0.4">
      <c r="A73" s="4">
        <f>ROW()</f>
        <v>73</v>
      </c>
      <c r="B73" s="9" t="s">
        <v>27</v>
      </c>
      <c r="C73" s="55" t="str">
        <f t="shared" si="30"/>
        <v>p.aceder</v>
      </c>
      <c r="D73" s="6" t="str">
        <f t="shared" si="24"/>
        <v>é.faixa.rebaixada</v>
      </c>
      <c r="E73" s="8" t="s">
        <v>28</v>
      </c>
      <c r="F73" s="42" t="str">
        <f t="shared" si="38"/>
        <v>d.aceder</v>
      </c>
      <c r="G73" s="17" t="s">
        <v>8374</v>
      </c>
      <c r="H73" s="41" t="s">
        <v>2121</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8380</v>
      </c>
      <c r="X73" s="24" t="str">
        <f t="shared" si="31"/>
        <v>acede.106</v>
      </c>
      <c r="Y73" s="24" t="str">
        <f t="shared" si="32"/>
        <v>Ação de aceder</v>
      </c>
      <c r="Z73" s="47" t="s">
        <v>8414</v>
      </c>
      <c r="AA73" s="25" t="str">
        <f t="shared" si="35"/>
        <v>null</v>
      </c>
      <c r="AB73" s="26" t="s">
        <v>0</v>
      </c>
      <c r="AC73" s="25" t="str">
        <f t="shared" si="36"/>
        <v>null</v>
      </c>
      <c r="AD73" s="26" t="s">
        <v>0</v>
      </c>
      <c r="AE73" s="25" t="str">
        <f t="shared" si="37"/>
        <v>null</v>
      </c>
      <c r="AF73" s="26" t="s">
        <v>0</v>
      </c>
      <c r="AG73" s="47" t="s">
        <v>8401</v>
      </c>
    </row>
    <row r="74" spans="1:33" ht="6.9" customHeight="1" x14ac:dyDescent="0.4">
      <c r="A74" s="4">
        <f>ROW()</f>
        <v>74</v>
      </c>
      <c r="B74" s="9" t="s">
        <v>27</v>
      </c>
      <c r="C74" s="55" t="str">
        <f t="shared" si="30"/>
        <v>p.aceder</v>
      </c>
      <c r="D74" s="6" t="str">
        <f t="shared" si="24"/>
        <v>é.faixa.serviço</v>
      </c>
      <c r="E74" s="8" t="s">
        <v>28</v>
      </c>
      <c r="F74" s="42" t="str">
        <f t="shared" si="38"/>
        <v>d.aceder</v>
      </c>
      <c r="G74" s="17" t="s">
        <v>8373</v>
      </c>
      <c r="H74" s="41" t="s">
        <v>2121</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8379</v>
      </c>
      <c r="X74" s="24" t="str">
        <f t="shared" si="31"/>
        <v>acede.107</v>
      </c>
      <c r="Y74" s="24" t="str">
        <f t="shared" si="32"/>
        <v>Ação de aceder</v>
      </c>
      <c r="Z74" s="47" t="s">
        <v>8405</v>
      </c>
      <c r="AA74" s="25" t="str">
        <f t="shared" si="35"/>
        <v>null</v>
      </c>
      <c r="AB74" s="26" t="s">
        <v>0</v>
      </c>
      <c r="AC74" s="25" t="str">
        <f t="shared" si="36"/>
        <v>null</v>
      </c>
      <c r="AD74" s="26" t="s">
        <v>0</v>
      </c>
      <c r="AE74" s="25" t="str">
        <f t="shared" si="37"/>
        <v>null</v>
      </c>
      <c r="AF74" s="26" t="s">
        <v>0</v>
      </c>
      <c r="AG74" s="47" t="s">
        <v>8392</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8386</v>
      </c>
      <c r="H75" s="41" t="s">
        <v>2121</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8382</v>
      </c>
      <c r="X75" s="24" t="str">
        <f t="shared" si="31"/>
        <v>acede.108</v>
      </c>
      <c r="Y75" s="24" t="str">
        <f t="shared" si="32"/>
        <v>Ação de aceder</v>
      </c>
      <c r="Z75" s="47" t="s">
        <v>8406</v>
      </c>
      <c r="AA75" s="25" t="str">
        <f t="shared" si="35"/>
        <v>categoria.revit</v>
      </c>
      <c r="AB75" s="26" t="s">
        <v>3538</v>
      </c>
      <c r="AC75" s="25" t="str">
        <f t="shared" si="36"/>
        <v>classe.ifc</v>
      </c>
      <c r="AD75" s="26" t="s">
        <v>8419</v>
      </c>
      <c r="AE75" s="25" t="str">
        <f t="shared" si="37"/>
        <v>null</v>
      </c>
      <c r="AF75" s="26" t="s">
        <v>0</v>
      </c>
      <c r="AG75" s="47" t="s">
        <v>8393</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8387</v>
      </c>
      <c r="H76" s="41" t="s">
        <v>2121</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8383</v>
      </c>
      <c r="X76" s="24" t="str">
        <f t="shared" si="31"/>
        <v>acede.109</v>
      </c>
      <c r="Y76" s="24" t="str">
        <f t="shared" si="32"/>
        <v>Ação de aceder</v>
      </c>
      <c r="Z76" s="47" t="s">
        <v>8407</v>
      </c>
      <c r="AA76" s="25" t="str">
        <f t="shared" si="35"/>
        <v>categoria.revit</v>
      </c>
      <c r="AB76" s="26" t="s">
        <v>3538</v>
      </c>
      <c r="AC76" s="25" t="str">
        <f t="shared" si="36"/>
        <v>classe.ifc</v>
      </c>
      <c r="AD76" s="26" t="s">
        <v>8419</v>
      </c>
      <c r="AE76" s="25" t="str">
        <f t="shared" si="37"/>
        <v>null</v>
      </c>
      <c r="AF76" s="26" t="s">
        <v>0</v>
      </c>
      <c r="AG76" s="47" t="s">
        <v>8394</v>
      </c>
    </row>
    <row r="77" spans="1:33" ht="6.9" customHeight="1" x14ac:dyDescent="0.4">
      <c r="A77" s="4">
        <f>ROW()</f>
        <v>77</v>
      </c>
      <c r="B77" s="9" t="s">
        <v>27</v>
      </c>
      <c r="C77" s="55" t="str">
        <f t="shared" si="30"/>
        <v>p.aceder</v>
      </c>
      <c r="D77" s="6" t="str">
        <f t="shared" si="24"/>
        <v>é.inclinação</v>
      </c>
      <c r="E77" s="8" t="s">
        <v>28</v>
      </c>
      <c r="F77" s="42" t="str">
        <f t="shared" si="38"/>
        <v>d.aceder</v>
      </c>
      <c r="G77" s="17" t="s">
        <v>3404</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5115</v>
      </c>
      <c r="X77" s="24" t="str">
        <f t="shared" si="31"/>
        <v>acede.110</v>
      </c>
      <c r="Y77" s="24" t="str">
        <f t="shared" si="32"/>
        <v>Ação de aceder</v>
      </c>
      <c r="Z77" s="47" t="s">
        <v>8408</v>
      </c>
      <c r="AA77" s="25" t="str">
        <f t="shared" si="35"/>
        <v>null</v>
      </c>
      <c r="AB77" s="26" t="s">
        <v>0</v>
      </c>
      <c r="AC77" s="25" t="str">
        <f t="shared" si="36"/>
        <v>null</v>
      </c>
      <c r="AD77" s="26" t="s">
        <v>0</v>
      </c>
      <c r="AE77" s="25" t="str">
        <f t="shared" si="37"/>
        <v>null</v>
      </c>
      <c r="AF77" s="26" t="s">
        <v>0</v>
      </c>
      <c r="AG77" s="47" t="s">
        <v>8395</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3550</v>
      </c>
      <c r="H78" s="41" t="s">
        <v>36</v>
      </c>
      <c r="I78" s="16" t="str">
        <f t="shared" si="34"/>
        <v>null</v>
      </c>
      <c r="J78" s="15" t="s">
        <v>0</v>
      </c>
      <c r="K78" s="15" t="s">
        <v>0</v>
      </c>
      <c r="L78" s="15" t="s">
        <v>0</v>
      </c>
      <c r="M78" s="15" t="s">
        <v>0</v>
      </c>
      <c r="N78" s="15" t="s">
        <v>0</v>
      </c>
      <c r="O78" s="15" t="s">
        <v>0</v>
      </c>
      <c r="P78" s="15" t="s">
        <v>0</v>
      </c>
      <c r="Q78" s="15" t="s">
        <v>0</v>
      </c>
      <c r="R78" s="15" t="s">
        <v>6906</v>
      </c>
      <c r="S78" s="10" t="s">
        <v>1</v>
      </c>
      <c r="T78" s="10" t="s">
        <v>32</v>
      </c>
      <c r="U78" s="5" t="str">
        <f t="shared" si="26"/>
        <v>Propriedade destinada a aceder: é.inclinação.máxima</v>
      </c>
      <c r="V78" s="5" t="str">
        <f t="shared" si="27"/>
        <v>Dado para aceder:  inclinação.máxima  Deve ser formatado como (xsd:double)</v>
      </c>
      <c r="W78" s="5" t="s">
        <v>5116</v>
      </c>
      <c r="X78" s="24" t="str">
        <f t="shared" si="31"/>
        <v>acede.111</v>
      </c>
      <c r="Y78" s="24" t="str">
        <f t="shared" si="32"/>
        <v>Ação de aceder</v>
      </c>
      <c r="Z78" s="47" t="s">
        <v>8409</v>
      </c>
      <c r="AA78" s="25" t="str">
        <f t="shared" si="35"/>
        <v>null</v>
      </c>
      <c r="AB78" s="26" t="s">
        <v>0</v>
      </c>
      <c r="AC78" s="25" t="str">
        <f t="shared" si="36"/>
        <v>null</v>
      </c>
      <c r="AD78" s="26" t="s">
        <v>0</v>
      </c>
      <c r="AE78" s="25" t="str">
        <f t="shared" si="37"/>
        <v>null</v>
      </c>
      <c r="AF78" s="26" t="s">
        <v>0</v>
      </c>
      <c r="AG78" s="47" t="s">
        <v>8396</v>
      </c>
    </row>
    <row r="79" spans="1:33" ht="6.9" customHeight="1" x14ac:dyDescent="0.4">
      <c r="A79" s="4">
        <f>ROW()</f>
        <v>79</v>
      </c>
      <c r="B79" s="9" t="s">
        <v>27</v>
      </c>
      <c r="C79" s="55" t="str">
        <f t="shared" si="30"/>
        <v>p.aceder</v>
      </c>
      <c r="D79" s="6" t="str">
        <f t="shared" si="24"/>
        <v>é.largura.mínima</v>
      </c>
      <c r="E79" s="8" t="s">
        <v>28</v>
      </c>
      <c r="F79" s="42" t="str">
        <f t="shared" si="38"/>
        <v>d.aceder</v>
      </c>
      <c r="G79" s="17" t="s">
        <v>3408</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5117</v>
      </c>
      <c r="X79" s="24" t="str">
        <f t="shared" si="31"/>
        <v>acede.112</v>
      </c>
      <c r="Y79" s="24" t="str">
        <f t="shared" si="32"/>
        <v>Ação de aceder</v>
      </c>
      <c r="Z79" s="47" t="s">
        <v>8410</v>
      </c>
      <c r="AA79" s="25" t="str">
        <f t="shared" si="35"/>
        <v>null</v>
      </c>
      <c r="AB79" s="26" t="s">
        <v>0</v>
      </c>
      <c r="AC79" s="25" t="str">
        <f t="shared" si="36"/>
        <v>null</v>
      </c>
      <c r="AD79" s="26" t="s">
        <v>0</v>
      </c>
      <c r="AE79" s="25" t="str">
        <f t="shared" si="37"/>
        <v>null</v>
      </c>
      <c r="AF79" s="26" t="s">
        <v>0</v>
      </c>
      <c r="AG79" s="47" t="s">
        <v>8397</v>
      </c>
    </row>
    <row r="80" spans="1:33" ht="6.9" customHeight="1" x14ac:dyDescent="0.4">
      <c r="A80" s="4">
        <f>ROW()</f>
        <v>80</v>
      </c>
      <c r="B80" s="9" t="s">
        <v>27</v>
      </c>
      <c r="C80" s="55" t="str">
        <f t="shared" si="30"/>
        <v>p.aceder</v>
      </c>
      <c r="D80" s="6" t="str">
        <f t="shared" si="24"/>
        <v>é.raio.mínimo</v>
      </c>
      <c r="E80" s="8" t="s">
        <v>28</v>
      </c>
      <c r="F80" s="42" t="str">
        <f t="shared" si="38"/>
        <v>d.aceder</v>
      </c>
      <c r="G80" s="17" t="s">
        <v>3409</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5118</v>
      </c>
      <c r="X80" s="24" t="str">
        <f t="shared" si="31"/>
        <v>acede.113</v>
      </c>
      <c r="Y80" s="24" t="str">
        <f t="shared" si="32"/>
        <v>Ação de aceder</v>
      </c>
      <c r="Z80" s="47" t="s">
        <v>8411</v>
      </c>
      <c r="AA80" s="25" t="str">
        <f t="shared" si="35"/>
        <v>null</v>
      </c>
      <c r="AB80" s="26" t="s">
        <v>0</v>
      </c>
      <c r="AC80" s="25" t="str">
        <f t="shared" si="36"/>
        <v>null</v>
      </c>
      <c r="AD80" s="26" t="s">
        <v>0</v>
      </c>
      <c r="AE80" s="25" t="str">
        <f t="shared" si="37"/>
        <v>null</v>
      </c>
      <c r="AF80" s="26" t="s">
        <v>0</v>
      </c>
      <c r="AG80" s="47" t="s">
        <v>3407</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8372</v>
      </c>
      <c r="H81" s="41" t="s">
        <v>2121</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8381</v>
      </c>
      <c r="X81" s="24" t="str">
        <f t="shared" si="31"/>
        <v>acede.114</v>
      </c>
      <c r="Y81" s="24" t="str">
        <f t="shared" si="32"/>
        <v>Ação de aceder</v>
      </c>
      <c r="Z81" s="47" t="s">
        <v>8412</v>
      </c>
      <c r="AA81" s="25" t="str">
        <f t="shared" si="35"/>
        <v>categoria.revit</v>
      </c>
      <c r="AB81" s="26" t="s">
        <v>3538</v>
      </c>
      <c r="AC81" s="25" t="str">
        <f t="shared" si="36"/>
        <v>classe.ifc</v>
      </c>
      <c r="AD81" s="26" t="s">
        <v>8419</v>
      </c>
      <c r="AE81" s="25" t="str">
        <f t="shared" si="37"/>
        <v>null</v>
      </c>
      <c r="AF81" s="26" t="s">
        <v>0</v>
      </c>
      <c r="AG81" s="47" t="s">
        <v>8398</v>
      </c>
    </row>
    <row r="82" spans="1:33" ht="6.9" customHeight="1" x14ac:dyDescent="0.4">
      <c r="A82" s="4">
        <f>ROW()</f>
        <v>82</v>
      </c>
      <c r="B82" s="9" t="s">
        <v>27</v>
      </c>
      <c r="C82" s="55" t="str">
        <f t="shared" si="30"/>
        <v>p.aceder</v>
      </c>
      <c r="D82" s="6" t="str">
        <f t="shared" si="24"/>
        <v>é.vaga.reservada</v>
      </c>
      <c r="E82" s="8" t="s">
        <v>28</v>
      </c>
      <c r="F82" s="42" t="str">
        <f t="shared" si="38"/>
        <v>d.aceder</v>
      </c>
      <c r="G82" s="17" t="s">
        <v>8375</v>
      </c>
      <c r="H82" s="41" t="s">
        <v>2121</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8384</v>
      </c>
      <c r="X82" s="24" t="str">
        <f t="shared" si="31"/>
        <v>acede.115</v>
      </c>
      <c r="Y82" s="24" t="str">
        <f t="shared" si="32"/>
        <v>Ação de aceder</v>
      </c>
      <c r="Z82" s="47" t="s">
        <v>8416</v>
      </c>
      <c r="AA82" s="25" t="str">
        <f t="shared" si="35"/>
        <v>categoria.revit</v>
      </c>
      <c r="AB82" s="78" t="s">
        <v>8417</v>
      </c>
      <c r="AC82" s="25" t="str">
        <f t="shared" si="36"/>
        <v>classe.ifc</v>
      </c>
      <c r="AD82" s="78" t="s">
        <v>8418</v>
      </c>
      <c r="AE82" s="25" t="str">
        <f t="shared" si="37"/>
        <v>null</v>
      </c>
      <c r="AF82" s="26" t="s">
        <v>0</v>
      </c>
      <c r="AG82" s="47" t="s">
        <v>8399</v>
      </c>
    </row>
    <row r="83" spans="1:33" ht="6.9" customHeight="1" x14ac:dyDescent="0.4">
      <c r="A83" s="4">
        <f>ROW()</f>
        <v>83</v>
      </c>
      <c r="B83" s="9" t="s">
        <v>27</v>
      </c>
      <c r="C83" s="54" t="str">
        <f t="shared" ref="C83:C155" si="39">SUBSTITUTE(F83,"d.","p.")</f>
        <v>p.acontecer</v>
      </c>
      <c r="D83" s="6" t="str">
        <f t="shared" si="24"/>
        <v>é.amanhecer</v>
      </c>
      <c r="E83" s="8" t="s">
        <v>28</v>
      </c>
      <c r="F83" s="51" t="s">
        <v>501</v>
      </c>
      <c r="G83" s="18" t="s">
        <v>38</v>
      </c>
      <c r="H83" s="41" t="s">
        <v>34</v>
      </c>
      <c r="I83" s="16" t="str">
        <f t="shared" ref="I83:I156"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5119</v>
      </c>
      <c r="X83" s="24" t="str">
        <f t="shared" si="31"/>
        <v>acont.100</v>
      </c>
      <c r="Y83" s="24" t="str">
        <f t="shared" si="32"/>
        <v>Ação de acontecer</v>
      </c>
      <c r="Z83" s="47" t="s">
        <v>1286</v>
      </c>
      <c r="AA83" s="25" t="str">
        <f t="shared" ref="AA83:AA156" si="41">IF(AB83="null", "null", "categoria.revit")</f>
        <v>categoria.revit</v>
      </c>
      <c r="AB83" s="26" t="s">
        <v>3495</v>
      </c>
      <c r="AC83" s="25" t="str">
        <f t="shared" ref="AC83:AC156" si="42">IF(AD83="null", "null", "classe.ifc")</f>
        <v>null</v>
      </c>
      <c r="AD83" s="26" t="s">
        <v>0</v>
      </c>
      <c r="AE83" s="25" t="str">
        <f t="shared" ref="AE83:AE154" si="43">IF(AF83="null", "null", "propriedade")</f>
        <v>null</v>
      </c>
      <c r="AF83" s="26" t="s">
        <v>0</v>
      </c>
      <c r="AG83" s="47" t="s">
        <v>2620</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5120</v>
      </c>
      <c r="X84" s="24" t="str">
        <f t="shared" si="31"/>
        <v>acont.101</v>
      </c>
      <c r="Y84" s="24" t="str">
        <f t="shared" si="32"/>
        <v>Ação de acontecer</v>
      </c>
      <c r="Z84" s="47" t="s">
        <v>1287</v>
      </c>
      <c r="AA84" s="25" t="str">
        <f t="shared" si="41"/>
        <v>categoria.revit</v>
      </c>
      <c r="AB84" s="26" t="s">
        <v>3495</v>
      </c>
      <c r="AC84" s="25" t="str">
        <f t="shared" si="42"/>
        <v>null</v>
      </c>
      <c r="AD84" s="26" t="s">
        <v>0</v>
      </c>
      <c r="AE84" s="25" t="str">
        <f t="shared" si="43"/>
        <v>null</v>
      </c>
      <c r="AF84" s="26" t="s">
        <v>0</v>
      </c>
      <c r="AG84" s="47" t="s">
        <v>2621</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502</v>
      </c>
      <c r="H85" s="42" t="s">
        <v>2121</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5121</v>
      </c>
      <c r="X85" s="24" t="str">
        <f t="shared" si="31"/>
        <v>acont.102</v>
      </c>
      <c r="Y85" s="24" t="str">
        <f t="shared" si="32"/>
        <v>Ação de acontecer</v>
      </c>
      <c r="Z85" s="47" t="s">
        <v>1288</v>
      </c>
      <c r="AA85" s="25" t="str">
        <f t="shared" si="41"/>
        <v>categoria.revit</v>
      </c>
      <c r="AB85" s="26" t="s">
        <v>3495</v>
      </c>
      <c r="AC85" s="25" t="str">
        <f t="shared" si="42"/>
        <v>null</v>
      </c>
      <c r="AD85" s="26" t="s">
        <v>0</v>
      </c>
      <c r="AE85" s="25" t="str">
        <f t="shared" si="43"/>
        <v>null</v>
      </c>
      <c r="AF85" s="26" t="s">
        <v>0</v>
      </c>
      <c r="AG85" s="47" t="s">
        <v>2622</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503</v>
      </c>
      <c r="H86" s="42" t="s">
        <v>2121</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5122</v>
      </c>
      <c r="X86" s="24" t="str">
        <f t="shared" si="31"/>
        <v>acont.103</v>
      </c>
      <c r="Y86" s="24" t="str">
        <f t="shared" si="32"/>
        <v>Ação de acontecer</v>
      </c>
      <c r="Z86" s="47" t="s">
        <v>1289</v>
      </c>
      <c r="AA86" s="25" t="str">
        <f t="shared" si="41"/>
        <v>categoria.revit</v>
      </c>
      <c r="AB86" s="26" t="s">
        <v>3495</v>
      </c>
      <c r="AC86" s="25" t="str">
        <f t="shared" si="42"/>
        <v>null</v>
      </c>
      <c r="AD86" s="26" t="s">
        <v>0</v>
      </c>
      <c r="AE86" s="25" t="str">
        <f t="shared" si="43"/>
        <v>null</v>
      </c>
      <c r="AF86" s="26" t="s">
        <v>0</v>
      </c>
      <c r="AG86" s="47" t="s">
        <v>2623</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5123</v>
      </c>
      <c r="X87" s="24" t="str">
        <f t="shared" si="31"/>
        <v>acont.104</v>
      </c>
      <c r="Y87" s="24" t="str">
        <f t="shared" si="32"/>
        <v>Ação de acontecer</v>
      </c>
      <c r="Z87" s="47" t="s">
        <v>1290</v>
      </c>
      <c r="AA87" s="25" t="str">
        <f t="shared" si="41"/>
        <v>categoria.revit</v>
      </c>
      <c r="AB87" s="26" t="s">
        <v>3495</v>
      </c>
      <c r="AC87" s="25" t="str">
        <f t="shared" si="42"/>
        <v>null</v>
      </c>
      <c r="AD87" s="26" t="s">
        <v>0</v>
      </c>
      <c r="AE87" s="25" t="str">
        <f t="shared" si="43"/>
        <v>null</v>
      </c>
      <c r="AF87" s="26" t="s">
        <v>0</v>
      </c>
      <c r="AG87" s="47" t="s">
        <v>2624</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504</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5124</v>
      </c>
      <c r="X88" s="24" t="str">
        <f t="shared" si="31"/>
        <v>acont.105</v>
      </c>
      <c r="Y88" s="24" t="str">
        <f t="shared" si="32"/>
        <v>Ação de acontecer</v>
      </c>
      <c r="Z88" s="47" t="s">
        <v>1291</v>
      </c>
      <c r="AA88" s="25" t="str">
        <f t="shared" si="41"/>
        <v>categoria.revit</v>
      </c>
      <c r="AB88" s="26" t="s">
        <v>3495</v>
      </c>
      <c r="AC88" s="25" t="str">
        <f t="shared" si="42"/>
        <v>null</v>
      </c>
      <c r="AD88" s="26" t="s">
        <v>0</v>
      </c>
      <c r="AE88" s="25" t="str">
        <f t="shared" si="43"/>
        <v>null</v>
      </c>
      <c r="AF88" s="26" t="s">
        <v>0</v>
      </c>
      <c r="AG88" s="47" t="s">
        <v>2625</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505</v>
      </c>
      <c r="H89" s="42" t="s">
        <v>2121</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5125</v>
      </c>
      <c r="X89" s="24" t="str">
        <f t="shared" si="31"/>
        <v>acont.106</v>
      </c>
      <c r="Y89" s="24" t="str">
        <f t="shared" si="32"/>
        <v>Ação de acontecer</v>
      </c>
      <c r="Z89" s="47" t="s">
        <v>1292</v>
      </c>
      <c r="AA89" s="25" t="str">
        <f t="shared" si="41"/>
        <v>categoria.revit</v>
      </c>
      <c r="AB89" s="26" t="s">
        <v>3495</v>
      </c>
      <c r="AC89" s="25" t="str">
        <f t="shared" si="42"/>
        <v>null</v>
      </c>
      <c r="AD89" s="26" t="s">
        <v>0</v>
      </c>
      <c r="AE89" s="25" t="str">
        <f t="shared" si="43"/>
        <v>null</v>
      </c>
      <c r="AF89" s="26" t="s">
        <v>0</v>
      </c>
      <c r="AG89" s="47" t="s">
        <v>4645</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506</v>
      </c>
      <c r="H90" s="42" t="s">
        <v>2121</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5126</v>
      </c>
      <c r="X90" s="24" t="str">
        <f t="shared" si="31"/>
        <v>acont.107</v>
      </c>
      <c r="Y90" s="24" t="str">
        <f t="shared" si="32"/>
        <v>Ação de acontecer</v>
      </c>
      <c r="Z90" s="47" t="s">
        <v>1293</v>
      </c>
      <c r="AA90" s="25" t="str">
        <f t="shared" si="41"/>
        <v>categoria.revit</v>
      </c>
      <c r="AB90" s="26" t="s">
        <v>3495</v>
      </c>
      <c r="AC90" s="25" t="str">
        <f t="shared" si="42"/>
        <v>null</v>
      </c>
      <c r="AD90" s="26" t="s">
        <v>0</v>
      </c>
      <c r="AE90" s="25" t="str">
        <f t="shared" si="43"/>
        <v>null</v>
      </c>
      <c r="AF90" s="26" t="s">
        <v>0</v>
      </c>
      <c r="AG90" s="47" t="s">
        <v>4646</v>
      </c>
    </row>
    <row r="91" spans="1:33" ht="6.9" customHeight="1" x14ac:dyDescent="0.4">
      <c r="A91" s="4">
        <f>ROW()</f>
        <v>91</v>
      </c>
      <c r="B91" s="9" t="s">
        <v>27</v>
      </c>
      <c r="C91" s="54" t="str">
        <f t="shared" si="39"/>
        <v>p.administrar</v>
      </c>
      <c r="D91" s="6" t="str">
        <f t="shared" si="24"/>
        <v>é.abrangência</v>
      </c>
      <c r="E91" s="8" t="s">
        <v>28</v>
      </c>
      <c r="F91" s="50" t="s">
        <v>507</v>
      </c>
      <c r="G91" s="18" t="s">
        <v>398</v>
      </c>
      <c r="H91" s="41" t="s">
        <v>2121</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5127</v>
      </c>
      <c r="X91" s="24" t="str">
        <f t="shared" si="31"/>
        <v>admin.100</v>
      </c>
      <c r="Y91" s="24" t="str">
        <f t="shared" si="32"/>
        <v>Ação de administrar</v>
      </c>
      <c r="Z91" s="47" t="s">
        <v>1294</v>
      </c>
      <c r="AA91" s="25" t="str">
        <f t="shared" si="41"/>
        <v>null</v>
      </c>
      <c r="AB91" s="26" t="s">
        <v>0</v>
      </c>
      <c r="AC91" s="25" t="str">
        <f t="shared" si="42"/>
        <v>null</v>
      </c>
      <c r="AD91" s="26" t="s">
        <v>0</v>
      </c>
      <c r="AE91" s="25" t="str">
        <f t="shared" si="43"/>
        <v>null</v>
      </c>
      <c r="AF91" s="26" t="s">
        <v>0</v>
      </c>
      <c r="AG91" s="47" t="s">
        <v>2626</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508</v>
      </c>
      <c r="H92" s="41" t="s">
        <v>2121</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7066</v>
      </c>
      <c r="X92" s="24" t="str">
        <f t="shared" si="31"/>
        <v>admin.101</v>
      </c>
      <c r="Y92" s="24" t="str">
        <f t="shared" si="32"/>
        <v>Ação de administrar</v>
      </c>
      <c r="Z92" s="47" t="s">
        <v>7160</v>
      </c>
      <c r="AA92" s="25" t="str">
        <f t="shared" si="41"/>
        <v>null</v>
      </c>
      <c r="AB92" s="26" t="s">
        <v>0</v>
      </c>
      <c r="AC92" s="25" t="str">
        <f t="shared" si="42"/>
        <v>null</v>
      </c>
      <c r="AD92" s="26" t="s">
        <v>0</v>
      </c>
      <c r="AE92" s="25" t="str">
        <f t="shared" si="43"/>
        <v>null</v>
      </c>
      <c r="AF92" s="26" t="s">
        <v>0</v>
      </c>
      <c r="AG92" s="47" t="s">
        <v>5029</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509</v>
      </c>
      <c r="H93" s="41" t="s">
        <v>2121</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7077</v>
      </c>
      <c r="X93" s="24" t="str">
        <f t="shared" si="31"/>
        <v>admin.102</v>
      </c>
      <c r="Y93" s="24" t="str">
        <f t="shared" si="32"/>
        <v>Ação de administrar</v>
      </c>
      <c r="Z93" s="47" t="s">
        <v>7162</v>
      </c>
      <c r="AA93" s="25" t="str">
        <f t="shared" si="41"/>
        <v>null</v>
      </c>
      <c r="AB93" s="26" t="s">
        <v>0</v>
      </c>
      <c r="AC93" s="25" t="str">
        <f t="shared" si="42"/>
        <v>null</v>
      </c>
      <c r="AD93" s="26" t="s">
        <v>0</v>
      </c>
      <c r="AE93" s="25" t="str">
        <f t="shared" si="43"/>
        <v>null</v>
      </c>
      <c r="AF93" s="26" t="s">
        <v>0</v>
      </c>
      <c r="AG93" s="47" t="s">
        <v>5030</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510</v>
      </c>
      <c r="H94" s="41" t="s">
        <v>2121</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7075</v>
      </c>
      <c r="X94" s="24" t="str">
        <f t="shared" si="31"/>
        <v>admin.103</v>
      </c>
      <c r="Y94" s="24" t="str">
        <f t="shared" si="32"/>
        <v>Ação de administrar</v>
      </c>
      <c r="Z94" s="47" t="s">
        <v>7161</v>
      </c>
      <c r="AA94" s="25" t="str">
        <f t="shared" si="41"/>
        <v>null</v>
      </c>
      <c r="AB94" s="26" t="s">
        <v>0</v>
      </c>
      <c r="AC94" s="25" t="str">
        <f t="shared" si="42"/>
        <v>null</v>
      </c>
      <c r="AD94" s="26" t="s">
        <v>0</v>
      </c>
      <c r="AE94" s="25" t="str">
        <f t="shared" si="43"/>
        <v>null</v>
      </c>
      <c r="AF94" s="26" t="s">
        <v>0</v>
      </c>
      <c r="AG94" s="47" t="s">
        <v>5031</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511</v>
      </c>
      <c r="H95" s="41" t="s">
        <v>2121</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7076</v>
      </c>
      <c r="X95" s="24" t="str">
        <f t="shared" si="31"/>
        <v>admin.104</v>
      </c>
      <c r="Y95" s="24" t="str">
        <f t="shared" si="32"/>
        <v>Ação de administrar</v>
      </c>
      <c r="Z95" s="47" t="s">
        <v>7164</v>
      </c>
      <c r="AA95" s="25" t="str">
        <f t="shared" si="41"/>
        <v>null</v>
      </c>
      <c r="AB95" s="26" t="s">
        <v>0</v>
      </c>
      <c r="AC95" s="25" t="str">
        <f t="shared" si="42"/>
        <v>null</v>
      </c>
      <c r="AD95" s="26" t="s">
        <v>0</v>
      </c>
      <c r="AE95" s="25" t="str">
        <f t="shared" si="43"/>
        <v>null</v>
      </c>
      <c r="AF95" s="26" t="s">
        <v>0</v>
      </c>
      <c r="AG95" s="47" t="s">
        <v>5032</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2121</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7074</v>
      </c>
      <c r="X96" s="24" t="str">
        <f t="shared" si="31"/>
        <v>admin.105</v>
      </c>
      <c r="Y96" s="24" t="str">
        <f t="shared" si="32"/>
        <v>Ação de administrar</v>
      </c>
      <c r="Z96" s="47" t="s">
        <v>7163</v>
      </c>
      <c r="AA96" s="25" t="str">
        <f t="shared" si="41"/>
        <v>null</v>
      </c>
      <c r="AB96" s="26" t="s">
        <v>0</v>
      </c>
      <c r="AC96" s="25" t="str">
        <f t="shared" si="42"/>
        <v>null</v>
      </c>
      <c r="AD96" s="26" t="s">
        <v>0</v>
      </c>
      <c r="AE96" s="25" t="str">
        <f t="shared" si="43"/>
        <v>null</v>
      </c>
      <c r="AF96" s="26" t="s">
        <v>0</v>
      </c>
      <c r="AG96" s="47" t="s">
        <v>5040</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512</v>
      </c>
      <c r="H97" s="41" t="s">
        <v>2121</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7073</v>
      </c>
      <c r="X97" s="24" t="str">
        <f t="shared" si="31"/>
        <v>admin.106</v>
      </c>
      <c r="Y97" s="24" t="str">
        <f t="shared" si="32"/>
        <v>Ação de administrar</v>
      </c>
      <c r="Z97" s="47" t="s">
        <v>7165</v>
      </c>
      <c r="AA97" s="25" t="str">
        <f t="shared" si="41"/>
        <v>null</v>
      </c>
      <c r="AB97" s="26" t="s">
        <v>0</v>
      </c>
      <c r="AC97" s="25" t="str">
        <f t="shared" si="42"/>
        <v>null</v>
      </c>
      <c r="AD97" s="26" t="s">
        <v>0</v>
      </c>
      <c r="AE97" s="25" t="str">
        <f t="shared" si="43"/>
        <v>null</v>
      </c>
      <c r="AF97" s="26" t="s">
        <v>0</v>
      </c>
      <c r="AG97" s="47" t="s">
        <v>5039</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513</v>
      </c>
      <c r="H98" s="41" t="s">
        <v>2121</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7072</v>
      </c>
      <c r="X98" s="24" t="str">
        <f t="shared" si="31"/>
        <v>admin.107</v>
      </c>
      <c r="Y98" s="24" t="str">
        <f t="shared" si="32"/>
        <v>Ação de administrar</v>
      </c>
      <c r="Z98" s="47" t="s">
        <v>7166</v>
      </c>
      <c r="AA98" s="25" t="str">
        <f t="shared" si="41"/>
        <v>null</v>
      </c>
      <c r="AB98" s="26" t="s">
        <v>0</v>
      </c>
      <c r="AC98" s="25" t="str">
        <f t="shared" si="42"/>
        <v>null</v>
      </c>
      <c r="AD98" s="26" t="s">
        <v>0</v>
      </c>
      <c r="AE98" s="25" t="str">
        <f t="shared" si="43"/>
        <v>null</v>
      </c>
      <c r="AF98" s="26" t="s">
        <v>0</v>
      </c>
      <c r="AG98" s="47" t="s">
        <v>5038</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514</v>
      </c>
      <c r="H99" s="41" t="s">
        <v>2121</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7071</v>
      </c>
      <c r="X99" s="24" t="str">
        <f t="shared" si="31"/>
        <v>admin.108</v>
      </c>
      <c r="Y99" s="24" t="str">
        <f t="shared" si="32"/>
        <v>Ação de administrar</v>
      </c>
      <c r="Z99" s="47" t="s">
        <v>7167</v>
      </c>
      <c r="AA99" s="25" t="str">
        <f t="shared" si="41"/>
        <v>null</v>
      </c>
      <c r="AB99" s="26" t="s">
        <v>0</v>
      </c>
      <c r="AC99" s="25" t="str">
        <f t="shared" si="42"/>
        <v>null</v>
      </c>
      <c r="AD99" s="26" t="s">
        <v>0</v>
      </c>
      <c r="AE99" s="25" t="str">
        <f t="shared" si="43"/>
        <v>null</v>
      </c>
      <c r="AF99" s="26" t="s">
        <v>0</v>
      </c>
      <c r="AG99" s="47" t="s">
        <v>5037</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2121</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7070</v>
      </c>
      <c r="X100" s="24" t="str">
        <f t="shared" si="31"/>
        <v>admin.109</v>
      </c>
      <c r="Y100" s="24" t="str">
        <f t="shared" si="32"/>
        <v>Ação de administrar</v>
      </c>
      <c r="Z100" s="47" t="s">
        <v>7168</v>
      </c>
      <c r="AA100" s="25" t="str">
        <f t="shared" si="41"/>
        <v>null</v>
      </c>
      <c r="AB100" s="26" t="s">
        <v>0</v>
      </c>
      <c r="AC100" s="25" t="str">
        <f t="shared" si="42"/>
        <v>null</v>
      </c>
      <c r="AD100" s="26" t="s">
        <v>0</v>
      </c>
      <c r="AE100" s="25" t="str">
        <f t="shared" si="43"/>
        <v>null</v>
      </c>
      <c r="AF100" s="26" t="s">
        <v>0</v>
      </c>
      <c r="AG100" s="47" t="s">
        <v>5036</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2121</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7069</v>
      </c>
      <c r="X101" s="24" t="str">
        <f t="shared" si="31"/>
        <v>admin.110</v>
      </c>
      <c r="Y101" s="24" t="str">
        <f t="shared" si="32"/>
        <v>Ação de administrar</v>
      </c>
      <c r="Z101" s="47" t="s">
        <v>7169</v>
      </c>
      <c r="AA101" s="25" t="str">
        <f t="shared" si="41"/>
        <v>null</v>
      </c>
      <c r="AB101" s="26" t="s">
        <v>0</v>
      </c>
      <c r="AC101" s="25" t="str">
        <f t="shared" si="42"/>
        <v>null</v>
      </c>
      <c r="AD101" s="26" t="s">
        <v>0</v>
      </c>
      <c r="AE101" s="25" t="str">
        <f t="shared" si="43"/>
        <v>null</v>
      </c>
      <c r="AF101" s="26" t="s">
        <v>0</v>
      </c>
      <c r="AG101" s="47" t="s">
        <v>5035</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2121</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7068</v>
      </c>
      <c r="X102" s="24" t="str">
        <f t="shared" si="31"/>
        <v>admin.111</v>
      </c>
      <c r="Y102" s="24" t="str">
        <f t="shared" si="32"/>
        <v>Ação de administrar</v>
      </c>
      <c r="Z102" s="47" t="s">
        <v>7170</v>
      </c>
      <c r="AA102" s="25" t="str">
        <f t="shared" si="41"/>
        <v>null</v>
      </c>
      <c r="AB102" s="26" t="s">
        <v>0</v>
      </c>
      <c r="AC102" s="25" t="str">
        <f t="shared" si="42"/>
        <v>null</v>
      </c>
      <c r="AD102" s="26" t="s">
        <v>0</v>
      </c>
      <c r="AE102" s="25" t="str">
        <f t="shared" si="43"/>
        <v>null</v>
      </c>
      <c r="AF102" s="26" t="s">
        <v>0</v>
      </c>
      <c r="AG102" s="47" t="s">
        <v>5034</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515</v>
      </c>
      <c r="H103" s="41" t="s">
        <v>2121</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7067</v>
      </c>
      <c r="X103" s="24" t="str">
        <f t="shared" si="31"/>
        <v>admin.112</v>
      </c>
      <c r="Y103" s="24" t="str">
        <f t="shared" si="32"/>
        <v>Ação de administrar</v>
      </c>
      <c r="Z103" s="47" t="s">
        <v>7171</v>
      </c>
      <c r="AA103" s="25" t="str">
        <f t="shared" si="41"/>
        <v>null</v>
      </c>
      <c r="AB103" s="26" t="s">
        <v>0</v>
      </c>
      <c r="AC103" s="25" t="str">
        <f t="shared" si="42"/>
        <v>null</v>
      </c>
      <c r="AD103" s="26" t="s">
        <v>0</v>
      </c>
      <c r="AE103" s="25" t="str">
        <f t="shared" si="43"/>
        <v>null</v>
      </c>
      <c r="AF103" s="26" t="s">
        <v>0</v>
      </c>
      <c r="AG103" s="47" t="s">
        <v>5033</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2121</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5128</v>
      </c>
      <c r="X104" s="24" t="str">
        <f t="shared" si="31"/>
        <v>admin.113</v>
      </c>
      <c r="Y104" s="24" t="str">
        <f t="shared" si="32"/>
        <v>Ação de administrar</v>
      </c>
      <c r="Z104" s="47" t="s">
        <v>1295</v>
      </c>
      <c r="AA104" s="25" t="str">
        <f t="shared" si="41"/>
        <v>null</v>
      </c>
      <c r="AB104" s="26" t="s">
        <v>0</v>
      </c>
      <c r="AC104" s="25" t="str">
        <f t="shared" si="42"/>
        <v>null</v>
      </c>
      <c r="AD104" s="26" t="s">
        <v>0</v>
      </c>
      <c r="AE104" s="25" t="str">
        <f t="shared" si="43"/>
        <v>null</v>
      </c>
      <c r="AF104" s="26" t="s">
        <v>0</v>
      </c>
      <c r="AG104" s="47" t="s">
        <v>2627</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2121</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5129</v>
      </c>
      <c r="X105" s="24" t="str">
        <f t="shared" si="31"/>
        <v>admin.114</v>
      </c>
      <c r="Y105" s="24" t="str">
        <f t="shared" si="32"/>
        <v>Ação de administrar</v>
      </c>
      <c r="Z105" s="47" t="s">
        <v>1296</v>
      </c>
      <c r="AA105" s="25" t="str">
        <f t="shared" si="41"/>
        <v>null</v>
      </c>
      <c r="AB105" s="26" t="s">
        <v>0</v>
      </c>
      <c r="AC105" s="25" t="str">
        <f t="shared" si="42"/>
        <v>null</v>
      </c>
      <c r="AD105" s="26" t="s">
        <v>0</v>
      </c>
      <c r="AE105" s="25" t="str">
        <f t="shared" si="43"/>
        <v>null</v>
      </c>
      <c r="AF105" s="26" t="s">
        <v>0</v>
      </c>
      <c r="AG105" s="47" t="s">
        <v>2628</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3342</v>
      </c>
      <c r="H106" s="41" t="s">
        <v>37</v>
      </c>
      <c r="I106" s="16" t="str">
        <f t="shared" si="40"/>
        <v>null</v>
      </c>
      <c r="J106" s="13" t="s">
        <v>0</v>
      </c>
      <c r="K106" s="13" t="s">
        <v>0</v>
      </c>
      <c r="L106" s="13" t="s">
        <v>0</v>
      </c>
      <c r="M106" s="13" t="s">
        <v>0</v>
      </c>
      <c r="N106" s="15" t="s">
        <v>0</v>
      </c>
      <c r="O106" s="13" t="s">
        <v>0</v>
      </c>
      <c r="P106" s="13" t="s">
        <v>0</v>
      </c>
      <c r="Q106" s="13" t="s">
        <v>516</v>
      </c>
      <c r="R106" s="15" t="s">
        <v>0</v>
      </c>
      <c r="S106" s="10" t="s">
        <v>1</v>
      </c>
      <c r="T106" s="10" t="s">
        <v>32</v>
      </c>
      <c r="U106" s="5" t="str">
        <f t="shared" si="26"/>
        <v>Propriedade destinada a administrar: é.privado</v>
      </c>
      <c r="V106" s="5" t="str">
        <f t="shared" si="27"/>
        <v>Dado para administrar:  privado  Deve ser formatado como (xsd:boolean)</v>
      </c>
      <c r="W106" s="5" t="s">
        <v>5130</v>
      </c>
      <c r="X106" s="24" t="str">
        <f t="shared" si="31"/>
        <v>admin.115</v>
      </c>
      <c r="Y106" s="24" t="str">
        <f t="shared" si="32"/>
        <v>Ação de administrar</v>
      </c>
      <c r="Z106" s="47" t="s">
        <v>7172</v>
      </c>
      <c r="AA106" s="25" t="str">
        <f t="shared" si="41"/>
        <v>null</v>
      </c>
      <c r="AB106" s="26" t="s">
        <v>0</v>
      </c>
      <c r="AC106" s="25" t="str">
        <f t="shared" si="42"/>
        <v>null</v>
      </c>
      <c r="AD106" s="26" t="s">
        <v>0</v>
      </c>
      <c r="AE106" s="25" t="str">
        <f t="shared" si="43"/>
        <v>null</v>
      </c>
      <c r="AF106" s="26" t="s">
        <v>0</v>
      </c>
      <c r="AG106" s="47" t="s">
        <v>5041</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3343</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5131</v>
      </c>
      <c r="X107" s="24" t="str">
        <f t="shared" si="31"/>
        <v>admin.116</v>
      </c>
      <c r="Y107" s="24" t="str">
        <f t="shared" si="32"/>
        <v>Ação de administrar</v>
      </c>
      <c r="Z107" s="47" t="s">
        <v>7173</v>
      </c>
      <c r="AA107" s="25" t="str">
        <f t="shared" si="41"/>
        <v>null</v>
      </c>
      <c r="AB107" s="26" t="s">
        <v>0</v>
      </c>
      <c r="AC107" s="25" t="str">
        <f t="shared" si="42"/>
        <v>null</v>
      </c>
      <c r="AD107" s="26" t="s">
        <v>0</v>
      </c>
      <c r="AE107" s="25" t="str">
        <f t="shared" si="43"/>
        <v>null</v>
      </c>
      <c r="AF107" s="26" t="s">
        <v>0</v>
      </c>
      <c r="AG107" s="47" t="s">
        <v>5042</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3344</v>
      </c>
      <c r="H108" s="41" t="s">
        <v>37</v>
      </c>
      <c r="I108" s="16" t="str">
        <f t="shared" si="40"/>
        <v>null</v>
      </c>
      <c r="J108" s="13" t="s">
        <v>0</v>
      </c>
      <c r="K108" s="13" t="s">
        <v>0</v>
      </c>
      <c r="L108" s="13" t="s">
        <v>0</v>
      </c>
      <c r="M108" s="13" t="s">
        <v>0</v>
      </c>
      <c r="N108" s="15" t="s">
        <v>0</v>
      </c>
      <c r="O108" s="13" t="s">
        <v>0</v>
      </c>
      <c r="P108" s="13" t="s">
        <v>0</v>
      </c>
      <c r="Q108" s="13" t="s">
        <v>517</v>
      </c>
      <c r="R108" s="15" t="s">
        <v>0</v>
      </c>
      <c r="S108" s="10" t="s">
        <v>1</v>
      </c>
      <c r="T108" s="10" t="s">
        <v>32</v>
      </c>
      <c r="U108" s="5" t="str">
        <f t="shared" si="26"/>
        <v>Propriedade destinada a administrar: é.público</v>
      </c>
      <c r="V108" s="5" t="str">
        <f t="shared" si="27"/>
        <v>Dado para administrar:  público  Deve ser formatado como (xsd:boolean)</v>
      </c>
      <c r="W108" s="5" t="s">
        <v>5132</v>
      </c>
      <c r="X108" s="24" t="str">
        <f t="shared" si="31"/>
        <v>admin.117</v>
      </c>
      <c r="Y108" s="24" t="str">
        <f t="shared" si="32"/>
        <v>Ação de administrar</v>
      </c>
      <c r="Z108" s="47" t="s">
        <v>7174</v>
      </c>
      <c r="AA108" s="25" t="str">
        <f t="shared" si="41"/>
        <v>null</v>
      </c>
      <c r="AB108" s="26" t="s">
        <v>0</v>
      </c>
      <c r="AC108" s="25" t="str">
        <f t="shared" si="42"/>
        <v>null</v>
      </c>
      <c r="AD108" s="26" t="s">
        <v>0</v>
      </c>
      <c r="AE108" s="25" t="str">
        <f t="shared" si="43"/>
        <v>null</v>
      </c>
      <c r="AF108" s="26" t="s">
        <v>0</v>
      </c>
      <c r="AG108" s="47" t="s">
        <v>5043</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1999</v>
      </c>
      <c r="H109" s="41" t="s">
        <v>2121</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5133</v>
      </c>
      <c r="X109" s="24" t="str">
        <f t="shared" si="31"/>
        <v>admin.118</v>
      </c>
      <c r="Y109" s="24" t="str">
        <f t="shared" si="32"/>
        <v>Ação de administrar</v>
      </c>
      <c r="Z109" s="47" t="s">
        <v>7175</v>
      </c>
      <c r="AA109" s="25" t="str">
        <f t="shared" si="41"/>
        <v>null</v>
      </c>
      <c r="AB109" s="26" t="s">
        <v>0</v>
      </c>
      <c r="AC109" s="25" t="str">
        <f t="shared" si="42"/>
        <v>null</v>
      </c>
      <c r="AD109" s="26" t="s">
        <v>0</v>
      </c>
      <c r="AE109" s="25" t="str">
        <f t="shared" si="43"/>
        <v>null</v>
      </c>
      <c r="AF109" s="26" t="s">
        <v>0</v>
      </c>
      <c r="AG109" s="47" t="s">
        <v>5044</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2000</v>
      </c>
      <c r="H110" s="41" t="s">
        <v>2121</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5134</v>
      </c>
      <c r="X110" s="24" t="str">
        <f t="shared" si="31"/>
        <v>admin.119</v>
      </c>
      <c r="Y110" s="24" t="str">
        <f t="shared" si="32"/>
        <v>Ação de administrar</v>
      </c>
      <c r="Z110" s="47" t="s">
        <v>7176</v>
      </c>
      <c r="AA110" s="25" t="str">
        <f t="shared" si="41"/>
        <v>null</v>
      </c>
      <c r="AB110" s="26" t="s">
        <v>0</v>
      </c>
      <c r="AC110" s="25" t="str">
        <f t="shared" si="42"/>
        <v>null</v>
      </c>
      <c r="AD110" s="26" t="s">
        <v>0</v>
      </c>
      <c r="AE110" s="25" t="str">
        <f t="shared" si="43"/>
        <v>null</v>
      </c>
      <c r="AF110" s="26" t="s">
        <v>0</v>
      </c>
      <c r="AG110" s="47" t="s">
        <v>5045</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2121</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5135</v>
      </c>
      <c r="X111" s="24" t="str">
        <f t="shared" si="31"/>
        <v>admin.120</v>
      </c>
      <c r="Y111" s="24" t="str">
        <f t="shared" si="32"/>
        <v>Ação de administrar</v>
      </c>
      <c r="Z111" s="47" t="s">
        <v>7177</v>
      </c>
      <c r="AA111" s="25" t="str">
        <f t="shared" si="41"/>
        <v>null</v>
      </c>
      <c r="AB111" s="26" t="s">
        <v>0</v>
      </c>
      <c r="AC111" s="25" t="str">
        <f t="shared" si="42"/>
        <v>null</v>
      </c>
      <c r="AD111" s="26" t="s">
        <v>0</v>
      </c>
      <c r="AE111" s="25" t="str">
        <f t="shared" si="43"/>
        <v>null</v>
      </c>
      <c r="AF111" s="26" t="s">
        <v>0</v>
      </c>
      <c r="AG111" s="47" t="s">
        <v>5046</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518</v>
      </c>
      <c r="H112" s="41" t="s">
        <v>2121</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5136</v>
      </c>
      <c r="X112" s="24" t="str">
        <f t="shared" si="31"/>
        <v>admin.121</v>
      </c>
      <c r="Y112" s="24" t="str">
        <f t="shared" si="32"/>
        <v>Ação de administrar</v>
      </c>
      <c r="Z112" s="47" t="s">
        <v>7178</v>
      </c>
      <c r="AA112" s="25" t="str">
        <f t="shared" si="41"/>
        <v>null</v>
      </c>
      <c r="AB112" s="26" t="s">
        <v>0</v>
      </c>
      <c r="AC112" s="25" t="str">
        <f t="shared" si="42"/>
        <v>null</v>
      </c>
      <c r="AD112" s="26" t="s">
        <v>0</v>
      </c>
      <c r="AE112" s="25" t="str">
        <f t="shared" si="43"/>
        <v>null</v>
      </c>
      <c r="AF112" s="26" t="s">
        <v>0</v>
      </c>
      <c r="AG112" s="47" t="s">
        <v>5047</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519</v>
      </c>
      <c r="H113" s="41" t="s">
        <v>2121</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7078</v>
      </c>
      <c r="X113" s="24" t="str">
        <f t="shared" si="31"/>
        <v>admin.122</v>
      </c>
      <c r="Y113" s="24" t="str">
        <f t="shared" si="32"/>
        <v>Ação de administrar</v>
      </c>
      <c r="Z113" s="47" t="s">
        <v>7186</v>
      </c>
      <c r="AA113" s="25" t="str">
        <f t="shared" si="41"/>
        <v>null</v>
      </c>
      <c r="AB113" s="26" t="s">
        <v>0</v>
      </c>
      <c r="AC113" s="25" t="str">
        <f t="shared" si="42"/>
        <v>null</v>
      </c>
      <c r="AD113" s="26" t="s">
        <v>0</v>
      </c>
      <c r="AE113" s="25" t="str">
        <f t="shared" si="43"/>
        <v>null</v>
      </c>
      <c r="AF113" s="26" t="s">
        <v>0</v>
      </c>
      <c r="AG113" s="47" t="s">
        <v>5048</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2121</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7079</v>
      </c>
      <c r="X114" s="24" t="str">
        <f t="shared" si="31"/>
        <v>admin.123</v>
      </c>
      <c r="Y114" s="24" t="str">
        <f t="shared" si="32"/>
        <v>Ação de administrar</v>
      </c>
      <c r="Z114" s="47" t="s">
        <v>7185</v>
      </c>
      <c r="AA114" s="25" t="str">
        <f t="shared" si="41"/>
        <v>null</v>
      </c>
      <c r="AB114" s="26" t="s">
        <v>0</v>
      </c>
      <c r="AC114" s="25" t="str">
        <f t="shared" si="42"/>
        <v>null</v>
      </c>
      <c r="AD114" s="26" t="s">
        <v>0</v>
      </c>
      <c r="AE114" s="25" t="str">
        <f t="shared" si="43"/>
        <v>null</v>
      </c>
      <c r="AF114" s="26" t="s">
        <v>0</v>
      </c>
      <c r="AG114" s="47" t="s">
        <v>5049</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2079</v>
      </c>
      <c r="H115" s="41" t="s">
        <v>2121</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7080</v>
      </c>
      <c r="X115" s="24" t="str">
        <f t="shared" si="31"/>
        <v>admin.124</v>
      </c>
      <c r="Y115" s="24" t="str">
        <f t="shared" si="32"/>
        <v>Ação de administrar</v>
      </c>
      <c r="Z115" s="47" t="s">
        <v>7184</v>
      </c>
      <c r="AA115" s="25" t="str">
        <f t="shared" si="41"/>
        <v>null</v>
      </c>
      <c r="AB115" s="26" t="s">
        <v>0</v>
      </c>
      <c r="AC115" s="25" t="str">
        <f t="shared" si="42"/>
        <v>null</v>
      </c>
      <c r="AD115" s="26" t="s">
        <v>0</v>
      </c>
      <c r="AE115" s="25" t="str">
        <f t="shared" si="43"/>
        <v>null</v>
      </c>
      <c r="AF115" s="26" t="s">
        <v>0</v>
      </c>
      <c r="AG115" s="47" t="s">
        <v>5050</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520</v>
      </c>
      <c r="H116" s="41" t="s">
        <v>2121</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7081</v>
      </c>
      <c r="X116" s="24" t="str">
        <f t="shared" si="31"/>
        <v>admin.125</v>
      </c>
      <c r="Y116" s="24" t="str">
        <f t="shared" si="32"/>
        <v>Ação de administrar</v>
      </c>
      <c r="Z116" s="47" t="s">
        <v>7183</v>
      </c>
      <c r="AA116" s="25" t="str">
        <f t="shared" si="41"/>
        <v>null</v>
      </c>
      <c r="AB116" s="26" t="s">
        <v>0</v>
      </c>
      <c r="AC116" s="25" t="str">
        <f t="shared" si="42"/>
        <v>null</v>
      </c>
      <c r="AD116" s="26" t="s">
        <v>0</v>
      </c>
      <c r="AE116" s="25" t="str">
        <f t="shared" si="43"/>
        <v>null</v>
      </c>
      <c r="AF116" s="26" t="s">
        <v>0</v>
      </c>
      <c r="AG116" s="47" t="s">
        <v>5051</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521</v>
      </c>
      <c r="H117" s="41" t="s">
        <v>2121</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7082</v>
      </c>
      <c r="X117" s="24" t="str">
        <f t="shared" si="31"/>
        <v>admin.126</v>
      </c>
      <c r="Y117" s="24" t="str">
        <f t="shared" si="32"/>
        <v>Ação de administrar</v>
      </c>
      <c r="Z117" s="47" t="s">
        <v>7182</v>
      </c>
      <c r="AA117" s="25" t="str">
        <f t="shared" si="41"/>
        <v>null</v>
      </c>
      <c r="AB117" s="26" t="s">
        <v>0</v>
      </c>
      <c r="AC117" s="25" t="str">
        <f t="shared" si="42"/>
        <v>null</v>
      </c>
      <c r="AD117" s="26" t="s">
        <v>0</v>
      </c>
      <c r="AE117" s="25" t="str">
        <f t="shared" si="43"/>
        <v>null</v>
      </c>
      <c r="AF117" s="26" t="s">
        <v>0</v>
      </c>
      <c r="AG117" s="47" t="s">
        <v>5052</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522</v>
      </c>
      <c r="H118" s="41" t="s">
        <v>2121</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7083</v>
      </c>
      <c r="X118" s="24" t="str">
        <f t="shared" si="31"/>
        <v>admin.127</v>
      </c>
      <c r="Y118" s="24" t="str">
        <f t="shared" si="32"/>
        <v>Ação de administrar</v>
      </c>
      <c r="Z118" s="47" t="s">
        <v>7181</v>
      </c>
      <c r="AA118" s="25" t="str">
        <f t="shared" si="41"/>
        <v>null</v>
      </c>
      <c r="AB118" s="26" t="s">
        <v>0</v>
      </c>
      <c r="AC118" s="25" t="str">
        <f t="shared" si="42"/>
        <v>null</v>
      </c>
      <c r="AD118" s="26" t="s">
        <v>0</v>
      </c>
      <c r="AE118" s="25" t="str">
        <f t="shared" si="43"/>
        <v>null</v>
      </c>
      <c r="AF118" s="26" t="s">
        <v>0</v>
      </c>
      <c r="AG118" s="47" t="s">
        <v>5053</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2121</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7084</v>
      </c>
      <c r="X119" s="24" t="str">
        <f t="shared" si="31"/>
        <v>admin.128</v>
      </c>
      <c r="Y119" s="24" t="str">
        <f t="shared" si="32"/>
        <v>Ação de administrar</v>
      </c>
      <c r="Z119" s="47" t="s">
        <v>7180</v>
      </c>
      <c r="AA119" s="25" t="str">
        <f t="shared" si="41"/>
        <v>null</v>
      </c>
      <c r="AB119" s="26" t="s">
        <v>0</v>
      </c>
      <c r="AC119" s="25" t="str">
        <f t="shared" si="42"/>
        <v>null</v>
      </c>
      <c r="AD119" s="26" t="s">
        <v>0</v>
      </c>
      <c r="AE119" s="25" t="str">
        <f t="shared" si="43"/>
        <v>null</v>
      </c>
      <c r="AF119" s="26" t="s">
        <v>0</v>
      </c>
      <c r="AG119" s="47" t="s">
        <v>5054</v>
      </c>
    </row>
    <row r="120" spans="1:33" ht="6.9" customHeight="1" x14ac:dyDescent="0.4">
      <c r="A120" s="4">
        <f>ROW()</f>
        <v>120</v>
      </c>
      <c r="B120" s="9" t="s">
        <v>27</v>
      </c>
      <c r="C120" s="54" t="str">
        <f t="shared" si="39"/>
        <v>p.afirmar</v>
      </c>
      <c r="D120" s="6" t="str">
        <f t="shared" si="24"/>
        <v>é.fake</v>
      </c>
      <c r="E120" s="8" t="s">
        <v>28</v>
      </c>
      <c r="F120" s="50" t="s">
        <v>523</v>
      </c>
      <c r="G120" s="18" t="s">
        <v>403</v>
      </c>
      <c r="H120" s="41" t="s">
        <v>37</v>
      </c>
      <c r="I120" s="16" t="str">
        <f>J120</f>
        <v>null</v>
      </c>
      <c r="J120" s="13" t="s">
        <v>0</v>
      </c>
      <c r="K120" s="13" t="s">
        <v>0</v>
      </c>
      <c r="L120" s="13" t="s">
        <v>0</v>
      </c>
      <c r="M120" s="13" t="s">
        <v>0</v>
      </c>
      <c r="N120" s="15" t="s">
        <v>0</v>
      </c>
      <c r="O120" s="13" t="s">
        <v>0</v>
      </c>
      <c r="P120" s="13" t="s">
        <v>0</v>
      </c>
      <c r="Q120" s="13" t="s">
        <v>527</v>
      </c>
      <c r="R120" s="15" t="s">
        <v>528</v>
      </c>
      <c r="S120" s="10" t="s">
        <v>1</v>
      </c>
      <c r="T120" s="10" t="s">
        <v>32</v>
      </c>
      <c r="U120" s="5" t="str">
        <f t="shared" si="26"/>
        <v>Propriedade destinada a afirmar: é.fake</v>
      </c>
      <c r="V120" s="5" t="str">
        <f t="shared" si="27"/>
        <v>Dado para afirmar:  fake  Deve ser formatado como (xsd:boolean)</v>
      </c>
      <c r="W120" s="5" t="s">
        <v>5137</v>
      </c>
      <c r="X120" s="24" t="str">
        <f t="shared" si="31"/>
        <v>afirm.100</v>
      </c>
      <c r="Y120" s="24" t="str">
        <f t="shared" si="32"/>
        <v>Ação de afirmar</v>
      </c>
      <c r="Z120" s="47" t="s">
        <v>7179</v>
      </c>
      <c r="AA120" s="25" t="str">
        <f>IF(AB120="null", "null", "categoria.revit")</f>
        <v>null</v>
      </c>
      <c r="AB120" s="26" t="s">
        <v>0</v>
      </c>
      <c r="AC120" s="25" t="str">
        <f>IF(AD120="null", "null", "classe.ifc")</f>
        <v>null</v>
      </c>
      <c r="AD120" s="26" t="s">
        <v>0</v>
      </c>
      <c r="AE120" s="25" t="str">
        <f t="shared" si="43"/>
        <v>null</v>
      </c>
      <c r="AF120" s="26" t="s">
        <v>0</v>
      </c>
      <c r="AG120" s="47" t="s">
        <v>4763</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527</v>
      </c>
      <c r="R121" s="15" t="s">
        <v>0</v>
      </c>
      <c r="S121" s="10" t="s">
        <v>1</v>
      </c>
      <c r="T121" s="10" t="s">
        <v>32</v>
      </c>
      <c r="U121" s="5" t="str">
        <f t="shared" si="26"/>
        <v>Propriedade destinada a afirmar: é.falso</v>
      </c>
      <c r="V121" s="5" t="str">
        <f t="shared" si="27"/>
        <v>Dado para afirmar:  falso  Deve ser formatado como (xsd:boolean)</v>
      </c>
      <c r="W121" s="5" t="s">
        <v>5138</v>
      </c>
      <c r="X121" s="24" t="str">
        <f t="shared" si="31"/>
        <v>afirm.101</v>
      </c>
      <c r="Y121" s="24" t="str">
        <f t="shared" si="32"/>
        <v>Ação de afirmar</v>
      </c>
      <c r="Z121" s="47" t="s">
        <v>1298</v>
      </c>
      <c r="AA121" s="25" t="str">
        <f>IF(AB121="null", "null", "categoria.revit")</f>
        <v>null</v>
      </c>
      <c r="AB121" s="26" t="s">
        <v>0</v>
      </c>
      <c r="AC121" s="25" t="str">
        <f>IF(AD121="null", "null", "classe.ifc")</f>
        <v>null</v>
      </c>
      <c r="AD121" s="26" t="s">
        <v>0</v>
      </c>
      <c r="AE121" s="25" t="str">
        <f t="shared" si="43"/>
        <v>null</v>
      </c>
      <c r="AF121" s="26" t="s">
        <v>0</v>
      </c>
      <c r="AG121" s="47" t="s">
        <v>2630</v>
      </c>
    </row>
    <row r="122" spans="1:33" ht="6.9" customHeight="1" x14ac:dyDescent="0.4">
      <c r="A122" s="4">
        <f>ROW()</f>
        <v>122</v>
      </c>
      <c r="B122" s="9" t="s">
        <v>27</v>
      </c>
      <c r="C122" s="55" t="str">
        <f t="shared" ref="C122:C123" si="46">SUBSTITUTE(F122,"d.","p.")</f>
        <v>p.afirmar</v>
      </c>
      <c r="D122" s="6" t="str">
        <f t="shared" si="24"/>
        <v>é.fraudulento</v>
      </c>
      <c r="E122" s="8" t="s">
        <v>28</v>
      </c>
      <c r="F122" s="42" t="str">
        <f t="shared" ref="F122:F123" si="47">F121</f>
        <v>d.afirmar</v>
      </c>
      <c r="G122" s="18" t="s">
        <v>404</v>
      </c>
      <c r="H122" s="41" t="s">
        <v>37</v>
      </c>
      <c r="I122" s="16" t="str">
        <f>J122</f>
        <v>null</v>
      </c>
      <c r="J122" s="13" t="s">
        <v>0</v>
      </c>
      <c r="K122" s="13" t="s">
        <v>0</v>
      </c>
      <c r="L122" s="13" t="s">
        <v>0</v>
      </c>
      <c r="M122" s="13" t="s">
        <v>0</v>
      </c>
      <c r="N122" s="15" t="s">
        <v>0</v>
      </c>
      <c r="O122" s="13" t="s">
        <v>0</v>
      </c>
      <c r="P122" s="13" t="s">
        <v>0</v>
      </c>
      <c r="Q122" s="13" t="s">
        <v>527</v>
      </c>
      <c r="R122" s="15" t="s">
        <v>529</v>
      </c>
      <c r="S122" s="10" t="s">
        <v>1</v>
      </c>
      <c r="T122" s="10" t="s">
        <v>32</v>
      </c>
      <c r="U122" s="5" t="str">
        <f t="shared" si="26"/>
        <v>Propriedade destinada a afirmar: é.fraudulento</v>
      </c>
      <c r="V122" s="5" t="str">
        <f t="shared" si="27"/>
        <v>Dado para afirmar:  fraudulento  Deve ser formatado como (xsd:boolean)</v>
      </c>
      <c r="W122" s="5" t="s">
        <v>5139</v>
      </c>
      <c r="X122" s="24" t="str">
        <f t="shared" si="31"/>
        <v>afirm.102</v>
      </c>
      <c r="Y122" s="24" t="str">
        <f t="shared" si="32"/>
        <v>Ação de afirmar</v>
      </c>
      <c r="Z122" s="47" t="s">
        <v>1299</v>
      </c>
      <c r="AA122" s="25" t="str">
        <f>IF(AB122="null", "null", "categoria.revit")</f>
        <v>null</v>
      </c>
      <c r="AB122" s="26" t="s">
        <v>0</v>
      </c>
      <c r="AC122" s="25" t="str">
        <f>IF(AD122="null", "null", "classe.ifc")</f>
        <v>null</v>
      </c>
      <c r="AD122" s="26" t="s">
        <v>0</v>
      </c>
      <c r="AE122" s="25" t="str">
        <f t="shared" si="43"/>
        <v>null</v>
      </c>
      <c r="AF122" s="26" t="s">
        <v>0</v>
      </c>
      <c r="AG122" s="47" t="s">
        <v>2631</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526</v>
      </c>
      <c r="R123" s="15" t="s">
        <v>0</v>
      </c>
      <c r="S123" s="10" t="s">
        <v>1</v>
      </c>
      <c r="T123" s="10" t="s">
        <v>32</v>
      </c>
      <c r="U123" s="5" t="str">
        <f t="shared" si="26"/>
        <v>Propriedade destinada a afirmar: é.verdadeiro</v>
      </c>
      <c r="V123" s="5" t="str">
        <f t="shared" si="27"/>
        <v>Dado para afirmar:  verdadeiro  Deve ser formatado como (xsd:boolean)</v>
      </c>
      <c r="W123" s="5" t="s">
        <v>5140</v>
      </c>
      <c r="X123" s="24" t="str">
        <f t="shared" si="31"/>
        <v>afirm.103</v>
      </c>
      <c r="Y123" s="24" t="str">
        <f t="shared" si="32"/>
        <v>Ação de afirmar</v>
      </c>
      <c r="Z123" s="47" t="s">
        <v>1297</v>
      </c>
      <c r="AA123" s="25" t="str">
        <f>IF(AB123="null", "null", "categoria.revit")</f>
        <v>null</v>
      </c>
      <c r="AB123" s="26" t="s">
        <v>0</v>
      </c>
      <c r="AC123" s="25" t="str">
        <f>IF(AD123="null", "null", "classe.ifc")</f>
        <v>null</v>
      </c>
      <c r="AD123" s="26" t="s">
        <v>0</v>
      </c>
      <c r="AE123" s="25" t="str">
        <f t="shared" si="43"/>
        <v>null</v>
      </c>
      <c r="AF123" s="26" t="s">
        <v>0</v>
      </c>
      <c r="AG123" s="47" t="s">
        <v>2629</v>
      </c>
    </row>
    <row r="124" spans="1:33" ht="6.9" customHeight="1" x14ac:dyDescent="0.4">
      <c r="A124" s="4">
        <f>ROW()</f>
        <v>124</v>
      </c>
      <c r="B124" s="9" t="s">
        <v>27</v>
      </c>
      <c r="C124" s="54" t="str">
        <f>SUBSTITUTE(F124,"d.","p.")</f>
        <v>p.agir</v>
      </c>
      <c r="D124" s="6" t="str">
        <f t="shared" si="24"/>
        <v>é.agente.humano</v>
      </c>
      <c r="E124" s="8" t="s">
        <v>28</v>
      </c>
      <c r="F124" s="51" t="s">
        <v>8454</v>
      </c>
      <c r="G124" s="17" t="s">
        <v>8455</v>
      </c>
      <c r="H124" s="42" t="s">
        <v>2121</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é.agente.humano</v>
      </c>
      <c r="V124" s="5" t="str">
        <f t="shared" si="27"/>
        <v>Dado para agir:  agente.humano  Deve ser formatado como (rdfs:Literal  or  xsd:string)</v>
      </c>
      <c r="W124" s="5" t="s">
        <v>8466</v>
      </c>
      <c r="X124" s="24" t="str">
        <f t="shared" si="31"/>
        <v>.agir.100</v>
      </c>
      <c r="Y124" s="24" t="str">
        <f t="shared" si="32"/>
        <v>Ação de agir</v>
      </c>
      <c r="Z124" s="47" t="s">
        <v>8481</v>
      </c>
      <c r="AA124" s="25" t="s">
        <v>0</v>
      </c>
      <c r="AB124" s="26" t="s">
        <v>0</v>
      </c>
      <c r="AC124" s="25" t="s">
        <v>0</v>
      </c>
      <c r="AD124" s="26" t="s">
        <v>0</v>
      </c>
      <c r="AE124" s="25" t="str">
        <f t="shared" si="43"/>
        <v>null</v>
      </c>
      <c r="AF124" s="26" t="s">
        <v>0</v>
      </c>
      <c r="AG124" s="47" t="s">
        <v>8504</v>
      </c>
    </row>
    <row r="125" spans="1:33" ht="6.9" customHeight="1" x14ac:dyDescent="0.4">
      <c r="A125" s="4">
        <f>ROW()</f>
        <v>125</v>
      </c>
      <c r="B125" s="9" t="s">
        <v>27</v>
      </c>
      <c r="C125" s="55" t="str">
        <f>SUBSTITUTE(F125,"d.","p.")</f>
        <v>p.agir</v>
      </c>
      <c r="D125" s="6" t="str">
        <f>_xlfn.CONCAT("é.",G125)</f>
        <v>é.agente.artificial</v>
      </c>
      <c r="E125" s="8" t="s">
        <v>28</v>
      </c>
      <c r="F125" s="42" t="str">
        <f>F124</f>
        <v>d.agir</v>
      </c>
      <c r="G125" s="17" t="s">
        <v>8456</v>
      </c>
      <c r="H125" s="42" t="s">
        <v>2121</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26"/>
        <v>Propriedade destinada a agir: é.agente.artificial</v>
      </c>
      <c r="V125" s="5" t="str">
        <f t="shared" si="27"/>
        <v>Dado para agir:  agente.artificial  Deve ser formatado como (rdfs:Literal  or  xsd:string)</v>
      </c>
      <c r="W125" s="5" t="s">
        <v>8467</v>
      </c>
      <c r="X125" s="24" t="str">
        <f t="shared" si="31"/>
        <v>.agir.101</v>
      </c>
      <c r="Y125" s="24" t="str">
        <f t="shared" si="32"/>
        <v>Ação de agir</v>
      </c>
      <c r="Z125" s="47" t="s">
        <v>8482</v>
      </c>
      <c r="AA125" s="25" t="s">
        <v>0</v>
      </c>
      <c r="AB125" s="26" t="s">
        <v>0</v>
      </c>
      <c r="AC125" s="25" t="s">
        <v>0</v>
      </c>
      <c r="AD125" s="26" t="s">
        <v>0</v>
      </c>
      <c r="AE125" s="25" t="str">
        <f>IF(AF125="null", "null", "propriedade")</f>
        <v>null</v>
      </c>
      <c r="AF125" s="26" t="s">
        <v>0</v>
      </c>
      <c r="AG125" s="47" t="s">
        <v>8505</v>
      </c>
    </row>
    <row r="126" spans="1:33" ht="6.9" customHeight="1" x14ac:dyDescent="0.4">
      <c r="A126" s="4">
        <f>ROW()</f>
        <v>126</v>
      </c>
      <c r="B126" s="9" t="s">
        <v>27</v>
      </c>
      <c r="C126" s="55" t="str">
        <f t="shared" ref="C126:C138" si="48">SUBSTITUTE(F126,"d.","p.")</f>
        <v>p.agir</v>
      </c>
      <c r="D126" s="6" t="str">
        <f>_xlfn.CONCAT("é.",G126)</f>
        <v>é.agente.deliberativo</v>
      </c>
      <c r="E126" s="8" t="s">
        <v>28</v>
      </c>
      <c r="F126" s="42" t="str">
        <f t="shared" ref="F126:F138" si="49">F125</f>
        <v>d.agir</v>
      </c>
      <c r="G126" s="17" t="s">
        <v>8459</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é.agente.deliberativo</v>
      </c>
      <c r="V126" s="5" t="str">
        <f t="shared" si="27"/>
        <v>Dado para agir:  agente.deliberativo  Deve ser formatado como (xsd:boolean)</v>
      </c>
      <c r="W126" s="5" t="s">
        <v>8473</v>
      </c>
      <c r="X126" s="24" t="str">
        <f t="shared" si="31"/>
        <v>.agir.102</v>
      </c>
      <c r="Y126" s="24" t="str">
        <f t="shared" si="32"/>
        <v>Ação de agir</v>
      </c>
      <c r="Z126" s="47" t="s">
        <v>8500</v>
      </c>
      <c r="AA126" s="25" t="s">
        <v>0</v>
      </c>
      <c r="AB126" s="26" t="s">
        <v>0</v>
      </c>
      <c r="AC126" s="25" t="s">
        <v>0</v>
      </c>
      <c r="AD126" s="26" t="s">
        <v>0</v>
      </c>
      <c r="AE126" s="25" t="str">
        <f>IF(AF126="null", "null", "propriedade")</f>
        <v>null</v>
      </c>
      <c r="AF126" s="26" t="s">
        <v>0</v>
      </c>
      <c r="AG126" s="47" t="s">
        <v>8515</v>
      </c>
    </row>
    <row r="127" spans="1:33" ht="6.9" customHeight="1" x14ac:dyDescent="0.4">
      <c r="A127" s="4">
        <f>ROW()</f>
        <v>127</v>
      </c>
      <c r="B127" s="9" t="s">
        <v>27</v>
      </c>
      <c r="C127" s="55" t="str">
        <f t="shared" si="48"/>
        <v>p.agir</v>
      </c>
      <c r="D127" s="6" t="str">
        <f>_xlfn.CONCAT("é.",G127)</f>
        <v>é.agente.híbrido</v>
      </c>
      <c r="E127" s="8" t="s">
        <v>28</v>
      </c>
      <c r="F127" s="42" t="str">
        <f t="shared" si="49"/>
        <v>d.agir</v>
      </c>
      <c r="G127" s="17" t="s">
        <v>8460</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é.agente.híbrido</v>
      </c>
      <c r="V127" s="5" t="str">
        <f t="shared" si="27"/>
        <v>Dado para agir:  agente.híbrido  Deve ser formatado como (xsd:boolean)</v>
      </c>
      <c r="W127" s="5" t="s">
        <v>8475</v>
      </c>
      <c r="X127" s="24" t="str">
        <f t="shared" si="31"/>
        <v>.agir.103</v>
      </c>
      <c r="Y127" s="24" t="str">
        <f t="shared" si="32"/>
        <v>Ação de agir</v>
      </c>
      <c r="Z127" s="47" t="s">
        <v>8483</v>
      </c>
      <c r="AA127" s="25" t="s">
        <v>0</v>
      </c>
      <c r="AB127" s="26" t="s">
        <v>0</v>
      </c>
      <c r="AC127" s="25" t="s">
        <v>0</v>
      </c>
      <c r="AD127" s="26" t="s">
        <v>0</v>
      </c>
      <c r="AE127" s="25" t="str">
        <f>IF(AF127="null", "null", "propriedade")</f>
        <v>null</v>
      </c>
      <c r="AF127" s="26" t="s">
        <v>0</v>
      </c>
      <c r="AG127" s="47" t="s">
        <v>8506</v>
      </c>
    </row>
    <row r="128" spans="1:33" ht="6.9" customHeight="1" x14ac:dyDescent="0.4">
      <c r="A128" s="4">
        <f>ROW()</f>
        <v>128</v>
      </c>
      <c r="B128" s="9" t="s">
        <v>27</v>
      </c>
      <c r="C128" s="55" t="str">
        <f t="shared" si="48"/>
        <v>p.agir</v>
      </c>
      <c r="D128" s="6" t="str">
        <f>_xlfn.CONCAT("é.",G128)</f>
        <v>é.agente.memória</v>
      </c>
      <c r="E128" s="8" t="s">
        <v>28</v>
      </c>
      <c r="F128" s="42" t="str">
        <f t="shared" si="49"/>
        <v>d.agir</v>
      </c>
      <c r="G128" s="17" t="s">
        <v>8461</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é.agente.memória</v>
      </c>
      <c r="V128" s="5" t="str">
        <f t="shared" si="27"/>
        <v>Dado para agir:  agente.memória  Deve ser formatado como (xsd:boolean)</v>
      </c>
      <c r="W128" s="5" t="s">
        <v>8476</v>
      </c>
      <c r="X128" s="24" t="str">
        <f t="shared" si="31"/>
        <v>.agir.104</v>
      </c>
      <c r="Y128" s="24" t="str">
        <f t="shared" si="32"/>
        <v>Ação de agir</v>
      </c>
      <c r="Z128" s="47" t="s">
        <v>8501</v>
      </c>
      <c r="AA128" s="25" t="s">
        <v>0</v>
      </c>
      <c r="AB128" s="26" t="s">
        <v>0</v>
      </c>
      <c r="AC128" s="25" t="s">
        <v>0</v>
      </c>
      <c r="AD128" s="26" t="s">
        <v>0</v>
      </c>
      <c r="AE128" s="25" t="str">
        <f>IF(AF128="null", "null", "propriedade")</f>
        <v>null</v>
      </c>
      <c r="AF128" s="26" t="s">
        <v>0</v>
      </c>
      <c r="AG128" s="47" t="s">
        <v>8516</v>
      </c>
    </row>
    <row r="129" spans="1:33" ht="6.9" customHeight="1" x14ac:dyDescent="0.4">
      <c r="A129" s="4">
        <f>ROW()</f>
        <v>129</v>
      </c>
      <c r="B129" s="9" t="s">
        <v>27</v>
      </c>
      <c r="C129" s="55" t="str">
        <f t="shared" si="48"/>
        <v>p.agir</v>
      </c>
      <c r="D129" s="6" t="str">
        <f>_xlfn.CONCAT("é.",G129)</f>
        <v>é.agente.neural</v>
      </c>
      <c r="E129" s="8" t="s">
        <v>28</v>
      </c>
      <c r="F129" s="42" t="str">
        <f t="shared" si="49"/>
        <v>d.agir</v>
      </c>
      <c r="G129" s="17" t="s">
        <v>8462</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é.agente.neural</v>
      </c>
      <c r="V129" s="5" t="str">
        <f t="shared" si="27"/>
        <v>Dado para agir:  agente.neural  Deve ser formatado como (xsd:boolean)</v>
      </c>
      <c r="W129" s="5" t="s">
        <v>8478</v>
      </c>
      <c r="X129" s="24" t="str">
        <f t="shared" si="31"/>
        <v>.agir.105</v>
      </c>
      <c r="Y129" s="24" t="str">
        <f t="shared" si="32"/>
        <v>Ação de agir</v>
      </c>
      <c r="Z129" s="47" t="s">
        <v>8502</v>
      </c>
      <c r="AA129" s="25" t="s">
        <v>0</v>
      </c>
      <c r="AB129" s="26" t="s">
        <v>0</v>
      </c>
      <c r="AC129" s="25" t="s">
        <v>0</v>
      </c>
      <c r="AD129" s="26" t="s">
        <v>0</v>
      </c>
      <c r="AE129" s="25" t="str">
        <f>IF(AF129="null", "null", "propriedade")</f>
        <v>null</v>
      </c>
      <c r="AF129" s="26" t="s">
        <v>0</v>
      </c>
      <c r="AG129" s="47" t="s">
        <v>8517</v>
      </c>
    </row>
    <row r="130" spans="1:33" ht="6.9" customHeight="1" x14ac:dyDescent="0.4">
      <c r="A130" s="4">
        <f>ROW()</f>
        <v>130</v>
      </c>
      <c r="B130" s="9" t="s">
        <v>27</v>
      </c>
      <c r="C130" s="55" t="str">
        <f t="shared" si="48"/>
        <v>p.agir</v>
      </c>
      <c r="D130" s="6" t="str">
        <f>_xlfn.CONCAT("é.",G130)</f>
        <v>é.agente.neurosimbólico</v>
      </c>
      <c r="E130" s="8" t="s">
        <v>28</v>
      </c>
      <c r="F130" s="42" t="str">
        <f t="shared" si="49"/>
        <v>d.agir</v>
      </c>
      <c r="G130" s="17" t="s">
        <v>8464</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ref="U130:U193" si="50">_xlfn.CONCAT("Propriedade destinada a ",MID(C130,FIND("p.",C130,1)+2,100),": ",D130)</f>
        <v>Propriedade destinada a agir: é.agente.neurosimbólico</v>
      </c>
      <c r="V130" s="5" t="str">
        <f t="shared" ref="V130:V193" si="51">_xlfn.CONCAT("Dado para ",MID(F130,FIND("d.",F130,1)+2,100),":  ",G130, "  Deve ser formatado como (",H130, ")")</f>
        <v>Dado para agir:  agente.neurosimbólico  Deve ser formatado como (xsd:boolean)</v>
      </c>
      <c r="W130" s="5" t="s">
        <v>8477</v>
      </c>
      <c r="X130" s="24" t="str">
        <f t="shared" si="31"/>
        <v>.agir.106</v>
      </c>
      <c r="Y130" s="24" t="str">
        <f t="shared" si="32"/>
        <v>Ação de agir</v>
      </c>
      <c r="Z130" s="47" t="s">
        <v>8503</v>
      </c>
      <c r="AA130" s="25" t="s">
        <v>0</v>
      </c>
      <c r="AB130" s="26" t="s">
        <v>0</v>
      </c>
      <c r="AC130" s="25" t="s">
        <v>0</v>
      </c>
      <c r="AD130" s="26" t="s">
        <v>0</v>
      </c>
      <c r="AE130" s="25" t="str">
        <f>IF(AF130="null", "null", "propriedade")</f>
        <v>null</v>
      </c>
      <c r="AF130" s="26" t="s">
        <v>0</v>
      </c>
      <c r="AG130" s="47" t="s">
        <v>8518</v>
      </c>
    </row>
    <row r="131" spans="1:33" ht="6.9" customHeight="1" x14ac:dyDescent="0.4">
      <c r="A131" s="4">
        <f>ROW()</f>
        <v>131</v>
      </c>
      <c r="B131" s="9" t="s">
        <v>27</v>
      </c>
      <c r="C131" s="55" t="str">
        <f t="shared" si="48"/>
        <v>p.agir</v>
      </c>
      <c r="D131" s="6" t="str">
        <f>_xlfn.CONCAT("é.",G131)</f>
        <v>é.agente.reativo</v>
      </c>
      <c r="E131" s="8" t="s">
        <v>28</v>
      </c>
      <c r="F131" s="42" t="str">
        <f t="shared" si="49"/>
        <v>d.agir</v>
      </c>
      <c r="G131" s="17" t="s">
        <v>8458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0"/>
        <v>Propriedade destinada a agir: é.agente.reativo</v>
      </c>
      <c r="V131" s="5" t="str">
        <f t="shared" si="51"/>
        <v>Dado para agir:  agente.reativo  Deve ser formatado como (xsd:boolean)</v>
      </c>
      <c r="W131" s="5" t="s">
        <v>8474</v>
      </c>
      <c r="X131" s="24" t="str">
        <f t="shared" ref="X131:X194" si="52">IF(F130&lt;&gt;F131,_xlfn.CONCAT(RIGHT(LEFT(F131,7),5),".100"),_xlfn.CONCAT(RIGHT(LEFT(F131,7),5),".",SUM(VALUE(RIGHT(X130,3)),1)))</f>
        <v>.agir.107</v>
      </c>
      <c r="Y131" s="24" t="str">
        <f t="shared" ref="Y131:Y194" si="53">_xlfn.CONCAT("Ação de ", SUBSTITUTE(F131, "d.",  ""))</f>
        <v>Ação de agir</v>
      </c>
      <c r="Z131" s="47" t="s">
        <v>8484</v>
      </c>
      <c r="AA131" s="25" t="s">
        <v>0</v>
      </c>
      <c r="AB131" s="26" t="s">
        <v>0</v>
      </c>
      <c r="AC131" s="25" t="s">
        <v>0</v>
      </c>
      <c r="AD131" s="26" t="s">
        <v>0</v>
      </c>
      <c r="AE131" s="25" t="str">
        <f>IF(AF131="null", "null", "propriedade")</f>
        <v>null</v>
      </c>
      <c r="AF131" s="26" t="s">
        <v>0</v>
      </c>
      <c r="AG131" s="47" t="s">
        <v>8519</v>
      </c>
    </row>
    <row r="132" spans="1:33" ht="6.9" customHeight="1" x14ac:dyDescent="0.4">
      <c r="A132" s="4">
        <f>ROW()</f>
        <v>132</v>
      </c>
      <c r="B132" s="9" t="s">
        <v>27</v>
      </c>
      <c r="C132" s="55" t="str">
        <f t="shared" si="48"/>
        <v>p.agir</v>
      </c>
      <c r="D132" s="6" t="str">
        <f>_xlfn.CONCAT("é.",G132)</f>
        <v>é.agente.simbólico</v>
      </c>
      <c r="E132" s="8" t="s">
        <v>28</v>
      </c>
      <c r="F132" s="42" t="str">
        <f t="shared" si="49"/>
        <v>d.agir</v>
      </c>
      <c r="G132" s="17" t="s">
        <v>8463</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0"/>
        <v>Propriedade destinada a agir: é.agente.simbólico</v>
      </c>
      <c r="V132" s="5" t="str">
        <f t="shared" si="51"/>
        <v>Dado para agir:  agente.simbólico  Deve ser formatado como (xsd:boolean)</v>
      </c>
      <c r="W132" s="5" t="s">
        <v>8468</v>
      </c>
      <c r="X132" s="24" t="str">
        <f t="shared" si="52"/>
        <v>.agir.108</v>
      </c>
      <c r="Y132" s="24" t="str">
        <f t="shared" si="53"/>
        <v>Ação de agir</v>
      </c>
      <c r="Z132" s="47" t="s">
        <v>8485</v>
      </c>
      <c r="AA132" s="25" t="s">
        <v>0</v>
      </c>
      <c r="AB132" s="26" t="s">
        <v>0</v>
      </c>
      <c r="AC132" s="25" t="s">
        <v>0</v>
      </c>
      <c r="AD132" s="26" t="s">
        <v>0</v>
      </c>
      <c r="AE132" s="25" t="str">
        <f>IF(AF132="null", "null", "propriedade")</f>
        <v>null</v>
      </c>
      <c r="AF132" s="26" t="s">
        <v>0</v>
      </c>
      <c r="AG132" s="47" t="s">
        <v>8520</v>
      </c>
    </row>
    <row r="133" spans="1:33" ht="6.9" customHeight="1" x14ac:dyDescent="0.4">
      <c r="A133" s="4">
        <f>ROW()</f>
        <v>133</v>
      </c>
      <c r="B133" s="9" t="s">
        <v>27</v>
      </c>
      <c r="C133" s="55" t="str">
        <f t="shared" si="48"/>
        <v>p.agir</v>
      </c>
      <c r="D133" s="6" t="str">
        <f>_xlfn.CONCAT("é.",G133)</f>
        <v>é.funcionalidade.gherkin</v>
      </c>
      <c r="E133" s="8" t="s">
        <v>28</v>
      </c>
      <c r="F133" s="42" t="str">
        <f t="shared" si="49"/>
        <v>d.agir</v>
      </c>
      <c r="G133" s="17" t="s">
        <v>8469</v>
      </c>
      <c r="H133" s="42" t="s">
        <v>2121</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0"/>
        <v>Propriedade destinada a agir: é.funcionalidade.gherkin</v>
      </c>
      <c r="V133" s="5" t="str">
        <f t="shared" si="51"/>
        <v>Dado para agir:  funcionalidade.gherkin  Deve ser formatado como (rdfs:Literal  or  xsd:string)</v>
      </c>
      <c r="W133" s="5" t="s">
        <v>8470</v>
      </c>
      <c r="X133" s="24" t="str">
        <f t="shared" si="52"/>
        <v>.agir.109</v>
      </c>
      <c r="Y133" s="24" t="str">
        <f t="shared" si="53"/>
        <v>Ação de agir</v>
      </c>
      <c r="Z133" s="47" t="s">
        <v>8486</v>
      </c>
      <c r="AA133" s="25" t="s">
        <v>0</v>
      </c>
      <c r="AB133" s="26" t="s">
        <v>0</v>
      </c>
      <c r="AC133" s="25" t="s">
        <v>0</v>
      </c>
      <c r="AD133" s="26" t="s">
        <v>0</v>
      </c>
      <c r="AE133" s="25" t="str">
        <f>IF(AF133="null", "null", "propriedade")</f>
        <v>null</v>
      </c>
      <c r="AF133" s="26" t="s">
        <v>0</v>
      </c>
      <c r="AG133" s="47" t="s">
        <v>8507</v>
      </c>
    </row>
    <row r="134" spans="1:33" ht="6.9" customHeight="1" x14ac:dyDescent="0.4">
      <c r="A134" s="4">
        <f>ROW()</f>
        <v>134</v>
      </c>
      <c r="B134" s="9" t="s">
        <v>27</v>
      </c>
      <c r="C134" s="55" t="str">
        <f t="shared" si="48"/>
        <v>p.agir</v>
      </c>
      <c r="D134" s="6" t="str">
        <f>_xlfn.CONCAT("é.",G134)</f>
        <v>é.grau.de.autonomia</v>
      </c>
      <c r="E134" s="8" t="s">
        <v>28</v>
      </c>
      <c r="F134" s="42" t="str">
        <f t="shared" si="49"/>
        <v>d.agir</v>
      </c>
      <c r="G134" s="17" t="s">
        <v>8465</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0"/>
        <v>Propriedade destinada a agir: é.grau.de.autonomia</v>
      </c>
      <c r="V134" s="5" t="str">
        <f t="shared" si="51"/>
        <v>Dado para agir:  grau.de.autonomia  Deve ser formatado como (xsd:double)</v>
      </c>
      <c r="W134" s="5" t="s">
        <v>8471</v>
      </c>
      <c r="X134" s="24" t="str">
        <f t="shared" si="52"/>
        <v>.agir.110</v>
      </c>
      <c r="Y134" s="24" t="str">
        <f t="shared" si="53"/>
        <v>Ação de agir</v>
      </c>
      <c r="Z134" s="47" t="s">
        <v>8487</v>
      </c>
      <c r="AA134" s="25" t="s">
        <v>0</v>
      </c>
      <c r="AB134" s="26" t="s">
        <v>0</v>
      </c>
      <c r="AC134" s="25" t="s">
        <v>0</v>
      </c>
      <c r="AD134" s="26" t="s">
        <v>0</v>
      </c>
      <c r="AE134" s="25" t="str">
        <f>IF(AF134="null", "null", "propriedade")</f>
        <v>null</v>
      </c>
      <c r="AF134" s="26" t="s">
        <v>0</v>
      </c>
      <c r="AG134" s="47" t="s">
        <v>8508</v>
      </c>
    </row>
    <row r="135" spans="1:33" ht="6.9" customHeight="1" x14ac:dyDescent="0.4">
      <c r="A135" s="4">
        <f>ROW()</f>
        <v>135</v>
      </c>
      <c r="B135" s="9" t="s">
        <v>27</v>
      </c>
      <c r="C135" s="55" t="str">
        <f t="shared" si="48"/>
        <v>p.agir</v>
      </c>
      <c r="D135" s="6" t="str">
        <f>_xlfn.CONCAT("é.",G135)</f>
        <v>é.multiagentes</v>
      </c>
      <c r="E135" s="8" t="s">
        <v>28</v>
      </c>
      <c r="F135" s="42" t="str">
        <f t="shared" si="49"/>
        <v>d.agir</v>
      </c>
      <c r="G135" s="17" t="s">
        <v>8480</v>
      </c>
      <c r="H135" s="42" t="s">
        <v>2121</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0"/>
        <v>Propriedade destinada a agir: é.multiagentes</v>
      </c>
      <c r="V135" s="5" t="str">
        <f t="shared" si="51"/>
        <v>Dado para agir:  multiagentes  Deve ser formatado como (rdfs:Literal  or  xsd:string)</v>
      </c>
      <c r="W135" s="5" t="s">
        <v>8479</v>
      </c>
      <c r="X135" s="24" t="str">
        <f t="shared" si="52"/>
        <v>.agir.111</v>
      </c>
      <c r="Y135" s="24" t="str">
        <f t="shared" si="53"/>
        <v>Ação de agir</v>
      </c>
      <c r="Z135" s="47" t="s">
        <v>8488</v>
      </c>
      <c r="AA135" s="25" t="s">
        <v>0</v>
      </c>
      <c r="AB135" s="26" t="s">
        <v>0</v>
      </c>
      <c r="AC135" s="25" t="s">
        <v>0</v>
      </c>
      <c r="AD135" s="26" t="s">
        <v>0</v>
      </c>
      <c r="AE135" s="25" t="str">
        <f>IF(AF135="null", "null", "propriedade")</f>
        <v>null</v>
      </c>
      <c r="AF135" s="26" t="s">
        <v>0</v>
      </c>
      <c r="AG135" s="47" t="s">
        <v>8509</v>
      </c>
    </row>
    <row r="136" spans="1:33" ht="6.9" customHeight="1" x14ac:dyDescent="0.4">
      <c r="A136" s="4">
        <f>ROW()</f>
        <v>136</v>
      </c>
      <c r="B136" s="9" t="s">
        <v>27</v>
      </c>
      <c r="C136" s="55" t="str">
        <f t="shared" si="48"/>
        <v>p.agir</v>
      </c>
      <c r="D136" s="6" t="str">
        <f>_xlfn.CONCAT("é.",G136)</f>
        <v>é.propósito</v>
      </c>
      <c r="E136" s="8" t="s">
        <v>28</v>
      </c>
      <c r="F136" s="42" t="str">
        <f t="shared" si="49"/>
        <v>d.agir</v>
      </c>
      <c r="G136" s="17" t="s">
        <v>8457</v>
      </c>
      <c r="H136" s="42" t="s">
        <v>2121</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0"/>
        <v>Propriedade destinada a agir: é.propósito</v>
      </c>
      <c r="V136" s="5" t="str">
        <f t="shared" si="51"/>
        <v>Dado para agir:  propósito  Deve ser formatado como (rdfs:Literal  or  xsd:string)</v>
      </c>
      <c r="W136" s="5" t="s">
        <v>8472</v>
      </c>
      <c r="X136" s="24" t="str">
        <f t="shared" si="52"/>
        <v>.agir.112</v>
      </c>
      <c r="Y136" s="24" t="str">
        <f t="shared" si="53"/>
        <v>Ação de agir</v>
      </c>
      <c r="Z136" s="47" t="s">
        <v>8489</v>
      </c>
      <c r="AA136" s="25" t="s">
        <v>0</v>
      </c>
      <c r="AB136" s="26" t="s">
        <v>0</v>
      </c>
      <c r="AC136" s="25" t="s">
        <v>0</v>
      </c>
      <c r="AD136" s="26" t="s">
        <v>0</v>
      </c>
      <c r="AE136" s="25" t="str">
        <f>IF(AF136="null", "null", "propriedade")</f>
        <v>null</v>
      </c>
      <c r="AF136" s="26" t="s">
        <v>0</v>
      </c>
      <c r="AG136" s="47" t="s">
        <v>8510</v>
      </c>
    </row>
    <row r="137" spans="1:33" ht="6.9" customHeight="1" x14ac:dyDescent="0.4">
      <c r="A137" s="4">
        <f>ROW()</f>
        <v>137</v>
      </c>
      <c r="B137" s="9" t="s">
        <v>27</v>
      </c>
      <c r="C137" s="55" t="str">
        <f t="shared" si="48"/>
        <v>p.agir</v>
      </c>
      <c r="D137" s="6" t="str">
        <f>_xlfn.CONCAT("é.",G137)</f>
        <v>é.sintaxe</v>
      </c>
      <c r="E137" s="8" t="s">
        <v>28</v>
      </c>
      <c r="F137" s="42" t="str">
        <f t="shared" si="49"/>
        <v>d.agir</v>
      </c>
      <c r="G137" s="17" t="s">
        <v>8521</v>
      </c>
      <c r="H137" s="42" t="s">
        <v>2121</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0"/>
        <v>Propriedade destinada a agir: é.sintaxe</v>
      </c>
      <c r="V137" s="5" t="str">
        <f t="shared" si="51"/>
        <v>Dado para agir:  sintaxe  Deve ser formatado como (rdfs:Literal  or  xsd:string)</v>
      </c>
      <c r="W137" s="5" t="s">
        <v>8523</v>
      </c>
      <c r="X137" s="24" t="str">
        <f t="shared" si="52"/>
        <v>.agir.113</v>
      </c>
      <c r="Y137" s="24" t="str">
        <f t="shared" si="53"/>
        <v>Ação de agir</v>
      </c>
      <c r="Z137" s="47" t="str">
        <f>_xlfn.TRANSLATE(W137,"pt","es")</f>
        <v>Declara la sintáctica utilizada por el agente. Lista de esquemas sintácticos utilizados [sint1 sint2 sint3].</v>
      </c>
      <c r="AA137" s="25" t="s">
        <v>0</v>
      </c>
      <c r="AB137" s="26" t="s">
        <v>0</v>
      </c>
      <c r="AC137" s="25" t="s">
        <v>0</v>
      </c>
      <c r="AD137" s="26" t="s">
        <v>0</v>
      </c>
      <c r="AE137" s="25" t="str">
        <f>IF(AF137="null", "null", "propriedade")</f>
        <v>null</v>
      </c>
      <c r="AF137" s="26" t="s">
        <v>0</v>
      </c>
      <c r="AG137" s="47" t="str">
        <f>_xlfn.TRANSLATE(W137,"pt","en")</f>
        <v>Declares the syntactic used by the agent. List of syntactic schemes used [sint1 sint2 sint3].</v>
      </c>
    </row>
    <row r="138" spans="1:33" ht="6.9" customHeight="1" x14ac:dyDescent="0.4">
      <c r="A138" s="4">
        <f>ROW()</f>
        <v>138</v>
      </c>
      <c r="B138" s="9" t="s">
        <v>27</v>
      </c>
      <c r="C138" s="55" t="str">
        <f t="shared" si="48"/>
        <v>p.agir</v>
      </c>
      <c r="D138" s="6" t="str">
        <f>_xlfn.CONCAT("é.",G138)</f>
        <v>é.semântica</v>
      </c>
      <c r="E138" s="8" t="s">
        <v>28</v>
      </c>
      <c r="F138" s="42" t="str">
        <f t="shared" si="49"/>
        <v>d.agir</v>
      </c>
      <c r="G138" s="17" t="s">
        <v>8524</v>
      </c>
      <c r="H138" s="42" t="s">
        <v>2121</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0"/>
        <v>Propriedade destinada a agir: é.semântica</v>
      </c>
      <c r="V138" s="5" t="str">
        <f t="shared" si="51"/>
        <v>Dado para agir:  semântica  Deve ser formatado como (rdfs:Literal  or  xsd:string)</v>
      </c>
      <c r="W138" s="5" t="s">
        <v>8522</v>
      </c>
      <c r="X138" s="24" t="str">
        <f t="shared" si="52"/>
        <v>.agir.114</v>
      </c>
      <c r="Y138" s="24" t="str">
        <f t="shared" si="53"/>
        <v>Ação de agir</v>
      </c>
      <c r="Z138" s="47" t="str">
        <f>_xlfn.TRANSLATE(W138,"pt","es")</f>
        <v>Declara la semántica utilizada por el agente. Lista de ontologías o grafos de propiedades usadas [sem1 sem2 sem3].</v>
      </c>
      <c r="AA138" s="25" t="s">
        <v>0</v>
      </c>
      <c r="AB138" s="26" t="s">
        <v>0</v>
      </c>
      <c r="AC138" s="25" t="s">
        <v>0</v>
      </c>
      <c r="AD138" s="26" t="s">
        <v>0</v>
      </c>
      <c r="AE138" s="25" t="str">
        <f>IF(AF138="null", "null", "propriedade")</f>
        <v>null</v>
      </c>
      <c r="AF138" s="26" t="s">
        <v>0</v>
      </c>
      <c r="AG138" s="47" t="str">
        <f>_xlfn.TRANSLATE(W138,"pt","en")</f>
        <v>Declares the semantics used by the agent. List of ontologies or graphs of properties used [sem1 sem2 sem3].</v>
      </c>
    </row>
    <row r="139" spans="1:33" ht="6.9" customHeight="1" x14ac:dyDescent="0.4">
      <c r="A139" s="4">
        <f>ROW()</f>
        <v>139</v>
      </c>
      <c r="B139" s="9" t="s">
        <v>27</v>
      </c>
      <c r="C139" s="54" t="s">
        <v>7326</v>
      </c>
      <c r="D139" s="6" t="str">
        <f t="shared" si="24"/>
        <v>é.consumo.de.operação</v>
      </c>
      <c r="E139" s="8" t="s">
        <v>28</v>
      </c>
      <c r="F139" s="51" t="s">
        <v>7317</v>
      </c>
      <c r="G139" s="17" t="s">
        <v>7320</v>
      </c>
      <c r="H139" s="41" t="s">
        <v>36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0"/>
        <v>Propriedade destinada a alimentar: é.consumo.de.operação</v>
      </c>
      <c r="V139" s="5" t="str">
        <f t="shared" si="51"/>
        <v>Dado para alimentar:  consumo.de.operação  Deve ser formatado como (xsd:double)</v>
      </c>
      <c r="W139" s="5" t="s">
        <v>7324</v>
      </c>
      <c r="X139" s="24" t="str">
        <f t="shared" si="52"/>
        <v>alime.100</v>
      </c>
      <c r="Y139" s="24" t="str">
        <f t="shared" si="53"/>
        <v>Ação de alimentar</v>
      </c>
      <c r="Z139" s="47" t="s">
        <v>7327</v>
      </c>
      <c r="AA139" s="25" t="s">
        <v>0</v>
      </c>
      <c r="AB139" s="26" t="s">
        <v>0</v>
      </c>
      <c r="AC139" s="25" t="s">
        <v>0</v>
      </c>
      <c r="AD139" s="26" t="s">
        <v>0</v>
      </c>
      <c r="AE139" s="25" t="str">
        <f t="shared" si="43"/>
        <v>null</v>
      </c>
      <c r="AF139" s="26" t="s">
        <v>0</v>
      </c>
      <c r="AG139" s="47" t="s">
        <v>7328</v>
      </c>
    </row>
    <row r="140" spans="1:33" ht="6.9" customHeight="1" x14ac:dyDescent="0.4">
      <c r="A140" s="4">
        <f>ROW()</f>
        <v>140</v>
      </c>
      <c r="B140" s="9" t="s">
        <v>27</v>
      </c>
      <c r="C140" s="55" t="s">
        <v>7326</v>
      </c>
      <c r="D140" s="6" t="str">
        <f t="shared" si="24"/>
        <v>é.corrente.de.operação</v>
      </c>
      <c r="E140" s="8" t="s">
        <v>28</v>
      </c>
      <c r="F140" s="42" t="str">
        <f>F139</f>
        <v>d.alimentar</v>
      </c>
      <c r="G140" s="17" t="s">
        <v>7318</v>
      </c>
      <c r="H140" s="41" t="s">
        <v>36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0"/>
        <v>Propriedade destinada a alimentar: é.corrente.de.operação</v>
      </c>
      <c r="V140" s="5" t="str">
        <f t="shared" si="51"/>
        <v>Dado para alimentar:  corrente.de.operação  Deve ser formatado como (xsd:double)</v>
      </c>
      <c r="W140" s="5" t="s">
        <v>7322</v>
      </c>
      <c r="X140" s="24" t="str">
        <f t="shared" si="52"/>
        <v>alime.101</v>
      </c>
      <c r="Y140" s="24" t="str">
        <f t="shared" si="53"/>
        <v>Ação de alimentar</v>
      </c>
      <c r="Z140" s="47" t="s">
        <v>7329</v>
      </c>
      <c r="AA140" s="25" t="s">
        <v>0</v>
      </c>
      <c r="AB140" s="26" t="s">
        <v>0</v>
      </c>
      <c r="AC140" s="25" t="s">
        <v>0</v>
      </c>
      <c r="AD140" s="26" t="s">
        <v>0</v>
      </c>
      <c r="AE140" s="25" t="str">
        <f t="shared" si="43"/>
        <v>null</v>
      </c>
      <c r="AF140" s="26" t="s">
        <v>0</v>
      </c>
      <c r="AG140" s="47" t="s">
        <v>7330</v>
      </c>
    </row>
    <row r="141" spans="1:33" ht="6.9" customHeight="1" x14ac:dyDescent="0.4">
      <c r="A141" s="4">
        <f>ROW()</f>
        <v>141</v>
      </c>
      <c r="B141" s="9" t="s">
        <v>27</v>
      </c>
      <c r="C141" s="55" t="s">
        <v>7326</v>
      </c>
      <c r="D141" s="6" t="str">
        <f t="shared" si="24"/>
        <v>é.potência.de.operação</v>
      </c>
      <c r="E141" s="8" t="s">
        <v>28</v>
      </c>
      <c r="F141" s="42" t="str">
        <f t="shared" ref="F141:F142" si="54">F140</f>
        <v>d.alimentar</v>
      </c>
      <c r="G141" s="17" t="s">
        <v>7321</v>
      </c>
      <c r="H141" s="41" t="s">
        <v>36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0"/>
        <v>Propriedade destinada a alimentar: é.potência.de.operação</v>
      </c>
      <c r="V141" s="5" t="str">
        <f t="shared" si="51"/>
        <v>Dado para alimentar:  potência.de.operação  Deve ser formatado como (xsd:double)</v>
      </c>
      <c r="W141" s="5" t="s">
        <v>7325</v>
      </c>
      <c r="X141" s="24" t="str">
        <f t="shared" si="52"/>
        <v>alime.102</v>
      </c>
      <c r="Y141" s="24" t="str">
        <f t="shared" si="53"/>
        <v>Ação de alimentar</v>
      </c>
      <c r="Z141" s="47" t="s">
        <v>7331</v>
      </c>
      <c r="AA141" s="25" t="s">
        <v>0</v>
      </c>
      <c r="AB141" s="26" t="s">
        <v>0</v>
      </c>
      <c r="AC141" s="25" t="s">
        <v>0</v>
      </c>
      <c r="AD141" s="26" t="s">
        <v>0</v>
      </c>
      <c r="AE141" s="25" t="str">
        <f t="shared" si="43"/>
        <v>null</v>
      </c>
      <c r="AF141" s="26" t="s">
        <v>0</v>
      </c>
      <c r="AG141" s="47" t="s">
        <v>7332</v>
      </c>
    </row>
    <row r="142" spans="1:33" ht="6.9" customHeight="1" x14ac:dyDescent="0.4">
      <c r="A142" s="4">
        <f>ROW()</f>
        <v>142</v>
      </c>
      <c r="B142" s="9" t="s">
        <v>27</v>
      </c>
      <c r="C142" s="55" t="s">
        <v>7326</v>
      </c>
      <c r="D142" s="6" t="str">
        <f t="shared" si="24"/>
        <v>é.tensão.de.operação</v>
      </c>
      <c r="E142" s="8" t="s">
        <v>28</v>
      </c>
      <c r="F142" s="42" t="str">
        <f t="shared" si="54"/>
        <v>d.alimentar</v>
      </c>
      <c r="G142" s="17" t="s">
        <v>7319</v>
      </c>
      <c r="H142" s="41" t="s">
        <v>36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0"/>
        <v>Propriedade destinada a alimentar: é.tensão.de.operação</v>
      </c>
      <c r="V142" s="5" t="str">
        <f t="shared" si="51"/>
        <v>Dado para alimentar:  tensão.de.operação  Deve ser formatado como (xsd:double)</v>
      </c>
      <c r="W142" s="5" t="s">
        <v>7323</v>
      </c>
      <c r="X142" s="24" t="str">
        <f t="shared" si="52"/>
        <v>alime.103</v>
      </c>
      <c r="Y142" s="24" t="str">
        <f t="shared" si="53"/>
        <v>Ação de alimentar</v>
      </c>
      <c r="Z142" s="47" t="s">
        <v>7333</v>
      </c>
      <c r="AA142" s="25" t="s">
        <v>0</v>
      </c>
      <c r="AB142" s="26" t="s">
        <v>0</v>
      </c>
      <c r="AC142" s="25" t="s">
        <v>0</v>
      </c>
      <c r="AD142" s="26" t="s">
        <v>0</v>
      </c>
      <c r="AE142" s="25" t="str">
        <f t="shared" si="43"/>
        <v>null</v>
      </c>
      <c r="AF142" s="26" t="s">
        <v>0</v>
      </c>
      <c r="AG142" s="47" t="s">
        <v>7334</v>
      </c>
    </row>
    <row r="143" spans="1:33" ht="6.9" customHeight="1" x14ac:dyDescent="0.4">
      <c r="A143" s="4">
        <f>ROW()</f>
        <v>143</v>
      </c>
      <c r="B143" s="9" t="s">
        <v>27</v>
      </c>
      <c r="C143" s="54" t="str">
        <f t="shared" si="39"/>
        <v>p.alinhar</v>
      </c>
      <c r="D143" s="6" t="str">
        <f t="shared" ref="D143:D206" si="55">_xlfn.CONCAT("é.",G143)</f>
        <v>é.alinhador</v>
      </c>
      <c r="E143" s="8" t="s">
        <v>28</v>
      </c>
      <c r="F143" s="51" t="s">
        <v>530</v>
      </c>
      <c r="G143" s="17" t="s">
        <v>4411</v>
      </c>
      <c r="H143" s="42" t="s">
        <v>2121</v>
      </c>
      <c r="I143" s="16" t="str">
        <f t="shared" si="40"/>
        <v>null</v>
      </c>
      <c r="J143" s="15" t="s">
        <v>0</v>
      </c>
      <c r="K143" s="15" t="s">
        <v>0</v>
      </c>
      <c r="L143" s="15" t="s">
        <v>0</v>
      </c>
      <c r="M143" s="15" t="s">
        <v>0</v>
      </c>
      <c r="N143" s="15" t="s">
        <v>0</v>
      </c>
      <c r="O143" s="15" t="s">
        <v>0</v>
      </c>
      <c r="P143" s="15" t="s">
        <v>0</v>
      </c>
      <c r="Q143" s="15" t="s">
        <v>0</v>
      </c>
      <c r="R143" s="15" t="s">
        <v>0</v>
      </c>
      <c r="S143" s="10" t="s">
        <v>1</v>
      </c>
      <c r="T143" s="10" t="s">
        <v>32</v>
      </c>
      <c r="U143" s="5" t="str">
        <f t="shared" si="50"/>
        <v>Propriedade destinada a alinhar: é.alinhador</v>
      </c>
      <c r="V143" s="5" t="str">
        <f t="shared" si="51"/>
        <v>Dado para alinhar:  alinhador  Deve ser formatado como (rdfs:Literal  or  xsd:string)</v>
      </c>
      <c r="W143" s="5" t="s">
        <v>5141</v>
      </c>
      <c r="X143" s="24" t="str">
        <f t="shared" si="52"/>
        <v>alinh.100</v>
      </c>
      <c r="Y143" s="24" t="str">
        <f t="shared" si="53"/>
        <v>Ação de alinhar</v>
      </c>
      <c r="Z143" s="47" t="s">
        <v>3948</v>
      </c>
      <c r="AA143" s="25" t="str">
        <f t="shared" si="41"/>
        <v>null</v>
      </c>
      <c r="AB143" s="26" t="s">
        <v>0</v>
      </c>
      <c r="AC143" s="25" t="str">
        <f t="shared" si="42"/>
        <v>null</v>
      </c>
      <c r="AD143" s="26" t="s">
        <v>0</v>
      </c>
      <c r="AE143" s="25" t="str">
        <f t="shared" si="43"/>
        <v>null</v>
      </c>
      <c r="AF143" s="26" t="s">
        <v>0</v>
      </c>
      <c r="AG143" s="47" t="s">
        <v>4008</v>
      </c>
    </row>
    <row r="144" spans="1:33" ht="6.9" customHeight="1" x14ac:dyDescent="0.4">
      <c r="A144" s="4">
        <f>ROW()</f>
        <v>144</v>
      </c>
      <c r="B144" s="9" t="s">
        <v>27</v>
      </c>
      <c r="C144" s="55" t="str">
        <f t="shared" si="39"/>
        <v>p.alinhar</v>
      </c>
      <c r="D144" s="6" t="str">
        <f t="shared" si="55"/>
        <v>é.cobertura.alinhadora</v>
      </c>
      <c r="E144" s="8" t="s">
        <v>28</v>
      </c>
      <c r="F144" s="42" t="str">
        <f t="shared" ref="F144:F150" si="56">F143</f>
        <v>d.alinhar</v>
      </c>
      <c r="G144" s="17" t="s">
        <v>4412</v>
      </c>
      <c r="H144" s="41" t="s">
        <v>2121</v>
      </c>
      <c r="I144" s="16" t="str">
        <f t="shared" si="40"/>
        <v>null</v>
      </c>
      <c r="J144" s="15" t="s">
        <v>0</v>
      </c>
      <c r="K144" s="15" t="s">
        <v>0</v>
      </c>
      <c r="L144" s="15" t="s">
        <v>0</v>
      </c>
      <c r="M144" s="15" t="s">
        <v>0</v>
      </c>
      <c r="N144" s="15" t="s">
        <v>0</v>
      </c>
      <c r="O144" s="15" t="s">
        <v>0</v>
      </c>
      <c r="P144" s="15" t="s">
        <v>0</v>
      </c>
      <c r="Q144" s="15" t="s">
        <v>0</v>
      </c>
      <c r="R144" s="15" t="s">
        <v>0</v>
      </c>
      <c r="S144" s="10" t="s">
        <v>1</v>
      </c>
      <c r="T144" s="10" t="s">
        <v>32</v>
      </c>
      <c r="U144" s="5" t="str">
        <f t="shared" si="50"/>
        <v>Propriedade destinada a alinhar: é.cobertura.alinhadora</v>
      </c>
      <c r="V144" s="5" t="str">
        <f t="shared" si="51"/>
        <v>Dado para alinhar:  cobertura.alinhadora  Deve ser formatado como (rdfs:Literal  or  xsd:string)</v>
      </c>
      <c r="W144" s="5" t="s">
        <v>5142</v>
      </c>
      <c r="X144" s="24" t="str">
        <f t="shared" si="52"/>
        <v>alinh.101</v>
      </c>
      <c r="Y144" s="24" t="str">
        <f t="shared" si="53"/>
        <v>Ação de alinhar</v>
      </c>
      <c r="Z144" s="47" t="s">
        <v>3949</v>
      </c>
      <c r="AA144" s="25" t="str">
        <f t="shared" si="41"/>
        <v>null</v>
      </c>
      <c r="AB144" s="26" t="s">
        <v>0</v>
      </c>
      <c r="AC144" s="25" t="str">
        <f t="shared" si="42"/>
        <v>null</v>
      </c>
      <c r="AD144" s="26" t="s">
        <v>0</v>
      </c>
      <c r="AE144" s="25" t="str">
        <f t="shared" si="43"/>
        <v>null</v>
      </c>
      <c r="AF144" s="26" t="s">
        <v>0</v>
      </c>
      <c r="AG144" s="47" t="s">
        <v>4009</v>
      </c>
    </row>
    <row r="145" spans="1:33" ht="6.9" customHeight="1" x14ac:dyDescent="0.4">
      <c r="A145" s="4">
        <f>ROW()</f>
        <v>145</v>
      </c>
      <c r="B145" s="9" t="s">
        <v>27</v>
      </c>
      <c r="C145" s="55" t="str">
        <f t="shared" si="39"/>
        <v>p.alinhar</v>
      </c>
      <c r="D145" s="6" t="str">
        <f t="shared" si="55"/>
        <v>é.divisa.alinhadora</v>
      </c>
      <c r="E145" s="8" t="s">
        <v>28</v>
      </c>
      <c r="F145" s="42" t="str">
        <f t="shared" si="56"/>
        <v>d.alinhar</v>
      </c>
      <c r="G145" s="17" t="s">
        <v>4413</v>
      </c>
      <c r="H145" s="41" t="s">
        <v>2121</v>
      </c>
      <c r="I145" s="16" t="str">
        <f t="shared" si="40"/>
        <v>null</v>
      </c>
      <c r="J145" s="15" t="s">
        <v>0</v>
      </c>
      <c r="K145" s="15" t="s">
        <v>0</v>
      </c>
      <c r="L145" s="15" t="s">
        <v>0</v>
      </c>
      <c r="M145" s="15" t="s">
        <v>0</v>
      </c>
      <c r="N145" s="15" t="s">
        <v>0</v>
      </c>
      <c r="O145" s="15" t="s">
        <v>0</v>
      </c>
      <c r="P145" s="15" t="s">
        <v>0</v>
      </c>
      <c r="Q145" s="15" t="s">
        <v>0</v>
      </c>
      <c r="R145" s="15" t="s">
        <v>0</v>
      </c>
      <c r="S145" s="10" t="s">
        <v>1</v>
      </c>
      <c r="T145" s="10" t="s">
        <v>32</v>
      </c>
      <c r="U145" s="5" t="str">
        <f t="shared" si="50"/>
        <v>Propriedade destinada a alinhar: é.divisa.alinhadora</v>
      </c>
      <c r="V145" s="5" t="str">
        <f t="shared" si="51"/>
        <v>Dado para alinhar:  divisa.alinhadora  Deve ser formatado como (rdfs:Literal  or  xsd:string)</v>
      </c>
      <c r="W145" s="5" t="s">
        <v>5143</v>
      </c>
      <c r="X145" s="24" t="str">
        <f t="shared" si="52"/>
        <v>alinh.102</v>
      </c>
      <c r="Y145" s="24" t="str">
        <f t="shared" si="53"/>
        <v>Ação de alinhar</v>
      </c>
      <c r="Z145" s="47" t="s">
        <v>3950</v>
      </c>
      <c r="AA145" s="25" t="str">
        <f t="shared" si="41"/>
        <v>null</v>
      </c>
      <c r="AB145" s="26" t="s">
        <v>0</v>
      </c>
      <c r="AC145" s="25" t="str">
        <f t="shared" si="42"/>
        <v>null</v>
      </c>
      <c r="AD145" s="26" t="s">
        <v>0</v>
      </c>
      <c r="AE145" s="25" t="str">
        <f t="shared" si="43"/>
        <v>null</v>
      </c>
      <c r="AF145" s="26" t="s">
        <v>0</v>
      </c>
      <c r="AG145" s="47" t="s">
        <v>4010</v>
      </c>
    </row>
    <row r="146" spans="1:33" ht="6.9" customHeight="1" x14ac:dyDescent="0.4">
      <c r="A146" s="4">
        <f>ROW()</f>
        <v>146</v>
      </c>
      <c r="B146" s="9" t="s">
        <v>27</v>
      </c>
      <c r="C146" s="55" t="str">
        <f t="shared" si="39"/>
        <v>p.alinhar</v>
      </c>
      <c r="D146" s="6" t="str">
        <f t="shared" si="55"/>
        <v>é.eixo.alinhador</v>
      </c>
      <c r="E146" s="8" t="s">
        <v>28</v>
      </c>
      <c r="F146" s="42" t="str">
        <f t="shared" si="56"/>
        <v>d.alinhar</v>
      </c>
      <c r="G146" s="17" t="s">
        <v>4414</v>
      </c>
      <c r="H146" s="41" t="s">
        <v>2121</v>
      </c>
      <c r="I146" s="16" t="str">
        <f t="shared" si="40"/>
        <v>null</v>
      </c>
      <c r="J146" s="15" t="s">
        <v>0</v>
      </c>
      <c r="K146" s="15" t="s">
        <v>0</v>
      </c>
      <c r="L146" s="15" t="s">
        <v>0</v>
      </c>
      <c r="M146" s="15" t="s">
        <v>0</v>
      </c>
      <c r="N146" s="15" t="s">
        <v>0</v>
      </c>
      <c r="O146" s="15" t="s">
        <v>0</v>
      </c>
      <c r="P146" s="15" t="s">
        <v>0</v>
      </c>
      <c r="Q146" s="15" t="s">
        <v>0</v>
      </c>
      <c r="R146" s="15" t="s">
        <v>0</v>
      </c>
      <c r="S146" s="10" t="s">
        <v>1</v>
      </c>
      <c r="T146" s="10" t="s">
        <v>32</v>
      </c>
      <c r="U146" s="5" t="str">
        <f t="shared" si="50"/>
        <v>Propriedade destinada a alinhar: é.eixo.alinhador</v>
      </c>
      <c r="V146" s="5" t="str">
        <f t="shared" si="51"/>
        <v>Dado para alinhar:  eixo.alinhador  Deve ser formatado como (rdfs:Literal  or  xsd:string)</v>
      </c>
      <c r="W146" s="5" t="s">
        <v>5144</v>
      </c>
      <c r="X146" s="24" t="str">
        <f t="shared" si="52"/>
        <v>alinh.103</v>
      </c>
      <c r="Y146" s="24" t="str">
        <f t="shared" si="53"/>
        <v>Ação de alinhar</v>
      </c>
      <c r="Z146" s="47" t="s">
        <v>3951</v>
      </c>
      <c r="AA146" s="25" t="str">
        <f t="shared" si="41"/>
        <v>null</v>
      </c>
      <c r="AB146" s="26" t="s">
        <v>0</v>
      </c>
      <c r="AC146" s="25" t="str">
        <f t="shared" si="42"/>
        <v>null</v>
      </c>
      <c r="AD146" s="26" t="s">
        <v>0</v>
      </c>
      <c r="AE146" s="25" t="str">
        <f t="shared" si="43"/>
        <v>null</v>
      </c>
      <c r="AF146" s="26" t="s">
        <v>0</v>
      </c>
      <c r="AG146" s="47" t="s">
        <v>4011</v>
      </c>
    </row>
    <row r="147" spans="1:33" ht="6.9" customHeight="1" x14ac:dyDescent="0.4">
      <c r="A147" s="4">
        <f>ROW()</f>
        <v>147</v>
      </c>
      <c r="B147" s="9" t="s">
        <v>27</v>
      </c>
      <c r="C147" s="55" t="str">
        <f t="shared" si="39"/>
        <v>p.alinhar</v>
      </c>
      <c r="D147" s="6" t="str">
        <f t="shared" si="55"/>
        <v>é.face.alinhadora</v>
      </c>
      <c r="E147" s="8" t="s">
        <v>28</v>
      </c>
      <c r="F147" s="42" t="str">
        <f t="shared" si="56"/>
        <v>d.alinhar</v>
      </c>
      <c r="G147" s="17" t="s">
        <v>4415</v>
      </c>
      <c r="H147" s="41" t="s">
        <v>2121</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0"/>
        <v>Propriedade destinada a alinhar: é.face.alinhadora</v>
      </c>
      <c r="V147" s="5" t="str">
        <f t="shared" si="51"/>
        <v>Dado para alinhar:  face.alinhadora  Deve ser formatado como (rdfs:Literal  or  xsd:string)</v>
      </c>
      <c r="W147" s="5" t="s">
        <v>5145</v>
      </c>
      <c r="X147" s="24" t="str">
        <f t="shared" si="52"/>
        <v>alinh.104</v>
      </c>
      <c r="Y147" s="24" t="str">
        <f t="shared" si="53"/>
        <v>Ação de alinhar</v>
      </c>
      <c r="Z147" s="47" t="s">
        <v>3952</v>
      </c>
      <c r="AA147" s="25" t="str">
        <f t="shared" si="41"/>
        <v>null</v>
      </c>
      <c r="AB147" s="26" t="s">
        <v>0</v>
      </c>
      <c r="AC147" s="25" t="str">
        <f t="shared" si="42"/>
        <v>null</v>
      </c>
      <c r="AD147" s="26" t="s">
        <v>0</v>
      </c>
      <c r="AE147" s="25" t="str">
        <f t="shared" si="43"/>
        <v>null</v>
      </c>
      <c r="AF147" s="26" t="s">
        <v>0</v>
      </c>
      <c r="AG147" s="47" t="s">
        <v>4012</v>
      </c>
    </row>
    <row r="148" spans="1:33" ht="6.9" customHeight="1" x14ac:dyDescent="0.4">
      <c r="A148" s="4">
        <f>ROW()</f>
        <v>148</v>
      </c>
      <c r="B148" s="9" t="s">
        <v>27</v>
      </c>
      <c r="C148" s="55" t="str">
        <f t="shared" si="39"/>
        <v>p.alinhar</v>
      </c>
      <c r="D148" s="6" t="str">
        <f t="shared" si="55"/>
        <v>é.fachada.alinhadora</v>
      </c>
      <c r="E148" s="8" t="s">
        <v>28</v>
      </c>
      <c r="F148" s="42" t="str">
        <f t="shared" si="56"/>
        <v>d.alinhar</v>
      </c>
      <c r="G148" s="17" t="s">
        <v>4416</v>
      </c>
      <c r="H148" s="41" t="s">
        <v>2121</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0"/>
        <v>Propriedade destinada a alinhar: é.fachada.alinhadora</v>
      </c>
      <c r="V148" s="5" t="str">
        <f t="shared" si="51"/>
        <v>Dado para alinhar:  fachada.alinhadora  Deve ser formatado como (rdfs:Literal  or  xsd:string)</v>
      </c>
      <c r="W148" s="5" t="s">
        <v>5146</v>
      </c>
      <c r="X148" s="24" t="str">
        <f t="shared" si="52"/>
        <v>alinh.105</v>
      </c>
      <c r="Y148" s="24" t="str">
        <f t="shared" si="53"/>
        <v>Ação de alinhar</v>
      </c>
      <c r="Z148" s="47" t="s">
        <v>3953</v>
      </c>
      <c r="AA148" s="25" t="str">
        <f t="shared" si="41"/>
        <v>null</v>
      </c>
      <c r="AB148" s="26" t="s">
        <v>0</v>
      </c>
      <c r="AC148" s="25" t="str">
        <f t="shared" si="42"/>
        <v>null</v>
      </c>
      <c r="AD148" s="26" t="s">
        <v>0</v>
      </c>
      <c r="AE148" s="25" t="str">
        <f t="shared" si="43"/>
        <v>null</v>
      </c>
      <c r="AF148" s="26" t="s">
        <v>0</v>
      </c>
      <c r="AG148" s="47" t="s">
        <v>4013</v>
      </c>
    </row>
    <row r="149" spans="1:33" ht="6.9" customHeight="1" x14ac:dyDescent="0.4">
      <c r="A149" s="4">
        <f>ROW()</f>
        <v>149</v>
      </c>
      <c r="B149" s="9" t="s">
        <v>27</v>
      </c>
      <c r="C149" s="55" t="str">
        <f t="shared" si="39"/>
        <v>p.alinhar</v>
      </c>
      <c r="D149" s="6" t="str">
        <f t="shared" si="55"/>
        <v>é.rua.alinhadora</v>
      </c>
      <c r="E149" s="8" t="s">
        <v>28</v>
      </c>
      <c r="F149" s="42" t="str">
        <f t="shared" si="56"/>
        <v>d.alinhar</v>
      </c>
      <c r="G149" s="17" t="s">
        <v>4417</v>
      </c>
      <c r="H149" s="41" t="s">
        <v>2121</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0"/>
        <v>Propriedade destinada a alinhar: é.rua.alinhadora</v>
      </c>
      <c r="V149" s="5" t="str">
        <f t="shared" si="51"/>
        <v>Dado para alinhar:  rua.alinhadora  Deve ser formatado como (rdfs:Literal  or  xsd:string)</v>
      </c>
      <c r="W149" s="5" t="s">
        <v>5147</v>
      </c>
      <c r="X149" s="24" t="str">
        <f t="shared" si="52"/>
        <v>alinh.106</v>
      </c>
      <c r="Y149" s="24" t="str">
        <f t="shared" si="53"/>
        <v>Ação de alinhar</v>
      </c>
      <c r="Z149" s="47" t="s">
        <v>3954</v>
      </c>
      <c r="AA149" s="25" t="str">
        <f t="shared" si="41"/>
        <v>null</v>
      </c>
      <c r="AB149" s="26" t="s">
        <v>0</v>
      </c>
      <c r="AC149" s="25" t="str">
        <f t="shared" si="42"/>
        <v>null</v>
      </c>
      <c r="AD149" s="26" t="s">
        <v>0</v>
      </c>
      <c r="AE149" s="25" t="str">
        <f t="shared" si="43"/>
        <v>null</v>
      </c>
      <c r="AF149" s="26" t="s">
        <v>0</v>
      </c>
      <c r="AG149" s="47" t="s">
        <v>4014</v>
      </c>
    </row>
    <row r="150" spans="1:33" ht="6.9" customHeight="1" x14ac:dyDescent="0.4">
      <c r="A150" s="4">
        <f>ROW()</f>
        <v>150</v>
      </c>
      <c r="B150" s="9" t="s">
        <v>27</v>
      </c>
      <c r="C150" s="55" t="str">
        <f t="shared" si="39"/>
        <v>p.alinhar</v>
      </c>
      <c r="D150" s="6" t="str">
        <f t="shared" si="55"/>
        <v>é.segmento.alinhador</v>
      </c>
      <c r="E150" s="8" t="s">
        <v>28</v>
      </c>
      <c r="F150" s="42" t="str">
        <f t="shared" si="56"/>
        <v>d.alinhar</v>
      </c>
      <c r="G150" s="17" t="s">
        <v>4418</v>
      </c>
      <c r="H150" s="41" t="s">
        <v>2121</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0"/>
        <v>Propriedade destinada a alinhar: é.segmento.alinhador</v>
      </c>
      <c r="V150" s="5" t="str">
        <f t="shared" si="51"/>
        <v>Dado para alinhar:  segmento.alinhador  Deve ser formatado como (rdfs:Literal  or  xsd:string)</v>
      </c>
      <c r="W150" s="5" t="s">
        <v>5148</v>
      </c>
      <c r="X150" s="24" t="str">
        <f t="shared" si="52"/>
        <v>alinh.107</v>
      </c>
      <c r="Y150" s="24" t="str">
        <f t="shared" si="53"/>
        <v>Ação de alinhar</v>
      </c>
      <c r="Z150" s="47" t="s">
        <v>3955</v>
      </c>
      <c r="AA150" s="25" t="str">
        <f t="shared" si="41"/>
        <v>null</v>
      </c>
      <c r="AB150" s="26" t="s">
        <v>0</v>
      </c>
      <c r="AC150" s="25" t="str">
        <f t="shared" si="42"/>
        <v>null</v>
      </c>
      <c r="AD150" s="26" t="s">
        <v>0</v>
      </c>
      <c r="AE150" s="25" t="str">
        <f t="shared" si="43"/>
        <v>null</v>
      </c>
      <c r="AF150" s="26" t="s">
        <v>0</v>
      </c>
      <c r="AG150" s="47" t="s">
        <v>4015</v>
      </c>
    </row>
    <row r="151" spans="1:33" ht="6.9" customHeight="1" x14ac:dyDescent="0.4">
      <c r="A151" s="4">
        <f>ROW()</f>
        <v>151</v>
      </c>
      <c r="B151" s="9" t="s">
        <v>27</v>
      </c>
      <c r="C151" s="54" t="str">
        <f t="shared" si="39"/>
        <v>p.aplicar</v>
      </c>
      <c r="D151" s="6" t="str">
        <f t="shared" si="55"/>
        <v>é.industrializado</v>
      </c>
      <c r="E151" s="8" t="s">
        <v>28</v>
      </c>
      <c r="F151" s="51" t="s">
        <v>1246</v>
      </c>
      <c r="G151" s="17" t="s">
        <v>3348</v>
      </c>
      <c r="H151" s="42" t="s">
        <v>2121</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0"/>
        <v>Propriedade destinada a aplicar: é.industrializado</v>
      </c>
      <c r="V151" s="5" t="str">
        <f t="shared" si="51"/>
        <v>Dado para aplicar:  industrializado  Deve ser formatado como (rdfs:Literal  or  xsd:string)</v>
      </c>
      <c r="W151" s="5" t="s">
        <v>7362</v>
      </c>
      <c r="X151" s="24" t="str">
        <f t="shared" si="52"/>
        <v>aplic.100</v>
      </c>
      <c r="Y151" s="24" t="str">
        <f t="shared" si="53"/>
        <v>Ação de aplicar</v>
      </c>
      <c r="Z151" s="47" t="s">
        <v>3361</v>
      </c>
      <c r="AA151" s="25" t="str">
        <f t="shared" si="41"/>
        <v>categoria.revit</v>
      </c>
      <c r="AB151" s="26" t="s">
        <v>3496</v>
      </c>
      <c r="AC151" s="25" t="str">
        <f t="shared" si="42"/>
        <v>classe.ifc</v>
      </c>
      <c r="AD151" s="26" t="s">
        <v>3459</v>
      </c>
      <c r="AE151" s="25" t="str">
        <f t="shared" si="43"/>
        <v>null</v>
      </c>
      <c r="AF151" s="26" t="s">
        <v>0</v>
      </c>
      <c r="AG151" s="47" t="s">
        <v>4647</v>
      </c>
    </row>
    <row r="152" spans="1:33" ht="6.9" customHeight="1" x14ac:dyDescent="0.4">
      <c r="A152" s="4">
        <f>ROW()</f>
        <v>152</v>
      </c>
      <c r="B152" s="9" t="s">
        <v>27</v>
      </c>
      <c r="C152" s="55" t="str">
        <f t="shared" si="39"/>
        <v>p.aplicar</v>
      </c>
      <c r="D152" s="6" t="str">
        <f t="shared" si="55"/>
        <v>é.de.fabricante</v>
      </c>
      <c r="E152" s="8" t="s">
        <v>28</v>
      </c>
      <c r="F152" s="42" t="str">
        <f>F151</f>
        <v>d.aplicar</v>
      </c>
      <c r="G152" s="17" t="s">
        <v>3355</v>
      </c>
      <c r="H152" s="41" t="s">
        <v>2121</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0"/>
        <v>Propriedade destinada a aplicar: é.de.fabricante</v>
      </c>
      <c r="V152" s="5" t="str">
        <f t="shared" si="51"/>
        <v>Dado para aplicar:  de.fabricante  Deve ser formatado como (rdfs:Literal  or  xsd:string)</v>
      </c>
      <c r="W152" s="5" t="s">
        <v>7358</v>
      </c>
      <c r="X152" s="24" t="str">
        <f t="shared" si="52"/>
        <v>aplic.101</v>
      </c>
      <c r="Y152" s="24" t="str">
        <f t="shared" si="53"/>
        <v>Ação de aplicar</v>
      </c>
      <c r="Z152" s="47" t="s">
        <v>3362</v>
      </c>
      <c r="AA152" s="25" t="str">
        <f t="shared" si="41"/>
        <v>null</v>
      </c>
      <c r="AB152" s="26" t="s">
        <v>0</v>
      </c>
      <c r="AC152" s="25" t="str">
        <f t="shared" si="42"/>
        <v>null</v>
      </c>
      <c r="AD152" s="26" t="s">
        <v>0</v>
      </c>
      <c r="AE152" s="25" t="str">
        <f t="shared" si="43"/>
        <v>null</v>
      </c>
      <c r="AF152" s="26" t="s">
        <v>0</v>
      </c>
      <c r="AG152" s="47" t="s">
        <v>3356</v>
      </c>
    </row>
    <row r="153" spans="1:33" ht="6.9" customHeight="1" x14ac:dyDescent="0.4">
      <c r="A153" s="4">
        <f>ROW()</f>
        <v>153</v>
      </c>
      <c r="B153" s="9" t="s">
        <v>27</v>
      </c>
      <c r="C153" s="55" t="str">
        <f t="shared" ref="C153" si="57">SUBSTITUTE(F153,"d.","p.")</f>
        <v>p.aplicar</v>
      </c>
      <c r="D153" s="6" t="str">
        <f t="shared" si="55"/>
        <v>é.de.marcenaria</v>
      </c>
      <c r="E153" s="8" t="s">
        <v>28</v>
      </c>
      <c r="F153" s="42" t="str">
        <f>F151</f>
        <v>d.aplicar</v>
      </c>
      <c r="G153" s="17" t="s">
        <v>3360</v>
      </c>
      <c r="H153" s="41" t="s">
        <v>2121</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0"/>
        <v>Propriedade destinada a aplicar: é.de.marcenaria</v>
      </c>
      <c r="V153" s="5" t="str">
        <f t="shared" si="51"/>
        <v>Dado para aplicar:  de.marcenaria  Deve ser formatado como (rdfs:Literal  or  xsd:string)</v>
      </c>
      <c r="W153" s="5" t="s">
        <v>7360</v>
      </c>
      <c r="X153" s="24" t="str">
        <f t="shared" si="52"/>
        <v>aplic.102</v>
      </c>
      <c r="Y153" s="24" t="str">
        <f t="shared" si="53"/>
        <v>Ação de aplicar</v>
      </c>
      <c r="Z153" s="47" t="s">
        <v>3363</v>
      </c>
      <c r="AA153" s="25" t="str">
        <f t="shared" si="41"/>
        <v>null</v>
      </c>
      <c r="AB153" s="26" t="s">
        <v>0</v>
      </c>
      <c r="AC153" s="25" t="str">
        <f t="shared" si="42"/>
        <v>null</v>
      </c>
      <c r="AD153" s="26" t="s">
        <v>0</v>
      </c>
      <c r="AE153" s="25" t="str">
        <f t="shared" si="43"/>
        <v>null</v>
      </c>
      <c r="AF153" s="26" t="s">
        <v>0</v>
      </c>
      <c r="AG153" s="47" t="s">
        <v>4648</v>
      </c>
    </row>
    <row r="154" spans="1:33" ht="6.9" customHeight="1" x14ac:dyDescent="0.4">
      <c r="A154" s="4">
        <f>ROW()</f>
        <v>154</v>
      </c>
      <c r="B154" s="9" t="s">
        <v>27</v>
      </c>
      <c r="C154" s="55" t="str">
        <f t="shared" si="39"/>
        <v>p.aplicar</v>
      </c>
      <c r="D154" s="6" t="str">
        <f t="shared" si="55"/>
        <v>é.de.serralheria</v>
      </c>
      <c r="E154" s="8" t="s">
        <v>28</v>
      </c>
      <c r="F154" s="42" t="str">
        <f>F152</f>
        <v>d.aplicar</v>
      </c>
      <c r="G154" s="17" t="s">
        <v>3349</v>
      </c>
      <c r="H154" s="41" t="s">
        <v>2121</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0"/>
        <v>Propriedade destinada a aplicar: é.de.serralheria</v>
      </c>
      <c r="V154" s="5" t="str">
        <f t="shared" si="51"/>
        <v>Dado para aplicar:  de.serralheria  Deve ser formatado como (rdfs:Literal  or  xsd:string)</v>
      </c>
      <c r="W154" s="5" t="s">
        <v>7361</v>
      </c>
      <c r="X154" s="24" t="str">
        <f t="shared" si="52"/>
        <v>aplic.103</v>
      </c>
      <c r="Y154" s="24" t="str">
        <f t="shared" si="53"/>
        <v>Ação de aplicar</v>
      </c>
      <c r="Z154" s="47" t="s">
        <v>4587</v>
      </c>
      <c r="AA154" s="25" t="str">
        <f t="shared" si="41"/>
        <v>null</v>
      </c>
      <c r="AB154" s="26" t="s">
        <v>0</v>
      </c>
      <c r="AC154" s="25" t="str">
        <f t="shared" si="42"/>
        <v>null</v>
      </c>
      <c r="AD154" s="26" t="s">
        <v>0</v>
      </c>
      <c r="AE154" s="25" t="str">
        <f t="shared" si="43"/>
        <v>null</v>
      </c>
      <c r="AF154" s="26" t="s">
        <v>0</v>
      </c>
      <c r="AG154" s="47" t="s">
        <v>4649</v>
      </c>
    </row>
    <row r="155" spans="1:33" ht="6.9" customHeight="1" x14ac:dyDescent="0.4">
      <c r="A155" s="4">
        <f>ROW()</f>
        <v>155</v>
      </c>
      <c r="B155" s="9" t="s">
        <v>27</v>
      </c>
      <c r="C155" s="55" t="str">
        <f t="shared" si="39"/>
        <v>p.aplicar</v>
      </c>
      <c r="D155" s="6" t="str">
        <f t="shared" si="55"/>
        <v>é.de.canteiro</v>
      </c>
      <c r="E155" s="8" t="s">
        <v>28</v>
      </c>
      <c r="F155" s="42" t="str">
        <f t="shared" ref="F155:F159" si="58">F154</f>
        <v>d.aplicar</v>
      </c>
      <c r="G155" s="17" t="s">
        <v>3359</v>
      </c>
      <c r="H155" s="41" t="s">
        <v>2121</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0"/>
        <v>Propriedade destinada a aplicar: é.de.canteiro</v>
      </c>
      <c r="V155" s="5" t="str">
        <f t="shared" si="51"/>
        <v>Dado para aplicar:  de.canteiro  Deve ser formatado como (rdfs:Literal  or  xsd:string)</v>
      </c>
      <c r="W155" s="5" t="s">
        <v>7359</v>
      </c>
      <c r="X155" s="24" t="str">
        <f t="shared" si="52"/>
        <v>aplic.104</v>
      </c>
      <c r="Y155" s="24" t="str">
        <f t="shared" si="53"/>
        <v>Ação de aplicar</v>
      </c>
      <c r="Z155" s="47" t="s">
        <v>3364</v>
      </c>
      <c r="AA155" s="25" t="str">
        <f t="shared" si="41"/>
        <v>null</v>
      </c>
      <c r="AB155" s="26" t="s">
        <v>0</v>
      </c>
      <c r="AC155" s="25" t="str">
        <f t="shared" si="42"/>
        <v>null</v>
      </c>
      <c r="AD155" s="26" t="s">
        <v>0</v>
      </c>
      <c r="AE155" s="25" t="str">
        <f t="shared" ref="AE155:AE218" si="59">IF(AF155="null", "null", "propriedade")</f>
        <v>null</v>
      </c>
      <c r="AF155" s="26" t="s">
        <v>0</v>
      </c>
      <c r="AG155" s="47" t="s">
        <v>3357</v>
      </c>
    </row>
    <row r="156" spans="1:33" ht="6.9" customHeight="1" x14ac:dyDescent="0.4">
      <c r="A156" s="4">
        <f>ROW()</f>
        <v>156</v>
      </c>
      <c r="B156" s="9" t="s">
        <v>27</v>
      </c>
      <c r="C156" s="55" t="str">
        <f t="shared" ref="C156:C218" si="60">SUBSTITUTE(F156,"d.","p.")</f>
        <v>p.aplicar</v>
      </c>
      <c r="D156" s="6" t="str">
        <f t="shared" si="55"/>
        <v>é.em.interiores</v>
      </c>
      <c r="E156" s="8" t="s">
        <v>28</v>
      </c>
      <c r="F156" s="42" t="str">
        <f t="shared" si="58"/>
        <v>d.aplicar</v>
      </c>
      <c r="G156" s="17" t="s">
        <v>3350</v>
      </c>
      <c r="H156" s="41" t="s">
        <v>2121</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0"/>
        <v>Propriedade destinada a aplicar: é.em.interiores</v>
      </c>
      <c r="V156" s="5" t="str">
        <f t="shared" si="51"/>
        <v>Dado para aplicar:  em.interiores  Deve ser formatado como (rdfs:Literal  or  xsd:string)</v>
      </c>
      <c r="W156" s="5" t="s">
        <v>5149</v>
      </c>
      <c r="X156" s="24" t="str">
        <f t="shared" si="52"/>
        <v>aplic.105</v>
      </c>
      <c r="Y156" s="24" t="str">
        <f t="shared" si="53"/>
        <v>Ação de aplicar</v>
      </c>
      <c r="Z156" s="47" t="s">
        <v>1301</v>
      </c>
      <c r="AA156" s="25" t="str">
        <f t="shared" si="41"/>
        <v>null</v>
      </c>
      <c r="AB156" s="26" t="s">
        <v>0</v>
      </c>
      <c r="AC156" s="25" t="str">
        <f t="shared" si="42"/>
        <v>null</v>
      </c>
      <c r="AD156" s="26" t="s">
        <v>0</v>
      </c>
      <c r="AE156" s="25" t="str">
        <f t="shared" si="59"/>
        <v>null</v>
      </c>
      <c r="AF156" s="26" t="s">
        <v>0</v>
      </c>
      <c r="AG156" s="47" t="s">
        <v>3368</v>
      </c>
    </row>
    <row r="157" spans="1:33" ht="6.9" customHeight="1" x14ac:dyDescent="0.4">
      <c r="A157" s="4">
        <f>ROW()</f>
        <v>157</v>
      </c>
      <c r="B157" s="9" t="s">
        <v>27</v>
      </c>
      <c r="C157" s="55" t="str">
        <f t="shared" si="60"/>
        <v>p.aplicar</v>
      </c>
      <c r="D157" s="6" t="str">
        <f t="shared" si="55"/>
        <v>é.em.exteriores</v>
      </c>
      <c r="E157" s="8" t="s">
        <v>28</v>
      </c>
      <c r="F157" s="42" t="str">
        <f t="shared" si="58"/>
        <v>d.aplicar</v>
      </c>
      <c r="G157" s="17" t="s">
        <v>3351</v>
      </c>
      <c r="H157" s="41" t="s">
        <v>2121</v>
      </c>
      <c r="I157" s="16" t="str">
        <f t="shared" ref="I157:I220" si="61">J157</f>
        <v>null</v>
      </c>
      <c r="J157" s="15" t="s">
        <v>0</v>
      </c>
      <c r="K157" s="15" t="s">
        <v>0</v>
      </c>
      <c r="L157" s="15" t="s">
        <v>0</v>
      </c>
      <c r="M157" s="15" t="s">
        <v>0</v>
      </c>
      <c r="N157" s="15" t="s">
        <v>0</v>
      </c>
      <c r="O157" s="15" t="s">
        <v>0</v>
      </c>
      <c r="P157" s="15" t="s">
        <v>0</v>
      </c>
      <c r="Q157" s="15" t="s">
        <v>0</v>
      </c>
      <c r="R157" s="15" t="s">
        <v>0</v>
      </c>
      <c r="S157" s="10" t="s">
        <v>1</v>
      </c>
      <c r="T157" s="10" t="s">
        <v>32</v>
      </c>
      <c r="U157" s="5" t="str">
        <f t="shared" si="50"/>
        <v>Propriedade destinada a aplicar: é.em.exteriores</v>
      </c>
      <c r="V157" s="5" t="str">
        <f t="shared" si="51"/>
        <v>Dado para aplicar:  em.exteriores  Deve ser formatado como (rdfs:Literal  or  xsd:string)</v>
      </c>
      <c r="W157" s="5" t="s">
        <v>5150</v>
      </c>
      <c r="X157" s="24" t="str">
        <f t="shared" si="52"/>
        <v>aplic.106</v>
      </c>
      <c r="Y157" s="24" t="str">
        <f t="shared" si="53"/>
        <v>Ação de aplicar</v>
      </c>
      <c r="Z157" s="47" t="s">
        <v>3365</v>
      </c>
      <c r="AA157" s="25" t="str">
        <f t="shared" ref="AA157:AA220" si="62">IF(AB157="null", "null", "categoria.revit")</f>
        <v>null</v>
      </c>
      <c r="AB157" s="26" t="s">
        <v>0</v>
      </c>
      <c r="AC157" s="25" t="str">
        <f t="shared" ref="AC157:AC220" si="63">IF(AD157="null", "null", "classe.ifc")</f>
        <v>null</v>
      </c>
      <c r="AD157" s="26" t="s">
        <v>0</v>
      </c>
      <c r="AE157" s="25" t="str">
        <f t="shared" si="59"/>
        <v>null</v>
      </c>
      <c r="AF157" s="26" t="s">
        <v>0</v>
      </c>
      <c r="AG157" s="47" t="s">
        <v>2636</v>
      </c>
    </row>
    <row r="158" spans="1:33" ht="6.9" customHeight="1" x14ac:dyDescent="0.4">
      <c r="A158" s="4">
        <f>ROW()</f>
        <v>158</v>
      </c>
      <c r="B158" s="9" t="s">
        <v>27</v>
      </c>
      <c r="C158" s="55" t="str">
        <f t="shared" si="60"/>
        <v>p.aplicar</v>
      </c>
      <c r="D158" s="6" t="str">
        <f t="shared" si="55"/>
        <v>é.em.coberturas</v>
      </c>
      <c r="E158" s="8" t="s">
        <v>28</v>
      </c>
      <c r="F158" s="42" t="str">
        <f t="shared" si="58"/>
        <v>d.aplicar</v>
      </c>
      <c r="G158" s="17" t="s">
        <v>3352</v>
      </c>
      <c r="H158" s="41" t="s">
        <v>2121</v>
      </c>
      <c r="I158" s="16" t="str">
        <f t="shared" si="61"/>
        <v>null</v>
      </c>
      <c r="J158" s="15" t="s">
        <v>0</v>
      </c>
      <c r="K158" s="15" t="s">
        <v>0</v>
      </c>
      <c r="L158" s="15" t="s">
        <v>0</v>
      </c>
      <c r="M158" s="15" t="s">
        <v>0</v>
      </c>
      <c r="N158" s="15" t="s">
        <v>0</v>
      </c>
      <c r="O158" s="15" t="s">
        <v>0</v>
      </c>
      <c r="P158" s="15" t="s">
        <v>0</v>
      </c>
      <c r="Q158" s="15" t="s">
        <v>0</v>
      </c>
      <c r="R158" s="15" t="s">
        <v>0</v>
      </c>
      <c r="S158" s="10" t="s">
        <v>1</v>
      </c>
      <c r="T158" s="10" t="s">
        <v>32</v>
      </c>
      <c r="U158" s="5" t="str">
        <f t="shared" si="50"/>
        <v>Propriedade destinada a aplicar: é.em.coberturas</v>
      </c>
      <c r="V158" s="5" t="str">
        <f t="shared" si="51"/>
        <v>Dado para aplicar:  em.coberturas  Deve ser formatado como (rdfs:Literal  or  xsd:string)</v>
      </c>
      <c r="W158" s="5" t="s">
        <v>5151</v>
      </c>
      <c r="X158" s="24" t="str">
        <f t="shared" si="52"/>
        <v>aplic.107</v>
      </c>
      <c r="Y158" s="24" t="str">
        <f t="shared" si="53"/>
        <v>Ação de aplicar</v>
      </c>
      <c r="Z158" s="47" t="s">
        <v>3366</v>
      </c>
      <c r="AA158" s="25" t="str">
        <f t="shared" si="62"/>
        <v>null</v>
      </c>
      <c r="AB158" s="26" t="s">
        <v>0</v>
      </c>
      <c r="AC158" s="25" t="str">
        <f t="shared" si="63"/>
        <v>null</v>
      </c>
      <c r="AD158" s="26" t="s">
        <v>0</v>
      </c>
      <c r="AE158" s="25" t="str">
        <f t="shared" si="59"/>
        <v>null</v>
      </c>
      <c r="AF158" s="26" t="s">
        <v>0</v>
      </c>
      <c r="AG158" s="47" t="s">
        <v>3369</v>
      </c>
    </row>
    <row r="159" spans="1:33" ht="6.9" customHeight="1" x14ac:dyDescent="0.4">
      <c r="A159" s="4">
        <f>ROW()</f>
        <v>159</v>
      </c>
      <c r="B159" s="9" t="s">
        <v>27</v>
      </c>
      <c r="C159" s="55" t="str">
        <f t="shared" si="60"/>
        <v>p.aplicar</v>
      </c>
      <c r="D159" s="6" t="str">
        <f t="shared" si="55"/>
        <v>é.coberto.de</v>
      </c>
      <c r="E159" s="8" t="s">
        <v>28</v>
      </c>
      <c r="F159" s="42" t="str">
        <f t="shared" si="58"/>
        <v>d.aplicar</v>
      </c>
      <c r="G159" s="17" t="s">
        <v>3353</v>
      </c>
      <c r="H159" s="41" t="s">
        <v>2121</v>
      </c>
      <c r="I159" s="16" t="str">
        <f t="shared" si="61"/>
        <v>null</v>
      </c>
      <c r="J159" s="15" t="s">
        <v>0</v>
      </c>
      <c r="K159" s="15" t="s">
        <v>0</v>
      </c>
      <c r="L159" s="15" t="s">
        <v>0</v>
      </c>
      <c r="M159" s="15" t="s">
        <v>0</v>
      </c>
      <c r="N159" s="15" t="s">
        <v>0</v>
      </c>
      <c r="O159" s="15" t="s">
        <v>0</v>
      </c>
      <c r="P159" s="15" t="s">
        <v>0</v>
      </c>
      <c r="Q159" s="15" t="s">
        <v>0</v>
      </c>
      <c r="R159" s="15" t="s">
        <v>0</v>
      </c>
      <c r="S159" s="10" t="s">
        <v>1</v>
      </c>
      <c r="T159" s="10" t="s">
        <v>32</v>
      </c>
      <c r="U159" s="5" t="str">
        <f t="shared" si="50"/>
        <v>Propriedade destinada a aplicar: é.coberto.de</v>
      </c>
      <c r="V159" s="5" t="str">
        <f t="shared" si="51"/>
        <v>Dado para aplicar:  coberto.de  Deve ser formatado como (rdfs:Literal  or  xsd:string)</v>
      </c>
      <c r="W159" s="5" t="s">
        <v>5152</v>
      </c>
      <c r="X159" s="24" t="str">
        <f t="shared" si="52"/>
        <v>aplic.108</v>
      </c>
      <c r="Y159" s="24" t="str">
        <f t="shared" si="53"/>
        <v>Ação de aplicar</v>
      </c>
      <c r="Z159" s="47" t="s">
        <v>7187</v>
      </c>
      <c r="AA159" s="25" t="str">
        <f t="shared" si="62"/>
        <v>null</v>
      </c>
      <c r="AB159" s="26" t="s">
        <v>0</v>
      </c>
      <c r="AC159" s="25" t="str">
        <f t="shared" si="63"/>
        <v>null</v>
      </c>
      <c r="AD159" s="26" t="s">
        <v>0</v>
      </c>
      <c r="AE159" s="25" t="str">
        <f t="shared" si="59"/>
        <v>null</v>
      </c>
      <c r="AF159" s="26" t="s">
        <v>0</v>
      </c>
      <c r="AG159" s="47" t="s">
        <v>4764</v>
      </c>
    </row>
    <row r="160" spans="1:33" ht="6.9" customHeight="1" x14ac:dyDescent="0.4">
      <c r="A160" s="4">
        <f>ROW()</f>
        <v>160</v>
      </c>
      <c r="B160" s="9" t="s">
        <v>27</v>
      </c>
      <c r="C160" s="55" t="str">
        <f t="shared" ref="C160" si="64">SUBSTITUTE(F160,"d.","p.")</f>
        <v>p.aplicar</v>
      </c>
      <c r="D160" s="6" t="str">
        <f t="shared" si="55"/>
        <v>é.paginada</v>
      </c>
      <c r="E160" s="8" t="s">
        <v>28</v>
      </c>
      <c r="F160" s="42" t="str">
        <f>F158</f>
        <v>d.aplicar</v>
      </c>
      <c r="G160" s="17" t="s">
        <v>7354</v>
      </c>
      <c r="H160" s="41" t="s">
        <v>2121</v>
      </c>
      <c r="I160" s="16" t="str">
        <f t="shared" ref="I160" si="65">J160</f>
        <v>null</v>
      </c>
      <c r="J160" s="15" t="s">
        <v>0</v>
      </c>
      <c r="K160" s="15" t="s">
        <v>0</v>
      </c>
      <c r="L160" s="15" t="s">
        <v>0</v>
      </c>
      <c r="M160" s="15" t="s">
        <v>0</v>
      </c>
      <c r="N160" s="15" t="s">
        <v>0</v>
      </c>
      <c r="O160" s="15" t="s">
        <v>0</v>
      </c>
      <c r="P160" s="15" t="s">
        <v>0</v>
      </c>
      <c r="Q160" s="15" t="s">
        <v>0</v>
      </c>
      <c r="R160" s="15" t="s">
        <v>7356</v>
      </c>
      <c r="S160" s="10" t="s">
        <v>1</v>
      </c>
      <c r="T160" s="10" t="s">
        <v>32</v>
      </c>
      <c r="U160" s="5" t="str">
        <f t="shared" si="50"/>
        <v>Propriedade destinada a aplicar: é.paginada</v>
      </c>
      <c r="V160" s="5" t="str">
        <f t="shared" si="51"/>
        <v>Dado para aplicar:  paginada  Deve ser formatado como (rdfs:Literal  or  xsd:string)</v>
      </c>
      <c r="W160" s="5" t="s">
        <v>7355</v>
      </c>
      <c r="X160" s="24" t="str">
        <f t="shared" si="52"/>
        <v>aplic.109</v>
      </c>
      <c r="Y160" s="24" t="str">
        <f t="shared" si="53"/>
        <v>Ação de aplicar</v>
      </c>
      <c r="Z160" s="47" t="s">
        <v>3367</v>
      </c>
      <c r="AA160" s="25" t="str">
        <f t="shared" ref="AA160" si="66">IF(AB160="null", "null", "categoria.revit")</f>
        <v>null</v>
      </c>
      <c r="AB160" s="26" t="s">
        <v>0</v>
      </c>
      <c r="AC160" s="25" t="str">
        <f t="shared" ref="AC160" si="67">IF(AD160="null", "null", "classe.ifc")</f>
        <v>null</v>
      </c>
      <c r="AD160" s="26" t="s">
        <v>0</v>
      </c>
      <c r="AE160" s="25" t="str">
        <f t="shared" si="59"/>
        <v>null</v>
      </c>
      <c r="AF160" s="26" t="s">
        <v>0</v>
      </c>
      <c r="AG160" s="47" t="s">
        <v>3358</v>
      </c>
    </row>
    <row r="161" spans="1:33" ht="6.9" customHeight="1" x14ac:dyDescent="0.4">
      <c r="A161" s="4">
        <f>ROW()</f>
        <v>161</v>
      </c>
      <c r="B161" s="9" t="s">
        <v>27</v>
      </c>
      <c r="C161" s="55" t="str">
        <f t="shared" si="60"/>
        <v>p.aplicar</v>
      </c>
      <c r="D161" s="6" t="str">
        <f t="shared" si="55"/>
        <v>é.paginado</v>
      </c>
      <c r="E161" s="8" t="s">
        <v>28</v>
      </c>
      <c r="F161" s="42" t="str">
        <f>F159</f>
        <v>d.aplicar</v>
      </c>
      <c r="G161" s="17" t="s">
        <v>3354</v>
      </c>
      <c r="H161" s="41" t="s">
        <v>2121</v>
      </c>
      <c r="I161" s="16" t="str">
        <f t="shared" si="61"/>
        <v>null</v>
      </c>
      <c r="J161" s="15" t="s">
        <v>0</v>
      </c>
      <c r="K161" s="15" t="s">
        <v>0</v>
      </c>
      <c r="L161" s="15" t="s">
        <v>0</v>
      </c>
      <c r="M161" s="15" t="s">
        <v>0</v>
      </c>
      <c r="N161" s="15" t="s">
        <v>0</v>
      </c>
      <c r="O161" s="15" t="s">
        <v>0</v>
      </c>
      <c r="P161" s="15" t="s">
        <v>0</v>
      </c>
      <c r="Q161" s="15" t="s">
        <v>0</v>
      </c>
      <c r="R161" s="15" t="s">
        <v>7357</v>
      </c>
      <c r="S161" s="10" t="s">
        <v>1</v>
      </c>
      <c r="T161" s="10" t="s">
        <v>32</v>
      </c>
      <c r="U161" s="5" t="str">
        <f t="shared" si="50"/>
        <v>Propriedade destinada a aplicar: é.paginado</v>
      </c>
      <c r="V161" s="5" t="str">
        <f t="shared" si="51"/>
        <v>Dado para aplicar:  paginado  Deve ser formatado como (rdfs:Literal  or  xsd:string)</v>
      </c>
      <c r="W161" s="5" t="s">
        <v>5153</v>
      </c>
      <c r="X161" s="24" t="str">
        <f t="shared" si="52"/>
        <v>aplic.110</v>
      </c>
      <c r="Y161" s="24" t="str">
        <f t="shared" si="53"/>
        <v>Ação de aplicar</v>
      </c>
      <c r="Z161" s="47" t="s">
        <v>3367</v>
      </c>
      <c r="AA161" s="25" t="str">
        <f t="shared" si="62"/>
        <v>null</v>
      </c>
      <c r="AB161" s="26" t="s">
        <v>0</v>
      </c>
      <c r="AC161" s="25" t="str">
        <f t="shared" si="63"/>
        <v>null</v>
      </c>
      <c r="AD161" s="26" t="s">
        <v>0</v>
      </c>
      <c r="AE161" s="25" t="str">
        <f t="shared" si="59"/>
        <v>null</v>
      </c>
      <c r="AF161" s="26" t="s">
        <v>0</v>
      </c>
      <c r="AG161" s="47" t="s">
        <v>3358</v>
      </c>
    </row>
    <row r="162" spans="1:33" ht="6.9" customHeight="1" x14ac:dyDescent="0.4">
      <c r="A162" s="4">
        <f>ROW()</f>
        <v>162</v>
      </c>
      <c r="B162" s="9" t="s">
        <v>27</v>
      </c>
      <c r="C162" s="54" t="str">
        <f t="shared" si="60"/>
        <v>p.armazenar</v>
      </c>
      <c r="D162" s="6" t="str">
        <f t="shared" si="55"/>
        <v>é.drive</v>
      </c>
      <c r="E162" s="8" t="s">
        <v>28</v>
      </c>
      <c r="F162" s="51" t="s">
        <v>531</v>
      </c>
      <c r="G162" s="18" t="s">
        <v>54</v>
      </c>
      <c r="H162" s="41" t="s">
        <v>2121</v>
      </c>
      <c r="I162" s="16" t="str">
        <f t="shared" si="61"/>
        <v>null</v>
      </c>
      <c r="J162" s="13" t="s">
        <v>0</v>
      </c>
      <c r="K162" s="13" t="s">
        <v>0</v>
      </c>
      <c r="L162" s="13" t="s">
        <v>0</v>
      </c>
      <c r="M162" s="13" t="s">
        <v>0</v>
      </c>
      <c r="N162" s="15" t="s">
        <v>0</v>
      </c>
      <c r="O162" s="13" t="s">
        <v>0</v>
      </c>
      <c r="P162" s="13" t="s">
        <v>0</v>
      </c>
      <c r="Q162" s="13" t="s">
        <v>0</v>
      </c>
      <c r="R162" s="15" t="s">
        <v>0</v>
      </c>
      <c r="S162" s="10" t="s">
        <v>1</v>
      </c>
      <c r="T162" s="10" t="s">
        <v>32</v>
      </c>
      <c r="U162" s="5" t="str">
        <f t="shared" si="50"/>
        <v>Propriedade destinada a armazenar: é.drive</v>
      </c>
      <c r="V162" s="5" t="str">
        <f t="shared" si="51"/>
        <v>Dado para armazenar:  drive  Deve ser formatado como (rdfs:Literal  or  xsd:string)</v>
      </c>
      <c r="W162" s="5" t="s">
        <v>5154</v>
      </c>
      <c r="X162" s="24" t="str">
        <f t="shared" si="52"/>
        <v>armaz.100</v>
      </c>
      <c r="Y162" s="24" t="str">
        <f t="shared" si="53"/>
        <v>Ação de armazenar</v>
      </c>
      <c r="Z162" s="47" t="s">
        <v>1303</v>
      </c>
      <c r="AA162" s="25" t="str">
        <f t="shared" si="62"/>
        <v>null</v>
      </c>
      <c r="AB162" s="26" t="s">
        <v>0</v>
      </c>
      <c r="AC162" s="25" t="str">
        <f t="shared" si="63"/>
        <v>null</v>
      </c>
      <c r="AD162" s="26" t="s">
        <v>0</v>
      </c>
      <c r="AE162" s="25" t="str">
        <f t="shared" si="59"/>
        <v>null</v>
      </c>
      <c r="AF162" s="26" t="s">
        <v>0</v>
      </c>
      <c r="AG162" s="47" t="s">
        <v>2638</v>
      </c>
    </row>
    <row r="163" spans="1:33" ht="6.9" customHeight="1" x14ac:dyDescent="0.4">
      <c r="A163" s="4">
        <f>ROW()</f>
        <v>163</v>
      </c>
      <c r="B163" s="9" t="s">
        <v>27</v>
      </c>
      <c r="C163" s="55" t="str">
        <f>SUBSTITUTE(F163,"d.","p.")</f>
        <v>p.armazenar</v>
      </c>
      <c r="D163" s="6" t="str">
        <f t="shared" si="55"/>
        <v>é.insumo</v>
      </c>
      <c r="E163" s="8" t="s">
        <v>28</v>
      </c>
      <c r="F163" s="42" t="str">
        <f>F162</f>
        <v>d.armazenar</v>
      </c>
      <c r="G163" s="18" t="s">
        <v>218</v>
      </c>
      <c r="H163" s="41" t="s">
        <v>2121</v>
      </c>
      <c r="I163" s="16" t="str">
        <f t="shared" ref="I163:I171" si="68">J163</f>
        <v>null</v>
      </c>
      <c r="J163" s="13" t="s">
        <v>0</v>
      </c>
      <c r="K163" s="13" t="s">
        <v>0</v>
      </c>
      <c r="L163" s="13" t="s">
        <v>0</v>
      </c>
      <c r="M163" s="13" t="s">
        <v>0</v>
      </c>
      <c r="N163" s="15" t="s">
        <v>0</v>
      </c>
      <c r="O163" s="13" t="s">
        <v>0</v>
      </c>
      <c r="P163" s="13" t="s">
        <v>0</v>
      </c>
      <c r="Q163" s="13" t="s">
        <v>0</v>
      </c>
      <c r="R163" s="15" t="s">
        <v>0</v>
      </c>
      <c r="S163" s="10" t="s">
        <v>1</v>
      </c>
      <c r="T163" s="10" t="s">
        <v>32</v>
      </c>
      <c r="U163" s="5" t="str">
        <f t="shared" si="50"/>
        <v>Propriedade destinada a armazenar: é.insumo</v>
      </c>
      <c r="V163" s="5" t="str">
        <f t="shared" si="51"/>
        <v>Dado para armazenar:  insumo  Deve ser formatado como (rdfs:Literal  or  xsd:string)</v>
      </c>
      <c r="W163" s="5" t="s">
        <v>5155</v>
      </c>
      <c r="X163" s="24" t="str">
        <f t="shared" si="52"/>
        <v>armaz.101</v>
      </c>
      <c r="Y163" s="24" t="str">
        <f t="shared" si="53"/>
        <v>Ação de armazenar</v>
      </c>
      <c r="Z163" s="47" t="s">
        <v>1306</v>
      </c>
      <c r="AA163" s="25" t="str">
        <f t="shared" ref="AA163:AA171" si="69">IF(AB163="null", "null", "categoria.revit")</f>
        <v>null</v>
      </c>
      <c r="AB163" s="26" t="s">
        <v>0</v>
      </c>
      <c r="AC163" s="25" t="str">
        <f t="shared" ref="AC163:AC171" si="70">IF(AD163="null", "null", "classe.ifc")</f>
        <v>null</v>
      </c>
      <c r="AD163" s="26" t="s">
        <v>0</v>
      </c>
      <c r="AE163" s="25" t="str">
        <f t="shared" si="59"/>
        <v>null</v>
      </c>
      <c r="AF163" s="26" t="s">
        <v>0</v>
      </c>
      <c r="AG163" s="47" t="s">
        <v>2641</v>
      </c>
    </row>
    <row r="164" spans="1:33" ht="6.9" customHeight="1" x14ac:dyDescent="0.4">
      <c r="A164" s="4">
        <f>ROW()</f>
        <v>164</v>
      </c>
      <c r="B164" s="9" t="s">
        <v>27</v>
      </c>
      <c r="C164" s="55" t="str">
        <f>SUBSTITUTE(F164,"d.","p.")</f>
        <v>p.armazenar</v>
      </c>
      <c r="D164" s="6" t="str">
        <f t="shared" si="55"/>
        <v>é.pasta</v>
      </c>
      <c r="E164" s="8" t="s">
        <v>28</v>
      </c>
      <c r="F164" s="42" t="str">
        <f>F163</f>
        <v>d.armazenar</v>
      </c>
      <c r="G164" s="18" t="s">
        <v>55</v>
      </c>
      <c r="H164" s="41" t="s">
        <v>2121</v>
      </c>
      <c r="I164" s="16" t="str">
        <f t="shared" si="68"/>
        <v>null</v>
      </c>
      <c r="J164" s="13" t="s">
        <v>0</v>
      </c>
      <c r="K164" s="13" t="s">
        <v>0</v>
      </c>
      <c r="L164" s="13" t="s">
        <v>0</v>
      </c>
      <c r="M164" s="13" t="s">
        <v>0</v>
      </c>
      <c r="N164" s="15" t="s">
        <v>0</v>
      </c>
      <c r="O164" s="13" t="s">
        <v>0</v>
      </c>
      <c r="P164" s="13" t="s">
        <v>0</v>
      </c>
      <c r="Q164" s="13" t="s">
        <v>0</v>
      </c>
      <c r="R164" s="15" t="s">
        <v>0</v>
      </c>
      <c r="S164" s="10" t="s">
        <v>1</v>
      </c>
      <c r="T164" s="10" t="s">
        <v>32</v>
      </c>
      <c r="U164" s="5" t="str">
        <f t="shared" si="50"/>
        <v>Propriedade destinada a armazenar: é.pasta</v>
      </c>
      <c r="V164" s="5" t="str">
        <f t="shared" si="51"/>
        <v>Dado para armazenar:  pasta  Deve ser formatado como (rdfs:Literal  or  xsd:string)</v>
      </c>
      <c r="W164" s="5" t="s">
        <v>5156</v>
      </c>
      <c r="X164" s="24" t="str">
        <f t="shared" si="52"/>
        <v>armaz.102</v>
      </c>
      <c r="Y164" s="24" t="str">
        <f t="shared" si="53"/>
        <v>Ação de armazenar</v>
      </c>
      <c r="Z164" s="47" t="s">
        <v>1304</v>
      </c>
      <c r="AA164" s="25" t="str">
        <f t="shared" si="69"/>
        <v>null</v>
      </c>
      <c r="AB164" s="26" t="s">
        <v>0</v>
      </c>
      <c r="AC164" s="25" t="str">
        <f t="shared" si="70"/>
        <v>null</v>
      </c>
      <c r="AD164" s="26" t="s">
        <v>0</v>
      </c>
      <c r="AE164" s="25" t="str">
        <f t="shared" si="59"/>
        <v>null</v>
      </c>
      <c r="AF164" s="26" t="s">
        <v>0</v>
      </c>
      <c r="AG164" s="47" t="s">
        <v>2639</v>
      </c>
    </row>
    <row r="165" spans="1:33" ht="6.9" customHeight="1" x14ac:dyDescent="0.4">
      <c r="A165" s="4">
        <f>ROW()</f>
        <v>165</v>
      </c>
      <c r="B165" s="9" t="s">
        <v>27</v>
      </c>
      <c r="C165" s="55" t="str">
        <f>SUBSTITUTE(F165,"d.","p.")</f>
        <v>p.armazenar</v>
      </c>
      <c r="D165" s="6" t="str">
        <f t="shared" si="55"/>
        <v>é.repositório</v>
      </c>
      <c r="E165" s="8" t="s">
        <v>28</v>
      </c>
      <c r="F165" s="42" t="str">
        <f>F164</f>
        <v>d.armazenar</v>
      </c>
      <c r="G165" s="18" t="s">
        <v>56</v>
      </c>
      <c r="H165" s="41" t="s">
        <v>2121</v>
      </c>
      <c r="I165" s="16" t="str">
        <f t="shared" si="68"/>
        <v>null</v>
      </c>
      <c r="J165" s="13" t="s">
        <v>0</v>
      </c>
      <c r="K165" s="13" t="s">
        <v>0</v>
      </c>
      <c r="L165" s="13" t="s">
        <v>0</v>
      </c>
      <c r="M165" s="13" t="s">
        <v>0</v>
      </c>
      <c r="N165" s="15" t="s">
        <v>0</v>
      </c>
      <c r="O165" s="13" t="s">
        <v>0</v>
      </c>
      <c r="P165" s="13" t="s">
        <v>0</v>
      </c>
      <c r="Q165" s="13" t="s">
        <v>0</v>
      </c>
      <c r="R165" s="15" t="s">
        <v>0</v>
      </c>
      <c r="S165" s="10" t="s">
        <v>1</v>
      </c>
      <c r="T165" s="10" t="s">
        <v>32</v>
      </c>
      <c r="U165" s="5" t="str">
        <f t="shared" si="50"/>
        <v>Propriedade destinada a armazenar: é.repositório</v>
      </c>
      <c r="V165" s="5" t="str">
        <f t="shared" si="51"/>
        <v>Dado para armazenar:  repositório  Deve ser formatado como (rdfs:Literal  or  xsd:string)</v>
      </c>
      <c r="W165" s="5" t="s">
        <v>5157</v>
      </c>
      <c r="X165" s="24" t="str">
        <f t="shared" si="52"/>
        <v>armaz.103</v>
      </c>
      <c r="Y165" s="24" t="str">
        <f t="shared" si="53"/>
        <v>Ação de armazenar</v>
      </c>
      <c r="Z165" s="47" t="s">
        <v>1305</v>
      </c>
      <c r="AA165" s="25" t="str">
        <f t="shared" si="69"/>
        <v>null</v>
      </c>
      <c r="AB165" s="26" t="s">
        <v>0</v>
      </c>
      <c r="AC165" s="25" t="str">
        <f t="shared" si="70"/>
        <v>null</v>
      </c>
      <c r="AD165" s="26" t="s">
        <v>0</v>
      </c>
      <c r="AE165" s="25" t="str">
        <f t="shared" si="59"/>
        <v>null</v>
      </c>
      <c r="AF165" s="26" t="s">
        <v>0</v>
      </c>
      <c r="AG165" s="47" t="s">
        <v>2640</v>
      </c>
    </row>
    <row r="166" spans="1:33" ht="6.9" customHeight="1" x14ac:dyDescent="0.4">
      <c r="A166" s="4">
        <f>ROW()</f>
        <v>166</v>
      </c>
      <c r="B166" s="9" t="s">
        <v>27</v>
      </c>
      <c r="C166" s="55" t="str">
        <f>SUBSTITUTE(F166,"d.","p.")</f>
        <v>p.armazenar</v>
      </c>
      <c r="D166" s="6" t="str">
        <f t="shared" si="55"/>
        <v>é.servidor</v>
      </c>
      <c r="E166" s="8" t="s">
        <v>28</v>
      </c>
      <c r="F166" s="42" t="str">
        <f>F165</f>
        <v>d.armazenar</v>
      </c>
      <c r="G166" s="18" t="s">
        <v>53</v>
      </c>
      <c r="H166" s="41" t="s">
        <v>2121</v>
      </c>
      <c r="I166" s="16" t="str">
        <f t="shared" si="68"/>
        <v>null</v>
      </c>
      <c r="J166" s="13" t="s">
        <v>0</v>
      </c>
      <c r="K166" s="13" t="s">
        <v>0</v>
      </c>
      <c r="L166" s="13" t="s">
        <v>0</v>
      </c>
      <c r="M166" s="13" t="s">
        <v>0</v>
      </c>
      <c r="N166" s="15" t="s">
        <v>0</v>
      </c>
      <c r="O166" s="13" t="s">
        <v>0</v>
      </c>
      <c r="P166" s="13" t="s">
        <v>0</v>
      </c>
      <c r="Q166" s="13" t="s">
        <v>0</v>
      </c>
      <c r="R166" s="15" t="s">
        <v>0</v>
      </c>
      <c r="S166" s="10" t="s">
        <v>1</v>
      </c>
      <c r="T166" s="10" t="s">
        <v>32</v>
      </c>
      <c r="U166" s="5" t="str">
        <f t="shared" si="50"/>
        <v>Propriedade destinada a armazenar: é.servidor</v>
      </c>
      <c r="V166" s="5" t="str">
        <f t="shared" si="51"/>
        <v>Dado para armazenar:  servidor  Deve ser formatado como (rdfs:Literal  or  xsd:string)</v>
      </c>
      <c r="W166" s="5" t="s">
        <v>5158</v>
      </c>
      <c r="X166" s="24" t="str">
        <f t="shared" si="52"/>
        <v>armaz.104</v>
      </c>
      <c r="Y166" s="24" t="str">
        <f t="shared" si="53"/>
        <v>Ação de armazenar</v>
      </c>
      <c r="Z166" s="47" t="s">
        <v>1302</v>
      </c>
      <c r="AA166" s="25" t="str">
        <f t="shared" si="69"/>
        <v>null</v>
      </c>
      <c r="AB166" s="26" t="s">
        <v>0</v>
      </c>
      <c r="AC166" s="25" t="str">
        <f t="shared" si="70"/>
        <v>null</v>
      </c>
      <c r="AD166" s="26" t="s">
        <v>0</v>
      </c>
      <c r="AE166" s="25" t="str">
        <f t="shared" si="59"/>
        <v>null</v>
      </c>
      <c r="AF166" s="26" t="s">
        <v>0</v>
      </c>
      <c r="AG166" s="47" t="s">
        <v>2637</v>
      </c>
    </row>
    <row r="167" spans="1:33" ht="6.9" customHeight="1" x14ac:dyDescent="0.4">
      <c r="A167" s="4">
        <f>ROW()</f>
        <v>167</v>
      </c>
      <c r="B167" s="9" t="s">
        <v>27</v>
      </c>
      <c r="C167" s="54" t="str">
        <f t="shared" ref="C167" si="71">SUBSTITUTE(F167,"d.","p.")</f>
        <v>p.arborizar</v>
      </c>
      <c r="D167" s="6" t="str">
        <f t="shared" si="55"/>
        <v>é.altura.máxima.da.planta</v>
      </c>
      <c r="E167" s="8" t="s">
        <v>28</v>
      </c>
      <c r="F167" s="51" t="s">
        <v>4089</v>
      </c>
      <c r="G167" s="43" t="s">
        <v>2160</v>
      </c>
      <c r="H167" s="41" t="s">
        <v>36</v>
      </c>
      <c r="I167" s="16" t="str">
        <f t="shared" si="68"/>
        <v>null</v>
      </c>
      <c r="J167" s="15" t="s">
        <v>0</v>
      </c>
      <c r="K167" s="15" t="s">
        <v>0</v>
      </c>
      <c r="L167" s="15" t="s">
        <v>0</v>
      </c>
      <c r="M167" s="15" t="s">
        <v>0</v>
      </c>
      <c r="N167" s="15" t="s">
        <v>0</v>
      </c>
      <c r="O167" s="15" t="s">
        <v>0</v>
      </c>
      <c r="P167" s="15" t="s">
        <v>0</v>
      </c>
      <c r="Q167" s="15" t="s">
        <v>0</v>
      </c>
      <c r="R167" s="15" t="s">
        <v>0</v>
      </c>
      <c r="S167" s="10" t="s">
        <v>1</v>
      </c>
      <c r="T167" s="10" t="s">
        <v>32</v>
      </c>
      <c r="U167" s="5" t="str">
        <f t="shared" si="50"/>
        <v>Propriedade destinada a arborizar: é.altura.máxima.da.planta</v>
      </c>
      <c r="V167" s="5" t="str">
        <f t="shared" si="51"/>
        <v>Dado para arborizar:  altura.máxima.da.planta  Deve ser formatado como (xsd:double)</v>
      </c>
      <c r="W167" s="5" t="s">
        <v>5180</v>
      </c>
      <c r="X167" s="24" t="str">
        <f t="shared" si="52"/>
        <v>arbor.100</v>
      </c>
      <c r="Y167" s="24" t="str">
        <f t="shared" si="53"/>
        <v>Ação de arborizar</v>
      </c>
      <c r="Z167" s="47" t="s">
        <v>2154</v>
      </c>
      <c r="AA167" s="25" t="str">
        <f t="shared" si="69"/>
        <v>null</v>
      </c>
      <c r="AB167" s="26" t="s">
        <v>0</v>
      </c>
      <c r="AC167" s="25" t="str">
        <f t="shared" si="70"/>
        <v>null</v>
      </c>
      <c r="AD167" s="26" t="s">
        <v>0</v>
      </c>
      <c r="AE167" s="25" t="str">
        <f t="shared" si="59"/>
        <v>null</v>
      </c>
      <c r="AF167" s="26" t="s">
        <v>0</v>
      </c>
      <c r="AG167" s="47" t="s">
        <v>2654</v>
      </c>
    </row>
    <row r="168" spans="1:33" ht="6.9" customHeight="1" x14ac:dyDescent="0.4">
      <c r="A168" s="4">
        <f>ROW()</f>
        <v>168</v>
      </c>
      <c r="B168" s="9" t="s">
        <v>27</v>
      </c>
      <c r="C168" s="55" t="str">
        <f>SUBSTITUTE(F168,"d.","p.")</f>
        <v>p.arborizar</v>
      </c>
      <c r="D168" s="6" t="str">
        <f t="shared" si="55"/>
        <v>é.altura.mínima.da.planta</v>
      </c>
      <c r="E168" s="8" t="s">
        <v>28</v>
      </c>
      <c r="F168" s="42" t="str">
        <f>F167</f>
        <v>d.arborizar</v>
      </c>
      <c r="G168" s="43" t="s">
        <v>2159</v>
      </c>
      <c r="H168" s="41" t="s">
        <v>36</v>
      </c>
      <c r="I168" s="16" t="str">
        <f t="shared" si="68"/>
        <v>null</v>
      </c>
      <c r="J168" s="15" t="s">
        <v>0</v>
      </c>
      <c r="K168" s="15" t="s">
        <v>0</v>
      </c>
      <c r="L168" s="15" t="s">
        <v>0</v>
      </c>
      <c r="M168" s="15" t="s">
        <v>0</v>
      </c>
      <c r="N168" s="15" t="s">
        <v>0</v>
      </c>
      <c r="O168" s="15" t="s">
        <v>0</v>
      </c>
      <c r="P168" s="15" t="s">
        <v>0</v>
      </c>
      <c r="Q168" s="15" t="s">
        <v>0</v>
      </c>
      <c r="R168" s="15" t="s">
        <v>0</v>
      </c>
      <c r="S168" s="10" t="s">
        <v>1</v>
      </c>
      <c r="T168" s="10" t="s">
        <v>32</v>
      </c>
      <c r="U168" s="5" t="str">
        <f t="shared" si="50"/>
        <v>Propriedade destinada a arborizar: é.altura.mínima.da.planta</v>
      </c>
      <c r="V168" s="5" t="str">
        <f t="shared" si="51"/>
        <v>Dado para arborizar:  altura.mínima.da.planta  Deve ser formatado como (xsd:double)</v>
      </c>
      <c r="W168" s="5" t="s">
        <v>5179</v>
      </c>
      <c r="X168" s="24" t="str">
        <f t="shared" si="52"/>
        <v>arbor.101</v>
      </c>
      <c r="Y168" s="24" t="str">
        <f t="shared" si="53"/>
        <v>Ação de arborizar</v>
      </c>
      <c r="Z168" s="47" t="s">
        <v>2153</v>
      </c>
      <c r="AA168" s="25" t="str">
        <f t="shared" si="69"/>
        <v>null</v>
      </c>
      <c r="AB168" s="26" t="s">
        <v>0</v>
      </c>
      <c r="AC168" s="25" t="str">
        <f t="shared" si="70"/>
        <v>null</v>
      </c>
      <c r="AD168" s="26" t="s">
        <v>0</v>
      </c>
      <c r="AE168" s="25" t="str">
        <f t="shared" si="59"/>
        <v>null</v>
      </c>
      <c r="AF168" s="26" t="s">
        <v>0</v>
      </c>
      <c r="AG168" s="47" t="s">
        <v>2653</v>
      </c>
    </row>
    <row r="169" spans="1:33" ht="6.9" customHeight="1" x14ac:dyDescent="0.4">
      <c r="A169" s="4">
        <f>ROW()</f>
        <v>169</v>
      </c>
      <c r="B169" s="9" t="s">
        <v>27</v>
      </c>
      <c r="C169" s="55" t="str">
        <f t="shared" ref="C169:C199" si="72">SUBSTITUTE(F169,"d.","p.")</f>
        <v>p.arborizar</v>
      </c>
      <c r="D169" s="6" t="str">
        <f t="shared" si="55"/>
        <v>é.ameaçada.de.extinção</v>
      </c>
      <c r="E169" s="8" t="s">
        <v>28</v>
      </c>
      <c r="F169" s="42" t="str">
        <f t="shared" ref="F169:F199" si="73">F168</f>
        <v>d.arborizar</v>
      </c>
      <c r="G169" s="34" t="s">
        <v>2173</v>
      </c>
      <c r="H169" s="42" t="s">
        <v>2121</v>
      </c>
      <c r="I169" s="16" t="str">
        <f t="shared" si="68"/>
        <v>null</v>
      </c>
      <c r="J169" s="15" t="s">
        <v>0</v>
      </c>
      <c r="K169" s="15" t="s">
        <v>0</v>
      </c>
      <c r="L169" s="15" t="s">
        <v>0</v>
      </c>
      <c r="M169" s="15" t="s">
        <v>0</v>
      </c>
      <c r="N169" s="15" t="s">
        <v>0</v>
      </c>
      <c r="O169" s="15" t="s">
        <v>0</v>
      </c>
      <c r="P169" s="15" t="s">
        <v>0</v>
      </c>
      <c r="Q169" s="15" t="s">
        <v>0</v>
      </c>
      <c r="R169" s="15" t="s">
        <v>0</v>
      </c>
      <c r="S169" s="10" t="s">
        <v>1</v>
      </c>
      <c r="T169" s="10" t="s">
        <v>32</v>
      </c>
      <c r="U169" s="5" t="str">
        <f t="shared" si="50"/>
        <v>Propriedade destinada a arborizar: é.ameaçada.de.extinção</v>
      </c>
      <c r="V169" s="5" t="str">
        <f t="shared" si="51"/>
        <v>Dado para arborizar:  ameaçada.de.extinção  Deve ser formatado como (rdfs:Literal  or  xsd:string)</v>
      </c>
      <c r="W169" s="5" t="s">
        <v>5170</v>
      </c>
      <c r="X169" s="24" t="str">
        <f t="shared" si="52"/>
        <v>arbor.102</v>
      </c>
      <c r="Y169" s="24" t="str">
        <f t="shared" si="53"/>
        <v>Ação de arborizar</v>
      </c>
      <c r="Z169" s="47" t="s">
        <v>2174</v>
      </c>
      <c r="AA169" s="25" t="str">
        <f t="shared" si="69"/>
        <v>null</v>
      </c>
      <c r="AB169" s="26" t="s">
        <v>0</v>
      </c>
      <c r="AC169" s="25" t="str">
        <f t="shared" si="70"/>
        <v>null</v>
      </c>
      <c r="AD169" s="26" t="s">
        <v>0</v>
      </c>
      <c r="AE169" s="25" t="str">
        <f t="shared" si="59"/>
        <v>null</v>
      </c>
      <c r="AF169" s="26" t="s">
        <v>0</v>
      </c>
      <c r="AG169" s="47" t="s">
        <v>6873</v>
      </c>
    </row>
    <row r="170" spans="1:33" ht="6.9" customHeight="1" x14ac:dyDescent="0.4">
      <c r="A170" s="4">
        <f>ROW()</f>
        <v>170</v>
      </c>
      <c r="B170" s="9" t="s">
        <v>27</v>
      </c>
      <c r="C170" s="55" t="str">
        <f t="shared" si="72"/>
        <v>p.arborizar</v>
      </c>
      <c r="D170" s="6" t="str">
        <f t="shared" si="55"/>
        <v>é.apta.para.calçada</v>
      </c>
      <c r="E170" s="8" t="s">
        <v>28</v>
      </c>
      <c r="F170" s="42" t="str">
        <f t="shared" si="73"/>
        <v>d.arborizar</v>
      </c>
      <c r="G170" s="43" t="s">
        <v>2161</v>
      </c>
      <c r="H170" s="42" t="s">
        <v>2121</v>
      </c>
      <c r="I170" s="16" t="str">
        <f t="shared" si="68"/>
        <v>null</v>
      </c>
      <c r="J170" s="15" t="s">
        <v>0</v>
      </c>
      <c r="K170" s="15" t="s">
        <v>0</v>
      </c>
      <c r="L170" s="15" t="s">
        <v>0</v>
      </c>
      <c r="M170" s="15" t="s">
        <v>0</v>
      </c>
      <c r="N170" s="15" t="s">
        <v>0</v>
      </c>
      <c r="O170" s="15" t="s">
        <v>0</v>
      </c>
      <c r="P170" s="15" t="s">
        <v>0</v>
      </c>
      <c r="Q170" s="15" t="s">
        <v>0</v>
      </c>
      <c r="R170" s="15" t="s">
        <v>0</v>
      </c>
      <c r="S170" s="10" t="s">
        <v>1</v>
      </c>
      <c r="T170" s="10" t="s">
        <v>32</v>
      </c>
      <c r="U170" s="5" t="str">
        <f t="shared" si="50"/>
        <v>Propriedade destinada a arborizar: é.apta.para.calçada</v>
      </c>
      <c r="V170" s="5" t="str">
        <f t="shared" si="51"/>
        <v>Dado para arborizar:  apta.para.calçada  Deve ser formatado como (rdfs:Literal  or  xsd:string)</v>
      </c>
      <c r="W170" s="5" t="s">
        <v>5184</v>
      </c>
      <c r="X170" s="24" t="str">
        <f t="shared" si="52"/>
        <v>arbor.103</v>
      </c>
      <c r="Y170" s="24" t="str">
        <f t="shared" si="53"/>
        <v>Ação de arborizar</v>
      </c>
      <c r="Z170" s="47" t="s">
        <v>2157</v>
      </c>
      <c r="AA170" s="25" t="str">
        <f t="shared" si="69"/>
        <v>null</v>
      </c>
      <c r="AB170" s="26" t="s">
        <v>0</v>
      </c>
      <c r="AC170" s="25" t="str">
        <f t="shared" si="70"/>
        <v>null</v>
      </c>
      <c r="AD170" s="26" t="s">
        <v>0</v>
      </c>
      <c r="AE170" s="25" t="str">
        <f t="shared" si="59"/>
        <v>null</v>
      </c>
      <c r="AF170" s="26" t="s">
        <v>0</v>
      </c>
      <c r="AG170" s="47" t="s">
        <v>2659</v>
      </c>
    </row>
    <row r="171" spans="1:33" ht="6.9" customHeight="1" x14ac:dyDescent="0.4">
      <c r="A171" s="4">
        <f>ROW()</f>
        <v>171</v>
      </c>
      <c r="B171" s="9" t="s">
        <v>27</v>
      </c>
      <c r="C171" s="55" t="str">
        <f t="shared" si="72"/>
        <v>p.arborizar</v>
      </c>
      <c r="D171" s="6" t="str">
        <f t="shared" si="55"/>
        <v>é.arbusto</v>
      </c>
      <c r="E171" s="8" t="s">
        <v>28</v>
      </c>
      <c r="F171" s="42" t="str">
        <f t="shared" si="73"/>
        <v>d.arborizar</v>
      </c>
      <c r="G171" s="17" t="s">
        <v>444</v>
      </c>
      <c r="H171" s="42" t="s">
        <v>2121</v>
      </c>
      <c r="I171" s="16" t="str">
        <f t="shared" si="68"/>
        <v>null</v>
      </c>
      <c r="J171" s="15" t="s">
        <v>0</v>
      </c>
      <c r="K171" s="15" t="s">
        <v>0</v>
      </c>
      <c r="L171" s="15" t="s">
        <v>0</v>
      </c>
      <c r="M171" s="15" t="s">
        <v>0</v>
      </c>
      <c r="N171" s="15" t="s">
        <v>0</v>
      </c>
      <c r="O171" s="15" t="s">
        <v>0</v>
      </c>
      <c r="P171" s="15" t="s">
        <v>0</v>
      </c>
      <c r="Q171" s="15" t="s">
        <v>0</v>
      </c>
      <c r="R171" s="15" t="s">
        <v>0</v>
      </c>
      <c r="S171" s="10" t="s">
        <v>1</v>
      </c>
      <c r="T171" s="10" t="s">
        <v>32</v>
      </c>
      <c r="U171" s="5" t="str">
        <f t="shared" si="50"/>
        <v>Propriedade destinada a arborizar: é.arbusto</v>
      </c>
      <c r="V171" s="5" t="str">
        <f t="shared" si="51"/>
        <v>Dado para arborizar:  arbusto  Deve ser formatado como (rdfs:Literal  or  xsd:string)</v>
      </c>
      <c r="W171" s="5" t="s">
        <v>5162</v>
      </c>
      <c r="X171" s="24" t="str">
        <f t="shared" si="52"/>
        <v>arbor.104</v>
      </c>
      <c r="Y171" s="24" t="str">
        <f t="shared" si="53"/>
        <v>Ação de arborizar</v>
      </c>
      <c r="Z171" s="47" t="s">
        <v>2210</v>
      </c>
      <c r="AA171" s="25" t="str">
        <f t="shared" si="69"/>
        <v>categoria.revit</v>
      </c>
      <c r="AB171" s="26" t="s">
        <v>3497</v>
      </c>
      <c r="AC171" s="25" t="str">
        <f t="shared" si="70"/>
        <v>classe.ifc</v>
      </c>
      <c r="AD171" s="26" t="s">
        <v>3460</v>
      </c>
      <c r="AE171" s="25" t="str">
        <f t="shared" si="59"/>
        <v>null</v>
      </c>
      <c r="AF171" s="26" t="s">
        <v>0</v>
      </c>
      <c r="AG171" s="47" t="s">
        <v>4653</v>
      </c>
    </row>
    <row r="172" spans="1:33" ht="6.9" customHeight="1" x14ac:dyDescent="0.4">
      <c r="A172" s="4">
        <f>ROW()</f>
        <v>172</v>
      </c>
      <c r="B172" s="9" t="s">
        <v>27</v>
      </c>
      <c r="C172" s="55" t="str">
        <f t="shared" si="72"/>
        <v>p.arborizar</v>
      </c>
      <c r="D172" s="6" t="str">
        <f t="shared" si="55"/>
        <v>é.árvore</v>
      </c>
      <c r="E172" s="8" t="s">
        <v>28</v>
      </c>
      <c r="F172" s="42" t="str">
        <f t="shared" si="73"/>
        <v>d.arborizar</v>
      </c>
      <c r="G172" s="17" t="s">
        <v>443</v>
      </c>
      <c r="H172" s="42" t="s">
        <v>2121</v>
      </c>
      <c r="I172" s="16" t="str">
        <f t="shared" ref="I172" si="74">J172</f>
        <v>null</v>
      </c>
      <c r="J172" s="15" t="s">
        <v>0</v>
      </c>
      <c r="K172" s="15" t="s">
        <v>0</v>
      </c>
      <c r="L172" s="15" t="s">
        <v>0</v>
      </c>
      <c r="M172" s="15" t="s">
        <v>0</v>
      </c>
      <c r="N172" s="15" t="s">
        <v>0</v>
      </c>
      <c r="O172" s="15" t="s">
        <v>0</v>
      </c>
      <c r="P172" s="15" t="s">
        <v>0</v>
      </c>
      <c r="Q172" s="15" t="s">
        <v>0</v>
      </c>
      <c r="R172" s="15" t="s">
        <v>0</v>
      </c>
      <c r="S172" s="10" t="s">
        <v>1</v>
      </c>
      <c r="T172" s="10" t="s">
        <v>32</v>
      </c>
      <c r="U172" s="5" t="str">
        <f t="shared" si="50"/>
        <v>Propriedade destinada a arborizar: é.árvore</v>
      </c>
      <c r="V172" s="5" t="str">
        <f t="shared" si="51"/>
        <v>Dado para arborizar:  árvore  Deve ser formatado como (rdfs:Literal  or  xsd:string)</v>
      </c>
      <c r="W172" s="5" t="s">
        <v>5159</v>
      </c>
      <c r="X172" s="24" t="str">
        <f t="shared" si="52"/>
        <v>arbor.105</v>
      </c>
      <c r="Y172" s="24" t="str">
        <f t="shared" si="53"/>
        <v>Ação de arborizar</v>
      </c>
      <c r="Z172" s="47" t="s">
        <v>2207</v>
      </c>
      <c r="AA172" s="25" t="str">
        <f t="shared" ref="AA172" si="75">IF(AB172="null", "null", "categoria.revit")</f>
        <v>categoria.revit</v>
      </c>
      <c r="AB172" s="26" t="s">
        <v>3497</v>
      </c>
      <c r="AC172" s="25" t="str">
        <f t="shared" ref="AC172" si="76">IF(AD172="null", "null", "classe.ifc")</f>
        <v>classe.ifc</v>
      </c>
      <c r="AD172" s="26" t="s">
        <v>3460</v>
      </c>
      <c r="AE172" s="25" t="str">
        <f t="shared" si="59"/>
        <v>null</v>
      </c>
      <c r="AF172" s="26" t="s">
        <v>0</v>
      </c>
      <c r="AG172" s="47" t="s">
        <v>4650</v>
      </c>
    </row>
    <row r="173" spans="1:33" ht="6.9" customHeight="1" x14ac:dyDescent="0.4">
      <c r="A173" s="4">
        <f>ROW()</f>
        <v>173</v>
      </c>
      <c r="B173" s="9" t="s">
        <v>27</v>
      </c>
      <c r="C173" s="55" t="str">
        <f t="shared" si="72"/>
        <v>p.arborizar</v>
      </c>
      <c r="D173" s="6" t="str">
        <f t="shared" si="55"/>
        <v>é.bambu</v>
      </c>
      <c r="E173" s="8" t="s">
        <v>28</v>
      </c>
      <c r="F173" s="42" t="str">
        <f t="shared" si="73"/>
        <v>d.arborizar</v>
      </c>
      <c r="G173" s="17" t="s">
        <v>2205</v>
      </c>
      <c r="H173" s="42" t="s">
        <v>2121</v>
      </c>
      <c r="I173" s="16" t="str">
        <f t="shared" ref="I173:I199" si="77">J173</f>
        <v>null</v>
      </c>
      <c r="J173" s="15" t="s">
        <v>0</v>
      </c>
      <c r="K173" s="15" t="s">
        <v>0</v>
      </c>
      <c r="L173" s="15" t="s">
        <v>0</v>
      </c>
      <c r="M173" s="15" t="s">
        <v>0</v>
      </c>
      <c r="N173" s="15" t="s">
        <v>0</v>
      </c>
      <c r="O173" s="15" t="s">
        <v>0</v>
      </c>
      <c r="P173" s="15" t="s">
        <v>0</v>
      </c>
      <c r="Q173" s="15" t="s">
        <v>0</v>
      </c>
      <c r="R173" s="15" t="s">
        <v>0</v>
      </c>
      <c r="S173" s="10" t="s">
        <v>1</v>
      </c>
      <c r="T173" s="10" t="s">
        <v>32</v>
      </c>
      <c r="U173" s="5" t="str">
        <f t="shared" si="50"/>
        <v>Propriedade destinada a arborizar: é.bambu</v>
      </c>
      <c r="V173" s="5" t="str">
        <f t="shared" si="51"/>
        <v>Dado para arborizar:  bambu  Deve ser formatado como (rdfs:Literal  or  xsd:string)</v>
      </c>
      <c r="W173" s="5" t="s">
        <v>5163</v>
      </c>
      <c r="X173" s="24" t="str">
        <f t="shared" si="52"/>
        <v>arbor.106</v>
      </c>
      <c r="Y173" s="24" t="str">
        <f t="shared" si="53"/>
        <v>Ação de arborizar</v>
      </c>
      <c r="Z173" s="47" t="s">
        <v>2211</v>
      </c>
      <c r="AA173" s="25" t="str">
        <f t="shared" ref="AA173:AA199" si="78">IF(AB173="null", "null", "categoria.revit")</f>
        <v>categoria.revit</v>
      </c>
      <c r="AB173" s="26" t="s">
        <v>3497</v>
      </c>
      <c r="AC173" s="25" t="str">
        <f t="shared" ref="AC173:AC199" si="79">IF(AD173="null", "null", "classe.ifc")</f>
        <v>classe.ifc</v>
      </c>
      <c r="AD173" s="26" t="s">
        <v>3460</v>
      </c>
      <c r="AE173" s="25" t="str">
        <f t="shared" si="59"/>
        <v>null</v>
      </c>
      <c r="AF173" s="26" t="s">
        <v>0</v>
      </c>
      <c r="AG173" s="47" t="s">
        <v>4654</v>
      </c>
    </row>
    <row r="174" spans="1:33" ht="6.9" customHeight="1" x14ac:dyDescent="0.4">
      <c r="A174" s="4">
        <f>ROW()</f>
        <v>174</v>
      </c>
      <c r="B174" s="9" t="s">
        <v>27</v>
      </c>
      <c r="C174" s="55" t="str">
        <f t="shared" si="72"/>
        <v>p.arborizar</v>
      </c>
      <c r="D174" s="6" t="str">
        <f t="shared" si="55"/>
        <v>é.bioma</v>
      </c>
      <c r="E174" s="8" t="s">
        <v>28</v>
      </c>
      <c r="F174" s="42" t="str">
        <f t="shared" si="73"/>
        <v>d.arborizar</v>
      </c>
      <c r="G174" s="17" t="s">
        <v>195</v>
      </c>
      <c r="H174" s="42" t="s">
        <v>2121</v>
      </c>
      <c r="I174" s="16" t="str">
        <f t="shared" si="77"/>
        <v>null</v>
      </c>
      <c r="J174" s="15" t="s">
        <v>0</v>
      </c>
      <c r="K174" s="15" t="s">
        <v>0</v>
      </c>
      <c r="L174" s="15" t="s">
        <v>0</v>
      </c>
      <c r="M174" s="15" t="s">
        <v>0</v>
      </c>
      <c r="N174" s="15" t="s">
        <v>0</v>
      </c>
      <c r="O174" s="15" t="s">
        <v>0</v>
      </c>
      <c r="P174" s="15" t="s">
        <v>0</v>
      </c>
      <c r="Q174" s="15" t="s">
        <v>0</v>
      </c>
      <c r="R174" s="15" t="s">
        <v>0</v>
      </c>
      <c r="S174" s="10" t="s">
        <v>1</v>
      </c>
      <c r="T174" s="10" t="s">
        <v>32</v>
      </c>
      <c r="U174" s="5" t="str">
        <f t="shared" si="50"/>
        <v>Propriedade destinada a arborizar: é.bioma</v>
      </c>
      <c r="V174" s="5" t="str">
        <f t="shared" si="51"/>
        <v>Dado para arborizar:  bioma  Deve ser formatado como (rdfs:Literal  or  xsd:string)</v>
      </c>
      <c r="W174" s="5" t="s">
        <v>7368</v>
      </c>
      <c r="X174" s="24" t="str">
        <f t="shared" si="52"/>
        <v>arbor.107</v>
      </c>
      <c r="Y174" s="24" t="str">
        <f t="shared" si="53"/>
        <v>Ação de arborizar</v>
      </c>
      <c r="Z174" s="47" t="s">
        <v>7189</v>
      </c>
      <c r="AA174" s="25" t="str">
        <f t="shared" si="78"/>
        <v>null</v>
      </c>
      <c r="AB174" s="26" t="s">
        <v>0</v>
      </c>
      <c r="AC174" s="25" t="str">
        <f t="shared" si="79"/>
        <v>null</v>
      </c>
      <c r="AD174" s="26" t="s">
        <v>0</v>
      </c>
      <c r="AE174" s="25" t="str">
        <f t="shared" si="59"/>
        <v>null</v>
      </c>
      <c r="AF174" s="26" t="s">
        <v>0</v>
      </c>
      <c r="AG174" s="47" t="s">
        <v>6874</v>
      </c>
    </row>
    <row r="175" spans="1:33" ht="6.9" customHeight="1" x14ac:dyDescent="0.4">
      <c r="A175" s="4">
        <f>ROW()</f>
        <v>175</v>
      </c>
      <c r="B175" s="9" t="s">
        <v>27</v>
      </c>
      <c r="C175" s="55" t="str">
        <f t="shared" si="72"/>
        <v>p.arborizar</v>
      </c>
      <c r="D175" s="6" t="str">
        <f t="shared" si="55"/>
        <v>é.cacto</v>
      </c>
      <c r="E175" s="8" t="s">
        <v>28</v>
      </c>
      <c r="F175" s="42" t="str">
        <f t="shared" si="73"/>
        <v>d.arborizar</v>
      </c>
      <c r="G175" s="17" t="s">
        <v>2206</v>
      </c>
      <c r="H175" s="42" t="s">
        <v>2121</v>
      </c>
      <c r="I175" s="16" t="str">
        <f t="shared" si="77"/>
        <v>null</v>
      </c>
      <c r="J175" s="15" t="s">
        <v>0</v>
      </c>
      <c r="K175" s="15" t="s">
        <v>0</v>
      </c>
      <c r="L175" s="15" t="s">
        <v>0</v>
      </c>
      <c r="M175" s="15" t="s">
        <v>0</v>
      </c>
      <c r="N175" s="15" t="s">
        <v>0</v>
      </c>
      <c r="O175" s="15" t="s">
        <v>0</v>
      </c>
      <c r="P175" s="15" t="s">
        <v>0</v>
      </c>
      <c r="Q175" s="15" t="s">
        <v>0</v>
      </c>
      <c r="R175" s="15" t="s">
        <v>0</v>
      </c>
      <c r="S175" s="10" t="s">
        <v>1</v>
      </c>
      <c r="T175" s="10" t="s">
        <v>32</v>
      </c>
      <c r="U175" s="5" t="str">
        <f t="shared" si="50"/>
        <v>Propriedade destinada a arborizar: é.cacto</v>
      </c>
      <c r="V175" s="5" t="str">
        <f t="shared" si="51"/>
        <v>Dado para arborizar:  cacto  Deve ser formatado como (rdfs:Literal  or  xsd:string)</v>
      </c>
      <c r="W175" s="5" t="s">
        <v>5164</v>
      </c>
      <c r="X175" s="24" t="str">
        <f t="shared" si="52"/>
        <v>arbor.108</v>
      </c>
      <c r="Y175" s="24" t="str">
        <f t="shared" si="53"/>
        <v>Ação de arborizar</v>
      </c>
      <c r="Z175" s="47" t="s">
        <v>2212</v>
      </c>
      <c r="AA175" s="25" t="str">
        <f t="shared" si="78"/>
        <v>categoria.revit</v>
      </c>
      <c r="AB175" s="26" t="s">
        <v>3497</v>
      </c>
      <c r="AC175" s="25" t="str">
        <f t="shared" si="79"/>
        <v>classe.ifc</v>
      </c>
      <c r="AD175" s="26" t="s">
        <v>3460</v>
      </c>
      <c r="AE175" s="25" t="str">
        <f t="shared" si="59"/>
        <v>null</v>
      </c>
      <c r="AF175" s="26" t="s">
        <v>0</v>
      </c>
      <c r="AG175" s="47" t="s">
        <v>4655</v>
      </c>
    </row>
    <row r="176" spans="1:33" ht="6.9" customHeight="1" x14ac:dyDescent="0.4">
      <c r="A176" s="4">
        <f>ROW()</f>
        <v>176</v>
      </c>
      <c r="B176" s="9" t="s">
        <v>27</v>
      </c>
      <c r="C176" s="55" t="str">
        <f t="shared" si="72"/>
        <v>p.arborizar</v>
      </c>
      <c r="D176" s="6" t="str">
        <f t="shared" si="55"/>
        <v>é.classe.botânica</v>
      </c>
      <c r="E176" s="8" t="s">
        <v>28</v>
      </c>
      <c r="F176" s="42" t="str">
        <f t="shared" si="73"/>
        <v>d.arborizar</v>
      </c>
      <c r="G176" s="17" t="s">
        <v>2141</v>
      </c>
      <c r="H176" s="42" t="s">
        <v>2121</v>
      </c>
      <c r="I176" s="16" t="str">
        <f t="shared" si="77"/>
        <v>null</v>
      </c>
      <c r="J176" s="15" t="s">
        <v>0</v>
      </c>
      <c r="K176" s="15" t="s">
        <v>0</v>
      </c>
      <c r="L176" s="15" t="s">
        <v>0</v>
      </c>
      <c r="M176" s="15" t="s">
        <v>0</v>
      </c>
      <c r="N176" s="15" t="s">
        <v>0</v>
      </c>
      <c r="O176" s="15" t="s">
        <v>0</v>
      </c>
      <c r="P176" s="15" t="s">
        <v>0</v>
      </c>
      <c r="Q176" s="15" t="s">
        <v>0</v>
      </c>
      <c r="R176" s="15" t="s">
        <v>0</v>
      </c>
      <c r="S176" s="10" t="s">
        <v>1</v>
      </c>
      <c r="T176" s="10" t="s">
        <v>32</v>
      </c>
      <c r="U176" s="5" t="str">
        <f t="shared" si="50"/>
        <v>Propriedade destinada a arborizar: é.classe.botânica</v>
      </c>
      <c r="V176" s="5" t="str">
        <f t="shared" si="51"/>
        <v>Dado para arborizar:  classe.botânica  Deve ser formatado como (rdfs:Literal  or  xsd:string)</v>
      </c>
      <c r="W176" s="5" t="s">
        <v>5172</v>
      </c>
      <c r="X176" s="24" t="str">
        <f t="shared" si="52"/>
        <v>arbor.109</v>
      </c>
      <c r="Y176" s="24" t="str">
        <f t="shared" si="53"/>
        <v>Ação de arborizar</v>
      </c>
      <c r="Z176" s="47" t="s">
        <v>2150</v>
      </c>
      <c r="AA176" s="25" t="str">
        <f t="shared" si="78"/>
        <v>null</v>
      </c>
      <c r="AB176" s="26" t="s">
        <v>0</v>
      </c>
      <c r="AC176" s="25" t="str">
        <f t="shared" si="79"/>
        <v>null</v>
      </c>
      <c r="AD176" s="26" t="s">
        <v>0</v>
      </c>
      <c r="AE176" s="25" t="str">
        <f t="shared" si="59"/>
        <v>null</v>
      </c>
      <c r="AF176" s="26" t="s">
        <v>0</v>
      </c>
      <c r="AG176" s="47" t="s">
        <v>2647</v>
      </c>
    </row>
    <row r="177" spans="1:33" ht="6.9" customHeight="1" x14ac:dyDescent="0.4">
      <c r="A177" s="4">
        <f>ROW()</f>
        <v>177</v>
      </c>
      <c r="B177" s="9" t="s">
        <v>27</v>
      </c>
      <c r="C177" s="55" t="str">
        <f t="shared" si="72"/>
        <v>p.arborizar</v>
      </c>
      <c r="D177" s="6" t="str">
        <f t="shared" si="55"/>
        <v>é.data.de.plantio</v>
      </c>
      <c r="E177" s="8" t="s">
        <v>28</v>
      </c>
      <c r="F177" s="42" t="str">
        <f t="shared" si="73"/>
        <v>d.arborizar</v>
      </c>
      <c r="G177" s="17" t="s">
        <v>2162</v>
      </c>
      <c r="H177" s="41" t="s">
        <v>34</v>
      </c>
      <c r="I177" s="16" t="str">
        <f t="shared" si="77"/>
        <v>null</v>
      </c>
      <c r="J177" s="15" t="s">
        <v>0</v>
      </c>
      <c r="K177" s="15" t="s">
        <v>0</v>
      </c>
      <c r="L177" s="15" t="s">
        <v>0</v>
      </c>
      <c r="M177" s="15" t="s">
        <v>0</v>
      </c>
      <c r="N177" s="15" t="s">
        <v>0</v>
      </c>
      <c r="O177" s="15" t="s">
        <v>0</v>
      </c>
      <c r="P177" s="15" t="s">
        <v>0</v>
      </c>
      <c r="Q177" s="15" t="s">
        <v>0</v>
      </c>
      <c r="R177" s="15" t="s">
        <v>0</v>
      </c>
      <c r="S177" s="10" t="s">
        <v>1</v>
      </c>
      <c r="T177" s="10" t="s">
        <v>32</v>
      </c>
      <c r="U177" s="5" t="str">
        <f t="shared" si="50"/>
        <v>Propriedade destinada a arborizar: é.data.de.plantio</v>
      </c>
      <c r="V177" s="5" t="str">
        <f t="shared" si="51"/>
        <v>Dado para arborizar:  data.de.plantio  Deve ser formatado como (xsd:dateTime)</v>
      </c>
      <c r="W177" s="5" t="s">
        <v>5168</v>
      </c>
      <c r="X177" s="24" t="str">
        <f t="shared" si="52"/>
        <v>arbor.110</v>
      </c>
      <c r="Y177" s="24" t="str">
        <f t="shared" si="53"/>
        <v>Ação de arborizar</v>
      </c>
      <c r="Z177" s="47" t="s">
        <v>1311</v>
      </c>
      <c r="AA177" s="25" t="str">
        <f t="shared" si="78"/>
        <v>null</v>
      </c>
      <c r="AB177" s="26" t="s">
        <v>0</v>
      </c>
      <c r="AC177" s="25" t="str">
        <f t="shared" si="79"/>
        <v>null</v>
      </c>
      <c r="AD177" s="26" t="s">
        <v>0</v>
      </c>
      <c r="AE177" s="25" t="str">
        <f t="shared" si="59"/>
        <v>null</v>
      </c>
      <c r="AF177" s="26" t="s">
        <v>0</v>
      </c>
      <c r="AG177" s="47" t="s">
        <v>2646</v>
      </c>
    </row>
    <row r="178" spans="1:33" ht="6.9" customHeight="1" x14ac:dyDescent="0.4">
      <c r="A178" s="4">
        <f>ROW()</f>
        <v>178</v>
      </c>
      <c r="B178" s="9" t="s">
        <v>27</v>
      </c>
      <c r="C178" s="55" t="str">
        <f t="shared" si="72"/>
        <v>p.arborizar</v>
      </c>
      <c r="D178" s="6" t="str">
        <f t="shared" si="55"/>
        <v>é.diâmetro.do.tronco</v>
      </c>
      <c r="E178" s="8" t="s">
        <v>28</v>
      </c>
      <c r="F178" s="42" t="str">
        <f t="shared" si="73"/>
        <v>d.arborizar</v>
      </c>
      <c r="G178" s="23" t="s">
        <v>4996</v>
      </c>
      <c r="H178" s="41" t="s">
        <v>36</v>
      </c>
      <c r="I178" s="16" t="str">
        <f t="shared" si="77"/>
        <v>null</v>
      </c>
      <c r="J178" s="15" t="s">
        <v>0</v>
      </c>
      <c r="K178" s="15" t="s">
        <v>0</v>
      </c>
      <c r="L178" s="15" t="s">
        <v>0</v>
      </c>
      <c r="M178" s="15" t="s">
        <v>0</v>
      </c>
      <c r="N178" s="15" t="s">
        <v>0</v>
      </c>
      <c r="O178" s="15" t="s">
        <v>0</v>
      </c>
      <c r="P178" s="15" t="s">
        <v>0</v>
      </c>
      <c r="Q178" s="15" t="s">
        <v>0</v>
      </c>
      <c r="R178" s="15" t="s">
        <v>0</v>
      </c>
      <c r="S178" s="10" t="s">
        <v>1</v>
      </c>
      <c r="T178" s="10" t="s">
        <v>32</v>
      </c>
      <c r="U178" s="5" t="str">
        <f t="shared" si="50"/>
        <v>Propriedade destinada a arborizar: é.diâmetro.do.tronco</v>
      </c>
      <c r="V178" s="5" t="str">
        <f t="shared" si="51"/>
        <v>Dado para arborizar:  diâmetro.do.tronco  Deve ser formatado como (xsd:double)</v>
      </c>
      <c r="W178" s="5" t="s">
        <v>5176</v>
      </c>
      <c r="X178" s="24" t="str">
        <f t="shared" si="52"/>
        <v>arbor.111</v>
      </c>
      <c r="Y178" s="24" t="str">
        <f t="shared" si="53"/>
        <v>Ação de arborizar</v>
      </c>
      <c r="Z178" s="47" t="s">
        <v>2168</v>
      </c>
      <c r="AA178" s="25" t="str">
        <f t="shared" si="78"/>
        <v>null</v>
      </c>
      <c r="AB178" s="26" t="s">
        <v>0</v>
      </c>
      <c r="AC178" s="25" t="str">
        <f t="shared" si="79"/>
        <v>null</v>
      </c>
      <c r="AD178" s="26" t="s">
        <v>0</v>
      </c>
      <c r="AE178" s="25" t="str">
        <f t="shared" si="59"/>
        <v>null</v>
      </c>
      <c r="AF178" s="26" t="s">
        <v>0</v>
      </c>
      <c r="AG178" s="47" t="s">
        <v>2650</v>
      </c>
    </row>
    <row r="179" spans="1:33" ht="6.9" customHeight="1" x14ac:dyDescent="0.4">
      <c r="A179" s="4">
        <f>ROW()</f>
        <v>179</v>
      </c>
      <c r="B179" s="9" t="s">
        <v>27</v>
      </c>
      <c r="C179" s="55" t="str">
        <f t="shared" si="72"/>
        <v>p.arborizar</v>
      </c>
      <c r="D179" s="6" t="str">
        <f t="shared" si="55"/>
        <v>é.diâmetro.máximo.da.copa</v>
      </c>
      <c r="E179" s="8" t="s">
        <v>28</v>
      </c>
      <c r="F179" s="42" t="str">
        <f t="shared" si="73"/>
        <v>d.arborizar</v>
      </c>
      <c r="G179" s="23" t="s">
        <v>4998</v>
      </c>
      <c r="H179" s="41" t="s">
        <v>36</v>
      </c>
      <c r="I179" s="16" t="str">
        <f t="shared" si="77"/>
        <v>null</v>
      </c>
      <c r="J179" s="15" t="s">
        <v>0</v>
      </c>
      <c r="K179" s="15" t="s">
        <v>0</v>
      </c>
      <c r="L179" s="15" t="s">
        <v>0</v>
      </c>
      <c r="M179" s="15" t="s">
        <v>0</v>
      </c>
      <c r="N179" s="15" t="s">
        <v>0</v>
      </c>
      <c r="O179" s="15" t="s">
        <v>0</v>
      </c>
      <c r="P179" s="15" t="s">
        <v>0</v>
      </c>
      <c r="Q179" s="15" t="s">
        <v>0</v>
      </c>
      <c r="R179" s="15" t="s">
        <v>0</v>
      </c>
      <c r="S179" s="10" t="s">
        <v>1</v>
      </c>
      <c r="T179" s="10" t="s">
        <v>32</v>
      </c>
      <c r="U179" s="5" t="str">
        <f t="shared" si="50"/>
        <v>Propriedade destinada a arborizar: é.diâmetro.máximo.da.copa</v>
      </c>
      <c r="V179" s="5" t="str">
        <f t="shared" si="51"/>
        <v>Dado para arborizar:  diâmetro.máximo.da.copa  Deve ser formatado como (xsd:double)</v>
      </c>
      <c r="W179" s="5" t="s">
        <v>5178</v>
      </c>
      <c r="X179" s="24" t="str">
        <f t="shared" si="52"/>
        <v>arbor.112</v>
      </c>
      <c r="Y179" s="24" t="str">
        <f t="shared" si="53"/>
        <v>Ação de arborizar</v>
      </c>
      <c r="Z179" s="47" t="s">
        <v>2165</v>
      </c>
      <c r="AA179" s="25" t="str">
        <f t="shared" si="78"/>
        <v>null</v>
      </c>
      <c r="AB179" s="26" t="s">
        <v>0</v>
      </c>
      <c r="AC179" s="25" t="str">
        <f t="shared" si="79"/>
        <v>null</v>
      </c>
      <c r="AD179" s="26" t="s">
        <v>0</v>
      </c>
      <c r="AE179" s="25" t="str">
        <f t="shared" si="59"/>
        <v>null</v>
      </c>
      <c r="AF179" s="26" t="s">
        <v>0</v>
      </c>
      <c r="AG179" s="47" t="s">
        <v>2652</v>
      </c>
    </row>
    <row r="180" spans="1:33" ht="6.9" customHeight="1" x14ac:dyDescent="0.4">
      <c r="A180" s="4">
        <f>ROW()</f>
        <v>180</v>
      </c>
      <c r="B180" s="9" t="s">
        <v>27</v>
      </c>
      <c r="C180" s="55" t="str">
        <f t="shared" si="72"/>
        <v>p.arborizar</v>
      </c>
      <c r="D180" s="6" t="str">
        <f t="shared" si="55"/>
        <v>é.diâmetro.mínimo.da.copa</v>
      </c>
      <c r="E180" s="8" t="s">
        <v>28</v>
      </c>
      <c r="F180" s="42" t="str">
        <f t="shared" si="73"/>
        <v>d.arborizar</v>
      </c>
      <c r="G180" s="23" t="s">
        <v>4997</v>
      </c>
      <c r="H180" s="41" t="s">
        <v>36</v>
      </c>
      <c r="I180" s="16" t="str">
        <f t="shared" si="77"/>
        <v>null</v>
      </c>
      <c r="J180" s="15" t="s">
        <v>0</v>
      </c>
      <c r="K180" s="15" t="s">
        <v>0</v>
      </c>
      <c r="L180" s="15" t="s">
        <v>0</v>
      </c>
      <c r="M180" s="15" t="s">
        <v>0</v>
      </c>
      <c r="N180" s="15" t="s">
        <v>0</v>
      </c>
      <c r="O180" s="15" t="s">
        <v>0</v>
      </c>
      <c r="P180" s="15" t="s">
        <v>0</v>
      </c>
      <c r="Q180" s="15" t="s">
        <v>0</v>
      </c>
      <c r="R180" s="15" t="s">
        <v>0</v>
      </c>
      <c r="S180" s="10" t="s">
        <v>1</v>
      </c>
      <c r="T180" s="10" t="s">
        <v>32</v>
      </c>
      <c r="U180" s="5" t="str">
        <f t="shared" si="50"/>
        <v>Propriedade destinada a arborizar: é.diâmetro.mínimo.da.copa</v>
      </c>
      <c r="V180" s="5" t="str">
        <f t="shared" si="51"/>
        <v>Dado para arborizar:  diâmetro.mínimo.da.copa  Deve ser formatado como (xsd:double)</v>
      </c>
      <c r="W180" s="5" t="s">
        <v>5177</v>
      </c>
      <c r="X180" s="24" t="str">
        <f t="shared" si="52"/>
        <v>arbor.113</v>
      </c>
      <c r="Y180" s="24" t="str">
        <f t="shared" si="53"/>
        <v>Ação de arborizar</v>
      </c>
      <c r="Z180" s="47" t="s">
        <v>2164</v>
      </c>
      <c r="AA180" s="25" t="str">
        <f t="shared" si="78"/>
        <v>null</v>
      </c>
      <c r="AB180" s="26" t="s">
        <v>0</v>
      </c>
      <c r="AC180" s="25" t="str">
        <f t="shared" si="79"/>
        <v>null</v>
      </c>
      <c r="AD180" s="26" t="s">
        <v>0</v>
      </c>
      <c r="AE180" s="25" t="str">
        <f t="shared" si="59"/>
        <v>null</v>
      </c>
      <c r="AF180" s="26" t="s">
        <v>0</v>
      </c>
      <c r="AG180" s="47" t="s">
        <v>2651</v>
      </c>
    </row>
    <row r="181" spans="1:33" ht="6.9" customHeight="1" x14ac:dyDescent="0.4">
      <c r="A181" s="4">
        <f>ROW()</f>
        <v>181</v>
      </c>
      <c r="B181" s="9" t="s">
        <v>27</v>
      </c>
      <c r="C181" s="55" t="str">
        <f t="shared" si="72"/>
        <v>p.arborizar</v>
      </c>
      <c r="D181" s="6" t="str">
        <f t="shared" si="55"/>
        <v>é.divisão.botânica</v>
      </c>
      <c r="E181" s="8" t="s">
        <v>28</v>
      </c>
      <c r="F181" s="42" t="str">
        <f t="shared" si="73"/>
        <v>d.arborizar</v>
      </c>
      <c r="G181" s="17" t="s">
        <v>2140</v>
      </c>
      <c r="H181" s="42" t="s">
        <v>2121</v>
      </c>
      <c r="I181" s="16" t="str">
        <f t="shared" si="77"/>
        <v>null</v>
      </c>
      <c r="J181" s="15" t="s">
        <v>0</v>
      </c>
      <c r="K181" s="15" t="s">
        <v>0</v>
      </c>
      <c r="L181" s="15" t="s">
        <v>0</v>
      </c>
      <c r="M181" s="15" t="s">
        <v>0</v>
      </c>
      <c r="N181" s="15" t="s">
        <v>0</v>
      </c>
      <c r="O181" s="15" t="s">
        <v>0</v>
      </c>
      <c r="P181" s="15" t="s">
        <v>0</v>
      </c>
      <c r="Q181" s="15" t="s">
        <v>0</v>
      </c>
      <c r="R181" s="15" t="s">
        <v>0</v>
      </c>
      <c r="S181" s="10" t="s">
        <v>1</v>
      </c>
      <c r="T181" s="10" t="s">
        <v>32</v>
      </c>
      <c r="U181" s="5" t="str">
        <f t="shared" si="50"/>
        <v>Propriedade destinada a arborizar: é.divisão.botânica</v>
      </c>
      <c r="V181" s="5" t="str">
        <f t="shared" si="51"/>
        <v>Dado para arborizar:  divisão.botânica  Deve ser formatado como (rdfs:Literal  or  xsd:string)</v>
      </c>
      <c r="W181" s="5" t="s">
        <v>5171</v>
      </c>
      <c r="X181" s="24" t="str">
        <f t="shared" si="52"/>
        <v>arbor.114</v>
      </c>
      <c r="Y181" s="24" t="str">
        <f t="shared" si="53"/>
        <v>Ação de arborizar</v>
      </c>
      <c r="Z181" s="47" t="s">
        <v>2149</v>
      </c>
      <c r="AA181" s="25" t="str">
        <f t="shared" si="78"/>
        <v>null</v>
      </c>
      <c r="AB181" s="26" t="s">
        <v>0</v>
      </c>
      <c r="AC181" s="25" t="str">
        <f t="shared" si="79"/>
        <v>null</v>
      </c>
      <c r="AD181" s="26" t="s">
        <v>0</v>
      </c>
      <c r="AE181" s="25" t="str">
        <f t="shared" si="59"/>
        <v>null</v>
      </c>
      <c r="AF181" s="26" t="s">
        <v>0</v>
      </c>
      <c r="AG181" s="47" t="s">
        <v>4658</v>
      </c>
    </row>
    <row r="182" spans="1:33" ht="6.9" customHeight="1" x14ac:dyDescent="0.4">
      <c r="A182" s="4">
        <f>ROW()</f>
        <v>182</v>
      </c>
      <c r="B182" s="9" t="s">
        <v>27</v>
      </c>
      <c r="C182" s="55" t="str">
        <f t="shared" si="72"/>
        <v>p.arborizar</v>
      </c>
      <c r="D182" s="6" t="str">
        <f t="shared" si="55"/>
        <v>é.espécie</v>
      </c>
      <c r="E182" s="8" t="s">
        <v>28</v>
      </c>
      <c r="F182" s="42" t="str">
        <f t="shared" si="73"/>
        <v>d.arborizar</v>
      </c>
      <c r="G182" s="17" t="s">
        <v>169</v>
      </c>
      <c r="H182" s="42" t="s">
        <v>2121</v>
      </c>
      <c r="I182" s="16" t="str">
        <f t="shared" si="77"/>
        <v>null</v>
      </c>
      <c r="J182" s="15" t="s">
        <v>0</v>
      </c>
      <c r="K182" s="15" t="s">
        <v>0</v>
      </c>
      <c r="L182" s="15" t="s">
        <v>0</v>
      </c>
      <c r="M182" s="15" t="s">
        <v>0</v>
      </c>
      <c r="N182" s="15" t="s">
        <v>0</v>
      </c>
      <c r="O182" s="15" t="s">
        <v>0</v>
      </c>
      <c r="P182" s="15" t="s">
        <v>0</v>
      </c>
      <c r="Q182" s="15" t="s">
        <v>0</v>
      </c>
      <c r="R182" s="15" t="s">
        <v>0</v>
      </c>
      <c r="S182" s="10" t="s">
        <v>1</v>
      </c>
      <c r="T182" s="10" t="s">
        <v>32</v>
      </c>
      <c r="U182" s="5" t="str">
        <f t="shared" si="50"/>
        <v>Propriedade destinada a arborizar: é.espécie</v>
      </c>
      <c r="V182" s="5" t="str">
        <f t="shared" si="51"/>
        <v>Dado para arborizar:  espécie  Deve ser formatado como (rdfs:Literal  or  xsd:string)</v>
      </c>
      <c r="W182" s="5" t="s">
        <v>5167</v>
      </c>
      <c r="X182" s="24" t="str">
        <f t="shared" si="52"/>
        <v>arbor.115</v>
      </c>
      <c r="Y182" s="24" t="str">
        <f t="shared" si="53"/>
        <v>Ação de arborizar</v>
      </c>
      <c r="Z182" s="47" t="s">
        <v>1309</v>
      </c>
      <c r="AA182" s="25" t="str">
        <f t="shared" si="78"/>
        <v>categoria.revit</v>
      </c>
      <c r="AB182" s="26" t="s">
        <v>3497</v>
      </c>
      <c r="AC182" s="25" t="str">
        <f t="shared" si="79"/>
        <v>classe.ifc</v>
      </c>
      <c r="AD182" s="26" t="s">
        <v>3460</v>
      </c>
      <c r="AE182" s="25" t="str">
        <f t="shared" si="59"/>
        <v>null</v>
      </c>
      <c r="AF182" s="26" t="s">
        <v>0</v>
      </c>
      <c r="AG182" s="47" t="s">
        <v>2644</v>
      </c>
    </row>
    <row r="183" spans="1:33" ht="6.9" customHeight="1" x14ac:dyDescent="0.4">
      <c r="A183" s="4">
        <f>ROW()</f>
        <v>183</v>
      </c>
      <c r="B183" s="9" t="s">
        <v>27</v>
      </c>
      <c r="C183" s="55" t="str">
        <f t="shared" si="72"/>
        <v>p.arborizar</v>
      </c>
      <c r="D183" s="6" t="str">
        <f t="shared" si="55"/>
        <v>é.família.botânica</v>
      </c>
      <c r="E183" s="8" t="s">
        <v>28</v>
      </c>
      <c r="F183" s="42" t="str">
        <f t="shared" si="73"/>
        <v>d.arborizar</v>
      </c>
      <c r="G183" s="17" t="s">
        <v>2143</v>
      </c>
      <c r="H183" s="42" t="s">
        <v>2121</v>
      </c>
      <c r="I183" s="16" t="str">
        <f t="shared" si="77"/>
        <v>null</v>
      </c>
      <c r="J183" s="15" t="s">
        <v>0</v>
      </c>
      <c r="K183" s="15" t="s">
        <v>0</v>
      </c>
      <c r="L183" s="15" t="s">
        <v>0</v>
      </c>
      <c r="M183" s="15" t="s">
        <v>0</v>
      </c>
      <c r="N183" s="15" t="s">
        <v>0</v>
      </c>
      <c r="O183" s="15" t="s">
        <v>0</v>
      </c>
      <c r="P183" s="15" t="s">
        <v>0</v>
      </c>
      <c r="Q183" s="15" t="s">
        <v>0</v>
      </c>
      <c r="R183" s="15" t="s">
        <v>0</v>
      </c>
      <c r="S183" s="10" t="s">
        <v>1</v>
      </c>
      <c r="T183" s="10" t="s">
        <v>32</v>
      </c>
      <c r="U183" s="5" t="str">
        <f t="shared" si="50"/>
        <v>Propriedade destinada a arborizar: é.família.botânica</v>
      </c>
      <c r="V183" s="5" t="str">
        <f t="shared" si="51"/>
        <v>Dado para arborizar:  família.botânica  Deve ser formatado como (rdfs:Literal  or  xsd:string)</v>
      </c>
      <c r="W183" s="5" t="s">
        <v>5174</v>
      </c>
      <c r="X183" s="24" t="str">
        <f t="shared" si="52"/>
        <v>arbor.116</v>
      </c>
      <c r="Y183" s="24" t="str">
        <f t="shared" si="53"/>
        <v>Ação de arborizar</v>
      </c>
      <c r="Z183" s="47" t="s">
        <v>2152</v>
      </c>
      <c r="AA183" s="25" t="str">
        <f t="shared" si="78"/>
        <v>null</v>
      </c>
      <c r="AB183" s="26" t="s">
        <v>0</v>
      </c>
      <c r="AC183" s="25" t="str">
        <f t="shared" si="79"/>
        <v>null</v>
      </c>
      <c r="AD183" s="26" t="s">
        <v>0</v>
      </c>
      <c r="AE183" s="25" t="str">
        <f t="shared" si="59"/>
        <v>null</v>
      </c>
      <c r="AF183" s="26" t="s">
        <v>0</v>
      </c>
      <c r="AG183" s="47" t="s">
        <v>2648</v>
      </c>
    </row>
    <row r="184" spans="1:33" ht="6.9" customHeight="1" x14ac:dyDescent="0.4">
      <c r="A184" s="4">
        <f>ROW()</f>
        <v>184</v>
      </c>
      <c r="B184" s="9" t="s">
        <v>27</v>
      </c>
      <c r="C184" s="55" t="str">
        <f t="shared" si="72"/>
        <v>p.arborizar</v>
      </c>
      <c r="D184" s="6" t="str">
        <f t="shared" si="55"/>
        <v>é.flor</v>
      </c>
      <c r="E184" s="8" t="s">
        <v>28</v>
      </c>
      <c r="F184" s="42" t="str">
        <f t="shared" si="73"/>
        <v>d.arborizar</v>
      </c>
      <c r="G184" s="17" t="s">
        <v>460</v>
      </c>
      <c r="H184" s="42" t="s">
        <v>2121</v>
      </c>
      <c r="I184" s="16" t="str">
        <f t="shared" si="77"/>
        <v>null</v>
      </c>
      <c r="J184" s="15" t="s">
        <v>0</v>
      </c>
      <c r="K184" s="15" t="s">
        <v>0</v>
      </c>
      <c r="L184" s="15" t="s">
        <v>0</v>
      </c>
      <c r="M184" s="15" t="s">
        <v>0</v>
      </c>
      <c r="N184" s="15" t="s">
        <v>0</v>
      </c>
      <c r="O184" s="15" t="s">
        <v>0</v>
      </c>
      <c r="P184" s="15" t="s">
        <v>0</v>
      </c>
      <c r="Q184" s="15" t="s">
        <v>0</v>
      </c>
      <c r="R184" s="15" t="s">
        <v>0</v>
      </c>
      <c r="S184" s="10" t="s">
        <v>1</v>
      </c>
      <c r="T184" s="10" t="s">
        <v>32</v>
      </c>
      <c r="U184" s="5" t="str">
        <f t="shared" si="50"/>
        <v>Propriedade destinada a arborizar: é.flor</v>
      </c>
      <c r="V184" s="5" t="str">
        <f t="shared" si="51"/>
        <v>Dado para arborizar:  flor  Deve ser formatado como (rdfs:Literal  or  xsd:string)</v>
      </c>
      <c r="W184" s="5" t="s">
        <v>5160</v>
      </c>
      <c r="X184" s="24" t="str">
        <f t="shared" si="52"/>
        <v>arbor.117</v>
      </c>
      <c r="Y184" s="24" t="str">
        <f t="shared" si="53"/>
        <v>Ação de arborizar</v>
      </c>
      <c r="Z184" s="47" t="s">
        <v>2208</v>
      </c>
      <c r="AA184" s="25" t="str">
        <f t="shared" si="78"/>
        <v>categoria.revit</v>
      </c>
      <c r="AB184" s="26" t="s">
        <v>3497</v>
      </c>
      <c r="AC184" s="25" t="str">
        <f t="shared" si="79"/>
        <v>classe.ifc</v>
      </c>
      <c r="AD184" s="26" t="s">
        <v>3460</v>
      </c>
      <c r="AE184" s="25" t="str">
        <f t="shared" si="59"/>
        <v>null</v>
      </c>
      <c r="AF184" s="26" t="s">
        <v>0</v>
      </c>
      <c r="AG184" s="47" t="s">
        <v>4651</v>
      </c>
    </row>
    <row r="185" spans="1:33" ht="6.9" customHeight="1" x14ac:dyDescent="0.4">
      <c r="A185" s="4">
        <f>ROW()</f>
        <v>185</v>
      </c>
      <c r="B185" s="9" t="s">
        <v>27</v>
      </c>
      <c r="C185" s="55" t="str">
        <f t="shared" si="72"/>
        <v>p.arborizar</v>
      </c>
      <c r="D185" s="6" t="str">
        <f t="shared" si="55"/>
        <v>é.fração.de.biomassa.seca</v>
      </c>
      <c r="E185" s="8" t="s">
        <v>28</v>
      </c>
      <c r="F185" s="42" t="str">
        <f t="shared" si="73"/>
        <v>d.arborizar</v>
      </c>
      <c r="G185" s="43" t="s">
        <v>7363</v>
      </c>
      <c r="H185" s="41" t="s">
        <v>36</v>
      </c>
      <c r="I185" s="16" t="str">
        <f t="shared" si="77"/>
        <v>null</v>
      </c>
      <c r="J185" s="15" t="s">
        <v>0</v>
      </c>
      <c r="K185" s="15" t="s">
        <v>0</v>
      </c>
      <c r="L185" s="15" t="s">
        <v>0</v>
      </c>
      <c r="M185" s="15" t="s">
        <v>0</v>
      </c>
      <c r="N185" s="15" t="s">
        <v>0</v>
      </c>
      <c r="O185" s="15" t="s">
        <v>0</v>
      </c>
      <c r="P185" s="15" t="s">
        <v>0</v>
      </c>
      <c r="Q185" s="15" t="s">
        <v>0</v>
      </c>
      <c r="R185" s="15" t="s">
        <v>0</v>
      </c>
      <c r="S185" s="10" t="s">
        <v>1</v>
      </c>
      <c r="T185" s="10" t="s">
        <v>32</v>
      </c>
      <c r="U185" s="5" t="str">
        <f t="shared" si="50"/>
        <v>Propriedade destinada a arborizar: é.fração.de.biomassa.seca</v>
      </c>
      <c r="V185" s="5" t="str">
        <f t="shared" si="51"/>
        <v>Dado para arborizar:  fração.de.biomassa.seca  Deve ser formatado como (xsd:double)</v>
      </c>
      <c r="W185" s="5" t="s">
        <v>5187</v>
      </c>
      <c r="X185" s="24" t="str">
        <f t="shared" si="52"/>
        <v>arbor.118</v>
      </c>
      <c r="Y185" s="24" t="str">
        <f t="shared" si="53"/>
        <v>Ação de arborizar</v>
      </c>
      <c r="Z185" s="47" t="s">
        <v>4108</v>
      </c>
      <c r="AA185" s="25" t="str">
        <f t="shared" si="78"/>
        <v>null</v>
      </c>
      <c r="AB185" s="26" t="s">
        <v>0</v>
      </c>
      <c r="AC185" s="25" t="str">
        <f t="shared" si="79"/>
        <v>null</v>
      </c>
      <c r="AD185" s="26" t="s">
        <v>0</v>
      </c>
      <c r="AE185" s="25" t="str">
        <f t="shared" si="59"/>
        <v>null</v>
      </c>
      <c r="AF185" s="26" t="s">
        <v>0</v>
      </c>
      <c r="AG185" s="47" t="s">
        <v>4109</v>
      </c>
    </row>
    <row r="186" spans="1:33" ht="6.9" customHeight="1" x14ac:dyDescent="0.4">
      <c r="A186" s="4">
        <f>ROW()</f>
        <v>186</v>
      </c>
      <c r="B186" s="9" t="s">
        <v>27</v>
      </c>
      <c r="C186" s="55" t="str">
        <f t="shared" si="72"/>
        <v>p.arborizar</v>
      </c>
      <c r="D186" s="6" t="str">
        <f t="shared" si="55"/>
        <v>é.grama</v>
      </c>
      <c r="E186" s="8" t="s">
        <v>28</v>
      </c>
      <c r="F186" s="42" t="str">
        <f t="shared" si="73"/>
        <v>d.arborizar</v>
      </c>
      <c r="G186" s="17" t="s">
        <v>2204</v>
      </c>
      <c r="H186" s="42" t="s">
        <v>2121</v>
      </c>
      <c r="I186" s="16" t="str">
        <f t="shared" si="77"/>
        <v>null</v>
      </c>
      <c r="J186" s="15" t="s">
        <v>0</v>
      </c>
      <c r="K186" s="15" t="s">
        <v>0</v>
      </c>
      <c r="L186" s="15" t="s">
        <v>0</v>
      </c>
      <c r="M186" s="15" t="s">
        <v>0</v>
      </c>
      <c r="N186" s="15" t="s">
        <v>0</v>
      </c>
      <c r="O186" s="15" t="s">
        <v>0</v>
      </c>
      <c r="P186" s="15" t="s">
        <v>0</v>
      </c>
      <c r="Q186" s="15" t="s">
        <v>0</v>
      </c>
      <c r="R186" s="15" t="s">
        <v>0</v>
      </c>
      <c r="S186" s="10" t="s">
        <v>1</v>
      </c>
      <c r="T186" s="10" t="s">
        <v>32</v>
      </c>
      <c r="U186" s="5" t="str">
        <f t="shared" si="50"/>
        <v>Propriedade destinada a arborizar: é.grama</v>
      </c>
      <c r="V186" s="5" t="str">
        <f t="shared" si="51"/>
        <v>Dado para arborizar:  grama  Deve ser formatado como (rdfs:Literal  or  xsd:string)</v>
      </c>
      <c r="W186" s="5" t="s">
        <v>5166</v>
      </c>
      <c r="X186" s="24" t="str">
        <f t="shared" si="52"/>
        <v>arbor.119</v>
      </c>
      <c r="Y186" s="24" t="str">
        <f t="shared" si="53"/>
        <v>Ação de arborizar</v>
      </c>
      <c r="Z186" s="47" t="s">
        <v>4588</v>
      </c>
      <c r="AA186" s="25" t="str">
        <f t="shared" si="78"/>
        <v>categoria.revit</v>
      </c>
      <c r="AB186" s="26" t="s">
        <v>3497</v>
      </c>
      <c r="AC186" s="25" t="str">
        <f t="shared" si="79"/>
        <v>classe.ifc</v>
      </c>
      <c r="AD186" s="26" t="s">
        <v>3460</v>
      </c>
      <c r="AE186" s="25" t="str">
        <f t="shared" si="59"/>
        <v>null</v>
      </c>
      <c r="AF186" s="26" t="s">
        <v>0</v>
      </c>
      <c r="AG186" s="47" t="s">
        <v>4765</v>
      </c>
    </row>
    <row r="187" spans="1:33" ht="6.9" customHeight="1" x14ac:dyDescent="0.4">
      <c r="A187" s="4">
        <f>ROW()</f>
        <v>187</v>
      </c>
      <c r="B187" s="9" t="s">
        <v>27</v>
      </c>
      <c r="C187" s="55" t="str">
        <f t="shared" si="72"/>
        <v>p.arborizar</v>
      </c>
      <c r="D187" s="6" t="str">
        <f t="shared" si="55"/>
        <v>é.longevidade.da.planta</v>
      </c>
      <c r="E187" s="8" t="s">
        <v>28</v>
      </c>
      <c r="F187" s="42" t="str">
        <f t="shared" si="73"/>
        <v>d.arborizar</v>
      </c>
      <c r="G187" s="43" t="s">
        <v>2169</v>
      </c>
      <c r="H187" s="42" t="s">
        <v>2121</v>
      </c>
      <c r="I187" s="16" t="str">
        <f t="shared" si="77"/>
        <v>null</v>
      </c>
      <c r="J187" s="15" t="s">
        <v>0</v>
      </c>
      <c r="K187" s="15" t="s">
        <v>0</v>
      </c>
      <c r="L187" s="15" t="s">
        <v>0</v>
      </c>
      <c r="M187" s="15" t="s">
        <v>0</v>
      </c>
      <c r="N187" s="15" t="s">
        <v>0</v>
      </c>
      <c r="O187" s="15" t="s">
        <v>0</v>
      </c>
      <c r="P187" s="15" t="s">
        <v>0</v>
      </c>
      <c r="Q187" s="15" t="s">
        <v>0</v>
      </c>
      <c r="R187" s="15" t="s">
        <v>0</v>
      </c>
      <c r="S187" s="10" t="s">
        <v>1</v>
      </c>
      <c r="T187" s="10" t="s">
        <v>32</v>
      </c>
      <c r="U187" s="5" t="str">
        <f t="shared" si="50"/>
        <v>Propriedade destinada a arborizar: é.longevidade.da.planta</v>
      </c>
      <c r="V187" s="5" t="str">
        <f t="shared" si="51"/>
        <v>Dado para arborizar:  longevidade.da.planta  Deve ser formatado como (rdfs:Literal  or  xsd:string)</v>
      </c>
      <c r="W187" s="5" t="s">
        <v>5185</v>
      </c>
      <c r="X187" s="24" t="str">
        <f t="shared" si="52"/>
        <v>arbor.120</v>
      </c>
      <c r="Y187" s="24" t="str">
        <f t="shared" si="53"/>
        <v>Ação de arborizar</v>
      </c>
      <c r="Z187" s="47" t="s">
        <v>2171</v>
      </c>
      <c r="AA187" s="25" t="str">
        <f t="shared" si="78"/>
        <v>null</v>
      </c>
      <c r="AB187" s="26" t="s">
        <v>0</v>
      </c>
      <c r="AC187" s="25" t="str">
        <f t="shared" si="79"/>
        <v>null</v>
      </c>
      <c r="AD187" s="26" t="s">
        <v>0</v>
      </c>
      <c r="AE187" s="25" t="str">
        <f t="shared" si="59"/>
        <v>null</v>
      </c>
      <c r="AF187" s="26" t="s">
        <v>0</v>
      </c>
      <c r="AG187" s="47" t="s">
        <v>2660</v>
      </c>
    </row>
    <row r="188" spans="1:33" ht="6.9" customHeight="1" x14ac:dyDescent="0.4">
      <c r="A188" s="4">
        <f>ROW()</f>
        <v>188</v>
      </c>
      <c r="B188" s="9" t="s">
        <v>27</v>
      </c>
      <c r="C188" s="55" t="str">
        <f t="shared" si="72"/>
        <v>p.arborizar</v>
      </c>
      <c r="D188" s="6" t="str">
        <f t="shared" si="55"/>
        <v>é.mês.de.floração</v>
      </c>
      <c r="E188" s="8" t="s">
        <v>28</v>
      </c>
      <c r="F188" s="42" t="str">
        <f t="shared" si="73"/>
        <v>d.arborizar</v>
      </c>
      <c r="G188" s="43" t="s">
        <v>2170</v>
      </c>
      <c r="H188" s="42" t="s">
        <v>2121</v>
      </c>
      <c r="I188" s="16" t="str">
        <f t="shared" si="77"/>
        <v>null</v>
      </c>
      <c r="J188" s="15" t="s">
        <v>0</v>
      </c>
      <c r="K188" s="15" t="s">
        <v>0</v>
      </c>
      <c r="L188" s="15" t="s">
        <v>0</v>
      </c>
      <c r="M188" s="15" t="s">
        <v>0</v>
      </c>
      <c r="N188" s="15" t="s">
        <v>0</v>
      </c>
      <c r="O188" s="15" t="s">
        <v>0</v>
      </c>
      <c r="P188" s="15" t="s">
        <v>0</v>
      </c>
      <c r="Q188" s="15" t="s">
        <v>0</v>
      </c>
      <c r="R188" s="15" t="s">
        <v>0</v>
      </c>
      <c r="S188" s="10" t="s">
        <v>1</v>
      </c>
      <c r="T188" s="10" t="s">
        <v>32</v>
      </c>
      <c r="U188" s="5" t="str">
        <f t="shared" si="50"/>
        <v>Propriedade destinada a arborizar: é.mês.de.floração</v>
      </c>
      <c r="V188" s="5" t="str">
        <f t="shared" si="51"/>
        <v>Dado para arborizar:  mês.de.floração  Deve ser formatado como (rdfs:Literal  or  xsd:string)</v>
      </c>
      <c r="W188" s="5" t="s">
        <v>5186</v>
      </c>
      <c r="X188" s="24" t="str">
        <f t="shared" si="52"/>
        <v>arbor.121</v>
      </c>
      <c r="Y188" s="24" t="str">
        <f t="shared" si="53"/>
        <v>Ação de arborizar</v>
      </c>
      <c r="Z188" s="47" t="s">
        <v>2172</v>
      </c>
      <c r="AA188" s="25" t="str">
        <f t="shared" si="78"/>
        <v>null</v>
      </c>
      <c r="AB188" s="26" t="s">
        <v>0</v>
      </c>
      <c r="AC188" s="25" t="str">
        <f t="shared" si="79"/>
        <v>null</v>
      </c>
      <c r="AD188" s="26" t="s">
        <v>0</v>
      </c>
      <c r="AE188" s="25" t="str">
        <f t="shared" si="59"/>
        <v>null</v>
      </c>
      <c r="AF188" s="26" t="s">
        <v>0</v>
      </c>
      <c r="AG188" s="47" t="s">
        <v>2661</v>
      </c>
    </row>
    <row r="189" spans="1:33" ht="6.9" customHeight="1" x14ac:dyDescent="0.4">
      <c r="A189" s="4">
        <f>ROW()</f>
        <v>189</v>
      </c>
      <c r="B189" s="9" t="s">
        <v>27</v>
      </c>
      <c r="C189" s="55" t="str">
        <f t="shared" si="72"/>
        <v>p.arborizar</v>
      </c>
      <c r="D189" s="6" t="str">
        <f t="shared" si="55"/>
        <v>é.nome.científico</v>
      </c>
      <c r="E189" s="8" t="s">
        <v>28</v>
      </c>
      <c r="F189" s="42" t="str">
        <f t="shared" si="73"/>
        <v>d.arborizar</v>
      </c>
      <c r="G189" s="34" t="s">
        <v>2144</v>
      </c>
      <c r="H189" s="42" t="s">
        <v>2121</v>
      </c>
      <c r="I189" s="16" t="str">
        <f t="shared" si="77"/>
        <v>null</v>
      </c>
      <c r="J189" s="15" t="s">
        <v>0</v>
      </c>
      <c r="K189" s="15" t="s">
        <v>0</v>
      </c>
      <c r="L189" s="15" t="s">
        <v>0</v>
      </c>
      <c r="M189" s="15" t="s">
        <v>0</v>
      </c>
      <c r="N189" s="15" t="s">
        <v>0</v>
      </c>
      <c r="O189" s="15" t="s">
        <v>0</v>
      </c>
      <c r="P189" s="15" t="s">
        <v>0</v>
      </c>
      <c r="Q189" s="15" t="s">
        <v>0</v>
      </c>
      <c r="R189" s="15" t="s">
        <v>0</v>
      </c>
      <c r="S189" s="10" t="s">
        <v>1</v>
      </c>
      <c r="T189" s="10" t="s">
        <v>32</v>
      </c>
      <c r="U189" s="5" t="str">
        <f t="shared" si="50"/>
        <v>Propriedade destinada a arborizar: é.nome.científico</v>
      </c>
      <c r="V189" s="5" t="str">
        <f t="shared" si="51"/>
        <v>Dado para arborizar:  nome.científico  Deve ser formatado como (rdfs:Literal  or  xsd:string)</v>
      </c>
      <c r="W189" s="5" t="s">
        <v>5169</v>
      </c>
      <c r="X189" s="24" t="str">
        <f t="shared" si="52"/>
        <v>arbor.122</v>
      </c>
      <c r="Y189" s="24" t="str">
        <f t="shared" si="53"/>
        <v>Ação de arborizar</v>
      </c>
      <c r="Z189" s="47" t="s">
        <v>2175</v>
      </c>
      <c r="AA189" s="25" t="str">
        <f t="shared" si="78"/>
        <v>null</v>
      </c>
      <c r="AB189" s="26" t="s">
        <v>0</v>
      </c>
      <c r="AC189" s="25" t="str">
        <f t="shared" si="79"/>
        <v>null</v>
      </c>
      <c r="AD189" s="26" t="s">
        <v>0</v>
      </c>
      <c r="AE189" s="25" t="str">
        <f t="shared" si="59"/>
        <v>null</v>
      </c>
      <c r="AF189" s="26" t="s">
        <v>0</v>
      </c>
      <c r="AG189" s="47" t="s">
        <v>4657</v>
      </c>
    </row>
    <row r="190" spans="1:33" ht="6.9" customHeight="1" x14ac:dyDescent="0.4">
      <c r="A190" s="4">
        <f>ROW()</f>
        <v>190</v>
      </c>
      <c r="B190" s="9" t="s">
        <v>27</v>
      </c>
      <c r="C190" s="55" t="str">
        <f t="shared" si="72"/>
        <v>p.arborizar</v>
      </c>
      <c r="D190" s="6" t="str">
        <f t="shared" si="55"/>
        <v>é.ordem.botânica</v>
      </c>
      <c r="E190" s="8" t="s">
        <v>28</v>
      </c>
      <c r="F190" s="42" t="str">
        <f t="shared" si="73"/>
        <v>d.arborizar</v>
      </c>
      <c r="G190" s="17" t="s">
        <v>2142</v>
      </c>
      <c r="H190" s="42" t="s">
        <v>2121</v>
      </c>
      <c r="I190" s="16" t="str">
        <f t="shared" si="77"/>
        <v>null</v>
      </c>
      <c r="J190" s="15" t="s">
        <v>0</v>
      </c>
      <c r="K190" s="15" t="s">
        <v>0</v>
      </c>
      <c r="L190" s="15" t="s">
        <v>0</v>
      </c>
      <c r="M190" s="15" t="s">
        <v>0</v>
      </c>
      <c r="N190" s="15" t="s">
        <v>0</v>
      </c>
      <c r="O190" s="15" t="s">
        <v>0</v>
      </c>
      <c r="P190" s="15" t="s">
        <v>0</v>
      </c>
      <c r="Q190" s="15" t="s">
        <v>0</v>
      </c>
      <c r="R190" s="15" t="s">
        <v>0</v>
      </c>
      <c r="S190" s="10" t="s">
        <v>1</v>
      </c>
      <c r="T190" s="10" t="s">
        <v>32</v>
      </c>
      <c r="U190" s="5" t="str">
        <f t="shared" si="50"/>
        <v>Propriedade destinada a arborizar: é.ordem.botânica</v>
      </c>
      <c r="V190" s="5" t="str">
        <f t="shared" si="51"/>
        <v>Dado para arborizar:  ordem.botânica  Deve ser formatado como (rdfs:Literal  or  xsd:string)</v>
      </c>
      <c r="W190" s="5" t="s">
        <v>5173</v>
      </c>
      <c r="X190" s="24" t="str">
        <f t="shared" si="52"/>
        <v>arbor.123</v>
      </c>
      <c r="Y190" s="24" t="str">
        <f t="shared" si="53"/>
        <v>Ação de arborizar</v>
      </c>
      <c r="Z190" s="47" t="s">
        <v>2151</v>
      </c>
      <c r="AA190" s="25" t="str">
        <f t="shared" si="78"/>
        <v>null</v>
      </c>
      <c r="AB190" s="26" t="s">
        <v>0</v>
      </c>
      <c r="AC190" s="25" t="str">
        <f t="shared" si="79"/>
        <v>null</v>
      </c>
      <c r="AD190" s="26" t="s">
        <v>0</v>
      </c>
      <c r="AE190" s="25" t="str">
        <f t="shared" si="59"/>
        <v>null</v>
      </c>
      <c r="AF190" s="26" t="s">
        <v>0</v>
      </c>
      <c r="AG190" s="47" t="s">
        <v>4659</v>
      </c>
    </row>
    <row r="191" spans="1:33" ht="6.9" customHeight="1" x14ac:dyDescent="0.4">
      <c r="A191" s="4">
        <f>ROW()</f>
        <v>191</v>
      </c>
      <c r="B191" s="9" t="s">
        <v>27</v>
      </c>
      <c r="C191" s="55" t="str">
        <f t="shared" si="72"/>
        <v>p.arborizar</v>
      </c>
      <c r="D191" s="6" t="str">
        <f t="shared" si="55"/>
        <v>é.palmeira</v>
      </c>
      <c r="E191" s="8" t="s">
        <v>28</v>
      </c>
      <c r="F191" s="42" t="str">
        <f t="shared" si="73"/>
        <v>d.arborizar</v>
      </c>
      <c r="G191" s="17" t="s">
        <v>2202</v>
      </c>
      <c r="H191" s="42" t="s">
        <v>2121</v>
      </c>
      <c r="I191" s="16" t="str">
        <f t="shared" si="77"/>
        <v>null</v>
      </c>
      <c r="J191" s="15" t="s">
        <v>0</v>
      </c>
      <c r="K191" s="15" t="s">
        <v>0</v>
      </c>
      <c r="L191" s="15" t="s">
        <v>0</v>
      </c>
      <c r="M191" s="15" t="s">
        <v>0</v>
      </c>
      <c r="N191" s="15" t="s">
        <v>0</v>
      </c>
      <c r="O191" s="15" t="s">
        <v>0</v>
      </c>
      <c r="P191" s="15" t="s">
        <v>0</v>
      </c>
      <c r="Q191" s="15" t="s">
        <v>0</v>
      </c>
      <c r="R191" s="15" t="s">
        <v>0</v>
      </c>
      <c r="S191" s="10" t="s">
        <v>1</v>
      </c>
      <c r="T191" s="10" t="s">
        <v>32</v>
      </c>
      <c r="U191" s="5" t="str">
        <f t="shared" si="50"/>
        <v>Propriedade destinada a arborizar: é.palmeira</v>
      </c>
      <c r="V191" s="5" t="str">
        <f t="shared" si="51"/>
        <v>Dado para arborizar:  palmeira  Deve ser formatado como (rdfs:Literal  or  xsd:string)</v>
      </c>
      <c r="W191" s="5" t="s">
        <v>5161</v>
      </c>
      <c r="X191" s="24" t="str">
        <f t="shared" si="52"/>
        <v>arbor.124</v>
      </c>
      <c r="Y191" s="24" t="str">
        <f t="shared" si="53"/>
        <v>Ação de arborizar</v>
      </c>
      <c r="Z191" s="47" t="s">
        <v>2209</v>
      </c>
      <c r="AA191" s="25" t="str">
        <f t="shared" si="78"/>
        <v>categoria.revit</v>
      </c>
      <c r="AB191" s="26" t="s">
        <v>3497</v>
      </c>
      <c r="AC191" s="25" t="str">
        <f t="shared" si="79"/>
        <v>classe.ifc</v>
      </c>
      <c r="AD191" s="26" t="s">
        <v>3460</v>
      </c>
      <c r="AE191" s="25" t="str">
        <f t="shared" si="59"/>
        <v>null</v>
      </c>
      <c r="AF191" s="26" t="s">
        <v>0</v>
      </c>
      <c r="AG191" s="47" t="s">
        <v>4652</v>
      </c>
    </row>
    <row r="192" spans="1:33" ht="6.9" customHeight="1" x14ac:dyDescent="0.4">
      <c r="A192" s="4">
        <f>ROW()</f>
        <v>192</v>
      </c>
      <c r="B192" s="9" t="s">
        <v>27</v>
      </c>
      <c r="C192" s="55" t="str">
        <f t="shared" si="72"/>
        <v>p.arborizar</v>
      </c>
      <c r="D192" s="6" t="str">
        <f t="shared" si="55"/>
        <v>é.profundidade.da.raiz</v>
      </c>
      <c r="E192" s="8" t="s">
        <v>28</v>
      </c>
      <c r="F192" s="42" t="str">
        <f t="shared" si="73"/>
        <v>d.arborizar</v>
      </c>
      <c r="G192" s="43" t="s">
        <v>2148</v>
      </c>
      <c r="H192" s="41" t="s">
        <v>36</v>
      </c>
      <c r="I192" s="16" t="str">
        <f t="shared" si="77"/>
        <v>null</v>
      </c>
      <c r="J192" s="15" t="s">
        <v>0</v>
      </c>
      <c r="K192" s="15" t="s">
        <v>0</v>
      </c>
      <c r="L192" s="15" t="s">
        <v>0</v>
      </c>
      <c r="M192" s="15" t="s">
        <v>0</v>
      </c>
      <c r="N192" s="15" t="s">
        <v>0</v>
      </c>
      <c r="O192" s="15" t="s">
        <v>0</v>
      </c>
      <c r="P192" s="15" t="s">
        <v>0</v>
      </c>
      <c r="Q192" s="15" t="s">
        <v>0</v>
      </c>
      <c r="R192" s="15" t="s">
        <v>0</v>
      </c>
      <c r="S192" s="10" t="s">
        <v>1</v>
      </c>
      <c r="T192" s="10" t="s">
        <v>32</v>
      </c>
      <c r="U192" s="5" t="str">
        <f t="shared" si="50"/>
        <v>Propriedade destinada a arborizar: é.profundidade.da.raiz</v>
      </c>
      <c r="V192" s="5" t="str">
        <f t="shared" si="51"/>
        <v>Dado para arborizar:  profundidade.da.raiz  Deve ser formatado como (xsd:double)</v>
      </c>
      <c r="W192" s="5" t="s">
        <v>5181</v>
      </c>
      <c r="X192" s="24" t="str">
        <f t="shared" si="52"/>
        <v>arbor.125</v>
      </c>
      <c r="Y192" s="24" t="str">
        <f t="shared" si="53"/>
        <v>Ação de arborizar</v>
      </c>
      <c r="Z192" s="47" t="s">
        <v>2155</v>
      </c>
      <c r="AA192" s="25" t="str">
        <f t="shared" si="78"/>
        <v>null</v>
      </c>
      <c r="AB192" s="26" t="s">
        <v>0</v>
      </c>
      <c r="AC192" s="25" t="str">
        <f t="shared" si="79"/>
        <v>null</v>
      </c>
      <c r="AD192" s="26" t="s">
        <v>0</v>
      </c>
      <c r="AE192" s="25" t="str">
        <f t="shared" si="59"/>
        <v>null</v>
      </c>
      <c r="AF192" s="26" t="s">
        <v>0</v>
      </c>
      <c r="AG192" s="47" t="s">
        <v>2656</v>
      </c>
    </row>
    <row r="193" spans="1:33" ht="6.9" customHeight="1" x14ac:dyDescent="0.4">
      <c r="A193" s="4">
        <f>ROW()</f>
        <v>193</v>
      </c>
      <c r="B193" s="9" t="s">
        <v>27</v>
      </c>
      <c r="C193" s="55" t="str">
        <f t="shared" si="72"/>
        <v>p.arborizar</v>
      </c>
      <c r="D193" s="6" t="str">
        <f t="shared" si="55"/>
        <v>é.taxa.de.crescimento.da.planta</v>
      </c>
      <c r="E193" s="8" t="s">
        <v>28</v>
      </c>
      <c r="F193" s="42" t="str">
        <f t="shared" si="73"/>
        <v>d.arborizar</v>
      </c>
      <c r="G193" s="17" t="s">
        <v>2158</v>
      </c>
      <c r="H193" s="42" t="s">
        <v>2121</v>
      </c>
      <c r="I193" s="16" t="str">
        <f t="shared" si="77"/>
        <v>null</v>
      </c>
      <c r="J193" s="15" t="s">
        <v>0</v>
      </c>
      <c r="K193" s="15" t="s">
        <v>0</v>
      </c>
      <c r="L193" s="15" t="s">
        <v>0</v>
      </c>
      <c r="M193" s="15" t="s">
        <v>0</v>
      </c>
      <c r="N193" s="15" t="s">
        <v>0</v>
      </c>
      <c r="O193" s="15" t="s">
        <v>0</v>
      </c>
      <c r="P193" s="15" t="s">
        <v>0</v>
      </c>
      <c r="Q193" s="15" t="s">
        <v>0</v>
      </c>
      <c r="R193" s="15" t="s">
        <v>0</v>
      </c>
      <c r="S193" s="10" t="s">
        <v>1</v>
      </c>
      <c r="T193" s="10" t="s">
        <v>32</v>
      </c>
      <c r="U193" s="5" t="str">
        <f t="shared" si="50"/>
        <v>Propriedade destinada a arborizar: é.taxa.de.crescimento.da.planta</v>
      </c>
      <c r="V193" s="5" t="str">
        <f t="shared" si="51"/>
        <v>Dado para arborizar:  taxa.de.crescimento.da.planta  Deve ser formatado como (rdfs:Literal  or  xsd:string)</v>
      </c>
      <c r="W193" s="5" t="s">
        <v>7367</v>
      </c>
      <c r="X193" s="24" t="str">
        <f t="shared" si="52"/>
        <v>arbor.126</v>
      </c>
      <c r="Y193" s="24" t="str">
        <f t="shared" si="53"/>
        <v>Ação de arborizar</v>
      </c>
      <c r="Z193" s="47" t="s">
        <v>7191</v>
      </c>
      <c r="AA193" s="25" t="str">
        <f t="shared" si="78"/>
        <v>null</v>
      </c>
      <c r="AB193" s="26" t="s">
        <v>0</v>
      </c>
      <c r="AC193" s="25" t="str">
        <f t="shared" si="79"/>
        <v>null</v>
      </c>
      <c r="AD193" s="26" t="s">
        <v>0</v>
      </c>
      <c r="AE193" s="25" t="str">
        <f t="shared" si="59"/>
        <v>null</v>
      </c>
      <c r="AF193" s="26" t="s">
        <v>0</v>
      </c>
      <c r="AG193" s="47" t="s">
        <v>6877</v>
      </c>
    </row>
    <row r="194" spans="1:33" ht="6.9" customHeight="1" x14ac:dyDescent="0.4">
      <c r="A194" s="4">
        <f>ROW()</f>
        <v>194</v>
      </c>
      <c r="B194" s="9" t="s">
        <v>27</v>
      </c>
      <c r="C194" s="55" t="str">
        <f t="shared" si="72"/>
        <v>p.arborizar</v>
      </c>
      <c r="D194" s="6" t="str">
        <f t="shared" si="55"/>
        <v>é.tempo.de.crescimento</v>
      </c>
      <c r="E194" s="8" t="s">
        <v>28</v>
      </c>
      <c r="F194" s="42" t="str">
        <f t="shared" si="73"/>
        <v>d.arborizar</v>
      </c>
      <c r="G194" s="43" t="s">
        <v>2145</v>
      </c>
      <c r="H194" s="42" t="s">
        <v>2121</v>
      </c>
      <c r="I194" s="16" t="str">
        <f t="shared" si="77"/>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80">_xlfn.CONCAT("Propriedade destinada a ",MID(C194,FIND("p.",C194,1)+2,100),": ",D194)</f>
        <v>Propriedade destinada a arborizar: é.tempo.de.crescimento</v>
      </c>
      <c r="V194" s="5" t="str">
        <f t="shared" ref="V194:V257" si="81">_xlfn.CONCAT("Dado para ",MID(F194,FIND("d.",F194,1)+2,100),":  ",G194, "  Deve ser formatado como (",H194, ")")</f>
        <v>Dado para arborizar:  tempo.de.crescimento  Deve ser formatado como (rdfs:Literal  or  xsd:string)</v>
      </c>
      <c r="W194" s="5" t="s">
        <v>5182</v>
      </c>
      <c r="X194" s="24" t="str">
        <f t="shared" si="52"/>
        <v>arbor.127</v>
      </c>
      <c r="Y194" s="24" t="str">
        <f t="shared" si="53"/>
        <v>Ação de arborizar</v>
      </c>
      <c r="Z194" s="47" t="s">
        <v>2156</v>
      </c>
      <c r="AA194" s="25" t="str">
        <f t="shared" si="78"/>
        <v>null</v>
      </c>
      <c r="AB194" s="26" t="s">
        <v>0</v>
      </c>
      <c r="AC194" s="25" t="str">
        <f t="shared" si="79"/>
        <v>null</v>
      </c>
      <c r="AD194" s="26" t="s">
        <v>0</v>
      </c>
      <c r="AE194" s="25" t="str">
        <f t="shared" si="59"/>
        <v>null</v>
      </c>
      <c r="AF194" s="26" t="s">
        <v>0</v>
      </c>
      <c r="AG194" s="47" t="s">
        <v>2657</v>
      </c>
    </row>
    <row r="195" spans="1:33" ht="6.9" customHeight="1" x14ac:dyDescent="0.4">
      <c r="A195" s="4">
        <f>ROW()</f>
        <v>195</v>
      </c>
      <c r="B195" s="9" t="s">
        <v>27</v>
      </c>
      <c r="C195" s="55" t="str">
        <f t="shared" si="72"/>
        <v>p.arborizar</v>
      </c>
      <c r="D195" s="6" t="str">
        <f t="shared" si="55"/>
        <v>é.tipo.botânico</v>
      </c>
      <c r="E195" s="8" t="s">
        <v>28</v>
      </c>
      <c r="F195" s="42" t="str">
        <f t="shared" si="73"/>
        <v>d.arborizar</v>
      </c>
      <c r="G195" s="17" t="s">
        <v>2167</v>
      </c>
      <c r="H195" s="42" t="s">
        <v>2121</v>
      </c>
      <c r="I195" s="16" t="str">
        <f t="shared" si="77"/>
        <v>null</v>
      </c>
      <c r="J195" s="15" t="s">
        <v>0</v>
      </c>
      <c r="K195" s="15" t="s">
        <v>0</v>
      </c>
      <c r="L195" s="15" t="s">
        <v>0</v>
      </c>
      <c r="M195" s="15" t="s">
        <v>0</v>
      </c>
      <c r="N195" s="15" t="s">
        <v>0</v>
      </c>
      <c r="O195" s="15" t="s">
        <v>0</v>
      </c>
      <c r="P195" s="15" t="s">
        <v>0</v>
      </c>
      <c r="Q195" s="15" t="s">
        <v>0</v>
      </c>
      <c r="R195" s="15" t="s">
        <v>0</v>
      </c>
      <c r="S195" s="10" t="s">
        <v>1</v>
      </c>
      <c r="T195" s="10" t="s">
        <v>32</v>
      </c>
      <c r="U195" s="5" t="str">
        <f t="shared" si="80"/>
        <v>Propriedade destinada a arborizar: é.tipo.botânico</v>
      </c>
      <c r="V195" s="5" t="str">
        <f t="shared" si="81"/>
        <v>Dado para arborizar:  tipo.botânico  Deve ser formatado como (rdfs:Literal  or  xsd:string)</v>
      </c>
      <c r="W195" s="5" t="s">
        <v>5175</v>
      </c>
      <c r="X195" s="24" t="str">
        <f t="shared" ref="X195:X258" si="82">IF(F194&lt;&gt;F195,_xlfn.CONCAT(RIGHT(LEFT(F195,7),5),".100"),_xlfn.CONCAT(RIGHT(LEFT(F195,7),5),".",SUM(VALUE(RIGHT(X194,3)),1)))</f>
        <v>arbor.128</v>
      </c>
      <c r="Y195" s="24" t="str">
        <f t="shared" ref="Y195:Y258" si="83">_xlfn.CONCAT("Ação de ", SUBSTITUTE(F195, "d.",  ""))</f>
        <v>Ação de arborizar</v>
      </c>
      <c r="Z195" s="47" t="s">
        <v>2524</v>
      </c>
      <c r="AA195" s="25" t="str">
        <f t="shared" si="78"/>
        <v>null</v>
      </c>
      <c r="AB195" s="26" t="s">
        <v>0</v>
      </c>
      <c r="AC195" s="25" t="str">
        <f t="shared" si="79"/>
        <v>null</v>
      </c>
      <c r="AD195" s="26" t="s">
        <v>0</v>
      </c>
      <c r="AE195" s="25" t="str">
        <f t="shared" si="59"/>
        <v>null</v>
      </c>
      <c r="AF195" s="26" t="s">
        <v>0</v>
      </c>
      <c r="AG195" s="47" t="s">
        <v>2649</v>
      </c>
    </row>
    <row r="196" spans="1:33" ht="6.9" customHeight="1" x14ac:dyDescent="0.4">
      <c r="A196" s="4">
        <f>ROW()</f>
        <v>196</v>
      </c>
      <c r="B196" s="9" t="s">
        <v>27</v>
      </c>
      <c r="C196" s="55" t="str">
        <f t="shared" si="72"/>
        <v>p.arborizar</v>
      </c>
      <c r="D196" s="6" t="str">
        <f t="shared" si="55"/>
        <v>é.tipo.de.origem</v>
      </c>
      <c r="E196" s="8" t="s">
        <v>28</v>
      </c>
      <c r="F196" s="42" t="str">
        <f t="shared" si="73"/>
        <v>d.arborizar</v>
      </c>
      <c r="G196" s="17" t="s">
        <v>7364</v>
      </c>
      <c r="H196" s="42" t="s">
        <v>2121</v>
      </c>
      <c r="I196" s="16" t="str">
        <f t="shared" si="77"/>
        <v>null</v>
      </c>
      <c r="J196" s="15" t="s">
        <v>0</v>
      </c>
      <c r="K196" s="15" t="s">
        <v>0</v>
      </c>
      <c r="L196" s="15" t="s">
        <v>0</v>
      </c>
      <c r="M196" s="15" t="s">
        <v>0</v>
      </c>
      <c r="N196" s="15" t="s">
        <v>0</v>
      </c>
      <c r="O196" s="15" t="s">
        <v>0</v>
      </c>
      <c r="P196" s="15" t="s">
        <v>0</v>
      </c>
      <c r="Q196" s="15" t="s">
        <v>0</v>
      </c>
      <c r="R196" s="15" t="s">
        <v>0</v>
      </c>
      <c r="S196" s="10" t="s">
        <v>1</v>
      </c>
      <c r="T196" s="10" t="s">
        <v>32</v>
      </c>
      <c r="U196" s="5" t="str">
        <f t="shared" si="80"/>
        <v>Propriedade destinada a arborizar: é.tipo.de.origem</v>
      </c>
      <c r="V196" s="5" t="str">
        <f t="shared" si="81"/>
        <v>Dado para arborizar:  tipo.de.origem  Deve ser formatado como (rdfs:Literal  or  xsd:string)</v>
      </c>
      <c r="W196" s="5" t="s">
        <v>7365</v>
      </c>
      <c r="X196" s="24" t="str">
        <f t="shared" si="82"/>
        <v>arbor.129</v>
      </c>
      <c r="Y196" s="24" t="str">
        <f t="shared" si="83"/>
        <v>Ação de arborizar</v>
      </c>
      <c r="Z196" s="47" t="s">
        <v>1310</v>
      </c>
      <c r="AA196" s="25" t="str">
        <f t="shared" si="78"/>
        <v>null</v>
      </c>
      <c r="AB196" s="26" t="s">
        <v>0</v>
      </c>
      <c r="AC196" s="25" t="str">
        <f t="shared" si="79"/>
        <v>null</v>
      </c>
      <c r="AD196" s="26" t="s">
        <v>0</v>
      </c>
      <c r="AE196" s="25" t="str">
        <f t="shared" si="59"/>
        <v>null</v>
      </c>
      <c r="AF196" s="26" t="s">
        <v>0</v>
      </c>
      <c r="AG196" s="47" t="s">
        <v>2645</v>
      </c>
    </row>
    <row r="197" spans="1:33" ht="6.9" customHeight="1" x14ac:dyDescent="0.4">
      <c r="A197" s="4">
        <f>ROW()</f>
        <v>197</v>
      </c>
      <c r="B197" s="9" t="s">
        <v>27</v>
      </c>
      <c r="C197" s="55" t="str">
        <f t="shared" si="72"/>
        <v>p.arborizar</v>
      </c>
      <c r="D197" s="6" t="str">
        <f t="shared" si="55"/>
        <v>é.tipo.de.raiz</v>
      </c>
      <c r="E197" s="8" t="s">
        <v>28</v>
      </c>
      <c r="F197" s="42" t="str">
        <f t="shared" si="73"/>
        <v>d.arborizar</v>
      </c>
      <c r="G197" s="43" t="s">
        <v>2147</v>
      </c>
      <c r="H197" s="42" t="s">
        <v>2121</v>
      </c>
      <c r="I197" s="16" t="str">
        <f t="shared" si="77"/>
        <v>null</v>
      </c>
      <c r="J197" s="15" t="s">
        <v>0</v>
      </c>
      <c r="K197" s="15" t="s">
        <v>0</v>
      </c>
      <c r="L197" s="15" t="s">
        <v>0</v>
      </c>
      <c r="M197" s="15" t="s">
        <v>0</v>
      </c>
      <c r="N197" s="15" t="s">
        <v>0</v>
      </c>
      <c r="O197" s="15" t="s">
        <v>0</v>
      </c>
      <c r="P197" s="15" t="s">
        <v>0</v>
      </c>
      <c r="Q197" s="15" t="s">
        <v>0</v>
      </c>
      <c r="R197" s="15" t="s">
        <v>0</v>
      </c>
      <c r="S197" s="10" t="s">
        <v>1</v>
      </c>
      <c r="T197" s="10" t="s">
        <v>32</v>
      </c>
      <c r="U197" s="5" t="str">
        <f t="shared" si="80"/>
        <v>Propriedade destinada a arborizar: é.tipo.de.raiz</v>
      </c>
      <c r="V197" s="5" t="str">
        <f t="shared" si="81"/>
        <v>Dado para arborizar:  tipo.de.raiz  Deve ser formatado como (rdfs:Literal  or  xsd:string)</v>
      </c>
      <c r="W197" s="5" t="s">
        <v>7366</v>
      </c>
      <c r="X197" s="24" t="str">
        <f t="shared" si="82"/>
        <v>arbor.130</v>
      </c>
      <c r="Y197" s="24" t="str">
        <f t="shared" si="83"/>
        <v>Ação de arborizar</v>
      </c>
      <c r="Z197" s="47" t="s">
        <v>2163</v>
      </c>
      <c r="AA197" s="25" t="str">
        <f t="shared" si="78"/>
        <v>null</v>
      </c>
      <c r="AB197" s="26" t="s">
        <v>0</v>
      </c>
      <c r="AC197" s="25" t="str">
        <f t="shared" si="79"/>
        <v>null</v>
      </c>
      <c r="AD197" s="26" t="s">
        <v>0</v>
      </c>
      <c r="AE197" s="25" t="str">
        <f t="shared" si="59"/>
        <v>null</v>
      </c>
      <c r="AF197" s="26" t="s">
        <v>0</v>
      </c>
      <c r="AG197" s="47" t="s">
        <v>2655</v>
      </c>
    </row>
    <row r="198" spans="1:33" ht="6.9" customHeight="1" x14ac:dyDescent="0.4">
      <c r="A198" s="4">
        <f>ROW()</f>
        <v>198</v>
      </c>
      <c r="B198" s="9" t="s">
        <v>27</v>
      </c>
      <c r="C198" s="55" t="str">
        <f t="shared" si="72"/>
        <v>p.arborizar</v>
      </c>
      <c r="D198" s="6" t="str">
        <f t="shared" si="55"/>
        <v>é.trepadeira</v>
      </c>
      <c r="E198" s="8" t="s">
        <v>28</v>
      </c>
      <c r="F198" s="42" t="str">
        <f t="shared" si="73"/>
        <v>d.arborizar</v>
      </c>
      <c r="G198" s="17" t="s">
        <v>2203</v>
      </c>
      <c r="H198" s="42" t="s">
        <v>2121</v>
      </c>
      <c r="I198" s="16" t="str">
        <f t="shared" si="77"/>
        <v>null</v>
      </c>
      <c r="J198" s="15" t="s">
        <v>0</v>
      </c>
      <c r="K198" s="15" t="s">
        <v>0</v>
      </c>
      <c r="L198" s="15" t="s">
        <v>0</v>
      </c>
      <c r="M198" s="15" t="s">
        <v>0</v>
      </c>
      <c r="N198" s="15" t="s">
        <v>0</v>
      </c>
      <c r="O198" s="15" t="s">
        <v>0</v>
      </c>
      <c r="P198" s="15" t="s">
        <v>0</v>
      </c>
      <c r="Q198" s="15" t="s">
        <v>0</v>
      </c>
      <c r="R198" s="15" t="s">
        <v>0</v>
      </c>
      <c r="S198" s="10" t="s">
        <v>1</v>
      </c>
      <c r="T198" s="10" t="s">
        <v>32</v>
      </c>
      <c r="U198" s="5" t="str">
        <f t="shared" si="80"/>
        <v>Propriedade destinada a arborizar: é.trepadeira</v>
      </c>
      <c r="V198" s="5" t="str">
        <f t="shared" si="81"/>
        <v>Dado para arborizar:  trepadeira  Deve ser formatado como (rdfs:Literal  or  xsd:string)</v>
      </c>
      <c r="W198" s="5" t="s">
        <v>5165</v>
      </c>
      <c r="X198" s="24" t="str">
        <f t="shared" si="82"/>
        <v>arbor.131</v>
      </c>
      <c r="Y198" s="24" t="str">
        <f t="shared" si="83"/>
        <v>Ação de arborizar</v>
      </c>
      <c r="Z198" s="47" t="s">
        <v>2213</v>
      </c>
      <c r="AA198" s="25" t="str">
        <f t="shared" si="78"/>
        <v>categoria.revit</v>
      </c>
      <c r="AB198" s="26" t="s">
        <v>3497</v>
      </c>
      <c r="AC198" s="25" t="str">
        <f t="shared" si="79"/>
        <v>classe.ifc</v>
      </c>
      <c r="AD198" s="26" t="s">
        <v>3460</v>
      </c>
      <c r="AE198" s="25" t="str">
        <f t="shared" si="59"/>
        <v>null</v>
      </c>
      <c r="AF198" s="26" t="s">
        <v>0</v>
      </c>
      <c r="AG198" s="47" t="s">
        <v>4656</v>
      </c>
    </row>
    <row r="199" spans="1:33" ht="6.9" customHeight="1" x14ac:dyDescent="0.4">
      <c r="A199" s="4">
        <f>ROW()</f>
        <v>199</v>
      </c>
      <c r="B199" s="9" t="s">
        <v>27</v>
      </c>
      <c r="C199" s="55" t="str">
        <f t="shared" si="72"/>
        <v>p.arborizar</v>
      </c>
      <c r="D199" s="6" t="str">
        <f t="shared" si="55"/>
        <v>é.usada.para</v>
      </c>
      <c r="E199" s="8" t="s">
        <v>28</v>
      </c>
      <c r="F199" s="42" t="str">
        <f t="shared" si="73"/>
        <v>d.arborizar</v>
      </c>
      <c r="G199" s="43" t="s">
        <v>2146</v>
      </c>
      <c r="H199" s="42" t="s">
        <v>2121</v>
      </c>
      <c r="I199" s="16" t="str">
        <f t="shared" si="77"/>
        <v>null</v>
      </c>
      <c r="J199" s="15" t="s">
        <v>0</v>
      </c>
      <c r="K199" s="15" t="s">
        <v>0</v>
      </c>
      <c r="L199" s="15" t="s">
        <v>0</v>
      </c>
      <c r="M199" s="15" t="s">
        <v>0</v>
      </c>
      <c r="N199" s="15" t="s">
        <v>0</v>
      </c>
      <c r="O199" s="15" t="s">
        <v>0</v>
      </c>
      <c r="P199" s="15" t="s">
        <v>0</v>
      </c>
      <c r="Q199" s="15" t="s">
        <v>0</v>
      </c>
      <c r="R199" s="15" t="s">
        <v>0</v>
      </c>
      <c r="S199" s="10" t="s">
        <v>1</v>
      </c>
      <c r="T199" s="10" t="s">
        <v>32</v>
      </c>
      <c r="U199" s="5" t="str">
        <f t="shared" si="80"/>
        <v>Propriedade destinada a arborizar: é.usada.para</v>
      </c>
      <c r="V199" s="5" t="str">
        <f t="shared" si="81"/>
        <v>Dado para arborizar:  usada.para  Deve ser formatado como (rdfs:Literal  or  xsd:string)</v>
      </c>
      <c r="W199" s="5" t="s">
        <v>5183</v>
      </c>
      <c r="X199" s="24" t="str">
        <f t="shared" si="82"/>
        <v>arbor.132</v>
      </c>
      <c r="Y199" s="24" t="str">
        <f t="shared" si="83"/>
        <v>Ação de arborizar</v>
      </c>
      <c r="Z199" s="47" t="s">
        <v>2166</v>
      </c>
      <c r="AA199" s="25" t="str">
        <f t="shared" si="78"/>
        <v>null</v>
      </c>
      <c r="AB199" s="26" t="s">
        <v>0</v>
      </c>
      <c r="AC199" s="25" t="str">
        <f t="shared" si="79"/>
        <v>null</v>
      </c>
      <c r="AD199" s="26" t="s">
        <v>0</v>
      </c>
      <c r="AE199" s="25" t="str">
        <f t="shared" si="59"/>
        <v>null</v>
      </c>
      <c r="AF199" s="26" t="s">
        <v>0</v>
      </c>
      <c r="AG199" s="47" t="s">
        <v>2658</v>
      </c>
    </row>
    <row r="200" spans="1:33" ht="6.9" customHeight="1" x14ac:dyDescent="0.4">
      <c r="A200" s="4">
        <f>ROW()</f>
        <v>200</v>
      </c>
      <c r="B200" s="9" t="s">
        <v>27</v>
      </c>
      <c r="C200" s="54" t="str">
        <f t="shared" si="60"/>
        <v>p.assentar</v>
      </c>
      <c r="D200" s="6" t="str">
        <f t="shared" si="55"/>
        <v>é.cutelo</v>
      </c>
      <c r="E200" s="8" t="s">
        <v>28</v>
      </c>
      <c r="F200" s="51" t="s">
        <v>1253</v>
      </c>
      <c r="G200" s="18" t="s">
        <v>1254</v>
      </c>
      <c r="H200" s="42" t="s">
        <v>2121</v>
      </c>
      <c r="I200" s="16" t="str">
        <f t="shared" si="61"/>
        <v>null</v>
      </c>
      <c r="J200" s="13" t="s">
        <v>0</v>
      </c>
      <c r="K200" s="13" t="s">
        <v>0</v>
      </c>
      <c r="L200" s="13" t="s">
        <v>0</v>
      </c>
      <c r="M200" s="13" t="s">
        <v>0</v>
      </c>
      <c r="N200" s="15" t="s">
        <v>0</v>
      </c>
      <c r="O200" s="13" t="s">
        <v>0</v>
      </c>
      <c r="P200" s="13" t="s">
        <v>0</v>
      </c>
      <c r="Q200" s="13" t="s">
        <v>0</v>
      </c>
      <c r="R200" s="15" t="s">
        <v>0</v>
      </c>
      <c r="S200" s="10" t="s">
        <v>1</v>
      </c>
      <c r="T200" s="10" t="s">
        <v>32</v>
      </c>
      <c r="U200" s="5" t="str">
        <f t="shared" si="80"/>
        <v>Propriedade destinada a assentar: é.cutelo</v>
      </c>
      <c r="V200" s="5" t="str">
        <f t="shared" si="81"/>
        <v>Dado para assentar:  cutelo  Deve ser formatado como (rdfs:Literal  or  xsd:string)</v>
      </c>
      <c r="W200" s="5" t="s">
        <v>5188</v>
      </c>
      <c r="X200" s="24" t="str">
        <f t="shared" si="82"/>
        <v>assen.100</v>
      </c>
      <c r="Y200" s="24" t="str">
        <f t="shared" si="83"/>
        <v>Ação de assentar</v>
      </c>
      <c r="Z200" s="47" t="s">
        <v>4589</v>
      </c>
      <c r="AA200" s="25" t="str">
        <f t="shared" si="62"/>
        <v>null</v>
      </c>
      <c r="AB200" s="26" t="s">
        <v>0</v>
      </c>
      <c r="AC200" s="25" t="str">
        <f t="shared" si="63"/>
        <v>null</v>
      </c>
      <c r="AD200" s="26" t="s">
        <v>0</v>
      </c>
      <c r="AE200" s="25" t="str">
        <f t="shared" si="59"/>
        <v>null</v>
      </c>
      <c r="AF200" s="26" t="s">
        <v>0</v>
      </c>
      <c r="AG200" s="47" t="s">
        <v>4766</v>
      </c>
    </row>
    <row r="201" spans="1:33" ht="6.9" customHeight="1" x14ac:dyDescent="0.4">
      <c r="A201" s="4">
        <f>ROW()</f>
        <v>201</v>
      </c>
      <c r="B201" s="9" t="s">
        <v>27</v>
      </c>
      <c r="C201" s="55" t="str">
        <f t="shared" si="60"/>
        <v>p.assentar</v>
      </c>
      <c r="D201" s="6" t="str">
        <f t="shared" si="55"/>
        <v>é.meia.vez</v>
      </c>
      <c r="E201" s="8" t="s">
        <v>28</v>
      </c>
      <c r="F201" s="42" t="str">
        <f>F200</f>
        <v>d.assentar</v>
      </c>
      <c r="G201" s="18" t="s">
        <v>1255</v>
      </c>
      <c r="H201" s="42" t="s">
        <v>2121</v>
      </c>
      <c r="I201" s="16" t="str">
        <f t="shared" si="61"/>
        <v>null</v>
      </c>
      <c r="J201" s="13" t="s">
        <v>0</v>
      </c>
      <c r="K201" s="13" t="s">
        <v>0</v>
      </c>
      <c r="L201" s="13" t="s">
        <v>0</v>
      </c>
      <c r="M201" s="13" t="s">
        <v>0</v>
      </c>
      <c r="N201" s="15" t="s">
        <v>0</v>
      </c>
      <c r="O201" s="13" t="s">
        <v>0</v>
      </c>
      <c r="P201" s="13" t="s">
        <v>0</v>
      </c>
      <c r="Q201" s="13" t="s">
        <v>0</v>
      </c>
      <c r="R201" s="15" t="s">
        <v>0</v>
      </c>
      <c r="S201" s="10" t="s">
        <v>1</v>
      </c>
      <c r="T201" s="10" t="s">
        <v>32</v>
      </c>
      <c r="U201" s="5" t="str">
        <f t="shared" si="80"/>
        <v>Propriedade destinada a assentar: é.meia.vez</v>
      </c>
      <c r="V201" s="5" t="str">
        <f t="shared" si="81"/>
        <v>Dado para assentar:  meia.vez  Deve ser formatado como (rdfs:Literal  or  xsd:string)</v>
      </c>
      <c r="W201" s="5" t="s">
        <v>5189</v>
      </c>
      <c r="X201" s="24" t="str">
        <f t="shared" si="82"/>
        <v>assen.101</v>
      </c>
      <c r="Y201" s="24" t="str">
        <f t="shared" si="83"/>
        <v>Ação de assentar</v>
      </c>
      <c r="Z201" s="47" t="s">
        <v>4590</v>
      </c>
      <c r="AA201" s="25" t="str">
        <f t="shared" si="62"/>
        <v>null</v>
      </c>
      <c r="AB201" s="26" t="s">
        <v>0</v>
      </c>
      <c r="AC201" s="25" t="str">
        <f t="shared" si="63"/>
        <v>null</v>
      </c>
      <c r="AD201" s="26" t="s">
        <v>0</v>
      </c>
      <c r="AE201" s="25" t="str">
        <f t="shared" si="59"/>
        <v>null</v>
      </c>
      <c r="AF201" s="26" t="s">
        <v>0</v>
      </c>
      <c r="AG201" s="47" t="s">
        <v>4767</v>
      </c>
    </row>
    <row r="202" spans="1:33" ht="6.9" customHeight="1" x14ac:dyDescent="0.4">
      <c r="A202" s="4">
        <f>ROW()</f>
        <v>202</v>
      </c>
      <c r="B202" s="9" t="s">
        <v>27</v>
      </c>
      <c r="C202" s="55" t="str">
        <f t="shared" si="60"/>
        <v>p.assentar</v>
      </c>
      <c r="D202" s="6" t="str">
        <f t="shared" si="55"/>
        <v>é.tição</v>
      </c>
      <c r="E202" s="8" t="s">
        <v>28</v>
      </c>
      <c r="F202" s="42" t="str">
        <f>F200</f>
        <v>d.assentar</v>
      </c>
      <c r="G202" s="18" t="s">
        <v>1257</v>
      </c>
      <c r="H202" s="42" t="s">
        <v>2121</v>
      </c>
      <c r="I202" s="16" t="str">
        <f t="shared" si="61"/>
        <v>null</v>
      </c>
      <c r="J202" s="13" t="s">
        <v>0</v>
      </c>
      <c r="K202" s="13" t="s">
        <v>0</v>
      </c>
      <c r="L202" s="13" t="s">
        <v>0</v>
      </c>
      <c r="M202" s="13" t="s">
        <v>0</v>
      </c>
      <c r="N202" s="15" t="s">
        <v>0</v>
      </c>
      <c r="O202" s="13" t="s">
        <v>0</v>
      </c>
      <c r="P202" s="13" t="s">
        <v>0</v>
      </c>
      <c r="Q202" s="13" t="s">
        <v>0</v>
      </c>
      <c r="R202" s="15" t="s">
        <v>0</v>
      </c>
      <c r="S202" s="10" t="s">
        <v>1</v>
      </c>
      <c r="T202" s="10" t="s">
        <v>32</v>
      </c>
      <c r="U202" s="5" t="str">
        <f t="shared" si="80"/>
        <v>Propriedade destinada a assentar: é.tição</v>
      </c>
      <c r="V202" s="5" t="str">
        <f t="shared" si="81"/>
        <v>Dado para assentar:  tição  Deve ser formatado como (rdfs:Literal  or  xsd:string)</v>
      </c>
      <c r="W202" s="5" t="s">
        <v>5190</v>
      </c>
      <c r="X202" s="24" t="str">
        <f t="shared" si="82"/>
        <v>assen.102</v>
      </c>
      <c r="Y202" s="24" t="str">
        <f t="shared" si="83"/>
        <v>Ação de assentar</v>
      </c>
      <c r="Z202" s="47" t="s">
        <v>4591</v>
      </c>
      <c r="AA202" s="25" t="str">
        <f t="shared" si="62"/>
        <v>null</v>
      </c>
      <c r="AB202" s="26" t="s">
        <v>0</v>
      </c>
      <c r="AC202" s="25" t="str">
        <f t="shared" si="63"/>
        <v>null</v>
      </c>
      <c r="AD202" s="26" t="s">
        <v>0</v>
      </c>
      <c r="AE202" s="25" t="str">
        <f t="shared" si="59"/>
        <v>null</v>
      </c>
      <c r="AF202" s="26" t="s">
        <v>0</v>
      </c>
      <c r="AG202" s="47" t="s">
        <v>4768</v>
      </c>
    </row>
    <row r="203" spans="1:33" ht="6.9" customHeight="1" x14ac:dyDescent="0.4">
      <c r="A203" s="4">
        <f>ROW()</f>
        <v>203</v>
      </c>
      <c r="B203" s="9" t="s">
        <v>27</v>
      </c>
      <c r="C203" s="55" t="str">
        <f t="shared" si="60"/>
        <v>p.assentar</v>
      </c>
      <c r="D203" s="6" t="str">
        <f t="shared" si="55"/>
        <v>é.uma.vez</v>
      </c>
      <c r="E203" s="8" t="s">
        <v>28</v>
      </c>
      <c r="F203" s="42" t="str">
        <f>F200</f>
        <v>d.assentar</v>
      </c>
      <c r="G203" s="18" t="s">
        <v>1256</v>
      </c>
      <c r="H203" s="42" t="s">
        <v>2121</v>
      </c>
      <c r="I203" s="16" t="str">
        <f t="shared" si="61"/>
        <v>null</v>
      </c>
      <c r="J203" s="13" t="s">
        <v>0</v>
      </c>
      <c r="K203" s="13" t="s">
        <v>0</v>
      </c>
      <c r="L203" s="13" t="s">
        <v>0</v>
      </c>
      <c r="M203" s="13" t="s">
        <v>0</v>
      </c>
      <c r="N203" s="15" t="s">
        <v>0</v>
      </c>
      <c r="O203" s="13" t="s">
        <v>0</v>
      </c>
      <c r="P203" s="13" t="s">
        <v>0</v>
      </c>
      <c r="Q203" s="13" t="s">
        <v>0</v>
      </c>
      <c r="R203" s="15" t="s">
        <v>0</v>
      </c>
      <c r="S203" s="10" t="s">
        <v>1</v>
      </c>
      <c r="T203" s="10" t="s">
        <v>32</v>
      </c>
      <c r="U203" s="5" t="str">
        <f t="shared" si="80"/>
        <v>Propriedade destinada a assentar: é.uma.vez</v>
      </c>
      <c r="V203" s="5" t="str">
        <f t="shared" si="81"/>
        <v>Dado para assentar:  uma.vez  Deve ser formatado como (rdfs:Literal  or  xsd:string)</v>
      </c>
      <c r="W203" s="5" t="s">
        <v>5191</v>
      </c>
      <c r="X203" s="24" t="str">
        <f t="shared" si="82"/>
        <v>assen.103</v>
      </c>
      <c r="Y203" s="24" t="str">
        <f t="shared" si="83"/>
        <v>Ação de assentar</v>
      </c>
      <c r="Z203" s="47" t="s">
        <v>4592</v>
      </c>
      <c r="AA203" s="25" t="str">
        <f t="shared" si="62"/>
        <v>null</v>
      </c>
      <c r="AB203" s="26" t="s">
        <v>0</v>
      </c>
      <c r="AC203" s="25" t="str">
        <f t="shared" si="63"/>
        <v>null</v>
      </c>
      <c r="AD203" s="26" t="s">
        <v>0</v>
      </c>
      <c r="AE203" s="25" t="str">
        <f t="shared" si="59"/>
        <v>null</v>
      </c>
      <c r="AF203" s="26" t="s">
        <v>0</v>
      </c>
      <c r="AG203" s="47" t="s">
        <v>4769</v>
      </c>
    </row>
    <row r="204" spans="1:33" ht="6.9" customHeight="1" x14ac:dyDescent="0.4">
      <c r="A204" s="4">
        <f>ROW()</f>
        <v>204</v>
      </c>
      <c r="B204" s="9" t="s">
        <v>27</v>
      </c>
      <c r="C204" s="55" t="str">
        <f t="shared" si="60"/>
        <v>p.assentar</v>
      </c>
      <c r="D204" s="6" t="str">
        <f t="shared" si="55"/>
        <v>é.assentada.com</v>
      </c>
      <c r="E204" s="8" t="s">
        <v>28</v>
      </c>
      <c r="F204" s="42" t="str">
        <f>F200</f>
        <v>d.assentar</v>
      </c>
      <c r="G204" s="18" t="s">
        <v>1261</v>
      </c>
      <c r="H204" s="42" t="s">
        <v>2121</v>
      </c>
      <c r="I204" s="16" t="str">
        <f t="shared" si="61"/>
        <v>null</v>
      </c>
      <c r="J204" s="13" t="s">
        <v>0</v>
      </c>
      <c r="K204" s="13" t="s">
        <v>0</v>
      </c>
      <c r="L204" s="13" t="s">
        <v>0</v>
      </c>
      <c r="M204" s="13" t="s">
        <v>0</v>
      </c>
      <c r="N204" s="15" t="s">
        <v>0</v>
      </c>
      <c r="O204" s="13" t="s">
        <v>0</v>
      </c>
      <c r="P204" s="13" t="s">
        <v>0</v>
      </c>
      <c r="Q204" s="13" t="s">
        <v>0</v>
      </c>
      <c r="R204" s="15" t="s">
        <v>0</v>
      </c>
      <c r="S204" s="10" t="s">
        <v>1</v>
      </c>
      <c r="T204" s="10" t="s">
        <v>32</v>
      </c>
      <c r="U204" s="5" t="str">
        <f t="shared" si="80"/>
        <v>Propriedade destinada a assentar: é.assentada.com</v>
      </c>
      <c r="V204" s="5" t="str">
        <f t="shared" si="81"/>
        <v>Dado para assentar:  assentada.com  Deve ser formatado como (rdfs:Literal  or  xsd:string)</v>
      </c>
      <c r="W204" s="5" t="s">
        <v>5192</v>
      </c>
      <c r="X204" s="24" t="str">
        <f t="shared" si="82"/>
        <v>assen.104</v>
      </c>
      <c r="Y204" s="24" t="str">
        <f t="shared" si="83"/>
        <v>Ação de assentar</v>
      </c>
      <c r="Z204" s="47" t="s">
        <v>1307</v>
      </c>
      <c r="AA204" s="25" t="str">
        <f t="shared" si="62"/>
        <v>null</v>
      </c>
      <c r="AB204" s="26" t="s">
        <v>0</v>
      </c>
      <c r="AC204" s="25" t="str">
        <f t="shared" si="63"/>
        <v>null</v>
      </c>
      <c r="AD204" s="26" t="s">
        <v>0</v>
      </c>
      <c r="AE204" s="25" t="str">
        <f t="shared" si="59"/>
        <v>null</v>
      </c>
      <c r="AF204" s="26" t="s">
        <v>0</v>
      </c>
      <c r="AG204" s="47" t="s">
        <v>4832</v>
      </c>
    </row>
    <row r="205" spans="1:33" ht="6.9" customHeight="1" x14ac:dyDescent="0.4">
      <c r="A205" s="4">
        <f>ROW()</f>
        <v>205</v>
      </c>
      <c r="B205" s="9" t="s">
        <v>27</v>
      </c>
      <c r="C205" s="55" t="str">
        <f t="shared" si="60"/>
        <v>p.assentar</v>
      </c>
      <c r="D205" s="6" t="str">
        <f t="shared" si="55"/>
        <v>é.montada.com</v>
      </c>
      <c r="E205" s="8" t="s">
        <v>28</v>
      </c>
      <c r="F205" s="42" t="str">
        <f>F200</f>
        <v>d.assentar</v>
      </c>
      <c r="G205" s="18" t="s">
        <v>1262</v>
      </c>
      <c r="H205" s="42" t="s">
        <v>2121</v>
      </c>
      <c r="I205" s="16" t="str">
        <f t="shared" si="61"/>
        <v>null</v>
      </c>
      <c r="J205" s="13" t="s">
        <v>0</v>
      </c>
      <c r="K205" s="13" t="s">
        <v>0</v>
      </c>
      <c r="L205" s="13" t="s">
        <v>0</v>
      </c>
      <c r="M205" s="13" t="s">
        <v>0</v>
      </c>
      <c r="N205" s="15" t="s">
        <v>0</v>
      </c>
      <c r="O205" s="13" t="s">
        <v>0</v>
      </c>
      <c r="P205" s="13" t="s">
        <v>0</v>
      </c>
      <c r="Q205" s="13" t="s">
        <v>0</v>
      </c>
      <c r="R205" s="15" t="s">
        <v>0</v>
      </c>
      <c r="S205" s="10" t="s">
        <v>1</v>
      </c>
      <c r="T205" s="10" t="s">
        <v>32</v>
      </c>
      <c r="U205" s="5" t="str">
        <f t="shared" si="80"/>
        <v>Propriedade destinada a assentar: é.montada.com</v>
      </c>
      <c r="V205" s="5" t="str">
        <f t="shared" si="81"/>
        <v>Dado para assentar:  montada.com  Deve ser formatado como (rdfs:Literal  or  xsd:string)</v>
      </c>
      <c r="W205" s="5" t="s">
        <v>5193</v>
      </c>
      <c r="X205" s="24" t="str">
        <f t="shared" si="82"/>
        <v>assen.105</v>
      </c>
      <c r="Y205" s="24" t="str">
        <f t="shared" si="83"/>
        <v>Ação de assentar</v>
      </c>
      <c r="Z205" s="47" t="s">
        <v>1308</v>
      </c>
      <c r="AA205" s="25" t="str">
        <f t="shared" si="62"/>
        <v>null</v>
      </c>
      <c r="AB205" s="26" t="s">
        <v>0</v>
      </c>
      <c r="AC205" s="25" t="str">
        <f t="shared" si="63"/>
        <v>null</v>
      </c>
      <c r="AD205" s="26" t="s">
        <v>0</v>
      </c>
      <c r="AE205" s="25" t="str">
        <f t="shared" si="59"/>
        <v>null</v>
      </c>
      <c r="AF205" s="26" t="s">
        <v>0</v>
      </c>
      <c r="AG205" s="47" t="s">
        <v>2642</v>
      </c>
    </row>
    <row r="206" spans="1:33" ht="6.9" customHeight="1" x14ac:dyDescent="0.4">
      <c r="A206" s="4">
        <f>ROW()</f>
        <v>206</v>
      </c>
      <c r="B206" s="9" t="s">
        <v>27</v>
      </c>
      <c r="C206" s="55" t="str">
        <f t="shared" si="60"/>
        <v>p.assentar</v>
      </c>
      <c r="D206" s="6" t="str">
        <f t="shared" si="55"/>
        <v>é.colada.com</v>
      </c>
      <c r="E206" s="8" t="s">
        <v>28</v>
      </c>
      <c r="F206" s="42" t="str">
        <f>F205</f>
        <v>d.assentar</v>
      </c>
      <c r="G206" s="17" t="s">
        <v>1929</v>
      </c>
      <c r="H206" s="41" t="s">
        <v>2121</v>
      </c>
      <c r="I206" s="16" t="str">
        <f t="shared" si="61"/>
        <v>null</v>
      </c>
      <c r="J206" s="15" t="s">
        <v>0</v>
      </c>
      <c r="K206" s="15" t="s">
        <v>0</v>
      </c>
      <c r="L206" s="15" t="s">
        <v>0</v>
      </c>
      <c r="M206" s="15" t="s">
        <v>0</v>
      </c>
      <c r="N206" s="15" t="s">
        <v>0</v>
      </c>
      <c r="O206" s="15" t="s">
        <v>0</v>
      </c>
      <c r="P206" s="15" t="s">
        <v>0</v>
      </c>
      <c r="Q206" s="15" t="s">
        <v>0</v>
      </c>
      <c r="R206" s="21" t="s">
        <v>4106</v>
      </c>
      <c r="S206" s="10" t="s">
        <v>1</v>
      </c>
      <c r="T206" s="10" t="s">
        <v>32</v>
      </c>
      <c r="U206" s="5" t="str">
        <f t="shared" si="80"/>
        <v>Propriedade destinada a assentar: é.colada.com</v>
      </c>
      <c r="V206" s="5" t="str">
        <f t="shared" si="81"/>
        <v>Dado para assentar:  colada.com  Deve ser formatado como (rdfs:Literal  or  xsd:string)</v>
      </c>
      <c r="W206" s="5" t="s">
        <v>5194</v>
      </c>
      <c r="X206" s="24" t="str">
        <f t="shared" si="82"/>
        <v>assen.106</v>
      </c>
      <c r="Y206" s="24" t="str">
        <f t="shared" si="83"/>
        <v>Ação de assentar</v>
      </c>
      <c r="Z206" s="47" t="s">
        <v>1933</v>
      </c>
      <c r="AA206" s="25" t="str">
        <f t="shared" si="62"/>
        <v>null</v>
      </c>
      <c r="AB206" s="26" t="s">
        <v>0</v>
      </c>
      <c r="AC206" s="25" t="str">
        <f t="shared" si="63"/>
        <v>null</v>
      </c>
      <c r="AD206" s="26" t="s">
        <v>0</v>
      </c>
      <c r="AE206" s="25" t="str">
        <f t="shared" si="59"/>
        <v>null</v>
      </c>
      <c r="AF206" s="26" t="s">
        <v>0</v>
      </c>
      <c r="AG206" s="47" t="s">
        <v>2643</v>
      </c>
    </row>
    <row r="207" spans="1:33" ht="6.9" customHeight="1" x14ac:dyDescent="0.4">
      <c r="A207" s="4">
        <f>ROW()</f>
        <v>207</v>
      </c>
      <c r="B207" s="9" t="s">
        <v>27</v>
      </c>
      <c r="C207" s="55" t="str">
        <f t="shared" si="60"/>
        <v>p.assentar</v>
      </c>
      <c r="D207" s="6" t="str">
        <f t="shared" ref="D207:D270" si="84">_xlfn.CONCAT("é.",G207)</f>
        <v>é.colado.com</v>
      </c>
      <c r="E207" s="8" t="s">
        <v>28</v>
      </c>
      <c r="F207" s="42" t="str">
        <f>F206</f>
        <v>d.assentar</v>
      </c>
      <c r="G207" s="17" t="s">
        <v>1930</v>
      </c>
      <c r="H207" s="41" t="s">
        <v>2121</v>
      </c>
      <c r="I207" s="16" t="str">
        <f t="shared" si="61"/>
        <v>null</v>
      </c>
      <c r="J207" s="15" t="s">
        <v>0</v>
      </c>
      <c r="K207" s="15" t="s">
        <v>0</v>
      </c>
      <c r="L207" s="15" t="s">
        <v>0</v>
      </c>
      <c r="M207" s="15" t="s">
        <v>0</v>
      </c>
      <c r="N207" s="15" t="s">
        <v>0</v>
      </c>
      <c r="O207" s="15" t="s">
        <v>0</v>
      </c>
      <c r="P207" s="15" t="s">
        <v>0</v>
      </c>
      <c r="Q207" s="15" t="s">
        <v>0</v>
      </c>
      <c r="R207" s="21" t="s">
        <v>4107</v>
      </c>
      <c r="S207" s="10" t="s">
        <v>1</v>
      </c>
      <c r="T207" s="10" t="s">
        <v>32</v>
      </c>
      <c r="U207" s="5" t="str">
        <f t="shared" si="80"/>
        <v>Propriedade destinada a assentar: é.colado.com</v>
      </c>
      <c r="V207" s="5" t="str">
        <f t="shared" si="81"/>
        <v>Dado para assentar:  colado.com  Deve ser formatado como (rdfs:Literal  or  xsd:string)</v>
      </c>
      <c r="W207" s="5" t="s">
        <v>5195</v>
      </c>
      <c r="X207" s="24" t="str">
        <f t="shared" si="82"/>
        <v>assen.107</v>
      </c>
      <c r="Y207" s="24" t="str">
        <f t="shared" si="83"/>
        <v>Ação de assentar</v>
      </c>
      <c r="Z207" s="47" t="s">
        <v>1934</v>
      </c>
      <c r="AA207" s="25" t="str">
        <f t="shared" si="62"/>
        <v>null</v>
      </c>
      <c r="AB207" s="26" t="s">
        <v>0</v>
      </c>
      <c r="AC207" s="25" t="str">
        <f t="shared" si="63"/>
        <v>null</v>
      </c>
      <c r="AD207" s="26" t="s">
        <v>0</v>
      </c>
      <c r="AE207" s="25" t="str">
        <f t="shared" si="59"/>
        <v>null</v>
      </c>
      <c r="AF207" s="26" t="s">
        <v>0</v>
      </c>
      <c r="AG207" s="47" t="s">
        <v>2643</v>
      </c>
    </row>
    <row r="208" spans="1:33" ht="6.9" customHeight="1" x14ac:dyDescent="0.4">
      <c r="A208" s="4">
        <f>ROW()</f>
        <v>208</v>
      </c>
      <c r="B208" s="9" t="s">
        <v>27</v>
      </c>
      <c r="C208" s="54" t="str">
        <f t="shared" si="60"/>
        <v>p.atestar</v>
      </c>
      <c r="D208" s="6" t="str">
        <f t="shared" si="84"/>
        <v>é.alvará</v>
      </c>
      <c r="E208" s="8" t="s">
        <v>28</v>
      </c>
      <c r="F208" s="51" t="s">
        <v>534</v>
      </c>
      <c r="G208" s="18" t="s">
        <v>60</v>
      </c>
      <c r="H208" s="41" t="s">
        <v>2121</v>
      </c>
      <c r="I208" s="16" t="str">
        <f t="shared" si="61"/>
        <v>null</v>
      </c>
      <c r="J208" s="13" t="s">
        <v>0</v>
      </c>
      <c r="K208" s="13" t="s">
        <v>0</v>
      </c>
      <c r="L208" s="13" t="s">
        <v>0</v>
      </c>
      <c r="M208" s="13" t="s">
        <v>0</v>
      </c>
      <c r="N208" s="15" t="s">
        <v>0</v>
      </c>
      <c r="O208" s="13" t="s">
        <v>0</v>
      </c>
      <c r="P208" s="13" t="s">
        <v>0</v>
      </c>
      <c r="Q208" s="13" t="s">
        <v>0</v>
      </c>
      <c r="R208" s="15" t="s">
        <v>0</v>
      </c>
      <c r="S208" s="10" t="s">
        <v>1</v>
      </c>
      <c r="T208" s="10" t="s">
        <v>32</v>
      </c>
      <c r="U208" s="5" t="str">
        <f t="shared" si="80"/>
        <v>Propriedade destinada a atestar: é.alvará</v>
      </c>
      <c r="V208" s="5" t="str">
        <f t="shared" si="81"/>
        <v>Dado para atestar:  alvará  Deve ser formatado como (rdfs:Literal  or  xsd:string)</v>
      </c>
      <c r="W208" s="5" t="s">
        <v>5196</v>
      </c>
      <c r="X208" s="24" t="str">
        <f t="shared" si="82"/>
        <v>atest.100</v>
      </c>
      <c r="Y208" s="24" t="str">
        <f t="shared" si="83"/>
        <v>Ação de atestar</v>
      </c>
      <c r="Z208" s="47" t="s">
        <v>1312</v>
      </c>
      <c r="AA208" s="25" t="str">
        <f t="shared" si="62"/>
        <v>null</v>
      </c>
      <c r="AB208" s="26" t="s">
        <v>0</v>
      </c>
      <c r="AC208" s="25" t="str">
        <f t="shared" si="63"/>
        <v>null</v>
      </c>
      <c r="AD208" s="26" t="s">
        <v>0</v>
      </c>
      <c r="AE208" s="25" t="str">
        <f t="shared" si="59"/>
        <v>null</v>
      </c>
      <c r="AF208" s="26" t="s">
        <v>0</v>
      </c>
      <c r="AG208" s="47" t="s">
        <v>2662</v>
      </c>
    </row>
    <row r="209" spans="1:33" ht="6.9" customHeight="1" x14ac:dyDescent="0.4">
      <c r="A209" s="4">
        <f>ROW()</f>
        <v>209</v>
      </c>
      <c r="B209" s="9" t="s">
        <v>27</v>
      </c>
      <c r="C209" s="55" t="str">
        <f t="shared" si="60"/>
        <v>p.atestar</v>
      </c>
      <c r="D209" s="6" t="str">
        <f t="shared" si="84"/>
        <v>é.atestado</v>
      </c>
      <c r="E209" s="8" t="s">
        <v>28</v>
      </c>
      <c r="F209" s="42" t="str">
        <f t="shared" ref="F209:F218" si="85">F208</f>
        <v>d.atestar</v>
      </c>
      <c r="G209" s="18" t="s">
        <v>58</v>
      </c>
      <c r="H209" s="41" t="s">
        <v>2121</v>
      </c>
      <c r="I209" s="16" t="str">
        <f t="shared" si="61"/>
        <v>null</v>
      </c>
      <c r="J209" s="13" t="s">
        <v>0</v>
      </c>
      <c r="K209" s="13" t="s">
        <v>0</v>
      </c>
      <c r="L209" s="13" t="s">
        <v>0</v>
      </c>
      <c r="M209" s="13" t="s">
        <v>0</v>
      </c>
      <c r="N209" s="15" t="s">
        <v>0</v>
      </c>
      <c r="O209" s="13" t="s">
        <v>0</v>
      </c>
      <c r="P209" s="13" t="s">
        <v>0</v>
      </c>
      <c r="Q209" s="13" t="s">
        <v>0</v>
      </c>
      <c r="R209" s="15" t="s">
        <v>0</v>
      </c>
      <c r="S209" s="10" t="s">
        <v>1</v>
      </c>
      <c r="T209" s="10" t="s">
        <v>32</v>
      </c>
      <c r="U209" s="5" t="str">
        <f t="shared" si="80"/>
        <v>Propriedade destinada a atestar: é.atestado</v>
      </c>
      <c r="V209" s="5" t="str">
        <f t="shared" si="81"/>
        <v>Dado para atestar:  atestado  Deve ser formatado como (rdfs:Literal  or  xsd:string)</v>
      </c>
      <c r="W209" s="5" t="s">
        <v>5197</v>
      </c>
      <c r="X209" s="24" t="str">
        <f t="shared" si="82"/>
        <v>atest.101</v>
      </c>
      <c r="Y209" s="24" t="str">
        <f t="shared" si="83"/>
        <v>Ação de atestar</v>
      </c>
      <c r="Z209" s="47" t="s">
        <v>1313</v>
      </c>
      <c r="AA209" s="25" t="str">
        <f t="shared" si="62"/>
        <v>null</v>
      </c>
      <c r="AB209" s="26" t="s">
        <v>0</v>
      </c>
      <c r="AC209" s="25" t="str">
        <f t="shared" si="63"/>
        <v>null</v>
      </c>
      <c r="AD209" s="26" t="s">
        <v>0</v>
      </c>
      <c r="AE209" s="25" t="str">
        <f t="shared" si="59"/>
        <v>null</v>
      </c>
      <c r="AF209" s="26" t="s">
        <v>0</v>
      </c>
      <c r="AG209" s="47" t="s">
        <v>2663</v>
      </c>
    </row>
    <row r="210" spans="1:33" ht="6.9" customHeight="1" x14ac:dyDescent="0.4">
      <c r="A210" s="4">
        <f>ROW()</f>
        <v>210</v>
      </c>
      <c r="B210" s="9" t="s">
        <v>27</v>
      </c>
      <c r="C210" s="55" t="str">
        <f t="shared" si="60"/>
        <v>p.atestar</v>
      </c>
      <c r="D210" s="6" t="str">
        <f t="shared" si="84"/>
        <v>é.carteira.habilitante</v>
      </c>
      <c r="E210" s="8" t="s">
        <v>28</v>
      </c>
      <c r="F210" s="42" t="str">
        <f t="shared" si="85"/>
        <v>d.atestar</v>
      </c>
      <c r="G210" s="18" t="s">
        <v>535</v>
      </c>
      <c r="H210" s="41" t="s">
        <v>2121</v>
      </c>
      <c r="I210" s="16" t="str">
        <f t="shared" si="61"/>
        <v>Functional</v>
      </c>
      <c r="J210" s="13" t="s">
        <v>29</v>
      </c>
      <c r="K210" s="13" t="s">
        <v>281</v>
      </c>
      <c r="L210" s="13" t="s">
        <v>0</v>
      </c>
      <c r="M210" s="13" t="s">
        <v>0</v>
      </c>
      <c r="N210" s="15" t="s">
        <v>0</v>
      </c>
      <c r="O210" s="13" t="s">
        <v>0</v>
      </c>
      <c r="P210" s="13" t="s">
        <v>0</v>
      </c>
      <c r="Q210" s="13" t="s">
        <v>0</v>
      </c>
      <c r="R210" s="15" t="s">
        <v>0</v>
      </c>
      <c r="S210" s="10" t="s">
        <v>1</v>
      </c>
      <c r="T210" s="10" t="s">
        <v>32</v>
      </c>
      <c r="U210" s="5" t="str">
        <f t="shared" si="80"/>
        <v>Propriedade destinada a atestar: é.carteira.habilitante</v>
      </c>
      <c r="V210" s="5" t="str">
        <f t="shared" si="81"/>
        <v>Dado para atestar:  carteira.habilitante  Deve ser formatado como (rdfs:Literal  or  xsd:string)</v>
      </c>
      <c r="W210" s="5" t="s">
        <v>5198</v>
      </c>
      <c r="X210" s="24" t="str">
        <f t="shared" si="82"/>
        <v>atest.102</v>
      </c>
      <c r="Y210" s="24" t="str">
        <f t="shared" si="83"/>
        <v>Ação de atestar</v>
      </c>
      <c r="Z210" s="47" t="s">
        <v>1314</v>
      </c>
      <c r="AA210" s="25" t="str">
        <f t="shared" si="62"/>
        <v>null</v>
      </c>
      <c r="AB210" s="26" t="s">
        <v>0</v>
      </c>
      <c r="AC210" s="25" t="str">
        <f t="shared" si="63"/>
        <v>null</v>
      </c>
      <c r="AD210" s="26" t="s">
        <v>0</v>
      </c>
      <c r="AE210" s="25" t="str">
        <f t="shared" si="59"/>
        <v>null</v>
      </c>
      <c r="AF210" s="26" t="s">
        <v>0</v>
      </c>
      <c r="AG210" s="47" t="s">
        <v>2664</v>
      </c>
    </row>
    <row r="211" spans="1:33" ht="6.9" customHeight="1" x14ac:dyDescent="0.4">
      <c r="A211" s="4">
        <f>ROW()</f>
        <v>211</v>
      </c>
      <c r="B211" s="9" t="s">
        <v>27</v>
      </c>
      <c r="C211" s="55" t="str">
        <f t="shared" si="60"/>
        <v>p.atestar</v>
      </c>
      <c r="D211" s="6" t="str">
        <f t="shared" si="84"/>
        <v>é.certificado</v>
      </c>
      <c r="E211" s="8" t="s">
        <v>28</v>
      </c>
      <c r="F211" s="42" t="str">
        <f t="shared" si="85"/>
        <v>d.atestar</v>
      </c>
      <c r="G211" s="18" t="s">
        <v>59</v>
      </c>
      <c r="H211" s="41" t="s">
        <v>2121</v>
      </c>
      <c r="I211" s="16" t="str">
        <f t="shared" si="61"/>
        <v>null</v>
      </c>
      <c r="J211" s="13" t="s">
        <v>0</v>
      </c>
      <c r="K211" s="13" t="s">
        <v>0</v>
      </c>
      <c r="L211" s="13" t="s">
        <v>0</v>
      </c>
      <c r="M211" s="13" t="s">
        <v>0</v>
      </c>
      <c r="N211" s="15" t="s">
        <v>0</v>
      </c>
      <c r="O211" s="13" t="s">
        <v>0</v>
      </c>
      <c r="P211" s="13" t="s">
        <v>0</v>
      </c>
      <c r="Q211" s="13" t="s">
        <v>0</v>
      </c>
      <c r="R211" s="15" t="s">
        <v>0</v>
      </c>
      <c r="S211" s="10" t="s">
        <v>1</v>
      </c>
      <c r="T211" s="10" t="s">
        <v>32</v>
      </c>
      <c r="U211" s="5" t="str">
        <f t="shared" si="80"/>
        <v>Propriedade destinada a atestar: é.certificado</v>
      </c>
      <c r="V211" s="5" t="str">
        <f t="shared" si="81"/>
        <v>Dado para atestar:  certificado  Deve ser formatado como (rdfs:Literal  or  xsd:string)</v>
      </c>
      <c r="W211" s="5" t="s">
        <v>5199</v>
      </c>
      <c r="X211" s="24" t="str">
        <f t="shared" si="82"/>
        <v>atest.103</v>
      </c>
      <c r="Y211" s="24" t="str">
        <f t="shared" si="83"/>
        <v>Ação de atestar</v>
      </c>
      <c r="Z211" s="47" t="s">
        <v>1315</v>
      </c>
      <c r="AA211" s="25" t="str">
        <f t="shared" si="62"/>
        <v>null</v>
      </c>
      <c r="AB211" s="26" t="s">
        <v>0</v>
      </c>
      <c r="AC211" s="25" t="str">
        <f t="shared" si="63"/>
        <v>null</v>
      </c>
      <c r="AD211" s="26" t="s">
        <v>0</v>
      </c>
      <c r="AE211" s="25" t="str">
        <f t="shared" si="59"/>
        <v>null</v>
      </c>
      <c r="AF211" s="26" t="s">
        <v>0</v>
      </c>
      <c r="AG211" s="47" t="s">
        <v>2665</v>
      </c>
    </row>
    <row r="212" spans="1:33" ht="6.9" customHeight="1" x14ac:dyDescent="0.4">
      <c r="A212" s="4">
        <f>ROW()</f>
        <v>212</v>
      </c>
      <c r="B212" s="9" t="s">
        <v>27</v>
      </c>
      <c r="C212" s="55" t="str">
        <f t="shared" si="60"/>
        <v>p.atestar</v>
      </c>
      <c r="D212" s="6" t="str">
        <f t="shared" si="84"/>
        <v>é.etiqueta.ambiental</v>
      </c>
      <c r="E212" s="8" t="s">
        <v>28</v>
      </c>
      <c r="F212" s="42" t="str">
        <f t="shared" si="85"/>
        <v>d.atestar</v>
      </c>
      <c r="G212" s="18" t="s">
        <v>536</v>
      </c>
      <c r="H212" s="41" t="s">
        <v>2121</v>
      </c>
      <c r="I212" s="16" t="str">
        <f t="shared" si="61"/>
        <v>null</v>
      </c>
      <c r="J212" s="13" t="s">
        <v>0</v>
      </c>
      <c r="K212" s="13" t="s">
        <v>0</v>
      </c>
      <c r="L212" s="13" t="s">
        <v>0</v>
      </c>
      <c r="M212" s="13" t="s">
        <v>0</v>
      </c>
      <c r="N212" s="15" t="s">
        <v>0</v>
      </c>
      <c r="O212" s="13" t="s">
        <v>0</v>
      </c>
      <c r="P212" s="13" t="s">
        <v>0</v>
      </c>
      <c r="Q212" s="13" t="s">
        <v>0</v>
      </c>
      <c r="R212" s="15" t="s">
        <v>0</v>
      </c>
      <c r="S212" s="10" t="s">
        <v>1</v>
      </c>
      <c r="T212" s="10" t="s">
        <v>32</v>
      </c>
      <c r="U212" s="5" t="str">
        <f t="shared" si="80"/>
        <v>Propriedade destinada a atestar: é.etiqueta.ambiental</v>
      </c>
      <c r="V212" s="5" t="str">
        <f t="shared" si="81"/>
        <v>Dado para atestar:  etiqueta.ambiental  Deve ser formatado como (rdfs:Literal  or  xsd:string)</v>
      </c>
      <c r="W212" s="5" t="s">
        <v>5200</v>
      </c>
      <c r="X212" s="24" t="str">
        <f t="shared" si="82"/>
        <v>atest.104</v>
      </c>
      <c r="Y212" s="24" t="str">
        <f t="shared" si="83"/>
        <v>Ação de atestar</v>
      </c>
      <c r="Z212" s="47" t="s">
        <v>1316</v>
      </c>
      <c r="AA212" s="25" t="str">
        <f t="shared" si="62"/>
        <v>null</v>
      </c>
      <c r="AB212" s="26" t="s">
        <v>0</v>
      </c>
      <c r="AC212" s="25" t="str">
        <f t="shared" si="63"/>
        <v>null</v>
      </c>
      <c r="AD212" s="26" t="s">
        <v>0</v>
      </c>
      <c r="AE212" s="25" t="str">
        <f t="shared" si="59"/>
        <v>null</v>
      </c>
      <c r="AF212" s="26" t="s">
        <v>0</v>
      </c>
      <c r="AG212" s="47" t="s">
        <v>2666</v>
      </c>
    </row>
    <row r="213" spans="1:33" ht="6.9" customHeight="1" x14ac:dyDescent="0.4">
      <c r="A213" s="4">
        <f>ROW()</f>
        <v>213</v>
      </c>
      <c r="B213" s="9" t="s">
        <v>27</v>
      </c>
      <c r="C213" s="55" t="str">
        <f t="shared" si="60"/>
        <v>p.atestar</v>
      </c>
      <c r="D213" s="6" t="str">
        <f t="shared" si="84"/>
        <v>é.fiscalizado.por</v>
      </c>
      <c r="E213" s="8" t="s">
        <v>28</v>
      </c>
      <c r="F213" s="42" t="str">
        <f t="shared" si="85"/>
        <v>d.atestar</v>
      </c>
      <c r="G213" s="18" t="s">
        <v>537</v>
      </c>
      <c r="H213" s="41" t="s">
        <v>2121</v>
      </c>
      <c r="I213" s="16" t="str">
        <f t="shared" si="61"/>
        <v>null</v>
      </c>
      <c r="J213" s="13" t="s">
        <v>0</v>
      </c>
      <c r="K213" s="13" t="s">
        <v>0</v>
      </c>
      <c r="L213" s="13" t="s">
        <v>0</v>
      </c>
      <c r="M213" s="13" t="s">
        <v>0</v>
      </c>
      <c r="N213" s="15" t="s">
        <v>0</v>
      </c>
      <c r="O213" s="13" t="s">
        <v>0</v>
      </c>
      <c r="P213" s="13" t="s">
        <v>0</v>
      </c>
      <c r="Q213" s="13" t="s">
        <v>0</v>
      </c>
      <c r="R213" s="15" t="s">
        <v>0</v>
      </c>
      <c r="S213" s="10" t="s">
        <v>1</v>
      </c>
      <c r="T213" s="10" t="s">
        <v>32</v>
      </c>
      <c r="U213" s="5" t="str">
        <f t="shared" si="80"/>
        <v>Propriedade destinada a atestar: é.fiscalizado.por</v>
      </c>
      <c r="V213" s="5" t="str">
        <f t="shared" si="81"/>
        <v>Dado para atestar:  fiscalizado.por  Deve ser formatado como (rdfs:Literal  or  xsd:string)</v>
      </c>
      <c r="W213" s="5" t="s">
        <v>5201</v>
      </c>
      <c r="X213" s="24" t="str">
        <f t="shared" si="82"/>
        <v>atest.105</v>
      </c>
      <c r="Y213" s="24" t="str">
        <f t="shared" si="83"/>
        <v>Ação de atestar</v>
      </c>
      <c r="Z213" s="47" t="s">
        <v>8336</v>
      </c>
      <c r="AA213" s="25" t="str">
        <f t="shared" si="62"/>
        <v>null</v>
      </c>
      <c r="AB213" s="26" t="s">
        <v>0</v>
      </c>
      <c r="AC213" s="25" t="str">
        <f t="shared" si="63"/>
        <v>null</v>
      </c>
      <c r="AD213" s="26" t="s">
        <v>0</v>
      </c>
      <c r="AE213" s="25" t="str">
        <f t="shared" si="59"/>
        <v>null</v>
      </c>
      <c r="AF213" s="26" t="s">
        <v>0</v>
      </c>
      <c r="AG213" s="47" t="s">
        <v>6858</v>
      </c>
    </row>
    <row r="214" spans="1:33" ht="6.9" customHeight="1" x14ac:dyDescent="0.4">
      <c r="A214" s="4">
        <f>ROW()</f>
        <v>214</v>
      </c>
      <c r="B214" s="9" t="s">
        <v>27</v>
      </c>
      <c r="C214" s="55" t="str">
        <f t="shared" si="60"/>
        <v>p.atestar</v>
      </c>
      <c r="D214" s="6" t="str">
        <f t="shared" si="84"/>
        <v>é.patente</v>
      </c>
      <c r="E214" s="8" t="s">
        <v>28</v>
      </c>
      <c r="F214" s="42" t="str">
        <f t="shared" si="85"/>
        <v>d.atestar</v>
      </c>
      <c r="G214" s="18" t="s">
        <v>61</v>
      </c>
      <c r="H214" s="41" t="s">
        <v>2121</v>
      </c>
      <c r="I214" s="16" t="str">
        <f t="shared" si="61"/>
        <v>null</v>
      </c>
      <c r="J214" s="13" t="s">
        <v>0</v>
      </c>
      <c r="K214" s="13" t="s">
        <v>0</v>
      </c>
      <c r="L214" s="13" t="s">
        <v>0</v>
      </c>
      <c r="M214" s="13" t="s">
        <v>0</v>
      </c>
      <c r="N214" s="15" t="s">
        <v>0</v>
      </c>
      <c r="O214" s="13" t="s">
        <v>0</v>
      </c>
      <c r="P214" s="13" t="s">
        <v>0</v>
      </c>
      <c r="Q214" s="13" t="s">
        <v>0</v>
      </c>
      <c r="R214" s="15" t="s">
        <v>0</v>
      </c>
      <c r="S214" s="10" t="s">
        <v>1</v>
      </c>
      <c r="T214" s="10" t="s">
        <v>32</v>
      </c>
      <c r="U214" s="5" t="str">
        <f t="shared" si="80"/>
        <v>Propriedade destinada a atestar: é.patente</v>
      </c>
      <c r="V214" s="5" t="str">
        <f t="shared" si="81"/>
        <v>Dado para atestar:  patente  Deve ser formatado como (rdfs:Literal  or  xsd:string)</v>
      </c>
      <c r="W214" s="5" t="s">
        <v>5202</v>
      </c>
      <c r="X214" s="24" t="str">
        <f t="shared" si="82"/>
        <v>atest.106</v>
      </c>
      <c r="Y214" s="24" t="str">
        <f t="shared" si="83"/>
        <v>Ação de atestar</v>
      </c>
      <c r="Z214" s="47" t="s">
        <v>8337</v>
      </c>
      <c r="AA214" s="25" t="str">
        <f t="shared" si="62"/>
        <v>null</v>
      </c>
      <c r="AB214" s="26" t="s">
        <v>0</v>
      </c>
      <c r="AC214" s="25" t="str">
        <f t="shared" si="63"/>
        <v>null</v>
      </c>
      <c r="AD214" s="26" t="s">
        <v>0</v>
      </c>
      <c r="AE214" s="25" t="str">
        <f t="shared" si="59"/>
        <v>null</v>
      </c>
      <c r="AF214" s="26" t="s">
        <v>0</v>
      </c>
      <c r="AG214" s="47" t="s">
        <v>6859</v>
      </c>
    </row>
    <row r="215" spans="1:33" ht="6.9" customHeight="1" x14ac:dyDescent="0.4">
      <c r="A215" s="4">
        <f>ROW()</f>
        <v>215</v>
      </c>
      <c r="B215" s="9" t="s">
        <v>27</v>
      </c>
      <c r="C215" s="55" t="str">
        <f t="shared" si="60"/>
        <v>p.atestar</v>
      </c>
      <c r="D215" s="6" t="str">
        <f t="shared" si="84"/>
        <v>é.registro.cau</v>
      </c>
      <c r="E215" s="8" t="s">
        <v>28</v>
      </c>
      <c r="F215" s="42" t="str">
        <f t="shared" si="85"/>
        <v>d.atestar</v>
      </c>
      <c r="G215" s="18" t="s">
        <v>538</v>
      </c>
      <c r="H215" s="41" t="s">
        <v>2121</v>
      </c>
      <c r="I215" s="16" t="str">
        <f t="shared" si="61"/>
        <v>Functional</v>
      </c>
      <c r="J215" s="13" t="s">
        <v>29</v>
      </c>
      <c r="K215" s="13" t="s">
        <v>281</v>
      </c>
      <c r="L215" s="13" t="s">
        <v>0</v>
      </c>
      <c r="M215" s="13" t="s">
        <v>0</v>
      </c>
      <c r="N215" s="15" t="s">
        <v>0</v>
      </c>
      <c r="O215" s="13" t="s">
        <v>0</v>
      </c>
      <c r="P215" s="13" t="s">
        <v>0</v>
      </c>
      <c r="Q215" s="13" t="s">
        <v>0</v>
      </c>
      <c r="R215" s="15" t="s">
        <v>0</v>
      </c>
      <c r="S215" s="10" t="s">
        <v>1</v>
      </c>
      <c r="T215" s="10" t="s">
        <v>32</v>
      </c>
      <c r="U215" s="5" t="str">
        <f t="shared" si="80"/>
        <v>Propriedade destinada a atestar: é.registro.cau</v>
      </c>
      <c r="V215" s="5" t="str">
        <f t="shared" si="81"/>
        <v>Dado para atestar:  registro.cau  Deve ser formatado como (rdfs:Literal  or  xsd:string)</v>
      </c>
      <c r="W215" s="5" t="s">
        <v>5203</v>
      </c>
      <c r="X215" s="24" t="str">
        <f t="shared" si="82"/>
        <v>atest.107</v>
      </c>
      <c r="Y215" s="24" t="str">
        <f t="shared" si="83"/>
        <v>Ação de atestar</v>
      </c>
      <c r="Z215" s="47" t="s">
        <v>8338</v>
      </c>
      <c r="AA215" s="25" t="str">
        <f t="shared" si="62"/>
        <v>null</v>
      </c>
      <c r="AB215" s="26" t="s">
        <v>0</v>
      </c>
      <c r="AC215" s="25" t="str">
        <f t="shared" si="63"/>
        <v>null</v>
      </c>
      <c r="AD215" s="26" t="s">
        <v>0</v>
      </c>
      <c r="AE215" s="25" t="str">
        <f t="shared" si="59"/>
        <v>null</v>
      </c>
      <c r="AF215" s="26" t="s">
        <v>0</v>
      </c>
      <c r="AG215" s="47" t="s">
        <v>6860</v>
      </c>
    </row>
    <row r="216" spans="1:33" ht="6.9" customHeight="1" x14ac:dyDescent="0.4">
      <c r="A216" s="4">
        <f>ROW()</f>
        <v>216</v>
      </c>
      <c r="B216" s="9" t="s">
        <v>27</v>
      </c>
      <c r="C216" s="55" t="str">
        <f t="shared" si="60"/>
        <v>p.atestar</v>
      </c>
      <c r="D216" s="6" t="str">
        <f t="shared" si="84"/>
        <v>é.registro.confea</v>
      </c>
      <c r="E216" s="8" t="s">
        <v>28</v>
      </c>
      <c r="F216" s="42" t="str">
        <f t="shared" si="85"/>
        <v>d.atestar</v>
      </c>
      <c r="G216" s="18" t="s">
        <v>539</v>
      </c>
      <c r="H216" s="41" t="s">
        <v>2121</v>
      </c>
      <c r="I216" s="16" t="str">
        <f t="shared" si="61"/>
        <v>Functional</v>
      </c>
      <c r="J216" s="13" t="s">
        <v>29</v>
      </c>
      <c r="K216" s="13" t="s">
        <v>281</v>
      </c>
      <c r="L216" s="13" t="s">
        <v>0</v>
      </c>
      <c r="M216" s="13" t="s">
        <v>0</v>
      </c>
      <c r="N216" s="15" t="s">
        <v>0</v>
      </c>
      <c r="O216" s="13" t="s">
        <v>0</v>
      </c>
      <c r="P216" s="13" t="s">
        <v>0</v>
      </c>
      <c r="Q216" s="13" t="s">
        <v>0</v>
      </c>
      <c r="R216" s="15" t="s">
        <v>0</v>
      </c>
      <c r="S216" s="10" t="s">
        <v>1</v>
      </c>
      <c r="T216" s="10" t="s">
        <v>32</v>
      </c>
      <c r="U216" s="5" t="str">
        <f t="shared" si="80"/>
        <v>Propriedade destinada a atestar: é.registro.confea</v>
      </c>
      <c r="V216" s="5" t="str">
        <f t="shared" si="81"/>
        <v>Dado para atestar:  registro.confea  Deve ser formatado como (rdfs:Literal  or  xsd:string)</v>
      </c>
      <c r="W216" s="5" t="s">
        <v>5204</v>
      </c>
      <c r="X216" s="24" t="str">
        <f t="shared" si="82"/>
        <v>atest.108</v>
      </c>
      <c r="Y216" s="24" t="str">
        <f t="shared" si="83"/>
        <v>Ação de atestar</v>
      </c>
      <c r="Z216" s="47" t="s">
        <v>8339</v>
      </c>
      <c r="AA216" s="25" t="str">
        <f t="shared" si="62"/>
        <v>null</v>
      </c>
      <c r="AB216" s="26" t="s">
        <v>0</v>
      </c>
      <c r="AC216" s="25" t="str">
        <f t="shared" si="63"/>
        <v>null</v>
      </c>
      <c r="AD216" s="26" t="s">
        <v>0</v>
      </c>
      <c r="AE216" s="25" t="str">
        <f t="shared" si="59"/>
        <v>null</v>
      </c>
      <c r="AF216" s="26" t="s">
        <v>0</v>
      </c>
      <c r="AG216" s="47" t="s">
        <v>6861</v>
      </c>
    </row>
    <row r="217" spans="1:33" ht="6.9" customHeight="1" x14ac:dyDescent="0.4">
      <c r="A217" s="4">
        <f>ROW()</f>
        <v>217</v>
      </c>
      <c r="B217" s="9" t="s">
        <v>27</v>
      </c>
      <c r="C217" s="55" t="str">
        <f t="shared" si="60"/>
        <v>p.atestar</v>
      </c>
      <c r="D217" s="6" t="str">
        <f t="shared" si="84"/>
        <v>é.registro.crea</v>
      </c>
      <c r="E217" s="8" t="s">
        <v>28</v>
      </c>
      <c r="F217" s="42" t="str">
        <f t="shared" si="85"/>
        <v>d.atestar</v>
      </c>
      <c r="G217" s="18" t="s">
        <v>540</v>
      </c>
      <c r="H217" s="41" t="s">
        <v>2121</v>
      </c>
      <c r="I217" s="16" t="str">
        <f t="shared" si="61"/>
        <v>Functional</v>
      </c>
      <c r="J217" s="13" t="s">
        <v>29</v>
      </c>
      <c r="K217" s="13" t="s">
        <v>281</v>
      </c>
      <c r="L217" s="13" t="s">
        <v>0</v>
      </c>
      <c r="M217" s="13" t="s">
        <v>0</v>
      </c>
      <c r="N217" s="15" t="s">
        <v>0</v>
      </c>
      <c r="O217" s="13" t="s">
        <v>0</v>
      </c>
      <c r="P217" s="13" t="s">
        <v>0</v>
      </c>
      <c r="Q217" s="13" t="s">
        <v>0</v>
      </c>
      <c r="R217" s="15" t="s">
        <v>0</v>
      </c>
      <c r="S217" s="10" t="s">
        <v>1</v>
      </c>
      <c r="T217" s="10" t="s">
        <v>32</v>
      </c>
      <c r="U217" s="5" t="str">
        <f t="shared" si="80"/>
        <v>Propriedade destinada a atestar: é.registro.crea</v>
      </c>
      <c r="V217" s="5" t="str">
        <f t="shared" si="81"/>
        <v>Dado para atestar:  registro.crea  Deve ser formatado como (rdfs:Literal  or  xsd:string)</v>
      </c>
      <c r="W217" s="5" t="s">
        <v>5205</v>
      </c>
      <c r="X217" s="24" t="str">
        <f t="shared" si="82"/>
        <v>atest.109</v>
      </c>
      <c r="Y217" s="24" t="str">
        <f t="shared" si="83"/>
        <v>Ação de atestar</v>
      </c>
      <c r="Z217" s="47" t="s">
        <v>8340</v>
      </c>
      <c r="AA217" s="25" t="str">
        <f t="shared" si="62"/>
        <v>null</v>
      </c>
      <c r="AB217" s="26" t="s">
        <v>0</v>
      </c>
      <c r="AC217" s="25" t="str">
        <f t="shared" si="63"/>
        <v>null</v>
      </c>
      <c r="AD217" s="26" t="s">
        <v>0</v>
      </c>
      <c r="AE217" s="25" t="str">
        <f t="shared" si="59"/>
        <v>null</v>
      </c>
      <c r="AF217" s="26" t="s">
        <v>0</v>
      </c>
      <c r="AG217" s="47" t="s">
        <v>6862</v>
      </c>
    </row>
    <row r="218" spans="1:33" ht="6.9" customHeight="1" x14ac:dyDescent="0.4">
      <c r="A218" s="4">
        <f>ROW()</f>
        <v>218</v>
      </c>
      <c r="B218" s="9" t="s">
        <v>27</v>
      </c>
      <c r="C218" s="55" t="str">
        <f t="shared" si="60"/>
        <v>p.atestar</v>
      </c>
      <c r="D218" s="6" t="str">
        <f t="shared" si="84"/>
        <v>é.registro.inpi</v>
      </c>
      <c r="E218" s="8" t="s">
        <v>28</v>
      </c>
      <c r="F218" s="42" t="str">
        <f t="shared" si="85"/>
        <v>d.atestar</v>
      </c>
      <c r="G218" s="18" t="s">
        <v>541</v>
      </c>
      <c r="H218" s="41" t="s">
        <v>2121</v>
      </c>
      <c r="I218" s="16" t="str">
        <f t="shared" si="61"/>
        <v>Functional</v>
      </c>
      <c r="J218" s="13" t="s">
        <v>29</v>
      </c>
      <c r="K218" s="13" t="s">
        <v>281</v>
      </c>
      <c r="L218" s="13" t="s">
        <v>0</v>
      </c>
      <c r="M218" s="13" t="s">
        <v>0</v>
      </c>
      <c r="N218" s="15" t="s">
        <v>0</v>
      </c>
      <c r="O218" s="13" t="s">
        <v>0</v>
      </c>
      <c r="P218" s="13" t="s">
        <v>0</v>
      </c>
      <c r="Q218" s="13" t="s">
        <v>0</v>
      </c>
      <c r="R218" s="15" t="s">
        <v>0</v>
      </c>
      <c r="S218" s="10" t="s">
        <v>1</v>
      </c>
      <c r="T218" s="10" t="s">
        <v>32</v>
      </c>
      <c r="U218" s="5" t="str">
        <f t="shared" si="80"/>
        <v>Propriedade destinada a atestar: é.registro.inpi</v>
      </c>
      <c r="V218" s="5" t="str">
        <f t="shared" si="81"/>
        <v>Dado para atestar:  registro.inpi  Deve ser formatado como (rdfs:Literal  or  xsd:string)</v>
      </c>
      <c r="W218" s="5" t="s">
        <v>5206</v>
      </c>
      <c r="X218" s="24" t="str">
        <f t="shared" si="82"/>
        <v>atest.110</v>
      </c>
      <c r="Y218" s="24" t="str">
        <f t="shared" si="83"/>
        <v>Ação de atestar</v>
      </c>
      <c r="Z218" s="47" t="s">
        <v>8341</v>
      </c>
      <c r="AA218" s="25" t="str">
        <f t="shared" si="62"/>
        <v>null</v>
      </c>
      <c r="AB218" s="26" t="s">
        <v>0</v>
      </c>
      <c r="AC218" s="25" t="str">
        <f t="shared" si="63"/>
        <v>null</v>
      </c>
      <c r="AD218" s="26" t="s">
        <v>0</v>
      </c>
      <c r="AE218" s="25" t="str">
        <f t="shared" si="59"/>
        <v>null</v>
      </c>
      <c r="AF218" s="26" t="s">
        <v>0</v>
      </c>
      <c r="AG218" s="47" t="s">
        <v>6863</v>
      </c>
    </row>
    <row r="219" spans="1:33" ht="6.9" customHeight="1" x14ac:dyDescent="0.4">
      <c r="A219" s="4">
        <f>ROW()</f>
        <v>219</v>
      </c>
      <c r="B219" s="9" t="s">
        <v>27</v>
      </c>
      <c r="C219" s="54" t="str">
        <f t="shared" ref="C219:C291" si="86">SUBSTITUTE(F219,"d.","p.")</f>
        <v>p.atributar</v>
      </c>
      <c r="D219" s="6" t="str">
        <f t="shared" si="84"/>
        <v>é.parâmetro</v>
      </c>
      <c r="E219" s="8" t="s">
        <v>28</v>
      </c>
      <c r="F219" s="50" t="s">
        <v>542</v>
      </c>
      <c r="G219" s="18" t="s">
        <v>449</v>
      </c>
      <c r="H219" s="41" t="s">
        <v>2121</v>
      </c>
      <c r="I219" s="16" t="str">
        <f t="shared" si="61"/>
        <v>null</v>
      </c>
      <c r="J219" s="13" t="s">
        <v>0</v>
      </c>
      <c r="K219" s="13" t="s">
        <v>0</v>
      </c>
      <c r="L219" s="13" t="s">
        <v>0</v>
      </c>
      <c r="M219" s="13" t="s">
        <v>0</v>
      </c>
      <c r="N219" s="15" t="s">
        <v>0</v>
      </c>
      <c r="O219" s="13" t="s">
        <v>0</v>
      </c>
      <c r="P219" s="13" t="s">
        <v>0</v>
      </c>
      <c r="Q219" s="13" t="s">
        <v>0</v>
      </c>
      <c r="R219" s="15" t="s">
        <v>0</v>
      </c>
      <c r="S219" s="10" t="s">
        <v>1</v>
      </c>
      <c r="T219" s="10" t="s">
        <v>32</v>
      </c>
      <c r="U219" s="5" t="str">
        <f t="shared" si="80"/>
        <v>Propriedade destinada a atributar: é.parâmetro</v>
      </c>
      <c r="V219" s="5" t="str">
        <f t="shared" si="81"/>
        <v>Dado para atributar:  parâmetro  Deve ser formatado como (rdfs:Literal  or  xsd:string)</v>
      </c>
      <c r="W219" s="5" t="s">
        <v>5207</v>
      </c>
      <c r="X219" s="24" t="str">
        <f t="shared" si="82"/>
        <v>atrib.100</v>
      </c>
      <c r="Y219" s="24" t="str">
        <f t="shared" si="83"/>
        <v>Ação de atributar</v>
      </c>
      <c r="Z219" s="47" t="s">
        <v>8342</v>
      </c>
      <c r="AA219" s="25" t="str">
        <f t="shared" si="62"/>
        <v>null</v>
      </c>
      <c r="AB219" s="26" t="s">
        <v>0</v>
      </c>
      <c r="AC219" s="25" t="str">
        <f t="shared" si="63"/>
        <v>null</v>
      </c>
      <c r="AD219" s="26" t="s">
        <v>0</v>
      </c>
      <c r="AE219" s="25" t="str">
        <f t="shared" ref="AE219:AE285" si="87">IF(AF219="null", "null", "propriedade")</f>
        <v>null</v>
      </c>
      <c r="AF219" s="26" t="s">
        <v>0</v>
      </c>
      <c r="AG219" s="47" t="s">
        <v>6864</v>
      </c>
    </row>
    <row r="220" spans="1:33" ht="6.9" customHeight="1" x14ac:dyDescent="0.4">
      <c r="A220" s="4">
        <f>ROW()</f>
        <v>220</v>
      </c>
      <c r="B220" s="9" t="s">
        <v>27</v>
      </c>
      <c r="C220" s="55" t="str">
        <f t="shared" si="86"/>
        <v>p.atributar</v>
      </c>
      <c r="D220" s="6" t="str">
        <f t="shared" si="84"/>
        <v>é.parâmetro.numérico</v>
      </c>
      <c r="E220" s="8" t="s">
        <v>28</v>
      </c>
      <c r="F220" s="42" t="str">
        <f>F219</f>
        <v>d.atributar</v>
      </c>
      <c r="G220" s="18" t="s">
        <v>2262</v>
      </c>
      <c r="H220" s="42" t="s">
        <v>36</v>
      </c>
      <c r="I220" s="16" t="str">
        <f t="shared" si="61"/>
        <v>null</v>
      </c>
      <c r="J220" s="13" t="s">
        <v>0</v>
      </c>
      <c r="K220" s="13" t="s">
        <v>0</v>
      </c>
      <c r="L220" s="13" t="s">
        <v>0</v>
      </c>
      <c r="M220" s="13" t="s">
        <v>0</v>
      </c>
      <c r="N220" s="15" t="s">
        <v>0</v>
      </c>
      <c r="O220" s="13" t="s">
        <v>0</v>
      </c>
      <c r="P220" s="13" t="s">
        <v>0</v>
      </c>
      <c r="Q220" s="13" t="s">
        <v>0</v>
      </c>
      <c r="R220" s="15" t="s">
        <v>0</v>
      </c>
      <c r="S220" s="10" t="s">
        <v>1</v>
      </c>
      <c r="T220" s="10" t="s">
        <v>32</v>
      </c>
      <c r="U220" s="5" t="str">
        <f t="shared" si="80"/>
        <v>Propriedade destinada a atributar: é.parâmetro.numérico</v>
      </c>
      <c r="V220" s="5" t="str">
        <f t="shared" si="81"/>
        <v>Dado para atributar:  parâmetro.numérico  Deve ser formatado como (xsd:double)</v>
      </c>
      <c r="W220" s="5" t="s">
        <v>5208</v>
      </c>
      <c r="X220" s="24" t="str">
        <f t="shared" si="82"/>
        <v>atrib.101</v>
      </c>
      <c r="Y220" s="24" t="str">
        <f t="shared" si="83"/>
        <v>Ação de atributar</v>
      </c>
      <c r="Z220" s="47" t="s">
        <v>8344</v>
      </c>
      <c r="AA220" s="25" t="str">
        <f t="shared" si="62"/>
        <v>null</v>
      </c>
      <c r="AB220" s="26" t="s">
        <v>0</v>
      </c>
      <c r="AC220" s="25" t="str">
        <f t="shared" si="63"/>
        <v>null</v>
      </c>
      <c r="AD220" s="26" t="s">
        <v>0</v>
      </c>
      <c r="AE220" s="25" t="str">
        <f t="shared" si="87"/>
        <v>null</v>
      </c>
      <c r="AF220" s="26" t="s">
        <v>0</v>
      </c>
      <c r="AG220" s="47" t="s">
        <v>6865</v>
      </c>
    </row>
    <row r="221" spans="1:33" ht="6.9" customHeight="1" x14ac:dyDescent="0.4">
      <c r="A221" s="4">
        <f>ROW()</f>
        <v>221</v>
      </c>
      <c r="B221" s="9" t="s">
        <v>27</v>
      </c>
      <c r="C221" s="55" t="str">
        <f t="shared" si="86"/>
        <v>p.atributar</v>
      </c>
      <c r="D221" s="6" t="str">
        <f t="shared" si="84"/>
        <v>é.valor.default</v>
      </c>
      <c r="E221" s="8" t="s">
        <v>28</v>
      </c>
      <c r="F221" s="42" t="str">
        <f>F220</f>
        <v>d.atributar</v>
      </c>
      <c r="G221" s="18" t="s">
        <v>543</v>
      </c>
      <c r="H221" s="41" t="s">
        <v>2121</v>
      </c>
      <c r="I221" s="16" t="str">
        <f t="shared" ref="I221:I291" si="88">J221</f>
        <v>null</v>
      </c>
      <c r="J221" s="13" t="s">
        <v>0</v>
      </c>
      <c r="K221" s="13" t="s">
        <v>0</v>
      </c>
      <c r="L221" s="13" t="s">
        <v>0</v>
      </c>
      <c r="M221" s="13" t="s">
        <v>0</v>
      </c>
      <c r="N221" s="15" t="s">
        <v>0</v>
      </c>
      <c r="O221" s="13" t="s">
        <v>0</v>
      </c>
      <c r="P221" s="13" t="s">
        <v>0</v>
      </c>
      <c r="Q221" s="13" t="s">
        <v>0</v>
      </c>
      <c r="R221" s="15" t="s">
        <v>0</v>
      </c>
      <c r="S221" s="10" t="s">
        <v>1</v>
      </c>
      <c r="T221" s="10" t="s">
        <v>32</v>
      </c>
      <c r="U221" s="5" t="str">
        <f t="shared" si="80"/>
        <v>Propriedade destinada a atributar: é.valor.default</v>
      </c>
      <c r="V221" s="5" t="str">
        <f t="shared" si="81"/>
        <v>Dado para atributar:  valor.default  Deve ser formatado como (rdfs:Literal  or  xsd:string)</v>
      </c>
      <c r="W221" s="5" t="s">
        <v>5209</v>
      </c>
      <c r="X221" s="24" t="str">
        <f t="shared" si="82"/>
        <v>atrib.102</v>
      </c>
      <c r="Y221" s="24" t="str">
        <f t="shared" si="83"/>
        <v>Ação de atributar</v>
      </c>
      <c r="Z221" s="47" t="s">
        <v>8343</v>
      </c>
      <c r="AA221" s="25" t="str">
        <f t="shared" ref="AA221:AA290" si="89">IF(AB221="null", "null", "categoria.revit")</f>
        <v>null</v>
      </c>
      <c r="AB221" s="26" t="s">
        <v>0</v>
      </c>
      <c r="AC221" s="25" t="str">
        <f t="shared" ref="AC221:AC290" si="90">IF(AD221="null", "null", "classe.ifc")</f>
        <v>null</v>
      </c>
      <c r="AD221" s="26" t="s">
        <v>0</v>
      </c>
      <c r="AE221" s="25" t="str">
        <f t="shared" si="87"/>
        <v>null</v>
      </c>
      <c r="AF221" s="26" t="s">
        <v>0</v>
      </c>
      <c r="AG221" s="47" t="s">
        <v>6866</v>
      </c>
    </row>
    <row r="222" spans="1:33" ht="6.9" customHeight="1" x14ac:dyDescent="0.4">
      <c r="A222" s="4">
        <f>ROW()</f>
        <v>222</v>
      </c>
      <c r="B222" s="9" t="s">
        <v>27</v>
      </c>
      <c r="C222" s="55" t="str">
        <f t="shared" si="86"/>
        <v>p.atributar</v>
      </c>
      <c r="D222" s="6" t="str">
        <f t="shared" si="84"/>
        <v>é.tipo.de.parâmetro</v>
      </c>
      <c r="E222" s="8" t="s">
        <v>28</v>
      </c>
      <c r="F222" s="42" t="str">
        <f>F221</f>
        <v>d.atributar</v>
      </c>
      <c r="G222" s="18" t="s">
        <v>544</v>
      </c>
      <c r="H222" s="41" t="s">
        <v>2121</v>
      </c>
      <c r="I222" s="16" t="str">
        <f t="shared" si="88"/>
        <v>null</v>
      </c>
      <c r="J222" s="13" t="s">
        <v>0</v>
      </c>
      <c r="K222" s="13" t="s">
        <v>0</v>
      </c>
      <c r="L222" s="13" t="s">
        <v>0</v>
      </c>
      <c r="M222" s="13" t="s">
        <v>0</v>
      </c>
      <c r="N222" s="15" t="s">
        <v>0</v>
      </c>
      <c r="O222" s="13" t="s">
        <v>0</v>
      </c>
      <c r="P222" s="13" t="s">
        <v>0</v>
      </c>
      <c r="Q222" s="13" t="s">
        <v>0</v>
      </c>
      <c r="R222" s="15" t="s">
        <v>0</v>
      </c>
      <c r="S222" s="10" t="s">
        <v>1</v>
      </c>
      <c r="T222" s="10" t="s">
        <v>32</v>
      </c>
      <c r="U222" s="5" t="str">
        <f t="shared" si="80"/>
        <v>Propriedade destinada a atributar: é.tipo.de.parâmetro</v>
      </c>
      <c r="V222" s="5" t="str">
        <f t="shared" si="81"/>
        <v>Dado para atributar:  tipo.de.parâmetro  Deve ser formatado como (rdfs:Literal  or  xsd:string)</v>
      </c>
      <c r="W222" s="5" t="s">
        <v>5210</v>
      </c>
      <c r="X222" s="24" t="str">
        <f t="shared" si="82"/>
        <v>atrib.103</v>
      </c>
      <c r="Y222" s="24" t="str">
        <f t="shared" si="83"/>
        <v>Ação de atributar</v>
      </c>
      <c r="Z222" s="47" t="s">
        <v>8345</v>
      </c>
      <c r="AA222" s="25" t="str">
        <f t="shared" si="89"/>
        <v>null</v>
      </c>
      <c r="AB222" s="26" t="s">
        <v>0</v>
      </c>
      <c r="AC222" s="25" t="str">
        <f t="shared" si="90"/>
        <v>null</v>
      </c>
      <c r="AD222" s="26" t="s">
        <v>0</v>
      </c>
      <c r="AE222" s="25" t="str">
        <f t="shared" si="87"/>
        <v>null</v>
      </c>
      <c r="AF222" s="26" t="s">
        <v>0</v>
      </c>
      <c r="AG222" s="47" t="s">
        <v>6867</v>
      </c>
    </row>
    <row r="223" spans="1:33" ht="6.9" customHeight="1" x14ac:dyDescent="0.4">
      <c r="A223" s="4">
        <f>ROW()</f>
        <v>223</v>
      </c>
      <c r="B223" s="9" t="s">
        <v>27</v>
      </c>
      <c r="C223" s="55" t="str">
        <f t="shared" si="86"/>
        <v>p.atributar</v>
      </c>
      <c r="D223" s="6" t="str">
        <f t="shared" si="84"/>
        <v>é.valor.do.parâmetro</v>
      </c>
      <c r="E223" s="8" t="s">
        <v>28</v>
      </c>
      <c r="F223" s="42" t="str">
        <f>F222</f>
        <v>d.atributar</v>
      </c>
      <c r="G223" s="18" t="s">
        <v>545</v>
      </c>
      <c r="H223" s="41" t="s">
        <v>2121</v>
      </c>
      <c r="I223" s="16" t="str">
        <f t="shared" si="88"/>
        <v>null</v>
      </c>
      <c r="J223" s="13" t="s">
        <v>0</v>
      </c>
      <c r="K223" s="13" t="s">
        <v>0</v>
      </c>
      <c r="L223" s="13" t="s">
        <v>0</v>
      </c>
      <c r="M223" s="13" t="s">
        <v>0</v>
      </c>
      <c r="N223" s="15" t="s">
        <v>0</v>
      </c>
      <c r="O223" s="13" t="s">
        <v>0</v>
      </c>
      <c r="P223" s="13" t="s">
        <v>0</v>
      </c>
      <c r="Q223" s="13" t="s">
        <v>0</v>
      </c>
      <c r="R223" s="15" t="s">
        <v>0</v>
      </c>
      <c r="S223" s="10" t="s">
        <v>1</v>
      </c>
      <c r="T223" s="10" t="s">
        <v>32</v>
      </c>
      <c r="U223" s="5" t="str">
        <f t="shared" si="80"/>
        <v>Propriedade destinada a atributar: é.valor.do.parâmetro</v>
      </c>
      <c r="V223" s="5" t="str">
        <f t="shared" si="81"/>
        <v>Dado para atributar:  valor.do.parâmetro  Deve ser formatado como (rdfs:Literal  or  xsd:string)</v>
      </c>
      <c r="W223" s="5" t="s">
        <v>5211</v>
      </c>
      <c r="X223" s="24" t="str">
        <f t="shared" si="82"/>
        <v>atrib.104</v>
      </c>
      <c r="Y223" s="24" t="str">
        <f t="shared" si="83"/>
        <v>Ação de atributar</v>
      </c>
      <c r="Z223" s="47" t="s">
        <v>8346</v>
      </c>
      <c r="AA223" s="25" t="str">
        <f t="shared" si="89"/>
        <v>null</v>
      </c>
      <c r="AB223" s="26" t="s">
        <v>0</v>
      </c>
      <c r="AC223" s="25" t="str">
        <f t="shared" si="90"/>
        <v>null</v>
      </c>
      <c r="AD223" s="26" t="s">
        <v>0</v>
      </c>
      <c r="AE223" s="25" t="str">
        <f t="shared" si="87"/>
        <v>null</v>
      </c>
      <c r="AF223" s="26" t="s">
        <v>0</v>
      </c>
      <c r="AG223" s="47" t="s">
        <v>6868</v>
      </c>
    </row>
    <row r="224" spans="1:33" ht="6.9" customHeight="1" x14ac:dyDescent="0.4">
      <c r="A224" s="4">
        <f>ROW()</f>
        <v>224</v>
      </c>
      <c r="B224" s="9" t="s">
        <v>27</v>
      </c>
      <c r="C224" s="55" t="str">
        <f t="shared" si="86"/>
        <v>p.atributar</v>
      </c>
      <c r="D224" s="6" t="str">
        <f t="shared" si="84"/>
        <v>é.valor</v>
      </c>
      <c r="E224" s="8" t="s">
        <v>28</v>
      </c>
      <c r="F224" s="42" t="str">
        <f>F223</f>
        <v>d.atributar</v>
      </c>
      <c r="G224" s="18" t="s">
        <v>463</v>
      </c>
      <c r="H224" s="41" t="s">
        <v>2121</v>
      </c>
      <c r="I224" s="16" t="str">
        <f t="shared" si="88"/>
        <v>null</v>
      </c>
      <c r="J224" s="13" t="s">
        <v>0</v>
      </c>
      <c r="K224" s="13" t="s">
        <v>0</v>
      </c>
      <c r="L224" s="13" t="s">
        <v>0</v>
      </c>
      <c r="M224" s="13" t="s">
        <v>0</v>
      </c>
      <c r="N224" s="15" t="s">
        <v>0</v>
      </c>
      <c r="O224" s="13" t="s">
        <v>0</v>
      </c>
      <c r="P224" s="13" t="s">
        <v>0</v>
      </c>
      <c r="Q224" s="13" t="s">
        <v>0</v>
      </c>
      <c r="R224" s="15" t="s">
        <v>0</v>
      </c>
      <c r="S224" s="10" t="s">
        <v>1</v>
      </c>
      <c r="T224" s="10" t="s">
        <v>32</v>
      </c>
      <c r="U224" s="5" t="str">
        <f t="shared" si="80"/>
        <v>Propriedade destinada a atributar: é.valor</v>
      </c>
      <c r="V224" s="5" t="str">
        <f t="shared" si="81"/>
        <v>Dado para atributar:  valor  Deve ser formatado como (rdfs:Literal  or  xsd:string)</v>
      </c>
      <c r="W224" s="5" t="s">
        <v>5212</v>
      </c>
      <c r="X224" s="24" t="str">
        <f t="shared" si="82"/>
        <v>atrib.105</v>
      </c>
      <c r="Y224" s="24" t="str">
        <f t="shared" si="83"/>
        <v>Ação de atributar</v>
      </c>
      <c r="Z224" s="47" t="s">
        <v>8347</v>
      </c>
      <c r="AA224" s="25" t="str">
        <f t="shared" si="89"/>
        <v>null</v>
      </c>
      <c r="AB224" s="26" t="s">
        <v>0</v>
      </c>
      <c r="AC224" s="25" t="str">
        <f t="shared" si="90"/>
        <v>null</v>
      </c>
      <c r="AD224" s="26" t="s">
        <v>0</v>
      </c>
      <c r="AE224" s="25" t="str">
        <f t="shared" si="87"/>
        <v>null</v>
      </c>
      <c r="AF224" s="26" t="s">
        <v>0</v>
      </c>
      <c r="AG224" s="47" t="s">
        <v>6869</v>
      </c>
    </row>
    <row r="225" spans="1:33" ht="6.9" customHeight="1" x14ac:dyDescent="0.4">
      <c r="A225" s="4">
        <f>ROW()</f>
        <v>225</v>
      </c>
      <c r="B225" s="9" t="s">
        <v>27</v>
      </c>
      <c r="C225" s="54" t="str">
        <f>SUBSTITUTE(F225,"d.","p.")</f>
        <v>p.audibilizar</v>
      </c>
      <c r="D225" s="6" t="str">
        <f t="shared" si="84"/>
        <v>é.absorção.sonora.062</v>
      </c>
      <c r="E225" s="8" t="s">
        <v>28</v>
      </c>
      <c r="F225" s="50" t="s">
        <v>4181</v>
      </c>
      <c r="G225" s="18" t="s">
        <v>1939</v>
      </c>
      <c r="H225" s="41" t="s">
        <v>36</v>
      </c>
      <c r="I225" s="16" t="str">
        <f t="shared" ref="I225:I238" si="91">J225</f>
        <v>null</v>
      </c>
      <c r="J225" s="13" t="s">
        <v>0</v>
      </c>
      <c r="K225" s="13" t="s">
        <v>0</v>
      </c>
      <c r="L225" s="13" t="s">
        <v>0</v>
      </c>
      <c r="M225" s="13" t="s">
        <v>0</v>
      </c>
      <c r="N225" s="15" t="s">
        <v>0</v>
      </c>
      <c r="O225" s="13" t="s">
        <v>0</v>
      </c>
      <c r="P225" s="13" t="s">
        <v>0</v>
      </c>
      <c r="Q225" s="13" t="s">
        <v>0</v>
      </c>
      <c r="R225" s="15" t="s">
        <v>0</v>
      </c>
      <c r="S225" s="10" t="s">
        <v>1</v>
      </c>
      <c r="T225" s="10" t="s">
        <v>32</v>
      </c>
      <c r="U225" s="5" t="str">
        <f t="shared" si="80"/>
        <v>Propriedade destinada a audibilizar: é.absorção.sonora.062</v>
      </c>
      <c r="V225" s="5" t="str">
        <f t="shared" si="81"/>
        <v>Dado para audibilizar:  absorção.sonora.062  Deve ser formatado como (xsd:double)</v>
      </c>
      <c r="W225" s="5" t="s">
        <v>5213</v>
      </c>
      <c r="X225" s="24" t="str">
        <f t="shared" si="82"/>
        <v>audib.100</v>
      </c>
      <c r="Y225" s="24" t="str">
        <f t="shared" si="83"/>
        <v>Ação de audibilizar</v>
      </c>
      <c r="Z225" s="47" t="s">
        <v>4214</v>
      </c>
      <c r="AA225" s="25" t="str">
        <f t="shared" ref="AA225:AA238" si="92">IF(AB225="null", "null", "categoria.revit")</f>
        <v>null</v>
      </c>
      <c r="AB225" s="26" t="s">
        <v>0</v>
      </c>
      <c r="AC225" s="25" t="str">
        <f t="shared" ref="AC225:AC238" si="93">IF(AD225="null", "null", "classe.ifc")</f>
        <v>null</v>
      </c>
      <c r="AD225" s="26" t="s">
        <v>0</v>
      </c>
      <c r="AE225" s="25" t="str">
        <f t="shared" si="87"/>
        <v>propriedade</v>
      </c>
      <c r="AF225" s="26" t="s">
        <v>4393</v>
      </c>
      <c r="AG225" s="47" t="s">
        <v>4223</v>
      </c>
    </row>
    <row r="226" spans="1:33" ht="6.9" customHeight="1" x14ac:dyDescent="0.4">
      <c r="A226" s="4">
        <f>ROW()</f>
        <v>226</v>
      </c>
      <c r="B226" s="9" t="s">
        <v>27</v>
      </c>
      <c r="C226" s="55" t="str">
        <f>SUBSTITUTE(F226,"d.","p.")</f>
        <v>p.audibilizar</v>
      </c>
      <c r="D226" s="6" t="str">
        <f t="shared" si="84"/>
        <v>é.absorção.sonora.125</v>
      </c>
      <c r="E226" s="8" t="s">
        <v>28</v>
      </c>
      <c r="F226" s="42" t="str">
        <f>F225</f>
        <v>d.audibilizar</v>
      </c>
      <c r="G226" s="18" t="s">
        <v>1940</v>
      </c>
      <c r="H226" s="41" t="s">
        <v>36</v>
      </c>
      <c r="I226" s="16" t="str">
        <f t="shared" si="91"/>
        <v>null</v>
      </c>
      <c r="J226" s="13" t="s">
        <v>0</v>
      </c>
      <c r="K226" s="13" t="s">
        <v>0</v>
      </c>
      <c r="L226" s="13" t="s">
        <v>0</v>
      </c>
      <c r="M226" s="13" t="s">
        <v>0</v>
      </c>
      <c r="N226" s="15" t="s">
        <v>0</v>
      </c>
      <c r="O226" s="13" t="s">
        <v>0</v>
      </c>
      <c r="P226" s="13" t="s">
        <v>0</v>
      </c>
      <c r="Q226" s="13" t="s">
        <v>0</v>
      </c>
      <c r="R226" s="15" t="s">
        <v>0</v>
      </c>
      <c r="S226" s="10" t="s">
        <v>1</v>
      </c>
      <c r="T226" s="10" t="s">
        <v>32</v>
      </c>
      <c r="U226" s="5" t="str">
        <f t="shared" si="80"/>
        <v>Propriedade destinada a audibilizar: é.absorção.sonora.125</v>
      </c>
      <c r="V226" s="5" t="str">
        <f t="shared" si="81"/>
        <v>Dado para audibilizar:  absorção.sonora.125  Deve ser formatado como (xsd:double)</v>
      </c>
      <c r="W226" s="5" t="s">
        <v>5214</v>
      </c>
      <c r="X226" s="24" t="str">
        <f t="shared" si="82"/>
        <v>audib.101</v>
      </c>
      <c r="Y226" s="24" t="str">
        <f t="shared" si="83"/>
        <v>Ação de audibilizar</v>
      </c>
      <c r="Z226" s="47" t="s">
        <v>4215</v>
      </c>
      <c r="AA226" s="25" t="str">
        <f t="shared" si="92"/>
        <v>null</v>
      </c>
      <c r="AB226" s="26" t="s">
        <v>0</v>
      </c>
      <c r="AC226" s="25" t="str">
        <f t="shared" si="93"/>
        <v>null</v>
      </c>
      <c r="AD226" s="26" t="s">
        <v>0</v>
      </c>
      <c r="AE226" s="25" t="str">
        <f t="shared" si="87"/>
        <v>propriedade</v>
      </c>
      <c r="AF226" s="26" t="s">
        <v>4393</v>
      </c>
      <c r="AG226" s="47" t="s">
        <v>4224</v>
      </c>
    </row>
    <row r="227" spans="1:33" ht="6.9" customHeight="1" x14ac:dyDescent="0.4">
      <c r="A227" s="4">
        <f>ROW()</f>
        <v>227</v>
      </c>
      <c r="B227" s="9" t="s">
        <v>27</v>
      </c>
      <c r="C227" s="55" t="str">
        <f t="shared" ref="C227:C249" si="94">SUBSTITUTE(F227,"d.","p.")</f>
        <v>p.audibilizar</v>
      </c>
      <c r="D227" s="6" t="str">
        <f t="shared" si="84"/>
        <v>é.absorção.sonora.16k</v>
      </c>
      <c r="E227" s="8" t="s">
        <v>28</v>
      </c>
      <c r="F227" s="42" t="str">
        <f t="shared" ref="F227:F249" si="95">F226</f>
        <v>d.audibilizar</v>
      </c>
      <c r="G227" s="18" t="s">
        <v>1946</v>
      </c>
      <c r="H227" s="41" t="s">
        <v>36</v>
      </c>
      <c r="I227" s="16" t="str">
        <f t="shared" si="91"/>
        <v>null</v>
      </c>
      <c r="J227" s="13" t="s">
        <v>0</v>
      </c>
      <c r="K227" s="13" t="s">
        <v>0</v>
      </c>
      <c r="L227" s="13" t="s">
        <v>0</v>
      </c>
      <c r="M227" s="13" t="s">
        <v>0</v>
      </c>
      <c r="N227" s="15" t="s">
        <v>0</v>
      </c>
      <c r="O227" s="13" t="s">
        <v>0</v>
      </c>
      <c r="P227" s="13" t="s">
        <v>0</v>
      </c>
      <c r="Q227" s="13" t="s">
        <v>0</v>
      </c>
      <c r="R227" s="15" t="s">
        <v>0</v>
      </c>
      <c r="S227" s="10" t="s">
        <v>1</v>
      </c>
      <c r="T227" s="10" t="s">
        <v>32</v>
      </c>
      <c r="U227" s="5" t="str">
        <f t="shared" si="80"/>
        <v>Propriedade destinada a audibilizar: é.absorção.sonora.16k</v>
      </c>
      <c r="V227" s="5" t="str">
        <f t="shared" si="81"/>
        <v>Dado para audibilizar:  absorção.sonora.16k  Deve ser formatado como (xsd:double)</v>
      </c>
      <c r="W227" s="5" t="s">
        <v>5215</v>
      </c>
      <c r="X227" s="24" t="str">
        <f t="shared" si="82"/>
        <v>audib.102</v>
      </c>
      <c r="Y227" s="24" t="str">
        <f t="shared" si="83"/>
        <v>Ação de audibilizar</v>
      </c>
      <c r="Z227" s="47" t="s">
        <v>4216</v>
      </c>
      <c r="AA227" s="25" t="str">
        <f t="shared" si="92"/>
        <v>null</v>
      </c>
      <c r="AB227" s="26" t="s">
        <v>0</v>
      </c>
      <c r="AC227" s="25" t="str">
        <f t="shared" si="93"/>
        <v>null</v>
      </c>
      <c r="AD227" s="26" t="s">
        <v>0</v>
      </c>
      <c r="AE227" s="25" t="str">
        <f t="shared" si="87"/>
        <v>propriedade</v>
      </c>
      <c r="AF227" s="26" t="s">
        <v>4393</v>
      </c>
      <c r="AG227" s="47" t="s">
        <v>4225</v>
      </c>
    </row>
    <row r="228" spans="1:33" ht="6.9" customHeight="1" x14ac:dyDescent="0.4">
      <c r="A228" s="4">
        <f>ROW()</f>
        <v>228</v>
      </c>
      <c r="B228" s="9" t="s">
        <v>27</v>
      </c>
      <c r="C228" s="55" t="str">
        <f t="shared" si="94"/>
        <v>p.audibilizar</v>
      </c>
      <c r="D228" s="6" t="str">
        <f t="shared" si="84"/>
        <v>é.absorção.sonora.1k</v>
      </c>
      <c r="E228" s="8" t="s">
        <v>28</v>
      </c>
      <c r="F228" s="42" t="str">
        <f t="shared" si="95"/>
        <v>d.audibilizar</v>
      </c>
      <c r="G228" s="18" t="s">
        <v>1943</v>
      </c>
      <c r="H228" s="41" t="s">
        <v>36</v>
      </c>
      <c r="I228" s="16" t="str">
        <f t="shared" si="91"/>
        <v>null</v>
      </c>
      <c r="J228" s="13" t="s">
        <v>0</v>
      </c>
      <c r="K228" s="13" t="s">
        <v>0</v>
      </c>
      <c r="L228" s="13" t="s">
        <v>0</v>
      </c>
      <c r="M228" s="13" t="s">
        <v>0</v>
      </c>
      <c r="N228" s="15" t="s">
        <v>0</v>
      </c>
      <c r="O228" s="13" t="s">
        <v>0</v>
      </c>
      <c r="P228" s="13" t="s">
        <v>0</v>
      </c>
      <c r="Q228" s="13" t="s">
        <v>0</v>
      </c>
      <c r="R228" s="15" t="s">
        <v>0</v>
      </c>
      <c r="S228" s="10" t="s">
        <v>1</v>
      </c>
      <c r="T228" s="10" t="s">
        <v>32</v>
      </c>
      <c r="U228" s="5" t="str">
        <f t="shared" si="80"/>
        <v>Propriedade destinada a audibilizar: é.absorção.sonora.1k</v>
      </c>
      <c r="V228" s="5" t="str">
        <f t="shared" si="81"/>
        <v>Dado para audibilizar:  absorção.sonora.1k  Deve ser formatado como (xsd:double)</v>
      </c>
      <c r="W228" s="5" t="s">
        <v>5216</v>
      </c>
      <c r="X228" s="24" t="str">
        <f t="shared" si="82"/>
        <v>audib.103</v>
      </c>
      <c r="Y228" s="24" t="str">
        <f t="shared" si="83"/>
        <v>Ação de audibilizar</v>
      </c>
      <c r="Z228" s="47" t="s">
        <v>4217</v>
      </c>
      <c r="AA228" s="25" t="str">
        <f t="shared" si="92"/>
        <v>null</v>
      </c>
      <c r="AB228" s="26" t="s">
        <v>0</v>
      </c>
      <c r="AC228" s="25" t="str">
        <f t="shared" si="93"/>
        <v>null</v>
      </c>
      <c r="AD228" s="26" t="s">
        <v>0</v>
      </c>
      <c r="AE228" s="25" t="str">
        <f t="shared" si="87"/>
        <v>propriedade</v>
      </c>
      <c r="AF228" s="26" t="s">
        <v>4393</v>
      </c>
      <c r="AG228" s="47" t="s">
        <v>4660</v>
      </c>
    </row>
    <row r="229" spans="1:33" ht="6.9" customHeight="1" x14ac:dyDescent="0.4">
      <c r="A229" s="4">
        <f>ROW()</f>
        <v>229</v>
      </c>
      <c r="B229" s="9" t="s">
        <v>27</v>
      </c>
      <c r="C229" s="55" t="str">
        <f t="shared" si="94"/>
        <v>p.audibilizar</v>
      </c>
      <c r="D229" s="6" t="str">
        <f t="shared" si="84"/>
        <v>é.absorção.sonora.250</v>
      </c>
      <c r="E229" s="8" t="s">
        <v>28</v>
      </c>
      <c r="F229" s="42" t="str">
        <f t="shared" si="95"/>
        <v>d.audibilizar</v>
      </c>
      <c r="G229" s="18" t="s">
        <v>1941</v>
      </c>
      <c r="H229" s="41" t="s">
        <v>36</v>
      </c>
      <c r="I229" s="16" t="str">
        <f t="shared" si="91"/>
        <v>null</v>
      </c>
      <c r="J229" s="13" t="s">
        <v>0</v>
      </c>
      <c r="K229" s="13" t="s">
        <v>0</v>
      </c>
      <c r="L229" s="13" t="s">
        <v>0</v>
      </c>
      <c r="M229" s="13" t="s">
        <v>0</v>
      </c>
      <c r="N229" s="15" t="s">
        <v>0</v>
      </c>
      <c r="O229" s="13" t="s">
        <v>0</v>
      </c>
      <c r="P229" s="13" t="s">
        <v>0</v>
      </c>
      <c r="Q229" s="13" t="s">
        <v>0</v>
      </c>
      <c r="R229" s="15" t="s">
        <v>0</v>
      </c>
      <c r="S229" s="10" t="s">
        <v>1</v>
      </c>
      <c r="T229" s="10" t="s">
        <v>32</v>
      </c>
      <c r="U229" s="5" t="str">
        <f t="shared" si="80"/>
        <v>Propriedade destinada a audibilizar: é.absorção.sonora.250</v>
      </c>
      <c r="V229" s="5" t="str">
        <f t="shared" si="81"/>
        <v>Dado para audibilizar:  absorção.sonora.250  Deve ser formatado como (xsd:double)</v>
      </c>
      <c r="W229" s="5" t="s">
        <v>5217</v>
      </c>
      <c r="X229" s="24" t="str">
        <f t="shared" si="82"/>
        <v>audib.104</v>
      </c>
      <c r="Y229" s="24" t="str">
        <f t="shared" si="83"/>
        <v>Ação de audibilizar</v>
      </c>
      <c r="Z229" s="47" t="s">
        <v>4218</v>
      </c>
      <c r="AA229" s="25" t="str">
        <f t="shared" si="92"/>
        <v>null</v>
      </c>
      <c r="AB229" s="26" t="s">
        <v>0</v>
      </c>
      <c r="AC229" s="25" t="str">
        <f t="shared" si="93"/>
        <v>null</v>
      </c>
      <c r="AD229" s="26" t="s">
        <v>0</v>
      </c>
      <c r="AE229" s="25" t="str">
        <f t="shared" si="87"/>
        <v>propriedade</v>
      </c>
      <c r="AF229" s="26" t="s">
        <v>4393</v>
      </c>
      <c r="AG229" s="47" t="s">
        <v>4661</v>
      </c>
    </row>
    <row r="230" spans="1:33" ht="6.9" customHeight="1" x14ac:dyDescent="0.4">
      <c r="A230" s="4">
        <f>ROW()</f>
        <v>230</v>
      </c>
      <c r="B230" s="9" t="s">
        <v>27</v>
      </c>
      <c r="C230" s="55" t="str">
        <f t="shared" si="94"/>
        <v>p.audibilizar</v>
      </c>
      <c r="D230" s="6" t="str">
        <f t="shared" si="84"/>
        <v>é.absorção.sonora.2k</v>
      </c>
      <c r="E230" s="8" t="s">
        <v>28</v>
      </c>
      <c r="F230" s="42" t="str">
        <f t="shared" si="95"/>
        <v>d.audibilizar</v>
      </c>
      <c r="G230" s="18" t="s">
        <v>1944</v>
      </c>
      <c r="H230" s="41" t="s">
        <v>36</v>
      </c>
      <c r="I230" s="16" t="str">
        <f t="shared" si="91"/>
        <v>null</v>
      </c>
      <c r="J230" s="13" t="s">
        <v>0</v>
      </c>
      <c r="K230" s="13" t="s">
        <v>0</v>
      </c>
      <c r="L230" s="13" t="s">
        <v>0</v>
      </c>
      <c r="M230" s="13" t="s">
        <v>0</v>
      </c>
      <c r="N230" s="15" t="s">
        <v>0</v>
      </c>
      <c r="O230" s="13" t="s">
        <v>0</v>
      </c>
      <c r="P230" s="13" t="s">
        <v>0</v>
      </c>
      <c r="Q230" s="13" t="s">
        <v>0</v>
      </c>
      <c r="R230" s="15" t="s">
        <v>0</v>
      </c>
      <c r="S230" s="10" t="s">
        <v>1</v>
      </c>
      <c r="T230" s="10" t="s">
        <v>32</v>
      </c>
      <c r="U230" s="5" t="str">
        <f t="shared" si="80"/>
        <v>Propriedade destinada a audibilizar: é.absorção.sonora.2k</v>
      </c>
      <c r="V230" s="5" t="str">
        <f t="shared" si="81"/>
        <v>Dado para audibilizar:  absorção.sonora.2k  Deve ser formatado como (xsd:double)</v>
      </c>
      <c r="W230" s="5" t="s">
        <v>5218</v>
      </c>
      <c r="X230" s="24" t="str">
        <f t="shared" si="82"/>
        <v>audib.105</v>
      </c>
      <c r="Y230" s="24" t="str">
        <f t="shared" si="83"/>
        <v>Ação de audibilizar</v>
      </c>
      <c r="Z230" s="47" t="s">
        <v>4219</v>
      </c>
      <c r="AA230" s="25" t="str">
        <f t="shared" si="92"/>
        <v>null</v>
      </c>
      <c r="AB230" s="26" t="s">
        <v>0</v>
      </c>
      <c r="AC230" s="25" t="str">
        <f t="shared" si="93"/>
        <v>null</v>
      </c>
      <c r="AD230" s="26" t="s">
        <v>0</v>
      </c>
      <c r="AE230" s="25" t="str">
        <f t="shared" si="87"/>
        <v>propriedade</v>
      </c>
      <c r="AF230" s="26" t="s">
        <v>4393</v>
      </c>
      <c r="AG230" s="47" t="s">
        <v>4662</v>
      </c>
    </row>
    <row r="231" spans="1:33" ht="6.9" customHeight="1" x14ac:dyDescent="0.4">
      <c r="A231" s="4">
        <f>ROW()</f>
        <v>231</v>
      </c>
      <c r="B231" s="9" t="s">
        <v>27</v>
      </c>
      <c r="C231" s="55" t="str">
        <f t="shared" si="94"/>
        <v>p.audibilizar</v>
      </c>
      <c r="D231" s="6" t="str">
        <f t="shared" si="84"/>
        <v>é.absorção.sonora.4k</v>
      </c>
      <c r="E231" s="8" t="s">
        <v>28</v>
      </c>
      <c r="F231" s="42" t="str">
        <f t="shared" si="95"/>
        <v>d.audibilizar</v>
      </c>
      <c r="G231" s="18" t="s">
        <v>1945</v>
      </c>
      <c r="H231" s="41" t="s">
        <v>36</v>
      </c>
      <c r="I231" s="16" t="str">
        <f t="shared" si="91"/>
        <v>null</v>
      </c>
      <c r="J231" s="13" t="s">
        <v>0</v>
      </c>
      <c r="K231" s="13" t="s">
        <v>0</v>
      </c>
      <c r="L231" s="13" t="s">
        <v>0</v>
      </c>
      <c r="M231" s="13" t="s">
        <v>0</v>
      </c>
      <c r="N231" s="15" t="s">
        <v>0</v>
      </c>
      <c r="O231" s="13" t="s">
        <v>0</v>
      </c>
      <c r="P231" s="13" t="s">
        <v>0</v>
      </c>
      <c r="Q231" s="13" t="s">
        <v>0</v>
      </c>
      <c r="R231" s="15" t="s">
        <v>0</v>
      </c>
      <c r="S231" s="10" t="s">
        <v>1</v>
      </c>
      <c r="T231" s="10" t="s">
        <v>32</v>
      </c>
      <c r="U231" s="5" t="str">
        <f t="shared" si="80"/>
        <v>Propriedade destinada a audibilizar: é.absorção.sonora.4k</v>
      </c>
      <c r="V231" s="5" t="str">
        <f t="shared" si="81"/>
        <v>Dado para audibilizar:  absorção.sonora.4k  Deve ser formatado como (xsd:double)</v>
      </c>
      <c r="W231" s="5" t="s">
        <v>5219</v>
      </c>
      <c r="X231" s="24" t="str">
        <f t="shared" si="82"/>
        <v>audib.106</v>
      </c>
      <c r="Y231" s="24" t="str">
        <f t="shared" si="83"/>
        <v>Ação de audibilizar</v>
      </c>
      <c r="Z231" s="47" t="s">
        <v>4220</v>
      </c>
      <c r="AA231" s="25" t="str">
        <f t="shared" si="92"/>
        <v>null</v>
      </c>
      <c r="AB231" s="26" t="s">
        <v>0</v>
      </c>
      <c r="AC231" s="25" t="str">
        <f t="shared" si="93"/>
        <v>null</v>
      </c>
      <c r="AD231" s="26" t="s">
        <v>0</v>
      </c>
      <c r="AE231" s="25" t="str">
        <f t="shared" si="87"/>
        <v>propriedade</v>
      </c>
      <c r="AF231" s="26" t="s">
        <v>4393</v>
      </c>
      <c r="AG231" s="47" t="s">
        <v>4226</v>
      </c>
    </row>
    <row r="232" spans="1:33" ht="6.9" customHeight="1" x14ac:dyDescent="0.4">
      <c r="A232" s="4">
        <f>ROW()</f>
        <v>232</v>
      </c>
      <c r="B232" s="9" t="s">
        <v>27</v>
      </c>
      <c r="C232" s="55" t="str">
        <f t="shared" si="94"/>
        <v>p.audibilizar</v>
      </c>
      <c r="D232" s="6" t="str">
        <f t="shared" si="84"/>
        <v>é.absorção.sonora.500</v>
      </c>
      <c r="E232" s="8" t="s">
        <v>28</v>
      </c>
      <c r="F232" s="42" t="str">
        <f t="shared" si="95"/>
        <v>d.audibilizar</v>
      </c>
      <c r="G232" s="18" t="s">
        <v>1942</v>
      </c>
      <c r="H232" s="41" t="s">
        <v>36</v>
      </c>
      <c r="I232" s="16" t="str">
        <f t="shared" si="91"/>
        <v>null</v>
      </c>
      <c r="J232" s="13" t="s">
        <v>0</v>
      </c>
      <c r="K232" s="13" t="s">
        <v>0</v>
      </c>
      <c r="L232" s="13" t="s">
        <v>0</v>
      </c>
      <c r="M232" s="13" t="s">
        <v>0</v>
      </c>
      <c r="N232" s="15" t="s">
        <v>0</v>
      </c>
      <c r="O232" s="13" t="s">
        <v>0</v>
      </c>
      <c r="P232" s="13" t="s">
        <v>0</v>
      </c>
      <c r="Q232" s="13" t="s">
        <v>0</v>
      </c>
      <c r="R232" s="15" t="s">
        <v>0</v>
      </c>
      <c r="S232" s="10" t="s">
        <v>1</v>
      </c>
      <c r="T232" s="10" t="s">
        <v>32</v>
      </c>
      <c r="U232" s="5" t="str">
        <f t="shared" si="80"/>
        <v>Propriedade destinada a audibilizar: é.absorção.sonora.500</v>
      </c>
      <c r="V232" s="5" t="str">
        <f t="shared" si="81"/>
        <v>Dado para audibilizar:  absorção.sonora.500  Deve ser formatado como (xsd:double)</v>
      </c>
      <c r="W232" s="5" t="s">
        <v>5220</v>
      </c>
      <c r="X232" s="24" t="str">
        <f t="shared" si="82"/>
        <v>audib.107</v>
      </c>
      <c r="Y232" s="24" t="str">
        <f t="shared" si="83"/>
        <v>Ação de audibilizar</v>
      </c>
      <c r="Z232" s="47" t="s">
        <v>4221</v>
      </c>
      <c r="AA232" s="25" t="str">
        <f t="shared" si="92"/>
        <v>null</v>
      </c>
      <c r="AB232" s="26" t="s">
        <v>0</v>
      </c>
      <c r="AC232" s="25" t="str">
        <f t="shared" si="93"/>
        <v>null</v>
      </c>
      <c r="AD232" s="26" t="s">
        <v>0</v>
      </c>
      <c r="AE232" s="25" t="str">
        <f t="shared" si="87"/>
        <v>propriedade</v>
      </c>
      <c r="AF232" s="26" t="s">
        <v>4393</v>
      </c>
      <c r="AG232" s="47" t="s">
        <v>4227</v>
      </c>
    </row>
    <row r="233" spans="1:33" ht="6.9" customHeight="1" x14ac:dyDescent="0.4">
      <c r="A233" s="4">
        <f>ROW()</f>
        <v>233</v>
      </c>
      <c r="B233" s="9" t="s">
        <v>27</v>
      </c>
      <c r="C233" s="55" t="str">
        <f t="shared" si="94"/>
        <v>p.audibilizar</v>
      </c>
      <c r="D233" s="6" t="str">
        <f t="shared" si="84"/>
        <v>é.absorção.sonora.8k</v>
      </c>
      <c r="E233" s="8" t="s">
        <v>28</v>
      </c>
      <c r="F233" s="42" t="str">
        <f t="shared" si="95"/>
        <v>d.audibilizar</v>
      </c>
      <c r="G233" s="18" t="s">
        <v>1947</v>
      </c>
      <c r="H233" s="41" t="s">
        <v>36</v>
      </c>
      <c r="I233" s="16" t="str">
        <f t="shared" si="91"/>
        <v>null</v>
      </c>
      <c r="J233" s="13" t="s">
        <v>0</v>
      </c>
      <c r="K233" s="13" t="s">
        <v>0</v>
      </c>
      <c r="L233" s="13" t="s">
        <v>0</v>
      </c>
      <c r="M233" s="13" t="s">
        <v>0</v>
      </c>
      <c r="N233" s="15" t="s">
        <v>0</v>
      </c>
      <c r="O233" s="13" t="s">
        <v>0</v>
      </c>
      <c r="P233" s="13" t="s">
        <v>0</v>
      </c>
      <c r="Q233" s="13" t="s">
        <v>0</v>
      </c>
      <c r="R233" s="15" t="s">
        <v>0</v>
      </c>
      <c r="S233" s="10" t="s">
        <v>1</v>
      </c>
      <c r="T233" s="10" t="s">
        <v>32</v>
      </c>
      <c r="U233" s="5" t="str">
        <f t="shared" si="80"/>
        <v>Propriedade destinada a audibilizar: é.absorção.sonora.8k</v>
      </c>
      <c r="V233" s="5" t="str">
        <f t="shared" si="81"/>
        <v>Dado para audibilizar:  absorção.sonora.8k  Deve ser formatado como (xsd:double)</v>
      </c>
      <c r="W233" s="5" t="s">
        <v>5221</v>
      </c>
      <c r="X233" s="24" t="str">
        <f t="shared" si="82"/>
        <v>audib.108</v>
      </c>
      <c r="Y233" s="24" t="str">
        <f t="shared" si="83"/>
        <v>Ação de audibilizar</v>
      </c>
      <c r="Z233" s="47" t="s">
        <v>4222</v>
      </c>
      <c r="AA233" s="25" t="str">
        <f t="shared" si="92"/>
        <v>null</v>
      </c>
      <c r="AB233" s="26" t="s">
        <v>0</v>
      </c>
      <c r="AC233" s="25" t="str">
        <f t="shared" si="93"/>
        <v>null</v>
      </c>
      <c r="AD233" s="26" t="s">
        <v>0</v>
      </c>
      <c r="AE233" s="25" t="str">
        <f t="shared" si="87"/>
        <v>propriedade</v>
      </c>
      <c r="AF233" s="26" t="s">
        <v>4393</v>
      </c>
      <c r="AG233" s="47" t="s">
        <v>4228</v>
      </c>
    </row>
    <row r="234" spans="1:33" ht="6.9" customHeight="1" x14ac:dyDescent="0.4">
      <c r="A234" s="4">
        <f>ROW()</f>
        <v>234</v>
      </c>
      <c r="B234" s="9" t="s">
        <v>27</v>
      </c>
      <c r="C234" s="55" t="str">
        <f t="shared" si="94"/>
        <v>p.audibilizar</v>
      </c>
      <c r="D234" s="6" t="str">
        <f t="shared" si="84"/>
        <v>é.clareza.sonora.c80</v>
      </c>
      <c r="E234" s="8" t="s">
        <v>28</v>
      </c>
      <c r="F234" s="42" t="str">
        <f t="shared" si="95"/>
        <v>d.audibilizar</v>
      </c>
      <c r="G234" s="23" t="s">
        <v>1167</v>
      </c>
      <c r="H234" s="41" t="s">
        <v>36</v>
      </c>
      <c r="I234" s="16" t="str">
        <f t="shared" si="91"/>
        <v>null</v>
      </c>
      <c r="J234" s="13" t="s">
        <v>0</v>
      </c>
      <c r="K234" s="13" t="s">
        <v>0</v>
      </c>
      <c r="L234" s="13" t="s">
        <v>0</v>
      </c>
      <c r="M234" s="13" t="s">
        <v>0</v>
      </c>
      <c r="N234" s="15" t="s">
        <v>0</v>
      </c>
      <c r="O234" s="13" t="s">
        <v>0</v>
      </c>
      <c r="P234" s="13" t="s">
        <v>0</v>
      </c>
      <c r="Q234" s="13" t="s">
        <v>0</v>
      </c>
      <c r="R234" s="15" t="s">
        <v>0</v>
      </c>
      <c r="S234" s="10" t="s">
        <v>1</v>
      </c>
      <c r="T234" s="10" t="s">
        <v>32</v>
      </c>
      <c r="U234" s="5" t="str">
        <f t="shared" si="80"/>
        <v>Propriedade destinada a audibilizar: é.clareza.sonora.c80</v>
      </c>
      <c r="V234" s="5" t="str">
        <f t="shared" si="81"/>
        <v>Dado para audibilizar:  clareza.sonora.c80  Deve ser formatado como (xsd:double)</v>
      </c>
      <c r="W234" s="5" t="s">
        <v>5222</v>
      </c>
      <c r="X234" s="24" t="str">
        <f t="shared" si="82"/>
        <v>audib.109</v>
      </c>
      <c r="Y234" s="24" t="str">
        <f t="shared" si="83"/>
        <v>Ação de audibilizar</v>
      </c>
      <c r="Z234" s="47" t="s">
        <v>4190</v>
      </c>
      <c r="AA234" s="25" t="str">
        <f t="shared" si="92"/>
        <v>null</v>
      </c>
      <c r="AB234" s="26" t="s">
        <v>0</v>
      </c>
      <c r="AC234" s="25" t="str">
        <f t="shared" si="93"/>
        <v>null</v>
      </c>
      <c r="AD234" s="26" t="s">
        <v>0</v>
      </c>
      <c r="AE234" s="25" t="str">
        <f t="shared" si="87"/>
        <v>propriedade</v>
      </c>
      <c r="AF234" s="26" t="s">
        <v>4394</v>
      </c>
      <c r="AG234" s="47" t="s">
        <v>4202</v>
      </c>
    </row>
    <row r="235" spans="1:33" ht="6.9" customHeight="1" x14ac:dyDescent="0.4">
      <c r="A235" s="4">
        <f>ROW()</f>
        <v>235</v>
      </c>
      <c r="B235" s="9" t="s">
        <v>27</v>
      </c>
      <c r="C235" s="55" t="str">
        <f t="shared" si="94"/>
        <v>p.audibilizar</v>
      </c>
      <c r="D235" s="6" t="str">
        <f t="shared" si="84"/>
        <v>é.coeficiente.de.difusão.acústica</v>
      </c>
      <c r="E235" s="8" t="s">
        <v>28</v>
      </c>
      <c r="F235" s="42" t="str">
        <f t="shared" si="95"/>
        <v>d.audibilizar</v>
      </c>
      <c r="G235" s="18" t="s">
        <v>6935</v>
      </c>
      <c r="H235" s="41" t="s">
        <v>36</v>
      </c>
      <c r="I235" s="16" t="str">
        <f t="shared" si="91"/>
        <v>null</v>
      </c>
      <c r="J235" s="13" t="s">
        <v>0</v>
      </c>
      <c r="K235" s="13" t="s">
        <v>0</v>
      </c>
      <c r="L235" s="13" t="s">
        <v>0</v>
      </c>
      <c r="M235" s="13" t="s">
        <v>0</v>
      </c>
      <c r="N235" s="15" t="s">
        <v>0</v>
      </c>
      <c r="O235" s="13" t="s">
        <v>0</v>
      </c>
      <c r="P235" s="13" t="s">
        <v>0</v>
      </c>
      <c r="Q235" s="13" t="s">
        <v>0</v>
      </c>
      <c r="R235" s="15" t="s">
        <v>0</v>
      </c>
      <c r="S235" s="10" t="s">
        <v>1</v>
      </c>
      <c r="T235" s="10" t="s">
        <v>32</v>
      </c>
      <c r="U235" s="5" t="str">
        <f t="shared" si="80"/>
        <v>Propriedade destinada a audibilizar: é.coeficiente.de.difusão.acústica</v>
      </c>
      <c r="V235" s="5" t="str">
        <f t="shared" si="81"/>
        <v>Dado para audibilizar:  coeficiente.de.difusão.acústica  Deve ser formatado como (xsd:double)</v>
      </c>
      <c r="W235" s="5" t="s">
        <v>5223</v>
      </c>
      <c r="X235" s="24" t="str">
        <f t="shared" si="82"/>
        <v>audib.110</v>
      </c>
      <c r="Y235" s="24" t="str">
        <f t="shared" si="83"/>
        <v>Ação de audibilizar</v>
      </c>
      <c r="Z235" s="47" t="s">
        <v>4191</v>
      </c>
      <c r="AA235" s="25" t="str">
        <f t="shared" si="92"/>
        <v>null</v>
      </c>
      <c r="AB235" s="26" t="s">
        <v>0</v>
      </c>
      <c r="AC235" s="25" t="str">
        <f t="shared" si="93"/>
        <v>null</v>
      </c>
      <c r="AD235" s="26" t="s">
        <v>0</v>
      </c>
      <c r="AE235" s="25" t="str">
        <f t="shared" si="87"/>
        <v>propriedade</v>
      </c>
      <c r="AF235" s="26" t="s">
        <v>4394</v>
      </c>
      <c r="AG235" s="47" t="s">
        <v>4206</v>
      </c>
    </row>
    <row r="236" spans="1:33" ht="6.9" customHeight="1" x14ac:dyDescent="0.4">
      <c r="A236" s="4">
        <f>ROW()</f>
        <v>236</v>
      </c>
      <c r="B236" s="9" t="s">
        <v>27</v>
      </c>
      <c r="C236" s="55" t="str">
        <f t="shared" si="94"/>
        <v>p.audibilizar</v>
      </c>
      <c r="D236" s="6" t="str">
        <f t="shared" si="84"/>
        <v>é.coeficiente.de.espalhamento</v>
      </c>
      <c r="E236" s="8" t="s">
        <v>28</v>
      </c>
      <c r="F236" s="42" t="str">
        <f t="shared" si="95"/>
        <v>d.audibilizar</v>
      </c>
      <c r="G236" s="18" t="s">
        <v>4185</v>
      </c>
      <c r="H236" s="41" t="s">
        <v>36</v>
      </c>
      <c r="I236" s="16" t="str">
        <f t="shared" si="91"/>
        <v>null</v>
      </c>
      <c r="J236" s="13" t="s">
        <v>0</v>
      </c>
      <c r="K236" s="13" t="s">
        <v>0</v>
      </c>
      <c r="L236" s="13" t="s">
        <v>0</v>
      </c>
      <c r="M236" s="13" t="s">
        <v>0</v>
      </c>
      <c r="N236" s="15" t="s">
        <v>0</v>
      </c>
      <c r="O236" s="13" t="s">
        <v>0</v>
      </c>
      <c r="P236" s="13" t="s">
        <v>0</v>
      </c>
      <c r="Q236" s="13" t="s">
        <v>0</v>
      </c>
      <c r="R236" s="15" t="s">
        <v>0</v>
      </c>
      <c r="S236" s="10" t="s">
        <v>1</v>
      </c>
      <c r="T236" s="10" t="s">
        <v>32</v>
      </c>
      <c r="U236" s="5" t="str">
        <f t="shared" si="80"/>
        <v>Propriedade destinada a audibilizar: é.coeficiente.de.espalhamento</v>
      </c>
      <c r="V236" s="5" t="str">
        <f t="shared" si="81"/>
        <v>Dado para audibilizar:  coeficiente.de.espalhamento  Deve ser formatado como (xsd:double)</v>
      </c>
      <c r="W236" s="5" t="s">
        <v>5224</v>
      </c>
      <c r="X236" s="24" t="str">
        <f t="shared" si="82"/>
        <v>audib.111</v>
      </c>
      <c r="Y236" s="24" t="str">
        <f t="shared" si="83"/>
        <v>Ação de audibilizar</v>
      </c>
      <c r="Z236" s="47" t="s">
        <v>4192</v>
      </c>
      <c r="AA236" s="25" t="str">
        <f t="shared" si="92"/>
        <v>null</v>
      </c>
      <c r="AB236" s="26" t="s">
        <v>0</v>
      </c>
      <c r="AC236" s="25" t="str">
        <f t="shared" si="93"/>
        <v>null</v>
      </c>
      <c r="AD236" s="26" t="s">
        <v>0</v>
      </c>
      <c r="AE236" s="25" t="str">
        <f t="shared" si="87"/>
        <v>propriedade</v>
      </c>
      <c r="AF236" s="26" t="s">
        <v>4394</v>
      </c>
      <c r="AG236" s="47" t="s">
        <v>4203</v>
      </c>
    </row>
    <row r="237" spans="1:33" ht="6.9" customHeight="1" x14ac:dyDescent="0.4">
      <c r="A237" s="4">
        <f>ROW()</f>
        <v>237</v>
      </c>
      <c r="B237" s="9" t="s">
        <v>27</v>
      </c>
      <c r="C237" s="55" t="str">
        <f t="shared" si="94"/>
        <v>p.audibilizar</v>
      </c>
      <c r="D237" s="6" t="str">
        <f t="shared" si="84"/>
        <v>é.coeficiente.de.redução.de.ruido</v>
      </c>
      <c r="E237" s="8" t="s">
        <v>28</v>
      </c>
      <c r="F237" s="42" t="str">
        <f t="shared" si="95"/>
        <v>d.audibilizar</v>
      </c>
      <c r="G237" s="18" t="s">
        <v>4184</v>
      </c>
      <c r="H237" s="41" t="s">
        <v>36</v>
      </c>
      <c r="I237" s="16" t="str">
        <f t="shared" si="91"/>
        <v>null</v>
      </c>
      <c r="J237" s="13" t="s">
        <v>0</v>
      </c>
      <c r="K237" s="13" t="s">
        <v>0</v>
      </c>
      <c r="L237" s="13" t="s">
        <v>0</v>
      </c>
      <c r="M237" s="13" t="s">
        <v>0</v>
      </c>
      <c r="N237" s="15" t="s">
        <v>0</v>
      </c>
      <c r="O237" s="13" t="s">
        <v>0</v>
      </c>
      <c r="P237" s="13" t="s">
        <v>0</v>
      </c>
      <c r="Q237" s="13" t="s">
        <v>0</v>
      </c>
      <c r="R237" s="66" t="s">
        <v>4188</v>
      </c>
      <c r="S237" s="10" t="s">
        <v>1</v>
      </c>
      <c r="T237" s="10" t="s">
        <v>32</v>
      </c>
      <c r="U237" s="5" t="str">
        <f t="shared" si="80"/>
        <v>Propriedade destinada a audibilizar: é.coeficiente.de.redução.de.ruido</v>
      </c>
      <c r="V237" s="5" t="str">
        <f t="shared" si="81"/>
        <v>Dado para audibilizar:  coeficiente.de.redução.de.ruido  Deve ser formatado como (xsd:double)</v>
      </c>
      <c r="W237" s="5" t="s">
        <v>5225</v>
      </c>
      <c r="X237" s="24" t="str">
        <f t="shared" si="82"/>
        <v>audib.112</v>
      </c>
      <c r="Y237" s="24" t="str">
        <f t="shared" si="83"/>
        <v>Ação de audibilizar</v>
      </c>
      <c r="Z237" s="47" t="s">
        <v>4193</v>
      </c>
      <c r="AA237" s="25" t="str">
        <f t="shared" si="92"/>
        <v>null</v>
      </c>
      <c r="AB237" s="26" t="s">
        <v>0</v>
      </c>
      <c r="AC237" s="25" t="str">
        <f t="shared" si="93"/>
        <v>null</v>
      </c>
      <c r="AD237" s="26" t="s">
        <v>0</v>
      </c>
      <c r="AE237" s="25" t="str">
        <f t="shared" si="87"/>
        <v>propriedade</v>
      </c>
      <c r="AF237" s="26" t="s">
        <v>4395</v>
      </c>
      <c r="AG237" s="47" t="s">
        <v>4205</v>
      </c>
    </row>
    <row r="238" spans="1:33" ht="6.9" customHeight="1" x14ac:dyDescent="0.4">
      <c r="A238" s="4">
        <f>ROW()</f>
        <v>238</v>
      </c>
      <c r="B238" s="9" t="s">
        <v>27</v>
      </c>
      <c r="C238" s="55" t="str">
        <f t="shared" si="94"/>
        <v>p.audibilizar</v>
      </c>
      <c r="D238" s="6" t="str">
        <f t="shared" si="84"/>
        <v>é.definição.sonora.d50</v>
      </c>
      <c r="E238" s="8" t="s">
        <v>28</v>
      </c>
      <c r="F238" s="42" t="str">
        <f t="shared" si="95"/>
        <v>d.audibilizar</v>
      </c>
      <c r="G238" s="23" t="s">
        <v>1168</v>
      </c>
      <c r="H238" s="41" t="s">
        <v>36</v>
      </c>
      <c r="I238" s="16" t="str">
        <f t="shared" si="91"/>
        <v>null</v>
      </c>
      <c r="J238" s="13" t="s">
        <v>0</v>
      </c>
      <c r="K238" s="13" t="s">
        <v>0</v>
      </c>
      <c r="L238" s="13" t="s">
        <v>0</v>
      </c>
      <c r="M238" s="13" t="s">
        <v>0</v>
      </c>
      <c r="N238" s="15" t="s">
        <v>0</v>
      </c>
      <c r="O238" s="13" t="s">
        <v>0</v>
      </c>
      <c r="P238" s="13" t="s">
        <v>0</v>
      </c>
      <c r="Q238" s="13" t="s">
        <v>0</v>
      </c>
      <c r="R238" s="15" t="s">
        <v>0</v>
      </c>
      <c r="S238" s="10" t="s">
        <v>1</v>
      </c>
      <c r="T238" s="10" t="s">
        <v>32</v>
      </c>
      <c r="U238" s="5" t="str">
        <f t="shared" si="80"/>
        <v>Propriedade destinada a audibilizar: é.definição.sonora.d50</v>
      </c>
      <c r="V238" s="5" t="str">
        <f t="shared" si="81"/>
        <v>Dado para audibilizar:  definição.sonora.d50  Deve ser formatado como (xsd:double)</v>
      </c>
      <c r="W238" s="5" t="s">
        <v>5226</v>
      </c>
      <c r="X238" s="24" t="str">
        <f t="shared" si="82"/>
        <v>audib.113</v>
      </c>
      <c r="Y238" s="24" t="str">
        <f t="shared" si="83"/>
        <v>Ação de audibilizar</v>
      </c>
      <c r="Z238" s="47" t="s">
        <v>4194</v>
      </c>
      <c r="AA238" s="25" t="str">
        <f t="shared" si="92"/>
        <v>null</v>
      </c>
      <c r="AB238" s="26" t="s">
        <v>0</v>
      </c>
      <c r="AC238" s="25" t="str">
        <f t="shared" si="93"/>
        <v>null</v>
      </c>
      <c r="AD238" s="26" t="s">
        <v>0</v>
      </c>
      <c r="AE238" s="25" t="str">
        <f t="shared" si="87"/>
        <v>propriedade</v>
      </c>
      <c r="AF238" s="26" t="s">
        <v>4394</v>
      </c>
      <c r="AG238" s="47" t="s">
        <v>4204</v>
      </c>
    </row>
    <row r="239" spans="1:33" ht="6.9" customHeight="1" x14ac:dyDescent="0.4">
      <c r="A239" s="4">
        <f>ROW()</f>
        <v>239</v>
      </c>
      <c r="B239" s="9" t="s">
        <v>27</v>
      </c>
      <c r="C239" s="55" t="str">
        <f t="shared" si="94"/>
        <v>p.audibilizar</v>
      </c>
      <c r="D239" s="6" t="str">
        <f t="shared" si="84"/>
        <v>é.ensaio.acústico</v>
      </c>
      <c r="E239" s="8" t="s">
        <v>28</v>
      </c>
      <c r="F239" s="42" t="str">
        <f t="shared" si="95"/>
        <v>d.audibilizar</v>
      </c>
      <c r="G239" s="18" t="s">
        <v>1163</v>
      </c>
      <c r="H239" s="41" t="s">
        <v>2121</v>
      </c>
      <c r="I239" s="16" t="str">
        <f t="shared" ref="I239" si="96">J239</f>
        <v>null</v>
      </c>
      <c r="J239" s="13" t="s">
        <v>0</v>
      </c>
      <c r="K239" s="13" t="s">
        <v>0</v>
      </c>
      <c r="L239" s="13" t="s">
        <v>0</v>
      </c>
      <c r="M239" s="13" t="s">
        <v>0</v>
      </c>
      <c r="N239" s="15" t="s">
        <v>0</v>
      </c>
      <c r="O239" s="13" t="s">
        <v>0</v>
      </c>
      <c r="P239" s="13" t="s">
        <v>0</v>
      </c>
      <c r="Q239" s="13" t="s">
        <v>0</v>
      </c>
      <c r="R239" s="15" t="s">
        <v>0</v>
      </c>
      <c r="S239" s="10" t="s">
        <v>1</v>
      </c>
      <c r="T239" s="10" t="s">
        <v>32</v>
      </c>
      <c r="U239" s="5" t="str">
        <f t="shared" si="80"/>
        <v>Propriedade destinada a audibilizar: é.ensaio.acústico</v>
      </c>
      <c r="V239" s="5" t="str">
        <f t="shared" si="81"/>
        <v>Dado para audibilizar:  ensaio.acústico  Deve ser formatado como (rdfs:Literal  or  xsd:string)</v>
      </c>
      <c r="W239" s="5" t="s">
        <v>5227</v>
      </c>
      <c r="X239" s="24" t="str">
        <f t="shared" si="82"/>
        <v>audib.114</v>
      </c>
      <c r="Y239" s="24" t="str">
        <f t="shared" si="83"/>
        <v>Ação de audibilizar</v>
      </c>
      <c r="Z239" s="47" t="s">
        <v>4270</v>
      </c>
      <c r="AA239" s="25" t="str">
        <f t="shared" ref="AA239" si="97">IF(AB239="null", "null", "categoria.revit")</f>
        <v>null</v>
      </c>
      <c r="AB239" s="26" t="s">
        <v>0</v>
      </c>
      <c r="AC239" s="25" t="str">
        <f t="shared" ref="AC239" si="98">IF(AD239="null", "null", "classe.ifc")</f>
        <v>null</v>
      </c>
      <c r="AD239" s="26" t="s">
        <v>0</v>
      </c>
      <c r="AE239" s="25" t="str">
        <f t="shared" si="87"/>
        <v>propriedade</v>
      </c>
      <c r="AF239" s="26" t="s">
        <v>4394</v>
      </c>
      <c r="AG239" s="47" t="s">
        <v>4271</v>
      </c>
    </row>
    <row r="240" spans="1:33" ht="6.9" customHeight="1" x14ac:dyDescent="0.4">
      <c r="A240" s="4">
        <f>ROW()</f>
        <v>240</v>
      </c>
      <c r="B240" s="9" t="s">
        <v>27</v>
      </c>
      <c r="C240" s="55" t="str">
        <f t="shared" si="94"/>
        <v>p.audibilizar</v>
      </c>
      <c r="D240" s="6" t="str">
        <f t="shared" si="84"/>
        <v>é.índice.de.transmissão.da.fala</v>
      </c>
      <c r="E240" s="8" t="s">
        <v>28</v>
      </c>
      <c r="F240" s="42" t="str">
        <f t="shared" si="95"/>
        <v>d.audibilizar</v>
      </c>
      <c r="G240" s="23" t="s">
        <v>1169</v>
      </c>
      <c r="H240" s="41" t="s">
        <v>36</v>
      </c>
      <c r="I240" s="16" t="str">
        <f t="shared" ref="I240:I249" si="99">J240</f>
        <v>null</v>
      </c>
      <c r="J240" s="13" t="s">
        <v>0</v>
      </c>
      <c r="K240" s="13" t="s">
        <v>0</v>
      </c>
      <c r="L240" s="13" t="s">
        <v>0</v>
      </c>
      <c r="M240" s="13" t="s">
        <v>0</v>
      </c>
      <c r="N240" s="15" t="s">
        <v>0</v>
      </c>
      <c r="O240" s="13" t="s">
        <v>0</v>
      </c>
      <c r="P240" s="13" t="s">
        <v>0</v>
      </c>
      <c r="Q240" s="13" t="s">
        <v>0</v>
      </c>
      <c r="R240" s="15" t="s">
        <v>0</v>
      </c>
      <c r="S240" s="10" t="s">
        <v>1</v>
      </c>
      <c r="T240" s="10" t="s">
        <v>32</v>
      </c>
      <c r="U240" s="5" t="str">
        <f t="shared" si="80"/>
        <v>Propriedade destinada a audibilizar: é.índice.de.transmissão.da.fala</v>
      </c>
      <c r="V240" s="5" t="str">
        <f t="shared" si="81"/>
        <v>Dado para audibilizar:  índice.de.transmissão.da.fala  Deve ser formatado como (xsd:double)</v>
      </c>
      <c r="W240" s="5" t="s">
        <v>5228</v>
      </c>
      <c r="X240" s="24" t="str">
        <f t="shared" si="82"/>
        <v>audib.115</v>
      </c>
      <c r="Y240" s="24" t="str">
        <f t="shared" si="83"/>
        <v>Ação de audibilizar</v>
      </c>
      <c r="Z240" s="47" t="s">
        <v>4195</v>
      </c>
      <c r="AA240" s="25" t="str">
        <f t="shared" ref="AA240:AA249" si="100">IF(AB240="null", "null", "categoria.revit")</f>
        <v>null</v>
      </c>
      <c r="AB240" s="26" t="s">
        <v>0</v>
      </c>
      <c r="AC240" s="25" t="str">
        <f t="shared" ref="AC240:AC249" si="101">IF(AD240="null", "null", "classe.ifc")</f>
        <v>null</v>
      </c>
      <c r="AD240" s="26" t="s">
        <v>0</v>
      </c>
      <c r="AE240" s="25" t="str">
        <f t="shared" si="87"/>
        <v>propriedade</v>
      </c>
      <c r="AF240" s="26" t="s">
        <v>4394</v>
      </c>
      <c r="AG240" s="47" t="s">
        <v>4207</v>
      </c>
    </row>
    <row r="241" spans="1:33" ht="6.9" customHeight="1" x14ac:dyDescent="0.4">
      <c r="A241" s="4">
        <f>ROW()</f>
        <v>241</v>
      </c>
      <c r="B241" s="9" t="s">
        <v>27</v>
      </c>
      <c r="C241" s="55" t="str">
        <f t="shared" si="94"/>
        <v>p.audibilizar</v>
      </c>
      <c r="D241" s="6" t="str">
        <f t="shared" si="84"/>
        <v>é.índice.de.transmissão.sonora</v>
      </c>
      <c r="E241" s="8" t="s">
        <v>28</v>
      </c>
      <c r="F241" s="42" t="str">
        <f t="shared" si="95"/>
        <v>d.audibilizar</v>
      </c>
      <c r="G241" s="23" t="s">
        <v>4182</v>
      </c>
      <c r="H241" s="41" t="s">
        <v>36</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80"/>
        <v>Propriedade destinada a audibilizar: é.índice.de.transmissão.sonora</v>
      </c>
      <c r="V241" s="5" t="str">
        <f t="shared" si="81"/>
        <v>Dado para audibilizar:  índice.de.transmissão.sonora  Deve ser formatado como (xsd:double)</v>
      </c>
      <c r="W241" s="5" t="s">
        <v>5229</v>
      </c>
      <c r="X241" s="24" t="str">
        <f t="shared" si="82"/>
        <v>audib.116</v>
      </c>
      <c r="Y241" s="24" t="str">
        <f t="shared" si="83"/>
        <v>Ação de audibilizar</v>
      </c>
      <c r="Z241" s="47" t="s">
        <v>4196</v>
      </c>
      <c r="AA241" s="25" t="str">
        <f t="shared" si="100"/>
        <v>null</v>
      </c>
      <c r="AB241" s="26" t="s">
        <v>0</v>
      </c>
      <c r="AC241" s="25" t="str">
        <f t="shared" si="101"/>
        <v>null</v>
      </c>
      <c r="AD241" s="26" t="s">
        <v>0</v>
      </c>
      <c r="AE241" s="25" t="str">
        <f t="shared" si="87"/>
        <v>propriedade</v>
      </c>
      <c r="AF241" s="26" t="s">
        <v>4396</v>
      </c>
      <c r="AG241" s="47" t="s">
        <v>4208</v>
      </c>
    </row>
    <row r="242" spans="1:33" ht="6.9" customHeight="1" x14ac:dyDescent="0.4">
      <c r="A242" s="4">
        <f>ROW()</f>
        <v>242</v>
      </c>
      <c r="B242" s="9" t="s">
        <v>27</v>
      </c>
      <c r="C242" s="55" t="str">
        <f t="shared" si="94"/>
        <v>p.audibilizar</v>
      </c>
      <c r="D242" s="6" t="str">
        <f t="shared" si="84"/>
        <v>é.mapa.de.pressão.sonora</v>
      </c>
      <c r="E242" s="8" t="s">
        <v>28</v>
      </c>
      <c r="F242" s="42" t="str">
        <f t="shared" si="95"/>
        <v>d.audibilizar</v>
      </c>
      <c r="G242" s="23" t="s">
        <v>1171</v>
      </c>
      <c r="H242" s="41" t="s">
        <v>36</v>
      </c>
      <c r="I242" s="16" t="str">
        <f t="shared" si="99"/>
        <v>null</v>
      </c>
      <c r="J242" s="13" t="s">
        <v>0</v>
      </c>
      <c r="K242" s="13" t="s">
        <v>0</v>
      </c>
      <c r="L242" s="13" t="s">
        <v>0</v>
      </c>
      <c r="M242" s="13" t="s">
        <v>0</v>
      </c>
      <c r="N242" s="15" t="s">
        <v>0</v>
      </c>
      <c r="O242" s="13" t="s">
        <v>0</v>
      </c>
      <c r="P242" s="13" t="s">
        <v>0</v>
      </c>
      <c r="Q242" s="13" t="s">
        <v>0</v>
      </c>
      <c r="R242" s="15" t="s">
        <v>0</v>
      </c>
      <c r="S242" s="10" t="s">
        <v>1</v>
      </c>
      <c r="T242" s="10" t="s">
        <v>32</v>
      </c>
      <c r="U242" s="5" t="str">
        <f t="shared" si="80"/>
        <v>Propriedade destinada a audibilizar: é.mapa.de.pressão.sonora</v>
      </c>
      <c r="V242" s="5" t="str">
        <f t="shared" si="81"/>
        <v>Dado para audibilizar:  mapa.de.pressão.sonora  Deve ser formatado como (xsd:double)</v>
      </c>
      <c r="W242" s="5" t="s">
        <v>5230</v>
      </c>
      <c r="X242" s="24" t="str">
        <f t="shared" si="82"/>
        <v>audib.117</v>
      </c>
      <c r="Y242" s="24" t="str">
        <f t="shared" si="83"/>
        <v>Ação de audibilizar</v>
      </c>
      <c r="Z242" s="47" t="s">
        <v>4197</v>
      </c>
      <c r="AA242" s="25" t="str">
        <f t="shared" si="100"/>
        <v>null</v>
      </c>
      <c r="AB242" s="26" t="s">
        <v>0</v>
      </c>
      <c r="AC242" s="25" t="str">
        <f t="shared" si="101"/>
        <v>null</v>
      </c>
      <c r="AD242" s="26" t="s">
        <v>0</v>
      </c>
      <c r="AE242" s="25" t="str">
        <f t="shared" si="87"/>
        <v>propriedade</v>
      </c>
      <c r="AF242" s="26" t="s">
        <v>4397</v>
      </c>
      <c r="AG242" s="47" t="s">
        <v>4209</v>
      </c>
    </row>
    <row r="243" spans="1:33" ht="6.9" customHeight="1" x14ac:dyDescent="0.4">
      <c r="A243" s="4">
        <f>ROW()</f>
        <v>243</v>
      </c>
      <c r="B243" s="9" t="s">
        <v>27</v>
      </c>
      <c r="C243" s="55" t="str">
        <f t="shared" si="94"/>
        <v>p.audibilizar</v>
      </c>
      <c r="D243" s="6" t="str">
        <f t="shared" si="84"/>
        <v>é.medição.acústica</v>
      </c>
      <c r="E243" s="8" t="s">
        <v>28</v>
      </c>
      <c r="F243" s="42" t="str">
        <f t="shared" si="95"/>
        <v>d.audibilizar</v>
      </c>
      <c r="G243" s="18" t="s">
        <v>1164</v>
      </c>
      <c r="H243" s="41" t="s">
        <v>36</v>
      </c>
      <c r="I243" s="16" t="str">
        <f t="shared" si="99"/>
        <v>null</v>
      </c>
      <c r="J243" s="13" t="s">
        <v>0</v>
      </c>
      <c r="K243" s="13" t="s">
        <v>0</v>
      </c>
      <c r="L243" s="13" t="s">
        <v>0</v>
      </c>
      <c r="M243" s="13" t="s">
        <v>0</v>
      </c>
      <c r="N243" s="15" t="s">
        <v>0</v>
      </c>
      <c r="O243" s="13" t="s">
        <v>0</v>
      </c>
      <c r="P243" s="13" t="s">
        <v>0</v>
      </c>
      <c r="Q243" s="13" t="s">
        <v>0</v>
      </c>
      <c r="R243" s="15" t="s">
        <v>0</v>
      </c>
      <c r="S243" s="10" t="s">
        <v>1</v>
      </c>
      <c r="T243" s="10" t="s">
        <v>32</v>
      </c>
      <c r="U243" s="5" t="str">
        <f t="shared" si="80"/>
        <v>Propriedade destinada a audibilizar: é.medição.acústica</v>
      </c>
      <c r="V243" s="5" t="str">
        <f t="shared" si="81"/>
        <v>Dado para audibilizar:  medição.acústica  Deve ser formatado como (xsd:double)</v>
      </c>
      <c r="W243" s="5" t="s">
        <v>5231</v>
      </c>
      <c r="X243" s="24" t="str">
        <f t="shared" si="82"/>
        <v>audib.118</v>
      </c>
      <c r="Y243" s="24" t="str">
        <f t="shared" si="83"/>
        <v>Ação de audibilizar</v>
      </c>
      <c r="Z243" s="47" t="s">
        <v>1317</v>
      </c>
      <c r="AA243" s="25" t="str">
        <f t="shared" si="100"/>
        <v>null</v>
      </c>
      <c r="AB243" s="26" t="s">
        <v>0</v>
      </c>
      <c r="AC243" s="25" t="str">
        <f t="shared" si="101"/>
        <v>null</v>
      </c>
      <c r="AD243" s="26" t="s">
        <v>0</v>
      </c>
      <c r="AE243" s="25" t="str">
        <f t="shared" si="87"/>
        <v>propriedade</v>
      </c>
      <c r="AF243" s="26" t="s">
        <v>4394</v>
      </c>
      <c r="AG243" s="47" t="s">
        <v>2667</v>
      </c>
    </row>
    <row r="244" spans="1:33" ht="6.9" customHeight="1" x14ac:dyDescent="0.4">
      <c r="A244" s="4">
        <f>ROW()</f>
        <v>244</v>
      </c>
      <c r="B244" s="9" t="s">
        <v>27</v>
      </c>
      <c r="C244" s="55" t="str">
        <f t="shared" si="94"/>
        <v>p.audibilizar</v>
      </c>
      <c r="D244" s="6" t="str">
        <f t="shared" si="84"/>
        <v>é.nível.de.pressão.sonora</v>
      </c>
      <c r="E244" s="8" t="s">
        <v>28</v>
      </c>
      <c r="F244" s="42" t="str">
        <f t="shared" si="95"/>
        <v>d.audibilizar</v>
      </c>
      <c r="G244" s="18" t="s">
        <v>1165</v>
      </c>
      <c r="H244" s="41" t="s">
        <v>36</v>
      </c>
      <c r="I244" s="16" t="str">
        <f t="shared" si="99"/>
        <v>null</v>
      </c>
      <c r="J244" s="13" t="s">
        <v>0</v>
      </c>
      <c r="K244" s="13" t="s">
        <v>0</v>
      </c>
      <c r="L244" s="13" t="s">
        <v>0</v>
      </c>
      <c r="M244" s="13" t="s">
        <v>0</v>
      </c>
      <c r="N244" s="15" t="s">
        <v>0</v>
      </c>
      <c r="O244" s="13" t="s">
        <v>0</v>
      </c>
      <c r="P244" s="13" t="s">
        <v>0</v>
      </c>
      <c r="Q244" s="13" t="s">
        <v>0</v>
      </c>
      <c r="R244" s="15" t="s">
        <v>0</v>
      </c>
      <c r="S244" s="10" t="s">
        <v>1</v>
      </c>
      <c r="T244" s="10" t="s">
        <v>32</v>
      </c>
      <c r="U244" s="5" t="str">
        <f t="shared" si="80"/>
        <v>Propriedade destinada a audibilizar: é.nível.de.pressão.sonora</v>
      </c>
      <c r="V244" s="5" t="str">
        <f t="shared" si="81"/>
        <v>Dado para audibilizar:  nível.de.pressão.sonora  Deve ser formatado como (xsd:double)</v>
      </c>
      <c r="W244" s="5" t="s">
        <v>5232</v>
      </c>
      <c r="X244" s="24" t="str">
        <f t="shared" si="82"/>
        <v>audib.119</v>
      </c>
      <c r="Y244" s="24" t="str">
        <f t="shared" si="83"/>
        <v>Ação de audibilizar</v>
      </c>
      <c r="Z244" s="47" t="s">
        <v>4186</v>
      </c>
      <c r="AA244" s="25" t="str">
        <f t="shared" si="100"/>
        <v>null</v>
      </c>
      <c r="AB244" s="26" t="s">
        <v>0</v>
      </c>
      <c r="AC244" s="25" t="str">
        <f t="shared" si="101"/>
        <v>null</v>
      </c>
      <c r="AD244" s="26" t="s">
        <v>0</v>
      </c>
      <c r="AE244" s="25" t="str">
        <f t="shared" si="87"/>
        <v>propriedade</v>
      </c>
      <c r="AF244" s="26" t="s">
        <v>4397</v>
      </c>
      <c r="AG244" s="47" t="s">
        <v>4189</v>
      </c>
    </row>
    <row r="245" spans="1:33" ht="6.9" customHeight="1" x14ac:dyDescent="0.4">
      <c r="A245" s="4">
        <f>ROW()</f>
        <v>245</v>
      </c>
      <c r="B245" s="9" t="s">
        <v>27</v>
      </c>
      <c r="C245" s="55" t="str">
        <f t="shared" si="94"/>
        <v>p.audibilizar</v>
      </c>
      <c r="D245" s="6" t="str">
        <f t="shared" si="84"/>
        <v>é.nrc</v>
      </c>
      <c r="E245" s="8" t="s">
        <v>28</v>
      </c>
      <c r="F245" s="42" t="str">
        <f t="shared" si="95"/>
        <v>d.audibilizar</v>
      </c>
      <c r="G245" s="18" t="s">
        <v>1948</v>
      </c>
      <c r="H245" s="41" t="s">
        <v>36</v>
      </c>
      <c r="I245" s="16" t="str">
        <f t="shared" si="99"/>
        <v>null</v>
      </c>
      <c r="J245" s="13" t="s">
        <v>0</v>
      </c>
      <c r="K245" s="13" t="s">
        <v>0</v>
      </c>
      <c r="L245" s="13" t="s">
        <v>0</v>
      </c>
      <c r="M245" s="13" t="s">
        <v>0</v>
      </c>
      <c r="N245" s="15" t="s">
        <v>0</v>
      </c>
      <c r="O245" s="13" t="s">
        <v>0</v>
      </c>
      <c r="P245" s="13" t="s">
        <v>0</v>
      </c>
      <c r="Q245" s="13" t="s">
        <v>0</v>
      </c>
      <c r="R245" s="15" t="s">
        <v>4187</v>
      </c>
      <c r="S245" s="10" t="s">
        <v>1</v>
      </c>
      <c r="T245" s="10" t="s">
        <v>32</v>
      </c>
      <c r="U245" s="5" t="str">
        <f t="shared" si="80"/>
        <v>Propriedade destinada a audibilizar: é.nrc</v>
      </c>
      <c r="V245" s="5" t="str">
        <f t="shared" si="81"/>
        <v>Dado para audibilizar:  nrc  Deve ser formatado como (xsd:double)</v>
      </c>
      <c r="W245" s="5" t="s">
        <v>5225</v>
      </c>
      <c r="X245" s="24" t="str">
        <f t="shared" si="82"/>
        <v>audib.120</v>
      </c>
      <c r="Y245" s="24" t="str">
        <f t="shared" si="83"/>
        <v>Ação de audibilizar</v>
      </c>
      <c r="Z245" s="47" t="s">
        <v>4193</v>
      </c>
      <c r="AA245" s="25" t="str">
        <f t="shared" si="100"/>
        <v>null</v>
      </c>
      <c r="AB245" s="26" t="s">
        <v>0</v>
      </c>
      <c r="AC245" s="25" t="str">
        <f t="shared" si="101"/>
        <v>null</v>
      </c>
      <c r="AD245" s="26" t="s">
        <v>0</v>
      </c>
      <c r="AE245" s="25" t="str">
        <f t="shared" si="87"/>
        <v>propriedade</v>
      </c>
      <c r="AF245" s="26" t="s">
        <v>4395</v>
      </c>
      <c r="AG245" s="47" t="s">
        <v>4205</v>
      </c>
    </row>
    <row r="246" spans="1:33" ht="6.9" customHeight="1" x14ac:dyDescent="0.4">
      <c r="A246" s="4">
        <f>ROW()</f>
        <v>246</v>
      </c>
      <c r="B246" s="9" t="s">
        <v>27</v>
      </c>
      <c r="C246" s="55" t="str">
        <f t="shared" si="94"/>
        <v>p.audibilizar</v>
      </c>
      <c r="D246" s="6" t="str">
        <f t="shared" si="84"/>
        <v>é.perda.de.transmissão.sonora</v>
      </c>
      <c r="E246" s="8" t="s">
        <v>28</v>
      </c>
      <c r="F246" s="42" t="str">
        <f t="shared" si="95"/>
        <v>d.audibilizar</v>
      </c>
      <c r="G246" s="18" t="s">
        <v>4183</v>
      </c>
      <c r="H246" s="41" t="s">
        <v>36</v>
      </c>
      <c r="I246" s="16" t="str">
        <f t="shared" si="99"/>
        <v>null</v>
      </c>
      <c r="J246" s="13" t="s">
        <v>0</v>
      </c>
      <c r="K246" s="13" t="s">
        <v>0</v>
      </c>
      <c r="L246" s="13" t="s">
        <v>0</v>
      </c>
      <c r="M246" s="13" t="s">
        <v>0</v>
      </c>
      <c r="N246" s="15" t="s">
        <v>0</v>
      </c>
      <c r="O246" s="13" t="s">
        <v>0</v>
      </c>
      <c r="P246" s="13" t="s">
        <v>0</v>
      </c>
      <c r="Q246" s="13" t="s">
        <v>0</v>
      </c>
      <c r="R246" s="15" t="s">
        <v>0</v>
      </c>
      <c r="S246" s="10" t="s">
        <v>1</v>
      </c>
      <c r="T246" s="10" t="s">
        <v>32</v>
      </c>
      <c r="U246" s="5" t="str">
        <f t="shared" si="80"/>
        <v>Propriedade destinada a audibilizar: é.perda.de.transmissão.sonora</v>
      </c>
      <c r="V246" s="5" t="str">
        <f t="shared" si="81"/>
        <v>Dado para audibilizar:  perda.de.transmissão.sonora  Deve ser formatado como (xsd:double)</v>
      </c>
      <c r="W246" s="5" t="s">
        <v>5233</v>
      </c>
      <c r="X246" s="24" t="str">
        <f t="shared" si="82"/>
        <v>audib.121</v>
      </c>
      <c r="Y246" s="24" t="str">
        <f t="shared" si="83"/>
        <v>Ação de audibilizar</v>
      </c>
      <c r="Z246" s="47" t="s">
        <v>4198</v>
      </c>
      <c r="AA246" s="25" t="str">
        <f t="shared" si="100"/>
        <v>null</v>
      </c>
      <c r="AB246" s="26" t="s">
        <v>0</v>
      </c>
      <c r="AC246" s="25" t="str">
        <f t="shared" si="101"/>
        <v>null</v>
      </c>
      <c r="AD246" s="26" t="s">
        <v>0</v>
      </c>
      <c r="AE246" s="25" t="str">
        <f t="shared" si="87"/>
        <v>propriedade</v>
      </c>
      <c r="AF246" s="26" t="s">
        <v>4394</v>
      </c>
      <c r="AG246" s="47" t="s">
        <v>4210</v>
      </c>
    </row>
    <row r="247" spans="1:33" ht="6.9" customHeight="1" x14ac:dyDescent="0.4">
      <c r="A247" s="4">
        <f>ROW()</f>
        <v>247</v>
      </c>
      <c r="B247" s="9" t="s">
        <v>27</v>
      </c>
      <c r="C247" s="55" t="str">
        <f t="shared" si="94"/>
        <v>p.audibilizar</v>
      </c>
      <c r="D247" s="6" t="str">
        <f t="shared" si="84"/>
        <v>é.resposta.ao.impulso</v>
      </c>
      <c r="E247" s="8" t="s">
        <v>28</v>
      </c>
      <c r="F247" s="42" t="str">
        <f t="shared" si="95"/>
        <v>d.audibilizar</v>
      </c>
      <c r="G247" s="23" t="s">
        <v>1170</v>
      </c>
      <c r="H247" s="41" t="s">
        <v>36</v>
      </c>
      <c r="I247" s="16" t="str">
        <f t="shared" si="99"/>
        <v>null</v>
      </c>
      <c r="J247" s="13" t="s">
        <v>0</v>
      </c>
      <c r="K247" s="13" t="s">
        <v>0</v>
      </c>
      <c r="L247" s="13" t="s">
        <v>0</v>
      </c>
      <c r="M247" s="13" t="s">
        <v>0</v>
      </c>
      <c r="N247" s="15" t="s">
        <v>0</v>
      </c>
      <c r="O247" s="13" t="s">
        <v>0</v>
      </c>
      <c r="P247" s="13" t="s">
        <v>0</v>
      </c>
      <c r="Q247" s="13" t="s">
        <v>0</v>
      </c>
      <c r="R247" s="15" t="s">
        <v>0</v>
      </c>
      <c r="S247" s="10" t="s">
        <v>1</v>
      </c>
      <c r="T247" s="10" t="s">
        <v>32</v>
      </c>
      <c r="U247" s="5" t="str">
        <f t="shared" si="80"/>
        <v>Propriedade destinada a audibilizar: é.resposta.ao.impulso</v>
      </c>
      <c r="V247" s="5" t="str">
        <f t="shared" si="81"/>
        <v>Dado para audibilizar:  resposta.ao.impulso  Deve ser formatado como (xsd:double)</v>
      </c>
      <c r="W247" s="5" t="s">
        <v>5234</v>
      </c>
      <c r="X247" s="24" t="str">
        <f t="shared" si="82"/>
        <v>audib.122</v>
      </c>
      <c r="Y247" s="24" t="str">
        <f t="shared" si="83"/>
        <v>Ação de audibilizar</v>
      </c>
      <c r="Z247" s="47" t="s">
        <v>4199</v>
      </c>
      <c r="AA247" s="25" t="str">
        <f t="shared" si="100"/>
        <v>null</v>
      </c>
      <c r="AB247" s="26" t="s">
        <v>0</v>
      </c>
      <c r="AC247" s="25" t="str">
        <f t="shared" si="101"/>
        <v>null</v>
      </c>
      <c r="AD247" s="26" t="s">
        <v>0</v>
      </c>
      <c r="AE247" s="25" t="str">
        <f t="shared" si="87"/>
        <v>propriedade</v>
      </c>
      <c r="AF247" s="26" t="s">
        <v>4394</v>
      </c>
      <c r="AG247" s="47" t="s">
        <v>4211</v>
      </c>
    </row>
    <row r="248" spans="1:33" ht="6.9" customHeight="1" x14ac:dyDescent="0.4">
      <c r="A248" s="4">
        <f>ROW()</f>
        <v>248</v>
      </c>
      <c r="B248" s="9" t="s">
        <v>27</v>
      </c>
      <c r="C248" s="55" t="str">
        <f t="shared" si="94"/>
        <v>p.audibilizar</v>
      </c>
      <c r="D248" s="6" t="str">
        <f t="shared" si="84"/>
        <v>é.tempo.de.decaimento.inicial</v>
      </c>
      <c r="E248" s="8" t="s">
        <v>28</v>
      </c>
      <c r="F248" s="42" t="str">
        <f t="shared" si="95"/>
        <v>d.audibilizar</v>
      </c>
      <c r="G248" s="23" t="s">
        <v>2088</v>
      </c>
      <c r="H248" s="41" t="s">
        <v>36</v>
      </c>
      <c r="I248" s="16" t="str">
        <f t="shared" si="99"/>
        <v>null</v>
      </c>
      <c r="J248" s="13" t="s">
        <v>0</v>
      </c>
      <c r="K248" s="13" t="s">
        <v>0</v>
      </c>
      <c r="L248" s="13" t="s">
        <v>0</v>
      </c>
      <c r="M248" s="13" t="s">
        <v>0</v>
      </c>
      <c r="N248" s="15" t="s">
        <v>0</v>
      </c>
      <c r="O248" s="13" t="s">
        <v>0</v>
      </c>
      <c r="P248" s="13" t="s">
        <v>0</v>
      </c>
      <c r="Q248" s="13" t="s">
        <v>0</v>
      </c>
      <c r="R248" s="15" t="s">
        <v>0</v>
      </c>
      <c r="S248" s="10" t="s">
        <v>1</v>
      </c>
      <c r="T248" s="10" t="s">
        <v>32</v>
      </c>
      <c r="U248" s="5" t="str">
        <f t="shared" si="80"/>
        <v>Propriedade destinada a audibilizar: é.tempo.de.decaimento.inicial</v>
      </c>
      <c r="V248" s="5" t="str">
        <f t="shared" si="81"/>
        <v>Dado para audibilizar:  tempo.de.decaimento.inicial  Deve ser formatado como (xsd:double)</v>
      </c>
      <c r="W248" s="5" t="s">
        <v>5235</v>
      </c>
      <c r="X248" s="24" t="str">
        <f t="shared" si="82"/>
        <v>audib.123</v>
      </c>
      <c r="Y248" s="24" t="str">
        <f t="shared" si="83"/>
        <v>Ação de audibilizar</v>
      </c>
      <c r="Z248" s="47" t="s">
        <v>4200</v>
      </c>
      <c r="AA248" s="25" t="str">
        <f t="shared" si="100"/>
        <v>null</v>
      </c>
      <c r="AB248" s="26" t="s">
        <v>0</v>
      </c>
      <c r="AC248" s="25" t="str">
        <f t="shared" si="101"/>
        <v>null</v>
      </c>
      <c r="AD248" s="26" t="s">
        <v>0</v>
      </c>
      <c r="AE248" s="25" t="str">
        <f t="shared" si="87"/>
        <v>propriedade</v>
      </c>
      <c r="AF248" s="26" t="s">
        <v>4394</v>
      </c>
      <c r="AG248" s="47" t="s">
        <v>4212</v>
      </c>
    </row>
    <row r="249" spans="1:33" ht="6.9" customHeight="1" x14ac:dyDescent="0.4">
      <c r="A249" s="4">
        <f>ROW()</f>
        <v>249</v>
      </c>
      <c r="B249" s="9" t="s">
        <v>27</v>
      </c>
      <c r="C249" s="55" t="str">
        <f t="shared" si="94"/>
        <v>p.audibilizar</v>
      </c>
      <c r="D249" s="6" t="str">
        <f t="shared" si="84"/>
        <v>é.tempo.de.reverberação</v>
      </c>
      <c r="E249" s="8" t="s">
        <v>28</v>
      </c>
      <c r="F249" s="42" t="str">
        <f t="shared" si="95"/>
        <v>d.audibilizar</v>
      </c>
      <c r="G249" s="23" t="s">
        <v>1166</v>
      </c>
      <c r="H249" s="41" t="s">
        <v>36</v>
      </c>
      <c r="I249" s="16" t="str">
        <f t="shared" si="99"/>
        <v>null</v>
      </c>
      <c r="J249" s="13" t="s">
        <v>0</v>
      </c>
      <c r="K249" s="13" t="s">
        <v>0</v>
      </c>
      <c r="L249" s="13" t="s">
        <v>0</v>
      </c>
      <c r="M249" s="13" t="s">
        <v>0</v>
      </c>
      <c r="N249" s="15" t="s">
        <v>0</v>
      </c>
      <c r="O249" s="13" t="s">
        <v>0</v>
      </c>
      <c r="P249" s="13" t="s">
        <v>0</v>
      </c>
      <c r="Q249" s="13" t="s">
        <v>0</v>
      </c>
      <c r="R249" s="15" t="s">
        <v>0</v>
      </c>
      <c r="S249" s="10" t="s">
        <v>1</v>
      </c>
      <c r="T249" s="10" t="s">
        <v>32</v>
      </c>
      <c r="U249" s="5" t="str">
        <f t="shared" si="80"/>
        <v>Propriedade destinada a audibilizar: é.tempo.de.reverberação</v>
      </c>
      <c r="V249" s="5" t="str">
        <f t="shared" si="81"/>
        <v>Dado para audibilizar:  tempo.de.reverberação  Deve ser formatado como (xsd:double)</v>
      </c>
      <c r="W249" s="5" t="s">
        <v>5236</v>
      </c>
      <c r="X249" s="24" t="str">
        <f t="shared" si="82"/>
        <v>audib.124</v>
      </c>
      <c r="Y249" s="24" t="str">
        <f t="shared" si="83"/>
        <v>Ação de audibilizar</v>
      </c>
      <c r="Z249" s="47" t="s">
        <v>4201</v>
      </c>
      <c r="AA249" s="25" t="str">
        <f t="shared" si="100"/>
        <v>null</v>
      </c>
      <c r="AB249" s="26" t="s">
        <v>0</v>
      </c>
      <c r="AC249" s="25" t="str">
        <f t="shared" si="101"/>
        <v>null</v>
      </c>
      <c r="AD249" s="26" t="s">
        <v>0</v>
      </c>
      <c r="AE249" s="25" t="str">
        <f t="shared" si="87"/>
        <v>propriedade</v>
      </c>
      <c r="AF249" s="26" t="s">
        <v>4394</v>
      </c>
      <c r="AG249" s="47" t="s">
        <v>4213</v>
      </c>
    </row>
    <row r="250" spans="1:33" ht="6.9" customHeight="1" x14ac:dyDescent="0.4">
      <c r="A250" s="4">
        <f>ROW()</f>
        <v>250</v>
      </c>
      <c r="B250" s="9" t="s">
        <v>27</v>
      </c>
      <c r="C250" s="54" t="str">
        <f t="shared" si="86"/>
        <v>p.autenticar</v>
      </c>
      <c r="D250" s="6" t="str">
        <f t="shared" si="84"/>
        <v>é.certificado.digital</v>
      </c>
      <c r="E250" s="8" t="s">
        <v>28</v>
      </c>
      <c r="F250" s="50" t="s">
        <v>546</v>
      </c>
      <c r="G250" s="18" t="s">
        <v>547</v>
      </c>
      <c r="H250" s="41" t="s">
        <v>2121</v>
      </c>
      <c r="I250" s="16" t="str">
        <f t="shared" si="88"/>
        <v>null</v>
      </c>
      <c r="J250" s="13" t="s">
        <v>0</v>
      </c>
      <c r="K250" s="13" t="s">
        <v>0</v>
      </c>
      <c r="L250" s="13" t="s">
        <v>0</v>
      </c>
      <c r="M250" s="13" t="s">
        <v>0</v>
      </c>
      <c r="N250" s="15" t="s">
        <v>0</v>
      </c>
      <c r="O250" s="13" t="s">
        <v>0</v>
      </c>
      <c r="P250" s="13" t="s">
        <v>0</v>
      </c>
      <c r="Q250" s="13" t="s">
        <v>0</v>
      </c>
      <c r="R250" s="15" t="s">
        <v>0</v>
      </c>
      <c r="S250" s="10" t="s">
        <v>1</v>
      </c>
      <c r="T250" s="10" t="s">
        <v>32</v>
      </c>
      <c r="U250" s="5" t="str">
        <f t="shared" si="80"/>
        <v>Propriedade destinada a autenticar: é.certificado.digital</v>
      </c>
      <c r="V250" s="5" t="str">
        <f t="shared" si="81"/>
        <v>Dado para autenticar:  certificado.digital  Deve ser formatado como (rdfs:Literal  or  xsd:string)</v>
      </c>
      <c r="W250" s="5" t="s">
        <v>5237</v>
      </c>
      <c r="X250" s="24" t="str">
        <f t="shared" si="82"/>
        <v>auten.100</v>
      </c>
      <c r="Y250" s="24" t="str">
        <f t="shared" si="83"/>
        <v>Ação de autenticar</v>
      </c>
      <c r="Z250" s="47" t="s">
        <v>8348</v>
      </c>
      <c r="AA250" s="25" t="str">
        <f t="shared" si="89"/>
        <v>null</v>
      </c>
      <c r="AB250" s="26" t="s">
        <v>0</v>
      </c>
      <c r="AC250" s="25" t="str">
        <f t="shared" si="90"/>
        <v>null</v>
      </c>
      <c r="AD250" s="26" t="s">
        <v>0</v>
      </c>
      <c r="AE250" s="25" t="str">
        <f t="shared" si="87"/>
        <v>null</v>
      </c>
      <c r="AF250" s="26" t="s">
        <v>0</v>
      </c>
      <c r="AG250" s="47" t="s">
        <v>6870</v>
      </c>
    </row>
    <row r="251" spans="1:33" ht="6.9" customHeight="1" x14ac:dyDescent="0.4">
      <c r="A251" s="4">
        <f>ROW()</f>
        <v>251</v>
      </c>
      <c r="B251" s="9" t="s">
        <v>27</v>
      </c>
      <c r="C251" s="55" t="str">
        <f t="shared" si="86"/>
        <v>p.autenticar</v>
      </c>
      <c r="D251" s="6" t="str">
        <f t="shared" si="84"/>
        <v>é.assinatura.digital</v>
      </c>
      <c r="E251" s="8" t="s">
        <v>28</v>
      </c>
      <c r="F251" s="42" t="str">
        <f>F250</f>
        <v>d.autenticar</v>
      </c>
      <c r="G251" s="18" t="s">
        <v>548</v>
      </c>
      <c r="H251" s="41" t="s">
        <v>2121</v>
      </c>
      <c r="I251" s="16" t="str">
        <f t="shared" si="88"/>
        <v>null</v>
      </c>
      <c r="J251" s="13" t="s">
        <v>0</v>
      </c>
      <c r="K251" s="13" t="s">
        <v>0</v>
      </c>
      <c r="L251" s="13" t="s">
        <v>0</v>
      </c>
      <c r="M251" s="13" t="s">
        <v>0</v>
      </c>
      <c r="N251" s="15" t="s">
        <v>0</v>
      </c>
      <c r="O251" s="13" t="s">
        <v>0</v>
      </c>
      <c r="P251" s="13" t="s">
        <v>0</v>
      </c>
      <c r="Q251" s="13" t="s">
        <v>0</v>
      </c>
      <c r="R251" s="15" t="s">
        <v>0</v>
      </c>
      <c r="S251" s="10" t="s">
        <v>1</v>
      </c>
      <c r="T251" s="10" t="s">
        <v>32</v>
      </c>
      <c r="U251" s="5" t="str">
        <f t="shared" si="80"/>
        <v>Propriedade destinada a autenticar: é.assinatura.digital</v>
      </c>
      <c r="V251" s="5" t="str">
        <f t="shared" si="81"/>
        <v>Dado para autenticar:  assinatura.digital  Deve ser formatado como (rdfs:Literal  or  xsd:string)</v>
      </c>
      <c r="W251" s="5" t="s">
        <v>5238</v>
      </c>
      <c r="X251" s="24" t="str">
        <f t="shared" si="82"/>
        <v>auten.101</v>
      </c>
      <c r="Y251" s="24" t="str">
        <f t="shared" si="83"/>
        <v>Ação de autenticar</v>
      </c>
      <c r="Z251" s="47" t="s">
        <v>8349</v>
      </c>
      <c r="AA251" s="25" t="str">
        <f t="shared" si="89"/>
        <v>null</v>
      </c>
      <c r="AB251" s="26" t="s">
        <v>0</v>
      </c>
      <c r="AC251" s="25" t="str">
        <f t="shared" si="90"/>
        <v>null</v>
      </c>
      <c r="AD251" s="26" t="s">
        <v>0</v>
      </c>
      <c r="AE251" s="25" t="str">
        <f t="shared" si="87"/>
        <v>null</v>
      </c>
      <c r="AF251" s="26" t="s">
        <v>0</v>
      </c>
      <c r="AG251" s="47" t="s">
        <v>6871</v>
      </c>
    </row>
    <row r="252" spans="1:33" ht="6.9" customHeight="1" x14ac:dyDescent="0.4">
      <c r="A252" s="4">
        <f>ROW()</f>
        <v>252</v>
      </c>
      <c r="B252" s="9" t="s">
        <v>27</v>
      </c>
      <c r="C252" s="55" t="str">
        <f t="shared" si="86"/>
        <v>p.autenticar</v>
      </c>
      <c r="D252" s="6" t="str">
        <f t="shared" si="84"/>
        <v>é.criptografado</v>
      </c>
      <c r="E252" s="8" t="s">
        <v>28</v>
      </c>
      <c r="F252" s="42" t="str">
        <f>F251</f>
        <v>d.autenticar</v>
      </c>
      <c r="G252" s="18" t="s">
        <v>283</v>
      </c>
      <c r="H252" s="41" t="s">
        <v>2121</v>
      </c>
      <c r="I252" s="16" t="str">
        <f t="shared" si="88"/>
        <v>null</v>
      </c>
      <c r="J252" s="13" t="s">
        <v>0</v>
      </c>
      <c r="K252" s="13" t="s">
        <v>0</v>
      </c>
      <c r="L252" s="13" t="s">
        <v>0</v>
      </c>
      <c r="M252" s="13" t="s">
        <v>0</v>
      </c>
      <c r="N252" s="15" t="s">
        <v>0</v>
      </c>
      <c r="O252" s="13" t="s">
        <v>0</v>
      </c>
      <c r="P252" s="13" t="s">
        <v>0</v>
      </c>
      <c r="Q252" s="13" t="s">
        <v>0</v>
      </c>
      <c r="R252" s="15" t="s">
        <v>0</v>
      </c>
      <c r="S252" s="10" t="s">
        <v>1</v>
      </c>
      <c r="T252" s="10" t="s">
        <v>32</v>
      </c>
      <c r="U252" s="5" t="str">
        <f t="shared" si="80"/>
        <v>Propriedade destinada a autenticar: é.criptografado</v>
      </c>
      <c r="V252" s="5" t="str">
        <f t="shared" si="81"/>
        <v>Dado para autenticar:  criptografado  Deve ser formatado como (rdfs:Literal  or  xsd:string)</v>
      </c>
      <c r="W252" s="5" t="s">
        <v>5239</v>
      </c>
      <c r="X252" s="24" t="str">
        <f t="shared" si="82"/>
        <v>auten.102</v>
      </c>
      <c r="Y252" s="24" t="str">
        <f t="shared" si="83"/>
        <v>Ação de autenticar</v>
      </c>
      <c r="Z252" s="47" t="s">
        <v>8350</v>
      </c>
      <c r="AA252" s="25" t="str">
        <f t="shared" si="89"/>
        <v>null</v>
      </c>
      <c r="AB252" s="26" t="s">
        <v>0</v>
      </c>
      <c r="AC252" s="25" t="str">
        <f t="shared" si="90"/>
        <v>null</v>
      </c>
      <c r="AD252" s="26" t="s">
        <v>0</v>
      </c>
      <c r="AE252" s="25" t="str">
        <f t="shared" si="87"/>
        <v>null</v>
      </c>
      <c r="AF252" s="26" t="s">
        <v>0</v>
      </c>
      <c r="AG252" s="47" t="s">
        <v>6872</v>
      </c>
    </row>
    <row r="253" spans="1:33" ht="6.9" customHeight="1" x14ac:dyDescent="0.4">
      <c r="A253" s="4">
        <f>ROW()</f>
        <v>253</v>
      </c>
      <c r="B253" s="9" t="s">
        <v>27</v>
      </c>
      <c r="C253" s="54" t="str">
        <f t="shared" si="86"/>
        <v>p.avaliar</v>
      </c>
      <c r="D253" s="6" t="str">
        <f t="shared" si="84"/>
        <v>é.barreira.arquitetônica</v>
      </c>
      <c r="E253" s="8" t="s">
        <v>28</v>
      </c>
      <c r="F253" s="50" t="s">
        <v>4357</v>
      </c>
      <c r="G253" s="18" t="s">
        <v>8320</v>
      </c>
      <c r="H253" s="41" t="s">
        <v>2121</v>
      </c>
      <c r="I253" s="16" t="str">
        <f>J253</f>
        <v>null</v>
      </c>
      <c r="J253" s="13" t="s">
        <v>0</v>
      </c>
      <c r="K253" s="13" t="s">
        <v>0</v>
      </c>
      <c r="L253" s="13" t="s">
        <v>0</v>
      </c>
      <c r="M253" s="13" t="s">
        <v>0</v>
      </c>
      <c r="N253" s="15" t="s">
        <v>0</v>
      </c>
      <c r="O253" s="13" t="s">
        <v>0</v>
      </c>
      <c r="P253" s="13" t="s">
        <v>0</v>
      </c>
      <c r="Q253" s="13" t="s">
        <v>0</v>
      </c>
      <c r="R253" s="15" t="s">
        <v>0</v>
      </c>
      <c r="S253" s="10" t="s">
        <v>1</v>
      </c>
      <c r="T253" s="10" t="s">
        <v>32</v>
      </c>
      <c r="U253" s="5" t="str">
        <f t="shared" si="80"/>
        <v>Propriedade destinada a avaliar: é.barreira.arquitetônica</v>
      </c>
      <c r="V253" s="5" t="str">
        <f t="shared" si="81"/>
        <v>Dado para avaliar:  barreira.arquitetônica  Deve ser formatado como (rdfs:Literal  or  xsd:string)</v>
      </c>
      <c r="W253" s="5" t="s">
        <v>8322</v>
      </c>
      <c r="X253" s="24" t="str">
        <f t="shared" si="82"/>
        <v>avali.100</v>
      </c>
      <c r="Y253" s="24" t="str">
        <f t="shared" si="83"/>
        <v>Ação de avaliar</v>
      </c>
      <c r="Z253" s="47" t="s">
        <v>8326</v>
      </c>
      <c r="AA253" s="25" t="str">
        <f>IF(AB253="null", "null", "categoria.revit")</f>
        <v>null</v>
      </c>
      <c r="AB253" s="26" t="s">
        <v>0</v>
      </c>
      <c r="AC253" s="25" t="str">
        <f>IF(AD253="null", "null", "classe.ifc")</f>
        <v>null</v>
      </c>
      <c r="AD253" s="26" t="s">
        <v>0</v>
      </c>
      <c r="AE253" s="25" t="str">
        <f>IF(AF253="null", "null", "propriedade")</f>
        <v>null</v>
      </c>
      <c r="AF253" s="26" t="s">
        <v>0</v>
      </c>
      <c r="AG253" s="47" t="s">
        <v>8324</v>
      </c>
    </row>
    <row r="254" spans="1:33" ht="6.9" customHeight="1" x14ac:dyDescent="0.4">
      <c r="A254" s="4">
        <f>ROW()</f>
        <v>254</v>
      </c>
      <c r="B254" s="9" t="s">
        <v>27</v>
      </c>
      <c r="C254" s="55" t="str">
        <f>SUBSTITUTE(F254,"d.","p.")</f>
        <v>p.avaliar</v>
      </c>
      <c r="D254" s="6" t="str">
        <f t="shared" si="84"/>
        <v>é.barreira.urbana</v>
      </c>
      <c r="E254" s="8" t="s">
        <v>28</v>
      </c>
      <c r="F254" s="42" t="str">
        <f>F253</f>
        <v>d.avaliar</v>
      </c>
      <c r="G254" s="18" t="s">
        <v>8321</v>
      </c>
      <c r="H254" s="41" t="s">
        <v>2121</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80"/>
        <v>Propriedade destinada a avaliar: é.barreira.urbana</v>
      </c>
      <c r="V254" s="5" t="str">
        <f t="shared" si="81"/>
        <v>Dado para avaliar:  barreira.urbana  Deve ser formatado como (rdfs:Literal  or  xsd:string)</v>
      </c>
      <c r="W254" s="5" t="s">
        <v>8323</v>
      </c>
      <c r="X254" s="24" t="str">
        <f t="shared" si="82"/>
        <v>avali.101</v>
      </c>
      <c r="Y254" s="24" t="str">
        <f t="shared" si="83"/>
        <v>Ação de avaliar</v>
      </c>
      <c r="Z254" s="47" t="s">
        <v>8327</v>
      </c>
      <c r="AA254" s="25" t="str">
        <f>IF(AB254="null", "null", "categoria.revit")</f>
        <v>null</v>
      </c>
      <c r="AB254" s="26" t="s">
        <v>0</v>
      </c>
      <c r="AC254" s="25" t="str">
        <f>IF(AD254="null", "null", "classe.ifc")</f>
        <v>null</v>
      </c>
      <c r="AD254" s="26" t="s">
        <v>0</v>
      </c>
      <c r="AE254" s="25" t="str">
        <f>IF(AF254="null", "null", "propriedade")</f>
        <v>null</v>
      </c>
      <c r="AF254" s="26" t="s">
        <v>0</v>
      </c>
      <c r="AG254" s="47" t="s">
        <v>8325</v>
      </c>
    </row>
    <row r="255" spans="1:33" ht="6.9" customHeight="1" x14ac:dyDescent="0.4">
      <c r="A255" s="4">
        <f>ROW()</f>
        <v>255</v>
      </c>
      <c r="B255" s="9" t="s">
        <v>27</v>
      </c>
      <c r="C255" s="55" t="str">
        <f t="shared" ref="C255:C259" si="102">SUBSTITUTE(F255,"d.","p.")</f>
        <v>p.avaliar</v>
      </c>
      <c r="D255" s="6" t="str">
        <f t="shared" si="84"/>
        <v>é.índice.de.impacto.social</v>
      </c>
      <c r="E255" s="8" t="s">
        <v>28</v>
      </c>
      <c r="F255" s="42" t="str">
        <f t="shared" ref="F255:F259" si="103">F254</f>
        <v>d.avaliar</v>
      </c>
      <c r="G255" s="18" t="s">
        <v>4359</v>
      </c>
      <c r="H255" s="41" t="s">
        <v>36</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80"/>
        <v>Propriedade destinada a avaliar: é.índice.de.impacto.social</v>
      </c>
      <c r="V255" s="5" t="str">
        <f t="shared" si="81"/>
        <v>Dado para avaliar:  índice.de.impacto.social  Deve ser formatado como (xsd:double)</v>
      </c>
      <c r="W255" s="5" t="s">
        <v>5240</v>
      </c>
      <c r="X255" s="24" t="str">
        <f t="shared" si="82"/>
        <v>avali.102</v>
      </c>
      <c r="Y255" s="24" t="str">
        <f t="shared" si="83"/>
        <v>Ação de avaliar</v>
      </c>
      <c r="Z255" s="47" t="s">
        <v>4358</v>
      </c>
      <c r="AA255" s="25" t="str">
        <f>IF(AB255="null", "null", "categoria.revit")</f>
        <v>null</v>
      </c>
      <c r="AB255" s="26" t="s">
        <v>0</v>
      </c>
      <c r="AC255" s="25" t="str">
        <f>IF(AD255="null", "null", "classe.ifc")</f>
        <v>null</v>
      </c>
      <c r="AD255" s="26" t="s">
        <v>0</v>
      </c>
      <c r="AE255" s="25" t="str">
        <f>IF(AF255="null", "null", "propriedade")</f>
        <v>null</v>
      </c>
      <c r="AF255" s="26" t="s">
        <v>0</v>
      </c>
      <c r="AG255" s="47" t="s">
        <v>4879</v>
      </c>
    </row>
    <row r="256" spans="1:33" ht="6.9" customHeight="1" x14ac:dyDescent="0.4">
      <c r="A256" s="4">
        <f>ROW()</f>
        <v>256</v>
      </c>
      <c r="B256" s="9" t="s">
        <v>27</v>
      </c>
      <c r="C256" s="55" t="str">
        <f t="shared" si="102"/>
        <v>p.avaliar</v>
      </c>
      <c r="D256" s="6" t="str">
        <f t="shared" si="84"/>
        <v>é.índice.de.qualidade.ambiental</v>
      </c>
      <c r="E256" s="8" t="s">
        <v>28</v>
      </c>
      <c r="F256" s="42" t="str">
        <f t="shared" si="103"/>
        <v>d.avaliar</v>
      </c>
      <c r="G256" s="18" t="s">
        <v>4363</v>
      </c>
      <c r="H256" s="41" t="s">
        <v>36</v>
      </c>
      <c r="I256" s="16" t="str">
        <f>J256</f>
        <v>null</v>
      </c>
      <c r="J256" s="13" t="s">
        <v>0</v>
      </c>
      <c r="K256" s="13" t="s">
        <v>0</v>
      </c>
      <c r="L256" s="13" t="s">
        <v>0</v>
      </c>
      <c r="M256" s="13" t="s">
        <v>0</v>
      </c>
      <c r="N256" s="15" t="s">
        <v>0</v>
      </c>
      <c r="O256" s="13" t="s">
        <v>0</v>
      </c>
      <c r="P256" s="13" t="s">
        <v>0</v>
      </c>
      <c r="Q256" s="13" t="s">
        <v>0</v>
      </c>
      <c r="R256" s="15" t="s">
        <v>0</v>
      </c>
      <c r="S256" s="10" t="s">
        <v>1</v>
      </c>
      <c r="T256" s="10" t="s">
        <v>32</v>
      </c>
      <c r="U256" s="5" t="str">
        <f t="shared" si="80"/>
        <v>Propriedade destinada a avaliar: é.índice.de.qualidade.ambiental</v>
      </c>
      <c r="V256" s="5" t="str">
        <f t="shared" si="81"/>
        <v>Dado para avaliar:  índice.de.qualidade.ambiental  Deve ser formatado como (xsd:double)</v>
      </c>
      <c r="W256" s="5" t="s">
        <v>5240</v>
      </c>
      <c r="X256" s="24" t="str">
        <f t="shared" si="82"/>
        <v>avali.103</v>
      </c>
      <c r="Y256" s="24" t="str">
        <f t="shared" si="83"/>
        <v>Ação de avaliar</v>
      </c>
      <c r="Z256" s="47" t="s">
        <v>4358</v>
      </c>
      <c r="AA256" s="25" t="str">
        <f>IF(AB256="null", "null", "categoria.revit")</f>
        <v>null</v>
      </c>
      <c r="AB256" s="26" t="s">
        <v>0</v>
      </c>
      <c r="AC256" s="25" t="str">
        <f>IF(AD256="null", "null", "classe.ifc")</f>
        <v>null</v>
      </c>
      <c r="AD256" s="26" t="s">
        <v>0</v>
      </c>
      <c r="AE256" s="25" t="str">
        <f>IF(AF256="null", "null", "propriedade")</f>
        <v>null</v>
      </c>
      <c r="AF256" s="26" t="s">
        <v>0</v>
      </c>
      <c r="AG256" s="47" t="s">
        <v>4879</v>
      </c>
    </row>
    <row r="257" spans="1:33" ht="6.9" customHeight="1" x14ac:dyDescent="0.4">
      <c r="A257" s="4">
        <f>ROW()</f>
        <v>257</v>
      </c>
      <c r="B257" s="9" t="s">
        <v>27</v>
      </c>
      <c r="C257" s="55" t="str">
        <f t="shared" si="102"/>
        <v>p.avaliar</v>
      </c>
      <c r="D257" s="6" t="str">
        <f t="shared" si="84"/>
        <v>é.índice.de.qualidade.habitacional</v>
      </c>
      <c r="E257" s="8" t="s">
        <v>28</v>
      </c>
      <c r="F257" s="42" t="str">
        <f t="shared" si="103"/>
        <v>d.avaliar</v>
      </c>
      <c r="G257" s="18" t="s">
        <v>4361</v>
      </c>
      <c r="H257" s="41" t="s">
        <v>36</v>
      </c>
      <c r="I257" s="16" t="str">
        <f t="shared" ref="I257" si="104">J257</f>
        <v>null</v>
      </c>
      <c r="J257" s="13" t="s">
        <v>0</v>
      </c>
      <c r="K257" s="13" t="s">
        <v>0</v>
      </c>
      <c r="L257" s="13" t="s">
        <v>0</v>
      </c>
      <c r="M257" s="13" t="s">
        <v>0</v>
      </c>
      <c r="N257" s="15" t="s">
        <v>0</v>
      </c>
      <c r="O257" s="13" t="s">
        <v>0</v>
      </c>
      <c r="P257" s="13" t="s">
        <v>0</v>
      </c>
      <c r="Q257" s="13" t="s">
        <v>0</v>
      </c>
      <c r="R257" s="15" t="s">
        <v>0</v>
      </c>
      <c r="S257" s="10" t="s">
        <v>1</v>
      </c>
      <c r="T257" s="10" t="s">
        <v>32</v>
      </c>
      <c r="U257" s="5" t="str">
        <f t="shared" si="80"/>
        <v>Propriedade destinada a avaliar: é.índice.de.qualidade.habitacional</v>
      </c>
      <c r="V257" s="5" t="str">
        <f t="shared" si="81"/>
        <v>Dado para avaliar:  índice.de.qualidade.habitacional  Deve ser formatado como (xsd:double)</v>
      </c>
      <c r="W257" s="5" t="s">
        <v>5240</v>
      </c>
      <c r="X257" s="24" t="str">
        <f t="shared" si="82"/>
        <v>avali.104</v>
      </c>
      <c r="Y257" s="24" t="str">
        <f t="shared" si="83"/>
        <v>Ação de avaliar</v>
      </c>
      <c r="Z257" s="47" t="s">
        <v>4358</v>
      </c>
      <c r="AA257" s="25" t="str">
        <f t="shared" ref="AA257" si="105">IF(AB257="null", "null", "categoria.revit")</f>
        <v>null</v>
      </c>
      <c r="AB257" s="26" t="s">
        <v>0</v>
      </c>
      <c r="AC257" s="25" t="str">
        <f t="shared" ref="AC257" si="106">IF(AD257="null", "null", "classe.ifc")</f>
        <v>null</v>
      </c>
      <c r="AD257" s="26" t="s">
        <v>0</v>
      </c>
      <c r="AE257" s="25" t="str">
        <f t="shared" ref="AE257" si="107">IF(AF257="null", "null", "propriedade")</f>
        <v>null</v>
      </c>
      <c r="AF257" s="26" t="s">
        <v>0</v>
      </c>
      <c r="AG257" s="47" t="s">
        <v>4879</v>
      </c>
    </row>
    <row r="258" spans="1:33" ht="6.9" customHeight="1" x14ac:dyDescent="0.4">
      <c r="A258" s="4">
        <f>ROW()</f>
        <v>258</v>
      </c>
      <c r="B258" s="9" t="s">
        <v>27</v>
      </c>
      <c r="C258" s="55" t="str">
        <f t="shared" si="102"/>
        <v>p.avaliar</v>
      </c>
      <c r="D258" s="6" t="str">
        <f t="shared" si="84"/>
        <v>é.índice.de.qualidade.urbana</v>
      </c>
      <c r="E258" s="8" t="s">
        <v>28</v>
      </c>
      <c r="F258" s="42" t="str">
        <f t="shared" si="103"/>
        <v>d.avaliar</v>
      </c>
      <c r="G258" s="18" t="s">
        <v>4362</v>
      </c>
      <c r="H258" s="41" t="s">
        <v>36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08">_xlfn.CONCAT("Propriedade destinada a ",MID(C258,FIND("p.",C258,1)+2,100),": ",D258)</f>
        <v>Propriedade destinada a avaliar: é.índice.de.qualidade.urbana</v>
      </c>
      <c r="V258" s="5" t="str">
        <f t="shared" ref="V258:V321" si="109">_xlfn.CONCAT("Dado para ",MID(F258,FIND("d.",F258,1)+2,100),":  ",G258, "  Deve ser formatado como (",H258, ")")</f>
        <v>Dado para avaliar:  índice.de.qualidade.urbana  Deve ser formatado como (xsd:double)</v>
      </c>
      <c r="W258" s="5" t="s">
        <v>5240</v>
      </c>
      <c r="X258" s="24" t="str">
        <f t="shared" si="82"/>
        <v>avali.105</v>
      </c>
      <c r="Y258" s="24" t="str">
        <f t="shared" si="83"/>
        <v>Ação de avaliar</v>
      </c>
      <c r="Z258" s="47" t="s">
        <v>4358</v>
      </c>
      <c r="AA258" s="25" t="str">
        <f>IF(AB258="null", "null", "categoria.revit")</f>
        <v>null</v>
      </c>
      <c r="AB258" s="26" t="s">
        <v>0</v>
      </c>
      <c r="AC258" s="25" t="str">
        <f>IF(AD258="null", "null", "classe.ifc")</f>
        <v>null</v>
      </c>
      <c r="AD258" s="26" t="s">
        <v>0</v>
      </c>
      <c r="AE258" s="25" t="str">
        <f>IF(AF258="null", "null", "propriedade")</f>
        <v>null</v>
      </c>
      <c r="AF258" s="26" t="s">
        <v>0</v>
      </c>
      <c r="AG258" s="47" t="s">
        <v>4879</v>
      </c>
    </row>
    <row r="259" spans="1:33" ht="6.9" customHeight="1" x14ac:dyDescent="0.4">
      <c r="A259" s="4">
        <f>ROW()</f>
        <v>259</v>
      </c>
      <c r="B259" s="9" t="s">
        <v>27</v>
      </c>
      <c r="C259" s="55" t="str">
        <f t="shared" si="102"/>
        <v>p.avaliar</v>
      </c>
      <c r="D259" s="6" t="str">
        <f t="shared" si="84"/>
        <v>é.índice.de.viabilidade.econômica</v>
      </c>
      <c r="E259" s="8" t="s">
        <v>28</v>
      </c>
      <c r="F259" s="42" t="str">
        <f t="shared" si="103"/>
        <v>d.avaliar</v>
      </c>
      <c r="G259" s="18" t="s">
        <v>4360</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08"/>
        <v>Propriedade destinada a avaliar: é.índice.de.viabilidade.econômica</v>
      </c>
      <c r="V259" s="5" t="str">
        <f t="shared" si="109"/>
        <v>Dado para avaliar:  índice.de.viabilidade.econômica  Deve ser formatado como (xsd:double)</v>
      </c>
      <c r="W259" s="5" t="s">
        <v>5240</v>
      </c>
      <c r="X259" s="24" t="str">
        <f t="shared" ref="X259:X322" si="110">IF(F258&lt;&gt;F259,_xlfn.CONCAT(RIGHT(LEFT(F259,7),5),".100"),_xlfn.CONCAT(RIGHT(LEFT(F259,7),5),".",SUM(VALUE(RIGHT(X258,3)),1)))</f>
        <v>avali.106</v>
      </c>
      <c r="Y259" s="24" t="str">
        <f t="shared" ref="Y259:Y322" si="111">_xlfn.CONCAT("Ação de ", SUBSTITUTE(F259, "d.",  ""))</f>
        <v>Ação de avaliar</v>
      </c>
      <c r="Z259" s="47" t="s">
        <v>4358</v>
      </c>
      <c r="AA259" s="25" t="str">
        <f>IF(AB259="null", "null", "categoria.revit")</f>
        <v>null</v>
      </c>
      <c r="AB259" s="26" t="s">
        <v>0</v>
      </c>
      <c r="AC259" s="25" t="str">
        <f>IF(AD259="null", "null", "classe.ifc")</f>
        <v>null</v>
      </c>
      <c r="AD259" s="26" t="s">
        <v>0</v>
      </c>
      <c r="AE259" s="25" t="str">
        <f>IF(AF259="null", "null", "propriedade")</f>
        <v>null</v>
      </c>
      <c r="AF259" s="26" t="s">
        <v>0</v>
      </c>
      <c r="AG259" s="47" t="s">
        <v>4879</v>
      </c>
    </row>
    <row r="260" spans="1:33" ht="6.9" customHeight="1" x14ac:dyDescent="0.4">
      <c r="A260" s="4">
        <f>ROW()</f>
        <v>260</v>
      </c>
      <c r="B260" s="9" t="s">
        <v>27</v>
      </c>
      <c r="C260" s="54" t="str">
        <f t="shared" si="86"/>
        <v>p.calcular</v>
      </c>
      <c r="D260" s="6" t="str">
        <f t="shared" si="84"/>
        <v>é.matriz</v>
      </c>
      <c r="E260" s="8" t="s">
        <v>28</v>
      </c>
      <c r="F260" s="51" t="s">
        <v>549</v>
      </c>
      <c r="G260" s="17" t="s">
        <v>387</v>
      </c>
      <c r="H260" s="42" t="s">
        <v>2121</v>
      </c>
      <c r="I260" s="16" t="str">
        <f t="shared" si="88"/>
        <v>null</v>
      </c>
      <c r="J260" s="15" t="s">
        <v>0</v>
      </c>
      <c r="K260" s="15" t="s">
        <v>0</v>
      </c>
      <c r="L260" s="15" t="s">
        <v>0</v>
      </c>
      <c r="M260" s="15" t="s">
        <v>0</v>
      </c>
      <c r="N260" s="15" t="s">
        <v>0</v>
      </c>
      <c r="O260" s="15" t="s">
        <v>0</v>
      </c>
      <c r="P260" s="15" t="s">
        <v>0</v>
      </c>
      <c r="Q260" s="15" t="s">
        <v>0</v>
      </c>
      <c r="R260" s="15" t="s">
        <v>0</v>
      </c>
      <c r="S260" s="10" t="s">
        <v>1</v>
      </c>
      <c r="T260" s="10" t="s">
        <v>32</v>
      </c>
      <c r="U260" s="5" t="str">
        <f t="shared" si="108"/>
        <v>Propriedade destinada a calcular: é.matriz</v>
      </c>
      <c r="V260" s="5" t="str">
        <f t="shared" si="109"/>
        <v>Dado para calcular:  matriz  Deve ser formatado como (rdfs:Literal  or  xsd:string)</v>
      </c>
      <c r="W260" s="5" t="s">
        <v>5241</v>
      </c>
      <c r="X260" s="24" t="str">
        <f t="shared" si="110"/>
        <v>calcu.100</v>
      </c>
      <c r="Y260" s="24" t="str">
        <f t="shared" si="111"/>
        <v>Ação de calcular</v>
      </c>
      <c r="Z260" s="47" t="s">
        <v>1318</v>
      </c>
      <c r="AA260" s="25" t="str">
        <f t="shared" si="89"/>
        <v>null</v>
      </c>
      <c r="AB260" s="26" t="s">
        <v>0</v>
      </c>
      <c r="AC260" s="25" t="str">
        <f t="shared" si="90"/>
        <v>null</v>
      </c>
      <c r="AD260" s="26" t="s">
        <v>0</v>
      </c>
      <c r="AE260" s="25" t="str">
        <f t="shared" si="87"/>
        <v>null</v>
      </c>
      <c r="AF260" s="26" t="s">
        <v>0</v>
      </c>
      <c r="AG260" s="47" t="s">
        <v>2668</v>
      </c>
    </row>
    <row r="261" spans="1:33" ht="6.9" customHeight="1" x14ac:dyDescent="0.4">
      <c r="A261" s="4">
        <f>ROW()</f>
        <v>261</v>
      </c>
      <c r="B261" s="9" t="s">
        <v>27</v>
      </c>
      <c r="C261" s="55" t="str">
        <f t="shared" si="86"/>
        <v>p.calcular</v>
      </c>
      <c r="D261" s="6" t="str">
        <f t="shared" si="84"/>
        <v>é.fórmula</v>
      </c>
      <c r="E261" s="8" t="s">
        <v>28</v>
      </c>
      <c r="F261" s="42" t="str">
        <f>F260</f>
        <v>d.calcular</v>
      </c>
      <c r="G261" s="17" t="s">
        <v>459</v>
      </c>
      <c r="H261" s="42" t="s">
        <v>2121</v>
      </c>
      <c r="I261" s="16" t="str">
        <f t="shared" si="88"/>
        <v>null</v>
      </c>
      <c r="J261" s="15" t="s">
        <v>0</v>
      </c>
      <c r="K261" s="15" t="s">
        <v>0</v>
      </c>
      <c r="L261" s="15" t="s">
        <v>0</v>
      </c>
      <c r="M261" s="15" t="s">
        <v>0</v>
      </c>
      <c r="N261" s="15" t="s">
        <v>0</v>
      </c>
      <c r="O261" s="15" t="s">
        <v>0</v>
      </c>
      <c r="P261" s="15" t="s">
        <v>0</v>
      </c>
      <c r="Q261" s="15" t="s">
        <v>0</v>
      </c>
      <c r="R261" s="15" t="s">
        <v>0</v>
      </c>
      <c r="S261" s="10" t="s">
        <v>1</v>
      </c>
      <c r="T261" s="10" t="s">
        <v>32</v>
      </c>
      <c r="U261" s="5" t="str">
        <f t="shared" si="108"/>
        <v>Propriedade destinada a calcular: é.fórmula</v>
      </c>
      <c r="V261" s="5" t="str">
        <f t="shared" si="109"/>
        <v>Dado para calcular:  fórmula  Deve ser formatado como (rdfs:Literal  or  xsd:string)</v>
      </c>
      <c r="W261" s="5" t="s">
        <v>5242</v>
      </c>
      <c r="X261" s="24" t="str">
        <f t="shared" si="110"/>
        <v>calcu.101</v>
      </c>
      <c r="Y261" s="24" t="str">
        <f t="shared" si="111"/>
        <v>Ação de calcular</v>
      </c>
      <c r="Z261" s="47" t="s">
        <v>3913</v>
      </c>
      <c r="AA261" s="25" t="str">
        <f t="shared" si="89"/>
        <v>null</v>
      </c>
      <c r="AB261" s="26" t="s">
        <v>0</v>
      </c>
      <c r="AC261" s="25" t="str">
        <f t="shared" si="90"/>
        <v>null</v>
      </c>
      <c r="AD261" s="26" t="s">
        <v>0</v>
      </c>
      <c r="AE261" s="25" t="str">
        <f t="shared" si="87"/>
        <v>null</v>
      </c>
      <c r="AF261" s="26" t="s">
        <v>0</v>
      </c>
      <c r="AG261" s="47" t="s">
        <v>3914</v>
      </c>
    </row>
    <row r="262" spans="1:33" ht="6.9" customHeight="1" x14ac:dyDescent="0.4">
      <c r="A262" s="4">
        <f>ROW()</f>
        <v>262</v>
      </c>
      <c r="B262" s="9" t="s">
        <v>27</v>
      </c>
      <c r="C262" s="55" t="str">
        <f t="shared" ref="C262" si="112">SUBSTITUTE(F262,"d.","p.")</f>
        <v>p.calcular</v>
      </c>
      <c r="D262" s="6" t="str">
        <f t="shared" si="84"/>
        <v>é.coeficiente.de.majoração</v>
      </c>
      <c r="E262" s="8" t="s">
        <v>28</v>
      </c>
      <c r="F262" s="42" t="str">
        <f>F260</f>
        <v>d.calcular</v>
      </c>
      <c r="G262" s="17" t="s">
        <v>6937</v>
      </c>
      <c r="H262" s="41" t="s">
        <v>36</v>
      </c>
      <c r="I262" s="16" t="str">
        <f t="shared" ref="I262" si="113">J262</f>
        <v>null</v>
      </c>
      <c r="J262" s="15" t="s">
        <v>0</v>
      </c>
      <c r="K262" s="15" t="s">
        <v>0</v>
      </c>
      <c r="L262" s="15" t="s">
        <v>0</v>
      </c>
      <c r="M262" s="15" t="s">
        <v>0</v>
      </c>
      <c r="N262" s="15" t="s">
        <v>0</v>
      </c>
      <c r="O262" s="15" t="s">
        <v>0</v>
      </c>
      <c r="P262" s="15" t="s">
        <v>0</v>
      </c>
      <c r="Q262" s="15" t="s">
        <v>0</v>
      </c>
      <c r="R262" s="15" t="s">
        <v>0</v>
      </c>
      <c r="S262" s="10" t="s">
        <v>1</v>
      </c>
      <c r="T262" s="10" t="s">
        <v>32</v>
      </c>
      <c r="U262" s="5" t="str">
        <f t="shared" si="108"/>
        <v>Propriedade destinada a calcular: é.coeficiente.de.majoração</v>
      </c>
      <c r="V262" s="5" t="str">
        <f t="shared" si="109"/>
        <v>Dado para calcular:  coeficiente.de.majoração  Deve ser formatado como (xsd:double)</v>
      </c>
      <c r="W262" s="5" t="s">
        <v>7525</v>
      </c>
      <c r="X262" s="24" t="str">
        <f t="shared" si="110"/>
        <v>calcu.102</v>
      </c>
      <c r="Y262" s="24" t="str">
        <f t="shared" si="111"/>
        <v>Ação de calcular</v>
      </c>
      <c r="Z262" s="47" t="s">
        <v>2042</v>
      </c>
      <c r="AA262" s="25" t="str">
        <f t="shared" ref="AA262" si="114">IF(AB262="null", "null", "categoria.revit")</f>
        <v>null</v>
      </c>
      <c r="AB262" s="26" t="s">
        <v>0</v>
      </c>
      <c r="AC262" s="25" t="str">
        <f t="shared" ref="AC262" si="115">IF(AD262="null", "null", "classe.ifc")</f>
        <v>null</v>
      </c>
      <c r="AD262" s="26" t="s">
        <v>0</v>
      </c>
      <c r="AE262" s="25" t="str">
        <f t="shared" ref="AE262" si="116">IF(AF262="null", "null", "propriedade")</f>
        <v>null</v>
      </c>
      <c r="AF262" s="26" t="s">
        <v>0</v>
      </c>
      <c r="AG262" s="47" t="s">
        <v>2669</v>
      </c>
    </row>
    <row r="263" spans="1:33" ht="6.9" customHeight="1" x14ac:dyDescent="0.4">
      <c r="A263" s="4">
        <f>ROW()</f>
        <v>263</v>
      </c>
      <c r="B263" s="9" t="s">
        <v>27</v>
      </c>
      <c r="C263" s="55" t="str">
        <f t="shared" si="86"/>
        <v>p.calcular</v>
      </c>
      <c r="D263" s="6" t="str">
        <f t="shared" si="84"/>
        <v>é.coeficiente.de.minoração</v>
      </c>
      <c r="E263" s="8" t="s">
        <v>28</v>
      </c>
      <c r="F263" s="42" t="str">
        <f>F261</f>
        <v>d.calcular</v>
      </c>
      <c r="G263" s="17" t="s">
        <v>7524</v>
      </c>
      <c r="H263" s="41" t="s">
        <v>36</v>
      </c>
      <c r="I263" s="16" t="str">
        <f t="shared" si="88"/>
        <v>null</v>
      </c>
      <c r="J263" s="15" t="s">
        <v>0</v>
      </c>
      <c r="K263" s="15" t="s">
        <v>0</v>
      </c>
      <c r="L263" s="15" t="s">
        <v>0</v>
      </c>
      <c r="M263" s="15" t="s">
        <v>0</v>
      </c>
      <c r="N263" s="15" t="s">
        <v>0</v>
      </c>
      <c r="O263" s="15" t="s">
        <v>0</v>
      </c>
      <c r="P263" s="15" t="s">
        <v>0</v>
      </c>
      <c r="Q263" s="15" t="s">
        <v>0</v>
      </c>
      <c r="R263" s="15" t="s">
        <v>0</v>
      </c>
      <c r="S263" s="10" t="s">
        <v>1</v>
      </c>
      <c r="T263" s="10" t="s">
        <v>32</v>
      </c>
      <c r="U263" s="5" t="str">
        <f t="shared" si="108"/>
        <v>Propriedade destinada a calcular: é.coeficiente.de.minoração</v>
      </c>
      <c r="V263" s="5" t="str">
        <f t="shared" si="109"/>
        <v>Dado para calcular:  coeficiente.de.minoração  Deve ser formatado como (xsd:double)</v>
      </c>
      <c r="W263" s="5" t="s">
        <v>7526</v>
      </c>
      <c r="X263" s="24" t="str">
        <f t="shared" si="110"/>
        <v>calcu.103</v>
      </c>
      <c r="Y263" s="24" t="str">
        <f t="shared" si="111"/>
        <v>Ação de calcular</v>
      </c>
      <c r="Z263" s="47" t="s">
        <v>7527</v>
      </c>
      <c r="AA263" s="25" t="str">
        <f t="shared" si="89"/>
        <v>null</v>
      </c>
      <c r="AB263" s="26" t="s">
        <v>0</v>
      </c>
      <c r="AC263" s="25" t="str">
        <f t="shared" si="90"/>
        <v>null</v>
      </c>
      <c r="AD263" s="26" t="s">
        <v>0</v>
      </c>
      <c r="AE263" s="25" t="str">
        <f t="shared" si="87"/>
        <v>null</v>
      </c>
      <c r="AF263" s="26" t="s">
        <v>0</v>
      </c>
      <c r="AG263" s="47" t="s">
        <v>7528</v>
      </c>
    </row>
    <row r="264" spans="1:33" ht="6.9" customHeight="1" x14ac:dyDescent="0.4">
      <c r="A264" s="4">
        <f>ROW()</f>
        <v>264</v>
      </c>
      <c r="B264" s="9" t="s">
        <v>27</v>
      </c>
      <c r="C264" s="54" t="str">
        <f t="shared" si="86"/>
        <v>p.carregar</v>
      </c>
      <c r="D264" s="6" t="str">
        <f t="shared" si="84"/>
        <v>é.carga.acidental</v>
      </c>
      <c r="E264" s="8" t="s">
        <v>28</v>
      </c>
      <c r="F264" s="51" t="s">
        <v>554</v>
      </c>
      <c r="G264" s="17" t="s">
        <v>4129</v>
      </c>
      <c r="H264" s="42" t="s">
        <v>2121</v>
      </c>
      <c r="I264" s="16" t="str">
        <f t="shared" si="88"/>
        <v>null</v>
      </c>
      <c r="J264" s="15" t="s">
        <v>0</v>
      </c>
      <c r="K264" s="15" t="s">
        <v>0</v>
      </c>
      <c r="L264" s="15" t="s">
        <v>0</v>
      </c>
      <c r="M264" s="15" t="s">
        <v>0</v>
      </c>
      <c r="N264" s="15" t="s">
        <v>0</v>
      </c>
      <c r="O264" s="15" t="s">
        <v>0</v>
      </c>
      <c r="P264" s="15" t="s">
        <v>0</v>
      </c>
      <c r="Q264" s="15" t="s">
        <v>0</v>
      </c>
      <c r="R264" s="15" t="s">
        <v>0</v>
      </c>
      <c r="S264" s="10" t="s">
        <v>1</v>
      </c>
      <c r="T264" s="10" t="s">
        <v>32</v>
      </c>
      <c r="U264" s="5" t="str">
        <f t="shared" si="108"/>
        <v>Propriedade destinada a carregar: é.carga.acidental</v>
      </c>
      <c r="V264" s="5" t="str">
        <f t="shared" si="109"/>
        <v>Dado para carregar:  carga.acidental  Deve ser formatado como (rdfs:Literal  or  xsd:string)</v>
      </c>
      <c r="W264" s="5" t="s">
        <v>7085</v>
      </c>
      <c r="X264" s="24" t="str">
        <f t="shared" si="110"/>
        <v>carre.100</v>
      </c>
      <c r="Y264" s="24" t="str">
        <f t="shared" si="111"/>
        <v>Ação de carregar</v>
      </c>
      <c r="Z264" s="47" t="s">
        <v>8351</v>
      </c>
      <c r="AA264" s="25" t="str">
        <f t="shared" si="89"/>
        <v>null</v>
      </c>
      <c r="AB264" s="26" t="s">
        <v>0</v>
      </c>
      <c r="AC264" s="25" t="str">
        <f t="shared" si="90"/>
        <v>null</v>
      </c>
      <c r="AD264" s="26" t="s">
        <v>0</v>
      </c>
      <c r="AE264" s="25" t="str">
        <f t="shared" si="87"/>
        <v>null</v>
      </c>
      <c r="AF264" s="26" t="s">
        <v>0</v>
      </c>
      <c r="AG264" s="47" t="s">
        <v>8540</v>
      </c>
    </row>
    <row r="265" spans="1:33" ht="6.9" customHeight="1" x14ac:dyDescent="0.4">
      <c r="A265" s="4">
        <f>ROW()</f>
        <v>265</v>
      </c>
      <c r="B265" s="9" t="s">
        <v>27</v>
      </c>
      <c r="C265" s="55" t="str">
        <f t="shared" si="86"/>
        <v>p.carregar</v>
      </c>
      <c r="D265" s="6" t="str">
        <f t="shared" si="84"/>
        <v>é.carga.de.chuva</v>
      </c>
      <c r="E265" s="8" t="s">
        <v>28</v>
      </c>
      <c r="F265" s="42" t="str">
        <f t="shared" ref="F265:F279" si="117">F264</f>
        <v>d.carregar</v>
      </c>
      <c r="G265" s="17" t="s">
        <v>4130</v>
      </c>
      <c r="H265" s="42" t="s">
        <v>2121</v>
      </c>
      <c r="I265" s="16" t="str">
        <f t="shared" si="88"/>
        <v>null</v>
      </c>
      <c r="J265" s="15" t="s">
        <v>0</v>
      </c>
      <c r="K265" s="15" t="s">
        <v>0</v>
      </c>
      <c r="L265" s="15" t="s">
        <v>0</v>
      </c>
      <c r="M265" s="15" t="s">
        <v>0</v>
      </c>
      <c r="N265" s="15" t="s">
        <v>0</v>
      </c>
      <c r="O265" s="15" t="s">
        <v>0</v>
      </c>
      <c r="P265" s="15" t="s">
        <v>0</v>
      </c>
      <c r="Q265" s="15" t="s">
        <v>0</v>
      </c>
      <c r="R265" s="15" t="s">
        <v>0</v>
      </c>
      <c r="S265" s="10" t="s">
        <v>1</v>
      </c>
      <c r="T265" s="10" t="s">
        <v>32</v>
      </c>
      <c r="U265" s="5" t="str">
        <f t="shared" si="108"/>
        <v>Propriedade destinada a carregar: é.carga.de.chuva</v>
      </c>
      <c r="V265" s="5" t="str">
        <f t="shared" si="109"/>
        <v>Dado para carregar:  carga.de.chuva  Deve ser formatado como (rdfs:Literal  or  xsd:string)</v>
      </c>
      <c r="W265" s="5" t="s">
        <v>7086</v>
      </c>
      <c r="X265" s="24" t="str">
        <f t="shared" si="110"/>
        <v>carre.101</v>
      </c>
      <c r="Y265" s="24" t="str">
        <f t="shared" si="111"/>
        <v>Ação de carregar</v>
      </c>
      <c r="Z265" s="47" t="s">
        <v>8352</v>
      </c>
      <c r="AA265" s="25" t="str">
        <f t="shared" si="89"/>
        <v>null</v>
      </c>
      <c r="AB265" s="26" t="s">
        <v>0</v>
      </c>
      <c r="AC265" s="25" t="str">
        <f t="shared" si="90"/>
        <v>null</v>
      </c>
      <c r="AD265" s="26" t="s">
        <v>0</v>
      </c>
      <c r="AE265" s="25" t="str">
        <f t="shared" si="87"/>
        <v>null</v>
      </c>
      <c r="AF265" s="26" t="s">
        <v>0</v>
      </c>
      <c r="AG265" s="47" t="s">
        <v>8541</v>
      </c>
    </row>
    <row r="266" spans="1:33" ht="6.9" customHeight="1" x14ac:dyDescent="0.4">
      <c r="A266" s="4">
        <f>ROW()</f>
        <v>266</v>
      </c>
      <c r="B266" s="9" t="s">
        <v>27</v>
      </c>
      <c r="C266" s="55" t="str">
        <f t="shared" si="86"/>
        <v>p.carregar</v>
      </c>
      <c r="D266" s="6" t="str">
        <f t="shared" si="84"/>
        <v>é.carga.concentrada</v>
      </c>
      <c r="E266" s="8" t="s">
        <v>28</v>
      </c>
      <c r="F266" s="42" t="str">
        <f t="shared" si="117"/>
        <v>d.carregar</v>
      </c>
      <c r="G266" s="17" t="s">
        <v>4420</v>
      </c>
      <c r="H266" s="42" t="s">
        <v>2121</v>
      </c>
      <c r="I266" s="16" t="str">
        <f t="shared" si="88"/>
        <v>null</v>
      </c>
      <c r="J266" s="15" t="s">
        <v>0</v>
      </c>
      <c r="K266" s="15" t="s">
        <v>0</v>
      </c>
      <c r="L266" s="15" t="s">
        <v>0</v>
      </c>
      <c r="M266" s="15" t="s">
        <v>0</v>
      </c>
      <c r="N266" s="15" t="s">
        <v>0</v>
      </c>
      <c r="O266" s="15" t="s">
        <v>0</v>
      </c>
      <c r="P266" s="15" t="s">
        <v>0</v>
      </c>
      <c r="Q266" s="15" t="s">
        <v>0</v>
      </c>
      <c r="R266" s="15" t="s">
        <v>0</v>
      </c>
      <c r="S266" s="10" t="s">
        <v>1</v>
      </c>
      <c r="T266" s="10" t="s">
        <v>32</v>
      </c>
      <c r="U266" s="5" t="str">
        <f t="shared" si="108"/>
        <v>Propriedade destinada a carregar: é.carga.concentrada</v>
      </c>
      <c r="V266" s="5" t="str">
        <f t="shared" si="109"/>
        <v>Dado para carregar:  carga.concentrada  Deve ser formatado como (rdfs:Literal  or  xsd:string)</v>
      </c>
      <c r="W266" s="5" t="s">
        <v>5243</v>
      </c>
      <c r="X266" s="24" t="str">
        <f t="shared" si="110"/>
        <v>carre.102</v>
      </c>
      <c r="Y266" s="24" t="str">
        <f t="shared" si="111"/>
        <v>Ação de carregar</v>
      </c>
      <c r="Z266" s="47" t="s">
        <v>3957</v>
      </c>
      <c r="AA266" s="25" t="str">
        <f t="shared" si="89"/>
        <v>null</v>
      </c>
      <c r="AB266" s="26" t="s">
        <v>0</v>
      </c>
      <c r="AC266" s="25" t="str">
        <f t="shared" si="90"/>
        <v>null</v>
      </c>
      <c r="AD266" s="26" t="s">
        <v>0</v>
      </c>
      <c r="AE266" s="25" t="str">
        <f t="shared" si="87"/>
        <v>null</v>
      </c>
      <c r="AF266" s="26" t="s">
        <v>0</v>
      </c>
      <c r="AG266" s="47" t="s">
        <v>4017</v>
      </c>
    </row>
    <row r="267" spans="1:33" ht="6.9" customHeight="1" x14ac:dyDescent="0.4">
      <c r="A267" s="4">
        <f>ROW()</f>
        <v>267</v>
      </c>
      <c r="B267" s="9" t="s">
        <v>27</v>
      </c>
      <c r="C267" s="55" t="str">
        <f t="shared" si="86"/>
        <v>p.carregar</v>
      </c>
      <c r="D267" s="6" t="str">
        <f t="shared" si="84"/>
        <v>é.carga.especial</v>
      </c>
      <c r="E267" s="8" t="s">
        <v>28</v>
      </c>
      <c r="F267" s="42" t="str">
        <f t="shared" si="117"/>
        <v>d.carregar</v>
      </c>
      <c r="G267" s="17" t="s">
        <v>4131</v>
      </c>
      <c r="H267" s="42" t="s">
        <v>2121</v>
      </c>
      <c r="I267" s="16" t="str">
        <f t="shared" si="88"/>
        <v>null</v>
      </c>
      <c r="J267" s="15" t="s">
        <v>0</v>
      </c>
      <c r="K267" s="15" t="s">
        <v>0</v>
      </c>
      <c r="L267" s="15" t="s">
        <v>0</v>
      </c>
      <c r="M267" s="15" t="s">
        <v>0</v>
      </c>
      <c r="N267" s="15" t="s">
        <v>0</v>
      </c>
      <c r="O267" s="15" t="s">
        <v>0</v>
      </c>
      <c r="P267" s="15" t="s">
        <v>0</v>
      </c>
      <c r="Q267" s="15" t="s">
        <v>0</v>
      </c>
      <c r="R267" s="15" t="s">
        <v>0</v>
      </c>
      <c r="S267" s="10" t="s">
        <v>1</v>
      </c>
      <c r="T267" s="10" t="s">
        <v>32</v>
      </c>
      <c r="U267" s="5" t="str">
        <f t="shared" si="108"/>
        <v>Propriedade destinada a carregar: é.carga.especial</v>
      </c>
      <c r="V267" s="5" t="str">
        <f t="shared" si="109"/>
        <v>Dado para carregar:  carga.especial  Deve ser formatado como (rdfs:Literal  or  xsd:string)</v>
      </c>
      <c r="W267" s="5" t="s">
        <v>7087</v>
      </c>
      <c r="X267" s="24" t="str">
        <f t="shared" si="110"/>
        <v>carre.103</v>
      </c>
      <c r="Y267" s="24" t="str">
        <f t="shared" si="111"/>
        <v>Ação de carregar</v>
      </c>
      <c r="Z267" s="47" t="s">
        <v>8353</v>
      </c>
      <c r="AA267" s="25" t="str">
        <f t="shared" si="89"/>
        <v>null</v>
      </c>
      <c r="AB267" s="26" t="s">
        <v>0</v>
      </c>
      <c r="AC267" s="25" t="str">
        <f t="shared" si="90"/>
        <v>null</v>
      </c>
      <c r="AD267" s="26" t="s">
        <v>0</v>
      </c>
      <c r="AE267" s="25" t="str">
        <f t="shared" si="87"/>
        <v>null</v>
      </c>
      <c r="AF267" s="26" t="s">
        <v>0</v>
      </c>
      <c r="AG267" s="47" t="s">
        <v>8542</v>
      </c>
    </row>
    <row r="268" spans="1:33" ht="6.9" customHeight="1" x14ac:dyDescent="0.4">
      <c r="A268" s="4">
        <f>ROW()</f>
        <v>268</v>
      </c>
      <c r="B268" s="9" t="s">
        <v>27</v>
      </c>
      <c r="C268" s="55" t="str">
        <f t="shared" si="86"/>
        <v>p.carregar</v>
      </c>
      <c r="D268" s="6" t="str">
        <f t="shared" si="84"/>
        <v>é.carga.linear</v>
      </c>
      <c r="E268" s="8" t="s">
        <v>28</v>
      </c>
      <c r="F268" s="42" t="str">
        <f t="shared" si="117"/>
        <v>d.carregar</v>
      </c>
      <c r="G268" s="17" t="s">
        <v>4421</v>
      </c>
      <c r="H268" s="42" t="s">
        <v>2121</v>
      </c>
      <c r="I268" s="16" t="str">
        <f t="shared" si="88"/>
        <v>null</v>
      </c>
      <c r="J268" s="15" t="s">
        <v>0</v>
      </c>
      <c r="K268" s="15" t="s">
        <v>0</v>
      </c>
      <c r="L268" s="15" t="s">
        <v>0</v>
      </c>
      <c r="M268" s="15" t="s">
        <v>0</v>
      </c>
      <c r="N268" s="15" t="s">
        <v>0</v>
      </c>
      <c r="O268" s="15" t="s">
        <v>0</v>
      </c>
      <c r="P268" s="15" t="s">
        <v>0</v>
      </c>
      <c r="Q268" s="15" t="s">
        <v>0</v>
      </c>
      <c r="R268" s="15" t="s">
        <v>0</v>
      </c>
      <c r="S268" s="10" t="s">
        <v>1</v>
      </c>
      <c r="T268" s="10" t="s">
        <v>32</v>
      </c>
      <c r="U268" s="5" t="str">
        <f t="shared" si="108"/>
        <v>Propriedade destinada a carregar: é.carga.linear</v>
      </c>
      <c r="V268" s="5" t="str">
        <f t="shared" si="109"/>
        <v>Dado para carregar:  carga.linear  Deve ser formatado como (rdfs:Literal  or  xsd:string)</v>
      </c>
      <c r="W268" s="5" t="s">
        <v>5244</v>
      </c>
      <c r="X268" s="24" t="str">
        <f t="shared" si="110"/>
        <v>carre.104</v>
      </c>
      <c r="Y268" s="24" t="str">
        <f t="shared" si="111"/>
        <v>Ação de carregar</v>
      </c>
      <c r="Z268" s="47" t="s">
        <v>3958</v>
      </c>
      <c r="AA268" s="25" t="str">
        <f t="shared" si="89"/>
        <v>null</v>
      </c>
      <c r="AB268" s="26" t="s">
        <v>0</v>
      </c>
      <c r="AC268" s="25" t="str">
        <f t="shared" si="90"/>
        <v>null</v>
      </c>
      <c r="AD268" s="26" t="s">
        <v>0</v>
      </c>
      <c r="AE268" s="25" t="str">
        <f t="shared" si="87"/>
        <v>null</v>
      </c>
      <c r="AF268" s="26" t="s">
        <v>0</v>
      </c>
      <c r="AG268" s="47" t="s">
        <v>4018</v>
      </c>
    </row>
    <row r="269" spans="1:33" ht="6.9" customHeight="1" x14ac:dyDescent="0.4">
      <c r="A269" s="4">
        <f>ROW()</f>
        <v>269</v>
      </c>
      <c r="B269" s="9" t="s">
        <v>27</v>
      </c>
      <c r="C269" s="55" t="str">
        <f t="shared" si="86"/>
        <v>p.carregar</v>
      </c>
      <c r="D269" s="6" t="str">
        <f t="shared" si="84"/>
        <v>é.carga.de.neve</v>
      </c>
      <c r="E269" s="8" t="s">
        <v>28</v>
      </c>
      <c r="F269" s="42" t="str">
        <f t="shared" si="117"/>
        <v>d.carregar</v>
      </c>
      <c r="G269" s="17" t="s">
        <v>4132</v>
      </c>
      <c r="H269" s="42" t="s">
        <v>2121</v>
      </c>
      <c r="I269" s="16" t="str">
        <f t="shared" si="88"/>
        <v>null</v>
      </c>
      <c r="J269" s="15" t="s">
        <v>0</v>
      </c>
      <c r="K269" s="15" t="s">
        <v>0</v>
      </c>
      <c r="L269" s="15" t="s">
        <v>0</v>
      </c>
      <c r="M269" s="15" t="s">
        <v>0</v>
      </c>
      <c r="N269" s="15" t="s">
        <v>0</v>
      </c>
      <c r="O269" s="15" t="s">
        <v>0</v>
      </c>
      <c r="P269" s="15" t="s">
        <v>0</v>
      </c>
      <c r="Q269" s="15" t="s">
        <v>0</v>
      </c>
      <c r="R269" s="15" t="s">
        <v>0</v>
      </c>
      <c r="S269" s="10" t="s">
        <v>1</v>
      </c>
      <c r="T269" s="10" t="s">
        <v>32</v>
      </c>
      <c r="U269" s="5" t="str">
        <f t="shared" si="108"/>
        <v>Propriedade destinada a carregar: é.carga.de.neve</v>
      </c>
      <c r="V269" s="5" t="str">
        <f t="shared" si="109"/>
        <v>Dado para carregar:  carga.de.neve  Deve ser formatado como (rdfs:Literal  or  xsd:string)</v>
      </c>
      <c r="W269" s="5" t="s">
        <v>7088</v>
      </c>
      <c r="X269" s="24" t="str">
        <f t="shared" si="110"/>
        <v>carre.105</v>
      </c>
      <c r="Y269" s="24" t="str">
        <f t="shared" si="111"/>
        <v>Ação de carregar</v>
      </c>
      <c r="Z269" s="47" t="s">
        <v>8354</v>
      </c>
      <c r="AA269" s="25" t="str">
        <f t="shared" si="89"/>
        <v>null</v>
      </c>
      <c r="AB269" s="26" t="s">
        <v>0</v>
      </c>
      <c r="AC269" s="25" t="str">
        <f t="shared" si="90"/>
        <v>null</v>
      </c>
      <c r="AD269" s="26" t="s">
        <v>0</v>
      </c>
      <c r="AE269" s="25" t="str">
        <f t="shared" si="87"/>
        <v>null</v>
      </c>
      <c r="AF269" s="26" t="s">
        <v>0</v>
      </c>
      <c r="AG269" s="47" t="s">
        <v>8543</v>
      </c>
    </row>
    <row r="270" spans="1:33" ht="6.9" customHeight="1" x14ac:dyDescent="0.4">
      <c r="A270" s="4">
        <f>ROW()</f>
        <v>270</v>
      </c>
      <c r="B270" s="9" t="s">
        <v>27</v>
      </c>
      <c r="C270" s="55" t="str">
        <f t="shared" si="86"/>
        <v>p.carregar</v>
      </c>
      <c r="D270" s="6" t="str">
        <f t="shared" si="84"/>
        <v>é.carga.permanente</v>
      </c>
      <c r="E270" s="8" t="s">
        <v>28</v>
      </c>
      <c r="F270" s="42" t="str">
        <f t="shared" si="117"/>
        <v>d.carregar</v>
      </c>
      <c r="G270" s="17" t="s">
        <v>4422</v>
      </c>
      <c r="H270" s="42" t="s">
        <v>2121</v>
      </c>
      <c r="I270" s="16" t="str">
        <f t="shared" si="88"/>
        <v>null</v>
      </c>
      <c r="J270" s="15" t="s">
        <v>0</v>
      </c>
      <c r="K270" s="15" t="s">
        <v>0</v>
      </c>
      <c r="L270" s="15" t="s">
        <v>0</v>
      </c>
      <c r="M270" s="15" t="s">
        <v>0</v>
      </c>
      <c r="N270" s="15" t="s">
        <v>0</v>
      </c>
      <c r="O270" s="15" t="s">
        <v>0</v>
      </c>
      <c r="P270" s="15" t="s">
        <v>0</v>
      </c>
      <c r="Q270" s="15" t="s">
        <v>0</v>
      </c>
      <c r="R270" s="15" t="s">
        <v>0</v>
      </c>
      <c r="S270" s="10" t="s">
        <v>1</v>
      </c>
      <c r="T270" s="10" t="s">
        <v>32</v>
      </c>
      <c r="U270" s="5" t="str">
        <f t="shared" si="108"/>
        <v>Propriedade destinada a carregar: é.carga.permanente</v>
      </c>
      <c r="V270" s="5" t="str">
        <f t="shared" si="109"/>
        <v>Dado para carregar:  carga.permanente  Deve ser formatado como (rdfs:Literal  or  xsd:string)</v>
      </c>
      <c r="W270" s="5" t="s">
        <v>5245</v>
      </c>
      <c r="X270" s="24" t="str">
        <f t="shared" si="110"/>
        <v>carre.106</v>
      </c>
      <c r="Y270" s="24" t="str">
        <f t="shared" si="111"/>
        <v>Ação de carregar</v>
      </c>
      <c r="Z270" s="47" t="s">
        <v>3959</v>
      </c>
      <c r="AA270" s="25" t="str">
        <f t="shared" si="89"/>
        <v>null</v>
      </c>
      <c r="AB270" s="26" t="s">
        <v>0</v>
      </c>
      <c r="AC270" s="25" t="str">
        <f t="shared" si="90"/>
        <v>null</v>
      </c>
      <c r="AD270" s="26" t="s">
        <v>0</v>
      </c>
      <c r="AE270" s="25" t="str">
        <f t="shared" si="87"/>
        <v>null</v>
      </c>
      <c r="AF270" s="26" t="s">
        <v>0</v>
      </c>
      <c r="AG270" s="47" t="s">
        <v>4019</v>
      </c>
    </row>
    <row r="271" spans="1:33" ht="6.9" customHeight="1" x14ac:dyDescent="0.4">
      <c r="A271" s="4">
        <f>ROW()</f>
        <v>271</v>
      </c>
      <c r="B271" s="9" t="s">
        <v>27</v>
      </c>
      <c r="C271" s="55" t="str">
        <f t="shared" si="86"/>
        <v>p.carregar</v>
      </c>
      <c r="D271" s="6" t="str">
        <f t="shared" ref="D271:D334" si="118">_xlfn.CONCAT("é.",G271)</f>
        <v>é.sobrecarga</v>
      </c>
      <c r="E271" s="8" t="s">
        <v>28</v>
      </c>
      <c r="F271" s="42" t="str">
        <f t="shared" si="117"/>
        <v>d.carregar</v>
      </c>
      <c r="G271" s="17" t="s">
        <v>310</v>
      </c>
      <c r="H271" s="42" t="s">
        <v>2121</v>
      </c>
      <c r="I271" s="16" t="str">
        <f t="shared" si="88"/>
        <v>null</v>
      </c>
      <c r="J271" s="15" t="s">
        <v>0</v>
      </c>
      <c r="K271" s="15" t="s">
        <v>0</v>
      </c>
      <c r="L271" s="15" t="s">
        <v>0</v>
      </c>
      <c r="M271" s="15" t="s">
        <v>0</v>
      </c>
      <c r="N271" s="15" t="s">
        <v>0</v>
      </c>
      <c r="O271" s="15" t="s">
        <v>0</v>
      </c>
      <c r="P271" s="15" t="s">
        <v>0</v>
      </c>
      <c r="Q271" s="15" t="s">
        <v>0</v>
      </c>
      <c r="R271" s="15" t="s">
        <v>0</v>
      </c>
      <c r="S271" s="10" t="s">
        <v>1</v>
      </c>
      <c r="T271" s="10" t="s">
        <v>32</v>
      </c>
      <c r="U271" s="5" t="str">
        <f t="shared" si="108"/>
        <v>Propriedade destinada a carregar: é.sobrecarga</v>
      </c>
      <c r="V271" s="5" t="str">
        <f t="shared" si="109"/>
        <v>Dado para carregar:  sobrecarga  Deve ser formatado como (rdfs:Literal  or  xsd:string)</v>
      </c>
      <c r="W271" s="5" t="s">
        <v>7089</v>
      </c>
      <c r="X271" s="24" t="str">
        <f t="shared" si="110"/>
        <v>carre.107</v>
      </c>
      <c r="Y271" s="24" t="str">
        <f t="shared" si="111"/>
        <v>Ação de carregar</v>
      </c>
      <c r="Z271" s="47" t="s">
        <v>8355</v>
      </c>
      <c r="AA271" s="25" t="str">
        <f t="shared" si="89"/>
        <v>null</v>
      </c>
      <c r="AB271" s="26" t="s">
        <v>0</v>
      </c>
      <c r="AC271" s="25" t="str">
        <f t="shared" si="90"/>
        <v>null</v>
      </c>
      <c r="AD271" s="26" t="s">
        <v>0</v>
      </c>
      <c r="AE271" s="25" t="str">
        <f t="shared" si="87"/>
        <v>null</v>
      </c>
      <c r="AF271" s="26" t="s">
        <v>0</v>
      </c>
      <c r="AG271" s="47" t="s">
        <v>8544</v>
      </c>
    </row>
    <row r="272" spans="1:33" ht="6.9" customHeight="1" x14ac:dyDescent="0.4">
      <c r="A272" s="4">
        <f>ROW()</f>
        <v>272</v>
      </c>
      <c r="B272" s="9" t="s">
        <v>27</v>
      </c>
      <c r="C272" s="55" t="str">
        <f t="shared" si="86"/>
        <v>p.carregar</v>
      </c>
      <c r="D272" s="6" t="str">
        <f t="shared" si="118"/>
        <v>é.carga.superficial</v>
      </c>
      <c r="E272" s="8" t="s">
        <v>28</v>
      </c>
      <c r="F272" s="42" t="str">
        <f t="shared" si="117"/>
        <v>d.carregar</v>
      </c>
      <c r="G272" s="17" t="s">
        <v>4423</v>
      </c>
      <c r="H272" s="42" t="s">
        <v>2121</v>
      </c>
      <c r="I272" s="16" t="str">
        <f t="shared" si="88"/>
        <v>null</v>
      </c>
      <c r="J272" s="15" t="s">
        <v>0</v>
      </c>
      <c r="K272" s="15" t="s">
        <v>0</v>
      </c>
      <c r="L272" s="15" t="s">
        <v>0</v>
      </c>
      <c r="M272" s="15" t="s">
        <v>0</v>
      </c>
      <c r="N272" s="15" t="s">
        <v>0</v>
      </c>
      <c r="O272" s="15" t="s">
        <v>0</v>
      </c>
      <c r="P272" s="15" t="s">
        <v>0</v>
      </c>
      <c r="Q272" s="15" t="s">
        <v>0</v>
      </c>
      <c r="R272" s="15" t="s">
        <v>0</v>
      </c>
      <c r="S272" s="10" t="s">
        <v>1</v>
      </c>
      <c r="T272" s="10" t="s">
        <v>32</v>
      </c>
      <c r="U272" s="5" t="str">
        <f t="shared" si="108"/>
        <v>Propriedade destinada a carregar: é.carga.superficial</v>
      </c>
      <c r="V272" s="5" t="str">
        <f t="shared" si="109"/>
        <v>Dado para carregar:  carga.superficial  Deve ser formatado como (rdfs:Literal  or  xsd:string)</v>
      </c>
      <c r="W272" s="5" t="s">
        <v>5246</v>
      </c>
      <c r="X272" s="24" t="str">
        <f t="shared" si="110"/>
        <v>carre.108</v>
      </c>
      <c r="Y272" s="24" t="str">
        <f t="shared" si="111"/>
        <v>Ação de carregar</v>
      </c>
      <c r="Z272" s="47" t="s">
        <v>3960</v>
      </c>
      <c r="AA272" s="25" t="str">
        <f t="shared" si="89"/>
        <v>null</v>
      </c>
      <c r="AB272" s="26" t="s">
        <v>0</v>
      </c>
      <c r="AC272" s="25" t="str">
        <f t="shared" si="90"/>
        <v>null</v>
      </c>
      <c r="AD272" s="26" t="s">
        <v>0</v>
      </c>
      <c r="AE272" s="25" t="str">
        <f t="shared" si="87"/>
        <v>null</v>
      </c>
      <c r="AF272" s="26" t="s">
        <v>0</v>
      </c>
      <c r="AG272" s="47" t="s">
        <v>4020</v>
      </c>
    </row>
    <row r="273" spans="1:33" ht="6.9" customHeight="1" x14ac:dyDescent="0.4">
      <c r="A273" s="4">
        <f>ROW()</f>
        <v>273</v>
      </c>
      <c r="B273" s="9" t="s">
        <v>27</v>
      </c>
      <c r="C273" s="55" t="str">
        <f t="shared" si="86"/>
        <v>p.carregar</v>
      </c>
      <c r="D273" s="6" t="str">
        <f t="shared" si="118"/>
        <v>é.carga.de.vento</v>
      </c>
      <c r="E273" s="8" t="s">
        <v>28</v>
      </c>
      <c r="F273" s="42" t="str">
        <f t="shared" si="117"/>
        <v>d.carregar</v>
      </c>
      <c r="G273" s="17" t="s">
        <v>4133</v>
      </c>
      <c r="H273" s="42" t="s">
        <v>2121</v>
      </c>
      <c r="I273" s="16" t="str">
        <f t="shared" si="88"/>
        <v>null</v>
      </c>
      <c r="J273" s="15" t="s">
        <v>0</v>
      </c>
      <c r="K273" s="15" t="s">
        <v>0</v>
      </c>
      <c r="L273" s="15" t="s">
        <v>0</v>
      </c>
      <c r="M273" s="15" t="s">
        <v>0</v>
      </c>
      <c r="N273" s="15" t="s">
        <v>0</v>
      </c>
      <c r="O273" s="15" t="s">
        <v>0</v>
      </c>
      <c r="P273" s="15" t="s">
        <v>0</v>
      </c>
      <c r="Q273" s="15" t="s">
        <v>0</v>
      </c>
      <c r="R273" s="15" t="s">
        <v>0</v>
      </c>
      <c r="S273" s="10" t="s">
        <v>1</v>
      </c>
      <c r="T273" s="10" t="s">
        <v>32</v>
      </c>
      <c r="U273" s="5" t="str">
        <f t="shared" si="108"/>
        <v>Propriedade destinada a carregar: é.carga.de.vento</v>
      </c>
      <c r="V273" s="5" t="str">
        <f t="shared" si="109"/>
        <v>Dado para carregar:  carga.de.vento  Deve ser formatado como (rdfs:Literal  or  xsd:string)</v>
      </c>
      <c r="W273" s="5" t="s">
        <v>7090</v>
      </c>
      <c r="X273" s="24" t="str">
        <f t="shared" si="110"/>
        <v>carre.109</v>
      </c>
      <c r="Y273" s="24" t="str">
        <f t="shared" si="111"/>
        <v>Ação de carregar</v>
      </c>
      <c r="Z273" s="47" t="s">
        <v>8356</v>
      </c>
      <c r="AA273" s="25" t="str">
        <f t="shared" si="89"/>
        <v>null</v>
      </c>
      <c r="AB273" s="26" t="s">
        <v>0</v>
      </c>
      <c r="AC273" s="25" t="str">
        <f t="shared" si="90"/>
        <v>null</v>
      </c>
      <c r="AD273" s="26" t="s">
        <v>0</v>
      </c>
      <c r="AE273" s="25" t="str">
        <f t="shared" si="87"/>
        <v>null</v>
      </c>
      <c r="AF273" s="26" t="s">
        <v>0</v>
      </c>
      <c r="AG273" s="47" t="s">
        <v>8545</v>
      </c>
    </row>
    <row r="274" spans="1:33" ht="6.9" customHeight="1" x14ac:dyDescent="0.4">
      <c r="A274" s="4">
        <f>ROW()</f>
        <v>274</v>
      </c>
      <c r="B274" s="9" t="s">
        <v>27</v>
      </c>
      <c r="C274" s="55" t="str">
        <f t="shared" si="86"/>
        <v>p.carregar</v>
      </c>
      <c r="D274" s="6" t="str">
        <f t="shared" si="118"/>
        <v>é.carga.de.passageiros</v>
      </c>
      <c r="E274" s="8" t="s">
        <v>28</v>
      </c>
      <c r="F274" s="42" t="str">
        <f t="shared" si="117"/>
        <v>d.carregar</v>
      </c>
      <c r="G274" s="17" t="s">
        <v>4134</v>
      </c>
      <c r="H274" s="42" t="s">
        <v>33</v>
      </c>
      <c r="I274" s="16" t="str">
        <f t="shared" si="88"/>
        <v>null</v>
      </c>
      <c r="J274" s="15" t="s">
        <v>0</v>
      </c>
      <c r="K274" s="15" t="s">
        <v>0</v>
      </c>
      <c r="L274" s="15" t="s">
        <v>0</v>
      </c>
      <c r="M274" s="15" t="s">
        <v>0</v>
      </c>
      <c r="N274" s="15" t="s">
        <v>0</v>
      </c>
      <c r="O274" s="15" t="s">
        <v>0</v>
      </c>
      <c r="P274" s="15" t="s">
        <v>0</v>
      </c>
      <c r="Q274" s="15" t="s">
        <v>0</v>
      </c>
      <c r="R274" s="15" t="s">
        <v>0</v>
      </c>
      <c r="S274" s="10" t="s">
        <v>1</v>
      </c>
      <c r="T274" s="10" t="s">
        <v>32</v>
      </c>
      <c r="U274" s="5" t="str">
        <f t="shared" si="108"/>
        <v>Propriedade destinada a carregar: é.carga.de.passageiros</v>
      </c>
      <c r="V274" s="5" t="str">
        <f t="shared" si="109"/>
        <v>Dado para carregar:  carga.de.passageiros  Deve ser formatado como (xsd:integer)</v>
      </c>
      <c r="W274" s="5" t="s">
        <v>5247</v>
      </c>
      <c r="X274" s="24" t="str">
        <f t="shared" si="110"/>
        <v>carre.110</v>
      </c>
      <c r="Y274" s="24" t="str">
        <f t="shared" si="111"/>
        <v>Ação de carregar</v>
      </c>
      <c r="Z274" s="47" t="s">
        <v>1969</v>
      </c>
      <c r="AA274" s="25" t="str">
        <f t="shared" si="89"/>
        <v>null</v>
      </c>
      <c r="AB274" s="26" t="s">
        <v>0</v>
      </c>
      <c r="AC274" s="25" t="str">
        <f t="shared" si="90"/>
        <v>null</v>
      </c>
      <c r="AD274" s="26" t="s">
        <v>0</v>
      </c>
      <c r="AE274" s="25" t="str">
        <f t="shared" si="87"/>
        <v>null</v>
      </c>
      <c r="AF274" s="26" t="s">
        <v>0</v>
      </c>
      <c r="AG274" s="47" t="s">
        <v>4663</v>
      </c>
    </row>
    <row r="275" spans="1:33" ht="6.9" customHeight="1" x14ac:dyDescent="0.4">
      <c r="A275" s="4">
        <f>ROW()</f>
        <v>275</v>
      </c>
      <c r="B275" s="9" t="s">
        <v>27</v>
      </c>
      <c r="C275" s="55" t="str">
        <f t="shared" si="86"/>
        <v>p.carregar</v>
      </c>
      <c r="D275" s="6" t="str">
        <f t="shared" si="118"/>
        <v>é.carregada.com</v>
      </c>
      <c r="E275" s="8" t="s">
        <v>28</v>
      </c>
      <c r="F275" s="42" t="str">
        <f t="shared" si="117"/>
        <v>d.carregar</v>
      </c>
      <c r="G275" s="17" t="s">
        <v>1978</v>
      </c>
      <c r="H275" s="42" t="s">
        <v>2121</v>
      </c>
      <c r="I275" s="16" t="str">
        <f t="shared" si="88"/>
        <v>null</v>
      </c>
      <c r="J275" s="15" t="s">
        <v>0</v>
      </c>
      <c r="K275" s="15" t="s">
        <v>0</v>
      </c>
      <c r="L275" s="15" t="s">
        <v>0</v>
      </c>
      <c r="M275" s="15" t="s">
        <v>0</v>
      </c>
      <c r="N275" s="15" t="s">
        <v>0</v>
      </c>
      <c r="O275" s="15" t="s">
        <v>0</v>
      </c>
      <c r="P275" s="15" t="s">
        <v>0</v>
      </c>
      <c r="Q275" s="15" t="s">
        <v>0</v>
      </c>
      <c r="R275" s="21" t="s">
        <v>4302</v>
      </c>
      <c r="S275" s="10" t="s">
        <v>1</v>
      </c>
      <c r="T275" s="10" t="s">
        <v>32</v>
      </c>
      <c r="U275" s="5" t="str">
        <f t="shared" si="108"/>
        <v>Propriedade destinada a carregar: é.carregada.com</v>
      </c>
      <c r="V275" s="5" t="str">
        <f t="shared" si="109"/>
        <v>Dado para carregar:  carregada.com  Deve ser formatado como (rdfs:Literal  or  xsd:string)</v>
      </c>
      <c r="W275" s="5" t="s">
        <v>5248</v>
      </c>
      <c r="X275" s="24" t="str">
        <f t="shared" si="110"/>
        <v>carre.111</v>
      </c>
      <c r="Y275" s="24" t="str">
        <f t="shared" si="111"/>
        <v>Ação de carregar</v>
      </c>
      <c r="Z275" s="47" t="s">
        <v>2111</v>
      </c>
      <c r="AA275" s="25" t="str">
        <f t="shared" si="89"/>
        <v>null</v>
      </c>
      <c r="AB275" s="26" t="s">
        <v>0</v>
      </c>
      <c r="AC275" s="25" t="str">
        <f t="shared" si="90"/>
        <v>null</v>
      </c>
      <c r="AD275" s="26" t="s">
        <v>0</v>
      </c>
      <c r="AE275" s="25" t="str">
        <f t="shared" si="87"/>
        <v>null</v>
      </c>
      <c r="AF275" s="26" t="s">
        <v>0</v>
      </c>
      <c r="AG275" s="47" t="s">
        <v>2670</v>
      </c>
    </row>
    <row r="276" spans="1:33" ht="6.9" customHeight="1" x14ac:dyDescent="0.4">
      <c r="A276" s="4">
        <f>ROW()</f>
        <v>276</v>
      </c>
      <c r="B276" s="9" t="s">
        <v>27</v>
      </c>
      <c r="C276" s="55" t="str">
        <f t="shared" ref="C276:C278" si="119">SUBSTITUTE(F276,"d.","p.")</f>
        <v>p.carregar</v>
      </c>
      <c r="D276" s="6" t="str">
        <f t="shared" si="118"/>
        <v>é.carregado.com</v>
      </c>
      <c r="E276" s="8" t="s">
        <v>28</v>
      </c>
      <c r="F276" s="42" t="str">
        <f t="shared" si="117"/>
        <v>d.carregar</v>
      </c>
      <c r="G276" s="17" t="s">
        <v>1979</v>
      </c>
      <c r="H276" s="42" t="s">
        <v>2121</v>
      </c>
      <c r="I276" s="16" t="str">
        <f t="shared" si="88"/>
        <v>null</v>
      </c>
      <c r="J276" s="15" t="s">
        <v>0</v>
      </c>
      <c r="K276" s="15" t="s">
        <v>0</v>
      </c>
      <c r="L276" s="15" t="s">
        <v>0</v>
      </c>
      <c r="M276" s="15" t="s">
        <v>0</v>
      </c>
      <c r="N276" s="15" t="s">
        <v>0</v>
      </c>
      <c r="O276" s="15" t="s">
        <v>0</v>
      </c>
      <c r="P276" s="15" t="s">
        <v>0</v>
      </c>
      <c r="Q276" s="15" t="s">
        <v>0</v>
      </c>
      <c r="R276" s="21" t="s">
        <v>4303</v>
      </c>
      <c r="S276" s="10" t="s">
        <v>1</v>
      </c>
      <c r="T276" s="10" t="s">
        <v>32</v>
      </c>
      <c r="U276" s="5" t="str">
        <f t="shared" si="108"/>
        <v>Propriedade destinada a carregar: é.carregado.com</v>
      </c>
      <c r="V276" s="5" t="str">
        <f t="shared" si="109"/>
        <v>Dado para carregar:  carregado.com  Deve ser formatado como (rdfs:Literal  or  xsd:string)</v>
      </c>
      <c r="W276" s="5" t="s">
        <v>5248</v>
      </c>
      <c r="X276" s="24" t="str">
        <f t="shared" si="110"/>
        <v>carre.112</v>
      </c>
      <c r="Y276" s="24" t="str">
        <f t="shared" si="111"/>
        <v>Ação de carregar</v>
      </c>
      <c r="Z276" s="47" t="s">
        <v>2111</v>
      </c>
      <c r="AA276" s="25" t="str">
        <f t="shared" si="89"/>
        <v>null</v>
      </c>
      <c r="AB276" s="26" t="s">
        <v>0</v>
      </c>
      <c r="AC276" s="25" t="str">
        <f t="shared" si="90"/>
        <v>null</v>
      </c>
      <c r="AD276" s="26" t="s">
        <v>0</v>
      </c>
      <c r="AE276" s="25" t="str">
        <f t="shared" si="87"/>
        <v>null</v>
      </c>
      <c r="AF276" s="26" t="s">
        <v>0</v>
      </c>
      <c r="AG276" s="47" t="s">
        <v>2670</v>
      </c>
    </row>
    <row r="277" spans="1:33" ht="6.9" customHeight="1" x14ac:dyDescent="0.4">
      <c r="A277" s="4">
        <f>ROW()</f>
        <v>277</v>
      </c>
      <c r="B277" s="9" t="s">
        <v>27</v>
      </c>
      <c r="C277" s="55" t="str">
        <f t="shared" ref="C277" si="120">SUBSTITUTE(F277,"d.","p.")</f>
        <v>p.carregar</v>
      </c>
      <c r="D277" s="6" t="str">
        <f t="shared" si="118"/>
        <v>é.peso.médio.cobertura</v>
      </c>
      <c r="E277" s="8" t="s">
        <v>28</v>
      </c>
      <c r="F277" s="42" t="str">
        <f t="shared" si="117"/>
        <v>d.carregar</v>
      </c>
      <c r="G277" s="17" t="s">
        <v>3448</v>
      </c>
      <c r="H277" s="41" t="s">
        <v>36</v>
      </c>
      <c r="I277" s="16" t="str">
        <f t="shared" si="88"/>
        <v>null</v>
      </c>
      <c r="J277" s="15" t="s">
        <v>0</v>
      </c>
      <c r="K277" s="15" t="s">
        <v>0</v>
      </c>
      <c r="L277" s="15" t="s">
        <v>0</v>
      </c>
      <c r="M277" s="15" t="s">
        <v>0</v>
      </c>
      <c r="N277" s="15" t="s">
        <v>0</v>
      </c>
      <c r="O277" s="15" t="s">
        <v>0</v>
      </c>
      <c r="P277" s="15" t="s">
        <v>0</v>
      </c>
      <c r="Q277" s="15" t="s">
        <v>0</v>
      </c>
      <c r="R277" s="15" t="s">
        <v>0</v>
      </c>
      <c r="S277" s="10" t="s">
        <v>1</v>
      </c>
      <c r="T277" s="10" t="s">
        <v>32</v>
      </c>
      <c r="U277" s="5" t="str">
        <f t="shared" si="108"/>
        <v>Propriedade destinada a carregar: é.peso.médio.cobertura</v>
      </c>
      <c r="V277" s="5" t="str">
        <f t="shared" si="109"/>
        <v>Dado para carregar:  peso.médio.cobertura  Deve ser formatado como (xsd:double)</v>
      </c>
      <c r="W277" s="5" t="s">
        <v>5249</v>
      </c>
      <c r="X277" s="24" t="str">
        <f t="shared" si="110"/>
        <v>carre.113</v>
      </c>
      <c r="Y277" s="24" t="str">
        <f t="shared" si="111"/>
        <v>Ação de carregar</v>
      </c>
      <c r="Z277" s="47" t="s">
        <v>3449</v>
      </c>
      <c r="AA277" s="25" t="str">
        <f t="shared" si="89"/>
        <v>null</v>
      </c>
      <c r="AB277" s="26" t="s">
        <v>0</v>
      </c>
      <c r="AC277" s="25" t="str">
        <f t="shared" si="90"/>
        <v>null</v>
      </c>
      <c r="AD277" s="26" t="s">
        <v>0</v>
      </c>
      <c r="AE277" s="25" t="str">
        <f t="shared" si="87"/>
        <v>null</v>
      </c>
      <c r="AF277" s="26" t="s">
        <v>0</v>
      </c>
      <c r="AG277" s="47" t="s">
        <v>3450</v>
      </c>
    </row>
    <row r="278" spans="1:33" ht="6.9" customHeight="1" x14ac:dyDescent="0.4">
      <c r="A278" s="4">
        <f>ROW()</f>
        <v>278</v>
      </c>
      <c r="B278" s="9" t="s">
        <v>27</v>
      </c>
      <c r="C278" s="55" t="str">
        <f t="shared" si="119"/>
        <v>p.carregar</v>
      </c>
      <c r="D278" s="6" t="str">
        <f t="shared" si="118"/>
        <v>é.carga.mínima.ruptura.saturada</v>
      </c>
      <c r="E278" s="8" t="s">
        <v>28</v>
      </c>
      <c r="F278" s="42" t="str">
        <f t="shared" si="117"/>
        <v>d.carregar</v>
      </c>
      <c r="G278" s="17" t="s">
        <v>3430</v>
      </c>
      <c r="H278" s="42" t="s">
        <v>33</v>
      </c>
      <c r="I278" s="16" t="str">
        <f t="shared" si="88"/>
        <v>null</v>
      </c>
      <c r="J278" s="15" t="s">
        <v>0</v>
      </c>
      <c r="K278" s="15" t="s">
        <v>0</v>
      </c>
      <c r="L278" s="15" t="s">
        <v>0</v>
      </c>
      <c r="M278" s="15" t="s">
        <v>0</v>
      </c>
      <c r="N278" s="15" t="s">
        <v>0</v>
      </c>
      <c r="O278" s="15" t="s">
        <v>0</v>
      </c>
      <c r="P278" s="15" t="s">
        <v>0</v>
      </c>
      <c r="Q278" s="15" t="s">
        <v>0</v>
      </c>
      <c r="R278" s="15" t="s">
        <v>0</v>
      </c>
      <c r="S278" s="10" t="s">
        <v>1</v>
      </c>
      <c r="T278" s="10" t="s">
        <v>32</v>
      </c>
      <c r="U278" s="5" t="str">
        <f t="shared" si="108"/>
        <v>Propriedade destinada a carregar: é.carga.mínima.ruptura.saturada</v>
      </c>
      <c r="V278" s="5" t="str">
        <f t="shared" si="109"/>
        <v>Dado para carregar:  carga.mínima.ruptura.saturada  Deve ser formatado como (xsd:integer)</v>
      </c>
      <c r="W278" s="5" t="s">
        <v>5250</v>
      </c>
      <c r="X278" s="24" t="str">
        <f t="shared" si="110"/>
        <v>carre.114</v>
      </c>
      <c r="Y278" s="24" t="str">
        <f t="shared" si="111"/>
        <v>Ação de carregar</v>
      </c>
      <c r="Z278" s="47" t="s">
        <v>3433</v>
      </c>
      <c r="AA278" s="25" t="str">
        <f t="shared" si="89"/>
        <v>null</v>
      </c>
      <c r="AB278" s="26" t="s">
        <v>0</v>
      </c>
      <c r="AC278" s="25" t="str">
        <f t="shared" si="90"/>
        <v>null</v>
      </c>
      <c r="AD278" s="26" t="s">
        <v>0</v>
      </c>
      <c r="AE278" s="25" t="str">
        <f t="shared" si="87"/>
        <v>null</v>
      </c>
      <c r="AF278" s="26" t="s">
        <v>0</v>
      </c>
      <c r="AG278" s="47" t="s">
        <v>3434</v>
      </c>
    </row>
    <row r="279" spans="1:33" ht="6.9" customHeight="1" x14ac:dyDescent="0.4">
      <c r="A279" s="4">
        <f>ROW()</f>
        <v>279</v>
      </c>
      <c r="B279" s="9" t="s">
        <v>27</v>
      </c>
      <c r="C279" s="55" t="str">
        <f t="shared" si="86"/>
        <v>p.carregar</v>
      </c>
      <c r="D279" s="6" t="str">
        <f t="shared" si="118"/>
        <v>é.carga.mínima.ruptura.seca</v>
      </c>
      <c r="E279" s="8" t="s">
        <v>28</v>
      </c>
      <c r="F279" s="42" t="str">
        <f t="shared" si="117"/>
        <v>d.carregar</v>
      </c>
      <c r="G279" s="17" t="s">
        <v>3431</v>
      </c>
      <c r="H279" s="42" t="s">
        <v>33</v>
      </c>
      <c r="I279" s="16" t="str">
        <f t="shared" si="88"/>
        <v>null</v>
      </c>
      <c r="J279" s="15" t="s">
        <v>0</v>
      </c>
      <c r="K279" s="15" t="s">
        <v>0</v>
      </c>
      <c r="L279" s="15" t="s">
        <v>0</v>
      </c>
      <c r="M279" s="15" t="s">
        <v>0</v>
      </c>
      <c r="N279" s="15" t="s">
        <v>0</v>
      </c>
      <c r="O279" s="15" t="s">
        <v>0</v>
      </c>
      <c r="P279" s="15" t="s">
        <v>0</v>
      </c>
      <c r="Q279" s="15" t="s">
        <v>0</v>
      </c>
      <c r="R279" s="15" t="s">
        <v>0</v>
      </c>
      <c r="S279" s="10" t="s">
        <v>1</v>
      </c>
      <c r="T279" s="10" t="s">
        <v>32</v>
      </c>
      <c r="U279" s="5" t="str">
        <f t="shared" si="108"/>
        <v>Propriedade destinada a carregar: é.carga.mínima.ruptura.seca</v>
      </c>
      <c r="V279" s="5" t="str">
        <f t="shared" si="109"/>
        <v>Dado para carregar:  carga.mínima.ruptura.seca  Deve ser formatado como (xsd:integer)</v>
      </c>
      <c r="W279" s="5" t="s">
        <v>5251</v>
      </c>
      <c r="X279" s="24" t="str">
        <f t="shared" si="110"/>
        <v>carre.115</v>
      </c>
      <c r="Y279" s="24" t="str">
        <f t="shared" si="111"/>
        <v>Ação de carregar</v>
      </c>
      <c r="Z279" s="47" t="s">
        <v>3432</v>
      </c>
      <c r="AA279" s="25" t="str">
        <f t="shared" si="89"/>
        <v>null</v>
      </c>
      <c r="AB279" s="26" t="s">
        <v>0</v>
      </c>
      <c r="AC279" s="25" t="str">
        <f t="shared" si="90"/>
        <v>null</v>
      </c>
      <c r="AD279" s="26" t="s">
        <v>0</v>
      </c>
      <c r="AE279" s="25" t="str">
        <f t="shared" si="87"/>
        <v>null</v>
      </c>
      <c r="AF279" s="26" t="s">
        <v>0</v>
      </c>
      <c r="AG279" s="47" t="s">
        <v>3435</v>
      </c>
    </row>
    <row r="280" spans="1:33" ht="6.9" customHeight="1" x14ac:dyDescent="0.4">
      <c r="A280" s="4">
        <f>ROW()</f>
        <v>280</v>
      </c>
      <c r="B280" s="9" t="s">
        <v>27</v>
      </c>
      <c r="C280" s="54" t="str">
        <f t="shared" si="86"/>
        <v>p.catalogar</v>
      </c>
      <c r="D280" s="6" t="str">
        <f t="shared" si="118"/>
        <v>é.ano.de.publicação</v>
      </c>
      <c r="E280" s="8" t="s">
        <v>28</v>
      </c>
      <c r="F280" s="51" t="s">
        <v>556</v>
      </c>
      <c r="G280" s="18" t="s">
        <v>557</v>
      </c>
      <c r="H280" s="41" t="s">
        <v>330</v>
      </c>
      <c r="I280" s="16" t="str">
        <f t="shared" si="88"/>
        <v>null</v>
      </c>
      <c r="J280" s="13" t="s">
        <v>0</v>
      </c>
      <c r="K280" s="13" t="s">
        <v>0</v>
      </c>
      <c r="L280" s="13" t="s">
        <v>0</v>
      </c>
      <c r="M280" s="13" t="s">
        <v>0</v>
      </c>
      <c r="N280" s="15" t="s">
        <v>0</v>
      </c>
      <c r="O280" s="13" t="s">
        <v>0</v>
      </c>
      <c r="P280" s="13" t="s">
        <v>0</v>
      </c>
      <c r="Q280" s="13" t="s">
        <v>0</v>
      </c>
      <c r="R280" s="15" t="s">
        <v>0</v>
      </c>
      <c r="S280" s="10" t="s">
        <v>1</v>
      </c>
      <c r="T280" s="10" t="s">
        <v>32</v>
      </c>
      <c r="U280" s="5" t="str">
        <f t="shared" si="108"/>
        <v>Propriedade destinada a catalogar: é.ano.de.publicação</v>
      </c>
      <c r="V280" s="5" t="str">
        <f t="shared" si="109"/>
        <v>Dado para catalogar:  ano.de.publicação  Deve ser formatado como (xsd:gYear)</v>
      </c>
      <c r="W280" s="5" t="s">
        <v>6770</v>
      </c>
      <c r="X280" s="24" t="str">
        <f t="shared" si="110"/>
        <v>catal.100</v>
      </c>
      <c r="Y280" s="24" t="str">
        <f t="shared" si="111"/>
        <v>Ação de catalogar</v>
      </c>
      <c r="Z280" s="47" t="s">
        <v>6793</v>
      </c>
      <c r="AA280" s="25" t="str">
        <f t="shared" si="89"/>
        <v>null</v>
      </c>
      <c r="AB280" s="26" t="s">
        <v>0</v>
      </c>
      <c r="AC280" s="25" t="str">
        <f t="shared" si="90"/>
        <v>null</v>
      </c>
      <c r="AD280" s="26" t="s">
        <v>0</v>
      </c>
      <c r="AE280" s="25" t="str">
        <f t="shared" si="87"/>
        <v>null</v>
      </c>
      <c r="AF280" s="26" t="s">
        <v>0</v>
      </c>
      <c r="AG280" s="47" t="s">
        <v>7422</v>
      </c>
    </row>
    <row r="281" spans="1:33" ht="6.9" customHeight="1" x14ac:dyDescent="0.4">
      <c r="A281" s="4">
        <f>ROW()</f>
        <v>281</v>
      </c>
      <c r="B281" s="9" t="s">
        <v>27</v>
      </c>
      <c r="C281" s="55" t="str">
        <f t="shared" si="86"/>
        <v>p.catalogar</v>
      </c>
      <c r="D281" s="6" t="str">
        <f t="shared" si="118"/>
        <v>é.aberta.em</v>
      </c>
      <c r="E281" s="8" t="s">
        <v>28</v>
      </c>
      <c r="F281" s="42" t="str">
        <f t="shared" ref="F281:F327" si="121">F280</f>
        <v>d.catalogar</v>
      </c>
      <c r="G281" s="18" t="s">
        <v>2009</v>
      </c>
      <c r="H281" s="41" t="s">
        <v>328</v>
      </c>
      <c r="I281" s="16" t="str">
        <f t="shared" si="88"/>
        <v>null</v>
      </c>
      <c r="J281" s="13" t="s">
        <v>0</v>
      </c>
      <c r="K281" s="13" t="s">
        <v>0</v>
      </c>
      <c r="L281" s="13" t="s">
        <v>0</v>
      </c>
      <c r="M281" s="13" t="s">
        <v>0</v>
      </c>
      <c r="N281" s="15" t="s">
        <v>0</v>
      </c>
      <c r="O281" s="13" t="s">
        <v>0</v>
      </c>
      <c r="P281" s="13" t="s">
        <v>0</v>
      </c>
      <c r="Q281" s="13" t="s">
        <v>0</v>
      </c>
      <c r="R281" s="66" t="s">
        <v>4166</v>
      </c>
      <c r="S281" s="10" t="s">
        <v>1</v>
      </c>
      <c r="T281" s="10" t="s">
        <v>32</v>
      </c>
      <c r="U281" s="5" t="str">
        <f t="shared" si="108"/>
        <v>Propriedade destinada a catalogar: é.aberta.em</v>
      </c>
      <c r="V281" s="5" t="str">
        <f t="shared" si="109"/>
        <v>Dado para catalogar:  aberta.em  Deve ser formatado como (xsd:date)</v>
      </c>
      <c r="W281" s="5" t="s">
        <v>6769</v>
      </c>
      <c r="X281" s="24" t="str">
        <f t="shared" si="110"/>
        <v>catal.101</v>
      </c>
      <c r="Y281" s="24" t="str">
        <f t="shared" si="111"/>
        <v>Ação de catalogar</v>
      </c>
      <c r="Z281" s="47" t="s">
        <v>8357</v>
      </c>
      <c r="AA281" s="25" t="str">
        <f t="shared" si="89"/>
        <v>null</v>
      </c>
      <c r="AB281" s="26" t="s">
        <v>0</v>
      </c>
      <c r="AC281" s="25" t="str">
        <f t="shared" si="90"/>
        <v>null</v>
      </c>
      <c r="AD281" s="26" t="s">
        <v>0</v>
      </c>
      <c r="AE281" s="25" t="str">
        <f t="shared" si="87"/>
        <v>null</v>
      </c>
      <c r="AF281" s="26" t="s">
        <v>0</v>
      </c>
      <c r="AG281" s="47" t="s">
        <v>8546</v>
      </c>
    </row>
    <row r="282" spans="1:33" ht="6.9" customHeight="1" x14ac:dyDescent="0.4">
      <c r="A282" s="4">
        <f>ROW()</f>
        <v>282</v>
      </c>
      <c r="B282" s="9" t="s">
        <v>27</v>
      </c>
      <c r="C282" s="55" t="str">
        <f t="shared" si="86"/>
        <v>p.catalogar</v>
      </c>
      <c r="D282" s="6" t="str">
        <f t="shared" si="118"/>
        <v>é.aberto.em</v>
      </c>
      <c r="E282" s="8" t="s">
        <v>28</v>
      </c>
      <c r="F282" s="42" t="str">
        <f t="shared" si="121"/>
        <v>d.catalogar</v>
      </c>
      <c r="G282" s="18" t="s">
        <v>2010</v>
      </c>
      <c r="H282" s="41" t="s">
        <v>328</v>
      </c>
      <c r="I282" s="16" t="str">
        <f t="shared" si="88"/>
        <v>null</v>
      </c>
      <c r="J282" s="13" t="s">
        <v>0</v>
      </c>
      <c r="K282" s="13" t="s">
        <v>0</v>
      </c>
      <c r="L282" s="13" t="s">
        <v>0</v>
      </c>
      <c r="M282" s="13" t="s">
        <v>0</v>
      </c>
      <c r="N282" s="15" t="s">
        <v>0</v>
      </c>
      <c r="O282" s="13" t="s">
        <v>0</v>
      </c>
      <c r="P282" s="13" t="s">
        <v>0</v>
      </c>
      <c r="Q282" s="13" t="s">
        <v>0</v>
      </c>
      <c r="R282" s="66" t="s">
        <v>4165</v>
      </c>
      <c r="S282" s="10" t="s">
        <v>1</v>
      </c>
      <c r="T282" s="10" t="s">
        <v>32</v>
      </c>
      <c r="U282" s="5" t="str">
        <f t="shared" si="108"/>
        <v>Propriedade destinada a catalogar: é.aberto.em</v>
      </c>
      <c r="V282" s="5" t="str">
        <f t="shared" si="109"/>
        <v>Dado para catalogar:  aberto.em  Deve ser formatado como (xsd:date)</v>
      </c>
      <c r="W282" s="5" t="s">
        <v>6769</v>
      </c>
      <c r="X282" s="24" t="str">
        <f t="shared" si="110"/>
        <v>catal.102</v>
      </c>
      <c r="Y282" s="24" t="str">
        <f t="shared" si="111"/>
        <v>Ação de catalogar</v>
      </c>
      <c r="Z282" s="47" t="s">
        <v>8357</v>
      </c>
      <c r="AA282" s="25" t="str">
        <f t="shared" si="89"/>
        <v>null</v>
      </c>
      <c r="AB282" s="26" t="s">
        <v>0</v>
      </c>
      <c r="AC282" s="25" t="str">
        <f t="shared" si="90"/>
        <v>null</v>
      </c>
      <c r="AD282" s="26" t="s">
        <v>0</v>
      </c>
      <c r="AE282" s="25" t="str">
        <f t="shared" si="87"/>
        <v>null</v>
      </c>
      <c r="AF282" s="26" t="s">
        <v>0</v>
      </c>
      <c r="AG282" s="47" t="s">
        <v>8546</v>
      </c>
    </row>
    <row r="283" spans="1:33" ht="6.9" customHeight="1" x14ac:dyDescent="0.4">
      <c r="A283" s="4">
        <f>ROW()</f>
        <v>283</v>
      </c>
      <c r="B283" s="9" t="s">
        <v>27</v>
      </c>
      <c r="C283" s="55" t="str">
        <f t="shared" ref="C283" si="122">SUBSTITUTE(F283,"d.","p.")</f>
        <v>p.catalogar</v>
      </c>
      <c r="D283" s="6" t="str">
        <f t="shared" si="118"/>
        <v>é.biblioteca</v>
      </c>
      <c r="E283" s="8" t="s">
        <v>28</v>
      </c>
      <c r="F283" s="42" t="str">
        <f>F281</f>
        <v>d.catalogar</v>
      </c>
      <c r="G283" s="18" t="s">
        <v>6765</v>
      </c>
      <c r="H283" s="41" t="s">
        <v>2121</v>
      </c>
      <c r="I283" s="16" t="str">
        <f t="shared" ref="I283" si="123">J283</f>
        <v>null</v>
      </c>
      <c r="J283" s="13" t="s">
        <v>0</v>
      </c>
      <c r="K283" s="13" t="s">
        <v>0</v>
      </c>
      <c r="L283" s="13" t="s">
        <v>0</v>
      </c>
      <c r="M283" s="13" t="s">
        <v>0</v>
      </c>
      <c r="N283" s="15" t="s">
        <v>0</v>
      </c>
      <c r="O283" s="13" t="s">
        <v>0</v>
      </c>
      <c r="P283" s="13" t="s">
        <v>0</v>
      </c>
      <c r="Q283" s="13" t="s">
        <v>0</v>
      </c>
      <c r="R283" s="15" t="s">
        <v>0</v>
      </c>
      <c r="S283" s="10" t="s">
        <v>1</v>
      </c>
      <c r="T283" s="10" t="s">
        <v>32</v>
      </c>
      <c r="U283" s="5" t="str">
        <f t="shared" si="108"/>
        <v>Propriedade destinada a catalogar: é.biblioteca</v>
      </c>
      <c r="V283" s="5" t="str">
        <f t="shared" si="109"/>
        <v>Dado para catalogar:  biblioteca  Deve ser formatado como (rdfs:Literal  or  xsd:string)</v>
      </c>
      <c r="W283" s="5" t="s">
        <v>6768</v>
      </c>
      <c r="X283" s="24" t="str">
        <f t="shared" si="110"/>
        <v>catal.103</v>
      </c>
      <c r="Y283" s="24" t="str">
        <f t="shared" si="111"/>
        <v>Ação de catalogar</v>
      </c>
      <c r="Z283" s="47" t="s">
        <v>6819</v>
      </c>
      <c r="AA283" s="25" t="str">
        <f t="shared" ref="AA283" si="124">IF(AB283="null", "null", "categoria.revit")</f>
        <v>null</v>
      </c>
      <c r="AB283" s="26" t="s">
        <v>0</v>
      </c>
      <c r="AC283" s="25" t="str">
        <f t="shared" ref="AC283" si="125">IF(AD283="null", "null", "classe.ifc")</f>
        <v>null</v>
      </c>
      <c r="AD283" s="26" t="s">
        <v>0</v>
      </c>
      <c r="AE283" s="25" t="str">
        <f t="shared" si="87"/>
        <v>null</v>
      </c>
      <c r="AF283" s="26" t="s">
        <v>0</v>
      </c>
      <c r="AG283" s="47" t="s">
        <v>6827</v>
      </c>
    </row>
    <row r="284" spans="1:33" ht="6.9" customHeight="1" x14ac:dyDescent="0.4">
      <c r="A284" s="4">
        <f>ROW()</f>
        <v>284</v>
      </c>
      <c r="B284" s="9" t="s">
        <v>27</v>
      </c>
      <c r="C284" s="55" t="str">
        <f t="shared" si="86"/>
        <v>p.catalogar</v>
      </c>
      <c r="D284" s="6" t="str">
        <f t="shared" si="118"/>
        <v>é.capítulo</v>
      </c>
      <c r="E284" s="8" t="s">
        <v>28</v>
      </c>
      <c r="F284" s="42" t="str">
        <f>F282</f>
        <v>d.catalogar</v>
      </c>
      <c r="G284" s="18" t="s">
        <v>75</v>
      </c>
      <c r="H284" s="41" t="s">
        <v>2121</v>
      </c>
      <c r="I284" s="16" t="str">
        <f t="shared" si="88"/>
        <v>null</v>
      </c>
      <c r="J284" s="13" t="s">
        <v>0</v>
      </c>
      <c r="K284" s="13" t="s">
        <v>0</v>
      </c>
      <c r="L284" s="13" t="s">
        <v>0</v>
      </c>
      <c r="M284" s="13" t="s">
        <v>0</v>
      </c>
      <c r="N284" s="15" t="s">
        <v>0</v>
      </c>
      <c r="O284" s="13" t="s">
        <v>0</v>
      </c>
      <c r="P284" s="13" t="s">
        <v>0</v>
      </c>
      <c r="Q284" s="13" t="s">
        <v>0</v>
      </c>
      <c r="R284" s="15" t="s">
        <v>0</v>
      </c>
      <c r="S284" s="10" t="s">
        <v>1</v>
      </c>
      <c r="T284" s="10" t="s">
        <v>32</v>
      </c>
      <c r="U284" s="5" t="str">
        <f t="shared" si="108"/>
        <v>Propriedade destinada a catalogar: é.capítulo</v>
      </c>
      <c r="V284" s="5" t="str">
        <f t="shared" si="109"/>
        <v>Dado para catalogar:  capítulo  Deve ser formatado como (rdfs:Literal  or  xsd:string)</v>
      </c>
      <c r="W284" s="5" t="s">
        <v>6767</v>
      </c>
      <c r="X284" s="24" t="str">
        <f t="shared" si="110"/>
        <v>catal.104</v>
      </c>
      <c r="Y284" s="24" t="str">
        <f t="shared" si="111"/>
        <v>Ação de catalogar</v>
      </c>
      <c r="Z284" s="47" t="s">
        <v>6794</v>
      </c>
      <c r="AA284" s="25" t="str">
        <f t="shared" si="89"/>
        <v>null</v>
      </c>
      <c r="AB284" s="26" t="s">
        <v>0</v>
      </c>
      <c r="AC284" s="25" t="str">
        <f t="shared" si="90"/>
        <v>null</v>
      </c>
      <c r="AD284" s="26" t="s">
        <v>0</v>
      </c>
      <c r="AE284" s="25" t="str">
        <f t="shared" si="87"/>
        <v>null</v>
      </c>
      <c r="AF284" s="26" t="s">
        <v>0</v>
      </c>
      <c r="AG284" s="47" t="s">
        <v>6828</v>
      </c>
    </row>
    <row r="285" spans="1:33" ht="6.9" customHeight="1" x14ac:dyDescent="0.4">
      <c r="A285" s="4">
        <f>ROW()</f>
        <v>285</v>
      </c>
      <c r="B285" s="9" t="s">
        <v>27</v>
      </c>
      <c r="C285" s="55" t="str">
        <f t="shared" si="86"/>
        <v>p.catalogar</v>
      </c>
      <c r="D285" s="6" t="str">
        <f t="shared" si="118"/>
        <v>é.característica</v>
      </c>
      <c r="E285" s="8" t="s">
        <v>28</v>
      </c>
      <c r="F285" s="42" t="str">
        <f t="shared" si="121"/>
        <v>d.catalogar</v>
      </c>
      <c r="G285" s="18" t="s">
        <v>74</v>
      </c>
      <c r="H285" s="41" t="s">
        <v>2121</v>
      </c>
      <c r="I285" s="16" t="str">
        <f t="shared" si="88"/>
        <v>null</v>
      </c>
      <c r="J285" s="13" t="s">
        <v>0</v>
      </c>
      <c r="K285" s="13" t="s">
        <v>0</v>
      </c>
      <c r="L285" s="13" t="s">
        <v>0</v>
      </c>
      <c r="M285" s="13" t="s">
        <v>0</v>
      </c>
      <c r="N285" s="15" t="s">
        <v>0</v>
      </c>
      <c r="O285" s="13" t="s">
        <v>0</v>
      </c>
      <c r="P285" s="13" t="s">
        <v>0</v>
      </c>
      <c r="Q285" s="13" t="s">
        <v>0</v>
      </c>
      <c r="R285" s="15" t="s">
        <v>0</v>
      </c>
      <c r="S285" s="10" t="s">
        <v>1</v>
      </c>
      <c r="T285" s="10" t="s">
        <v>32</v>
      </c>
      <c r="U285" s="5" t="str">
        <f t="shared" si="108"/>
        <v>Propriedade destinada a catalogar: é.característica</v>
      </c>
      <c r="V285" s="5" t="str">
        <f t="shared" si="109"/>
        <v>Dado para catalogar:  característica  Deve ser formatado como (rdfs:Literal  or  xsd:string)</v>
      </c>
      <c r="W285" s="5" t="s">
        <v>6766</v>
      </c>
      <c r="X285" s="24" t="str">
        <f t="shared" si="110"/>
        <v>catal.105</v>
      </c>
      <c r="Y285" s="24" t="str">
        <f t="shared" si="111"/>
        <v>Ação de catalogar</v>
      </c>
      <c r="Z285" s="47" t="s">
        <v>6795</v>
      </c>
      <c r="AA285" s="25" t="str">
        <f t="shared" si="89"/>
        <v>null</v>
      </c>
      <c r="AB285" s="26" t="s">
        <v>0</v>
      </c>
      <c r="AC285" s="25" t="str">
        <f t="shared" si="90"/>
        <v>null</v>
      </c>
      <c r="AD285" s="26" t="s">
        <v>0</v>
      </c>
      <c r="AE285" s="25" t="str">
        <f t="shared" si="87"/>
        <v>null</v>
      </c>
      <c r="AF285" s="26" t="s">
        <v>0</v>
      </c>
      <c r="AG285" s="47" t="s">
        <v>6829</v>
      </c>
    </row>
    <row r="286" spans="1:33" ht="6.9" customHeight="1" x14ac:dyDescent="0.4">
      <c r="A286" s="4">
        <f>ROW()</f>
        <v>286</v>
      </c>
      <c r="B286" s="9" t="s">
        <v>27</v>
      </c>
      <c r="C286" s="55" t="str">
        <f t="shared" si="86"/>
        <v>p.catalogar</v>
      </c>
      <c r="D286" s="6" t="str">
        <f t="shared" si="118"/>
        <v>é.classe</v>
      </c>
      <c r="E286" s="8" t="s">
        <v>28</v>
      </c>
      <c r="F286" s="42" t="str">
        <f t="shared" si="121"/>
        <v>d.catalogar</v>
      </c>
      <c r="G286" s="18" t="s">
        <v>1227</v>
      </c>
      <c r="H286" s="41" t="s">
        <v>2121</v>
      </c>
      <c r="I286" s="16" t="str">
        <f t="shared" si="88"/>
        <v>null</v>
      </c>
      <c r="J286" s="13" t="s">
        <v>0</v>
      </c>
      <c r="K286" s="13" t="s">
        <v>0</v>
      </c>
      <c r="L286" s="13" t="s">
        <v>0</v>
      </c>
      <c r="M286" s="13" t="s">
        <v>0</v>
      </c>
      <c r="N286" s="15" t="s">
        <v>0</v>
      </c>
      <c r="O286" s="13" t="s">
        <v>0</v>
      </c>
      <c r="P286" s="13" t="s">
        <v>0</v>
      </c>
      <c r="Q286" s="13" t="s">
        <v>0</v>
      </c>
      <c r="R286" s="15" t="s">
        <v>0</v>
      </c>
      <c r="S286" s="10" t="s">
        <v>1</v>
      </c>
      <c r="T286" s="10" t="s">
        <v>32</v>
      </c>
      <c r="U286" s="5" t="str">
        <f t="shared" si="108"/>
        <v>Propriedade destinada a catalogar: é.classe</v>
      </c>
      <c r="V286" s="5" t="str">
        <f t="shared" si="109"/>
        <v>Dado para catalogar:  classe  Deve ser formatado como (rdfs:Literal  or  xsd:string)</v>
      </c>
      <c r="W286" s="5" t="s">
        <v>6771</v>
      </c>
      <c r="X286" s="24" t="str">
        <f t="shared" si="110"/>
        <v>catal.106</v>
      </c>
      <c r="Y286" s="24" t="str">
        <f t="shared" si="111"/>
        <v>Ação de catalogar</v>
      </c>
      <c r="Z286" s="47" t="s">
        <v>6796</v>
      </c>
      <c r="AA286" s="25" t="str">
        <f t="shared" si="89"/>
        <v>null</v>
      </c>
      <c r="AB286" s="26" t="s">
        <v>0</v>
      </c>
      <c r="AC286" s="25" t="str">
        <f t="shared" si="90"/>
        <v>null</v>
      </c>
      <c r="AD286" s="26" t="s">
        <v>0</v>
      </c>
      <c r="AE286" s="25" t="str">
        <f t="shared" ref="AE286:AE349" si="126">IF(AF286="null", "null", "propriedade")</f>
        <v>null</v>
      </c>
      <c r="AF286" s="26" t="s">
        <v>0</v>
      </c>
      <c r="AG286" s="47" t="s">
        <v>6830</v>
      </c>
    </row>
    <row r="287" spans="1:33" ht="6.9" customHeight="1" x14ac:dyDescent="0.4">
      <c r="A287" s="4">
        <f>ROW()</f>
        <v>287</v>
      </c>
      <c r="B287" s="9" t="s">
        <v>27</v>
      </c>
      <c r="C287" s="55" t="str">
        <f t="shared" si="86"/>
        <v>p.catalogar</v>
      </c>
      <c r="D287" s="6" t="str">
        <f t="shared" si="118"/>
        <v>é.coleção</v>
      </c>
      <c r="E287" s="8" t="s">
        <v>28</v>
      </c>
      <c r="F287" s="42" t="str">
        <f t="shared" si="121"/>
        <v>d.catalogar</v>
      </c>
      <c r="G287" s="18" t="s">
        <v>76</v>
      </c>
      <c r="H287" s="41" t="s">
        <v>2121</v>
      </c>
      <c r="I287" s="16" t="str">
        <f t="shared" si="88"/>
        <v>null</v>
      </c>
      <c r="J287" s="13" t="s">
        <v>0</v>
      </c>
      <c r="K287" s="13" t="s">
        <v>0</v>
      </c>
      <c r="L287" s="13" t="s">
        <v>0</v>
      </c>
      <c r="M287" s="13" t="s">
        <v>0</v>
      </c>
      <c r="N287" s="15" t="s">
        <v>0</v>
      </c>
      <c r="O287" s="13" t="s">
        <v>0</v>
      </c>
      <c r="P287" s="13" t="s">
        <v>0</v>
      </c>
      <c r="Q287" s="13" t="s">
        <v>0</v>
      </c>
      <c r="R287" s="15" t="s">
        <v>0</v>
      </c>
      <c r="S287" s="10" t="s">
        <v>1</v>
      </c>
      <c r="T287" s="10" t="s">
        <v>32</v>
      </c>
      <c r="U287" s="5" t="str">
        <f t="shared" si="108"/>
        <v>Propriedade destinada a catalogar: é.coleção</v>
      </c>
      <c r="V287" s="5" t="str">
        <f t="shared" si="109"/>
        <v>Dado para catalogar:  coleção  Deve ser formatado como (rdfs:Literal  or  xsd:string)</v>
      </c>
      <c r="W287" s="5" t="s">
        <v>6772</v>
      </c>
      <c r="X287" s="24" t="str">
        <f t="shared" si="110"/>
        <v>catal.107</v>
      </c>
      <c r="Y287" s="24" t="str">
        <f t="shared" si="111"/>
        <v>Ação de catalogar</v>
      </c>
      <c r="Z287" s="47" t="s">
        <v>6797</v>
      </c>
      <c r="AA287" s="25" t="str">
        <f t="shared" si="89"/>
        <v>null</v>
      </c>
      <c r="AB287" s="26" t="s">
        <v>0</v>
      </c>
      <c r="AC287" s="25" t="str">
        <f t="shared" si="90"/>
        <v>null</v>
      </c>
      <c r="AD287" s="26" t="s">
        <v>0</v>
      </c>
      <c r="AE287" s="25" t="str">
        <f t="shared" si="126"/>
        <v>null</v>
      </c>
      <c r="AF287" s="26" t="s">
        <v>0</v>
      </c>
      <c r="AG287" s="47" t="s">
        <v>6831</v>
      </c>
    </row>
    <row r="288" spans="1:33" ht="6.9" customHeight="1" x14ac:dyDescent="0.4">
      <c r="A288" s="4">
        <f>ROW()</f>
        <v>288</v>
      </c>
      <c r="B288" s="9" t="s">
        <v>27</v>
      </c>
      <c r="C288" s="55" t="str">
        <f t="shared" si="86"/>
        <v>p.catalogar</v>
      </c>
      <c r="D288" s="6" t="str">
        <f t="shared" si="118"/>
        <v>é.companhia</v>
      </c>
      <c r="E288" s="8" t="s">
        <v>28</v>
      </c>
      <c r="F288" s="42" t="str">
        <f t="shared" si="121"/>
        <v>d.catalogar</v>
      </c>
      <c r="G288" s="18" t="s">
        <v>1970</v>
      </c>
      <c r="H288" s="41" t="s">
        <v>2121</v>
      </c>
      <c r="I288" s="16" t="str">
        <f t="shared" si="88"/>
        <v>null</v>
      </c>
      <c r="J288" s="13" t="s">
        <v>0</v>
      </c>
      <c r="K288" s="13" t="s">
        <v>0</v>
      </c>
      <c r="L288" s="13" t="s">
        <v>0</v>
      </c>
      <c r="M288" s="13" t="s">
        <v>0</v>
      </c>
      <c r="N288" s="15" t="s">
        <v>0</v>
      </c>
      <c r="O288" s="13" t="s">
        <v>0</v>
      </c>
      <c r="P288" s="13" t="s">
        <v>0</v>
      </c>
      <c r="Q288" s="13" t="s">
        <v>0</v>
      </c>
      <c r="R288" s="15" t="s">
        <v>7210</v>
      </c>
      <c r="S288" s="10" t="s">
        <v>1</v>
      </c>
      <c r="T288" s="10" t="s">
        <v>32</v>
      </c>
      <c r="U288" s="5" t="str">
        <f t="shared" si="108"/>
        <v>Propriedade destinada a catalogar: é.companhia</v>
      </c>
      <c r="V288" s="5" t="str">
        <f t="shared" si="109"/>
        <v>Dado para catalogar:  companhia  Deve ser formatado como (rdfs:Literal  or  xsd:string)</v>
      </c>
      <c r="W288" s="5" t="s">
        <v>6775</v>
      </c>
      <c r="X288" s="24" t="str">
        <f t="shared" si="110"/>
        <v>catal.108</v>
      </c>
      <c r="Y288" s="24" t="str">
        <f t="shared" si="111"/>
        <v>Ação de catalogar</v>
      </c>
      <c r="Z288" s="47" t="s">
        <v>6820</v>
      </c>
      <c r="AA288" s="25" t="str">
        <f t="shared" si="89"/>
        <v>null</v>
      </c>
      <c r="AB288" s="26" t="s">
        <v>0</v>
      </c>
      <c r="AC288" s="25" t="str">
        <f t="shared" si="90"/>
        <v>null</v>
      </c>
      <c r="AD288" s="26" t="s">
        <v>0</v>
      </c>
      <c r="AE288" s="25" t="str">
        <f t="shared" si="126"/>
        <v>null</v>
      </c>
      <c r="AF288" s="26" t="s">
        <v>0</v>
      </c>
      <c r="AG288" s="47" t="s">
        <v>6826</v>
      </c>
    </row>
    <row r="289" spans="1:33" ht="6.9" customHeight="1" x14ac:dyDescent="0.4">
      <c r="A289" s="4">
        <f>ROW()</f>
        <v>289</v>
      </c>
      <c r="B289" s="9" t="s">
        <v>27</v>
      </c>
      <c r="C289" s="55" t="str">
        <f t="shared" si="86"/>
        <v>p.catalogar</v>
      </c>
      <c r="D289" s="6" t="str">
        <f t="shared" si="118"/>
        <v>é.denominação</v>
      </c>
      <c r="E289" s="8" t="s">
        <v>28</v>
      </c>
      <c r="F289" s="42" t="str">
        <f t="shared" si="121"/>
        <v>d.catalogar</v>
      </c>
      <c r="G289" s="18" t="s">
        <v>73</v>
      </c>
      <c r="H289" s="41" t="s">
        <v>2121</v>
      </c>
      <c r="I289" s="16" t="str">
        <f t="shared" si="88"/>
        <v>null</v>
      </c>
      <c r="J289" s="13" t="s">
        <v>0</v>
      </c>
      <c r="K289" s="13" t="s">
        <v>0</v>
      </c>
      <c r="L289" s="13" t="s">
        <v>0</v>
      </c>
      <c r="M289" s="13" t="s">
        <v>0</v>
      </c>
      <c r="N289" s="15" t="s">
        <v>0</v>
      </c>
      <c r="O289" s="13" t="s">
        <v>0</v>
      </c>
      <c r="P289" s="13" t="s">
        <v>0</v>
      </c>
      <c r="Q289" s="13" t="s">
        <v>0</v>
      </c>
      <c r="R289" s="15" t="s">
        <v>0</v>
      </c>
      <c r="S289" s="10" t="s">
        <v>1</v>
      </c>
      <c r="T289" s="10" t="s">
        <v>32</v>
      </c>
      <c r="U289" s="5" t="str">
        <f t="shared" si="108"/>
        <v>Propriedade destinada a catalogar: é.denominação</v>
      </c>
      <c r="V289" s="5" t="str">
        <f t="shared" si="109"/>
        <v>Dado para catalogar:  denominação  Deve ser formatado como (rdfs:Literal  or  xsd:string)</v>
      </c>
      <c r="W289" s="5" t="s">
        <v>6773</v>
      </c>
      <c r="X289" s="24" t="str">
        <f t="shared" si="110"/>
        <v>catal.109</v>
      </c>
      <c r="Y289" s="24" t="str">
        <f t="shared" si="111"/>
        <v>Ação de catalogar</v>
      </c>
      <c r="Z289" s="47" t="s">
        <v>6798</v>
      </c>
      <c r="AA289" s="25" t="str">
        <f t="shared" si="89"/>
        <v>null</v>
      </c>
      <c r="AB289" s="26" t="s">
        <v>0</v>
      </c>
      <c r="AC289" s="25" t="str">
        <f t="shared" si="90"/>
        <v>null</v>
      </c>
      <c r="AD289" s="26" t="s">
        <v>0</v>
      </c>
      <c r="AE289" s="25" t="str">
        <f t="shared" si="126"/>
        <v>null</v>
      </c>
      <c r="AF289" s="26" t="s">
        <v>0</v>
      </c>
      <c r="AG289" s="47" t="s">
        <v>6832</v>
      </c>
    </row>
    <row r="290" spans="1:33" ht="6.9" customHeight="1" x14ac:dyDescent="0.4">
      <c r="A290" s="4">
        <f>ROW()</f>
        <v>290</v>
      </c>
      <c r="B290" s="9" t="s">
        <v>27</v>
      </c>
      <c r="C290" s="55" t="str">
        <f t="shared" si="86"/>
        <v>p.catalogar</v>
      </c>
      <c r="D290" s="6" t="str">
        <f t="shared" si="118"/>
        <v>é.descrição</v>
      </c>
      <c r="E290" s="8" t="s">
        <v>28</v>
      </c>
      <c r="F290" s="42" t="str">
        <f t="shared" si="121"/>
        <v>d.catalogar</v>
      </c>
      <c r="G290" s="18" t="s">
        <v>313</v>
      </c>
      <c r="H290" s="42" t="s">
        <v>2121</v>
      </c>
      <c r="I290" s="16" t="str">
        <f t="shared" si="88"/>
        <v>null</v>
      </c>
      <c r="J290" s="13" t="s">
        <v>0</v>
      </c>
      <c r="K290" s="13" t="s">
        <v>0</v>
      </c>
      <c r="L290" s="15" t="s">
        <v>0</v>
      </c>
      <c r="M290" s="13" t="s">
        <v>0</v>
      </c>
      <c r="N290" s="15" t="s">
        <v>0</v>
      </c>
      <c r="O290" s="13" t="s">
        <v>0</v>
      </c>
      <c r="P290" s="13" t="s">
        <v>0</v>
      </c>
      <c r="Q290" s="13" t="s">
        <v>0</v>
      </c>
      <c r="R290" s="15" t="s">
        <v>0</v>
      </c>
      <c r="S290" s="10" t="s">
        <v>1</v>
      </c>
      <c r="T290" s="10" t="s">
        <v>32</v>
      </c>
      <c r="U290" s="5" t="str">
        <f t="shared" si="108"/>
        <v>Propriedade destinada a catalogar: é.descrição</v>
      </c>
      <c r="V290" s="5" t="str">
        <f t="shared" si="109"/>
        <v>Dado para catalogar:  descrição  Deve ser formatado como (rdfs:Literal  or  xsd:string)</v>
      </c>
      <c r="W290" s="5" t="s">
        <v>5252</v>
      </c>
      <c r="X290" s="24" t="str">
        <f t="shared" si="110"/>
        <v>catal.110</v>
      </c>
      <c r="Y290" s="24" t="str">
        <f t="shared" si="111"/>
        <v>Ação de catalogar</v>
      </c>
      <c r="Z290" s="47" t="s">
        <v>6799</v>
      </c>
      <c r="AA290" s="25" t="str">
        <f t="shared" si="89"/>
        <v>null</v>
      </c>
      <c r="AB290" s="26" t="s">
        <v>0</v>
      </c>
      <c r="AC290" s="25" t="str">
        <f t="shared" si="90"/>
        <v>null</v>
      </c>
      <c r="AD290" s="26" t="s">
        <v>0</v>
      </c>
      <c r="AE290" s="25" t="str">
        <f t="shared" si="126"/>
        <v>propriedade</v>
      </c>
      <c r="AF290" s="26" t="s">
        <v>2454</v>
      </c>
      <c r="AG290" s="47" t="s">
        <v>2671</v>
      </c>
    </row>
    <row r="291" spans="1:33" ht="6.9" customHeight="1" x14ac:dyDescent="0.4">
      <c r="A291" s="4">
        <f>ROW()</f>
        <v>291</v>
      </c>
      <c r="B291" s="9" t="s">
        <v>27</v>
      </c>
      <c r="C291" s="55" t="str">
        <f t="shared" si="86"/>
        <v>p.catalogar</v>
      </c>
      <c r="D291" s="6" t="str">
        <f t="shared" si="118"/>
        <v>é.doi</v>
      </c>
      <c r="E291" s="8" t="s">
        <v>28</v>
      </c>
      <c r="F291" s="42" t="str">
        <f t="shared" si="121"/>
        <v>d.catalogar</v>
      </c>
      <c r="G291" s="18" t="s">
        <v>82</v>
      </c>
      <c r="H291" s="41" t="s">
        <v>2121</v>
      </c>
      <c r="I291" s="16" t="str">
        <f t="shared" si="88"/>
        <v>null</v>
      </c>
      <c r="J291" s="13" t="s">
        <v>0</v>
      </c>
      <c r="K291" s="13" t="s">
        <v>0</v>
      </c>
      <c r="L291" s="13" t="s">
        <v>0</v>
      </c>
      <c r="M291" s="13" t="s">
        <v>0</v>
      </c>
      <c r="N291" s="15" t="s">
        <v>0</v>
      </c>
      <c r="O291" s="13" t="s">
        <v>0</v>
      </c>
      <c r="P291" s="13" t="s">
        <v>0</v>
      </c>
      <c r="Q291" s="13" t="s">
        <v>0</v>
      </c>
      <c r="R291" s="15" t="s">
        <v>0</v>
      </c>
      <c r="S291" s="10" t="s">
        <v>1</v>
      </c>
      <c r="T291" s="10" t="s">
        <v>32</v>
      </c>
      <c r="U291" s="5" t="str">
        <f t="shared" si="108"/>
        <v>Propriedade destinada a catalogar: é.doi</v>
      </c>
      <c r="V291" s="5" t="str">
        <f t="shared" si="109"/>
        <v>Dado para catalogar:  doi  Deve ser formatado como (rdfs:Literal  or  xsd:string)</v>
      </c>
      <c r="W291" s="5" t="s">
        <v>5253</v>
      </c>
      <c r="X291" s="24" t="str">
        <f t="shared" si="110"/>
        <v>catal.111</v>
      </c>
      <c r="Y291" s="24" t="str">
        <f t="shared" si="111"/>
        <v>Ação de catalogar</v>
      </c>
      <c r="Z291" s="47" t="s">
        <v>6800</v>
      </c>
      <c r="AA291" s="25" t="str">
        <f t="shared" ref="AA291:AA360" si="127">IF(AB291="null", "null", "categoria.revit")</f>
        <v>null</v>
      </c>
      <c r="AB291" s="26" t="s">
        <v>0</v>
      </c>
      <c r="AC291" s="25" t="str">
        <f t="shared" ref="AC291:AC360" si="128">IF(AD291="null", "null", "classe.ifc")</f>
        <v>null</v>
      </c>
      <c r="AD291" s="26" t="s">
        <v>0</v>
      </c>
      <c r="AE291" s="25" t="str">
        <f t="shared" si="126"/>
        <v>null</v>
      </c>
      <c r="AF291" s="26" t="s">
        <v>0</v>
      </c>
      <c r="AG291" s="47" t="s">
        <v>2672</v>
      </c>
    </row>
    <row r="292" spans="1:33" ht="6.9" customHeight="1" x14ac:dyDescent="0.4">
      <c r="A292" s="4">
        <f>ROW()</f>
        <v>292</v>
      </c>
      <c r="B292" s="9" t="s">
        <v>27</v>
      </c>
      <c r="C292" s="55" t="str">
        <f t="shared" ref="C292:C358" si="129">SUBSTITUTE(F292,"d.","p.")</f>
        <v>p.catalogar</v>
      </c>
      <c r="D292" s="6" t="str">
        <f t="shared" si="118"/>
        <v>é.edição</v>
      </c>
      <c r="E292" s="8" t="s">
        <v>28</v>
      </c>
      <c r="F292" s="42" t="str">
        <f t="shared" si="121"/>
        <v>d.catalogar</v>
      </c>
      <c r="G292" s="18" t="s">
        <v>79</v>
      </c>
      <c r="H292" s="41" t="s">
        <v>2121</v>
      </c>
      <c r="I292" s="16" t="str">
        <f t="shared" ref="I292:I361" si="130">J292</f>
        <v>null</v>
      </c>
      <c r="J292" s="13" t="s">
        <v>0</v>
      </c>
      <c r="K292" s="13" t="s">
        <v>0</v>
      </c>
      <c r="L292" s="13" t="s">
        <v>0</v>
      </c>
      <c r="M292" s="13" t="s">
        <v>0</v>
      </c>
      <c r="N292" s="15" t="s">
        <v>0</v>
      </c>
      <c r="O292" s="13" t="s">
        <v>0</v>
      </c>
      <c r="P292" s="13" t="s">
        <v>0</v>
      </c>
      <c r="Q292" s="13" t="s">
        <v>0</v>
      </c>
      <c r="R292" s="15" t="s">
        <v>0</v>
      </c>
      <c r="S292" s="10" t="s">
        <v>1</v>
      </c>
      <c r="T292" s="10" t="s">
        <v>32</v>
      </c>
      <c r="U292" s="5" t="str">
        <f t="shared" si="108"/>
        <v>Propriedade destinada a catalogar: é.edição</v>
      </c>
      <c r="V292" s="5" t="str">
        <f t="shared" si="109"/>
        <v>Dado para catalogar:  edição  Deve ser formatado como (rdfs:Literal  or  xsd:string)</v>
      </c>
      <c r="W292" s="5" t="s">
        <v>6774</v>
      </c>
      <c r="X292" s="24" t="str">
        <f t="shared" si="110"/>
        <v>catal.112</v>
      </c>
      <c r="Y292" s="24" t="str">
        <f t="shared" si="111"/>
        <v>Ação de catalogar</v>
      </c>
      <c r="Z292" s="47" t="s">
        <v>6801</v>
      </c>
      <c r="AA292" s="25" t="str">
        <f t="shared" si="127"/>
        <v>null</v>
      </c>
      <c r="AB292" s="26" t="s">
        <v>0</v>
      </c>
      <c r="AC292" s="25" t="str">
        <f t="shared" si="128"/>
        <v>null</v>
      </c>
      <c r="AD292" s="26" t="s">
        <v>0</v>
      </c>
      <c r="AE292" s="25" t="str">
        <f t="shared" si="126"/>
        <v>null</v>
      </c>
      <c r="AF292" s="26" t="s">
        <v>0</v>
      </c>
      <c r="AG292" s="47" t="s">
        <v>6833</v>
      </c>
    </row>
    <row r="293" spans="1:33" ht="6.9" customHeight="1" x14ac:dyDescent="0.4">
      <c r="A293" s="4">
        <f>ROW()</f>
        <v>293</v>
      </c>
      <c r="B293" s="9" t="s">
        <v>27</v>
      </c>
      <c r="C293" s="55" t="str">
        <f t="shared" si="129"/>
        <v>p.catalogar</v>
      </c>
      <c r="D293" s="6" t="str">
        <f t="shared" si="118"/>
        <v>é.editável.por</v>
      </c>
      <c r="E293" s="8" t="s">
        <v>28</v>
      </c>
      <c r="F293" s="42" t="str">
        <f t="shared" si="121"/>
        <v>d.catalogar</v>
      </c>
      <c r="G293" s="18" t="s">
        <v>558</v>
      </c>
      <c r="H293" s="41" t="s">
        <v>2121</v>
      </c>
      <c r="I293" s="16" t="str">
        <f t="shared" si="130"/>
        <v>null</v>
      </c>
      <c r="J293" s="13" t="s">
        <v>0</v>
      </c>
      <c r="K293" s="13" t="s">
        <v>0</v>
      </c>
      <c r="L293" s="13" t="s">
        <v>0</v>
      </c>
      <c r="M293" s="13" t="s">
        <v>0</v>
      </c>
      <c r="N293" s="15" t="s">
        <v>0</v>
      </c>
      <c r="O293" s="13" t="s">
        <v>0</v>
      </c>
      <c r="P293" s="13" t="s">
        <v>0</v>
      </c>
      <c r="Q293" s="13" t="s">
        <v>0</v>
      </c>
      <c r="R293" s="15" t="s">
        <v>0</v>
      </c>
      <c r="S293" s="10" t="s">
        <v>1</v>
      </c>
      <c r="T293" s="10" t="s">
        <v>32</v>
      </c>
      <c r="U293" s="5" t="str">
        <f t="shared" si="108"/>
        <v>Propriedade destinada a catalogar: é.editável.por</v>
      </c>
      <c r="V293" s="5" t="str">
        <f t="shared" si="109"/>
        <v>Dado para catalogar:  editável.por  Deve ser formatado como (rdfs:Literal  or  xsd:string)</v>
      </c>
      <c r="W293" s="5" t="s">
        <v>6777</v>
      </c>
      <c r="X293" s="24" t="str">
        <f t="shared" si="110"/>
        <v>catal.113</v>
      </c>
      <c r="Y293" s="24" t="str">
        <f t="shared" si="111"/>
        <v>Ação de catalogar</v>
      </c>
      <c r="Z293" s="47" t="s">
        <v>6821</v>
      </c>
      <c r="AA293" s="25" t="str">
        <f t="shared" si="127"/>
        <v>null</v>
      </c>
      <c r="AB293" s="26" t="s">
        <v>0</v>
      </c>
      <c r="AC293" s="25" t="str">
        <f t="shared" si="128"/>
        <v>null</v>
      </c>
      <c r="AD293" s="26" t="s">
        <v>0</v>
      </c>
      <c r="AE293" s="25" t="str">
        <f t="shared" si="126"/>
        <v>null</v>
      </c>
      <c r="AF293" s="26" t="s">
        <v>0</v>
      </c>
      <c r="AG293" s="47" t="s">
        <v>6825</v>
      </c>
    </row>
    <row r="294" spans="1:33" ht="6.9" customHeight="1" x14ac:dyDescent="0.4">
      <c r="A294" s="4">
        <f>ROW()</f>
        <v>294</v>
      </c>
      <c r="B294" s="9" t="s">
        <v>27</v>
      </c>
      <c r="C294" s="55" t="str">
        <f t="shared" si="129"/>
        <v>p.catalogar</v>
      </c>
      <c r="D294" s="6" t="str">
        <f t="shared" si="118"/>
        <v>é.editor</v>
      </c>
      <c r="E294" s="8" t="s">
        <v>28</v>
      </c>
      <c r="F294" s="42" t="str">
        <f t="shared" si="121"/>
        <v>d.catalogar</v>
      </c>
      <c r="G294" s="18" t="s">
        <v>78</v>
      </c>
      <c r="H294" s="41" t="s">
        <v>2121</v>
      </c>
      <c r="I294" s="16" t="str">
        <f t="shared" si="130"/>
        <v>null</v>
      </c>
      <c r="J294" s="13" t="s">
        <v>0</v>
      </c>
      <c r="K294" s="13" t="s">
        <v>0</v>
      </c>
      <c r="L294" s="13" t="s">
        <v>0</v>
      </c>
      <c r="M294" s="13" t="s">
        <v>0</v>
      </c>
      <c r="N294" s="15" t="s">
        <v>0</v>
      </c>
      <c r="O294" s="13" t="s">
        <v>0</v>
      </c>
      <c r="P294" s="13" t="s">
        <v>0</v>
      </c>
      <c r="Q294" s="13" t="s">
        <v>0</v>
      </c>
      <c r="R294" s="15" t="s">
        <v>0</v>
      </c>
      <c r="S294" s="10" t="s">
        <v>1</v>
      </c>
      <c r="T294" s="10" t="s">
        <v>32</v>
      </c>
      <c r="U294" s="5" t="str">
        <f t="shared" si="108"/>
        <v>Propriedade destinada a catalogar: é.editor</v>
      </c>
      <c r="V294" s="5" t="str">
        <f t="shared" si="109"/>
        <v>Dado para catalogar:  editor  Deve ser formatado como (rdfs:Literal  or  xsd:string)</v>
      </c>
      <c r="W294" s="5" t="s">
        <v>6776</v>
      </c>
      <c r="X294" s="24" t="str">
        <f t="shared" si="110"/>
        <v>catal.114</v>
      </c>
      <c r="Y294" s="24" t="str">
        <f t="shared" si="111"/>
        <v>Ação de catalogar</v>
      </c>
      <c r="Z294" s="47" t="s">
        <v>6802</v>
      </c>
      <c r="AA294" s="25" t="str">
        <f t="shared" si="127"/>
        <v>null</v>
      </c>
      <c r="AB294" s="26" t="s">
        <v>0</v>
      </c>
      <c r="AC294" s="25" t="str">
        <f t="shared" si="128"/>
        <v>null</v>
      </c>
      <c r="AD294" s="26" t="s">
        <v>0</v>
      </c>
      <c r="AE294" s="25" t="str">
        <f t="shared" si="126"/>
        <v>null</v>
      </c>
      <c r="AF294" s="26" t="s">
        <v>0</v>
      </c>
      <c r="AG294" s="47" t="s">
        <v>6834</v>
      </c>
    </row>
    <row r="295" spans="1:33" ht="6.9" customHeight="1" x14ac:dyDescent="0.4">
      <c r="A295" s="4">
        <f>ROW()</f>
        <v>295</v>
      </c>
      <c r="B295" s="9" t="s">
        <v>27</v>
      </c>
      <c r="C295" s="55" t="str">
        <f t="shared" si="129"/>
        <v>p.catalogar</v>
      </c>
      <c r="D295" s="6" t="str">
        <f t="shared" si="118"/>
        <v>é.fabricante</v>
      </c>
      <c r="E295" s="8" t="s">
        <v>28</v>
      </c>
      <c r="F295" s="42" t="str">
        <f t="shared" si="121"/>
        <v>d.catalogar</v>
      </c>
      <c r="G295" s="18" t="s">
        <v>180</v>
      </c>
      <c r="H295" s="41" t="s">
        <v>2121</v>
      </c>
      <c r="I295" s="16" t="str">
        <f t="shared" si="130"/>
        <v>null</v>
      </c>
      <c r="J295" s="13" t="s">
        <v>0</v>
      </c>
      <c r="K295" s="13" t="s">
        <v>0</v>
      </c>
      <c r="L295" s="13" t="s">
        <v>0</v>
      </c>
      <c r="M295" s="13" t="s">
        <v>0</v>
      </c>
      <c r="N295" s="15" t="s">
        <v>0</v>
      </c>
      <c r="O295" s="13" t="s">
        <v>0</v>
      </c>
      <c r="P295" s="13" t="s">
        <v>0</v>
      </c>
      <c r="Q295" s="13" t="s">
        <v>0</v>
      </c>
      <c r="R295" s="15" t="s">
        <v>0</v>
      </c>
      <c r="S295" s="10" t="s">
        <v>1</v>
      </c>
      <c r="T295" s="10" t="s">
        <v>32</v>
      </c>
      <c r="U295" s="5" t="str">
        <f t="shared" si="108"/>
        <v>Propriedade destinada a catalogar: é.fabricante</v>
      </c>
      <c r="V295" s="5" t="str">
        <f t="shared" si="109"/>
        <v>Dado para catalogar:  fabricante  Deve ser formatado como (rdfs:Literal  or  xsd:string)</v>
      </c>
      <c r="W295" s="5" t="s">
        <v>6778</v>
      </c>
      <c r="X295" s="24" t="str">
        <f t="shared" si="110"/>
        <v>catal.115</v>
      </c>
      <c r="Y295" s="24" t="str">
        <f t="shared" si="111"/>
        <v>Ação de catalogar</v>
      </c>
      <c r="Z295" s="47" t="s">
        <v>6803</v>
      </c>
      <c r="AA295" s="25" t="str">
        <f t="shared" si="127"/>
        <v>null</v>
      </c>
      <c r="AB295" s="26" t="s">
        <v>0</v>
      </c>
      <c r="AC295" s="25" t="str">
        <f t="shared" si="128"/>
        <v>null</v>
      </c>
      <c r="AD295" s="26" t="s">
        <v>0</v>
      </c>
      <c r="AE295" s="25" t="str">
        <f t="shared" si="126"/>
        <v>propriedade</v>
      </c>
      <c r="AF295" s="26" t="s">
        <v>2422</v>
      </c>
      <c r="AG295" s="47" t="s">
        <v>6835</v>
      </c>
    </row>
    <row r="296" spans="1:33" ht="6.9" customHeight="1" x14ac:dyDescent="0.4">
      <c r="A296" s="4">
        <f>ROW()</f>
        <v>296</v>
      </c>
      <c r="B296" s="9" t="s">
        <v>27</v>
      </c>
      <c r="C296" s="55" t="str">
        <f t="shared" si="129"/>
        <v>p.catalogar</v>
      </c>
      <c r="D296" s="6" t="str">
        <f t="shared" si="118"/>
        <v>é.fabricante.de</v>
      </c>
      <c r="E296" s="8" t="s">
        <v>28</v>
      </c>
      <c r="F296" s="42" t="str">
        <f t="shared" si="121"/>
        <v>d.catalogar</v>
      </c>
      <c r="G296" s="18" t="s">
        <v>2390</v>
      </c>
      <c r="H296" s="41" t="s">
        <v>2121</v>
      </c>
      <c r="I296" s="16" t="str">
        <f t="shared" si="130"/>
        <v>null</v>
      </c>
      <c r="J296" s="13" t="s">
        <v>0</v>
      </c>
      <c r="K296" s="13" t="s">
        <v>0</v>
      </c>
      <c r="L296" s="13" t="s">
        <v>0</v>
      </c>
      <c r="M296" s="13" t="s">
        <v>0</v>
      </c>
      <c r="N296" s="15" t="s">
        <v>0</v>
      </c>
      <c r="O296" s="13" t="s">
        <v>0</v>
      </c>
      <c r="P296" s="13" t="s">
        <v>0</v>
      </c>
      <c r="Q296" s="13" t="s">
        <v>0</v>
      </c>
      <c r="R296" s="15" t="s">
        <v>0</v>
      </c>
      <c r="S296" s="10" t="s">
        <v>1</v>
      </c>
      <c r="T296" s="10" t="s">
        <v>32</v>
      </c>
      <c r="U296" s="5" t="str">
        <f t="shared" si="108"/>
        <v>Propriedade destinada a catalogar: é.fabricante.de</v>
      </c>
      <c r="V296" s="5" t="str">
        <f t="shared" si="109"/>
        <v>Dado para catalogar:  fabricante.de  Deve ser formatado como (rdfs:Literal  or  xsd:string)</v>
      </c>
      <c r="W296" s="5" t="s">
        <v>5254</v>
      </c>
      <c r="X296" s="24" t="str">
        <f t="shared" si="110"/>
        <v>catal.116</v>
      </c>
      <c r="Y296" s="24" t="str">
        <f t="shared" si="111"/>
        <v>Ação de catalogar</v>
      </c>
      <c r="Z296" s="47" t="s">
        <v>6804</v>
      </c>
      <c r="AA296" s="25" t="str">
        <f t="shared" si="127"/>
        <v>null</v>
      </c>
      <c r="AB296" s="26" t="s">
        <v>0</v>
      </c>
      <c r="AC296" s="25" t="str">
        <f t="shared" si="128"/>
        <v>null</v>
      </c>
      <c r="AD296" s="26" t="s">
        <v>0</v>
      </c>
      <c r="AE296" s="25" t="str">
        <f t="shared" si="126"/>
        <v>null</v>
      </c>
      <c r="AF296" s="26" t="s">
        <v>0</v>
      </c>
      <c r="AG296" s="47" t="s">
        <v>6836</v>
      </c>
    </row>
    <row r="297" spans="1:33" ht="6.9" customHeight="1" x14ac:dyDescent="0.4">
      <c r="A297" s="4">
        <f>ROW()</f>
        <v>297</v>
      </c>
      <c r="B297" s="9" t="s">
        <v>27</v>
      </c>
      <c r="C297" s="55" t="str">
        <f t="shared" si="129"/>
        <v>p.catalogar</v>
      </c>
      <c r="D297" s="6" t="str">
        <f t="shared" si="118"/>
        <v>é.fonte</v>
      </c>
      <c r="E297" s="8" t="s">
        <v>28</v>
      </c>
      <c r="F297" s="42" t="str">
        <f t="shared" si="121"/>
        <v>d.catalogar</v>
      </c>
      <c r="G297" s="18" t="s">
        <v>262</v>
      </c>
      <c r="H297" s="41" t="s">
        <v>2121</v>
      </c>
      <c r="I297" s="16" t="str">
        <f t="shared" si="130"/>
        <v>null</v>
      </c>
      <c r="J297" s="13" t="s">
        <v>0</v>
      </c>
      <c r="K297" s="13" t="s">
        <v>0</v>
      </c>
      <c r="L297" s="13" t="s">
        <v>0</v>
      </c>
      <c r="M297" s="13" t="s">
        <v>0</v>
      </c>
      <c r="N297" s="15" t="s">
        <v>0</v>
      </c>
      <c r="O297" s="13" t="s">
        <v>0</v>
      </c>
      <c r="P297" s="13" t="s">
        <v>0</v>
      </c>
      <c r="Q297" s="13" t="s">
        <v>0</v>
      </c>
      <c r="R297" s="15" t="s">
        <v>0</v>
      </c>
      <c r="S297" s="10" t="s">
        <v>1</v>
      </c>
      <c r="T297" s="10" t="s">
        <v>32</v>
      </c>
      <c r="U297" s="5" t="str">
        <f t="shared" si="108"/>
        <v>Propriedade destinada a catalogar: é.fonte</v>
      </c>
      <c r="V297" s="5" t="str">
        <f t="shared" si="109"/>
        <v>Dado para catalogar:  fonte  Deve ser formatado como (rdfs:Literal  or  xsd:string)</v>
      </c>
      <c r="W297" s="5" t="s">
        <v>6779</v>
      </c>
      <c r="X297" s="24" t="str">
        <f t="shared" si="110"/>
        <v>catal.117</v>
      </c>
      <c r="Y297" s="24" t="str">
        <f t="shared" si="111"/>
        <v>Ação de catalogar</v>
      </c>
      <c r="Z297" s="47" t="s">
        <v>6805</v>
      </c>
      <c r="AA297" s="25" t="str">
        <f t="shared" si="127"/>
        <v>null</v>
      </c>
      <c r="AB297" s="26" t="s">
        <v>0</v>
      </c>
      <c r="AC297" s="25" t="str">
        <f t="shared" si="128"/>
        <v>null</v>
      </c>
      <c r="AD297" s="26" t="s">
        <v>0</v>
      </c>
      <c r="AE297" s="25" t="str">
        <f t="shared" si="126"/>
        <v>null</v>
      </c>
      <c r="AF297" s="26" t="s">
        <v>0</v>
      </c>
      <c r="AG297" s="47" t="s">
        <v>6837</v>
      </c>
    </row>
    <row r="298" spans="1:33" ht="6.9" customHeight="1" x14ac:dyDescent="0.4">
      <c r="A298" s="4">
        <f>ROW()</f>
        <v>298</v>
      </c>
      <c r="B298" s="9" t="s">
        <v>27</v>
      </c>
      <c r="C298" s="55" t="str">
        <f t="shared" si="129"/>
        <v>p.catalogar</v>
      </c>
      <c r="D298" s="6" t="str">
        <f t="shared" si="118"/>
        <v>é.formato</v>
      </c>
      <c r="E298" s="8" t="s">
        <v>28</v>
      </c>
      <c r="F298" s="42" t="str">
        <f t="shared" si="121"/>
        <v>d.catalogar</v>
      </c>
      <c r="G298" s="18" t="s">
        <v>48</v>
      </c>
      <c r="H298" s="41" t="s">
        <v>2121</v>
      </c>
      <c r="I298" s="16" t="str">
        <f t="shared" si="130"/>
        <v>null</v>
      </c>
      <c r="J298" s="13" t="s">
        <v>0</v>
      </c>
      <c r="K298" s="13" t="s">
        <v>0</v>
      </c>
      <c r="L298" s="13" t="s">
        <v>0</v>
      </c>
      <c r="M298" s="13" t="s">
        <v>0</v>
      </c>
      <c r="N298" s="15" t="s">
        <v>0</v>
      </c>
      <c r="O298" s="13" t="s">
        <v>0</v>
      </c>
      <c r="P298" s="13" t="s">
        <v>0</v>
      </c>
      <c r="Q298" s="13" t="s">
        <v>0</v>
      </c>
      <c r="R298" s="15" t="s">
        <v>0</v>
      </c>
      <c r="S298" s="10" t="s">
        <v>1</v>
      </c>
      <c r="T298" s="10" t="s">
        <v>32</v>
      </c>
      <c r="U298" s="5" t="str">
        <f t="shared" si="108"/>
        <v>Propriedade destinada a catalogar: é.formato</v>
      </c>
      <c r="V298" s="5" t="str">
        <f t="shared" si="109"/>
        <v>Dado para catalogar:  formato  Deve ser formatado como (rdfs:Literal  or  xsd:string)</v>
      </c>
      <c r="W298" s="5" t="s">
        <v>6780</v>
      </c>
      <c r="X298" s="24" t="str">
        <f t="shared" si="110"/>
        <v>catal.118</v>
      </c>
      <c r="Y298" s="24" t="str">
        <f t="shared" si="111"/>
        <v>Ação de catalogar</v>
      </c>
      <c r="Z298" s="47" t="s">
        <v>6806</v>
      </c>
      <c r="AA298" s="25" t="str">
        <f t="shared" si="127"/>
        <v>null</v>
      </c>
      <c r="AB298" s="26" t="s">
        <v>0</v>
      </c>
      <c r="AC298" s="25" t="str">
        <f t="shared" si="128"/>
        <v>null</v>
      </c>
      <c r="AD298" s="26" t="s">
        <v>0</v>
      </c>
      <c r="AE298" s="25" t="str">
        <f t="shared" si="126"/>
        <v>null</v>
      </c>
      <c r="AF298" s="26" t="s">
        <v>0</v>
      </c>
      <c r="AG298" s="47" t="s">
        <v>6838</v>
      </c>
    </row>
    <row r="299" spans="1:33" ht="6.9" customHeight="1" x14ac:dyDescent="0.4">
      <c r="A299" s="4">
        <f>ROW()</f>
        <v>299</v>
      </c>
      <c r="B299" s="9" t="s">
        <v>27</v>
      </c>
      <c r="C299" s="55" t="str">
        <f t="shared" si="129"/>
        <v>p.catalogar</v>
      </c>
      <c r="D299" s="6" t="str">
        <f t="shared" si="118"/>
        <v>é.isbn</v>
      </c>
      <c r="E299" s="8" t="s">
        <v>28</v>
      </c>
      <c r="F299" s="42" t="str">
        <f t="shared" si="121"/>
        <v>d.catalogar</v>
      </c>
      <c r="G299" s="18" t="s">
        <v>80</v>
      </c>
      <c r="H299" s="41" t="s">
        <v>2121</v>
      </c>
      <c r="I299" s="16" t="str">
        <f t="shared" si="130"/>
        <v>null</v>
      </c>
      <c r="J299" s="13" t="s">
        <v>0</v>
      </c>
      <c r="K299" s="13" t="s">
        <v>0</v>
      </c>
      <c r="L299" s="13" t="s">
        <v>0</v>
      </c>
      <c r="M299" s="13" t="s">
        <v>0</v>
      </c>
      <c r="N299" s="15" t="s">
        <v>0</v>
      </c>
      <c r="O299" s="13" t="s">
        <v>0</v>
      </c>
      <c r="P299" s="13" t="s">
        <v>0</v>
      </c>
      <c r="Q299" s="13" t="s">
        <v>0</v>
      </c>
      <c r="R299" s="15" t="s">
        <v>0</v>
      </c>
      <c r="S299" s="10" t="s">
        <v>1</v>
      </c>
      <c r="T299" s="10" t="s">
        <v>32</v>
      </c>
      <c r="U299" s="5" t="str">
        <f t="shared" si="108"/>
        <v>Propriedade destinada a catalogar: é.isbn</v>
      </c>
      <c r="V299" s="5" t="str">
        <f t="shared" si="109"/>
        <v>Dado para catalogar:  isbn  Deve ser formatado como (rdfs:Literal  or  xsd:string)</v>
      </c>
      <c r="W299" s="5" t="s">
        <v>6781</v>
      </c>
      <c r="X299" s="24" t="str">
        <f t="shared" si="110"/>
        <v>catal.119</v>
      </c>
      <c r="Y299" s="24" t="str">
        <f t="shared" si="111"/>
        <v>Ação de catalogar</v>
      </c>
      <c r="Z299" s="47" t="s">
        <v>6807</v>
      </c>
      <c r="AA299" s="25" t="str">
        <f t="shared" si="127"/>
        <v>null</v>
      </c>
      <c r="AB299" s="26" t="s">
        <v>0</v>
      </c>
      <c r="AC299" s="25" t="str">
        <f t="shared" si="128"/>
        <v>null</v>
      </c>
      <c r="AD299" s="26" t="s">
        <v>0</v>
      </c>
      <c r="AE299" s="25" t="str">
        <f t="shared" si="126"/>
        <v>null</v>
      </c>
      <c r="AF299" s="26" t="s">
        <v>0</v>
      </c>
      <c r="AG299" s="47" t="s">
        <v>6839</v>
      </c>
    </row>
    <row r="300" spans="1:33" ht="6.9" customHeight="1" x14ac:dyDescent="0.4">
      <c r="A300" s="4">
        <f>ROW()</f>
        <v>300</v>
      </c>
      <c r="B300" s="9" t="s">
        <v>27</v>
      </c>
      <c r="C300" s="55" t="str">
        <f t="shared" si="129"/>
        <v>p.catalogar</v>
      </c>
      <c r="D300" s="6" t="str">
        <f t="shared" si="118"/>
        <v>é.issn</v>
      </c>
      <c r="E300" s="8" t="s">
        <v>28</v>
      </c>
      <c r="F300" s="42" t="str">
        <f t="shared" si="121"/>
        <v>d.catalogar</v>
      </c>
      <c r="G300" s="18" t="s">
        <v>81</v>
      </c>
      <c r="H300" s="41" t="s">
        <v>2121</v>
      </c>
      <c r="I300" s="16" t="str">
        <f t="shared" si="130"/>
        <v>null</v>
      </c>
      <c r="J300" s="13" t="s">
        <v>0</v>
      </c>
      <c r="K300" s="13" t="s">
        <v>0</v>
      </c>
      <c r="L300" s="13" t="s">
        <v>0</v>
      </c>
      <c r="M300" s="13" t="s">
        <v>0</v>
      </c>
      <c r="N300" s="15" t="s">
        <v>0</v>
      </c>
      <c r="O300" s="13" t="s">
        <v>0</v>
      </c>
      <c r="P300" s="13" t="s">
        <v>0</v>
      </c>
      <c r="Q300" s="13" t="s">
        <v>0</v>
      </c>
      <c r="R300" s="15" t="s">
        <v>0</v>
      </c>
      <c r="S300" s="10" t="s">
        <v>1</v>
      </c>
      <c r="T300" s="10" t="s">
        <v>32</v>
      </c>
      <c r="U300" s="5" t="str">
        <f t="shared" si="108"/>
        <v>Propriedade destinada a catalogar: é.issn</v>
      </c>
      <c r="V300" s="5" t="str">
        <f t="shared" si="109"/>
        <v>Dado para catalogar:  issn  Deve ser formatado como (rdfs:Literal  or  xsd:string)</v>
      </c>
      <c r="W300" s="5" t="s">
        <v>6782</v>
      </c>
      <c r="X300" s="24" t="str">
        <f t="shared" si="110"/>
        <v>catal.120</v>
      </c>
      <c r="Y300" s="24" t="str">
        <f t="shared" si="111"/>
        <v>Ação de catalogar</v>
      </c>
      <c r="Z300" s="47" t="s">
        <v>6808</v>
      </c>
      <c r="AA300" s="25" t="str">
        <f t="shared" si="127"/>
        <v>null</v>
      </c>
      <c r="AB300" s="26" t="s">
        <v>0</v>
      </c>
      <c r="AC300" s="25" t="str">
        <f t="shared" si="128"/>
        <v>null</v>
      </c>
      <c r="AD300" s="26" t="s">
        <v>0</v>
      </c>
      <c r="AE300" s="25" t="str">
        <f t="shared" si="126"/>
        <v>null</v>
      </c>
      <c r="AF300" s="26" t="s">
        <v>0</v>
      </c>
      <c r="AG300" s="47" t="s">
        <v>6840</v>
      </c>
    </row>
    <row r="301" spans="1:33" ht="6.9" customHeight="1" x14ac:dyDescent="0.4">
      <c r="A301" s="4">
        <f>ROW()</f>
        <v>301</v>
      </c>
      <c r="B301" s="9" t="s">
        <v>27</v>
      </c>
      <c r="C301" s="55" t="str">
        <f t="shared" si="129"/>
        <v>p.catalogar</v>
      </c>
      <c r="D301" s="6" t="str">
        <f t="shared" si="118"/>
        <v>é.item</v>
      </c>
      <c r="E301" s="8" t="s">
        <v>28</v>
      </c>
      <c r="F301" s="42" t="str">
        <f t="shared" si="121"/>
        <v>d.catalogar</v>
      </c>
      <c r="G301" s="18" t="s">
        <v>70</v>
      </c>
      <c r="H301" s="41" t="s">
        <v>2121</v>
      </c>
      <c r="I301" s="16" t="str">
        <f t="shared" si="130"/>
        <v>null</v>
      </c>
      <c r="J301" s="13" t="s">
        <v>0</v>
      </c>
      <c r="K301" s="13" t="s">
        <v>0</v>
      </c>
      <c r="L301" s="13" t="s">
        <v>0</v>
      </c>
      <c r="M301" s="13" t="s">
        <v>0</v>
      </c>
      <c r="N301" s="15" t="s">
        <v>0</v>
      </c>
      <c r="O301" s="13" t="s">
        <v>0</v>
      </c>
      <c r="P301" s="13" t="s">
        <v>0</v>
      </c>
      <c r="Q301" s="13" t="s">
        <v>0</v>
      </c>
      <c r="R301" s="15" t="s">
        <v>0</v>
      </c>
      <c r="S301" s="10" t="s">
        <v>1</v>
      </c>
      <c r="T301" s="10" t="s">
        <v>32</v>
      </c>
      <c r="U301" s="5" t="str">
        <f t="shared" si="108"/>
        <v>Propriedade destinada a catalogar: é.item</v>
      </c>
      <c r="V301" s="5" t="str">
        <f t="shared" si="109"/>
        <v>Dado para catalogar:  item  Deve ser formatado como (rdfs:Literal  or  xsd:string)</v>
      </c>
      <c r="W301" s="5" t="s">
        <v>6783</v>
      </c>
      <c r="X301" s="24" t="str">
        <f t="shared" si="110"/>
        <v>catal.121</v>
      </c>
      <c r="Y301" s="24" t="str">
        <f t="shared" si="111"/>
        <v>Ação de catalogar</v>
      </c>
      <c r="Z301" s="47" t="s">
        <v>6809</v>
      </c>
      <c r="AA301" s="25" t="str">
        <f t="shared" si="127"/>
        <v>null</v>
      </c>
      <c r="AB301" s="26" t="s">
        <v>0</v>
      </c>
      <c r="AC301" s="25" t="str">
        <f t="shared" si="128"/>
        <v>null</v>
      </c>
      <c r="AD301" s="26" t="s">
        <v>0</v>
      </c>
      <c r="AE301" s="25" t="str">
        <f t="shared" si="126"/>
        <v>null</v>
      </c>
      <c r="AF301" s="26" t="s">
        <v>0</v>
      </c>
      <c r="AG301" s="47" t="s">
        <v>6841</v>
      </c>
    </row>
    <row r="302" spans="1:33" ht="6.9" customHeight="1" x14ac:dyDescent="0.4">
      <c r="A302" s="4">
        <f>ROW()</f>
        <v>302</v>
      </c>
      <c r="B302" s="9" t="s">
        <v>27</v>
      </c>
      <c r="C302" s="55" t="str">
        <f t="shared" si="129"/>
        <v>p.catalogar</v>
      </c>
      <c r="D302" s="6" t="str">
        <f t="shared" si="118"/>
        <v>é.licença.de.uso</v>
      </c>
      <c r="E302" s="8" t="s">
        <v>28</v>
      </c>
      <c r="F302" s="42" t="str">
        <f t="shared" si="121"/>
        <v>d.catalogar</v>
      </c>
      <c r="G302" s="18" t="s">
        <v>561</v>
      </c>
      <c r="H302" s="41" t="s">
        <v>2121</v>
      </c>
      <c r="I302" s="16" t="str">
        <f t="shared" si="130"/>
        <v>null</v>
      </c>
      <c r="J302" s="13" t="s">
        <v>0</v>
      </c>
      <c r="K302" s="13" t="s">
        <v>0</v>
      </c>
      <c r="L302" s="13" t="s">
        <v>0</v>
      </c>
      <c r="M302" s="13" t="s">
        <v>0</v>
      </c>
      <c r="N302" s="15" t="s">
        <v>0</v>
      </c>
      <c r="O302" s="13" t="s">
        <v>0</v>
      </c>
      <c r="P302" s="13" t="s">
        <v>0</v>
      </c>
      <c r="Q302" s="13" t="s">
        <v>0</v>
      </c>
      <c r="R302" s="15" t="s">
        <v>0</v>
      </c>
      <c r="S302" s="10" t="s">
        <v>1</v>
      </c>
      <c r="T302" s="10" t="s">
        <v>32</v>
      </c>
      <c r="U302" s="5" t="str">
        <f t="shared" si="108"/>
        <v>Propriedade destinada a catalogar: é.licença.de.uso</v>
      </c>
      <c r="V302" s="5" t="str">
        <f t="shared" si="109"/>
        <v>Dado para catalogar:  licença.de.uso  Deve ser formatado como (rdfs:Literal  or  xsd:string)</v>
      </c>
      <c r="W302" s="5" t="s">
        <v>6789</v>
      </c>
      <c r="X302" s="24" t="str">
        <f t="shared" si="110"/>
        <v>catal.122</v>
      </c>
      <c r="Y302" s="24" t="str">
        <f t="shared" si="111"/>
        <v>Ação de catalogar</v>
      </c>
      <c r="Z302" s="47" t="s">
        <v>6810</v>
      </c>
      <c r="AA302" s="25" t="str">
        <f t="shared" si="127"/>
        <v>null</v>
      </c>
      <c r="AB302" s="26" t="s">
        <v>0</v>
      </c>
      <c r="AC302" s="25" t="str">
        <f t="shared" si="128"/>
        <v>null</v>
      </c>
      <c r="AD302" s="26" t="s">
        <v>0</v>
      </c>
      <c r="AE302" s="25" t="str">
        <f t="shared" si="126"/>
        <v>null</v>
      </c>
      <c r="AF302" s="26" t="s">
        <v>0</v>
      </c>
      <c r="AG302" s="47" t="s">
        <v>6842</v>
      </c>
    </row>
    <row r="303" spans="1:33" ht="6.9" customHeight="1" x14ac:dyDescent="0.4">
      <c r="A303" s="4">
        <f>ROW()</f>
        <v>303</v>
      </c>
      <c r="B303" s="9" t="s">
        <v>27</v>
      </c>
      <c r="C303" s="55" t="str">
        <f t="shared" si="129"/>
        <v>p.catalogar</v>
      </c>
      <c r="D303" s="6" t="str">
        <f t="shared" si="118"/>
        <v>é.linha</v>
      </c>
      <c r="E303" s="8" t="s">
        <v>28</v>
      </c>
      <c r="F303" s="42" t="str">
        <f t="shared" si="121"/>
        <v>d.catalogar</v>
      </c>
      <c r="G303" s="18" t="s">
        <v>69</v>
      </c>
      <c r="H303" s="41" t="s">
        <v>2121</v>
      </c>
      <c r="I303" s="16" t="str">
        <f t="shared" si="130"/>
        <v>null</v>
      </c>
      <c r="J303" s="13" t="s">
        <v>0</v>
      </c>
      <c r="K303" s="13" t="s">
        <v>0</v>
      </c>
      <c r="L303" s="13" t="s">
        <v>0</v>
      </c>
      <c r="M303" s="13" t="s">
        <v>0</v>
      </c>
      <c r="N303" s="15" t="s">
        <v>0</v>
      </c>
      <c r="O303" s="13" t="s">
        <v>0</v>
      </c>
      <c r="P303" s="13" t="s">
        <v>0</v>
      </c>
      <c r="Q303" s="13" t="s">
        <v>0</v>
      </c>
      <c r="R303" s="15" t="s">
        <v>0</v>
      </c>
      <c r="S303" s="10" t="s">
        <v>1</v>
      </c>
      <c r="T303" s="10" t="s">
        <v>32</v>
      </c>
      <c r="U303" s="5" t="str">
        <f t="shared" si="108"/>
        <v>Propriedade destinada a catalogar: é.linha</v>
      </c>
      <c r="V303" s="5" t="str">
        <f t="shared" si="109"/>
        <v>Dado para catalogar:  linha  Deve ser formatado como (rdfs:Literal  or  xsd:string)</v>
      </c>
      <c r="W303" s="5" t="s">
        <v>6790</v>
      </c>
      <c r="X303" s="24" t="str">
        <f t="shared" si="110"/>
        <v>catal.123</v>
      </c>
      <c r="Y303" s="24" t="str">
        <f t="shared" si="111"/>
        <v>Ação de catalogar</v>
      </c>
      <c r="Z303" s="47" t="s">
        <v>6811</v>
      </c>
      <c r="AA303" s="25" t="str">
        <f t="shared" si="127"/>
        <v>null</v>
      </c>
      <c r="AB303" s="26" t="s">
        <v>0</v>
      </c>
      <c r="AC303" s="25" t="str">
        <f t="shared" si="128"/>
        <v>null</v>
      </c>
      <c r="AD303" s="26" t="s">
        <v>0</v>
      </c>
      <c r="AE303" s="25" t="str">
        <f t="shared" si="126"/>
        <v>null</v>
      </c>
      <c r="AF303" s="26" t="s">
        <v>0</v>
      </c>
      <c r="AG303" s="47" t="s">
        <v>6843</v>
      </c>
    </row>
    <row r="304" spans="1:33" ht="6.9" customHeight="1" x14ac:dyDescent="0.4">
      <c r="A304" s="4">
        <f>ROW()</f>
        <v>304</v>
      </c>
      <c r="B304" s="9" t="s">
        <v>27</v>
      </c>
      <c r="C304" s="55" t="str">
        <f t="shared" si="129"/>
        <v>p.catalogar</v>
      </c>
      <c r="D304" s="6" t="str">
        <f t="shared" si="118"/>
        <v>é.marca</v>
      </c>
      <c r="E304" s="8" t="s">
        <v>28</v>
      </c>
      <c r="F304" s="42" t="str">
        <f t="shared" si="121"/>
        <v>d.catalogar</v>
      </c>
      <c r="G304" s="18" t="s">
        <v>64</v>
      </c>
      <c r="H304" s="41" t="s">
        <v>2121</v>
      </c>
      <c r="I304" s="16" t="str">
        <f t="shared" si="130"/>
        <v>null</v>
      </c>
      <c r="J304" s="13" t="s">
        <v>0</v>
      </c>
      <c r="K304" s="13" t="s">
        <v>0</v>
      </c>
      <c r="L304" s="13" t="s">
        <v>0</v>
      </c>
      <c r="M304" s="13" t="s">
        <v>0</v>
      </c>
      <c r="N304" s="15" t="s">
        <v>0</v>
      </c>
      <c r="O304" s="13" t="s">
        <v>0</v>
      </c>
      <c r="P304" s="13" t="s">
        <v>0</v>
      </c>
      <c r="Q304" s="13" t="s">
        <v>0</v>
      </c>
      <c r="R304" s="15" t="s">
        <v>0</v>
      </c>
      <c r="S304" s="10" t="s">
        <v>1</v>
      </c>
      <c r="T304" s="10" t="s">
        <v>32</v>
      </c>
      <c r="U304" s="5" t="str">
        <f t="shared" si="108"/>
        <v>Propriedade destinada a catalogar: é.marca</v>
      </c>
      <c r="V304" s="5" t="str">
        <f t="shared" si="109"/>
        <v>Dado para catalogar:  marca  Deve ser formatado como (rdfs:Literal  or  xsd:string)</v>
      </c>
      <c r="W304" s="5" t="s">
        <v>6791</v>
      </c>
      <c r="X304" s="24" t="str">
        <f t="shared" si="110"/>
        <v>catal.124</v>
      </c>
      <c r="Y304" s="24" t="str">
        <f t="shared" si="111"/>
        <v>Ação de catalogar</v>
      </c>
      <c r="Z304" s="47" t="s">
        <v>6812</v>
      </c>
      <c r="AA304" s="25" t="str">
        <f t="shared" si="127"/>
        <v>null</v>
      </c>
      <c r="AB304" s="26" t="s">
        <v>0</v>
      </c>
      <c r="AC304" s="25" t="str">
        <f t="shared" si="128"/>
        <v>null</v>
      </c>
      <c r="AD304" s="26" t="s">
        <v>0</v>
      </c>
      <c r="AE304" s="25" t="str">
        <f t="shared" si="126"/>
        <v>propriedade</v>
      </c>
      <c r="AF304" s="26" t="s">
        <v>2423</v>
      </c>
      <c r="AG304" s="47" t="s">
        <v>6844</v>
      </c>
    </row>
    <row r="305" spans="1:33" ht="6.9" customHeight="1" x14ac:dyDescent="0.4">
      <c r="A305" s="4">
        <f>ROW()</f>
        <v>305</v>
      </c>
      <c r="B305" s="9" t="s">
        <v>27</v>
      </c>
      <c r="C305" s="55" t="str">
        <f t="shared" si="129"/>
        <v>p.catalogar</v>
      </c>
      <c r="D305" s="6" t="str">
        <f t="shared" si="118"/>
        <v>é.modelo</v>
      </c>
      <c r="E305" s="8" t="s">
        <v>28</v>
      </c>
      <c r="F305" s="42" t="str">
        <f t="shared" si="121"/>
        <v>d.catalogar</v>
      </c>
      <c r="G305" s="18" t="s">
        <v>66</v>
      </c>
      <c r="H305" s="41" t="s">
        <v>2121</v>
      </c>
      <c r="I305" s="16" t="str">
        <f t="shared" si="130"/>
        <v>null</v>
      </c>
      <c r="J305" s="13" t="s">
        <v>0</v>
      </c>
      <c r="K305" s="13" t="s">
        <v>0</v>
      </c>
      <c r="L305" s="13" t="s">
        <v>0</v>
      </c>
      <c r="M305" s="13" t="s">
        <v>0</v>
      </c>
      <c r="N305" s="15" t="s">
        <v>0</v>
      </c>
      <c r="O305" s="13" t="s">
        <v>0</v>
      </c>
      <c r="P305" s="13" t="s">
        <v>0</v>
      </c>
      <c r="Q305" s="13" t="s">
        <v>0</v>
      </c>
      <c r="R305" s="15" t="s">
        <v>0</v>
      </c>
      <c r="S305" s="10" t="s">
        <v>1</v>
      </c>
      <c r="T305" s="10" t="s">
        <v>32</v>
      </c>
      <c r="U305" s="5" t="str">
        <f t="shared" si="108"/>
        <v>Propriedade destinada a catalogar: é.modelo</v>
      </c>
      <c r="V305" s="5" t="str">
        <f t="shared" si="109"/>
        <v>Dado para catalogar:  modelo  Deve ser formatado como (rdfs:Literal  or  xsd:string)</v>
      </c>
      <c r="W305" s="5" t="s">
        <v>6788</v>
      </c>
      <c r="X305" s="24" t="str">
        <f t="shared" si="110"/>
        <v>catal.125</v>
      </c>
      <c r="Y305" s="24" t="str">
        <f t="shared" si="111"/>
        <v>Ação de catalogar</v>
      </c>
      <c r="Z305" s="47" t="s">
        <v>6813</v>
      </c>
      <c r="AA305" s="25" t="str">
        <f t="shared" si="127"/>
        <v>null</v>
      </c>
      <c r="AB305" s="26" t="s">
        <v>0</v>
      </c>
      <c r="AC305" s="25" t="str">
        <f t="shared" si="128"/>
        <v>null</v>
      </c>
      <c r="AD305" s="26" t="s">
        <v>0</v>
      </c>
      <c r="AE305" s="25" t="str">
        <f t="shared" si="126"/>
        <v>null</v>
      </c>
      <c r="AF305" s="26" t="s">
        <v>0</v>
      </c>
      <c r="AG305" s="47" t="s">
        <v>6845</v>
      </c>
    </row>
    <row r="306" spans="1:33" ht="6.9" customHeight="1" x14ac:dyDescent="0.4">
      <c r="A306" s="4">
        <f>ROW()</f>
        <v>306</v>
      </c>
      <c r="B306" s="9" t="s">
        <v>27</v>
      </c>
      <c r="C306" s="55" t="str">
        <f t="shared" si="129"/>
        <v>p.catalogar</v>
      </c>
      <c r="D306" s="6" t="str">
        <f t="shared" si="118"/>
        <v>é.norma.aplicável</v>
      </c>
      <c r="E306" s="8" t="s">
        <v>28</v>
      </c>
      <c r="F306" s="42" t="str">
        <f t="shared" si="121"/>
        <v>d.catalogar</v>
      </c>
      <c r="G306" s="18" t="s">
        <v>562</v>
      </c>
      <c r="H306" s="41" t="s">
        <v>2121</v>
      </c>
      <c r="I306" s="16" t="str">
        <f t="shared" si="130"/>
        <v>null</v>
      </c>
      <c r="J306" s="13" t="s">
        <v>0</v>
      </c>
      <c r="K306" s="13" t="s">
        <v>0</v>
      </c>
      <c r="L306" s="13" t="s">
        <v>0</v>
      </c>
      <c r="M306" s="13" t="s">
        <v>0</v>
      </c>
      <c r="N306" s="15" t="s">
        <v>0</v>
      </c>
      <c r="O306" s="13" t="s">
        <v>0</v>
      </c>
      <c r="P306" s="13" t="s">
        <v>0</v>
      </c>
      <c r="Q306" s="13" t="s">
        <v>0</v>
      </c>
      <c r="R306" s="15" t="s">
        <v>0</v>
      </c>
      <c r="S306" s="10" t="s">
        <v>1</v>
      </c>
      <c r="T306" s="10" t="s">
        <v>32</v>
      </c>
      <c r="U306" s="5" t="str">
        <f t="shared" si="108"/>
        <v>Propriedade destinada a catalogar: é.norma.aplicável</v>
      </c>
      <c r="V306" s="5" t="str">
        <f t="shared" si="109"/>
        <v>Dado para catalogar:  norma.aplicável  Deve ser formatado como (rdfs:Literal  or  xsd:string)</v>
      </c>
      <c r="W306" s="5" t="s">
        <v>6787</v>
      </c>
      <c r="X306" s="24" t="str">
        <f t="shared" si="110"/>
        <v>catal.126</v>
      </c>
      <c r="Y306" s="24" t="str">
        <f t="shared" si="111"/>
        <v>Ação de catalogar</v>
      </c>
      <c r="Z306" s="47" t="s">
        <v>6814</v>
      </c>
      <c r="AA306" s="25" t="str">
        <f t="shared" si="127"/>
        <v>null</v>
      </c>
      <c r="AB306" s="26" t="s">
        <v>0</v>
      </c>
      <c r="AC306" s="25" t="str">
        <f t="shared" si="128"/>
        <v>null</v>
      </c>
      <c r="AD306" s="26" t="s">
        <v>0</v>
      </c>
      <c r="AE306" s="25" t="str">
        <f t="shared" si="126"/>
        <v>null</v>
      </c>
      <c r="AF306" s="26" t="s">
        <v>0</v>
      </c>
      <c r="AG306" s="47" t="s">
        <v>6824</v>
      </c>
    </row>
    <row r="307" spans="1:33" ht="6.9" customHeight="1" x14ac:dyDescent="0.4">
      <c r="A307" s="4">
        <f>ROW()</f>
        <v>307</v>
      </c>
      <c r="B307" s="9" t="s">
        <v>27</v>
      </c>
      <c r="C307" s="55" t="str">
        <f t="shared" si="129"/>
        <v>p.catalogar</v>
      </c>
      <c r="D307" s="6" t="str">
        <f t="shared" si="118"/>
        <v>é.observação</v>
      </c>
      <c r="E307" s="8" t="s">
        <v>28</v>
      </c>
      <c r="F307" s="42" t="str">
        <f t="shared" si="121"/>
        <v>d.catalogar</v>
      </c>
      <c r="G307" s="18" t="s">
        <v>263</v>
      </c>
      <c r="H307" s="41" t="s">
        <v>2121</v>
      </c>
      <c r="I307" s="16" t="str">
        <f t="shared" si="130"/>
        <v>null</v>
      </c>
      <c r="J307" s="13" t="s">
        <v>0</v>
      </c>
      <c r="K307" s="13" t="s">
        <v>0</v>
      </c>
      <c r="L307" s="13" t="s">
        <v>0</v>
      </c>
      <c r="M307" s="13" t="s">
        <v>0</v>
      </c>
      <c r="N307" s="15" t="s">
        <v>0</v>
      </c>
      <c r="O307" s="13" t="s">
        <v>0</v>
      </c>
      <c r="P307" s="13" t="s">
        <v>0</v>
      </c>
      <c r="Q307" s="13" t="s">
        <v>0</v>
      </c>
      <c r="R307" s="15" t="s">
        <v>0</v>
      </c>
      <c r="S307" s="10" t="s">
        <v>1</v>
      </c>
      <c r="T307" s="10" t="s">
        <v>32</v>
      </c>
      <c r="U307" s="5" t="str">
        <f t="shared" si="108"/>
        <v>Propriedade destinada a catalogar: é.observação</v>
      </c>
      <c r="V307" s="5" t="str">
        <f t="shared" si="109"/>
        <v>Dado para catalogar:  observação  Deve ser formatado como (rdfs:Literal  or  xsd:string)</v>
      </c>
      <c r="W307" s="5" t="s">
        <v>6792</v>
      </c>
      <c r="X307" s="24" t="str">
        <f t="shared" si="110"/>
        <v>catal.127</v>
      </c>
      <c r="Y307" s="24" t="str">
        <f t="shared" si="111"/>
        <v>Ação de catalogar</v>
      </c>
      <c r="Z307" s="47" t="s">
        <v>6815</v>
      </c>
      <c r="AA307" s="25" t="str">
        <f t="shared" si="127"/>
        <v>null</v>
      </c>
      <c r="AB307" s="26" t="s">
        <v>0</v>
      </c>
      <c r="AC307" s="25" t="str">
        <f t="shared" si="128"/>
        <v>null</v>
      </c>
      <c r="AD307" s="26" t="s">
        <v>0</v>
      </c>
      <c r="AE307" s="25" t="str">
        <f t="shared" si="126"/>
        <v>null</v>
      </c>
      <c r="AF307" s="26" t="s">
        <v>0</v>
      </c>
      <c r="AG307" s="47" t="s">
        <v>6846</v>
      </c>
    </row>
    <row r="308" spans="1:33" ht="6.9" customHeight="1" x14ac:dyDescent="0.4">
      <c r="A308" s="4">
        <f>ROW()</f>
        <v>308</v>
      </c>
      <c r="B308" s="9" t="s">
        <v>27</v>
      </c>
      <c r="C308" s="55" t="str">
        <f t="shared" si="129"/>
        <v>p.catalogar</v>
      </c>
      <c r="D308" s="6" t="str">
        <f t="shared" si="118"/>
        <v>é.origem.inventarial</v>
      </c>
      <c r="E308" s="8" t="s">
        <v>28</v>
      </c>
      <c r="F308" s="42" t="str">
        <f t="shared" si="121"/>
        <v>d.catalogar</v>
      </c>
      <c r="G308" s="18" t="s">
        <v>563</v>
      </c>
      <c r="H308" s="41" t="s">
        <v>2121</v>
      </c>
      <c r="I308" s="16" t="str">
        <f t="shared" si="130"/>
        <v>null</v>
      </c>
      <c r="J308" s="13" t="s">
        <v>0</v>
      </c>
      <c r="K308" s="13" t="s">
        <v>0</v>
      </c>
      <c r="L308" s="13" t="s">
        <v>0</v>
      </c>
      <c r="M308" s="13" t="s">
        <v>0</v>
      </c>
      <c r="N308" s="15" t="s">
        <v>0</v>
      </c>
      <c r="O308" s="13" t="s">
        <v>0</v>
      </c>
      <c r="P308" s="13" t="s">
        <v>0</v>
      </c>
      <c r="Q308" s="13" t="s">
        <v>0</v>
      </c>
      <c r="R308" s="15" t="s">
        <v>0</v>
      </c>
      <c r="S308" s="10" t="s">
        <v>1</v>
      </c>
      <c r="T308" s="10" t="s">
        <v>32</v>
      </c>
      <c r="U308" s="5" t="str">
        <f t="shared" si="108"/>
        <v>Propriedade destinada a catalogar: é.origem.inventarial</v>
      </c>
      <c r="V308" s="5" t="str">
        <f t="shared" si="109"/>
        <v>Dado para catalogar:  origem.inventarial  Deve ser formatado como (rdfs:Literal  or  xsd:string)</v>
      </c>
      <c r="W308" s="5" t="s">
        <v>6786</v>
      </c>
      <c r="X308" s="24" t="str">
        <f t="shared" si="110"/>
        <v>catal.128</v>
      </c>
      <c r="Y308" s="24" t="str">
        <f t="shared" si="111"/>
        <v>Ação de catalogar</v>
      </c>
      <c r="Z308" s="47" t="s">
        <v>6816</v>
      </c>
      <c r="AA308" s="25" t="str">
        <f t="shared" si="127"/>
        <v>null</v>
      </c>
      <c r="AB308" s="26" t="s">
        <v>0</v>
      </c>
      <c r="AC308" s="25" t="str">
        <f t="shared" si="128"/>
        <v>null</v>
      </c>
      <c r="AD308" s="26" t="s">
        <v>0</v>
      </c>
      <c r="AE308" s="25" t="str">
        <f t="shared" si="126"/>
        <v>null</v>
      </c>
      <c r="AF308" s="26" t="s">
        <v>0</v>
      </c>
      <c r="AG308" s="47" t="s">
        <v>6847</v>
      </c>
    </row>
    <row r="309" spans="1:33" ht="6.9" customHeight="1" x14ac:dyDescent="0.4">
      <c r="A309" s="4">
        <f>ROW()</f>
        <v>309</v>
      </c>
      <c r="B309" s="9" t="s">
        <v>27</v>
      </c>
      <c r="C309" s="55" t="str">
        <f t="shared" si="129"/>
        <v>p.catalogar</v>
      </c>
      <c r="D309" s="6" t="str">
        <f t="shared" si="118"/>
        <v>é.palavra.chave</v>
      </c>
      <c r="E309" s="8" t="s">
        <v>28</v>
      </c>
      <c r="F309" s="42" t="str">
        <f t="shared" si="121"/>
        <v>d.catalogar</v>
      </c>
      <c r="G309" s="18" t="s">
        <v>564</v>
      </c>
      <c r="H309" s="41" t="s">
        <v>2121</v>
      </c>
      <c r="I309" s="16" t="str">
        <f t="shared" si="130"/>
        <v>null</v>
      </c>
      <c r="J309" s="13" t="s">
        <v>0</v>
      </c>
      <c r="K309" s="13" t="s">
        <v>0</v>
      </c>
      <c r="L309" s="13" t="s">
        <v>0</v>
      </c>
      <c r="M309" s="13" t="s">
        <v>0</v>
      </c>
      <c r="N309" s="15" t="s">
        <v>0</v>
      </c>
      <c r="O309" s="13" t="s">
        <v>0</v>
      </c>
      <c r="P309" s="13" t="s">
        <v>0</v>
      </c>
      <c r="Q309" s="13" t="s">
        <v>0</v>
      </c>
      <c r="R309" s="15" t="s">
        <v>0</v>
      </c>
      <c r="S309" s="10" t="s">
        <v>1</v>
      </c>
      <c r="T309" s="10" t="s">
        <v>32</v>
      </c>
      <c r="U309" s="5" t="str">
        <f t="shared" si="108"/>
        <v>Propriedade destinada a catalogar: é.palavra.chave</v>
      </c>
      <c r="V309" s="5" t="str">
        <f t="shared" si="109"/>
        <v>Dado para catalogar:  palavra.chave  Deve ser formatado como (rdfs:Literal  or  xsd:string)</v>
      </c>
      <c r="W309" s="5" t="s">
        <v>6785</v>
      </c>
      <c r="X309" s="24" t="str">
        <f t="shared" si="110"/>
        <v>catal.129</v>
      </c>
      <c r="Y309" s="24" t="str">
        <f t="shared" si="111"/>
        <v>Ação de catalogar</v>
      </c>
      <c r="Z309" s="47" t="s">
        <v>6817</v>
      </c>
      <c r="AA309" s="25" t="str">
        <f t="shared" si="127"/>
        <v>null</v>
      </c>
      <c r="AB309" s="26" t="s">
        <v>0</v>
      </c>
      <c r="AC309" s="25" t="str">
        <f t="shared" si="128"/>
        <v>null</v>
      </c>
      <c r="AD309" s="26" t="s">
        <v>0</v>
      </c>
      <c r="AE309" s="25" t="str">
        <f t="shared" si="126"/>
        <v>null</v>
      </c>
      <c r="AF309" s="26" t="s">
        <v>0</v>
      </c>
      <c r="AG309" s="47" t="s">
        <v>6848</v>
      </c>
    </row>
    <row r="310" spans="1:33" ht="6.9" customHeight="1" x14ac:dyDescent="0.4">
      <c r="A310" s="4">
        <f>ROW()</f>
        <v>310</v>
      </c>
      <c r="B310" s="9" t="s">
        <v>27</v>
      </c>
      <c r="C310" s="55" t="str">
        <f t="shared" si="129"/>
        <v>p.catalogar</v>
      </c>
      <c r="D310" s="6" t="str">
        <f t="shared" si="118"/>
        <v>é.produto</v>
      </c>
      <c r="E310" s="8" t="s">
        <v>28</v>
      </c>
      <c r="F310" s="42" t="str">
        <f t="shared" si="121"/>
        <v>d.catalogar</v>
      </c>
      <c r="G310" s="18" t="s">
        <v>223</v>
      </c>
      <c r="H310" s="41" t="s">
        <v>2121</v>
      </c>
      <c r="I310" s="16" t="str">
        <f t="shared" si="130"/>
        <v>null</v>
      </c>
      <c r="J310" s="13" t="s">
        <v>0</v>
      </c>
      <c r="K310" s="13" t="s">
        <v>0</v>
      </c>
      <c r="L310" s="13" t="s">
        <v>0</v>
      </c>
      <c r="M310" s="13" t="s">
        <v>0</v>
      </c>
      <c r="N310" s="15" t="s">
        <v>0</v>
      </c>
      <c r="O310" s="13" t="s">
        <v>0</v>
      </c>
      <c r="P310" s="13" t="s">
        <v>0</v>
      </c>
      <c r="Q310" s="13" t="s">
        <v>0</v>
      </c>
      <c r="R310" s="15" t="s">
        <v>0</v>
      </c>
      <c r="S310" s="10" t="s">
        <v>1</v>
      </c>
      <c r="T310" s="10" t="s">
        <v>32</v>
      </c>
      <c r="U310" s="5" t="str">
        <f t="shared" si="108"/>
        <v>Propriedade destinada a catalogar: é.produto</v>
      </c>
      <c r="V310" s="5" t="str">
        <f t="shared" si="109"/>
        <v>Dado para catalogar:  produto  Deve ser formatado como (rdfs:Literal  or  xsd:string)</v>
      </c>
      <c r="W310" s="5" t="s">
        <v>6784</v>
      </c>
      <c r="X310" s="24" t="str">
        <f t="shared" si="110"/>
        <v>catal.130</v>
      </c>
      <c r="Y310" s="24" t="str">
        <f t="shared" si="111"/>
        <v>Ação de catalogar</v>
      </c>
      <c r="Z310" s="47" t="s">
        <v>6818</v>
      </c>
      <c r="AA310" s="25" t="str">
        <f t="shared" si="127"/>
        <v>null</v>
      </c>
      <c r="AB310" s="26" t="s">
        <v>0</v>
      </c>
      <c r="AC310" s="25" t="str">
        <f t="shared" si="128"/>
        <v>null</v>
      </c>
      <c r="AD310" s="26" t="s">
        <v>0</v>
      </c>
      <c r="AE310" s="25" t="str">
        <f t="shared" si="126"/>
        <v>propriedade</v>
      </c>
      <c r="AF310" s="26" t="s">
        <v>2424</v>
      </c>
      <c r="AG310" s="47" t="s">
        <v>6849</v>
      </c>
    </row>
    <row r="311" spans="1:33" ht="6.9" customHeight="1" x14ac:dyDescent="0.4">
      <c r="A311" s="4">
        <f>ROW()</f>
        <v>311</v>
      </c>
      <c r="B311" s="9" t="s">
        <v>27</v>
      </c>
      <c r="C311" s="55" t="str">
        <f t="shared" si="129"/>
        <v>p.catalogar</v>
      </c>
      <c r="D311" s="6" t="str">
        <f t="shared" si="118"/>
        <v>é.realizada.com</v>
      </c>
      <c r="E311" s="8" t="s">
        <v>28</v>
      </c>
      <c r="F311" s="42" t="str">
        <f>F308</f>
        <v>d.catalogar</v>
      </c>
      <c r="G311" s="18" t="s">
        <v>6759</v>
      </c>
      <c r="H311" s="42" t="s">
        <v>2121</v>
      </c>
      <c r="I311" s="16" t="str">
        <f t="shared" si="130"/>
        <v>null</v>
      </c>
      <c r="J311" s="13" t="s">
        <v>0</v>
      </c>
      <c r="K311" s="13" t="s">
        <v>0</v>
      </c>
      <c r="L311" s="15" t="s">
        <v>0</v>
      </c>
      <c r="M311" s="13" t="s">
        <v>0</v>
      </c>
      <c r="N311" s="15" t="s">
        <v>0</v>
      </c>
      <c r="O311" s="13" t="s">
        <v>0</v>
      </c>
      <c r="P311" s="13" t="s">
        <v>0</v>
      </c>
      <c r="Q311" s="13" t="s">
        <v>0</v>
      </c>
      <c r="R311" s="15" t="s">
        <v>6761</v>
      </c>
      <c r="S311" s="10" t="s">
        <v>1</v>
      </c>
      <c r="T311" s="10" t="s">
        <v>32</v>
      </c>
      <c r="U311" s="5" t="str">
        <f t="shared" si="108"/>
        <v>Propriedade destinada a catalogar: é.realizada.com</v>
      </c>
      <c r="V311" s="5" t="str">
        <f t="shared" si="109"/>
        <v>Dado para catalogar:  realizada.com  Deve ser formatado como (rdfs:Literal  or  xsd:string)</v>
      </c>
      <c r="W311" s="5" t="s">
        <v>6762</v>
      </c>
      <c r="X311" s="24" t="str">
        <f t="shared" si="110"/>
        <v>catal.131</v>
      </c>
      <c r="Y311" s="24" t="str">
        <f t="shared" si="111"/>
        <v>Ação de catalogar</v>
      </c>
      <c r="Z311" s="47" t="s">
        <v>6763</v>
      </c>
      <c r="AA311" s="25" t="str">
        <f t="shared" si="127"/>
        <v>null</v>
      </c>
      <c r="AB311" s="26" t="s">
        <v>0</v>
      </c>
      <c r="AC311" s="25" t="str">
        <f t="shared" si="128"/>
        <v>null</v>
      </c>
      <c r="AD311" s="26" t="s">
        <v>0</v>
      </c>
      <c r="AE311" s="25" t="str">
        <f t="shared" si="126"/>
        <v>null</v>
      </c>
      <c r="AF311" s="26" t="s">
        <v>0</v>
      </c>
      <c r="AG311" s="47" t="s">
        <v>6764</v>
      </c>
    </row>
    <row r="312" spans="1:33" ht="6.9" customHeight="1" x14ac:dyDescent="0.4">
      <c r="A312" s="4">
        <f>ROW()</f>
        <v>312</v>
      </c>
      <c r="B312" s="9" t="s">
        <v>27</v>
      </c>
      <c r="C312" s="55" t="str">
        <f t="shared" ref="C312" si="131">SUBSTITUTE(F312,"d.","p.")</f>
        <v>p.catalogar</v>
      </c>
      <c r="D312" s="6" t="str">
        <f t="shared" si="118"/>
        <v>é.realizado.com</v>
      </c>
      <c r="E312" s="8" t="s">
        <v>28</v>
      </c>
      <c r="F312" s="42" t="str">
        <f>F309</f>
        <v>d.catalogar</v>
      </c>
      <c r="G312" s="18" t="s">
        <v>6758</v>
      </c>
      <c r="H312" s="42" t="s">
        <v>2121</v>
      </c>
      <c r="I312" s="16" t="str">
        <f t="shared" ref="I312" si="132">J312</f>
        <v>null</v>
      </c>
      <c r="J312" s="13" t="s">
        <v>0</v>
      </c>
      <c r="K312" s="13" t="s">
        <v>0</v>
      </c>
      <c r="L312" s="15" t="s">
        <v>0</v>
      </c>
      <c r="M312" s="13" t="s">
        <v>0</v>
      </c>
      <c r="N312" s="15" t="s">
        <v>0</v>
      </c>
      <c r="O312" s="13" t="s">
        <v>0</v>
      </c>
      <c r="P312" s="13" t="s">
        <v>0</v>
      </c>
      <c r="Q312" s="13" t="s">
        <v>0</v>
      </c>
      <c r="R312" s="15" t="s">
        <v>6760</v>
      </c>
      <c r="S312" s="10" t="s">
        <v>1</v>
      </c>
      <c r="T312" s="10" t="s">
        <v>32</v>
      </c>
      <c r="U312" s="5" t="str">
        <f t="shared" si="108"/>
        <v>Propriedade destinada a catalogar: é.realizado.com</v>
      </c>
      <c r="V312" s="5" t="str">
        <f t="shared" si="109"/>
        <v>Dado para catalogar:  realizado.com  Deve ser formatado como (rdfs:Literal  or  xsd:string)</v>
      </c>
      <c r="W312" s="5" t="s">
        <v>6762</v>
      </c>
      <c r="X312" s="24" t="str">
        <f t="shared" si="110"/>
        <v>catal.132</v>
      </c>
      <c r="Y312" s="24" t="str">
        <f t="shared" si="111"/>
        <v>Ação de catalogar</v>
      </c>
      <c r="Z312" s="47" t="s">
        <v>6763</v>
      </c>
      <c r="AA312" s="25" t="str">
        <f t="shared" ref="AA312" si="133">IF(AB312="null", "null", "categoria.revit")</f>
        <v>null</v>
      </c>
      <c r="AB312" s="26" t="s">
        <v>0</v>
      </c>
      <c r="AC312" s="25" t="str">
        <f t="shared" ref="AC312" si="134">IF(AD312="null", "null", "classe.ifc")</f>
        <v>null</v>
      </c>
      <c r="AD312" s="26" t="s">
        <v>0</v>
      </c>
      <c r="AE312" s="25" t="str">
        <f t="shared" si="126"/>
        <v>null</v>
      </c>
      <c r="AF312" s="26" t="s">
        <v>0</v>
      </c>
      <c r="AG312" s="47" t="s">
        <v>6764</v>
      </c>
    </row>
    <row r="313" spans="1:33" ht="6.9" customHeight="1" x14ac:dyDescent="0.4">
      <c r="A313" s="4">
        <f>ROW()</f>
        <v>313</v>
      </c>
      <c r="B313" s="9" t="s">
        <v>27</v>
      </c>
      <c r="C313" s="55" t="str">
        <f t="shared" si="129"/>
        <v>p.catalogar</v>
      </c>
      <c r="D313" s="6" t="str">
        <f t="shared" si="118"/>
        <v>é.rótulo.de.atributo</v>
      </c>
      <c r="E313" s="8" t="s">
        <v>28</v>
      </c>
      <c r="F313" s="42" t="str">
        <f>F310</f>
        <v>d.catalogar</v>
      </c>
      <c r="G313" s="18" t="s">
        <v>565</v>
      </c>
      <c r="H313" s="42" t="s">
        <v>2121</v>
      </c>
      <c r="I313" s="16" t="str">
        <f t="shared" si="130"/>
        <v>null</v>
      </c>
      <c r="J313" s="13" t="s">
        <v>0</v>
      </c>
      <c r="K313" s="13" t="s">
        <v>0</v>
      </c>
      <c r="L313" s="15" t="s">
        <v>0</v>
      </c>
      <c r="M313" s="13" t="s">
        <v>0</v>
      </c>
      <c r="N313" s="15" t="s">
        <v>0</v>
      </c>
      <c r="O313" s="13" t="s">
        <v>0</v>
      </c>
      <c r="P313" s="13" t="s">
        <v>0</v>
      </c>
      <c r="Q313" s="13" t="s">
        <v>0</v>
      </c>
      <c r="R313" s="15" t="s">
        <v>0</v>
      </c>
      <c r="S313" s="10" t="s">
        <v>1</v>
      </c>
      <c r="T313" s="10" t="s">
        <v>32</v>
      </c>
      <c r="U313" s="5" t="str">
        <f t="shared" si="108"/>
        <v>Propriedade destinada a catalogar: é.rótulo.de.atributo</v>
      </c>
      <c r="V313" s="5" t="str">
        <f t="shared" si="109"/>
        <v>Dado para catalogar:  rótulo.de.atributo  Deve ser formatado como (rdfs:Literal  or  xsd:string)</v>
      </c>
      <c r="W313" s="5" t="s">
        <v>5255</v>
      </c>
      <c r="X313" s="24" t="str">
        <f t="shared" si="110"/>
        <v>catal.133</v>
      </c>
      <c r="Y313" s="24" t="str">
        <f t="shared" si="111"/>
        <v>Ação de catalogar</v>
      </c>
      <c r="Z313" s="47" t="s">
        <v>1322</v>
      </c>
      <c r="AA313" s="25" t="str">
        <f t="shared" si="127"/>
        <v>null</v>
      </c>
      <c r="AB313" s="26" t="s">
        <v>0</v>
      </c>
      <c r="AC313" s="25" t="str">
        <f t="shared" si="128"/>
        <v>null</v>
      </c>
      <c r="AD313" s="26" t="s">
        <v>0</v>
      </c>
      <c r="AE313" s="25" t="str">
        <f t="shared" si="126"/>
        <v>null</v>
      </c>
      <c r="AF313" s="26" t="s">
        <v>0</v>
      </c>
      <c r="AG313" s="47" t="s">
        <v>2676</v>
      </c>
    </row>
    <row r="314" spans="1:33" ht="6.9" customHeight="1" x14ac:dyDescent="0.4">
      <c r="A314" s="4">
        <f>ROW()</f>
        <v>314</v>
      </c>
      <c r="B314" s="9" t="s">
        <v>27</v>
      </c>
      <c r="C314" s="55" t="str">
        <f t="shared" si="129"/>
        <v>p.catalogar</v>
      </c>
      <c r="D314" s="6" t="str">
        <f t="shared" si="118"/>
        <v>é.série</v>
      </c>
      <c r="E314" s="8" t="s">
        <v>28</v>
      </c>
      <c r="F314" s="42" t="str">
        <f t="shared" si="121"/>
        <v>d.catalogar</v>
      </c>
      <c r="G314" s="18" t="s">
        <v>68</v>
      </c>
      <c r="H314" s="41" t="s">
        <v>2121</v>
      </c>
      <c r="I314" s="16" t="str">
        <f t="shared" si="130"/>
        <v>null</v>
      </c>
      <c r="J314" s="13" t="s">
        <v>0</v>
      </c>
      <c r="K314" s="13" t="s">
        <v>0</v>
      </c>
      <c r="L314" s="13" t="s">
        <v>0</v>
      </c>
      <c r="M314" s="13" t="s">
        <v>0</v>
      </c>
      <c r="N314" s="15" t="s">
        <v>0</v>
      </c>
      <c r="O314" s="13" t="s">
        <v>0</v>
      </c>
      <c r="P314" s="13" t="s">
        <v>0</v>
      </c>
      <c r="Q314" s="13" t="s">
        <v>0</v>
      </c>
      <c r="R314" s="15" t="s">
        <v>0</v>
      </c>
      <c r="S314" s="10" t="s">
        <v>1</v>
      </c>
      <c r="T314" s="10" t="s">
        <v>32</v>
      </c>
      <c r="U314" s="5" t="str">
        <f t="shared" si="108"/>
        <v>Propriedade destinada a catalogar: é.série</v>
      </c>
      <c r="V314" s="5" t="str">
        <f t="shared" si="109"/>
        <v>Dado para catalogar:  série  Deve ser formatado como (rdfs:Literal  or  xsd:string)</v>
      </c>
      <c r="W314" s="5" t="s">
        <v>7060</v>
      </c>
      <c r="X314" s="24" t="str">
        <f t="shared" si="110"/>
        <v>catal.134</v>
      </c>
      <c r="Y314" s="24" t="str">
        <f t="shared" si="111"/>
        <v>Ação de catalogar</v>
      </c>
      <c r="Z314" s="47" t="s">
        <v>6822</v>
      </c>
      <c r="AA314" s="25" t="str">
        <f t="shared" si="127"/>
        <v>null</v>
      </c>
      <c r="AB314" s="26" t="s">
        <v>0</v>
      </c>
      <c r="AC314" s="25" t="str">
        <f t="shared" si="128"/>
        <v>null</v>
      </c>
      <c r="AD314" s="26" t="s">
        <v>0</v>
      </c>
      <c r="AE314" s="25" t="str">
        <f t="shared" si="126"/>
        <v>null</v>
      </c>
      <c r="AF314" s="26" t="s">
        <v>0</v>
      </c>
      <c r="AG314" s="47" t="s">
        <v>6850</v>
      </c>
    </row>
    <row r="315" spans="1:33" ht="6.9" customHeight="1" x14ac:dyDescent="0.4">
      <c r="A315" s="4">
        <f>ROW()</f>
        <v>315</v>
      </c>
      <c r="B315" s="9" t="s">
        <v>27</v>
      </c>
      <c r="C315" s="55" t="str">
        <f t="shared" si="129"/>
        <v>p.catalogar</v>
      </c>
      <c r="D315" s="6" t="str">
        <f t="shared" si="118"/>
        <v>é.significado</v>
      </c>
      <c r="E315" s="8" t="s">
        <v>28</v>
      </c>
      <c r="F315" s="42" t="str">
        <f t="shared" si="121"/>
        <v>d.catalogar</v>
      </c>
      <c r="G315" s="18" t="s">
        <v>2263</v>
      </c>
      <c r="H315" s="41" t="s">
        <v>2121</v>
      </c>
      <c r="I315" s="16" t="str">
        <f t="shared" si="130"/>
        <v>null</v>
      </c>
      <c r="J315" s="13" t="s">
        <v>0</v>
      </c>
      <c r="K315" s="13" t="s">
        <v>0</v>
      </c>
      <c r="L315" s="13" t="s">
        <v>0</v>
      </c>
      <c r="M315" s="13" t="s">
        <v>0</v>
      </c>
      <c r="N315" s="15" t="s">
        <v>0</v>
      </c>
      <c r="O315" s="13" t="s">
        <v>0</v>
      </c>
      <c r="P315" s="13" t="s">
        <v>0</v>
      </c>
      <c r="Q315" s="13" t="s">
        <v>0</v>
      </c>
      <c r="R315" s="15" t="s">
        <v>0</v>
      </c>
      <c r="S315" s="10" t="s">
        <v>1</v>
      </c>
      <c r="T315" s="10" t="s">
        <v>32</v>
      </c>
      <c r="U315" s="5" t="str">
        <f t="shared" si="108"/>
        <v>Propriedade destinada a catalogar: é.significado</v>
      </c>
      <c r="V315" s="5" t="str">
        <f t="shared" si="109"/>
        <v>Dado para catalogar:  significado  Deve ser formatado como (rdfs:Literal  or  xsd:string)</v>
      </c>
      <c r="W315" s="5" t="s">
        <v>7061</v>
      </c>
      <c r="X315" s="24" t="str">
        <f t="shared" si="110"/>
        <v>catal.135</v>
      </c>
      <c r="Y315" s="24" t="str">
        <f t="shared" si="111"/>
        <v>Ação de catalogar</v>
      </c>
      <c r="Z315" s="47" t="s">
        <v>6823</v>
      </c>
      <c r="AA315" s="25" t="str">
        <f t="shared" si="127"/>
        <v>null</v>
      </c>
      <c r="AB315" s="26" t="s">
        <v>0</v>
      </c>
      <c r="AC315" s="25" t="str">
        <f t="shared" si="128"/>
        <v>null</v>
      </c>
      <c r="AD315" s="26" t="s">
        <v>0</v>
      </c>
      <c r="AE315" s="25" t="str">
        <f t="shared" si="126"/>
        <v>null</v>
      </c>
      <c r="AF315" s="26" t="s">
        <v>0</v>
      </c>
      <c r="AG315" s="47" t="s">
        <v>6851</v>
      </c>
    </row>
    <row r="316" spans="1:33" ht="6.9" customHeight="1" x14ac:dyDescent="0.4">
      <c r="A316" s="4">
        <f>ROW()</f>
        <v>316</v>
      </c>
      <c r="B316" s="9" t="s">
        <v>27</v>
      </c>
      <c r="C316" s="55" t="str">
        <f t="shared" si="129"/>
        <v>p.catalogar</v>
      </c>
      <c r="D316" s="6" t="str">
        <f t="shared" si="118"/>
        <v>é.sistema.predial</v>
      </c>
      <c r="E316" s="8" t="s">
        <v>28</v>
      </c>
      <c r="F316" s="42" t="str">
        <f t="shared" si="121"/>
        <v>d.catalogar</v>
      </c>
      <c r="G316" s="18" t="s">
        <v>3341</v>
      </c>
      <c r="H316" s="41" t="s">
        <v>2121</v>
      </c>
      <c r="I316" s="16" t="str">
        <f t="shared" si="130"/>
        <v>null</v>
      </c>
      <c r="J316" s="13" t="s">
        <v>0</v>
      </c>
      <c r="K316" s="13" t="s">
        <v>0</v>
      </c>
      <c r="L316" s="13" t="s">
        <v>0</v>
      </c>
      <c r="M316" s="13" t="s">
        <v>0</v>
      </c>
      <c r="N316" s="15" t="s">
        <v>0</v>
      </c>
      <c r="O316" s="13" t="s">
        <v>0</v>
      </c>
      <c r="P316" s="13" t="s">
        <v>0</v>
      </c>
      <c r="Q316" s="13" t="s">
        <v>0</v>
      </c>
      <c r="R316" s="15" t="s">
        <v>0</v>
      </c>
      <c r="S316" s="10" t="s">
        <v>1</v>
      </c>
      <c r="T316" s="10" t="s">
        <v>32</v>
      </c>
      <c r="U316" s="5" t="str">
        <f t="shared" si="108"/>
        <v>Propriedade destinada a catalogar: é.sistema.predial</v>
      </c>
      <c r="V316" s="5" t="str">
        <f t="shared" si="109"/>
        <v>Dado para catalogar:  sistema.predial  Deve ser formatado como (rdfs:Literal  or  xsd:string)</v>
      </c>
      <c r="W316" s="5" t="s">
        <v>7062</v>
      </c>
      <c r="X316" s="24" t="str">
        <f t="shared" si="110"/>
        <v>catal.136</v>
      </c>
      <c r="Y316" s="24" t="str">
        <f t="shared" si="111"/>
        <v>Ação de catalogar</v>
      </c>
      <c r="Z316" s="47" t="s">
        <v>8358</v>
      </c>
      <c r="AA316" s="25" t="str">
        <f t="shared" si="127"/>
        <v>null</v>
      </c>
      <c r="AB316" s="26" t="s">
        <v>0</v>
      </c>
      <c r="AC316" s="25" t="str">
        <f t="shared" si="128"/>
        <v>null</v>
      </c>
      <c r="AD316" s="26" t="s">
        <v>0</v>
      </c>
      <c r="AE316" s="25" t="str">
        <f t="shared" si="126"/>
        <v>null</v>
      </c>
      <c r="AF316" s="26" t="s">
        <v>0</v>
      </c>
      <c r="AG316" s="47" t="s">
        <v>6852</v>
      </c>
    </row>
    <row r="317" spans="1:33" ht="6.9" customHeight="1" x14ac:dyDescent="0.4">
      <c r="A317" s="4">
        <f>ROW()</f>
        <v>317</v>
      </c>
      <c r="B317" s="9" t="s">
        <v>27</v>
      </c>
      <c r="C317" s="55" t="str">
        <f t="shared" si="129"/>
        <v>p.catalogar</v>
      </c>
      <c r="D317" s="6" t="str">
        <f t="shared" si="118"/>
        <v>é.subtema</v>
      </c>
      <c r="E317" s="8" t="s">
        <v>28</v>
      </c>
      <c r="F317" s="42" t="str">
        <f t="shared" si="121"/>
        <v>d.catalogar</v>
      </c>
      <c r="G317" s="18" t="s">
        <v>421</v>
      </c>
      <c r="H317" s="41" t="s">
        <v>2121</v>
      </c>
      <c r="I317" s="16" t="str">
        <f t="shared" si="130"/>
        <v>null</v>
      </c>
      <c r="J317" s="13" t="s">
        <v>0</v>
      </c>
      <c r="K317" s="13" t="s">
        <v>0</v>
      </c>
      <c r="L317" s="13" t="s">
        <v>0</v>
      </c>
      <c r="M317" s="13" t="s">
        <v>0</v>
      </c>
      <c r="N317" s="15" t="s">
        <v>0</v>
      </c>
      <c r="O317" s="13" t="s">
        <v>0</v>
      </c>
      <c r="P317" s="13" t="s">
        <v>0</v>
      </c>
      <c r="Q317" s="13" t="s">
        <v>0</v>
      </c>
      <c r="R317" s="15" t="s">
        <v>0</v>
      </c>
      <c r="S317" s="10" t="s">
        <v>1</v>
      </c>
      <c r="T317" s="10" t="s">
        <v>32</v>
      </c>
      <c r="U317" s="5" t="str">
        <f t="shared" si="108"/>
        <v>Propriedade destinada a catalogar: é.subtema</v>
      </c>
      <c r="V317" s="5" t="str">
        <f t="shared" si="109"/>
        <v>Dado para catalogar:  subtema  Deve ser formatado como (rdfs:Literal  or  xsd:string)</v>
      </c>
      <c r="W317" s="5" t="s">
        <v>7063</v>
      </c>
      <c r="X317" s="24" t="str">
        <f t="shared" si="110"/>
        <v>catal.137</v>
      </c>
      <c r="Y317" s="24" t="str">
        <f t="shared" si="111"/>
        <v>Ação de catalogar</v>
      </c>
      <c r="Z317" s="47" t="s">
        <v>8359</v>
      </c>
      <c r="AA317" s="25" t="str">
        <f t="shared" si="127"/>
        <v>null</v>
      </c>
      <c r="AB317" s="26" t="s">
        <v>0</v>
      </c>
      <c r="AC317" s="25" t="str">
        <f t="shared" si="128"/>
        <v>null</v>
      </c>
      <c r="AD317" s="26" t="s">
        <v>0</v>
      </c>
      <c r="AE317" s="25" t="str">
        <f t="shared" si="126"/>
        <v>null</v>
      </c>
      <c r="AF317" s="26" t="s">
        <v>0</v>
      </c>
      <c r="AG317" s="47" t="s">
        <v>6853</v>
      </c>
    </row>
    <row r="318" spans="1:33" ht="6.9" customHeight="1" x14ac:dyDescent="0.4">
      <c r="A318" s="4">
        <f>ROW()</f>
        <v>318</v>
      </c>
      <c r="B318" s="9" t="s">
        <v>27</v>
      </c>
      <c r="C318" s="55" t="str">
        <f t="shared" si="129"/>
        <v>p.catalogar</v>
      </c>
      <c r="D318" s="6" t="str">
        <f t="shared" si="118"/>
        <v>é.subtítulo</v>
      </c>
      <c r="E318" s="8" t="s">
        <v>28</v>
      </c>
      <c r="F318" s="42" t="str">
        <f t="shared" si="121"/>
        <v>d.catalogar</v>
      </c>
      <c r="G318" s="18" t="s">
        <v>72</v>
      </c>
      <c r="H318" s="41" t="s">
        <v>2121</v>
      </c>
      <c r="I318" s="16" t="str">
        <f t="shared" si="130"/>
        <v>null</v>
      </c>
      <c r="J318" s="13" t="s">
        <v>0</v>
      </c>
      <c r="K318" s="13" t="s">
        <v>0</v>
      </c>
      <c r="L318" s="13" t="s">
        <v>0</v>
      </c>
      <c r="M318" s="13" t="s">
        <v>0</v>
      </c>
      <c r="N318" s="15" t="s">
        <v>0</v>
      </c>
      <c r="O318" s="13" t="s">
        <v>0</v>
      </c>
      <c r="P318" s="13" t="s">
        <v>0</v>
      </c>
      <c r="Q318" s="13" t="s">
        <v>0</v>
      </c>
      <c r="R318" s="15" t="s">
        <v>0</v>
      </c>
      <c r="S318" s="10" t="s">
        <v>1</v>
      </c>
      <c r="T318" s="10" t="s">
        <v>32</v>
      </c>
      <c r="U318" s="5" t="str">
        <f t="shared" si="108"/>
        <v>Propriedade destinada a catalogar: é.subtítulo</v>
      </c>
      <c r="V318" s="5" t="str">
        <f t="shared" si="109"/>
        <v>Dado para catalogar:  subtítulo  Deve ser formatado como (rdfs:Literal  or  xsd:string)</v>
      </c>
      <c r="W318" s="5" t="s">
        <v>7064</v>
      </c>
      <c r="X318" s="24" t="str">
        <f t="shared" si="110"/>
        <v>catal.138</v>
      </c>
      <c r="Y318" s="24" t="str">
        <f t="shared" si="111"/>
        <v>Ação de catalogar</v>
      </c>
      <c r="Z318" s="47" t="s">
        <v>8360</v>
      </c>
      <c r="AA318" s="25" t="str">
        <f t="shared" si="127"/>
        <v>null</v>
      </c>
      <c r="AB318" s="26" t="s">
        <v>0</v>
      </c>
      <c r="AC318" s="25" t="str">
        <f t="shared" si="128"/>
        <v>null</v>
      </c>
      <c r="AD318" s="26" t="s">
        <v>0</v>
      </c>
      <c r="AE318" s="25" t="str">
        <f t="shared" si="126"/>
        <v>null</v>
      </c>
      <c r="AF318" s="26" t="s">
        <v>0</v>
      </c>
      <c r="AG318" s="47" t="s">
        <v>6854</v>
      </c>
    </row>
    <row r="319" spans="1:33" ht="6.9" customHeight="1" x14ac:dyDescent="0.4">
      <c r="A319" s="4">
        <f>ROW()</f>
        <v>319</v>
      </c>
      <c r="B319" s="9" t="s">
        <v>27</v>
      </c>
      <c r="C319" s="55" t="str">
        <f t="shared" si="129"/>
        <v>p.catalogar</v>
      </c>
      <c r="D319" s="6" t="str">
        <f t="shared" si="118"/>
        <v>é.substituída.por</v>
      </c>
      <c r="E319" s="8" t="s">
        <v>28</v>
      </c>
      <c r="F319" s="42" t="str">
        <f t="shared" si="121"/>
        <v>d.catalogar</v>
      </c>
      <c r="G319" s="18" t="s">
        <v>6938</v>
      </c>
      <c r="H319" s="41" t="s">
        <v>2121</v>
      </c>
      <c r="I319" s="16" t="str">
        <f t="shared" si="130"/>
        <v>null</v>
      </c>
      <c r="J319" s="13" t="s">
        <v>0</v>
      </c>
      <c r="K319" s="13" t="s">
        <v>0</v>
      </c>
      <c r="L319" s="13" t="s">
        <v>0</v>
      </c>
      <c r="M319" s="13" t="s">
        <v>0</v>
      </c>
      <c r="N319" s="15" t="s">
        <v>0</v>
      </c>
      <c r="O319" s="13" t="s">
        <v>0</v>
      </c>
      <c r="P319" s="13" t="s">
        <v>0</v>
      </c>
      <c r="Q319" s="13" t="s">
        <v>0</v>
      </c>
      <c r="R319" s="66" t="s">
        <v>6940</v>
      </c>
      <c r="S319" s="10" t="s">
        <v>1</v>
      </c>
      <c r="T319" s="10" t="s">
        <v>32</v>
      </c>
      <c r="U319" s="5" t="str">
        <f t="shared" si="108"/>
        <v>Propriedade destinada a catalogar: é.substituída.por</v>
      </c>
      <c r="V319" s="5" t="str">
        <f t="shared" si="109"/>
        <v>Dado para catalogar:  substituída.por  Deve ser formatado como (rdfs:Literal  or  xsd:string)</v>
      </c>
      <c r="W319" s="5" t="s">
        <v>7065</v>
      </c>
      <c r="X319" s="24" t="str">
        <f t="shared" si="110"/>
        <v>catal.139</v>
      </c>
      <c r="Y319" s="24" t="str">
        <f t="shared" si="111"/>
        <v>Ação de catalogar</v>
      </c>
      <c r="Z319" s="47" t="s">
        <v>8361</v>
      </c>
      <c r="AA319" s="25" t="str">
        <f t="shared" si="127"/>
        <v>null</v>
      </c>
      <c r="AB319" s="26" t="s">
        <v>0</v>
      </c>
      <c r="AC319" s="25" t="str">
        <f t="shared" si="128"/>
        <v>null</v>
      </c>
      <c r="AD319" s="26" t="s">
        <v>0</v>
      </c>
      <c r="AE319" s="25" t="str">
        <f t="shared" si="126"/>
        <v>null</v>
      </c>
      <c r="AF319" s="26" t="s">
        <v>0</v>
      </c>
      <c r="AG319" s="47" t="s">
        <v>6855</v>
      </c>
    </row>
    <row r="320" spans="1:33" ht="6.9" customHeight="1" x14ac:dyDescent="0.4">
      <c r="A320" s="4">
        <f>ROW()</f>
        <v>320</v>
      </c>
      <c r="B320" s="9" t="s">
        <v>27</v>
      </c>
      <c r="C320" s="55" t="str">
        <f t="shared" si="129"/>
        <v>p.catalogar</v>
      </c>
      <c r="D320" s="6" t="str">
        <f t="shared" si="118"/>
        <v>é.substituído.por</v>
      </c>
      <c r="E320" s="8" t="s">
        <v>28</v>
      </c>
      <c r="F320" s="42" t="str">
        <f t="shared" si="121"/>
        <v>d.catalogar</v>
      </c>
      <c r="G320" s="18" t="s">
        <v>6939</v>
      </c>
      <c r="H320" s="41" t="s">
        <v>2121</v>
      </c>
      <c r="I320" s="16" t="str">
        <f t="shared" si="130"/>
        <v>null</v>
      </c>
      <c r="J320" s="13" t="s">
        <v>0</v>
      </c>
      <c r="K320" s="13" t="s">
        <v>0</v>
      </c>
      <c r="L320" s="13" t="s">
        <v>0</v>
      </c>
      <c r="M320" s="13" t="s">
        <v>0</v>
      </c>
      <c r="N320" s="15" t="s">
        <v>0</v>
      </c>
      <c r="O320" s="13" t="s">
        <v>0</v>
      </c>
      <c r="P320" s="13" t="s">
        <v>0</v>
      </c>
      <c r="Q320" s="13" t="s">
        <v>0</v>
      </c>
      <c r="R320" s="66" t="s">
        <v>6941</v>
      </c>
      <c r="S320" s="10" t="s">
        <v>1</v>
      </c>
      <c r="T320" s="10" t="s">
        <v>32</v>
      </c>
      <c r="U320" s="5" t="str">
        <f t="shared" si="108"/>
        <v>Propriedade destinada a catalogar: é.substituído.por</v>
      </c>
      <c r="V320" s="5" t="str">
        <f t="shared" si="109"/>
        <v>Dado para catalogar:  substituído.por  Deve ser formatado como (rdfs:Literal  or  xsd:string)</v>
      </c>
      <c r="W320" s="5" t="s">
        <v>5256</v>
      </c>
      <c r="X320" s="24" t="str">
        <f t="shared" si="110"/>
        <v>catal.140</v>
      </c>
      <c r="Y320" s="24" t="str">
        <f t="shared" si="111"/>
        <v>Ação de catalogar</v>
      </c>
      <c r="Z320" s="47" t="s">
        <v>8361</v>
      </c>
      <c r="AA320" s="25" t="str">
        <f t="shared" si="127"/>
        <v>null</v>
      </c>
      <c r="AB320" s="26" t="s">
        <v>0</v>
      </c>
      <c r="AC320" s="25" t="str">
        <f t="shared" si="128"/>
        <v>null</v>
      </c>
      <c r="AD320" s="26" t="s">
        <v>0</v>
      </c>
      <c r="AE320" s="25" t="str">
        <f t="shared" si="126"/>
        <v>null</v>
      </c>
      <c r="AF320" s="26" t="s">
        <v>0</v>
      </c>
      <c r="AG320" s="47" t="s">
        <v>6856</v>
      </c>
    </row>
    <row r="321" spans="1:33" ht="6.9" customHeight="1" x14ac:dyDescent="0.4">
      <c r="A321" s="4">
        <f>ROW()</f>
        <v>321</v>
      </c>
      <c r="B321" s="9" t="s">
        <v>27</v>
      </c>
      <c r="C321" s="55" t="str">
        <f t="shared" si="129"/>
        <v>p.catalogar</v>
      </c>
      <c r="D321" s="6" t="str">
        <f t="shared" si="118"/>
        <v>é.tema</v>
      </c>
      <c r="E321" s="8" t="s">
        <v>28</v>
      </c>
      <c r="F321" s="42" t="str">
        <f t="shared" si="121"/>
        <v>d.catalogar</v>
      </c>
      <c r="G321" s="18" t="s">
        <v>65</v>
      </c>
      <c r="H321" s="41" t="s">
        <v>2121</v>
      </c>
      <c r="I321" s="16" t="str">
        <f t="shared" si="130"/>
        <v>null</v>
      </c>
      <c r="J321" s="13" t="s">
        <v>0</v>
      </c>
      <c r="K321" s="13" t="s">
        <v>0</v>
      </c>
      <c r="L321" s="13" t="s">
        <v>0</v>
      </c>
      <c r="M321" s="13" t="s">
        <v>0</v>
      </c>
      <c r="N321" s="15" t="s">
        <v>0</v>
      </c>
      <c r="O321" s="13" t="s">
        <v>0</v>
      </c>
      <c r="P321" s="13" t="s">
        <v>0</v>
      </c>
      <c r="Q321" s="13" t="s">
        <v>0</v>
      </c>
      <c r="R321" s="15" t="s">
        <v>0</v>
      </c>
      <c r="S321" s="10" t="s">
        <v>1</v>
      </c>
      <c r="T321" s="10" t="s">
        <v>32</v>
      </c>
      <c r="U321" s="5" t="str">
        <f t="shared" si="108"/>
        <v>Propriedade destinada a catalogar: é.tema</v>
      </c>
      <c r="V321" s="5" t="str">
        <f t="shared" si="109"/>
        <v>Dado para catalogar:  tema  Deve ser formatado como (rdfs:Literal  or  xsd:string)</v>
      </c>
      <c r="W321" s="5" t="s">
        <v>5257</v>
      </c>
      <c r="X321" s="24" t="str">
        <f t="shared" si="110"/>
        <v>catal.141</v>
      </c>
      <c r="Y321" s="24" t="str">
        <f t="shared" si="111"/>
        <v>Ação de catalogar</v>
      </c>
      <c r="Z321" s="47" t="s">
        <v>8362</v>
      </c>
      <c r="AA321" s="25" t="str">
        <f t="shared" si="127"/>
        <v>null</v>
      </c>
      <c r="AB321" s="26" t="s">
        <v>0</v>
      </c>
      <c r="AC321" s="25" t="str">
        <f t="shared" si="128"/>
        <v>null</v>
      </c>
      <c r="AD321" s="26" t="s">
        <v>0</v>
      </c>
      <c r="AE321" s="25" t="str">
        <f t="shared" si="126"/>
        <v>null</v>
      </c>
      <c r="AF321" s="26" t="s">
        <v>0</v>
      </c>
      <c r="AG321" s="47" t="s">
        <v>6857</v>
      </c>
    </row>
    <row r="322" spans="1:33" ht="6.9" customHeight="1" x14ac:dyDescent="0.4">
      <c r="A322" s="4">
        <f>ROW()</f>
        <v>322</v>
      </c>
      <c r="B322" s="9" t="s">
        <v>27</v>
      </c>
      <c r="C322" s="55" t="str">
        <f t="shared" si="129"/>
        <v>p.catalogar</v>
      </c>
      <c r="D322" s="6" t="str">
        <f t="shared" si="118"/>
        <v>é.tipo</v>
      </c>
      <c r="E322" s="8" t="s">
        <v>28</v>
      </c>
      <c r="F322" s="42" t="str">
        <f t="shared" si="121"/>
        <v>d.catalogar</v>
      </c>
      <c r="G322" s="18" t="s">
        <v>67</v>
      </c>
      <c r="H322" s="41" t="s">
        <v>2121</v>
      </c>
      <c r="I322" s="16" t="str">
        <f t="shared" si="130"/>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5">_xlfn.CONCAT("Propriedade destinada a ",MID(C322,FIND("p.",C322,1)+2,100),": ",D322)</f>
        <v>Propriedade destinada a catalogar: é.tipo</v>
      </c>
      <c r="V322" s="5" t="str">
        <f t="shared" ref="V322:V385" si="136">_xlfn.CONCAT("Dado para ",MID(F322,FIND("d.",F322,1)+2,100),":  ",G322, "  Deve ser formatado como (",H322, ")")</f>
        <v>Dado para catalogar:  tipo  Deve ser formatado como (rdfs:Literal  or  xsd:string)</v>
      </c>
      <c r="W322" s="5" t="s">
        <v>5258</v>
      </c>
      <c r="X322" s="24" t="str">
        <f t="shared" si="110"/>
        <v>catal.142</v>
      </c>
      <c r="Y322" s="24" t="str">
        <f t="shared" si="111"/>
        <v>Ação de catalogar</v>
      </c>
      <c r="Z322" s="47" t="s">
        <v>8363</v>
      </c>
      <c r="AA322" s="25" t="str">
        <f t="shared" si="127"/>
        <v>null</v>
      </c>
      <c r="AB322" s="26" t="s">
        <v>0</v>
      </c>
      <c r="AC322" s="25" t="str">
        <f t="shared" si="128"/>
        <v>null</v>
      </c>
      <c r="AD322" s="26" t="s">
        <v>0</v>
      </c>
      <c r="AE322" s="25" t="str">
        <f t="shared" si="126"/>
        <v>null</v>
      </c>
      <c r="AF322" s="26" t="s">
        <v>0</v>
      </c>
      <c r="AG322" s="47" t="s">
        <v>8547</v>
      </c>
    </row>
    <row r="323" spans="1:33" ht="6.9" customHeight="1" x14ac:dyDescent="0.4">
      <c r="A323" s="4">
        <f>ROW()</f>
        <v>323</v>
      </c>
      <c r="B323" s="9" t="s">
        <v>27</v>
      </c>
      <c r="C323" s="55" t="str">
        <f t="shared" si="129"/>
        <v>p.catalogar</v>
      </c>
      <c r="D323" s="6" t="str">
        <f t="shared" si="118"/>
        <v>é.título</v>
      </c>
      <c r="E323" s="8" t="s">
        <v>28</v>
      </c>
      <c r="F323" s="42" t="str">
        <f t="shared" si="121"/>
        <v>d.catalogar</v>
      </c>
      <c r="G323" s="18" t="s">
        <v>71</v>
      </c>
      <c r="H323" s="41" t="s">
        <v>2121</v>
      </c>
      <c r="I323" s="16" t="str">
        <f t="shared" si="130"/>
        <v>null</v>
      </c>
      <c r="J323" s="13" t="s">
        <v>0</v>
      </c>
      <c r="K323" s="13" t="s">
        <v>0</v>
      </c>
      <c r="L323" s="13" t="s">
        <v>0</v>
      </c>
      <c r="M323" s="13" t="s">
        <v>0</v>
      </c>
      <c r="N323" s="15" t="s">
        <v>0</v>
      </c>
      <c r="O323" s="13" t="s">
        <v>0</v>
      </c>
      <c r="P323" s="13" t="s">
        <v>0</v>
      </c>
      <c r="Q323" s="13" t="s">
        <v>0</v>
      </c>
      <c r="R323" s="15" t="s">
        <v>0</v>
      </c>
      <c r="S323" s="10" t="s">
        <v>1</v>
      </c>
      <c r="T323" s="10" t="s">
        <v>32</v>
      </c>
      <c r="U323" s="5" t="str">
        <f t="shared" si="135"/>
        <v>Propriedade destinada a catalogar: é.título</v>
      </c>
      <c r="V323" s="5" t="str">
        <f t="shared" si="136"/>
        <v>Dado para catalogar:  título  Deve ser formatado como (rdfs:Literal  or  xsd:string)</v>
      </c>
      <c r="W323" s="5" t="s">
        <v>5259</v>
      </c>
      <c r="X323" s="24" t="str">
        <f t="shared" ref="X323:X386" si="137">IF(F322&lt;&gt;F323,_xlfn.CONCAT(RIGHT(LEFT(F323,7),5),".100"),_xlfn.CONCAT(RIGHT(LEFT(F323,7),5),".",SUM(VALUE(RIGHT(X322,3)),1)))</f>
        <v>catal.143</v>
      </c>
      <c r="Y323" s="24" t="str">
        <f t="shared" ref="Y323:Y386" si="138">_xlfn.CONCAT("Ação de ", SUBSTITUTE(F323, "d.",  ""))</f>
        <v>Ação de catalogar</v>
      </c>
      <c r="Z323" s="47" t="s">
        <v>8364</v>
      </c>
      <c r="AA323" s="25" t="str">
        <f t="shared" si="127"/>
        <v>null</v>
      </c>
      <c r="AB323" s="26" t="s">
        <v>0</v>
      </c>
      <c r="AC323" s="25" t="str">
        <f t="shared" si="128"/>
        <v>null</v>
      </c>
      <c r="AD323" s="26" t="s">
        <v>0</v>
      </c>
      <c r="AE323" s="25" t="str">
        <f t="shared" si="126"/>
        <v>null</v>
      </c>
      <c r="AF323" s="26" t="s">
        <v>0</v>
      </c>
      <c r="AG323" s="47" t="s">
        <v>8548</v>
      </c>
    </row>
    <row r="324" spans="1:33" ht="6.9" customHeight="1" x14ac:dyDescent="0.4">
      <c r="A324" s="4">
        <f>ROW()</f>
        <v>324</v>
      </c>
      <c r="B324" s="9" t="s">
        <v>27</v>
      </c>
      <c r="C324" s="55" t="str">
        <f t="shared" si="129"/>
        <v>p.catalogar</v>
      </c>
      <c r="D324" s="6" t="str">
        <f t="shared" si="118"/>
        <v>é.tópico</v>
      </c>
      <c r="E324" s="8" t="s">
        <v>28</v>
      </c>
      <c r="F324" s="42" t="str">
        <f t="shared" si="121"/>
        <v>d.catalogar</v>
      </c>
      <c r="G324" s="18" t="s">
        <v>422</v>
      </c>
      <c r="H324" s="41" t="s">
        <v>2121</v>
      </c>
      <c r="I324" s="16" t="str">
        <f t="shared" si="130"/>
        <v>null</v>
      </c>
      <c r="J324" s="13" t="s">
        <v>0</v>
      </c>
      <c r="K324" s="13" t="s">
        <v>0</v>
      </c>
      <c r="L324" s="13" t="s">
        <v>0</v>
      </c>
      <c r="M324" s="13" t="s">
        <v>0</v>
      </c>
      <c r="N324" s="15" t="s">
        <v>0</v>
      </c>
      <c r="O324" s="13" t="s">
        <v>0</v>
      </c>
      <c r="P324" s="13" t="s">
        <v>0</v>
      </c>
      <c r="Q324" s="13" t="s">
        <v>0</v>
      </c>
      <c r="R324" s="15" t="s">
        <v>0</v>
      </c>
      <c r="S324" s="10" t="s">
        <v>1</v>
      </c>
      <c r="T324" s="10" t="s">
        <v>32</v>
      </c>
      <c r="U324" s="5" t="str">
        <f t="shared" si="135"/>
        <v>Propriedade destinada a catalogar: é.tópico</v>
      </c>
      <c r="V324" s="5" t="str">
        <f t="shared" si="136"/>
        <v>Dado para catalogar:  tópico  Deve ser formatado como (rdfs:Literal  or  xsd:string)</v>
      </c>
      <c r="W324" s="5" t="s">
        <v>5260</v>
      </c>
      <c r="X324" s="24" t="str">
        <f t="shared" si="137"/>
        <v>catal.144</v>
      </c>
      <c r="Y324" s="24" t="str">
        <f t="shared" si="138"/>
        <v>Ação de catalogar</v>
      </c>
      <c r="Z324" s="47" t="s">
        <v>8365</v>
      </c>
      <c r="AA324" s="25" t="str">
        <f t="shared" si="127"/>
        <v>null</v>
      </c>
      <c r="AB324" s="26" t="s">
        <v>0</v>
      </c>
      <c r="AC324" s="25" t="str">
        <f t="shared" si="128"/>
        <v>null</v>
      </c>
      <c r="AD324" s="26" t="s">
        <v>0</v>
      </c>
      <c r="AE324" s="25" t="str">
        <f t="shared" si="126"/>
        <v>null</v>
      </c>
      <c r="AF324" s="26" t="s">
        <v>0</v>
      </c>
      <c r="AG324" s="47" t="s">
        <v>8549</v>
      </c>
    </row>
    <row r="325" spans="1:33" ht="6.9" customHeight="1" x14ac:dyDescent="0.4">
      <c r="A325" s="4">
        <f>ROW()</f>
        <v>325</v>
      </c>
      <c r="B325" s="9" t="s">
        <v>27</v>
      </c>
      <c r="C325" s="55" t="str">
        <f t="shared" si="129"/>
        <v>p.catalogar</v>
      </c>
      <c r="D325" s="6" t="str">
        <f t="shared" si="118"/>
        <v>é.versão</v>
      </c>
      <c r="E325" s="8" t="s">
        <v>28</v>
      </c>
      <c r="F325" s="42" t="str">
        <f t="shared" si="121"/>
        <v>d.catalogar</v>
      </c>
      <c r="G325" s="18" t="s">
        <v>63</v>
      </c>
      <c r="H325" s="42" t="s">
        <v>2121</v>
      </c>
      <c r="I325" s="16" t="str">
        <f t="shared" si="130"/>
        <v>null</v>
      </c>
      <c r="J325" s="13" t="s">
        <v>0</v>
      </c>
      <c r="K325" s="13" t="s">
        <v>0</v>
      </c>
      <c r="L325" s="15" t="s">
        <v>0</v>
      </c>
      <c r="M325" s="13" t="s">
        <v>0</v>
      </c>
      <c r="N325" s="15" t="s">
        <v>0</v>
      </c>
      <c r="O325" s="13" t="s">
        <v>0</v>
      </c>
      <c r="P325" s="13" t="s">
        <v>0</v>
      </c>
      <c r="Q325" s="13" t="s">
        <v>0</v>
      </c>
      <c r="R325" s="15" t="s">
        <v>0</v>
      </c>
      <c r="S325" s="10" t="s">
        <v>1</v>
      </c>
      <c r="T325" s="10" t="s">
        <v>32</v>
      </c>
      <c r="U325" s="5" t="str">
        <f t="shared" si="135"/>
        <v>Propriedade destinada a catalogar: é.versão</v>
      </c>
      <c r="V325" s="5" t="str">
        <f t="shared" si="136"/>
        <v>Dado para catalogar:  versão  Deve ser formatado como (rdfs:Literal  or  xsd:string)</v>
      </c>
      <c r="W325" s="5" t="s">
        <v>5261</v>
      </c>
      <c r="X325" s="24" t="str">
        <f t="shared" si="137"/>
        <v>catal.145</v>
      </c>
      <c r="Y325" s="24" t="str">
        <f t="shared" si="138"/>
        <v>Ação de catalogar</v>
      </c>
      <c r="Z325" s="47" t="s">
        <v>8366</v>
      </c>
      <c r="AA325" s="25" t="str">
        <f t="shared" si="127"/>
        <v>null</v>
      </c>
      <c r="AB325" s="26" t="s">
        <v>0</v>
      </c>
      <c r="AC325" s="25" t="str">
        <f t="shared" si="128"/>
        <v>null</v>
      </c>
      <c r="AD325" s="26" t="s">
        <v>0</v>
      </c>
      <c r="AE325" s="25" t="str">
        <f t="shared" si="126"/>
        <v>propriedade</v>
      </c>
      <c r="AF325" s="26" t="s">
        <v>2457</v>
      </c>
      <c r="AG325" s="47" t="s">
        <v>8550</v>
      </c>
    </row>
    <row r="326" spans="1:33" ht="6.9" customHeight="1" x14ac:dyDescent="0.4">
      <c r="A326" s="4">
        <f>ROW()</f>
        <v>326</v>
      </c>
      <c r="B326" s="9" t="s">
        <v>27</v>
      </c>
      <c r="C326" s="55" t="str">
        <f t="shared" si="129"/>
        <v>p.catalogar</v>
      </c>
      <c r="D326" s="6" t="str">
        <f t="shared" si="118"/>
        <v>é.visível.por</v>
      </c>
      <c r="E326" s="8" t="s">
        <v>28</v>
      </c>
      <c r="F326" s="42" t="str">
        <f t="shared" si="121"/>
        <v>d.catalogar</v>
      </c>
      <c r="G326" s="18" t="s">
        <v>566</v>
      </c>
      <c r="H326" s="41" t="s">
        <v>2121</v>
      </c>
      <c r="I326" s="16" t="str">
        <f t="shared" si="130"/>
        <v>null</v>
      </c>
      <c r="J326" s="13" t="s">
        <v>0</v>
      </c>
      <c r="K326" s="13" t="s">
        <v>0</v>
      </c>
      <c r="L326" s="13" t="s">
        <v>0</v>
      </c>
      <c r="M326" s="13" t="s">
        <v>0</v>
      </c>
      <c r="N326" s="15" t="s">
        <v>0</v>
      </c>
      <c r="O326" s="13" t="s">
        <v>0</v>
      </c>
      <c r="P326" s="13" t="s">
        <v>0</v>
      </c>
      <c r="Q326" s="13" t="s">
        <v>0</v>
      </c>
      <c r="R326" s="15" t="s">
        <v>0</v>
      </c>
      <c r="S326" s="10" t="s">
        <v>1</v>
      </c>
      <c r="T326" s="10" t="s">
        <v>32</v>
      </c>
      <c r="U326" s="5" t="str">
        <f t="shared" si="135"/>
        <v>Propriedade destinada a catalogar: é.visível.por</v>
      </c>
      <c r="V326" s="5" t="str">
        <f t="shared" si="136"/>
        <v>Dado para catalogar:  visível.por  Deve ser formatado como (rdfs:Literal  or  xsd:string)</v>
      </c>
      <c r="W326" s="5" t="s">
        <v>5262</v>
      </c>
      <c r="X326" s="24" t="str">
        <f t="shared" si="137"/>
        <v>catal.146</v>
      </c>
      <c r="Y326" s="24" t="str">
        <f t="shared" si="138"/>
        <v>Ação de catalogar</v>
      </c>
      <c r="Z326" s="47" t="s">
        <v>8367</v>
      </c>
      <c r="AA326" s="25" t="str">
        <f t="shared" si="127"/>
        <v>null</v>
      </c>
      <c r="AB326" s="26" t="s">
        <v>0</v>
      </c>
      <c r="AC326" s="25" t="str">
        <f t="shared" si="128"/>
        <v>null</v>
      </c>
      <c r="AD326" s="26" t="s">
        <v>0</v>
      </c>
      <c r="AE326" s="25" t="str">
        <f t="shared" si="126"/>
        <v>null</v>
      </c>
      <c r="AF326" s="26" t="s">
        <v>0</v>
      </c>
      <c r="AG326" s="47" t="s">
        <v>8551</v>
      </c>
    </row>
    <row r="327" spans="1:33" ht="6.9" customHeight="1" x14ac:dyDescent="0.4">
      <c r="A327" s="4">
        <f>ROW()</f>
        <v>327</v>
      </c>
      <c r="B327" s="9" t="s">
        <v>27</v>
      </c>
      <c r="C327" s="55" t="str">
        <f t="shared" si="129"/>
        <v>p.catalogar</v>
      </c>
      <c r="D327" s="6" t="str">
        <f t="shared" si="118"/>
        <v>é.vol</v>
      </c>
      <c r="E327" s="8" t="s">
        <v>28</v>
      </c>
      <c r="F327" s="42" t="str">
        <f t="shared" si="121"/>
        <v>d.catalogar</v>
      </c>
      <c r="G327" s="18" t="s">
        <v>77</v>
      </c>
      <c r="H327" s="41" t="s">
        <v>2121</v>
      </c>
      <c r="I327" s="16" t="str">
        <f t="shared" si="130"/>
        <v>null</v>
      </c>
      <c r="J327" s="13" t="s">
        <v>0</v>
      </c>
      <c r="K327" s="13" t="s">
        <v>0</v>
      </c>
      <c r="L327" s="13" t="s">
        <v>0</v>
      </c>
      <c r="M327" s="13" t="s">
        <v>0</v>
      </c>
      <c r="N327" s="15" t="s">
        <v>0</v>
      </c>
      <c r="O327" s="13" t="s">
        <v>0</v>
      </c>
      <c r="P327" s="13" t="s">
        <v>0</v>
      </c>
      <c r="Q327" s="13" t="s">
        <v>0</v>
      </c>
      <c r="R327" s="15" t="s">
        <v>0</v>
      </c>
      <c r="S327" s="10" t="s">
        <v>1</v>
      </c>
      <c r="T327" s="10" t="s">
        <v>32</v>
      </c>
      <c r="U327" s="5" t="str">
        <f t="shared" si="135"/>
        <v>Propriedade destinada a catalogar: é.vol</v>
      </c>
      <c r="V327" s="5" t="str">
        <f t="shared" si="136"/>
        <v>Dado para catalogar:  vol  Deve ser formatado como (rdfs:Literal  or  xsd:string)</v>
      </c>
      <c r="W327" s="5" t="s">
        <v>5263</v>
      </c>
      <c r="X327" s="24" t="str">
        <f t="shared" si="137"/>
        <v>catal.147</v>
      </c>
      <c r="Y327" s="24" t="str">
        <f t="shared" si="138"/>
        <v>Ação de catalogar</v>
      </c>
      <c r="Z327" s="47" t="s">
        <v>8368</v>
      </c>
      <c r="AA327" s="25" t="str">
        <f t="shared" si="127"/>
        <v>null</v>
      </c>
      <c r="AB327" s="26" t="s">
        <v>0</v>
      </c>
      <c r="AC327" s="25" t="str">
        <f t="shared" si="128"/>
        <v>null</v>
      </c>
      <c r="AD327" s="26" t="s">
        <v>0</v>
      </c>
      <c r="AE327" s="25" t="str">
        <f t="shared" si="126"/>
        <v>null</v>
      </c>
      <c r="AF327" s="26" t="s">
        <v>0</v>
      </c>
      <c r="AG327" s="47" t="s">
        <v>8552</v>
      </c>
    </row>
    <row r="328" spans="1:33" ht="6.9" customHeight="1" x14ac:dyDescent="0.4">
      <c r="A328" s="4">
        <f>ROW()</f>
        <v>328</v>
      </c>
      <c r="B328" s="9" t="s">
        <v>27</v>
      </c>
      <c r="C328" s="54" t="str">
        <f t="shared" si="129"/>
        <v>p.circular</v>
      </c>
      <c r="D328" s="6" t="str">
        <f t="shared" si="118"/>
        <v>é.circulação.ambulatorial</v>
      </c>
      <c r="E328" s="8" t="s">
        <v>28</v>
      </c>
      <c r="F328" s="50" t="s">
        <v>567</v>
      </c>
      <c r="G328" s="17" t="s">
        <v>4968</v>
      </c>
      <c r="H328" s="41" t="s">
        <v>37</v>
      </c>
      <c r="I328" s="16" t="str">
        <f t="shared" si="130"/>
        <v>null</v>
      </c>
      <c r="J328" s="15" t="s">
        <v>0</v>
      </c>
      <c r="K328" s="15" t="s">
        <v>0</v>
      </c>
      <c r="L328" s="15" t="s">
        <v>0</v>
      </c>
      <c r="M328" s="15" t="s">
        <v>0</v>
      </c>
      <c r="N328" s="15" t="s">
        <v>0</v>
      </c>
      <c r="O328" s="15" t="s">
        <v>0</v>
      </c>
      <c r="P328" s="15" t="s">
        <v>0</v>
      </c>
      <c r="Q328" s="15" t="s">
        <v>0</v>
      </c>
      <c r="R328" s="15" t="s">
        <v>0</v>
      </c>
      <c r="S328" s="10" t="s">
        <v>1</v>
      </c>
      <c r="T328" s="10" t="s">
        <v>32</v>
      </c>
      <c r="U328" s="5" t="str">
        <f t="shared" si="135"/>
        <v>Propriedade destinada a circular: é.circulação.ambulatorial</v>
      </c>
      <c r="V328" s="5" t="str">
        <f t="shared" si="136"/>
        <v>Dado para circular:  circulação.ambulatorial  Deve ser formatado como (xsd:boolean)</v>
      </c>
      <c r="W328" s="5" t="s">
        <v>5264</v>
      </c>
      <c r="X328" s="24" t="str">
        <f t="shared" si="137"/>
        <v>circu.100</v>
      </c>
      <c r="Y328" s="24" t="str">
        <f t="shared" si="138"/>
        <v>Ação de circular</v>
      </c>
      <c r="Z328" s="47" t="s">
        <v>4593</v>
      </c>
      <c r="AA328" s="25" t="str">
        <f t="shared" si="127"/>
        <v>categoria.revit</v>
      </c>
      <c r="AB328" s="26" t="s">
        <v>3499</v>
      </c>
      <c r="AC328" s="25" t="str">
        <f t="shared" si="128"/>
        <v>classe.ifc</v>
      </c>
      <c r="AD328" s="26" t="s">
        <v>3462</v>
      </c>
      <c r="AE328" s="25" t="str">
        <f t="shared" si="126"/>
        <v>null</v>
      </c>
      <c r="AF328" s="26" t="s">
        <v>0</v>
      </c>
      <c r="AG328" s="47" t="s">
        <v>4770</v>
      </c>
    </row>
    <row r="329" spans="1:33" ht="6.9" customHeight="1" x14ac:dyDescent="0.4">
      <c r="A329" s="4">
        <f>ROW()</f>
        <v>329</v>
      </c>
      <c r="B329" s="9" t="s">
        <v>27</v>
      </c>
      <c r="C329" s="55" t="str">
        <f t="shared" si="129"/>
        <v>p.circular</v>
      </c>
      <c r="D329" s="6" t="str">
        <f t="shared" si="118"/>
        <v>é.circulação.biotério</v>
      </c>
      <c r="E329" s="8" t="s">
        <v>28</v>
      </c>
      <c r="F329" s="42" t="str">
        <f t="shared" ref="F329:F344" si="139">F328</f>
        <v>d.circular</v>
      </c>
      <c r="G329" s="18" t="s">
        <v>4954</v>
      </c>
      <c r="H329" s="41" t="s">
        <v>37</v>
      </c>
      <c r="I329" s="16" t="str">
        <f t="shared" si="130"/>
        <v>null</v>
      </c>
      <c r="J329" s="13" t="s">
        <v>0</v>
      </c>
      <c r="K329" s="13" t="s">
        <v>0</v>
      </c>
      <c r="L329" s="13" t="s">
        <v>0</v>
      </c>
      <c r="M329" s="13" t="s">
        <v>0</v>
      </c>
      <c r="N329" s="15" t="s">
        <v>0</v>
      </c>
      <c r="O329" s="13" t="s">
        <v>0</v>
      </c>
      <c r="P329" s="13" t="s">
        <v>0</v>
      </c>
      <c r="Q329" s="13" t="s">
        <v>0</v>
      </c>
      <c r="R329" s="15" t="s">
        <v>0</v>
      </c>
      <c r="S329" s="10" t="s">
        <v>1</v>
      </c>
      <c r="T329" s="10" t="s">
        <v>32</v>
      </c>
      <c r="U329" s="5" t="str">
        <f t="shared" si="135"/>
        <v>Propriedade destinada a circular: é.circulação.biotério</v>
      </c>
      <c r="V329" s="5" t="str">
        <f t="shared" si="136"/>
        <v>Dado para circular:  circulação.biotério  Deve ser formatado como (xsd:boolean)</v>
      </c>
      <c r="W329" s="5" t="s">
        <v>5265</v>
      </c>
      <c r="X329" s="24" t="str">
        <f t="shared" si="137"/>
        <v>circu.101</v>
      </c>
      <c r="Y329" s="24" t="str">
        <f t="shared" si="138"/>
        <v>Ação de circular</v>
      </c>
      <c r="Z329" s="47" t="s">
        <v>1323</v>
      </c>
      <c r="AA329" s="25" t="str">
        <f t="shared" si="127"/>
        <v>categoria.revit</v>
      </c>
      <c r="AB329" s="26" t="s">
        <v>3499</v>
      </c>
      <c r="AC329" s="25" t="str">
        <f t="shared" si="128"/>
        <v>classe.ifc</v>
      </c>
      <c r="AD329" s="26" t="s">
        <v>3462</v>
      </c>
      <c r="AE329" s="25" t="str">
        <f t="shared" si="126"/>
        <v>null</v>
      </c>
      <c r="AF329" s="26" t="s">
        <v>0</v>
      </c>
      <c r="AG329" s="47" t="s">
        <v>2677</v>
      </c>
    </row>
    <row r="330" spans="1:33" ht="6.9" customHeight="1" x14ac:dyDescent="0.4">
      <c r="A330" s="4">
        <f>ROW()</f>
        <v>330</v>
      </c>
      <c r="B330" s="9" t="s">
        <v>27</v>
      </c>
      <c r="C330" s="55" t="str">
        <f t="shared" si="129"/>
        <v>p.circular</v>
      </c>
      <c r="D330" s="6" t="str">
        <f t="shared" si="118"/>
        <v>é.circulação.contaminada</v>
      </c>
      <c r="E330" s="8" t="s">
        <v>28</v>
      </c>
      <c r="F330" s="42" t="str">
        <f t="shared" si="139"/>
        <v>d.circular</v>
      </c>
      <c r="G330" s="17" t="s">
        <v>4955</v>
      </c>
      <c r="H330" s="41" t="s">
        <v>37</v>
      </c>
      <c r="I330" s="16" t="str">
        <f t="shared" si="130"/>
        <v>null</v>
      </c>
      <c r="J330" s="15" t="s">
        <v>0</v>
      </c>
      <c r="K330" s="15" t="s">
        <v>0</v>
      </c>
      <c r="L330" s="15" t="s">
        <v>0</v>
      </c>
      <c r="M330" s="15" t="s">
        <v>0</v>
      </c>
      <c r="N330" s="15" t="s">
        <v>0</v>
      </c>
      <c r="O330" s="15" t="s">
        <v>0</v>
      </c>
      <c r="P330" s="15" t="s">
        <v>0</v>
      </c>
      <c r="Q330" s="15" t="s">
        <v>0</v>
      </c>
      <c r="R330" s="15" t="s">
        <v>0</v>
      </c>
      <c r="S330" s="10" t="s">
        <v>1</v>
      </c>
      <c r="T330" s="10" t="s">
        <v>32</v>
      </c>
      <c r="U330" s="5" t="str">
        <f t="shared" si="135"/>
        <v>Propriedade destinada a circular: é.circulação.contaminada</v>
      </c>
      <c r="V330" s="5" t="str">
        <f t="shared" si="136"/>
        <v>Dado para circular:  circulação.contaminada  Deve ser formatado como (xsd:boolean)</v>
      </c>
      <c r="W330" s="5" t="s">
        <v>5266</v>
      </c>
      <c r="X330" s="24" t="str">
        <f t="shared" si="137"/>
        <v>circu.102</v>
      </c>
      <c r="Y330" s="24" t="str">
        <f t="shared" si="138"/>
        <v>Ação de circular</v>
      </c>
      <c r="Z330" s="47" t="s">
        <v>1324</v>
      </c>
      <c r="AA330" s="25" t="str">
        <f t="shared" si="127"/>
        <v>categoria.revit</v>
      </c>
      <c r="AB330" s="26" t="s">
        <v>3499</v>
      </c>
      <c r="AC330" s="25" t="str">
        <f t="shared" si="128"/>
        <v>classe.ifc</v>
      </c>
      <c r="AD330" s="26" t="s">
        <v>3462</v>
      </c>
      <c r="AE330" s="25" t="str">
        <f t="shared" si="126"/>
        <v>null</v>
      </c>
      <c r="AF330" s="26" t="s">
        <v>0</v>
      </c>
      <c r="AG330" s="47" t="s">
        <v>4664</v>
      </c>
    </row>
    <row r="331" spans="1:33" ht="6.9" customHeight="1" x14ac:dyDescent="0.4">
      <c r="A331" s="4">
        <f>ROW()</f>
        <v>331</v>
      </c>
      <c r="B331" s="9" t="s">
        <v>27</v>
      </c>
      <c r="C331" s="55" t="str">
        <f t="shared" si="129"/>
        <v>p.circular</v>
      </c>
      <c r="D331" s="6" t="str">
        <f t="shared" si="118"/>
        <v>é.circulação.de.transição</v>
      </c>
      <c r="E331" s="8" t="s">
        <v>28</v>
      </c>
      <c r="F331" s="42" t="str">
        <f t="shared" si="139"/>
        <v>d.circular</v>
      </c>
      <c r="G331" s="18" t="s">
        <v>4956</v>
      </c>
      <c r="H331" s="41" t="s">
        <v>37</v>
      </c>
      <c r="I331" s="16" t="str">
        <f t="shared" si="130"/>
        <v>null</v>
      </c>
      <c r="J331" s="13" t="s">
        <v>0</v>
      </c>
      <c r="K331" s="13" t="s">
        <v>0</v>
      </c>
      <c r="L331" s="13" t="s">
        <v>0</v>
      </c>
      <c r="M331" s="13" t="s">
        <v>0</v>
      </c>
      <c r="N331" s="15" t="s">
        <v>0</v>
      </c>
      <c r="O331" s="13" t="s">
        <v>0</v>
      </c>
      <c r="P331" s="13" t="s">
        <v>0</v>
      </c>
      <c r="Q331" s="13" t="s">
        <v>0</v>
      </c>
      <c r="R331" s="15" t="s">
        <v>0</v>
      </c>
      <c r="S331" s="10" t="s">
        <v>1</v>
      </c>
      <c r="T331" s="10" t="s">
        <v>32</v>
      </c>
      <c r="U331" s="5" t="str">
        <f t="shared" si="135"/>
        <v>Propriedade destinada a circular: é.circulação.de.transição</v>
      </c>
      <c r="V331" s="5" t="str">
        <f t="shared" si="136"/>
        <v>Dado para circular:  circulação.de.transição  Deve ser formatado como (xsd:boolean)</v>
      </c>
      <c r="W331" s="5" t="s">
        <v>5267</v>
      </c>
      <c r="X331" s="24" t="str">
        <f t="shared" si="137"/>
        <v>circu.103</v>
      </c>
      <c r="Y331" s="24" t="str">
        <f t="shared" si="138"/>
        <v>Ação de circular</v>
      </c>
      <c r="Z331" s="47" t="s">
        <v>1325</v>
      </c>
      <c r="AA331" s="25" t="str">
        <f t="shared" si="127"/>
        <v>categoria.revit</v>
      </c>
      <c r="AB331" s="26" t="s">
        <v>3499</v>
      </c>
      <c r="AC331" s="25" t="str">
        <f t="shared" si="128"/>
        <v>classe.ifc</v>
      </c>
      <c r="AD331" s="26" t="s">
        <v>3462</v>
      </c>
      <c r="AE331" s="25" t="str">
        <f t="shared" si="126"/>
        <v>null</v>
      </c>
      <c r="AF331" s="26" t="s">
        <v>0</v>
      </c>
      <c r="AG331" s="47" t="s">
        <v>2678</v>
      </c>
    </row>
    <row r="332" spans="1:33" ht="6.9" customHeight="1" x14ac:dyDescent="0.4">
      <c r="A332" s="4">
        <f>ROW()</f>
        <v>332</v>
      </c>
      <c r="B332" s="9" t="s">
        <v>27</v>
      </c>
      <c r="C332" s="55" t="str">
        <f t="shared" si="129"/>
        <v>p.circular</v>
      </c>
      <c r="D332" s="6" t="str">
        <f t="shared" si="118"/>
        <v>é.circulação.de.escape</v>
      </c>
      <c r="E332" s="8" t="s">
        <v>28</v>
      </c>
      <c r="F332" s="42" t="str">
        <f t="shared" si="139"/>
        <v>d.circular</v>
      </c>
      <c r="G332" s="18" t="s">
        <v>4957</v>
      </c>
      <c r="H332" s="41" t="s">
        <v>37</v>
      </c>
      <c r="I332" s="16" t="str">
        <f t="shared" si="130"/>
        <v>null</v>
      </c>
      <c r="J332" s="13" t="s">
        <v>0</v>
      </c>
      <c r="K332" s="13" t="s">
        <v>0</v>
      </c>
      <c r="L332" s="13" t="s">
        <v>0</v>
      </c>
      <c r="M332" s="13" t="s">
        <v>0</v>
      </c>
      <c r="N332" s="15" t="s">
        <v>0</v>
      </c>
      <c r="O332" s="13" t="s">
        <v>0</v>
      </c>
      <c r="P332" s="13" t="s">
        <v>0</v>
      </c>
      <c r="Q332" s="13" t="s">
        <v>0</v>
      </c>
      <c r="R332" s="15" t="s">
        <v>0</v>
      </c>
      <c r="S332" s="10" t="s">
        <v>1</v>
      </c>
      <c r="T332" s="10" t="s">
        <v>32</v>
      </c>
      <c r="U332" s="5" t="str">
        <f t="shared" si="135"/>
        <v>Propriedade destinada a circular: é.circulação.de.escape</v>
      </c>
      <c r="V332" s="5" t="str">
        <f t="shared" si="136"/>
        <v>Dado para circular:  circulação.de.escape  Deve ser formatado como (xsd:boolean)</v>
      </c>
      <c r="W332" s="5" t="s">
        <v>5268</v>
      </c>
      <c r="X332" s="24" t="str">
        <f t="shared" si="137"/>
        <v>circu.104</v>
      </c>
      <c r="Y332" s="24" t="str">
        <f t="shared" si="138"/>
        <v>Ação de circular</v>
      </c>
      <c r="Z332" s="47" t="s">
        <v>1326</v>
      </c>
      <c r="AA332" s="25" t="str">
        <f t="shared" si="127"/>
        <v>categoria.revit</v>
      </c>
      <c r="AB332" s="26" t="s">
        <v>3499</v>
      </c>
      <c r="AC332" s="25" t="str">
        <f t="shared" si="128"/>
        <v>classe.ifc</v>
      </c>
      <c r="AD332" s="26" t="s">
        <v>3462</v>
      </c>
      <c r="AE332" s="25" t="str">
        <f t="shared" si="126"/>
        <v>null</v>
      </c>
      <c r="AF332" s="26" t="s">
        <v>0</v>
      </c>
      <c r="AG332" s="47" t="s">
        <v>2679</v>
      </c>
    </row>
    <row r="333" spans="1:33" ht="6.9" customHeight="1" x14ac:dyDescent="0.4">
      <c r="A333" s="4">
        <f>ROW()</f>
        <v>333</v>
      </c>
      <c r="B333" s="9" t="s">
        <v>27</v>
      </c>
      <c r="C333" s="55" t="str">
        <f t="shared" si="129"/>
        <v>p.circular</v>
      </c>
      <c r="D333" s="6" t="str">
        <f t="shared" si="118"/>
        <v>é.circulação.interna</v>
      </c>
      <c r="E333" s="8" t="s">
        <v>28</v>
      </c>
      <c r="F333" s="42" t="str">
        <f t="shared" si="139"/>
        <v>d.circular</v>
      </c>
      <c r="G333" s="17" t="s">
        <v>4958</v>
      </c>
      <c r="H333" s="41" t="s">
        <v>37</v>
      </c>
      <c r="I333" s="16" t="str">
        <f t="shared" si="130"/>
        <v>null</v>
      </c>
      <c r="J333" s="15" t="s">
        <v>0</v>
      </c>
      <c r="K333" s="15" t="s">
        <v>0</v>
      </c>
      <c r="L333" s="15" t="s">
        <v>0</v>
      </c>
      <c r="M333" s="15" t="s">
        <v>0</v>
      </c>
      <c r="N333" s="15" t="s">
        <v>0</v>
      </c>
      <c r="O333" s="15" t="s">
        <v>0</v>
      </c>
      <c r="P333" s="15" t="s">
        <v>0</v>
      </c>
      <c r="Q333" s="15" t="s">
        <v>0</v>
      </c>
      <c r="R333" s="15" t="s">
        <v>0</v>
      </c>
      <c r="S333" s="10" t="s">
        <v>1</v>
      </c>
      <c r="T333" s="10" t="s">
        <v>32</v>
      </c>
      <c r="U333" s="5" t="str">
        <f t="shared" si="135"/>
        <v>Propriedade destinada a circular: é.circulação.interna</v>
      </c>
      <c r="V333" s="5" t="str">
        <f t="shared" si="136"/>
        <v>Dado para circular:  circulação.interna  Deve ser formatado como (xsd:boolean)</v>
      </c>
      <c r="W333" s="5" t="s">
        <v>5269</v>
      </c>
      <c r="X333" s="24" t="str">
        <f t="shared" si="137"/>
        <v>circu.105</v>
      </c>
      <c r="Y333" s="24" t="str">
        <f t="shared" si="138"/>
        <v>Ação de circular</v>
      </c>
      <c r="Z333" s="47" t="s">
        <v>1327</v>
      </c>
      <c r="AA333" s="25" t="str">
        <f t="shared" si="127"/>
        <v>categoria.revit</v>
      </c>
      <c r="AB333" s="26" t="s">
        <v>3499</v>
      </c>
      <c r="AC333" s="25" t="str">
        <f t="shared" si="128"/>
        <v>classe.ifc</v>
      </c>
      <c r="AD333" s="26" t="s">
        <v>3462</v>
      </c>
      <c r="AE333" s="25" t="str">
        <f t="shared" si="126"/>
        <v>null</v>
      </c>
      <c r="AF333" s="26" t="s">
        <v>0</v>
      </c>
      <c r="AG333" s="47" t="s">
        <v>4665</v>
      </c>
    </row>
    <row r="334" spans="1:33" ht="6.9" customHeight="1" x14ac:dyDescent="0.4">
      <c r="A334" s="4">
        <f>ROW()</f>
        <v>334</v>
      </c>
      <c r="B334" s="9" t="s">
        <v>27</v>
      </c>
      <c r="C334" s="55" t="str">
        <f t="shared" si="129"/>
        <v>p.circular</v>
      </c>
      <c r="D334" s="6" t="str">
        <f t="shared" si="118"/>
        <v>é.circulação.internação</v>
      </c>
      <c r="E334" s="8" t="s">
        <v>28</v>
      </c>
      <c r="F334" s="42" t="str">
        <f t="shared" si="139"/>
        <v>d.circular</v>
      </c>
      <c r="G334" s="17" t="s">
        <v>4959</v>
      </c>
      <c r="H334" s="41" t="s">
        <v>37</v>
      </c>
      <c r="I334" s="16" t="str">
        <f t="shared" si="130"/>
        <v>null</v>
      </c>
      <c r="J334" s="15" t="s">
        <v>0</v>
      </c>
      <c r="K334" s="15" t="s">
        <v>0</v>
      </c>
      <c r="L334" s="15" t="s">
        <v>0</v>
      </c>
      <c r="M334" s="15" t="s">
        <v>0</v>
      </c>
      <c r="N334" s="15" t="s">
        <v>0</v>
      </c>
      <c r="O334" s="15" t="s">
        <v>0</v>
      </c>
      <c r="P334" s="15" t="s">
        <v>0</v>
      </c>
      <c r="Q334" s="15" t="s">
        <v>0</v>
      </c>
      <c r="R334" s="15" t="s">
        <v>0</v>
      </c>
      <c r="S334" s="10" t="s">
        <v>1</v>
      </c>
      <c r="T334" s="10" t="s">
        <v>32</v>
      </c>
      <c r="U334" s="5" t="str">
        <f t="shared" si="135"/>
        <v>Propriedade destinada a circular: é.circulação.internação</v>
      </c>
      <c r="V334" s="5" t="str">
        <f t="shared" si="136"/>
        <v>Dado para circular:  circulação.internação  Deve ser formatado como (xsd:boolean)</v>
      </c>
      <c r="W334" s="5" t="s">
        <v>5270</v>
      </c>
      <c r="X334" s="24" t="str">
        <f t="shared" si="137"/>
        <v>circu.106</v>
      </c>
      <c r="Y334" s="24" t="str">
        <f t="shared" si="138"/>
        <v>Ação de circular</v>
      </c>
      <c r="Z334" s="47" t="s">
        <v>1328</v>
      </c>
      <c r="AA334" s="25" t="str">
        <f t="shared" si="127"/>
        <v>categoria.revit</v>
      </c>
      <c r="AB334" s="26" t="s">
        <v>3499</v>
      </c>
      <c r="AC334" s="25" t="str">
        <f t="shared" si="128"/>
        <v>classe.ifc</v>
      </c>
      <c r="AD334" s="26" t="s">
        <v>3462</v>
      </c>
      <c r="AE334" s="25" t="str">
        <f t="shared" si="126"/>
        <v>null</v>
      </c>
      <c r="AF334" s="26" t="s">
        <v>0</v>
      </c>
      <c r="AG334" s="47" t="s">
        <v>4666</v>
      </c>
    </row>
    <row r="335" spans="1:33" ht="6.9" customHeight="1" x14ac:dyDescent="0.4">
      <c r="A335" s="4">
        <f>ROW()</f>
        <v>335</v>
      </c>
      <c r="B335" s="9" t="s">
        <v>27</v>
      </c>
      <c r="C335" s="55" t="str">
        <f t="shared" si="129"/>
        <v>p.circular</v>
      </c>
      <c r="D335" s="6" t="str">
        <f t="shared" ref="D335:D398" si="140">_xlfn.CONCAT("é.",G335)</f>
        <v>é.circulação.limpa</v>
      </c>
      <c r="E335" s="8" t="s">
        <v>28</v>
      </c>
      <c r="F335" s="42" t="str">
        <f t="shared" si="139"/>
        <v>d.circular</v>
      </c>
      <c r="G335" s="18" t="s">
        <v>4960</v>
      </c>
      <c r="H335" s="41" t="s">
        <v>37</v>
      </c>
      <c r="I335" s="16" t="str">
        <f t="shared" si="130"/>
        <v>null</v>
      </c>
      <c r="J335" s="13" t="s">
        <v>0</v>
      </c>
      <c r="K335" s="13" t="s">
        <v>0</v>
      </c>
      <c r="L335" s="13" t="s">
        <v>0</v>
      </c>
      <c r="M335" s="13" t="s">
        <v>0</v>
      </c>
      <c r="N335" s="15" t="s">
        <v>0</v>
      </c>
      <c r="O335" s="13" t="s">
        <v>0</v>
      </c>
      <c r="P335" s="13" t="s">
        <v>0</v>
      </c>
      <c r="Q335" s="13" t="s">
        <v>0</v>
      </c>
      <c r="R335" s="15" t="s">
        <v>0</v>
      </c>
      <c r="S335" s="10" t="s">
        <v>1</v>
      </c>
      <c r="T335" s="10" t="s">
        <v>32</v>
      </c>
      <c r="U335" s="5" t="str">
        <f t="shared" si="135"/>
        <v>Propriedade destinada a circular: é.circulação.limpa</v>
      </c>
      <c r="V335" s="5" t="str">
        <f t="shared" si="136"/>
        <v>Dado para circular:  circulação.limpa  Deve ser formatado como (xsd:boolean)</v>
      </c>
      <c r="W335" s="5" t="s">
        <v>5271</v>
      </c>
      <c r="X335" s="24" t="str">
        <f t="shared" si="137"/>
        <v>circu.107</v>
      </c>
      <c r="Y335" s="24" t="str">
        <f t="shared" si="138"/>
        <v>Ação de circular</v>
      </c>
      <c r="Z335" s="47" t="s">
        <v>1329</v>
      </c>
      <c r="AA335" s="25" t="str">
        <f t="shared" si="127"/>
        <v>categoria.revit</v>
      </c>
      <c r="AB335" s="26" t="s">
        <v>3499</v>
      </c>
      <c r="AC335" s="25" t="str">
        <f t="shared" si="128"/>
        <v>classe.ifc</v>
      </c>
      <c r="AD335" s="26" t="s">
        <v>3462</v>
      </c>
      <c r="AE335" s="25" t="str">
        <f t="shared" si="126"/>
        <v>null</v>
      </c>
      <c r="AF335" s="26" t="s">
        <v>0</v>
      </c>
      <c r="AG335" s="47" t="s">
        <v>2680</v>
      </c>
    </row>
    <row r="336" spans="1:33" ht="6.9" customHeight="1" x14ac:dyDescent="0.4">
      <c r="A336" s="4">
        <f>ROW()</f>
        <v>336</v>
      </c>
      <c r="B336" s="9" t="s">
        <v>27</v>
      </c>
      <c r="C336" s="55" t="str">
        <f t="shared" si="129"/>
        <v>p.circular</v>
      </c>
      <c r="D336" s="6" t="str">
        <f t="shared" si="140"/>
        <v>é.circulação.necrotério</v>
      </c>
      <c r="E336" s="8" t="s">
        <v>28</v>
      </c>
      <c r="F336" s="42" t="str">
        <f t="shared" si="139"/>
        <v>d.circular</v>
      </c>
      <c r="G336" s="18" t="s">
        <v>4961</v>
      </c>
      <c r="H336" s="41" t="s">
        <v>37</v>
      </c>
      <c r="I336" s="16" t="str">
        <f t="shared" si="130"/>
        <v>null</v>
      </c>
      <c r="J336" s="13" t="s">
        <v>0</v>
      </c>
      <c r="K336" s="13" t="s">
        <v>0</v>
      </c>
      <c r="L336" s="13" t="s">
        <v>0</v>
      </c>
      <c r="M336" s="13" t="s">
        <v>0</v>
      </c>
      <c r="N336" s="15" t="s">
        <v>0</v>
      </c>
      <c r="O336" s="13" t="s">
        <v>0</v>
      </c>
      <c r="P336" s="13" t="s">
        <v>0</v>
      </c>
      <c r="Q336" s="13" t="s">
        <v>0</v>
      </c>
      <c r="R336" s="15" t="s">
        <v>0</v>
      </c>
      <c r="S336" s="10" t="s">
        <v>1</v>
      </c>
      <c r="T336" s="10" t="s">
        <v>32</v>
      </c>
      <c r="U336" s="5" t="str">
        <f t="shared" si="135"/>
        <v>Propriedade destinada a circular: é.circulação.necrotério</v>
      </c>
      <c r="V336" s="5" t="str">
        <f t="shared" si="136"/>
        <v>Dado para circular:  circulação.necrotério  Deve ser formatado como (xsd:boolean)</v>
      </c>
      <c r="W336" s="5" t="s">
        <v>5272</v>
      </c>
      <c r="X336" s="24" t="str">
        <f t="shared" si="137"/>
        <v>circu.108</v>
      </c>
      <c r="Y336" s="24" t="str">
        <f t="shared" si="138"/>
        <v>Ação de circular</v>
      </c>
      <c r="Z336" s="47" t="s">
        <v>1330</v>
      </c>
      <c r="AA336" s="25" t="str">
        <f t="shared" si="127"/>
        <v>categoria.revit</v>
      </c>
      <c r="AB336" s="26" t="s">
        <v>3499</v>
      </c>
      <c r="AC336" s="25" t="str">
        <f t="shared" si="128"/>
        <v>classe.ifc</v>
      </c>
      <c r="AD336" s="26" t="s">
        <v>3462</v>
      </c>
      <c r="AE336" s="25" t="str">
        <f t="shared" si="126"/>
        <v>null</v>
      </c>
      <c r="AF336" s="26" t="s">
        <v>0</v>
      </c>
      <c r="AG336" s="47" t="s">
        <v>2681</v>
      </c>
    </row>
    <row r="337" spans="1:33" ht="6.9" customHeight="1" x14ac:dyDescent="0.4">
      <c r="A337" s="4">
        <f>ROW()</f>
        <v>337</v>
      </c>
      <c r="B337" s="9" t="s">
        <v>27</v>
      </c>
      <c r="C337" s="55" t="str">
        <f t="shared" si="129"/>
        <v>p.circular</v>
      </c>
      <c r="D337" s="6" t="str">
        <f t="shared" si="140"/>
        <v>é.circulação.normal</v>
      </c>
      <c r="E337" s="8" t="s">
        <v>28</v>
      </c>
      <c r="F337" s="42" t="str">
        <f t="shared" si="139"/>
        <v>d.circular</v>
      </c>
      <c r="G337" s="18" t="s">
        <v>4962</v>
      </c>
      <c r="H337" s="41" t="s">
        <v>37</v>
      </c>
      <c r="I337" s="16" t="str">
        <f t="shared" si="130"/>
        <v>null</v>
      </c>
      <c r="J337" s="13" t="s">
        <v>0</v>
      </c>
      <c r="K337" s="13" t="s">
        <v>0</v>
      </c>
      <c r="L337" s="13" t="s">
        <v>0</v>
      </c>
      <c r="M337" s="13" t="s">
        <v>0</v>
      </c>
      <c r="N337" s="15" t="s">
        <v>0</v>
      </c>
      <c r="O337" s="13" t="s">
        <v>0</v>
      </c>
      <c r="P337" s="13" t="s">
        <v>0</v>
      </c>
      <c r="Q337" s="13" t="s">
        <v>0</v>
      </c>
      <c r="R337" s="15" t="s">
        <v>0</v>
      </c>
      <c r="S337" s="10" t="s">
        <v>1</v>
      </c>
      <c r="T337" s="10" t="s">
        <v>32</v>
      </c>
      <c r="U337" s="5" t="str">
        <f t="shared" si="135"/>
        <v>Propriedade destinada a circular: é.circulação.normal</v>
      </c>
      <c r="V337" s="5" t="str">
        <f t="shared" si="136"/>
        <v>Dado para circular:  circulação.normal  Deve ser formatado como (xsd:boolean)</v>
      </c>
      <c r="W337" s="5" t="s">
        <v>5273</v>
      </c>
      <c r="X337" s="24" t="str">
        <f t="shared" si="137"/>
        <v>circu.109</v>
      </c>
      <c r="Y337" s="24" t="str">
        <f t="shared" si="138"/>
        <v>Ação de circular</v>
      </c>
      <c r="Z337" s="47" t="s">
        <v>1331</v>
      </c>
      <c r="AA337" s="25" t="str">
        <f t="shared" si="127"/>
        <v>categoria.revit</v>
      </c>
      <c r="AB337" s="26" t="s">
        <v>3499</v>
      </c>
      <c r="AC337" s="25" t="str">
        <f t="shared" si="128"/>
        <v>classe.ifc</v>
      </c>
      <c r="AD337" s="26" t="s">
        <v>3462</v>
      </c>
      <c r="AE337" s="25" t="str">
        <f t="shared" si="126"/>
        <v>null</v>
      </c>
      <c r="AF337" s="26" t="s">
        <v>0</v>
      </c>
      <c r="AG337" s="47" t="s">
        <v>2682</v>
      </c>
    </row>
    <row r="338" spans="1:33" ht="6.9" customHeight="1" x14ac:dyDescent="0.4">
      <c r="A338" s="4">
        <f>ROW()</f>
        <v>338</v>
      </c>
      <c r="B338" s="9" t="s">
        <v>27</v>
      </c>
      <c r="C338" s="55" t="str">
        <f t="shared" ref="C338:C339" si="141">SUBSTITUTE(F338,"d.","p.")</f>
        <v>p.circular</v>
      </c>
      <c r="D338" s="6" t="str">
        <f t="shared" si="140"/>
        <v>é.circulação.pressurizada</v>
      </c>
      <c r="E338" s="8" t="s">
        <v>28</v>
      </c>
      <c r="F338" s="42" t="str">
        <f>F336</f>
        <v>d.circular</v>
      </c>
      <c r="G338" s="18" t="s">
        <v>4963</v>
      </c>
      <c r="H338" s="41" t="s">
        <v>37</v>
      </c>
      <c r="I338" s="16" t="str">
        <f t="shared" ref="I338:I339" si="142">J338</f>
        <v>null</v>
      </c>
      <c r="J338" s="13" t="s">
        <v>0</v>
      </c>
      <c r="K338" s="13" t="s">
        <v>0</v>
      </c>
      <c r="L338" s="13" t="s">
        <v>0</v>
      </c>
      <c r="M338" s="13" t="s">
        <v>0</v>
      </c>
      <c r="N338" s="15" t="s">
        <v>0</v>
      </c>
      <c r="O338" s="13" t="s">
        <v>0</v>
      </c>
      <c r="P338" s="13" t="s">
        <v>0</v>
      </c>
      <c r="Q338" s="13" t="s">
        <v>0</v>
      </c>
      <c r="R338" s="15" t="s">
        <v>0</v>
      </c>
      <c r="S338" s="10" t="s">
        <v>1</v>
      </c>
      <c r="T338" s="10" t="s">
        <v>32</v>
      </c>
      <c r="U338" s="5" t="str">
        <f t="shared" si="135"/>
        <v>Propriedade destinada a circular: é.circulação.pressurizada</v>
      </c>
      <c r="V338" s="5" t="str">
        <f t="shared" si="136"/>
        <v>Dado para circular:  circulação.pressurizada  Deve ser formatado como (xsd:boolean)</v>
      </c>
      <c r="W338" s="5" t="s">
        <v>5274</v>
      </c>
      <c r="X338" s="24" t="str">
        <f t="shared" si="137"/>
        <v>circu.110</v>
      </c>
      <c r="Y338" s="24" t="str">
        <f t="shared" si="138"/>
        <v>Ação de circular</v>
      </c>
      <c r="Z338" s="47" t="s">
        <v>4971</v>
      </c>
      <c r="AA338" s="25" t="str">
        <f t="shared" ref="AA338:AA339" si="143">IF(AB338="null", "null", "categoria.revit")</f>
        <v>categoria.revit</v>
      </c>
      <c r="AB338" s="26" t="s">
        <v>3499</v>
      </c>
      <c r="AC338" s="25" t="str">
        <f t="shared" ref="AC338:AC339" si="144">IF(AD338="null", "null", "classe.ifc")</f>
        <v>classe.ifc</v>
      </c>
      <c r="AD338" s="26" t="s">
        <v>3462</v>
      </c>
      <c r="AE338" s="25" t="str">
        <f t="shared" si="126"/>
        <v>null</v>
      </c>
      <c r="AF338" s="26" t="s">
        <v>0</v>
      </c>
      <c r="AG338" s="47" t="s">
        <v>4973</v>
      </c>
    </row>
    <row r="339" spans="1:33" ht="6.9" customHeight="1" x14ac:dyDescent="0.4">
      <c r="A339" s="4">
        <f>ROW()</f>
        <v>339</v>
      </c>
      <c r="B339" s="9" t="s">
        <v>27</v>
      </c>
      <c r="C339" s="55" t="str">
        <f t="shared" si="141"/>
        <v>p.circular</v>
      </c>
      <c r="D339" s="6" t="str">
        <f t="shared" si="140"/>
        <v>é.circulação.privada</v>
      </c>
      <c r="E339" s="8" t="s">
        <v>28</v>
      </c>
      <c r="F339" s="42" t="str">
        <f>F336</f>
        <v>d.circular</v>
      </c>
      <c r="G339" s="18" t="s">
        <v>4969</v>
      </c>
      <c r="H339" s="41" t="s">
        <v>37</v>
      </c>
      <c r="I339" s="16" t="str">
        <f t="shared" si="142"/>
        <v>null</v>
      </c>
      <c r="J339" s="13" t="s">
        <v>0</v>
      </c>
      <c r="K339" s="13" t="s">
        <v>0</v>
      </c>
      <c r="L339" s="13" t="s">
        <v>0</v>
      </c>
      <c r="M339" s="13" t="s">
        <v>0</v>
      </c>
      <c r="N339" s="15" t="s">
        <v>0</v>
      </c>
      <c r="O339" s="13" t="s">
        <v>0</v>
      </c>
      <c r="P339" s="13" t="s">
        <v>0</v>
      </c>
      <c r="Q339" s="13" t="s">
        <v>0</v>
      </c>
      <c r="R339" s="15" t="s">
        <v>0</v>
      </c>
      <c r="S339" s="10" t="s">
        <v>1</v>
      </c>
      <c r="T339" s="10" t="s">
        <v>32</v>
      </c>
      <c r="U339" s="5" t="str">
        <f t="shared" si="135"/>
        <v>Propriedade destinada a circular: é.circulação.privada</v>
      </c>
      <c r="V339" s="5" t="str">
        <f t="shared" si="136"/>
        <v>Dado para circular:  circulação.privada  Deve ser formatado como (xsd:boolean)</v>
      </c>
      <c r="W339" s="5" t="s">
        <v>5275</v>
      </c>
      <c r="X339" s="24" t="str">
        <f t="shared" si="137"/>
        <v>circu.111</v>
      </c>
      <c r="Y339" s="24" t="str">
        <f t="shared" si="138"/>
        <v>Ação de circular</v>
      </c>
      <c r="Z339" s="47" t="s">
        <v>4972</v>
      </c>
      <c r="AA339" s="25" t="str">
        <f t="shared" si="143"/>
        <v>categoria.revit</v>
      </c>
      <c r="AB339" s="26" t="s">
        <v>3499</v>
      </c>
      <c r="AC339" s="25" t="str">
        <f t="shared" si="144"/>
        <v>classe.ifc</v>
      </c>
      <c r="AD339" s="26" t="s">
        <v>3462</v>
      </c>
      <c r="AE339" s="25" t="str">
        <f t="shared" si="126"/>
        <v>null</v>
      </c>
      <c r="AF339" s="26" t="s">
        <v>0</v>
      </c>
      <c r="AG339" s="47" t="s">
        <v>4974</v>
      </c>
    </row>
    <row r="340" spans="1:33" ht="6.9" customHeight="1" x14ac:dyDescent="0.4">
      <c r="A340" s="4">
        <f>ROW()</f>
        <v>340</v>
      </c>
      <c r="B340" s="9" t="s">
        <v>27</v>
      </c>
      <c r="C340" s="55" t="str">
        <f t="shared" si="129"/>
        <v>p.circular</v>
      </c>
      <c r="D340" s="6" t="str">
        <f t="shared" si="140"/>
        <v>é.circulação.pública</v>
      </c>
      <c r="E340" s="8" t="s">
        <v>28</v>
      </c>
      <c r="F340" s="42" t="str">
        <f>F337</f>
        <v>d.circular</v>
      </c>
      <c r="G340" s="18" t="s">
        <v>4970</v>
      </c>
      <c r="H340" s="41" t="s">
        <v>37</v>
      </c>
      <c r="I340" s="16" t="str">
        <f t="shared" si="130"/>
        <v>null</v>
      </c>
      <c r="J340" s="13" t="s">
        <v>0</v>
      </c>
      <c r="K340" s="13" t="s">
        <v>0</v>
      </c>
      <c r="L340" s="13" t="s">
        <v>0</v>
      </c>
      <c r="M340" s="13" t="s">
        <v>0</v>
      </c>
      <c r="N340" s="15" t="s">
        <v>0</v>
      </c>
      <c r="O340" s="13" t="s">
        <v>0</v>
      </c>
      <c r="P340" s="13" t="s">
        <v>0</v>
      </c>
      <c r="Q340" s="13" t="s">
        <v>0</v>
      </c>
      <c r="R340" s="15" t="s">
        <v>0</v>
      </c>
      <c r="S340" s="10" t="s">
        <v>1</v>
      </c>
      <c r="T340" s="10" t="s">
        <v>32</v>
      </c>
      <c r="U340" s="5" t="str">
        <f t="shared" si="135"/>
        <v>Propriedade destinada a circular: é.circulação.pública</v>
      </c>
      <c r="V340" s="5" t="str">
        <f t="shared" si="136"/>
        <v>Dado para circular:  circulação.pública  Deve ser formatado como (xsd:boolean)</v>
      </c>
      <c r="W340" s="5" t="s">
        <v>5276</v>
      </c>
      <c r="X340" s="24" t="str">
        <f t="shared" si="137"/>
        <v>circu.112</v>
      </c>
      <c r="Y340" s="24" t="str">
        <f t="shared" si="138"/>
        <v>Ação de circular</v>
      </c>
      <c r="Z340" s="47" t="s">
        <v>1332</v>
      </c>
      <c r="AA340" s="25" t="str">
        <f t="shared" si="127"/>
        <v>categoria.revit</v>
      </c>
      <c r="AB340" s="26" t="s">
        <v>3499</v>
      </c>
      <c r="AC340" s="25" t="str">
        <f t="shared" si="128"/>
        <v>classe.ifc</v>
      </c>
      <c r="AD340" s="26" t="s">
        <v>3462</v>
      </c>
      <c r="AE340" s="25" t="str">
        <f t="shared" si="126"/>
        <v>null</v>
      </c>
      <c r="AF340" s="26" t="s">
        <v>0</v>
      </c>
      <c r="AG340" s="47" t="s">
        <v>4667</v>
      </c>
    </row>
    <row r="341" spans="1:33" ht="6.9" customHeight="1" x14ac:dyDescent="0.4">
      <c r="A341" s="4">
        <f>ROW()</f>
        <v>341</v>
      </c>
      <c r="B341" s="9" t="s">
        <v>27</v>
      </c>
      <c r="C341" s="55" t="str">
        <f t="shared" si="129"/>
        <v>p.circular</v>
      </c>
      <c r="D341" s="6" t="str">
        <f t="shared" si="140"/>
        <v>é.circulação.serviço</v>
      </c>
      <c r="E341" s="8" t="s">
        <v>28</v>
      </c>
      <c r="F341" s="42" t="str">
        <f t="shared" si="139"/>
        <v>d.circular</v>
      </c>
      <c r="G341" s="18" t="s">
        <v>4964</v>
      </c>
      <c r="H341" s="41" t="s">
        <v>37</v>
      </c>
      <c r="I341" s="16" t="str">
        <f t="shared" si="130"/>
        <v>null</v>
      </c>
      <c r="J341" s="13" t="s">
        <v>0</v>
      </c>
      <c r="K341" s="13" t="s">
        <v>0</v>
      </c>
      <c r="L341" s="13" t="s">
        <v>0</v>
      </c>
      <c r="M341" s="13" t="s">
        <v>0</v>
      </c>
      <c r="N341" s="15" t="s">
        <v>0</v>
      </c>
      <c r="O341" s="13" t="s">
        <v>0</v>
      </c>
      <c r="P341" s="13" t="s">
        <v>0</v>
      </c>
      <c r="Q341" s="13" t="s">
        <v>0</v>
      </c>
      <c r="R341" s="15" t="s">
        <v>0</v>
      </c>
      <c r="S341" s="10" t="s">
        <v>1</v>
      </c>
      <c r="T341" s="10" t="s">
        <v>32</v>
      </c>
      <c r="U341" s="5" t="str">
        <f t="shared" si="135"/>
        <v>Propriedade destinada a circular: é.circulação.serviço</v>
      </c>
      <c r="V341" s="5" t="str">
        <f t="shared" si="136"/>
        <v>Dado para circular:  circulação.serviço  Deve ser formatado como (xsd:boolean)</v>
      </c>
      <c r="W341" s="5" t="s">
        <v>5277</v>
      </c>
      <c r="X341" s="24" t="str">
        <f t="shared" si="137"/>
        <v>circu.113</v>
      </c>
      <c r="Y341" s="24" t="str">
        <f t="shared" si="138"/>
        <v>Ação de circular</v>
      </c>
      <c r="Z341" s="47" t="s">
        <v>1333</v>
      </c>
      <c r="AA341" s="25" t="str">
        <f t="shared" si="127"/>
        <v>categoria.revit</v>
      </c>
      <c r="AB341" s="26" t="s">
        <v>3499</v>
      </c>
      <c r="AC341" s="25" t="str">
        <f t="shared" si="128"/>
        <v>classe.ifc</v>
      </c>
      <c r="AD341" s="26" t="s">
        <v>3462</v>
      </c>
      <c r="AE341" s="25" t="str">
        <f t="shared" si="126"/>
        <v>null</v>
      </c>
      <c r="AF341" s="26" t="s">
        <v>0</v>
      </c>
      <c r="AG341" s="47" t="s">
        <v>2683</v>
      </c>
    </row>
    <row r="342" spans="1:33" ht="6.9" customHeight="1" x14ac:dyDescent="0.4">
      <c r="A342" s="4">
        <f>ROW()</f>
        <v>342</v>
      </c>
      <c r="B342" s="9" t="s">
        <v>27</v>
      </c>
      <c r="C342" s="55" t="str">
        <f t="shared" si="129"/>
        <v>p.circular</v>
      </c>
      <c r="D342" s="6" t="str">
        <f t="shared" si="140"/>
        <v>é.circulação.técnica</v>
      </c>
      <c r="E342" s="8" t="s">
        <v>28</v>
      </c>
      <c r="F342" s="42" t="str">
        <f t="shared" si="139"/>
        <v>d.circular</v>
      </c>
      <c r="G342" s="17" t="s">
        <v>4965</v>
      </c>
      <c r="H342" s="41" t="s">
        <v>37</v>
      </c>
      <c r="I342" s="16" t="str">
        <f t="shared" si="130"/>
        <v>null</v>
      </c>
      <c r="J342" s="15" t="s">
        <v>0</v>
      </c>
      <c r="K342" s="15" t="s">
        <v>0</v>
      </c>
      <c r="L342" s="15" t="s">
        <v>0</v>
      </c>
      <c r="M342" s="15" t="s">
        <v>0</v>
      </c>
      <c r="N342" s="15" t="s">
        <v>0</v>
      </c>
      <c r="O342" s="15" t="s">
        <v>0</v>
      </c>
      <c r="P342" s="15" t="s">
        <v>0</v>
      </c>
      <c r="Q342" s="15" t="s">
        <v>0</v>
      </c>
      <c r="R342" s="15" t="s">
        <v>0</v>
      </c>
      <c r="S342" s="10" t="s">
        <v>1</v>
      </c>
      <c r="T342" s="10" t="s">
        <v>32</v>
      </c>
      <c r="U342" s="5" t="str">
        <f t="shared" si="135"/>
        <v>Propriedade destinada a circular: é.circulação.técnica</v>
      </c>
      <c r="V342" s="5" t="str">
        <f t="shared" si="136"/>
        <v>Dado para circular:  circulação.técnica  Deve ser formatado como (xsd:boolean)</v>
      </c>
      <c r="W342" s="5" t="s">
        <v>5278</v>
      </c>
      <c r="X342" s="24" t="str">
        <f t="shared" si="137"/>
        <v>circu.114</v>
      </c>
      <c r="Y342" s="24" t="str">
        <f t="shared" si="138"/>
        <v>Ação de circular</v>
      </c>
      <c r="Z342" s="47" t="s">
        <v>1334</v>
      </c>
      <c r="AA342" s="25" t="str">
        <f t="shared" si="127"/>
        <v>categoria.revit</v>
      </c>
      <c r="AB342" s="26" t="s">
        <v>3499</v>
      </c>
      <c r="AC342" s="25" t="str">
        <f t="shared" si="128"/>
        <v>classe.ifc</v>
      </c>
      <c r="AD342" s="26" t="s">
        <v>3462</v>
      </c>
      <c r="AE342" s="25" t="str">
        <f t="shared" si="126"/>
        <v>null</v>
      </c>
      <c r="AF342" s="26" t="s">
        <v>0</v>
      </c>
      <c r="AG342" s="47" t="s">
        <v>2684</v>
      </c>
    </row>
    <row r="343" spans="1:33" ht="6.9" customHeight="1" x14ac:dyDescent="0.4">
      <c r="A343" s="4">
        <f>ROW()</f>
        <v>343</v>
      </c>
      <c r="B343" s="9" t="s">
        <v>27</v>
      </c>
      <c r="C343" s="55" t="str">
        <f t="shared" si="129"/>
        <v>p.circular</v>
      </c>
      <c r="D343" s="6" t="str">
        <f t="shared" si="140"/>
        <v>é.circulação.trajeto</v>
      </c>
      <c r="E343" s="8" t="s">
        <v>28</v>
      </c>
      <c r="F343" s="42" t="str">
        <f t="shared" si="139"/>
        <v>d.circular</v>
      </c>
      <c r="G343" s="17" t="s">
        <v>4966</v>
      </c>
      <c r="H343" s="41" t="s">
        <v>2121</v>
      </c>
      <c r="I343" s="16" t="str">
        <f t="shared" si="130"/>
        <v>null</v>
      </c>
      <c r="J343" s="15" t="s">
        <v>0</v>
      </c>
      <c r="K343" s="15" t="s">
        <v>0</v>
      </c>
      <c r="L343" s="15" t="s">
        <v>0</v>
      </c>
      <c r="M343" s="15" t="s">
        <v>0</v>
      </c>
      <c r="N343" s="15" t="s">
        <v>0</v>
      </c>
      <c r="O343" s="15" t="s">
        <v>0</v>
      </c>
      <c r="P343" s="15" t="s">
        <v>0</v>
      </c>
      <c r="Q343" s="15" t="s">
        <v>0</v>
      </c>
      <c r="R343" s="15" t="s">
        <v>0</v>
      </c>
      <c r="S343" s="10" t="s">
        <v>1</v>
      </c>
      <c r="T343" s="10" t="s">
        <v>32</v>
      </c>
      <c r="U343" s="5" t="str">
        <f t="shared" si="135"/>
        <v>Propriedade destinada a circular: é.circulação.trajeto</v>
      </c>
      <c r="V343" s="5" t="str">
        <f t="shared" si="136"/>
        <v>Dado para circular:  circulação.trajeto  Deve ser formatado como (rdfs:Literal  or  xsd:string)</v>
      </c>
      <c r="W343" s="5" t="s">
        <v>5279</v>
      </c>
      <c r="X343" s="24" t="str">
        <f t="shared" si="137"/>
        <v>circu.115</v>
      </c>
      <c r="Y343" s="24" t="str">
        <f t="shared" si="138"/>
        <v>Ação de circular</v>
      </c>
      <c r="Z343" s="47" t="s">
        <v>3961</v>
      </c>
      <c r="AA343" s="25" t="str">
        <f t="shared" si="127"/>
        <v>categoria.revit</v>
      </c>
      <c r="AB343" s="26" t="s">
        <v>3499</v>
      </c>
      <c r="AC343" s="25" t="str">
        <f t="shared" si="128"/>
        <v>classe.ifc</v>
      </c>
      <c r="AD343" s="26" t="s">
        <v>3462</v>
      </c>
      <c r="AE343" s="25" t="str">
        <f t="shared" si="126"/>
        <v>null</v>
      </c>
      <c r="AF343" s="26" t="s">
        <v>0</v>
      </c>
      <c r="AG343" s="47" t="s">
        <v>4021</v>
      </c>
    </row>
    <row r="344" spans="1:33" ht="6.9" customHeight="1" x14ac:dyDescent="0.4">
      <c r="A344" s="4">
        <f>ROW()</f>
        <v>344</v>
      </c>
      <c r="B344" s="9" t="s">
        <v>27</v>
      </c>
      <c r="C344" s="55" t="str">
        <f t="shared" si="129"/>
        <v>p.circular</v>
      </c>
      <c r="D344" s="6" t="str">
        <f t="shared" si="140"/>
        <v>é.circulação.veicular</v>
      </c>
      <c r="E344" s="8" t="s">
        <v>28</v>
      </c>
      <c r="F344" s="42" t="str">
        <f t="shared" si="139"/>
        <v>d.circular</v>
      </c>
      <c r="G344" s="18" t="s">
        <v>4967</v>
      </c>
      <c r="H344" s="41" t="s">
        <v>37</v>
      </c>
      <c r="I344" s="16" t="str">
        <f t="shared" si="130"/>
        <v>null</v>
      </c>
      <c r="J344" s="13" t="s">
        <v>0</v>
      </c>
      <c r="K344" s="13" t="s">
        <v>0</v>
      </c>
      <c r="L344" s="13" t="s">
        <v>0</v>
      </c>
      <c r="M344" s="13" t="s">
        <v>0</v>
      </c>
      <c r="N344" s="15" t="s">
        <v>0</v>
      </c>
      <c r="O344" s="13" t="s">
        <v>0</v>
      </c>
      <c r="P344" s="13" t="s">
        <v>0</v>
      </c>
      <c r="Q344" s="13" t="s">
        <v>0</v>
      </c>
      <c r="R344" s="15" t="s">
        <v>0</v>
      </c>
      <c r="S344" s="10" t="s">
        <v>1</v>
      </c>
      <c r="T344" s="10" t="s">
        <v>32</v>
      </c>
      <c r="U344" s="5" t="str">
        <f t="shared" si="135"/>
        <v>Propriedade destinada a circular: é.circulação.veicular</v>
      </c>
      <c r="V344" s="5" t="str">
        <f t="shared" si="136"/>
        <v>Dado para circular:  circulação.veicular  Deve ser formatado como (xsd:boolean)</v>
      </c>
      <c r="W344" s="5" t="s">
        <v>5280</v>
      </c>
      <c r="X344" s="24" t="str">
        <f t="shared" si="137"/>
        <v>circu.116</v>
      </c>
      <c r="Y344" s="24" t="str">
        <f t="shared" si="138"/>
        <v>Ação de circular</v>
      </c>
      <c r="Z344" s="47" t="s">
        <v>1335</v>
      </c>
      <c r="AA344" s="25" t="str">
        <f t="shared" si="127"/>
        <v>categoria.revit</v>
      </c>
      <c r="AB344" s="26" t="s">
        <v>3499</v>
      </c>
      <c r="AC344" s="25" t="str">
        <f t="shared" si="128"/>
        <v>classe.ifc</v>
      </c>
      <c r="AD344" s="26" t="s">
        <v>3462</v>
      </c>
      <c r="AE344" s="25" t="str">
        <f t="shared" si="126"/>
        <v>null</v>
      </c>
      <c r="AF344" s="26" t="s">
        <v>0</v>
      </c>
      <c r="AG344" s="47" t="s">
        <v>2685</v>
      </c>
    </row>
    <row r="345" spans="1:33" ht="6.9" customHeight="1" x14ac:dyDescent="0.4">
      <c r="A345" s="4">
        <f>ROW()</f>
        <v>345</v>
      </c>
      <c r="B345" s="9" t="s">
        <v>27</v>
      </c>
      <c r="C345" s="54" t="str">
        <f t="shared" si="129"/>
        <v>p.climatizar</v>
      </c>
      <c r="D345" s="6" t="str">
        <f t="shared" si="140"/>
        <v>é.duto.de.insuflamento</v>
      </c>
      <c r="E345" s="8" t="s">
        <v>28</v>
      </c>
      <c r="F345" s="50" t="s">
        <v>568</v>
      </c>
      <c r="G345" s="17" t="s">
        <v>1144</v>
      </c>
      <c r="H345" s="41" t="s">
        <v>2121</v>
      </c>
      <c r="I345" s="16" t="str">
        <f t="shared" si="130"/>
        <v>null</v>
      </c>
      <c r="J345" s="15" t="s">
        <v>0</v>
      </c>
      <c r="K345" s="15" t="s">
        <v>0</v>
      </c>
      <c r="L345" s="15" t="s">
        <v>0</v>
      </c>
      <c r="M345" s="15" t="s">
        <v>0</v>
      </c>
      <c r="N345" s="15" t="s">
        <v>0</v>
      </c>
      <c r="O345" s="15" t="s">
        <v>0</v>
      </c>
      <c r="P345" s="15" t="s">
        <v>0</v>
      </c>
      <c r="Q345" s="15" t="s">
        <v>0</v>
      </c>
      <c r="R345" s="15" t="s">
        <v>0</v>
      </c>
      <c r="S345" s="10" t="s">
        <v>1</v>
      </c>
      <c r="T345" s="10" t="s">
        <v>32</v>
      </c>
      <c r="U345" s="5" t="str">
        <f t="shared" si="135"/>
        <v>Propriedade destinada a climatizar: é.duto.de.insuflamento</v>
      </c>
      <c r="V345" s="5" t="str">
        <f t="shared" si="136"/>
        <v>Dado para climatizar:  duto.de.insuflamento  Deve ser formatado como (rdfs:Literal  or  xsd:string)</v>
      </c>
      <c r="W345" s="5" t="s">
        <v>5281</v>
      </c>
      <c r="X345" s="24" t="str">
        <f t="shared" si="137"/>
        <v>clima.100</v>
      </c>
      <c r="Y345" s="24" t="str">
        <f t="shared" si="138"/>
        <v>Ação de climatizar</v>
      </c>
      <c r="Z345" s="47" t="s">
        <v>8369</v>
      </c>
      <c r="AA345" s="25" t="str">
        <f t="shared" si="127"/>
        <v>categoria.revit</v>
      </c>
      <c r="AB345" s="26" t="s">
        <v>3500</v>
      </c>
      <c r="AC345" s="25" t="str">
        <f t="shared" si="128"/>
        <v>classe.ifc</v>
      </c>
      <c r="AD345" s="26" t="s">
        <v>3463</v>
      </c>
      <c r="AE345" s="25" t="str">
        <f t="shared" si="126"/>
        <v>null</v>
      </c>
      <c r="AF345" s="26" t="s">
        <v>0</v>
      </c>
      <c r="AG345" s="47" t="s">
        <v>4771</v>
      </c>
    </row>
    <row r="346" spans="1:33" ht="6.9" customHeight="1" x14ac:dyDescent="0.4">
      <c r="A346" s="4">
        <f>ROW()</f>
        <v>346</v>
      </c>
      <c r="B346" s="9" t="s">
        <v>27</v>
      </c>
      <c r="C346" s="55" t="str">
        <f t="shared" si="129"/>
        <v>p.climatizar</v>
      </c>
      <c r="D346" s="6" t="str">
        <f t="shared" si="140"/>
        <v>é.duto.de.retorno</v>
      </c>
      <c r="E346" s="8" t="s">
        <v>28</v>
      </c>
      <c r="F346" s="42" t="str">
        <f t="shared" ref="F346:F393" si="145">F345</f>
        <v>d.climatizar</v>
      </c>
      <c r="G346" s="17" t="s">
        <v>1141</v>
      </c>
      <c r="H346" s="41" t="s">
        <v>2121</v>
      </c>
      <c r="I346" s="16" t="str">
        <f t="shared" si="130"/>
        <v>null</v>
      </c>
      <c r="J346" s="15" t="s">
        <v>0</v>
      </c>
      <c r="K346" s="15" t="s">
        <v>0</v>
      </c>
      <c r="L346" s="15" t="s">
        <v>0</v>
      </c>
      <c r="M346" s="15" t="s">
        <v>0</v>
      </c>
      <c r="N346" s="15" t="s">
        <v>0</v>
      </c>
      <c r="O346" s="15" t="s">
        <v>0</v>
      </c>
      <c r="P346" s="15" t="s">
        <v>0</v>
      </c>
      <c r="Q346" s="15" t="s">
        <v>0</v>
      </c>
      <c r="R346" s="15" t="s">
        <v>0</v>
      </c>
      <c r="S346" s="10" t="s">
        <v>1</v>
      </c>
      <c r="T346" s="10" t="s">
        <v>32</v>
      </c>
      <c r="U346" s="5" t="str">
        <f t="shared" si="135"/>
        <v>Propriedade destinada a climatizar: é.duto.de.retorno</v>
      </c>
      <c r="V346" s="5" t="str">
        <f t="shared" si="136"/>
        <v>Dado para climatizar:  duto.de.retorno  Deve ser formatado como (rdfs:Literal  or  xsd:string)</v>
      </c>
      <c r="W346" s="5" t="s">
        <v>5282</v>
      </c>
      <c r="X346" s="24" t="str">
        <f t="shared" si="137"/>
        <v>clima.101</v>
      </c>
      <c r="Y346" s="24" t="str">
        <f t="shared" si="138"/>
        <v>Ação de climatizar</v>
      </c>
      <c r="Z346" s="47" t="s">
        <v>1336</v>
      </c>
      <c r="AA346" s="25" t="str">
        <f t="shared" si="127"/>
        <v>categoria.revit</v>
      </c>
      <c r="AB346" s="26" t="s">
        <v>3500</v>
      </c>
      <c r="AC346" s="25" t="str">
        <f t="shared" si="128"/>
        <v>classe.ifc</v>
      </c>
      <c r="AD346" s="26" t="s">
        <v>3463</v>
      </c>
      <c r="AE346" s="25" t="str">
        <f t="shared" si="126"/>
        <v>null</v>
      </c>
      <c r="AF346" s="26" t="s">
        <v>0</v>
      </c>
      <c r="AG346" s="47" t="s">
        <v>2686</v>
      </c>
    </row>
    <row r="347" spans="1:33" ht="6.9" customHeight="1" x14ac:dyDescent="0.4">
      <c r="A347" s="4">
        <f>ROW()</f>
        <v>347</v>
      </c>
      <c r="B347" s="9" t="s">
        <v>27</v>
      </c>
      <c r="C347" s="55" t="str">
        <f t="shared" si="129"/>
        <v>p.climatizar</v>
      </c>
      <c r="D347" s="6" t="str">
        <f t="shared" si="140"/>
        <v>é.duto.de.exaustão</v>
      </c>
      <c r="E347" s="8" t="s">
        <v>28</v>
      </c>
      <c r="F347" s="42" t="str">
        <f t="shared" si="145"/>
        <v>d.climatizar</v>
      </c>
      <c r="G347" s="17" t="s">
        <v>1142</v>
      </c>
      <c r="H347" s="41" t="s">
        <v>2121</v>
      </c>
      <c r="I347" s="16" t="str">
        <f t="shared" si="130"/>
        <v>null</v>
      </c>
      <c r="J347" s="15" t="s">
        <v>0</v>
      </c>
      <c r="K347" s="15" t="s">
        <v>0</v>
      </c>
      <c r="L347" s="15" t="s">
        <v>0</v>
      </c>
      <c r="M347" s="15" t="s">
        <v>0</v>
      </c>
      <c r="N347" s="15" t="s">
        <v>0</v>
      </c>
      <c r="O347" s="15" t="s">
        <v>0</v>
      </c>
      <c r="P347" s="15" t="s">
        <v>0</v>
      </c>
      <c r="Q347" s="15" t="s">
        <v>0</v>
      </c>
      <c r="R347" s="15" t="s">
        <v>0</v>
      </c>
      <c r="S347" s="10" t="s">
        <v>1</v>
      </c>
      <c r="T347" s="10" t="s">
        <v>32</v>
      </c>
      <c r="U347" s="5" t="str">
        <f t="shared" si="135"/>
        <v>Propriedade destinada a climatizar: é.duto.de.exaustão</v>
      </c>
      <c r="V347" s="5" t="str">
        <f t="shared" si="136"/>
        <v>Dado para climatizar:  duto.de.exaustão  Deve ser formatado como (rdfs:Literal  or  xsd:string)</v>
      </c>
      <c r="W347" s="5" t="s">
        <v>5283</v>
      </c>
      <c r="X347" s="24" t="str">
        <f t="shared" si="137"/>
        <v>clima.102</v>
      </c>
      <c r="Y347" s="24" t="str">
        <f t="shared" si="138"/>
        <v>Ação de climatizar</v>
      </c>
      <c r="Z347" s="47" t="s">
        <v>1337</v>
      </c>
      <c r="AA347" s="25" t="str">
        <f t="shared" si="127"/>
        <v>categoria.revit</v>
      </c>
      <c r="AB347" s="26" t="s">
        <v>3500</v>
      </c>
      <c r="AC347" s="25" t="str">
        <f t="shared" si="128"/>
        <v>classe.ifc</v>
      </c>
      <c r="AD347" s="26" t="s">
        <v>3463</v>
      </c>
      <c r="AE347" s="25" t="str">
        <f t="shared" si="126"/>
        <v>null</v>
      </c>
      <c r="AF347" s="26" t="s">
        <v>0</v>
      </c>
      <c r="AG347" s="47" t="s">
        <v>2687</v>
      </c>
    </row>
    <row r="348" spans="1:33" ht="6.9" customHeight="1" x14ac:dyDescent="0.4">
      <c r="A348" s="4">
        <f>ROW()</f>
        <v>348</v>
      </c>
      <c r="B348" s="9" t="s">
        <v>27</v>
      </c>
      <c r="C348" s="55" t="str">
        <f t="shared" si="129"/>
        <v>p.climatizar</v>
      </c>
      <c r="D348" s="6" t="str">
        <f t="shared" si="140"/>
        <v>é.duto.de.ventilação</v>
      </c>
      <c r="E348" s="8" t="s">
        <v>28</v>
      </c>
      <c r="F348" s="42" t="str">
        <f t="shared" si="145"/>
        <v>d.climatizar</v>
      </c>
      <c r="G348" s="17" t="s">
        <v>1143</v>
      </c>
      <c r="H348" s="41" t="s">
        <v>2121</v>
      </c>
      <c r="I348" s="16" t="str">
        <f t="shared" si="130"/>
        <v>null</v>
      </c>
      <c r="J348" s="15" t="s">
        <v>0</v>
      </c>
      <c r="K348" s="15" t="s">
        <v>0</v>
      </c>
      <c r="L348" s="15" t="s">
        <v>0</v>
      </c>
      <c r="M348" s="15" t="s">
        <v>0</v>
      </c>
      <c r="N348" s="15" t="s">
        <v>0</v>
      </c>
      <c r="O348" s="15" t="s">
        <v>0</v>
      </c>
      <c r="P348" s="15" t="s">
        <v>0</v>
      </c>
      <c r="Q348" s="15" t="s">
        <v>0</v>
      </c>
      <c r="R348" s="15" t="s">
        <v>0</v>
      </c>
      <c r="S348" s="10" t="s">
        <v>1</v>
      </c>
      <c r="T348" s="10" t="s">
        <v>32</v>
      </c>
      <c r="U348" s="5" t="str">
        <f t="shared" si="135"/>
        <v>Propriedade destinada a climatizar: é.duto.de.ventilação</v>
      </c>
      <c r="V348" s="5" t="str">
        <f t="shared" si="136"/>
        <v>Dado para climatizar:  duto.de.ventilação  Deve ser formatado como (rdfs:Literal  or  xsd:string)</v>
      </c>
      <c r="W348" s="5" t="s">
        <v>5284</v>
      </c>
      <c r="X348" s="24" t="str">
        <f t="shared" si="137"/>
        <v>clima.103</v>
      </c>
      <c r="Y348" s="24" t="str">
        <f t="shared" si="138"/>
        <v>Ação de climatizar</v>
      </c>
      <c r="Z348" s="47" t="s">
        <v>1338</v>
      </c>
      <c r="AA348" s="25" t="str">
        <f t="shared" si="127"/>
        <v>categoria.revit</v>
      </c>
      <c r="AB348" s="26" t="s">
        <v>3500</v>
      </c>
      <c r="AC348" s="25" t="str">
        <f t="shared" si="128"/>
        <v>classe.ifc</v>
      </c>
      <c r="AD348" s="26" t="s">
        <v>3463</v>
      </c>
      <c r="AE348" s="25" t="str">
        <f t="shared" si="126"/>
        <v>null</v>
      </c>
      <c r="AF348" s="26" t="s">
        <v>0</v>
      </c>
      <c r="AG348" s="47" t="s">
        <v>2688</v>
      </c>
    </row>
    <row r="349" spans="1:33" ht="6.9" customHeight="1" x14ac:dyDescent="0.4">
      <c r="A349" s="4">
        <f>ROW()</f>
        <v>349</v>
      </c>
      <c r="B349" s="9" t="s">
        <v>27</v>
      </c>
      <c r="C349" s="55" t="str">
        <f t="shared" si="129"/>
        <v>p.climatizar</v>
      </c>
      <c r="D349" s="6" t="str">
        <f t="shared" si="140"/>
        <v>é.eixo.de.duto</v>
      </c>
      <c r="E349" s="8" t="s">
        <v>28</v>
      </c>
      <c r="F349" s="42" t="str">
        <f t="shared" si="145"/>
        <v>d.climatizar</v>
      </c>
      <c r="G349" s="17" t="s">
        <v>1178</v>
      </c>
      <c r="H349" s="41" t="s">
        <v>2121</v>
      </c>
      <c r="I349" s="16" t="str">
        <f t="shared" si="130"/>
        <v>null</v>
      </c>
      <c r="J349" s="15" t="s">
        <v>0</v>
      </c>
      <c r="K349" s="15" t="s">
        <v>0</v>
      </c>
      <c r="L349" s="15" t="s">
        <v>0</v>
      </c>
      <c r="M349" s="15" t="s">
        <v>0</v>
      </c>
      <c r="N349" s="15" t="s">
        <v>0</v>
      </c>
      <c r="O349" s="15" t="s">
        <v>0</v>
      </c>
      <c r="P349" s="15" t="s">
        <v>0</v>
      </c>
      <c r="Q349" s="15" t="s">
        <v>0</v>
      </c>
      <c r="R349" s="15" t="s">
        <v>0</v>
      </c>
      <c r="S349" s="10" t="s">
        <v>1</v>
      </c>
      <c r="T349" s="10" t="s">
        <v>32</v>
      </c>
      <c r="U349" s="5" t="str">
        <f t="shared" si="135"/>
        <v>Propriedade destinada a climatizar: é.eixo.de.duto</v>
      </c>
      <c r="V349" s="5" t="str">
        <f t="shared" si="136"/>
        <v>Dado para climatizar:  eixo.de.duto  Deve ser formatado como (rdfs:Literal  or  xsd:string)</v>
      </c>
      <c r="W349" s="5" t="s">
        <v>5285</v>
      </c>
      <c r="X349" s="24" t="str">
        <f t="shared" si="137"/>
        <v>clima.104</v>
      </c>
      <c r="Y349" s="24" t="str">
        <f t="shared" si="138"/>
        <v>Ação de climatizar</v>
      </c>
      <c r="Z349" s="47" t="s">
        <v>1339</v>
      </c>
      <c r="AA349" s="25" t="str">
        <f t="shared" si="127"/>
        <v>categoria.revit</v>
      </c>
      <c r="AB349" s="26" t="s">
        <v>3493</v>
      </c>
      <c r="AC349" s="25" t="str">
        <f t="shared" si="128"/>
        <v>classe.ifc</v>
      </c>
      <c r="AD349" s="26" t="s">
        <v>3456</v>
      </c>
      <c r="AE349" s="25" t="str">
        <f t="shared" si="126"/>
        <v>null</v>
      </c>
      <c r="AF349" s="26" t="s">
        <v>0</v>
      </c>
      <c r="AG349" s="47" t="s">
        <v>4822</v>
      </c>
    </row>
    <row r="350" spans="1:33" ht="6.9" customHeight="1" x14ac:dyDescent="0.4">
      <c r="A350" s="4">
        <f>ROW()</f>
        <v>350</v>
      </c>
      <c r="B350" s="9" t="s">
        <v>27</v>
      </c>
      <c r="C350" s="55" t="str">
        <f t="shared" si="129"/>
        <v>p.climatizar</v>
      </c>
      <c r="D350" s="6" t="str">
        <f t="shared" si="140"/>
        <v>é.terminal.de.duto</v>
      </c>
      <c r="E350" s="8" t="s">
        <v>28</v>
      </c>
      <c r="F350" s="42" t="str">
        <f t="shared" si="145"/>
        <v>d.climatizar</v>
      </c>
      <c r="G350" s="17" t="s">
        <v>1145</v>
      </c>
      <c r="H350" s="41" t="s">
        <v>2121</v>
      </c>
      <c r="I350" s="16" t="str">
        <f t="shared" si="130"/>
        <v>null</v>
      </c>
      <c r="J350" s="15" t="s">
        <v>0</v>
      </c>
      <c r="K350" s="15" t="s">
        <v>0</v>
      </c>
      <c r="L350" s="15" t="s">
        <v>0</v>
      </c>
      <c r="M350" s="15" t="s">
        <v>0</v>
      </c>
      <c r="N350" s="15" t="s">
        <v>0</v>
      </c>
      <c r="O350" s="15" t="s">
        <v>0</v>
      </c>
      <c r="P350" s="15" t="s">
        <v>0</v>
      </c>
      <c r="Q350" s="15" t="s">
        <v>0</v>
      </c>
      <c r="R350" s="15" t="s">
        <v>0</v>
      </c>
      <c r="S350" s="10" t="s">
        <v>1</v>
      </c>
      <c r="T350" s="10" t="s">
        <v>32</v>
      </c>
      <c r="U350" s="5" t="str">
        <f t="shared" si="135"/>
        <v>Propriedade destinada a climatizar: é.terminal.de.duto</v>
      </c>
      <c r="V350" s="5" t="str">
        <f t="shared" si="136"/>
        <v>Dado para climatizar:  terminal.de.duto  Deve ser formatado como (rdfs:Literal  or  xsd:string)</v>
      </c>
      <c r="W350" s="5" t="s">
        <v>5286</v>
      </c>
      <c r="X350" s="24" t="str">
        <f t="shared" si="137"/>
        <v>clima.105</v>
      </c>
      <c r="Y350" s="24" t="str">
        <f t="shared" si="138"/>
        <v>Ação de climatizar</v>
      </c>
      <c r="Z350" s="47" t="s">
        <v>1340</v>
      </c>
      <c r="AA350" s="25" t="str">
        <f t="shared" si="127"/>
        <v>categoria.revit</v>
      </c>
      <c r="AB350" s="26" t="s">
        <v>3501</v>
      </c>
      <c r="AC350" s="25" t="str">
        <f t="shared" si="128"/>
        <v>null</v>
      </c>
      <c r="AD350" s="26" t="s">
        <v>0</v>
      </c>
      <c r="AE350" s="25" t="str">
        <f t="shared" ref="AE350:AE434" si="146">IF(AF350="null", "null", "propriedade")</f>
        <v>null</v>
      </c>
      <c r="AF350" s="26" t="s">
        <v>0</v>
      </c>
      <c r="AG350" s="47" t="s">
        <v>2689</v>
      </c>
    </row>
    <row r="351" spans="1:33" ht="6.9" customHeight="1" x14ac:dyDescent="0.4">
      <c r="A351" s="4">
        <f>ROW()</f>
        <v>351</v>
      </c>
      <c r="B351" s="9" t="s">
        <v>27</v>
      </c>
      <c r="C351" s="55" t="str">
        <f t="shared" si="129"/>
        <v>p.climatizar</v>
      </c>
      <c r="D351" s="6" t="str">
        <f t="shared" si="140"/>
        <v>é.conexão.de.duto</v>
      </c>
      <c r="E351" s="8" t="s">
        <v>28</v>
      </c>
      <c r="F351" s="42" t="str">
        <f t="shared" si="145"/>
        <v>d.climatizar</v>
      </c>
      <c r="G351" s="17" t="s">
        <v>1146</v>
      </c>
      <c r="H351" s="41" t="s">
        <v>2121</v>
      </c>
      <c r="I351" s="16" t="str">
        <f t="shared" si="130"/>
        <v>null</v>
      </c>
      <c r="J351" s="15" t="s">
        <v>0</v>
      </c>
      <c r="K351" s="15" t="s">
        <v>0</v>
      </c>
      <c r="L351" s="15" t="s">
        <v>0</v>
      </c>
      <c r="M351" s="15" t="s">
        <v>0</v>
      </c>
      <c r="N351" s="15" t="s">
        <v>0</v>
      </c>
      <c r="O351" s="15" t="s">
        <v>0</v>
      </c>
      <c r="P351" s="15" t="s">
        <v>0</v>
      </c>
      <c r="Q351" s="15" t="s">
        <v>0</v>
      </c>
      <c r="R351" s="15" t="s">
        <v>0</v>
      </c>
      <c r="S351" s="10" t="s">
        <v>1</v>
      </c>
      <c r="T351" s="10" t="s">
        <v>32</v>
      </c>
      <c r="U351" s="5" t="str">
        <f t="shared" si="135"/>
        <v>Propriedade destinada a climatizar: é.conexão.de.duto</v>
      </c>
      <c r="V351" s="5" t="str">
        <f t="shared" si="136"/>
        <v>Dado para climatizar:  conexão.de.duto  Deve ser formatado como (rdfs:Literal  or  xsd:string)</v>
      </c>
      <c r="W351" s="5" t="s">
        <v>5287</v>
      </c>
      <c r="X351" s="24" t="str">
        <f t="shared" si="137"/>
        <v>clima.106</v>
      </c>
      <c r="Y351" s="24" t="str">
        <f t="shared" si="138"/>
        <v>Ação de climatizar</v>
      </c>
      <c r="Z351" s="47" t="s">
        <v>1341</v>
      </c>
      <c r="AA351" s="25" t="str">
        <f t="shared" si="127"/>
        <v>categoria.revit</v>
      </c>
      <c r="AB351" s="26" t="s">
        <v>3502</v>
      </c>
      <c r="AC351" s="25" t="str">
        <f t="shared" si="128"/>
        <v>classe.ifc</v>
      </c>
      <c r="AD351" s="26" t="s">
        <v>3464</v>
      </c>
      <c r="AE351" s="25" t="str">
        <f t="shared" si="146"/>
        <v>null</v>
      </c>
      <c r="AF351" s="26" t="s">
        <v>0</v>
      </c>
      <c r="AG351" s="47" t="s">
        <v>2690</v>
      </c>
    </row>
    <row r="352" spans="1:33" ht="6.9" customHeight="1" x14ac:dyDescent="0.4">
      <c r="A352" s="4">
        <f>ROW()</f>
        <v>352</v>
      </c>
      <c r="B352" s="9" t="s">
        <v>27</v>
      </c>
      <c r="C352" s="55" t="str">
        <f t="shared" si="129"/>
        <v>p.climatizar</v>
      </c>
      <c r="D352" s="6" t="str">
        <f t="shared" si="140"/>
        <v>é.duto.flexível</v>
      </c>
      <c r="E352" s="8" t="s">
        <v>28</v>
      </c>
      <c r="F352" s="42" t="str">
        <f t="shared" si="145"/>
        <v>d.climatizar</v>
      </c>
      <c r="G352" s="17" t="s">
        <v>569</v>
      </c>
      <c r="H352" s="41" t="s">
        <v>2121</v>
      </c>
      <c r="I352" s="16" t="str">
        <f t="shared" si="130"/>
        <v>null</v>
      </c>
      <c r="J352" s="15" t="s">
        <v>0</v>
      </c>
      <c r="K352" s="15" t="s">
        <v>0</v>
      </c>
      <c r="L352" s="15" t="s">
        <v>0</v>
      </c>
      <c r="M352" s="15" t="s">
        <v>0</v>
      </c>
      <c r="N352" s="15" t="s">
        <v>0</v>
      </c>
      <c r="O352" s="15" t="s">
        <v>0</v>
      </c>
      <c r="P352" s="15" t="s">
        <v>0</v>
      </c>
      <c r="Q352" s="15" t="s">
        <v>0</v>
      </c>
      <c r="R352" s="15" t="s">
        <v>0</v>
      </c>
      <c r="S352" s="10" t="s">
        <v>1</v>
      </c>
      <c r="T352" s="10" t="s">
        <v>32</v>
      </c>
      <c r="U352" s="5" t="str">
        <f t="shared" si="135"/>
        <v>Propriedade destinada a climatizar: é.duto.flexível</v>
      </c>
      <c r="V352" s="5" t="str">
        <f t="shared" si="136"/>
        <v>Dado para climatizar:  duto.flexível  Deve ser formatado como (rdfs:Literal  or  xsd:string)</v>
      </c>
      <c r="W352" s="5" t="s">
        <v>5288</v>
      </c>
      <c r="X352" s="24" t="str">
        <f t="shared" si="137"/>
        <v>clima.107</v>
      </c>
      <c r="Y352" s="24" t="str">
        <f t="shared" si="138"/>
        <v>Ação de climatizar</v>
      </c>
      <c r="Z352" s="47" t="s">
        <v>1342</v>
      </c>
      <c r="AA352" s="25" t="str">
        <f t="shared" si="127"/>
        <v>categoria.revit</v>
      </c>
      <c r="AB352" s="26" t="s">
        <v>3503</v>
      </c>
      <c r="AC352" s="25" t="str">
        <f t="shared" si="128"/>
        <v>classe.ifc</v>
      </c>
      <c r="AD352" s="26" t="s">
        <v>3463</v>
      </c>
      <c r="AE352" s="25" t="str">
        <f t="shared" si="146"/>
        <v>null</v>
      </c>
      <c r="AF352" s="26" t="s">
        <v>0</v>
      </c>
      <c r="AG352" s="47" t="s">
        <v>4668</v>
      </c>
    </row>
    <row r="353" spans="1:33" ht="6.9" customHeight="1" x14ac:dyDescent="0.4">
      <c r="A353" s="4">
        <f>ROW()</f>
        <v>353</v>
      </c>
      <c r="B353" s="9" t="s">
        <v>27</v>
      </c>
      <c r="C353" s="55" t="str">
        <f t="shared" si="129"/>
        <v>p.climatizar</v>
      </c>
      <c r="D353" s="6" t="str">
        <f t="shared" si="140"/>
        <v>é.carga.avac.por.área</v>
      </c>
      <c r="E353" s="8" t="s">
        <v>28</v>
      </c>
      <c r="F353" s="42" t="str">
        <f t="shared" si="145"/>
        <v>d.climatizar</v>
      </c>
      <c r="G353" s="17" t="s">
        <v>573</v>
      </c>
      <c r="H353" s="41" t="s">
        <v>36</v>
      </c>
      <c r="I353" s="16" t="str">
        <f t="shared" si="130"/>
        <v>null</v>
      </c>
      <c r="J353" s="15" t="s">
        <v>0</v>
      </c>
      <c r="K353" s="15" t="s">
        <v>0</v>
      </c>
      <c r="L353" s="15" t="s">
        <v>0</v>
      </c>
      <c r="M353" s="15" t="s">
        <v>0</v>
      </c>
      <c r="N353" s="15" t="s">
        <v>0</v>
      </c>
      <c r="O353" s="15" t="s">
        <v>0</v>
      </c>
      <c r="P353" s="15" t="s">
        <v>0</v>
      </c>
      <c r="Q353" s="15" t="s">
        <v>0</v>
      </c>
      <c r="R353" s="15" t="s">
        <v>0</v>
      </c>
      <c r="S353" s="10" t="s">
        <v>1</v>
      </c>
      <c r="T353" s="10" t="s">
        <v>32</v>
      </c>
      <c r="U353" s="5" t="str">
        <f t="shared" si="135"/>
        <v>Propriedade destinada a climatizar: é.carga.avac.por.área</v>
      </c>
      <c r="V353" s="5" t="str">
        <f t="shared" si="136"/>
        <v>Dado para climatizar:  carga.avac.por.área  Deve ser formatado como (xsd:double)</v>
      </c>
      <c r="W353" s="5" t="s">
        <v>5289</v>
      </c>
      <c r="X353" s="24" t="str">
        <f t="shared" si="137"/>
        <v>clima.108</v>
      </c>
      <c r="Y353" s="24" t="str">
        <f t="shared" si="138"/>
        <v>Ação de climatizar</v>
      </c>
      <c r="Z353" s="47" t="s">
        <v>1343</v>
      </c>
      <c r="AA353" s="25" t="str">
        <f t="shared" si="127"/>
        <v>null</v>
      </c>
      <c r="AB353" s="26" t="s">
        <v>0</v>
      </c>
      <c r="AC353" s="25" t="str">
        <f t="shared" si="128"/>
        <v>null</v>
      </c>
      <c r="AD353" s="26" t="s">
        <v>0</v>
      </c>
      <c r="AE353" s="25" t="str">
        <f t="shared" si="146"/>
        <v>null</v>
      </c>
      <c r="AF353" s="26" t="s">
        <v>0</v>
      </c>
      <c r="AG353" s="47" t="s">
        <v>2691</v>
      </c>
    </row>
    <row r="354" spans="1:33" ht="6.9" customHeight="1" x14ac:dyDescent="0.4">
      <c r="A354" s="4">
        <f>ROW()</f>
        <v>354</v>
      </c>
      <c r="B354" s="9" t="s">
        <v>27</v>
      </c>
      <c r="C354" s="55" t="str">
        <f t="shared" si="129"/>
        <v>p.climatizar</v>
      </c>
      <c r="D354" s="6" t="str">
        <f t="shared" si="140"/>
        <v>é.carga.avac.real</v>
      </c>
      <c r="E354" s="8" t="s">
        <v>28</v>
      </c>
      <c r="F354" s="42" t="str">
        <f t="shared" si="145"/>
        <v>d.climatizar</v>
      </c>
      <c r="G354" s="17" t="s">
        <v>574</v>
      </c>
      <c r="H354" s="41" t="s">
        <v>36</v>
      </c>
      <c r="I354" s="16" t="str">
        <f t="shared" si="130"/>
        <v>null</v>
      </c>
      <c r="J354" s="15" t="s">
        <v>0</v>
      </c>
      <c r="K354" s="15" t="s">
        <v>0</v>
      </c>
      <c r="L354" s="15" t="s">
        <v>0</v>
      </c>
      <c r="M354" s="15" t="s">
        <v>0</v>
      </c>
      <c r="N354" s="15" t="s">
        <v>0</v>
      </c>
      <c r="O354" s="15" t="s">
        <v>0</v>
      </c>
      <c r="P354" s="15" t="s">
        <v>0</v>
      </c>
      <c r="Q354" s="15" t="s">
        <v>0</v>
      </c>
      <c r="R354" s="15" t="s">
        <v>0</v>
      </c>
      <c r="S354" s="10" t="s">
        <v>1</v>
      </c>
      <c r="T354" s="10" t="s">
        <v>32</v>
      </c>
      <c r="U354" s="5" t="str">
        <f t="shared" si="135"/>
        <v>Propriedade destinada a climatizar: é.carga.avac.real</v>
      </c>
      <c r="V354" s="5" t="str">
        <f t="shared" si="136"/>
        <v>Dado para climatizar:  carga.avac.real  Deve ser formatado como (xsd:double)</v>
      </c>
      <c r="W354" s="5" t="s">
        <v>5290</v>
      </c>
      <c r="X354" s="24" t="str">
        <f t="shared" si="137"/>
        <v>clima.109</v>
      </c>
      <c r="Y354" s="24" t="str">
        <f t="shared" si="138"/>
        <v>Ação de climatizar</v>
      </c>
      <c r="Z354" s="47" t="s">
        <v>1344</v>
      </c>
      <c r="AA354" s="25" t="str">
        <f t="shared" si="127"/>
        <v>null</v>
      </c>
      <c r="AB354" s="26" t="s">
        <v>0</v>
      </c>
      <c r="AC354" s="25" t="str">
        <f t="shared" si="128"/>
        <v>null</v>
      </c>
      <c r="AD354" s="26" t="s">
        <v>0</v>
      </c>
      <c r="AE354" s="25" t="str">
        <f t="shared" si="146"/>
        <v>null</v>
      </c>
      <c r="AF354" s="26" t="s">
        <v>0</v>
      </c>
      <c r="AG354" s="47" t="s">
        <v>2692</v>
      </c>
    </row>
    <row r="355" spans="1:33" ht="6.9" customHeight="1" x14ac:dyDescent="0.4">
      <c r="A355" s="4">
        <f>ROW()</f>
        <v>355</v>
      </c>
      <c r="B355" s="9" t="s">
        <v>27</v>
      </c>
      <c r="C355" s="55" t="str">
        <f t="shared" si="129"/>
        <v>p.climatizar</v>
      </c>
      <c r="D355" s="6" t="str">
        <f t="shared" si="140"/>
        <v>é.carga.de.aquecimento</v>
      </c>
      <c r="E355" s="8" t="s">
        <v>28</v>
      </c>
      <c r="F355" s="42" t="str">
        <f t="shared" si="145"/>
        <v>d.climatizar</v>
      </c>
      <c r="G355" s="17" t="s">
        <v>575</v>
      </c>
      <c r="H355" s="41" t="s">
        <v>36</v>
      </c>
      <c r="I355" s="16" t="str">
        <f t="shared" si="130"/>
        <v>null</v>
      </c>
      <c r="J355" s="15" t="s">
        <v>0</v>
      </c>
      <c r="K355" s="15" t="s">
        <v>0</v>
      </c>
      <c r="L355" s="15" t="s">
        <v>0</v>
      </c>
      <c r="M355" s="15" t="s">
        <v>0</v>
      </c>
      <c r="N355" s="15" t="s">
        <v>0</v>
      </c>
      <c r="O355" s="15" t="s">
        <v>0</v>
      </c>
      <c r="P355" s="15" t="s">
        <v>0</v>
      </c>
      <c r="Q355" s="15" t="s">
        <v>0</v>
      </c>
      <c r="R355" s="15" t="s">
        <v>0</v>
      </c>
      <c r="S355" s="10" t="s">
        <v>1</v>
      </c>
      <c r="T355" s="10" t="s">
        <v>32</v>
      </c>
      <c r="U355" s="5" t="str">
        <f t="shared" si="135"/>
        <v>Propriedade destinada a climatizar: é.carga.de.aquecimento</v>
      </c>
      <c r="V355" s="5" t="str">
        <f t="shared" si="136"/>
        <v>Dado para climatizar:  carga.de.aquecimento  Deve ser formatado como (xsd:double)</v>
      </c>
      <c r="W355" s="5" t="s">
        <v>5291</v>
      </c>
      <c r="X355" s="24" t="str">
        <f t="shared" si="137"/>
        <v>clima.110</v>
      </c>
      <c r="Y355" s="24" t="str">
        <f t="shared" si="138"/>
        <v>Ação de climatizar</v>
      </c>
      <c r="Z355" s="47" t="s">
        <v>1345</v>
      </c>
      <c r="AA355" s="25" t="str">
        <f t="shared" si="127"/>
        <v>null</v>
      </c>
      <c r="AB355" s="26" t="s">
        <v>0</v>
      </c>
      <c r="AC355" s="25" t="str">
        <f t="shared" si="128"/>
        <v>null</v>
      </c>
      <c r="AD355" s="26" t="s">
        <v>0</v>
      </c>
      <c r="AE355" s="25" t="str">
        <f t="shared" si="146"/>
        <v>null</v>
      </c>
      <c r="AF355" s="26" t="s">
        <v>0</v>
      </c>
      <c r="AG355" s="47" t="s">
        <v>2693</v>
      </c>
    </row>
    <row r="356" spans="1:33" ht="6.9" customHeight="1" x14ac:dyDescent="0.4">
      <c r="A356" s="4">
        <f>ROW()</f>
        <v>356</v>
      </c>
      <c r="B356" s="9" t="s">
        <v>27</v>
      </c>
      <c r="C356" s="55" t="str">
        <f t="shared" si="129"/>
        <v>p.climatizar</v>
      </c>
      <c r="D356" s="6" t="str">
        <f t="shared" si="140"/>
        <v>é.carga.de.aquecimento.calculada</v>
      </c>
      <c r="E356" s="8" t="s">
        <v>28</v>
      </c>
      <c r="F356" s="42" t="str">
        <f t="shared" si="145"/>
        <v>d.climatizar</v>
      </c>
      <c r="G356" s="17" t="s">
        <v>576</v>
      </c>
      <c r="H356" s="41" t="s">
        <v>36</v>
      </c>
      <c r="I356" s="16" t="str">
        <f t="shared" si="130"/>
        <v>null</v>
      </c>
      <c r="J356" s="15" t="s">
        <v>0</v>
      </c>
      <c r="K356" s="15" t="s">
        <v>0</v>
      </c>
      <c r="L356" s="15" t="s">
        <v>0</v>
      </c>
      <c r="M356" s="15" t="s">
        <v>0</v>
      </c>
      <c r="N356" s="15" t="s">
        <v>0</v>
      </c>
      <c r="O356" s="15" t="s">
        <v>0</v>
      </c>
      <c r="P356" s="15" t="s">
        <v>0</v>
      </c>
      <c r="Q356" s="15" t="s">
        <v>0</v>
      </c>
      <c r="R356" s="15" t="s">
        <v>0</v>
      </c>
      <c r="S356" s="10" t="s">
        <v>1</v>
      </c>
      <c r="T356" s="10" t="s">
        <v>32</v>
      </c>
      <c r="U356" s="5" t="str">
        <f t="shared" si="135"/>
        <v>Propriedade destinada a climatizar: é.carga.de.aquecimento.calculada</v>
      </c>
      <c r="V356" s="5" t="str">
        <f t="shared" si="136"/>
        <v>Dado para climatizar:  carga.de.aquecimento.calculada  Deve ser formatado como (xsd:double)</v>
      </c>
      <c r="W356" s="5" t="s">
        <v>5292</v>
      </c>
      <c r="X356" s="24" t="str">
        <f t="shared" si="137"/>
        <v>clima.111</v>
      </c>
      <c r="Y356" s="24" t="str">
        <f t="shared" si="138"/>
        <v>Ação de climatizar</v>
      </c>
      <c r="Z356" s="47" t="s">
        <v>1346</v>
      </c>
      <c r="AA356" s="25" t="str">
        <f t="shared" si="127"/>
        <v>null</v>
      </c>
      <c r="AB356" s="26" t="s">
        <v>0</v>
      </c>
      <c r="AC356" s="25" t="str">
        <f t="shared" si="128"/>
        <v>null</v>
      </c>
      <c r="AD356" s="26" t="s">
        <v>0</v>
      </c>
      <c r="AE356" s="25" t="str">
        <f t="shared" si="146"/>
        <v>null</v>
      </c>
      <c r="AF356" s="26" t="s">
        <v>0</v>
      </c>
      <c r="AG356" s="47" t="s">
        <v>2694</v>
      </c>
    </row>
    <row r="357" spans="1:33" ht="6.9" customHeight="1" x14ac:dyDescent="0.4">
      <c r="A357" s="4">
        <f>ROW()</f>
        <v>357</v>
      </c>
      <c r="B357" s="9" t="s">
        <v>27</v>
      </c>
      <c r="C357" s="55" t="str">
        <f t="shared" si="129"/>
        <v>p.climatizar</v>
      </c>
      <c r="D357" s="6" t="str">
        <f t="shared" si="140"/>
        <v>é.carga.de.aquecimento.calculada.por.área</v>
      </c>
      <c r="E357" s="8" t="s">
        <v>28</v>
      </c>
      <c r="F357" s="42" t="str">
        <f t="shared" si="145"/>
        <v>d.climatizar</v>
      </c>
      <c r="G357" s="17" t="s">
        <v>577</v>
      </c>
      <c r="H357" s="41" t="s">
        <v>36</v>
      </c>
      <c r="I357" s="16" t="str">
        <f t="shared" si="130"/>
        <v>null</v>
      </c>
      <c r="J357" s="15" t="s">
        <v>0</v>
      </c>
      <c r="K357" s="15" t="s">
        <v>0</v>
      </c>
      <c r="L357" s="15" t="s">
        <v>0</v>
      </c>
      <c r="M357" s="15" t="s">
        <v>0</v>
      </c>
      <c r="N357" s="15" t="s">
        <v>0</v>
      </c>
      <c r="O357" s="15" t="s">
        <v>0</v>
      </c>
      <c r="P357" s="15" t="s">
        <v>0</v>
      </c>
      <c r="Q357" s="15" t="s">
        <v>0</v>
      </c>
      <c r="R357" s="15" t="s">
        <v>0</v>
      </c>
      <c r="S357" s="10" t="s">
        <v>1</v>
      </c>
      <c r="T357" s="10" t="s">
        <v>32</v>
      </c>
      <c r="U357" s="5" t="str">
        <f t="shared" si="135"/>
        <v>Propriedade destinada a climatizar: é.carga.de.aquecimento.calculada.por.área</v>
      </c>
      <c r="V357" s="5" t="str">
        <f t="shared" si="136"/>
        <v>Dado para climatizar:  carga.de.aquecimento.calculada.por.área  Deve ser formatado como (xsd:double)</v>
      </c>
      <c r="W357" s="5" t="s">
        <v>5293</v>
      </c>
      <c r="X357" s="24" t="str">
        <f t="shared" si="137"/>
        <v>clima.112</v>
      </c>
      <c r="Y357" s="24" t="str">
        <f t="shared" si="138"/>
        <v>Ação de climatizar</v>
      </c>
      <c r="Z357" s="47" t="s">
        <v>1347</v>
      </c>
      <c r="AA357" s="25" t="str">
        <f t="shared" si="127"/>
        <v>null</v>
      </c>
      <c r="AB357" s="26" t="s">
        <v>0</v>
      </c>
      <c r="AC357" s="25" t="str">
        <f t="shared" si="128"/>
        <v>null</v>
      </c>
      <c r="AD357" s="26" t="s">
        <v>0</v>
      </c>
      <c r="AE357" s="25" t="str">
        <f t="shared" si="146"/>
        <v>null</v>
      </c>
      <c r="AF357" s="26" t="s">
        <v>0</v>
      </c>
      <c r="AG357" s="47" t="s">
        <v>2695</v>
      </c>
    </row>
    <row r="358" spans="1:33" ht="6.9" customHeight="1" x14ac:dyDescent="0.4">
      <c r="A358" s="4">
        <f>ROW()</f>
        <v>358</v>
      </c>
      <c r="B358" s="9" t="s">
        <v>27</v>
      </c>
      <c r="C358" s="55" t="str">
        <f t="shared" si="129"/>
        <v>p.climatizar</v>
      </c>
      <c r="D358" s="6" t="str">
        <f t="shared" si="140"/>
        <v>é.carga.de.energia</v>
      </c>
      <c r="E358" s="8" t="s">
        <v>28</v>
      </c>
      <c r="F358" s="42" t="str">
        <f t="shared" si="145"/>
        <v>d.climatizar</v>
      </c>
      <c r="G358" s="17" t="s">
        <v>578</v>
      </c>
      <c r="H358" s="41" t="s">
        <v>36</v>
      </c>
      <c r="I358" s="16" t="str">
        <f t="shared" si="130"/>
        <v>null</v>
      </c>
      <c r="J358" s="15" t="s">
        <v>0</v>
      </c>
      <c r="K358" s="15" t="s">
        <v>0</v>
      </c>
      <c r="L358" s="15" t="s">
        <v>0</v>
      </c>
      <c r="M358" s="15" t="s">
        <v>0</v>
      </c>
      <c r="N358" s="15" t="s">
        <v>0</v>
      </c>
      <c r="O358" s="15" t="s">
        <v>0</v>
      </c>
      <c r="P358" s="15" t="s">
        <v>0</v>
      </c>
      <c r="Q358" s="15" t="s">
        <v>0</v>
      </c>
      <c r="R358" s="15" t="s">
        <v>0</v>
      </c>
      <c r="S358" s="10" t="s">
        <v>1</v>
      </c>
      <c r="T358" s="10" t="s">
        <v>32</v>
      </c>
      <c r="U358" s="5" t="str">
        <f t="shared" si="135"/>
        <v>Propriedade destinada a climatizar: é.carga.de.energia</v>
      </c>
      <c r="V358" s="5" t="str">
        <f t="shared" si="136"/>
        <v>Dado para climatizar:  carga.de.energia  Deve ser formatado como (xsd:double)</v>
      </c>
      <c r="W358" s="5" t="s">
        <v>5294</v>
      </c>
      <c r="X358" s="24" t="str">
        <f t="shared" si="137"/>
        <v>clima.113</v>
      </c>
      <c r="Y358" s="24" t="str">
        <f t="shared" si="138"/>
        <v>Ação de climatizar</v>
      </c>
      <c r="Z358" s="47" t="s">
        <v>1348</v>
      </c>
      <c r="AA358" s="25" t="str">
        <f t="shared" si="127"/>
        <v>null</v>
      </c>
      <c r="AB358" s="26" t="s">
        <v>0</v>
      </c>
      <c r="AC358" s="25" t="str">
        <f t="shared" si="128"/>
        <v>null</v>
      </c>
      <c r="AD358" s="26" t="s">
        <v>0</v>
      </c>
      <c r="AE358" s="25" t="str">
        <f t="shared" si="146"/>
        <v>null</v>
      </c>
      <c r="AF358" s="26" t="s">
        <v>0</v>
      </c>
      <c r="AG358" s="47" t="s">
        <v>2696</v>
      </c>
    </row>
    <row r="359" spans="1:33" ht="6.9" customHeight="1" x14ac:dyDescent="0.4">
      <c r="A359" s="4">
        <f>ROW()</f>
        <v>359</v>
      </c>
      <c r="B359" s="9" t="s">
        <v>27</v>
      </c>
      <c r="C359" s="55" t="str">
        <f t="shared" ref="C359:C442" si="147">SUBSTITUTE(F359,"d.","p.")</f>
        <v>p.climatizar</v>
      </c>
      <c r="D359" s="6" t="str">
        <f t="shared" si="140"/>
        <v>é.carga.de.energia.necessária</v>
      </c>
      <c r="E359" s="8" t="s">
        <v>28</v>
      </c>
      <c r="F359" s="42" t="str">
        <f t="shared" si="145"/>
        <v>d.climatizar</v>
      </c>
      <c r="G359" s="17" t="s">
        <v>579</v>
      </c>
      <c r="H359" s="41" t="s">
        <v>36</v>
      </c>
      <c r="I359" s="16" t="str">
        <f t="shared" si="130"/>
        <v>null</v>
      </c>
      <c r="J359" s="15" t="s">
        <v>0</v>
      </c>
      <c r="K359" s="15" t="s">
        <v>0</v>
      </c>
      <c r="L359" s="15" t="s">
        <v>0</v>
      </c>
      <c r="M359" s="15" t="s">
        <v>0</v>
      </c>
      <c r="N359" s="15" t="s">
        <v>0</v>
      </c>
      <c r="O359" s="15" t="s">
        <v>0</v>
      </c>
      <c r="P359" s="15" t="s">
        <v>0</v>
      </c>
      <c r="Q359" s="15" t="s">
        <v>0</v>
      </c>
      <c r="R359" s="15" t="s">
        <v>0</v>
      </c>
      <c r="S359" s="10" t="s">
        <v>1</v>
      </c>
      <c r="T359" s="10" t="s">
        <v>32</v>
      </c>
      <c r="U359" s="5" t="str">
        <f t="shared" si="135"/>
        <v>Propriedade destinada a climatizar: é.carga.de.energia.necessária</v>
      </c>
      <c r="V359" s="5" t="str">
        <f t="shared" si="136"/>
        <v>Dado para climatizar:  carga.de.energia.necessária  Deve ser formatado como (xsd:double)</v>
      </c>
      <c r="W359" s="5" t="s">
        <v>5295</v>
      </c>
      <c r="X359" s="24" t="str">
        <f t="shared" si="137"/>
        <v>clima.114</v>
      </c>
      <c r="Y359" s="24" t="str">
        <f t="shared" si="138"/>
        <v>Ação de climatizar</v>
      </c>
      <c r="Z359" s="47" t="s">
        <v>1349</v>
      </c>
      <c r="AA359" s="25" t="str">
        <f t="shared" si="127"/>
        <v>null</v>
      </c>
      <c r="AB359" s="26" t="s">
        <v>0</v>
      </c>
      <c r="AC359" s="25" t="str">
        <f t="shared" si="128"/>
        <v>null</v>
      </c>
      <c r="AD359" s="26" t="s">
        <v>0</v>
      </c>
      <c r="AE359" s="25" t="str">
        <f t="shared" si="146"/>
        <v>null</v>
      </c>
      <c r="AF359" s="26" t="s">
        <v>0</v>
      </c>
      <c r="AG359" s="47" t="s">
        <v>2697</v>
      </c>
    </row>
    <row r="360" spans="1:33" ht="6.9" customHeight="1" x14ac:dyDescent="0.4">
      <c r="A360" s="4">
        <f>ROW()</f>
        <v>360</v>
      </c>
      <c r="B360" s="9" t="s">
        <v>27</v>
      </c>
      <c r="C360" s="55" t="str">
        <f t="shared" si="147"/>
        <v>p.climatizar</v>
      </c>
      <c r="D360" s="6" t="str">
        <f t="shared" si="140"/>
        <v>é.carga.de.energia.por.área</v>
      </c>
      <c r="E360" s="8" t="s">
        <v>28</v>
      </c>
      <c r="F360" s="42" t="str">
        <f t="shared" si="145"/>
        <v>d.climatizar</v>
      </c>
      <c r="G360" s="17" t="s">
        <v>580</v>
      </c>
      <c r="H360" s="41" t="s">
        <v>36</v>
      </c>
      <c r="I360" s="16" t="str">
        <f t="shared" si="130"/>
        <v>null</v>
      </c>
      <c r="J360" s="15" t="s">
        <v>0</v>
      </c>
      <c r="K360" s="15" t="s">
        <v>0</v>
      </c>
      <c r="L360" s="15" t="s">
        <v>0</v>
      </c>
      <c r="M360" s="15" t="s">
        <v>0</v>
      </c>
      <c r="N360" s="15" t="s">
        <v>0</v>
      </c>
      <c r="O360" s="15" t="s">
        <v>0</v>
      </c>
      <c r="P360" s="15" t="s">
        <v>0</v>
      </c>
      <c r="Q360" s="15" t="s">
        <v>0</v>
      </c>
      <c r="R360" s="15" t="s">
        <v>0</v>
      </c>
      <c r="S360" s="10" t="s">
        <v>1</v>
      </c>
      <c r="T360" s="10" t="s">
        <v>32</v>
      </c>
      <c r="U360" s="5" t="str">
        <f t="shared" si="135"/>
        <v>Propriedade destinada a climatizar: é.carga.de.energia.por.área</v>
      </c>
      <c r="V360" s="5" t="str">
        <f t="shared" si="136"/>
        <v>Dado para climatizar:  carga.de.energia.por.área  Deve ser formatado como (xsd:double)</v>
      </c>
      <c r="W360" s="5" t="s">
        <v>5296</v>
      </c>
      <c r="X360" s="24" t="str">
        <f t="shared" si="137"/>
        <v>clima.115</v>
      </c>
      <c r="Y360" s="24" t="str">
        <f t="shared" si="138"/>
        <v>Ação de climatizar</v>
      </c>
      <c r="Z360" s="47" t="s">
        <v>1350</v>
      </c>
      <c r="AA360" s="25" t="str">
        <f t="shared" si="127"/>
        <v>null</v>
      </c>
      <c r="AB360" s="26" t="s">
        <v>0</v>
      </c>
      <c r="AC360" s="25" t="str">
        <f t="shared" si="128"/>
        <v>null</v>
      </c>
      <c r="AD360" s="26" t="s">
        <v>0</v>
      </c>
      <c r="AE360" s="25" t="str">
        <f t="shared" si="146"/>
        <v>null</v>
      </c>
      <c r="AF360" s="26" t="s">
        <v>0</v>
      </c>
      <c r="AG360" s="47" t="s">
        <v>2698</v>
      </c>
    </row>
    <row r="361" spans="1:33" ht="6.9" customHeight="1" x14ac:dyDescent="0.4">
      <c r="A361" s="4">
        <f>ROW()</f>
        <v>361</v>
      </c>
      <c r="B361" s="9" t="s">
        <v>27</v>
      </c>
      <c r="C361" s="55" t="str">
        <f t="shared" si="147"/>
        <v>p.climatizar</v>
      </c>
      <c r="D361" s="6" t="str">
        <f t="shared" si="140"/>
        <v>é.carga.de.resfriamento</v>
      </c>
      <c r="E361" s="8" t="s">
        <v>28</v>
      </c>
      <c r="F361" s="42" t="str">
        <f t="shared" si="145"/>
        <v>d.climatizar</v>
      </c>
      <c r="G361" s="17" t="s">
        <v>581</v>
      </c>
      <c r="H361" s="41" t="s">
        <v>36</v>
      </c>
      <c r="I361" s="16" t="str">
        <f t="shared" si="130"/>
        <v>null</v>
      </c>
      <c r="J361" s="15" t="s">
        <v>0</v>
      </c>
      <c r="K361" s="15" t="s">
        <v>0</v>
      </c>
      <c r="L361" s="15" t="s">
        <v>0</v>
      </c>
      <c r="M361" s="15" t="s">
        <v>0</v>
      </c>
      <c r="N361" s="15" t="s">
        <v>0</v>
      </c>
      <c r="O361" s="15" t="s">
        <v>0</v>
      </c>
      <c r="P361" s="15" t="s">
        <v>0</v>
      </c>
      <c r="Q361" s="15" t="s">
        <v>0</v>
      </c>
      <c r="R361" s="15" t="s">
        <v>0</v>
      </c>
      <c r="S361" s="10" t="s">
        <v>1</v>
      </c>
      <c r="T361" s="10" t="s">
        <v>32</v>
      </c>
      <c r="U361" s="5" t="str">
        <f t="shared" si="135"/>
        <v>Propriedade destinada a climatizar: é.carga.de.resfriamento</v>
      </c>
      <c r="V361" s="5" t="str">
        <f t="shared" si="136"/>
        <v>Dado para climatizar:  carga.de.resfriamento  Deve ser formatado como (xsd:double)</v>
      </c>
      <c r="W361" s="5" t="s">
        <v>5297</v>
      </c>
      <c r="X361" s="24" t="str">
        <f t="shared" si="137"/>
        <v>clima.116</v>
      </c>
      <c r="Y361" s="24" t="str">
        <f t="shared" si="138"/>
        <v>Ação de climatizar</v>
      </c>
      <c r="Z361" s="47" t="s">
        <v>1351</v>
      </c>
      <c r="AA361" s="25" t="str">
        <f t="shared" ref="AA361:AA442" si="148">IF(AB361="null", "null", "categoria.revit")</f>
        <v>null</v>
      </c>
      <c r="AB361" s="26" t="s">
        <v>0</v>
      </c>
      <c r="AC361" s="25" t="str">
        <f t="shared" ref="AC361:AC442" si="149">IF(AD361="null", "null", "classe.ifc")</f>
        <v>null</v>
      </c>
      <c r="AD361" s="26" t="s">
        <v>0</v>
      </c>
      <c r="AE361" s="25" t="str">
        <f t="shared" si="146"/>
        <v>null</v>
      </c>
      <c r="AF361" s="26" t="s">
        <v>0</v>
      </c>
      <c r="AG361" s="47" t="s">
        <v>2699</v>
      </c>
    </row>
    <row r="362" spans="1:33" ht="6.9" customHeight="1" x14ac:dyDescent="0.4">
      <c r="A362" s="4">
        <f>ROW()</f>
        <v>362</v>
      </c>
      <c r="B362" s="9" t="s">
        <v>27</v>
      </c>
      <c r="C362" s="55" t="str">
        <f t="shared" si="147"/>
        <v>p.climatizar</v>
      </c>
      <c r="D362" s="6" t="str">
        <f t="shared" si="140"/>
        <v>é.carga.de.resfriamento.calculada</v>
      </c>
      <c r="E362" s="8" t="s">
        <v>28</v>
      </c>
      <c r="F362" s="42" t="str">
        <f t="shared" si="145"/>
        <v>d.climatizar</v>
      </c>
      <c r="G362" s="17" t="s">
        <v>582</v>
      </c>
      <c r="H362" s="41" t="s">
        <v>36</v>
      </c>
      <c r="I362" s="16" t="str">
        <f t="shared" ref="I362:I442" si="150">J362</f>
        <v>null</v>
      </c>
      <c r="J362" s="15" t="s">
        <v>0</v>
      </c>
      <c r="K362" s="15" t="s">
        <v>0</v>
      </c>
      <c r="L362" s="15" t="s">
        <v>0</v>
      </c>
      <c r="M362" s="15" t="s">
        <v>0</v>
      </c>
      <c r="N362" s="15" t="s">
        <v>0</v>
      </c>
      <c r="O362" s="15" t="s">
        <v>0</v>
      </c>
      <c r="P362" s="15" t="s">
        <v>0</v>
      </c>
      <c r="Q362" s="15" t="s">
        <v>0</v>
      </c>
      <c r="R362" s="15" t="s">
        <v>0</v>
      </c>
      <c r="S362" s="10" t="s">
        <v>1</v>
      </c>
      <c r="T362" s="10" t="s">
        <v>32</v>
      </c>
      <c r="U362" s="5" t="str">
        <f t="shared" si="135"/>
        <v>Propriedade destinada a climatizar: é.carga.de.resfriamento.calculada</v>
      </c>
      <c r="V362" s="5" t="str">
        <f t="shared" si="136"/>
        <v>Dado para climatizar:  carga.de.resfriamento.calculada  Deve ser formatado como (xsd:double)</v>
      </c>
      <c r="W362" s="5" t="s">
        <v>5298</v>
      </c>
      <c r="X362" s="24" t="str">
        <f t="shared" si="137"/>
        <v>clima.117</v>
      </c>
      <c r="Y362" s="24" t="str">
        <f t="shared" si="138"/>
        <v>Ação de climatizar</v>
      </c>
      <c r="Z362" s="47" t="s">
        <v>1352</v>
      </c>
      <c r="AA362" s="25" t="str">
        <f t="shared" si="148"/>
        <v>null</v>
      </c>
      <c r="AB362" s="26" t="s">
        <v>0</v>
      </c>
      <c r="AC362" s="25" t="str">
        <f t="shared" si="149"/>
        <v>null</v>
      </c>
      <c r="AD362" s="26" t="s">
        <v>0</v>
      </c>
      <c r="AE362" s="25" t="str">
        <f t="shared" si="146"/>
        <v>null</v>
      </c>
      <c r="AF362" s="26" t="s">
        <v>0</v>
      </c>
      <c r="AG362" s="47" t="s">
        <v>2700</v>
      </c>
    </row>
    <row r="363" spans="1:33" ht="6.9" customHeight="1" x14ac:dyDescent="0.4">
      <c r="A363" s="4">
        <f>ROW()</f>
        <v>363</v>
      </c>
      <c r="B363" s="9" t="s">
        <v>27</v>
      </c>
      <c r="C363" s="55" t="str">
        <f t="shared" si="147"/>
        <v>p.climatizar</v>
      </c>
      <c r="D363" s="6" t="str">
        <f t="shared" si="140"/>
        <v>é.carga.de.resfriamento.calculada.por.área</v>
      </c>
      <c r="E363" s="8" t="s">
        <v>28</v>
      </c>
      <c r="F363" s="42" t="str">
        <f t="shared" si="145"/>
        <v>d.climatizar</v>
      </c>
      <c r="G363" s="17" t="s">
        <v>583</v>
      </c>
      <c r="H363" s="41" t="s">
        <v>36</v>
      </c>
      <c r="I363" s="16" t="str">
        <f t="shared" si="150"/>
        <v>null</v>
      </c>
      <c r="J363" s="15" t="s">
        <v>0</v>
      </c>
      <c r="K363" s="15" t="s">
        <v>0</v>
      </c>
      <c r="L363" s="15" t="s">
        <v>0</v>
      </c>
      <c r="M363" s="15" t="s">
        <v>0</v>
      </c>
      <c r="N363" s="15" t="s">
        <v>0</v>
      </c>
      <c r="O363" s="15" t="s">
        <v>0</v>
      </c>
      <c r="P363" s="15" t="s">
        <v>0</v>
      </c>
      <c r="Q363" s="15" t="s">
        <v>0</v>
      </c>
      <c r="R363" s="15" t="s">
        <v>0</v>
      </c>
      <c r="S363" s="10" t="s">
        <v>1</v>
      </c>
      <c r="T363" s="10" t="s">
        <v>32</v>
      </c>
      <c r="U363" s="5" t="str">
        <f t="shared" si="135"/>
        <v>Propriedade destinada a climatizar: é.carga.de.resfriamento.calculada.por.área</v>
      </c>
      <c r="V363" s="5" t="str">
        <f t="shared" si="136"/>
        <v>Dado para climatizar:  carga.de.resfriamento.calculada.por.área  Deve ser formatado como (xsd:double)</v>
      </c>
      <c r="W363" s="5" t="s">
        <v>5299</v>
      </c>
      <c r="X363" s="24" t="str">
        <f t="shared" si="137"/>
        <v>clima.118</v>
      </c>
      <c r="Y363" s="24" t="str">
        <f t="shared" si="138"/>
        <v>Ação de climatizar</v>
      </c>
      <c r="Z363" s="47" t="s">
        <v>1353</v>
      </c>
      <c r="AA363" s="25" t="str">
        <f t="shared" si="148"/>
        <v>null</v>
      </c>
      <c r="AB363" s="26" t="s">
        <v>0</v>
      </c>
      <c r="AC363" s="25" t="str">
        <f t="shared" si="149"/>
        <v>null</v>
      </c>
      <c r="AD363" s="26" t="s">
        <v>0</v>
      </c>
      <c r="AE363" s="25" t="str">
        <f t="shared" si="146"/>
        <v>null</v>
      </c>
      <c r="AF363" s="26" t="s">
        <v>0</v>
      </c>
      <c r="AG363" s="47" t="s">
        <v>2701</v>
      </c>
    </row>
    <row r="364" spans="1:33" ht="6.9" customHeight="1" x14ac:dyDescent="0.4">
      <c r="A364" s="4">
        <f>ROW()</f>
        <v>364</v>
      </c>
      <c r="B364" s="9" t="s">
        <v>27</v>
      </c>
      <c r="C364" s="55" t="str">
        <f t="shared" si="147"/>
        <v>p.climatizar</v>
      </c>
      <c r="D364" s="6" t="str">
        <f t="shared" si="140"/>
        <v>é.carga.real.alternativa</v>
      </c>
      <c r="E364" s="8" t="s">
        <v>28</v>
      </c>
      <c r="F364" s="42" t="str">
        <f t="shared" si="145"/>
        <v>d.climatizar</v>
      </c>
      <c r="G364" s="17" t="s">
        <v>584</v>
      </c>
      <c r="H364" s="41" t="s">
        <v>36</v>
      </c>
      <c r="I364" s="16" t="str">
        <f t="shared" si="150"/>
        <v>null</v>
      </c>
      <c r="J364" s="15" t="s">
        <v>0</v>
      </c>
      <c r="K364" s="15" t="s">
        <v>0</v>
      </c>
      <c r="L364" s="15" t="s">
        <v>0</v>
      </c>
      <c r="M364" s="15" t="s">
        <v>0</v>
      </c>
      <c r="N364" s="15" t="s">
        <v>0</v>
      </c>
      <c r="O364" s="15" t="s">
        <v>0</v>
      </c>
      <c r="P364" s="15" t="s">
        <v>0</v>
      </c>
      <c r="Q364" s="15" t="s">
        <v>0</v>
      </c>
      <c r="R364" s="15" t="s">
        <v>0</v>
      </c>
      <c r="S364" s="10" t="s">
        <v>1</v>
      </c>
      <c r="T364" s="10" t="s">
        <v>32</v>
      </c>
      <c r="U364" s="5" t="str">
        <f t="shared" si="135"/>
        <v>Propriedade destinada a climatizar: é.carga.real.alternativa</v>
      </c>
      <c r="V364" s="5" t="str">
        <f t="shared" si="136"/>
        <v>Dado para climatizar:  carga.real.alternativa  Deve ser formatado como (xsd:double)</v>
      </c>
      <c r="W364" s="5" t="s">
        <v>5300</v>
      </c>
      <c r="X364" s="24" t="str">
        <f t="shared" si="137"/>
        <v>clima.119</v>
      </c>
      <c r="Y364" s="24" t="str">
        <f t="shared" si="138"/>
        <v>Ação de climatizar</v>
      </c>
      <c r="Z364" s="47" t="s">
        <v>585</v>
      </c>
      <c r="AA364" s="25" t="str">
        <f t="shared" si="148"/>
        <v>null</v>
      </c>
      <c r="AB364" s="26" t="s">
        <v>0</v>
      </c>
      <c r="AC364" s="25" t="str">
        <f t="shared" si="149"/>
        <v>null</v>
      </c>
      <c r="AD364" s="26" t="s">
        <v>0</v>
      </c>
      <c r="AE364" s="25" t="str">
        <f t="shared" si="146"/>
        <v>null</v>
      </c>
      <c r="AF364" s="26" t="s">
        <v>0</v>
      </c>
      <c r="AG364" s="47" t="s">
        <v>2702</v>
      </c>
    </row>
    <row r="365" spans="1:33" ht="6.9" customHeight="1" x14ac:dyDescent="0.4">
      <c r="A365" s="4">
        <f>ROW()</f>
        <v>365</v>
      </c>
      <c r="B365" s="9" t="s">
        <v>27</v>
      </c>
      <c r="C365" s="55" t="str">
        <f t="shared" si="147"/>
        <v>p.climatizar</v>
      </c>
      <c r="D365" s="6" t="str">
        <f t="shared" si="140"/>
        <v>é.carga.real.de.energia</v>
      </c>
      <c r="E365" s="8" t="s">
        <v>28</v>
      </c>
      <c r="F365" s="42" t="str">
        <f t="shared" si="145"/>
        <v>d.climatizar</v>
      </c>
      <c r="G365" s="17" t="s">
        <v>586</v>
      </c>
      <c r="H365" s="41" t="s">
        <v>36</v>
      </c>
      <c r="I365" s="16" t="str">
        <f t="shared" si="150"/>
        <v>null</v>
      </c>
      <c r="J365" s="15" t="s">
        <v>0</v>
      </c>
      <c r="K365" s="15" t="s">
        <v>0</v>
      </c>
      <c r="L365" s="15" t="s">
        <v>0</v>
      </c>
      <c r="M365" s="15" t="s">
        <v>0</v>
      </c>
      <c r="N365" s="15" t="s">
        <v>0</v>
      </c>
      <c r="O365" s="15" t="s">
        <v>0</v>
      </c>
      <c r="P365" s="15" t="s">
        <v>0</v>
      </c>
      <c r="Q365" s="15" t="s">
        <v>0</v>
      </c>
      <c r="R365" s="15" t="s">
        <v>0</v>
      </c>
      <c r="S365" s="10" t="s">
        <v>1</v>
      </c>
      <c r="T365" s="10" t="s">
        <v>32</v>
      </c>
      <c r="U365" s="5" t="str">
        <f t="shared" si="135"/>
        <v>Propriedade destinada a climatizar: é.carga.real.de.energia</v>
      </c>
      <c r="V365" s="5" t="str">
        <f t="shared" si="136"/>
        <v>Dado para climatizar:  carga.real.de.energia  Deve ser formatado como (xsd:double)</v>
      </c>
      <c r="W365" s="5" t="s">
        <v>5301</v>
      </c>
      <c r="X365" s="24" t="str">
        <f t="shared" si="137"/>
        <v>clima.120</v>
      </c>
      <c r="Y365" s="24" t="str">
        <f t="shared" si="138"/>
        <v>Ação de climatizar</v>
      </c>
      <c r="Z365" s="47" t="s">
        <v>1354</v>
      </c>
      <c r="AA365" s="25" t="str">
        <f t="shared" si="148"/>
        <v>null</v>
      </c>
      <c r="AB365" s="26" t="s">
        <v>0</v>
      </c>
      <c r="AC365" s="25" t="str">
        <f t="shared" si="149"/>
        <v>null</v>
      </c>
      <c r="AD365" s="26" t="s">
        <v>0</v>
      </c>
      <c r="AE365" s="25" t="str">
        <f t="shared" si="146"/>
        <v>null</v>
      </c>
      <c r="AF365" s="26" t="s">
        <v>0</v>
      </c>
      <c r="AG365" s="47" t="s">
        <v>2703</v>
      </c>
    </row>
    <row r="366" spans="1:33" ht="6.9" customHeight="1" x14ac:dyDescent="0.4">
      <c r="A366" s="4">
        <f>ROW()</f>
        <v>366</v>
      </c>
      <c r="B366" s="9" t="s">
        <v>27</v>
      </c>
      <c r="C366" s="55" t="str">
        <f t="shared" si="147"/>
        <v>p.climatizar</v>
      </c>
      <c r="D366" s="6" t="str">
        <f t="shared" si="140"/>
        <v>é.carga.real.de.energia.por.área</v>
      </c>
      <c r="E366" s="8" t="s">
        <v>28</v>
      </c>
      <c r="F366" s="42" t="str">
        <f t="shared" si="145"/>
        <v>d.climatizar</v>
      </c>
      <c r="G366" s="17" t="s">
        <v>587</v>
      </c>
      <c r="H366" s="41" t="s">
        <v>36</v>
      </c>
      <c r="I366" s="16" t="str">
        <f t="shared" si="150"/>
        <v>null</v>
      </c>
      <c r="J366" s="15" t="s">
        <v>0</v>
      </c>
      <c r="K366" s="15" t="s">
        <v>0</v>
      </c>
      <c r="L366" s="15" t="s">
        <v>0</v>
      </c>
      <c r="M366" s="15" t="s">
        <v>0</v>
      </c>
      <c r="N366" s="15" t="s">
        <v>0</v>
      </c>
      <c r="O366" s="15" t="s">
        <v>0</v>
      </c>
      <c r="P366" s="15" t="s">
        <v>0</v>
      </c>
      <c r="Q366" s="15" t="s">
        <v>0</v>
      </c>
      <c r="R366" s="15" t="s">
        <v>0</v>
      </c>
      <c r="S366" s="10" t="s">
        <v>1</v>
      </c>
      <c r="T366" s="10" t="s">
        <v>32</v>
      </c>
      <c r="U366" s="5" t="str">
        <f t="shared" si="135"/>
        <v>Propriedade destinada a climatizar: é.carga.real.de.energia.por.área</v>
      </c>
      <c r="V366" s="5" t="str">
        <f t="shared" si="136"/>
        <v>Dado para climatizar:  carga.real.de.energia.por.área  Deve ser formatado como (xsd:double)</v>
      </c>
      <c r="W366" s="5" t="s">
        <v>5302</v>
      </c>
      <c r="X366" s="24" t="str">
        <f t="shared" si="137"/>
        <v>clima.121</v>
      </c>
      <c r="Y366" s="24" t="str">
        <f t="shared" si="138"/>
        <v>Ação de climatizar</v>
      </c>
      <c r="Z366" s="47" t="s">
        <v>1355</v>
      </c>
      <c r="AA366" s="25" t="str">
        <f t="shared" si="148"/>
        <v>null</v>
      </c>
      <c r="AB366" s="26" t="s">
        <v>0</v>
      </c>
      <c r="AC366" s="25" t="str">
        <f t="shared" si="149"/>
        <v>null</v>
      </c>
      <c r="AD366" s="26" t="s">
        <v>0</v>
      </c>
      <c r="AE366" s="25" t="str">
        <f t="shared" si="146"/>
        <v>null</v>
      </c>
      <c r="AF366" s="26" t="s">
        <v>0</v>
      </c>
      <c r="AG366" s="47" t="s">
        <v>2704</v>
      </c>
    </row>
    <row r="367" spans="1:33" ht="6.9" customHeight="1" x14ac:dyDescent="0.4">
      <c r="A367" s="4">
        <f>ROW()</f>
        <v>367</v>
      </c>
      <c r="B367" s="9" t="s">
        <v>27</v>
      </c>
      <c r="C367" s="55" t="str">
        <f t="shared" si="147"/>
        <v>p.climatizar</v>
      </c>
      <c r="D367" s="6" t="str">
        <f t="shared" si="140"/>
        <v>é.carga.real.de.força.motriz</v>
      </c>
      <c r="E367" s="8" t="s">
        <v>28</v>
      </c>
      <c r="F367" s="42" t="str">
        <f t="shared" si="145"/>
        <v>d.climatizar</v>
      </c>
      <c r="G367" s="17" t="s">
        <v>588</v>
      </c>
      <c r="H367" s="41" t="s">
        <v>36</v>
      </c>
      <c r="I367" s="16" t="str">
        <f t="shared" si="150"/>
        <v>null</v>
      </c>
      <c r="J367" s="15" t="s">
        <v>0</v>
      </c>
      <c r="K367" s="15" t="s">
        <v>0</v>
      </c>
      <c r="L367" s="15" t="s">
        <v>0</v>
      </c>
      <c r="M367" s="15" t="s">
        <v>0</v>
      </c>
      <c r="N367" s="15" t="s">
        <v>0</v>
      </c>
      <c r="O367" s="15" t="s">
        <v>0</v>
      </c>
      <c r="P367" s="15" t="s">
        <v>0</v>
      </c>
      <c r="Q367" s="15" t="s">
        <v>0</v>
      </c>
      <c r="R367" s="15" t="s">
        <v>0</v>
      </c>
      <c r="S367" s="10" t="s">
        <v>1</v>
      </c>
      <c r="T367" s="10" t="s">
        <v>32</v>
      </c>
      <c r="U367" s="5" t="str">
        <f t="shared" si="135"/>
        <v>Propriedade destinada a climatizar: é.carga.real.de.força.motriz</v>
      </c>
      <c r="V367" s="5" t="str">
        <f t="shared" si="136"/>
        <v>Dado para climatizar:  carga.real.de.força.motriz  Deve ser formatado como (xsd:double)</v>
      </c>
      <c r="W367" s="5" t="s">
        <v>5303</v>
      </c>
      <c r="X367" s="24" t="str">
        <f t="shared" si="137"/>
        <v>clima.122</v>
      </c>
      <c r="Y367" s="24" t="str">
        <f t="shared" si="138"/>
        <v>Ação de climatizar</v>
      </c>
      <c r="Z367" s="47" t="s">
        <v>1356</v>
      </c>
      <c r="AA367" s="25" t="str">
        <f t="shared" si="148"/>
        <v>null</v>
      </c>
      <c r="AB367" s="26" t="s">
        <v>0</v>
      </c>
      <c r="AC367" s="25" t="str">
        <f t="shared" si="149"/>
        <v>null</v>
      </c>
      <c r="AD367" s="26" t="s">
        <v>0</v>
      </c>
      <c r="AE367" s="25" t="str">
        <f t="shared" si="146"/>
        <v>null</v>
      </c>
      <c r="AF367" s="26" t="s">
        <v>0</v>
      </c>
      <c r="AG367" s="47" t="s">
        <v>2705</v>
      </c>
    </row>
    <row r="368" spans="1:33" ht="6.9" customHeight="1" x14ac:dyDescent="0.4">
      <c r="A368" s="4">
        <f>ROW()</f>
        <v>368</v>
      </c>
      <c r="B368" s="9" t="s">
        <v>27</v>
      </c>
      <c r="C368" s="55" t="str">
        <f t="shared" si="147"/>
        <v>p.climatizar</v>
      </c>
      <c r="D368" s="6" t="str">
        <f t="shared" si="140"/>
        <v>é.carga.real.de.reserva</v>
      </c>
      <c r="E368" s="8" t="s">
        <v>28</v>
      </c>
      <c r="F368" s="42" t="str">
        <f t="shared" si="145"/>
        <v>d.climatizar</v>
      </c>
      <c r="G368" s="17" t="s">
        <v>589</v>
      </c>
      <c r="H368" s="41" t="s">
        <v>36</v>
      </c>
      <c r="I368" s="16" t="str">
        <f t="shared" si="150"/>
        <v>null</v>
      </c>
      <c r="J368" s="15" t="s">
        <v>0</v>
      </c>
      <c r="K368" s="15" t="s">
        <v>0</v>
      </c>
      <c r="L368" s="15" t="s">
        <v>0</v>
      </c>
      <c r="M368" s="15" t="s">
        <v>0</v>
      </c>
      <c r="N368" s="15" t="s">
        <v>0</v>
      </c>
      <c r="O368" s="15" t="s">
        <v>0</v>
      </c>
      <c r="P368" s="15" t="s">
        <v>0</v>
      </c>
      <c r="Q368" s="15" t="s">
        <v>0</v>
      </c>
      <c r="R368" s="15" t="s">
        <v>0</v>
      </c>
      <c r="S368" s="10" t="s">
        <v>1</v>
      </c>
      <c r="T368" s="10" t="s">
        <v>32</v>
      </c>
      <c r="U368" s="5" t="str">
        <f t="shared" si="135"/>
        <v>Propriedade destinada a climatizar: é.carga.real.de.reserva</v>
      </c>
      <c r="V368" s="5" t="str">
        <f t="shared" si="136"/>
        <v>Dado para climatizar:  carga.real.de.reserva  Deve ser formatado como (xsd:double)</v>
      </c>
      <c r="W368" s="5" t="s">
        <v>5304</v>
      </c>
      <c r="X368" s="24" t="str">
        <f t="shared" si="137"/>
        <v>clima.123</v>
      </c>
      <c r="Y368" s="24" t="str">
        <f t="shared" si="138"/>
        <v>Ação de climatizar</v>
      </c>
      <c r="Z368" s="47" t="s">
        <v>1357</v>
      </c>
      <c r="AA368" s="25" t="str">
        <f t="shared" si="148"/>
        <v>null</v>
      </c>
      <c r="AB368" s="26" t="s">
        <v>0</v>
      </c>
      <c r="AC368" s="25" t="str">
        <f t="shared" si="149"/>
        <v>null</v>
      </c>
      <c r="AD368" s="26" t="s">
        <v>0</v>
      </c>
      <c r="AE368" s="25" t="str">
        <f t="shared" si="146"/>
        <v>null</v>
      </c>
      <c r="AF368" s="26" t="s">
        <v>0</v>
      </c>
      <c r="AG368" s="47" t="s">
        <v>2706</v>
      </c>
    </row>
    <row r="369" spans="1:33" ht="6.9" customHeight="1" x14ac:dyDescent="0.4">
      <c r="A369" s="4">
        <f>ROW()</f>
        <v>369</v>
      </c>
      <c r="B369" s="9" t="s">
        <v>27</v>
      </c>
      <c r="C369" s="55" t="str">
        <f t="shared" si="147"/>
        <v>p.climatizar</v>
      </c>
      <c r="D369" s="6" t="str">
        <f t="shared" si="140"/>
        <v>é.fluxo.de.ar.de.alimentação</v>
      </c>
      <c r="E369" s="8" t="s">
        <v>28</v>
      </c>
      <c r="F369" s="42" t="str">
        <f t="shared" si="145"/>
        <v>d.climatizar</v>
      </c>
      <c r="G369" s="17" t="s">
        <v>590</v>
      </c>
      <c r="H369" s="41" t="s">
        <v>36</v>
      </c>
      <c r="I369" s="16" t="str">
        <f t="shared" si="150"/>
        <v>null</v>
      </c>
      <c r="J369" s="15" t="s">
        <v>0</v>
      </c>
      <c r="K369" s="15" t="s">
        <v>0</v>
      </c>
      <c r="L369" s="15" t="s">
        <v>0</v>
      </c>
      <c r="M369" s="15" t="s">
        <v>0</v>
      </c>
      <c r="N369" s="15" t="s">
        <v>0</v>
      </c>
      <c r="O369" s="15" t="s">
        <v>0</v>
      </c>
      <c r="P369" s="15" t="s">
        <v>0</v>
      </c>
      <c r="Q369" s="15" t="s">
        <v>0</v>
      </c>
      <c r="R369" s="15" t="s">
        <v>0</v>
      </c>
      <c r="S369" s="10" t="s">
        <v>1</v>
      </c>
      <c r="T369" s="10" t="s">
        <v>32</v>
      </c>
      <c r="U369" s="5" t="str">
        <f t="shared" si="135"/>
        <v>Propriedade destinada a climatizar: é.fluxo.de.ar.de.alimentação</v>
      </c>
      <c r="V369" s="5" t="str">
        <f t="shared" si="136"/>
        <v>Dado para climatizar:  fluxo.de.ar.de.alimentação  Deve ser formatado como (xsd:double)</v>
      </c>
      <c r="W369" s="5" t="s">
        <v>5305</v>
      </c>
      <c r="X369" s="24" t="str">
        <f t="shared" si="137"/>
        <v>clima.124</v>
      </c>
      <c r="Y369" s="24" t="str">
        <f t="shared" si="138"/>
        <v>Ação de climatizar</v>
      </c>
      <c r="Z369" s="47" t="s">
        <v>1358</v>
      </c>
      <c r="AA369" s="25" t="str">
        <f t="shared" si="148"/>
        <v>null</v>
      </c>
      <c r="AB369" s="26" t="s">
        <v>0</v>
      </c>
      <c r="AC369" s="25" t="str">
        <f t="shared" si="149"/>
        <v>null</v>
      </c>
      <c r="AD369" s="26" t="s">
        <v>0</v>
      </c>
      <c r="AE369" s="25" t="str">
        <f t="shared" si="146"/>
        <v>null</v>
      </c>
      <c r="AF369" s="26" t="s">
        <v>0</v>
      </c>
      <c r="AG369" s="47" t="s">
        <v>2707</v>
      </c>
    </row>
    <row r="370" spans="1:33" ht="6.9" customHeight="1" x14ac:dyDescent="0.4">
      <c r="A370" s="4">
        <f>ROW()</f>
        <v>370</v>
      </c>
      <c r="B370" s="9" t="s">
        <v>27</v>
      </c>
      <c r="C370" s="55" t="str">
        <f t="shared" si="147"/>
        <v>p.climatizar</v>
      </c>
      <c r="D370" s="6" t="str">
        <f t="shared" si="140"/>
        <v>é.fluxo.de.ar.de.exaustão</v>
      </c>
      <c r="E370" s="8" t="s">
        <v>28</v>
      </c>
      <c r="F370" s="42" t="str">
        <f t="shared" si="145"/>
        <v>d.climatizar</v>
      </c>
      <c r="G370" s="17" t="s">
        <v>591</v>
      </c>
      <c r="H370" s="41" t="s">
        <v>36</v>
      </c>
      <c r="I370" s="16" t="str">
        <f t="shared" si="150"/>
        <v>null</v>
      </c>
      <c r="J370" s="15" t="s">
        <v>0</v>
      </c>
      <c r="K370" s="15" t="s">
        <v>0</v>
      </c>
      <c r="L370" s="15" t="s">
        <v>0</v>
      </c>
      <c r="M370" s="15" t="s">
        <v>0</v>
      </c>
      <c r="N370" s="15" t="s">
        <v>0</v>
      </c>
      <c r="O370" s="15" t="s">
        <v>0</v>
      </c>
      <c r="P370" s="15" t="s">
        <v>0</v>
      </c>
      <c r="Q370" s="15" t="s">
        <v>0</v>
      </c>
      <c r="R370" s="15" t="s">
        <v>0</v>
      </c>
      <c r="S370" s="10" t="s">
        <v>1</v>
      </c>
      <c r="T370" s="10" t="s">
        <v>32</v>
      </c>
      <c r="U370" s="5" t="str">
        <f t="shared" si="135"/>
        <v>Propriedade destinada a climatizar: é.fluxo.de.ar.de.exaustão</v>
      </c>
      <c r="V370" s="5" t="str">
        <f t="shared" si="136"/>
        <v>Dado para climatizar:  fluxo.de.ar.de.exaustão  Deve ser formatado como (xsd:double)</v>
      </c>
      <c r="W370" s="5" t="s">
        <v>5306</v>
      </c>
      <c r="X370" s="24" t="str">
        <f t="shared" si="137"/>
        <v>clima.125</v>
      </c>
      <c r="Y370" s="24" t="str">
        <f t="shared" si="138"/>
        <v>Ação de climatizar</v>
      </c>
      <c r="Z370" s="47" t="s">
        <v>1359</v>
      </c>
      <c r="AA370" s="25" t="str">
        <f t="shared" si="148"/>
        <v>null</v>
      </c>
      <c r="AB370" s="26" t="s">
        <v>0</v>
      </c>
      <c r="AC370" s="25" t="str">
        <f t="shared" si="149"/>
        <v>null</v>
      </c>
      <c r="AD370" s="26" t="s">
        <v>0</v>
      </c>
      <c r="AE370" s="25" t="str">
        <f t="shared" si="146"/>
        <v>null</v>
      </c>
      <c r="AF370" s="26" t="s">
        <v>0</v>
      </c>
      <c r="AG370" s="47" t="s">
        <v>2708</v>
      </c>
    </row>
    <row r="371" spans="1:33" ht="6.9" customHeight="1" x14ac:dyDescent="0.4">
      <c r="A371" s="4">
        <f>ROW()</f>
        <v>371</v>
      </c>
      <c r="B371" s="9" t="s">
        <v>27</v>
      </c>
      <c r="C371" s="55" t="str">
        <f t="shared" si="147"/>
        <v>p.climatizar</v>
      </c>
      <c r="D371" s="6" t="str">
        <f t="shared" si="140"/>
        <v>é.fluxo.de.ar.de.exaustão.real</v>
      </c>
      <c r="E371" s="8" t="s">
        <v>28</v>
      </c>
      <c r="F371" s="42" t="str">
        <f t="shared" si="145"/>
        <v>d.climatizar</v>
      </c>
      <c r="G371" s="17" t="s">
        <v>592</v>
      </c>
      <c r="H371" s="41" t="s">
        <v>36</v>
      </c>
      <c r="I371" s="16" t="str">
        <f t="shared" si="150"/>
        <v>null</v>
      </c>
      <c r="J371" s="15" t="s">
        <v>0</v>
      </c>
      <c r="K371" s="15" t="s">
        <v>0</v>
      </c>
      <c r="L371" s="15" t="s">
        <v>0</v>
      </c>
      <c r="M371" s="15" t="s">
        <v>0</v>
      </c>
      <c r="N371" s="15" t="s">
        <v>0</v>
      </c>
      <c r="O371" s="15" t="s">
        <v>0</v>
      </c>
      <c r="P371" s="15" t="s">
        <v>0</v>
      </c>
      <c r="Q371" s="15" t="s">
        <v>0</v>
      </c>
      <c r="R371" s="15" t="s">
        <v>0</v>
      </c>
      <c r="S371" s="10" t="s">
        <v>1</v>
      </c>
      <c r="T371" s="10" t="s">
        <v>32</v>
      </c>
      <c r="U371" s="5" t="str">
        <f t="shared" si="135"/>
        <v>Propriedade destinada a climatizar: é.fluxo.de.ar.de.exaustão.real</v>
      </c>
      <c r="V371" s="5" t="str">
        <f t="shared" si="136"/>
        <v>Dado para climatizar:  fluxo.de.ar.de.exaustão.real  Deve ser formatado como (xsd:double)</v>
      </c>
      <c r="W371" s="5" t="s">
        <v>5307</v>
      </c>
      <c r="X371" s="24" t="str">
        <f t="shared" si="137"/>
        <v>clima.126</v>
      </c>
      <c r="Y371" s="24" t="str">
        <f t="shared" si="138"/>
        <v>Ação de climatizar</v>
      </c>
      <c r="Z371" s="47" t="s">
        <v>1360</v>
      </c>
      <c r="AA371" s="25" t="str">
        <f t="shared" si="148"/>
        <v>null</v>
      </c>
      <c r="AB371" s="26" t="s">
        <v>0</v>
      </c>
      <c r="AC371" s="25" t="str">
        <f t="shared" si="149"/>
        <v>null</v>
      </c>
      <c r="AD371" s="26" t="s">
        <v>0</v>
      </c>
      <c r="AE371" s="25" t="str">
        <f t="shared" si="146"/>
        <v>null</v>
      </c>
      <c r="AF371" s="26" t="s">
        <v>0</v>
      </c>
      <c r="AG371" s="47" t="s">
        <v>2709</v>
      </c>
    </row>
    <row r="372" spans="1:33" ht="6.9" customHeight="1" x14ac:dyDescent="0.4">
      <c r="A372" s="4">
        <f>ROW()</f>
        <v>372</v>
      </c>
      <c r="B372" s="9" t="s">
        <v>27</v>
      </c>
      <c r="C372" s="55" t="str">
        <f t="shared" si="147"/>
        <v>p.climatizar</v>
      </c>
      <c r="D372" s="6" t="str">
        <f t="shared" si="140"/>
        <v>é.fluxo.de.ar.de.retorno</v>
      </c>
      <c r="E372" s="8" t="s">
        <v>28</v>
      </c>
      <c r="F372" s="42" t="str">
        <f t="shared" si="145"/>
        <v>d.climatizar</v>
      </c>
      <c r="G372" s="17" t="s">
        <v>593</v>
      </c>
      <c r="H372" s="41" t="s">
        <v>36</v>
      </c>
      <c r="I372" s="16" t="str">
        <f t="shared" si="150"/>
        <v>null</v>
      </c>
      <c r="J372" s="15" t="s">
        <v>0</v>
      </c>
      <c r="K372" s="15" t="s">
        <v>0</v>
      </c>
      <c r="L372" s="15" t="s">
        <v>0</v>
      </c>
      <c r="M372" s="15" t="s">
        <v>0</v>
      </c>
      <c r="N372" s="15" t="s">
        <v>0</v>
      </c>
      <c r="O372" s="15" t="s">
        <v>0</v>
      </c>
      <c r="P372" s="15" t="s">
        <v>0</v>
      </c>
      <c r="Q372" s="15" t="s">
        <v>0</v>
      </c>
      <c r="R372" s="15" t="s">
        <v>0</v>
      </c>
      <c r="S372" s="10" t="s">
        <v>1</v>
      </c>
      <c r="T372" s="10" t="s">
        <v>32</v>
      </c>
      <c r="U372" s="5" t="str">
        <f t="shared" si="135"/>
        <v>Propriedade destinada a climatizar: é.fluxo.de.ar.de.retorno</v>
      </c>
      <c r="V372" s="5" t="str">
        <f t="shared" si="136"/>
        <v>Dado para climatizar:  fluxo.de.ar.de.retorno  Deve ser formatado como (xsd:double)</v>
      </c>
      <c r="W372" s="5" t="s">
        <v>5308</v>
      </c>
      <c r="X372" s="24" t="str">
        <f t="shared" si="137"/>
        <v>clima.127</v>
      </c>
      <c r="Y372" s="24" t="str">
        <f t="shared" si="138"/>
        <v>Ação de climatizar</v>
      </c>
      <c r="Z372" s="47" t="s">
        <v>1361</v>
      </c>
      <c r="AA372" s="25" t="str">
        <f t="shared" si="148"/>
        <v>null</v>
      </c>
      <c r="AB372" s="26" t="s">
        <v>0</v>
      </c>
      <c r="AC372" s="25" t="str">
        <f t="shared" si="149"/>
        <v>null</v>
      </c>
      <c r="AD372" s="26" t="s">
        <v>0</v>
      </c>
      <c r="AE372" s="25" t="str">
        <f t="shared" si="146"/>
        <v>null</v>
      </c>
      <c r="AF372" s="26" t="s">
        <v>0</v>
      </c>
      <c r="AG372" s="47" t="s">
        <v>2710</v>
      </c>
    </row>
    <row r="373" spans="1:33" ht="6.9" customHeight="1" x14ac:dyDescent="0.4">
      <c r="A373" s="4">
        <f>ROW()</f>
        <v>373</v>
      </c>
      <c r="B373" s="9" t="s">
        <v>27</v>
      </c>
      <c r="C373" s="55" t="str">
        <f t="shared" si="147"/>
        <v>p.climatizar</v>
      </c>
      <c r="D373" s="6" t="str">
        <f t="shared" si="140"/>
        <v>é.fluxo.de.ar.de.insuflamento</v>
      </c>
      <c r="E373" s="8" t="s">
        <v>28</v>
      </c>
      <c r="F373" s="42" t="str">
        <f t="shared" si="145"/>
        <v>d.climatizar</v>
      </c>
      <c r="G373" s="17" t="s">
        <v>594</v>
      </c>
      <c r="H373" s="41" t="s">
        <v>36</v>
      </c>
      <c r="I373" s="16" t="str">
        <f t="shared" si="150"/>
        <v>null</v>
      </c>
      <c r="J373" s="15" t="s">
        <v>0</v>
      </c>
      <c r="K373" s="15" t="s">
        <v>0</v>
      </c>
      <c r="L373" s="15" t="s">
        <v>0</v>
      </c>
      <c r="M373" s="15" t="s">
        <v>0</v>
      </c>
      <c r="N373" s="15" t="s">
        <v>0</v>
      </c>
      <c r="O373" s="15" t="s">
        <v>0</v>
      </c>
      <c r="P373" s="15" t="s">
        <v>0</v>
      </c>
      <c r="Q373" s="15" t="s">
        <v>0</v>
      </c>
      <c r="R373" s="15" t="s">
        <v>0</v>
      </c>
      <c r="S373" s="10" t="s">
        <v>1</v>
      </c>
      <c r="T373" s="10" t="s">
        <v>32</v>
      </c>
      <c r="U373" s="5" t="str">
        <f t="shared" si="135"/>
        <v>Propriedade destinada a climatizar: é.fluxo.de.ar.de.insuflamento</v>
      </c>
      <c r="V373" s="5" t="str">
        <f t="shared" si="136"/>
        <v>Dado para climatizar:  fluxo.de.ar.de.insuflamento  Deve ser formatado como (xsd:double)</v>
      </c>
      <c r="W373" s="5" t="s">
        <v>5309</v>
      </c>
      <c r="X373" s="24" t="str">
        <f t="shared" si="137"/>
        <v>clima.128</v>
      </c>
      <c r="Y373" s="24" t="str">
        <f t="shared" si="138"/>
        <v>Ação de climatizar</v>
      </c>
      <c r="Z373" s="47" t="s">
        <v>1358</v>
      </c>
      <c r="AA373" s="25" t="str">
        <f t="shared" si="148"/>
        <v>null</v>
      </c>
      <c r="AB373" s="26" t="s">
        <v>0</v>
      </c>
      <c r="AC373" s="25" t="str">
        <f t="shared" si="149"/>
        <v>null</v>
      </c>
      <c r="AD373" s="26" t="s">
        <v>0</v>
      </c>
      <c r="AE373" s="25" t="str">
        <f t="shared" si="146"/>
        <v>null</v>
      </c>
      <c r="AF373" s="26" t="s">
        <v>0</v>
      </c>
      <c r="AG373" s="47" t="s">
        <v>2707</v>
      </c>
    </row>
    <row r="374" spans="1:33" ht="6.9" customHeight="1" x14ac:dyDescent="0.4">
      <c r="A374" s="4">
        <f>ROW()</f>
        <v>374</v>
      </c>
      <c r="B374" s="9" t="s">
        <v>27</v>
      </c>
      <c r="C374" s="55" t="str">
        <f t="shared" si="147"/>
        <v>p.climatizar</v>
      </c>
      <c r="D374" s="6" t="str">
        <f t="shared" si="140"/>
        <v>é.fluxo.de.ar.de.insuflamento.por.área</v>
      </c>
      <c r="E374" s="8" t="s">
        <v>28</v>
      </c>
      <c r="F374" s="42" t="str">
        <f t="shared" si="145"/>
        <v>d.climatizar</v>
      </c>
      <c r="G374" s="17" t="s">
        <v>595</v>
      </c>
      <c r="H374" s="41" t="s">
        <v>36</v>
      </c>
      <c r="I374" s="16" t="str">
        <f t="shared" si="150"/>
        <v>null</v>
      </c>
      <c r="J374" s="15" t="s">
        <v>0</v>
      </c>
      <c r="K374" s="15" t="s">
        <v>0</v>
      </c>
      <c r="L374" s="15" t="s">
        <v>0</v>
      </c>
      <c r="M374" s="15" t="s">
        <v>0</v>
      </c>
      <c r="N374" s="15" t="s">
        <v>0</v>
      </c>
      <c r="O374" s="15" t="s">
        <v>0</v>
      </c>
      <c r="P374" s="15" t="s">
        <v>0</v>
      </c>
      <c r="Q374" s="15" t="s">
        <v>0</v>
      </c>
      <c r="R374" s="15" t="s">
        <v>0</v>
      </c>
      <c r="S374" s="10" t="s">
        <v>1</v>
      </c>
      <c r="T374" s="10" t="s">
        <v>32</v>
      </c>
      <c r="U374" s="5" t="str">
        <f t="shared" si="135"/>
        <v>Propriedade destinada a climatizar: é.fluxo.de.ar.de.insuflamento.por.área</v>
      </c>
      <c r="V374" s="5" t="str">
        <f t="shared" si="136"/>
        <v>Dado para climatizar:  fluxo.de.ar.de.insuflamento.por.área  Deve ser formatado como (xsd:double)</v>
      </c>
      <c r="W374" s="5" t="s">
        <v>5310</v>
      </c>
      <c r="X374" s="24" t="str">
        <f t="shared" si="137"/>
        <v>clima.129</v>
      </c>
      <c r="Y374" s="24" t="str">
        <f t="shared" si="138"/>
        <v>Ação de climatizar</v>
      </c>
      <c r="Z374" s="47" t="s">
        <v>1362</v>
      </c>
      <c r="AA374" s="25" t="str">
        <f t="shared" si="148"/>
        <v>null</v>
      </c>
      <c r="AB374" s="26" t="s">
        <v>0</v>
      </c>
      <c r="AC374" s="25" t="str">
        <f t="shared" si="149"/>
        <v>null</v>
      </c>
      <c r="AD374" s="26" t="s">
        <v>0</v>
      </c>
      <c r="AE374" s="25" t="str">
        <f t="shared" si="146"/>
        <v>null</v>
      </c>
      <c r="AF374" s="26" t="s">
        <v>0</v>
      </c>
      <c r="AG374" s="47" t="s">
        <v>2711</v>
      </c>
    </row>
    <row r="375" spans="1:33" ht="6.9" customHeight="1" x14ac:dyDescent="0.4">
      <c r="A375" s="4">
        <f>ROW()</f>
        <v>375</v>
      </c>
      <c r="B375" s="9" t="s">
        <v>27</v>
      </c>
      <c r="C375" s="55" t="str">
        <f t="shared" si="147"/>
        <v>p.climatizar</v>
      </c>
      <c r="D375" s="6" t="str">
        <f t="shared" si="140"/>
        <v>é.fluxo.de.ar.externo</v>
      </c>
      <c r="E375" s="8" t="s">
        <v>28</v>
      </c>
      <c r="F375" s="42" t="str">
        <f t="shared" si="145"/>
        <v>d.climatizar</v>
      </c>
      <c r="G375" s="17" t="s">
        <v>596</v>
      </c>
      <c r="H375" s="41" t="s">
        <v>36</v>
      </c>
      <c r="I375" s="16" t="str">
        <f t="shared" si="150"/>
        <v>null</v>
      </c>
      <c r="J375" s="15" t="s">
        <v>0</v>
      </c>
      <c r="K375" s="15" t="s">
        <v>0</v>
      </c>
      <c r="L375" s="15" t="s">
        <v>0</v>
      </c>
      <c r="M375" s="15" t="s">
        <v>0</v>
      </c>
      <c r="N375" s="15" t="s">
        <v>0</v>
      </c>
      <c r="O375" s="15" t="s">
        <v>0</v>
      </c>
      <c r="P375" s="15" t="s">
        <v>0</v>
      </c>
      <c r="Q375" s="15" t="s">
        <v>0</v>
      </c>
      <c r="R375" s="15" t="s">
        <v>0</v>
      </c>
      <c r="S375" s="10" t="s">
        <v>1</v>
      </c>
      <c r="T375" s="10" t="s">
        <v>32</v>
      </c>
      <c r="U375" s="5" t="str">
        <f t="shared" si="135"/>
        <v>Propriedade destinada a climatizar: é.fluxo.de.ar.externo</v>
      </c>
      <c r="V375" s="5" t="str">
        <f t="shared" si="136"/>
        <v>Dado para climatizar:  fluxo.de.ar.externo  Deve ser formatado como (xsd:double)</v>
      </c>
      <c r="W375" s="5" t="s">
        <v>5311</v>
      </c>
      <c r="X375" s="24" t="str">
        <f t="shared" si="137"/>
        <v>clima.130</v>
      </c>
      <c r="Y375" s="24" t="str">
        <f t="shared" si="138"/>
        <v>Ação de climatizar</v>
      </c>
      <c r="Z375" s="47" t="s">
        <v>1363</v>
      </c>
      <c r="AA375" s="25" t="str">
        <f t="shared" si="148"/>
        <v>null</v>
      </c>
      <c r="AB375" s="26" t="s">
        <v>0</v>
      </c>
      <c r="AC375" s="25" t="str">
        <f t="shared" si="149"/>
        <v>null</v>
      </c>
      <c r="AD375" s="26" t="s">
        <v>0</v>
      </c>
      <c r="AE375" s="25" t="str">
        <f t="shared" si="146"/>
        <v>null</v>
      </c>
      <c r="AF375" s="26" t="s">
        <v>0</v>
      </c>
      <c r="AG375" s="47" t="s">
        <v>2712</v>
      </c>
    </row>
    <row r="376" spans="1:33" ht="6.9" customHeight="1" x14ac:dyDescent="0.4">
      <c r="A376" s="4">
        <f>ROW()</f>
        <v>376</v>
      </c>
      <c r="B376" s="9" t="s">
        <v>27</v>
      </c>
      <c r="C376" s="55" t="str">
        <f t="shared" si="147"/>
        <v>p.climatizar</v>
      </c>
      <c r="D376" s="6" t="str">
        <f t="shared" si="140"/>
        <v>é.fluxo.de.ar.real.de.retorno</v>
      </c>
      <c r="E376" s="8" t="s">
        <v>28</v>
      </c>
      <c r="F376" s="42" t="str">
        <f t="shared" si="145"/>
        <v>d.climatizar</v>
      </c>
      <c r="G376" s="17" t="s">
        <v>597</v>
      </c>
      <c r="H376" s="41" t="s">
        <v>36</v>
      </c>
      <c r="I376" s="16" t="str">
        <f t="shared" si="150"/>
        <v>null</v>
      </c>
      <c r="J376" s="15" t="s">
        <v>0</v>
      </c>
      <c r="K376" s="15" t="s">
        <v>0</v>
      </c>
      <c r="L376" s="15" t="s">
        <v>0</v>
      </c>
      <c r="M376" s="15" t="s">
        <v>0</v>
      </c>
      <c r="N376" s="15" t="s">
        <v>0</v>
      </c>
      <c r="O376" s="15" t="s">
        <v>0</v>
      </c>
      <c r="P376" s="15" t="s">
        <v>0</v>
      </c>
      <c r="Q376" s="15" t="s">
        <v>0</v>
      </c>
      <c r="R376" s="15" t="s">
        <v>0</v>
      </c>
      <c r="S376" s="10" t="s">
        <v>1</v>
      </c>
      <c r="T376" s="10" t="s">
        <v>32</v>
      </c>
      <c r="U376" s="5" t="str">
        <f t="shared" si="135"/>
        <v>Propriedade destinada a climatizar: é.fluxo.de.ar.real.de.retorno</v>
      </c>
      <c r="V376" s="5" t="str">
        <f t="shared" si="136"/>
        <v>Dado para climatizar:  fluxo.de.ar.real.de.retorno  Deve ser formatado como (xsd:double)</v>
      </c>
      <c r="W376" s="5" t="s">
        <v>5312</v>
      </c>
      <c r="X376" s="24" t="str">
        <f t="shared" si="137"/>
        <v>clima.131</v>
      </c>
      <c r="Y376" s="24" t="str">
        <f t="shared" si="138"/>
        <v>Ação de climatizar</v>
      </c>
      <c r="Z376" s="47" t="s">
        <v>1364</v>
      </c>
      <c r="AA376" s="25" t="str">
        <f t="shared" si="148"/>
        <v>null</v>
      </c>
      <c r="AB376" s="26" t="s">
        <v>0</v>
      </c>
      <c r="AC376" s="25" t="str">
        <f t="shared" si="149"/>
        <v>null</v>
      </c>
      <c r="AD376" s="26" t="s">
        <v>0</v>
      </c>
      <c r="AE376" s="25" t="str">
        <f t="shared" si="146"/>
        <v>null</v>
      </c>
      <c r="AF376" s="26" t="s">
        <v>0</v>
      </c>
      <c r="AG376" s="47" t="s">
        <v>2713</v>
      </c>
    </row>
    <row r="377" spans="1:33" ht="6.9" customHeight="1" x14ac:dyDescent="0.4">
      <c r="A377" s="4">
        <f>ROW()</f>
        <v>377</v>
      </c>
      <c r="B377" s="9" t="s">
        <v>27</v>
      </c>
      <c r="C377" s="55" t="str">
        <f t="shared" si="147"/>
        <v>p.climatizar</v>
      </c>
      <c r="D377" s="6" t="str">
        <f t="shared" si="140"/>
        <v>é.fluxo.de.ar.real.de.insuflamento</v>
      </c>
      <c r="E377" s="8" t="s">
        <v>28</v>
      </c>
      <c r="F377" s="42" t="str">
        <f t="shared" si="145"/>
        <v>d.climatizar</v>
      </c>
      <c r="G377" s="17" t="s">
        <v>598</v>
      </c>
      <c r="H377" s="41" t="s">
        <v>36</v>
      </c>
      <c r="I377" s="16" t="str">
        <f t="shared" si="150"/>
        <v>null</v>
      </c>
      <c r="J377" s="15" t="s">
        <v>0</v>
      </c>
      <c r="K377" s="15" t="s">
        <v>0</v>
      </c>
      <c r="L377" s="15" t="s">
        <v>0</v>
      </c>
      <c r="M377" s="15" t="s">
        <v>0</v>
      </c>
      <c r="N377" s="15" t="s">
        <v>0</v>
      </c>
      <c r="O377" s="15" t="s">
        <v>0</v>
      </c>
      <c r="P377" s="15" t="s">
        <v>0</v>
      </c>
      <c r="Q377" s="15" t="s">
        <v>0</v>
      </c>
      <c r="R377" s="15" t="s">
        <v>0</v>
      </c>
      <c r="S377" s="10" t="s">
        <v>1</v>
      </c>
      <c r="T377" s="10" t="s">
        <v>32</v>
      </c>
      <c r="U377" s="5" t="str">
        <f t="shared" si="135"/>
        <v>Propriedade destinada a climatizar: é.fluxo.de.ar.real.de.insuflamento</v>
      </c>
      <c r="V377" s="5" t="str">
        <f t="shared" si="136"/>
        <v>Dado para climatizar:  fluxo.de.ar.real.de.insuflamento  Deve ser formatado como (xsd:double)</v>
      </c>
      <c r="W377" s="5" t="s">
        <v>5313</v>
      </c>
      <c r="X377" s="24" t="str">
        <f t="shared" si="137"/>
        <v>clima.132</v>
      </c>
      <c r="Y377" s="24" t="str">
        <f t="shared" si="138"/>
        <v>Ação de climatizar</v>
      </c>
      <c r="Z377" s="47" t="s">
        <v>1365</v>
      </c>
      <c r="AA377" s="25" t="str">
        <f t="shared" si="148"/>
        <v>null</v>
      </c>
      <c r="AB377" s="26" t="s">
        <v>0</v>
      </c>
      <c r="AC377" s="25" t="str">
        <f t="shared" si="149"/>
        <v>null</v>
      </c>
      <c r="AD377" s="26" t="s">
        <v>0</v>
      </c>
      <c r="AE377" s="25" t="str">
        <f t="shared" si="146"/>
        <v>null</v>
      </c>
      <c r="AF377" s="26" t="s">
        <v>0</v>
      </c>
      <c r="AG377" s="47" t="s">
        <v>2714</v>
      </c>
    </row>
    <row r="378" spans="1:33" ht="6.9" customHeight="1" x14ac:dyDescent="0.4">
      <c r="A378" s="4">
        <f>ROW()</f>
        <v>378</v>
      </c>
      <c r="B378" s="9" t="s">
        <v>27</v>
      </c>
      <c r="C378" s="55" t="str">
        <f t="shared" si="147"/>
        <v>p.climatizar</v>
      </c>
      <c r="D378" s="6" t="str">
        <f t="shared" si="140"/>
        <v>é.ganho.de.calor.latente.por.pessoa</v>
      </c>
      <c r="E378" s="8" t="s">
        <v>28</v>
      </c>
      <c r="F378" s="42" t="str">
        <f t="shared" si="145"/>
        <v>d.climatizar</v>
      </c>
      <c r="G378" s="17" t="s">
        <v>599</v>
      </c>
      <c r="H378" s="41" t="s">
        <v>36</v>
      </c>
      <c r="I378" s="16" t="str">
        <f t="shared" si="150"/>
        <v>null</v>
      </c>
      <c r="J378" s="15" t="s">
        <v>0</v>
      </c>
      <c r="K378" s="15" t="s">
        <v>0</v>
      </c>
      <c r="L378" s="15" t="s">
        <v>0</v>
      </c>
      <c r="M378" s="15" t="s">
        <v>0</v>
      </c>
      <c r="N378" s="15" t="s">
        <v>0</v>
      </c>
      <c r="O378" s="15" t="s">
        <v>0</v>
      </c>
      <c r="P378" s="15" t="s">
        <v>0</v>
      </c>
      <c r="Q378" s="15" t="s">
        <v>0</v>
      </c>
      <c r="R378" s="15" t="s">
        <v>0</v>
      </c>
      <c r="S378" s="10" t="s">
        <v>1</v>
      </c>
      <c r="T378" s="10" t="s">
        <v>32</v>
      </c>
      <c r="U378" s="5" t="str">
        <f t="shared" si="135"/>
        <v>Propriedade destinada a climatizar: é.ganho.de.calor.latente.por.pessoa</v>
      </c>
      <c r="V378" s="5" t="str">
        <f t="shared" si="136"/>
        <v>Dado para climatizar:  ganho.de.calor.latente.por.pessoa  Deve ser formatado como (xsd:double)</v>
      </c>
      <c r="W378" s="5" t="s">
        <v>5314</v>
      </c>
      <c r="X378" s="24" t="str">
        <f t="shared" si="137"/>
        <v>clima.133</v>
      </c>
      <c r="Y378" s="24" t="str">
        <f t="shared" si="138"/>
        <v>Ação de climatizar</v>
      </c>
      <c r="Z378" s="47" t="s">
        <v>1366</v>
      </c>
      <c r="AA378" s="25" t="str">
        <f t="shared" si="148"/>
        <v>null</v>
      </c>
      <c r="AB378" s="26" t="s">
        <v>0</v>
      </c>
      <c r="AC378" s="25" t="str">
        <f t="shared" si="149"/>
        <v>null</v>
      </c>
      <c r="AD378" s="26" t="s">
        <v>0</v>
      </c>
      <c r="AE378" s="25" t="str">
        <f t="shared" si="146"/>
        <v>null</v>
      </c>
      <c r="AF378" s="26" t="s">
        <v>0</v>
      </c>
      <c r="AG378" s="47" t="s">
        <v>2715</v>
      </c>
    </row>
    <row r="379" spans="1:33" ht="6.9" customHeight="1" x14ac:dyDescent="0.4">
      <c r="A379" s="4">
        <f>ROW()</f>
        <v>379</v>
      </c>
      <c r="B379" s="9" t="s">
        <v>27</v>
      </c>
      <c r="C379" s="55" t="str">
        <f t="shared" si="147"/>
        <v>p.climatizar</v>
      </c>
      <c r="D379" s="6" t="str">
        <f t="shared" si="140"/>
        <v>é.ganho.de.calor.sensível.por.pessoa</v>
      </c>
      <c r="E379" s="8" t="s">
        <v>28</v>
      </c>
      <c r="F379" s="42" t="str">
        <f t="shared" si="145"/>
        <v>d.climatizar</v>
      </c>
      <c r="G379" s="17" t="s">
        <v>600</v>
      </c>
      <c r="H379" s="41" t="s">
        <v>36</v>
      </c>
      <c r="I379" s="16" t="str">
        <f t="shared" si="150"/>
        <v>null</v>
      </c>
      <c r="J379" s="15" t="s">
        <v>0</v>
      </c>
      <c r="K379" s="15" t="s">
        <v>0</v>
      </c>
      <c r="L379" s="15" t="s">
        <v>0</v>
      </c>
      <c r="M379" s="15" t="s">
        <v>0</v>
      </c>
      <c r="N379" s="15" t="s">
        <v>0</v>
      </c>
      <c r="O379" s="15" t="s">
        <v>0</v>
      </c>
      <c r="P379" s="15" t="s">
        <v>0</v>
      </c>
      <c r="Q379" s="15" t="s">
        <v>0</v>
      </c>
      <c r="R379" s="15" t="s">
        <v>0</v>
      </c>
      <c r="S379" s="10" t="s">
        <v>1</v>
      </c>
      <c r="T379" s="10" t="s">
        <v>32</v>
      </c>
      <c r="U379" s="5" t="str">
        <f t="shared" si="135"/>
        <v>Propriedade destinada a climatizar: é.ganho.de.calor.sensível.por.pessoa</v>
      </c>
      <c r="V379" s="5" t="str">
        <f t="shared" si="136"/>
        <v>Dado para climatizar:  ganho.de.calor.sensível.por.pessoa  Deve ser formatado como (xsd:double)</v>
      </c>
      <c r="W379" s="5" t="s">
        <v>5315</v>
      </c>
      <c r="X379" s="24" t="str">
        <f t="shared" si="137"/>
        <v>clima.134</v>
      </c>
      <c r="Y379" s="24" t="str">
        <f t="shared" si="138"/>
        <v>Ação de climatizar</v>
      </c>
      <c r="Z379" s="47" t="s">
        <v>1367</v>
      </c>
      <c r="AA379" s="25" t="str">
        <f t="shared" si="148"/>
        <v>null</v>
      </c>
      <c r="AB379" s="26" t="s">
        <v>0</v>
      </c>
      <c r="AC379" s="25" t="str">
        <f t="shared" si="149"/>
        <v>null</v>
      </c>
      <c r="AD379" s="26" t="s">
        <v>0</v>
      </c>
      <c r="AE379" s="25" t="str">
        <f t="shared" si="146"/>
        <v>null</v>
      </c>
      <c r="AF379" s="26" t="s">
        <v>0</v>
      </c>
      <c r="AG379" s="47" t="s">
        <v>2716</v>
      </c>
    </row>
    <row r="380" spans="1:33" ht="6.9" customHeight="1" x14ac:dyDescent="0.4">
      <c r="A380" s="4">
        <f>ROW()</f>
        <v>380</v>
      </c>
      <c r="B380" s="9" t="s">
        <v>27</v>
      </c>
      <c r="C380" s="55" t="str">
        <f t="shared" si="147"/>
        <v>p.climatizar</v>
      </c>
      <c r="D380" s="6" t="str">
        <f t="shared" si="140"/>
        <v>é.ganho.total.de.calor.por.pessoa</v>
      </c>
      <c r="E380" s="8" t="s">
        <v>28</v>
      </c>
      <c r="F380" s="42" t="str">
        <f t="shared" si="145"/>
        <v>d.climatizar</v>
      </c>
      <c r="G380" s="17" t="s">
        <v>601</v>
      </c>
      <c r="H380" s="41" t="s">
        <v>36</v>
      </c>
      <c r="I380" s="16" t="str">
        <f t="shared" si="150"/>
        <v>null</v>
      </c>
      <c r="J380" s="15" t="s">
        <v>0</v>
      </c>
      <c r="K380" s="15" t="s">
        <v>0</v>
      </c>
      <c r="L380" s="15" t="s">
        <v>0</v>
      </c>
      <c r="M380" s="15" t="s">
        <v>0</v>
      </c>
      <c r="N380" s="15" t="s">
        <v>0</v>
      </c>
      <c r="O380" s="15" t="s">
        <v>0</v>
      </c>
      <c r="P380" s="15" t="s">
        <v>0</v>
      </c>
      <c r="Q380" s="15" t="s">
        <v>0</v>
      </c>
      <c r="R380" s="15" t="s">
        <v>0</v>
      </c>
      <c r="S380" s="10" t="s">
        <v>1</v>
      </c>
      <c r="T380" s="10" t="s">
        <v>32</v>
      </c>
      <c r="U380" s="5" t="str">
        <f t="shared" si="135"/>
        <v>Propriedade destinada a climatizar: é.ganho.total.de.calor.por.pessoa</v>
      </c>
      <c r="V380" s="5" t="str">
        <f t="shared" si="136"/>
        <v>Dado para climatizar:  ganho.total.de.calor.por.pessoa  Deve ser formatado como (xsd:double)</v>
      </c>
      <c r="W380" s="5" t="s">
        <v>5316</v>
      </c>
      <c r="X380" s="24" t="str">
        <f t="shared" si="137"/>
        <v>clima.135</v>
      </c>
      <c r="Y380" s="24" t="str">
        <f t="shared" si="138"/>
        <v>Ação de climatizar</v>
      </c>
      <c r="Z380" s="47" t="s">
        <v>1368</v>
      </c>
      <c r="AA380" s="25" t="str">
        <f t="shared" si="148"/>
        <v>null</v>
      </c>
      <c r="AB380" s="26" t="s">
        <v>0</v>
      </c>
      <c r="AC380" s="25" t="str">
        <f t="shared" si="149"/>
        <v>null</v>
      </c>
      <c r="AD380" s="26" t="s">
        <v>0</v>
      </c>
      <c r="AE380" s="25" t="str">
        <f t="shared" si="146"/>
        <v>null</v>
      </c>
      <c r="AF380" s="26" t="s">
        <v>0</v>
      </c>
      <c r="AG380" s="47" t="s">
        <v>2717</v>
      </c>
    </row>
    <row r="381" spans="1:33" ht="6.9" customHeight="1" x14ac:dyDescent="0.4">
      <c r="A381" s="4">
        <f>ROW()</f>
        <v>381</v>
      </c>
      <c r="B381" s="9" t="s">
        <v>27</v>
      </c>
      <c r="C381" s="55" t="str">
        <f t="shared" si="147"/>
        <v>p.climatizar</v>
      </c>
      <c r="D381" s="6" t="str">
        <f t="shared" si="140"/>
        <v>é.método.de.ar.externo</v>
      </c>
      <c r="E381" s="8" t="s">
        <v>28</v>
      </c>
      <c r="F381" s="42" t="str">
        <f t="shared" si="145"/>
        <v>d.climatizar</v>
      </c>
      <c r="G381" s="17" t="s">
        <v>602</v>
      </c>
      <c r="H381" s="41" t="s">
        <v>2121</v>
      </c>
      <c r="I381" s="16" t="str">
        <f t="shared" si="150"/>
        <v>null</v>
      </c>
      <c r="J381" s="15" t="s">
        <v>0</v>
      </c>
      <c r="K381" s="15" t="s">
        <v>0</v>
      </c>
      <c r="L381" s="15" t="s">
        <v>0</v>
      </c>
      <c r="M381" s="15" t="s">
        <v>0</v>
      </c>
      <c r="N381" s="15" t="s">
        <v>0</v>
      </c>
      <c r="O381" s="15" t="s">
        <v>0</v>
      </c>
      <c r="P381" s="15" t="s">
        <v>0</v>
      </c>
      <c r="Q381" s="15" t="s">
        <v>0</v>
      </c>
      <c r="R381" s="15" t="s">
        <v>0</v>
      </c>
      <c r="S381" s="10" t="s">
        <v>1</v>
      </c>
      <c r="T381" s="10" t="s">
        <v>32</v>
      </c>
      <c r="U381" s="5" t="str">
        <f t="shared" si="135"/>
        <v>Propriedade destinada a climatizar: é.método.de.ar.externo</v>
      </c>
      <c r="V381" s="5" t="str">
        <f t="shared" si="136"/>
        <v>Dado para climatizar:  método.de.ar.externo  Deve ser formatado como (rdfs:Literal  or  xsd:string)</v>
      </c>
      <c r="W381" s="5" t="s">
        <v>5317</v>
      </c>
      <c r="X381" s="24" t="str">
        <f t="shared" si="137"/>
        <v>clima.136</v>
      </c>
      <c r="Y381" s="24" t="str">
        <f t="shared" si="138"/>
        <v>Ação de climatizar</v>
      </c>
      <c r="Z381" s="47" t="s">
        <v>1369</v>
      </c>
      <c r="AA381" s="25" t="str">
        <f t="shared" si="148"/>
        <v>null</v>
      </c>
      <c r="AB381" s="26" t="s">
        <v>0</v>
      </c>
      <c r="AC381" s="25" t="str">
        <f t="shared" si="149"/>
        <v>null</v>
      </c>
      <c r="AD381" s="26" t="s">
        <v>0</v>
      </c>
      <c r="AE381" s="25" t="str">
        <f t="shared" si="146"/>
        <v>null</v>
      </c>
      <c r="AF381" s="26" t="s">
        <v>0</v>
      </c>
      <c r="AG381" s="47" t="s">
        <v>2718</v>
      </c>
    </row>
    <row r="382" spans="1:33" ht="6.9" customHeight="1" x14ac:dyDescent="0.4">
      <c r="A382" s="4">
        <f>ROW()</f>
        <v>382</v>
      </c>
      <c r="B382" s="9" t="s">
        <v>27</v>
      </c>
      <c r="C382" s="55" t="str">
        <f t="shared" si="147"/>
        <v>p.climatizar</v>
      </c>
      <c r="D382" s="6" t="str">
        <f t="shared" si="140"/>
        <v>é.pleno</v>
      </c>
      <c r="E382" s="8" t="s">
        <v>28</v>
      </c>
      <c r="F382" s="42" t="str">
        <f t="shared" si="145"/>
        <v>d.climatizar</v>
      </c>
      <c r="G382" s="17" t="s">
        <v>388</v>
      </c>
      <c r="H382" s="41" t="s">
        <v>2121</v>
      </c>
      <c r="I382" s="16" t="str">
        <f t="shared" si="150"/>
        <v>null</v>
      </c>
      <c r="J382" s="15" t="s">
        <v>0</v>
      </c>
      <c r="K382" s="15" t="s">
        <v>0</v>
      </c>
      <c r="L382" s="15" t="s">
        <v>0</v>
      </c>
      <c r="M382" s="15" t="s">
        <v>0</v>
      </c>
      <c r="N382" s="15" t="s">
        <v>0</v>
      </c>
      <c r="O382" s="15" t="s">
        <v>0</v>
      </c>
      <c r="P382" s="15" t="s">
        <v>0</v>
      </c>
      <c r="Q382" s="15" t="s">
        <v>0</v>
      </c>
      <c r="R382" s="15" t="s">
        <v>0</v>
      </c>
      <c r="S382" s="10" t="s">
        <v>1</v>
      </c>
      <c r="T382" s="10" t="s">
        <v>32</v>
      </c>
      <c r="U382" s="5" t="str">
        <f t="shared" si="135"/>
        <v>Propriedade destinada a climatizar: é.pleno</v>
      </c>
      <c r="V382" s="5" t="str">
        <f t="shared" si="136"/>
        <v>Dado para climatizar:  pleno  Deve ser formatado como (rdfs:Literal  or  xsd:string)</v>
      </c>
      <c r="W382" s="5" t="s">
        <v>5318</v>
      </c>
      <c r="X382" s="24" t="str">
        <f t="shared" si="137"/>
        <v>clima.137</v>
      </c>
      <c r="Y382" s="24" t="str">
        <f t="shared" si="138"/>
        <v>Ação de climatizar</v>
      </c>
      <c r="Z382" s="47" t="s">
        <v>1370</v>
      </c>
      <c r="AA382" s="25" t="str">
        <f t="shared" si="148"/>
        <v>null</v>
      </c>
      <c r="AB382" s="26" t="s">
        <v>0</v>
      </c>
      <c r="AC382" s="25" t="str">
        <f t="shared" si="149"/>
        <v>null</v>
      </c>
      <c r="AD382" s="26" t="s">
        <v>0</v>
      </c>
      <c r="AE382" s="25" t="str">
        <f t="shared" si="146"/>
        <v>null</v>
      </c>
      <c r="AF382" s="26" t="s">
        <v>0</v>
      </c>
      <c r="AG382" s="47" t="s">
        <v>2719</v>
      </c>
    </row>
    <row r="383" spans="1:33" ht="6.9" customHeight="1" x14ac:dyDescent="0.4">
      <c r="A383" s="4">
        <f>ROW()</f>
        <v>383</v>
      </c>
      <c r="B383" s="9" t="s">
        <v>27</v>
      </c>
      <c r="C383" s="55" t="str">
        <f t="shared" si="147"/>
        <v>p.climatizar</v>
      </c>
      <c r="D383" s="6" t="str">
        <f t="shared" si="140"/>
        <v>é.ar.externo.por.pessoa</v>
      </c>
      <c r="E383" s="8" t="s">
        <v>28</v>
      </c>
      <c r="F383" s="42" t="str">
        <f t="shared" si="145"/>
        <v>d.climatizar</v>
      </c>
      <c r="G383" s="17" t="s">
        <v>570</v>
      </c>
      <c r="H383" s="41" t="s">
        <v>36</v>
      </c>
      <c r="I383" s="16" t="str">
        <f t="shared" si="150"/>
        <v>null</v>
      </c>
      <c r="J383" s="15" t="s">
        <v>0</v>
      </c>
      <c r="K383" s="15" t="s">
        <v>0</v>
      </c>
      <c r="L383" s="15" t="s">
        <v>0</v>
      </c>
      <c r="M383" s="15" t="s">
        <v>0</v>
      </c>
      <c r="N383" s="15" t="s">
        <v>0</v>
      </c>
      <c r="O383" s="15" t="s">
        <v>0</v>
      </c>
      <c r="P383" s="15" t="s">
        <v>0</v>
      </c>
      <c r="Q383" s="15" t="s">
        <v>0</v>
      </c>
      <c r="R383" s="15" t="s">
        <v>0</v>
      </c>
      <c r="S383" s="10" t="s">
        <v>1</v>
      </c>
      <c r="T383" s="10" t="s">
        <v>32</v>
      </c>
      <c r="U383" s="5" t="str">
        <f t="shared" si="135"/>
        <v>Propriedade destinada a climatizar: é.ar.externo.por.pessoa</v>
      </c>
      <c r="V383" s="5" t="str">
        <f t="shared" si="136"/>
        <v>Dado para climatizar:  ar.externo.por.pessoa  Deve ser formatado como (xsd:double)</v>
      </c>
      <c r="W383" s="5" t="s">
        <v>5319</v>
      </c>
      <c r="X383" s="24" t="str">
        <f t="shared" si="137"/>
        <v>clima.138</v>
      </c>
      <c r="Y383" s="24" t="str">
        <f t="shared" si="138"/>
        <v>Ação de climatizar</v>
      </c>
      <c r="Z383" s="47" t="s">
        <v>1371</v>
      </c>
      <c r="AA383" s="25" t="str">
        <f t="shared" si="148"/>
        <v>null</v>
      </c>
      <c r="AB383" s="26" t="s">
        <v>0</v>
      </c>
      <c r="AC383" s="25" t="str">
        <f t="shared" si="149"/>
        <v>null</v>
      </c>
      <c r="AD383" s="26" t="s">
        <v>0</v>
      </c>
      <c r="AE383" s="25" t="str">
        <f t="shared" si="146"/>
        <v>null</v>
      </c>
      <c r="AF383" s="26" t="s">
        <v>0</v>
      </c>
      <c r="AG383" s="47" t="s">
        <v>2720</v>
      </c>
    </row>
    <row r="384" spans="1:33" ht="6.9" customHeight="1" x14ac:dyDescent="0.4">
      <c r="A384" s="4">
        <f>ROW()</f>
        <v>384</v>
      </c>
      <c r="B384" s="9" t="s">
        <v>27</v>
      </c>
      <c r="C384" s="55" t="str">
        <f t="shared" si="147"/>
        <v>p.climatizar</v>
      </c>
      <c r="D384" s="6" t="str">
        <f t="shared" si="140"/>
        <v>é.ar.externo.por.área</v>
      </c>
      <c r="E384" s="8" t="s">
        <v>28</v>
      </c>
      <c r="F384" s="42" t="str">
        <f t="shared" si="145"/>
        <v>d.climatizar</v>
      </c>
      <c r="G384" s="17" t="s">
        <v>571</v>
      </c>
      <c r="H384" s="41" t="s">
        <v>36</v>
      </c>
      <c r="I384" s="16" t="str">
        <f t="shared" si="150"/>
        <v>null</v>
      </c>
      <c r="J384" s="15" t="s">
        <v>0</v>
      </c>
      <c r="K384" s="15" t="s">
        <v>0</v>
      </c>
      <c r="L384" s="15" t="s">
        <v>0</v>
      </c>
      <c r="M384" s="15" t="s">
        <v>0</v>
      </c>
      <c r="N384" s="15" t="s">
        <v>0</v>
      </c>
      <c r="O384" s="15" t="s">
        <v>0</v>
      </c>
      <c r="P384" s="15" t="s">
        <v>0</v>
      </c>
      <c r="Q384" s="15" t="s">
        <v>0</v>
      </c>
      <c r="R384" s="15" t="s">
        <v>0</v>
      </c>
      <c r="S384" s="10" t="s">
        <v>1</v>
      </c>
      <c r="T384" s="10" t="s">
        <v>32</v>
      </c>
      <c r="U384" s="5" t="str">
        <f t="shared" si="135"/>
        <v>Propriedade destinada a climatizar: é.ar.externo.por.área</v>
      </c>
      <c r="V384" s="5" t="str">
        <f t="shared" si="136"/>
        <v>Dado para climatizar:  ar.externo.por.área  Deve ser formatado como (xsd:double)</v>
      </c>
      <c r="W384" s="5" t="s">
        <v>5320</v>
      </c>
      <c r="X384" s="24" t="str">
        <f t="shared" si="137"/>
        <v>clima.139</v>
      </c>
      <c r="Y384" s="24" t="str">
        <f t="shared" si="138"/>
        <v>Ação de climatizar</v>
      </c>
      <c r="Z384" s="47" t="s">
        <v>1372</v>
      </c>
      <c r="AA384" s="25" t="str">
        <f t="shared" si="148"/>
        <v>null</v>
      </c>
      <c r="AB384" s="26" t="s">
        <v>0</v>
      </c>
      <c r="AC384" s="25" t="str">
        <f t="shared" si="149"/>
        <v>null</v>
      </c>
      <c r="AD384" s="26" t="s">
        <v>0</v>
      </c>
      <c r="AE384" s="25" t="str">
        <f t="shared" si="146"/>
        <v>null</v>
      </c>
      <c r="AF384" s="26" t="s">
        <v>0</v>
      </c>
      <c r="AG384" s="47" t="s">
        <v>2721</v>
      </c>
    </row>
    <row r="385" spans="1:33" ht="6.9" customHeight="1" x14ac:dyDescent="0.4">
      <c r="A385" s="4">
        <f>ROW()</f>
        <v>385</v>
      </c>
      <c r="B385" s="9" t="s">
        <v>27</v>
      </c>
      <c r="C385" s="55" t="str">
        <f t="shared" si="147"/>
        <v>p.climatizar</v>
      </c>
      <c r="D385" s="6" t="str">
        <f t="shared" si="140"/>
        <v>é.área.por.pessoa</v>
      </c>
      <c r="E385" s="8" t="s">
        <v>28</v>
      </c>
      <c r="F385" s="42" t="str">
        <f t="shared" si="145"/>
        <v>d.climatizar</v>
      </c>
      <c r="G385" s="17" t="s">
        <v>572</v>
      </c>
      <c r="H385" s="41" t="s">
        <v>36</v>
      </c>
      <c r="I385" s="16" t="str">
        <f t="shared" si="150"/>
        <v>null</v>
      </c>
      <c r="J385" s="15" t="s">
        <v>0</v>
      </c>
      <c r="K385" s="15" t="s">
        <v>0</v>
      </c>
      <c r="L385" s="15" t="s">
        <v>0</v>
      </c>
      <c r="M385" s="15" t="s">
        <v>0</v>
      </c>
      <c r="N385" s="15" t="s">
        <v>0</v>
      </c>
      <c r="O385" s="15" t="s">
        <v>0</v>
      </c>
      <c r="P385" s="15" t="s">
        <v>0</v>
      </c>
      <c r="Q385" s="15" t="s">
        <v>0</v>
      </c>
      <c r="R385" s="15" t="s">
        <v>0</v>
      </c>
      <c r="S385" s="10" t="s">
        <v>1</v>
      </c>
      <c r="T385" s="10" t="s">
        <v>32</v>
      </c>
      <c r="U385" s="5" t="str">
        <f t="shared" si="135"/>
        <v>Propriedade destinada a climatizar: é.área.por.pessoa</v>
      </c>
      <c r="V385" s="5" t="str">
        <f t="shared" si="136"/>
        <v>Dado para climatizar:  área.por.pessoa  Deve ser formatado como (xsd:double)</v>
      </c>
      <c r="W385" s="5" t="s">
        <v>5321</v>
      </c>
      <c r="X385" s="24" t="str">
        <f t="shared" si="137"/>
        <v>clima.140</v>
      </c>
      <c r="Y385" s="24" t="str">
        <f t="shared" si="138"/>
        <v>Ação de climatizar</v>
      </c>
      <c r="Z385" s="47" t="s">
        <v>1373</v>
      </c>
      <c r="AA385" s="25" t="str">
        <f t="shared" si="148"/>
        <v>null</v>
      </c>
      <c r="AB385" s="26" t="s">
        <v>0</v>
      </c>
      <c r="AC385" s="25" t="str">
        <f t="shared" si="149"/>
        <v>null</v>
      </c>
      <c r="AD385" s="26" t="s">
        <v>0</v>
      </c>
      <c r="AE385" s="25" t="str">
        <f t="shared" si="146"/>
        <v>null</v>
      </c>
      <c r="AF385" s="26" t="s">
        <v>0</v>
      </c>
      <c r="AG385" s="47" t="s">
        <v>2722</v>
      </c>
    </row>
    <row r="386" spans="1:33" ht="6.9" customHeight="1" x14ac:dyDescent="0.4">
      <c r="A386" s="4">
        <f>ROW()</f>
        <v>386</v>
      </c>
      <c r="B386" s="9" t="s">
        <v>27</v>
      </c>
      <c r="C386" s="55" t="str">
        <f t="shared" si="147"/>
        <v>p.climatizar</v>
      </c>
      <c r="D386" s="6" t="str">
        <f t="shared" si="140"/>
        <v>é.quantidade.de.pessoas</v>
      </c>
      <c r="E386" s="8" t="s">
        <v>28</v>
      </c>
      <c r="F386" s="42" t="str">
        <f t="shared" si="145"/>
        <v>d.climatizar</v>
      </c>
      <c r="G386" s="17" t="s">
        <v>603</v>
      </c>
      <c r="H386" s="41" t="s">
        <v>33</v>
      </c>
      <c r="I386" s="16" t="str">
        <f t="shared" si="150"/>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51">_xlfn.CONCAT("Propriedade destinada a ",MID(C386,FIND("p.",C386,1)+2,100),": ",D386)</f>
        <v>Propriedade destinada a climatizar: é.quantidade.de.pessoas</v>
      </c>
      <c r="V386" s="5" t="str">
        <f t="shared" ref="V386:V449" si="152">_xlfn.CONCAT("Dado para ",MID(F386,FIND("d.",F386,1)+2,100),":  ",G386, "  Deve ser formatado como (",H386, ")")</f>
        <v>Dado para climatizar:  quantidade.de.pessoas  Deve ser formatado como (xsd:integer)</v>
      </c>
      <c r="W386" s="5" t="s">
        <v>5322</v>
      </c>
      <c r="X386" s="24" t="str">
        <f t="shared" si="137"/>
        <v>clima.141</v>
      </c>
      <c r="Y386" s="24" t="str">
        <f t="shared" si="138"/>
        <v>Ação de climatizar</v>
      </c>
      <c r="Z386" s="47" t="s">
        <v>1374</v>
      </c>
      <c r="AA386" s="25" t="str">
        <f t="shared" si="148"/>
        <v>null</v>
      </c>
      <c r="AB386" s="26" t="s">
        <v>0</v>
      </c>
      <c r="AC386" s="25" t="str">
        <f t="shared" si="149"/>
        <v>null</v>
      </c>
      <c r="AD386" s="26" t="s">
        <v>0</v>
      </c>
      <c r="AE386" s="25" t="str">
        <f t="shared" si="146"/>
        <v>null</v>
      </c>
      <c r="AF386" s="26" t="s">
        <v>0</v>
      </c>
      <c r="AG386" s="47" t="s">
        <v>4833</v>
      </c>
    </row>
    <row r="387" spans="1:33" ht="6.9" customHeight="1" x14ac:dyDescent="0.4">
      <c r="A387" s="4">
        <f>ROW()</f>
        <v>387</v>
      </c>
      <c r="B387" s="9" t="s">
        <v>27</v>
      </c>
      <c r="C387" s="55" t="str">
        <f t="shared" si="147"/>
        <v>p.climatizar</v>
      </c>
      <c r="D387" s="6" t="str">
        <f t="shared" si="140"/>
        <v>é.razão.cavidade.da.sala</v>
      </c>
      <c r="E387" s="8" t="s">
        <v>28</v>
      </c>
      <c r="F387" s="42" t="str">
        <f t="shared" si="145"/>
        <v>d.climatizar</v>
      </c>
      <c r="G387" s="17" t="s">
        <v>604</v>
      </c>
      <c r="H387" s="41" t="s">
        <v>36</v>
      </c>
      <c r="I387" s="16" t="str">
        <f t="shared" si="150"/>
        <v>null</v>
      </c>
      <c r="J387" s="15" t="s">
        <v>0</v>
      </c>
      <c r="K387" s="15" t="s">
        <v>0</v>
      </c>
      <c r="L387" s="15" t="s">
        <v>0</v>
      </c>
      <c r="M387" s="15" t="s">
        <v>0</v>
      </c>
      <c r="N387" s="15" t="s">
        <v>0</v>
      </c>
      <c r="O387" s="15" t="s">
        <v>0</v>
      </c>
      <c r="P387" s="15" t="s">
        <v>0</v>
      </c>
      <c r="Q387" s="15" t="s">
        <v>0</v>
      </c>
      <c r="R387" s="15" t="s">
        <v>0</v>
      </c>
      <c r="S387" s="10" t="s">
        <v>1</v>
      </c>
      <c r="T387" s="10" t="s">
        <v>32</v>
      </c>
      <c r="U387" s="5" t="str">
        <f t="shared" si="151"/>
        <v>Propriedade destinada a climatizar: é.razão.cavidade.da.sala</v>
      </c>
      <c r="V387" s="5" t="str">
        <f t="shared" si="152"/>
        <v>Dado para climatizar:  razão.cavidade.da.sala  Deve ser formatado como (xsd:double)</v>
      </c>
      <c r="W387" s="5" t="s">
        <v>5323</v>
      </c>
      <c r="X387" s="24" t="str">
        <f t="shared" ref="X387:X450" si="153">IF(F386&lt;&gt;F387,_xlfn.CONCAT(RIGHT(LEFT(F387,7),5),".100"),_xlfn.CONCAT(RIGHT(LEFT(F387,7),5),".",SUM(VALUE(RIGHT(X386,3)),1)))</f>
        <v>clima.142</v>
      </c>
      <c r="Y387" s="24" t="str">
        <f t="shared" ref="Y387:Y450" si="154">_xlfn.CONCAT("Ação de ", SUBSTITUTE(F387, "d.",  ""))</f>
        <v>Ação de climatizar</v>
      </c>
      <c r="Z387" s="47" t="s">
        <v>1375</v>
      </c>
      <c r="AA387" s="25" t="str">
        <f t="shared" si="148"/>
        <v>null</v>
      </c>
      <c r="AB387" s="26" t="s">
        <v>0</v>
      </c>
      <c r="AC387" s="25" t="str">
        <f t="shared" si="149"/>
        <v>null</v>
      </c>
      <c r="AD387" s="26" t="s">
        <v>0</v>
      </c>
      <c r="AE387" s="25" t="str">
        <f t="shared" si="146"/>
        <v>null</v>
      </c>
      <c r="AF387" s="26" t="s">
        <v>0</v>
      </c>
      <c r="AG387" s="47" t="s">
        <v>2723</v>
      </c>
    </row>
    <row r="388" spans="1:33" ht="6.9" customHeight="1" x14ac:dyDescent="0.4">
      <c r="A388" s="4">
        <f>ROW()</f>
        <v>388</v>
      </c>
      <c r="B388" s="9" t="s">
        <v>27</v>
      </c>
      <c r="C388" s="55" t="str">
        <f t="shared" si="147"/>
        <v>p.climatizar</v>
      </c>
      <c r="D388" s="6" t="str">
        <f t="shared" si="140"/>
        <v>é.tipo.de.condição</v>
      </c>
      <c r="E388" s="8" t="s">
        <v>28</v>
      </c>
      <c r="F388" s="42" t="str">
        <f t="shared" si="145"/>
        <v>d.climatizar</v>
      </c>
      <c r="G388" s="17" t="s">
        <v>605</v>
      </c>
      <c r="H388" s="41" t="s">
        <v>2121</v>
      </c>
      <c r="I388" s="16" t="str">
        <f t="shared" si="150"/>
        <v>null</v>
      </c>
      <c r="J388" s="15" t="s">
        <v>0</v>
      </c>
      <c r="K388" s="15" t="s">
        <v>0</v>
      </c>
      <c r="L388" s="15" t="s">
        <v>0</v>
      </c>
      <c r="M388" s="15" t="s">
        <v>0</v>
      </c>
      <c r="N388" s="15" t="s">
        <v>0</v>
      </c>
      <c r="O388" s="15" t="s">
        <v>0</v>
      </c>
      <c r="P388" s="15" t="s">
        <v>0</v>
      </c>
      <c r="Q388" s="15" t="s">
        <v>0</v>
      </c>
      <c r="R388" s="15" t="s">
        <v>0</v>
      </c>
      <c r="S388" s="10" t="s">
        <v>1</v>
      </c>
      <c r="T388" s="10" t="s">
        <v>32</v>
      </c>
      <c r="U388" s="5" t="str">
        <f t="shared" si="151"/>
        <v>Propriedade destinada a climatizar: é.tipo.de.condição</v>
      </c>
      <c r="V388" s="5" t="str">
        <f t="shared" si="152"/>
        <v>Dado para climatizar:  tipo.de.condição  Deve ser formatado como (rdfs:Literal  or  xsd:string)</v>
      </c>
      <c r="W388" s="5" t="s">
        <v>5324</v>
      </c>
      <c r="X388" s="24" t="str">
        <f t="shared" si="153"/>
        <v>clima.143</v>
      </c>
      <c r="Y388" s="24" t="str">
        <f t="shared" si="154"/>
        <v>Ação de climatizar</v>
      </c>
      <c r="Z388" s="47" t="s">
        <v>1376</v>
      </c>
      <c r="AA388" s="25" t="str">
        <f t="shared" si="148"/>
        <v>null</v>
      </c>
      <c r="AB388" s="26" t="s">
        <v>0</v>
      </c>
      <c r="AC388" s="25" t="str">
        <f t="shared" si="149"/>
        <v>null</v>
      </c>
      <c r="AD388" s="26" t="s">
        <v>0</v>
      </c>
      <c r="AE388" s="25" t="str">
        <f t="shared" si="146"/>
        <v>null</v>
      </c>
      <c r="AF388" s="26" t="s">
        <v>0</v>
      </c>
      <c r="AG388" s="47" t="s">
        <v>2724</v>
      </c>
    </row>
    <row r="389" spans="1:33" ht="6.9" customHeight="1" x14ac:dyDescent="0.4">
      <c r="A389" s="4">
        <f>ROW()</f>
        <v>389</v>
      </c>
      <c r="B389" s="9" t="s">
        <v>27</v>
      </c>
      <c r="C389" s="55" t="str">
        <f t="shared" si="147"/>
        <v>p.climatizar</v>
      </c>
      <c r="D389" s="6" t="str">
        <f t="shared" si="140"/>
        <v>é.tipo.de.construção</v>
      </c>
      <c r="E389" s="8" t="s">
        <v>28</v>
      </c>
      <c r="F389" s="42" t="str">
        <f t="shared" si="145"/>
        <v>d.climatizar</v>
      </c>
      <c r="G389" s="17" t="s">
        <v>606</v>
      </c>
      <c r="H389" s="41" t="s">
        <v>2121</v>
      </c>
      <c r="I389" s="16" t="str">
        <f t="shared" si="150"/>
        <v>null</v>
      </c>
      <c r="J389" s="15" t="s">
        <v>0</v>
      </c>
      <c r="K389" s="15" t="s">
        <v>0</v>
      </c>
      <c r="L389" s="15" t="s">
        <v>0</v>
      </c>
      <c r="M389" s="15" t="s">
        <v>0</v>
      </c>
      <c r="N389" s="15" t="s">
        <v>0</v>
      </c>
      <c r="O389" s="15" t="s">
        <v>0</v>
      </c>
      <c r="P389" s="15" t="s">
        <v>0</v>
      </c>
      <c r="Q389" s="15" t="s">
        <v>0</v>
      </c>
      <c r="R389" s="15" t="s">
        <v>0</v>
      </c>
      <c r="S389" s="10" t="s">
        <v>1</v>
      </c>
      <c r="T389" s="10" t="s">
        <v>32</v>
      </c>
      <c r="U389" s="5" t="str">
        <f t="shared" si="151"/>
        <v>Propriedade destinada a climatizar: é.tipo.de.construção</v>
      </c>
      <c r="V389" s="5" t="str">
        <f t="shared" si="152"/>
        <v>Dado para climatizar:  tipo.de.construção  Deve ser formatado como (rdfs:Literal  or  xsd:string)</v>
      </c>
      <c r="W389" s="5" t="s">
        <v>5325</v>
      </c>
      <c r="X389" s="24" t="str">
        <f t="shared" si="153"/>
        <v>clima.144</v>
      </c>
      <c r="Y389" s="24" t="str">
        <f t="shared" si="154"/>
        <v>Ação de climatizar</v>
      </c>
      <c r="Z389" s="47" t="s">
        <v>1377</v>
      </c>
      <c r="AA389" s="25" t="str">
        <f t="shared" si="148"/>
        <v>null</v>
      </c>
      <c r="AB389" s="26" t="s">
        <v>0</v>
      </c>
      <c r="AC389" s="25" t="str">
        <f t="shared" si="149"/>
        <v>null</v>
      </c>
      <c r="AD389" s="26" t="s">
        <v>0</v>
      </c>
      <c r="AE389" s="25" t="str">
        <f t="shared" si="146"/>
        <v>null</v>
      </c>
      <c r="AF389" s="26" t="s">
        <v>0</v>
      </c>
      <c r="AG389" s="47" t="s">
        <v>2725</v>
      </c>
    </row>
    <row r="390" spans="1:33" ht="6.9" customHeight="1" x14ac:dyDescent="0.4">
      <c r="A390" s="4">
        <f>ROW()</f>
        <v>390</v>
      </c>
      <c r="B390" s="9" t="s">
        <v>27</v>
      </c>
      <c r="C390" s="55" t="str">
        <f t="shared" si="147"/>
        <v>p.climatizar</v>
      </c>
      <c r="D390" s="6" t="str">
        <f t="shared" si="140"/>
        <v>é.tipo.de.espaço</v>
      </c>
      <c r="E390" s="8" t="s">
        <v>28</v>
      </c>
      <c r="F390" s="42" t="str">
        <f t="shared" si="145"/>
        <v>d.climatizar</v>
      </c>
      <c r="G390" s="17" t="s">
        <v>607</v>
      </c>
      <c r="H390" s="41" t="s">
        <v>2121</v>
      </c>
      <c r="I390" s="16" t="str">
        <f t="shared" si="150"/>
        <v>null</v>
      </c>
      <c r="J390" s="15" t="s">
        <v>0</v>
      </c>
      <c r="K390" s="15" t="s">
        <v>0</v>
      </c>
      <c r="L390" s="15" t="s">
        <v>0</v>
      </c>
      <c r="M390" s="15" t="s">
        <v>0</v>
      </c>
      <c r="N390" s="15" t="s">
        <v>0</v>
      </c>
      <c r="O390" s="15" t="s">
        <v>0</v>
      </c>
      <c r="P390" s="15" t="s">
        <v>0</v>
      </c>
      <c r="Q390" s="15" t="s">
        <v>0</v>
      </c>
      <c r="R390" s="15" t="s">
        <v>0</v>
      </c>
      <c r="S390" s="10" t="s">
        <v>1</v>
      </c>
      <c r="T390" s="10" t="s">
        <v>32</v>
      </c>
      <c r="U390" s="5" t="str">
        <f t="shared" si="151"/>
        <v>Propriedade destinada a climatizar: é.tipo.de.espaço</v>
      </c>
      <c r="V390" s="5" t="str">
        <f t="shared" si="152"/>
        <v>Dado para climatizar:  tipo.de.espaço  Deve ser formatado como (rdfs:Literal  or  xsd:string)</v>
      </c>
      <c r="W390" s="5" t="s">
        <v>5326</v>
      </c>
      <c r="X390" s="24" t="str">
        <f t="shared" si="153"/>
        <v>clima.145</v>
      </c>
      <c r="Y390" s="24" t="str">
        <f t="shared" si="154"/>
        <v>Ação de climatizar</v>
      </c>
      <c r="Z390" s="47" t="s">
        <v>1378</v>
      </c>
      <c r="AA390" s="25" t="str">
        <f t="shared" si="148"/>
        <v>null</v>
      </c>
      <c r="AB390" s="26" t="s">
        <v>0</v>
      </c>
      <c r="AC390" s="25" t="str">
        <f t="shared" si="149"/>
        <v>null</v>
      </c>
      <c r="AD390" s="26" t="s">
        <v>0</v>
      </c>
      <c r="AE390" s="25" t="str">
        <f t="shared" si="146"/>
        <v>null</v>
      </c>
      <c r="AF390" s="26" t="s">
        <v>0</v>
      </c>
      <c r="AG390" s="47" t="s">
        <v>2726</v>
      </c>
    </row>
    <row r="391" spans="1:33" ht="6.9" customHeight="1" x14ac:dyDescent="0.4">
      <c r="A391" s="4">
        <f>ROW()</f>
        <v>391</v>
      </c>
      <c r="B391" s="9" t="s">
        <v>27</v>
      </c>
      <c r="C391" s="55" t="str">
        <f t="shared" si="147"/>
        <v>p.climatizar</v>
      </c>
      <c r="D391" s="6" t="str">
        <f t="shared" si="140"/>
        <v>é.trocas.de.ar.por.hora</v>
      </c>
      <c r="E391" s="8" t="s">
        <v>28</v>
      </c>
      <c r="F391" s="42" t="str">
        <f t="shared" si="145"/>
        <v>d.climatizar</v>
      </c>
      <c r="G391" s="17" t="s">
        <v>608</v>
      </c>
      <c r="H391" s="41" t="s">
        <v>36</v>
      </c>
      <c r="I391" s="16" t="str">
        <f t="shared" si="150"/>
        <v>null</v>
      </c>
      <c r="J391" s="15" t="s">
        <v>0</v>
      </c>
      <c r="K391" s="15" t="s">
        <v>0</v>
      </c>
      <c r="L391" s="15" t="s">
        <v>0</v>
      </c>
      <c r="M391" s="15" t="s">
        <v>0</v>
      </c>
      <c r="N391" s="15" t="s">
        <v>0</v>
      </c>
      <c r="O391" s="15" t="s">
        <v>0</v>
      </c>
      <c r="P391" s="15" t="s">
        <v>0</v>
      </c>
      <c r="Q391" s="15" t="s">
        <v>0</v>
      </c>
      <c r="R391" s="15" t="s">
        <v>0</v>
      </c>
      <c r="S391" s="10" t="s">
        <v>1</v>
      </c>
      <c r="T391" s="10" t="s">
        <v>32</v>
      </c>
      <c r="U391" s="5" t="str">
        <f t="shared" si="151"/>
        <v>Propriedade destinada a climatizar: é.trocas.de.ar.por.hora</v>
      </c>
      <c r="V391" s="5" t="str">
        <f t="shared" si="152"/>
        <v>Dado para climatizar:  trocas.de.ar.por.hora  Deve ser formatado como (xsd:double)</v>
      </c>
      <c r="W391" s="5" t="s">
        <v>5327</v>
      </c>
      <c r="X391" s="24" t="str">
        <f t="shared" si="153"/>
        <v>clima.146</v>
      </c>
      <c r="Y391" s="24" t="str">
        <f t="shared" si="154"/>
        <v>Ação de climatizar</v>
      </c>
      <c r="Z391" s="47" t="s">
        <v>1379</v>
      </c>
      <c r="AA391" s="25" t="str">
        <f t="shared" si="148"/>
        <v>null</v>
      </c>
      <c r="AB391" s="26" t="s">
        <v>0</v>
      </c>
      <c r="AC391" s="25" t="str">
        <f t="shared" si="149"/>
        <v>null</v>
      </c>
      <c r="AD391" s="26" t="s">
        <v>0</v>
      </c>
      <c r="AE391" s="25" t="str">
        <f t="shared" si="146"/>
        <v>null</v>
      </c>
      <c r="AF391" s="26" t="s">
        <v>0</v>
      </c>
      <c r="AG391" s="47" t="s">
        <v>2727</v>
      </c>
    </row>
    <row r="392" spans="1:33" ht="6.9" customHeight="1" x14ac:dyDescent="0.4">
      <c r="A392" s="4">
        <f>ROW()</f>
        <v>392</v>
      </c>
      <c r="B392" s="9" t="s">
        <v>27</v>
      </c>
      <c r="C392" s="55" t="str">
        <f t="shared" si="147"/>
        <v>p.climatizar</v>
      </c>
      <c r="D392" s="6" t="str">
        <f t="shared" si="140"/>
        <v>é.unidade.de.ocupação</v>
      </c>
      <c r="E392" s="8" t="s">
        <v>28</v>
      </c>
      <c r="F392" s="42" t="str">
        <f t="shared" si="145"/>
        <v>d.climatizar</v>
      </c>
      <c r="G392" s="17" t="s">
        <v>609</v>
      </c>
      <c r="H392" s="41" t="s">
        <v>36</v>
      </c>
      <c r="I392" s="16" t="str">
        <f t="shared" si="150"/>
        <v>null</v>
      </c>
      <c r="J392" s="15" t="s">
        <v>0</v>
      </c>
      <c r="K392" s="15" t="s">
        <v>0</v>
      </c>
      <c r="L392" s="15" t="s">
        <v>0</v>
      </c>
      <c r="M392" s="15" t="s">
        <v>0</v>
      </c>
      <c r="N392" s="15" t="s">
        <v>0</v>
      </c>
      <c r="O392" s="15" t="s">
        <v>0</v>
      </c>
      <c r="P392" s="15" t="s">
        <v>0</v>
      </c>
      <c r="Q392" s="15" t="s">
        <v>0</v>
      </c>
      <c r="R392" s="15" t="s">
        <v>0</v>
      </c>
      <c r="S392" s="10" t="s">
        <v>1</v>
      </c>
      <c r="T392" s="10" t="s">
        <v>32</v>
      </c>
      <c r="U392" s="5" t="str">
        <f t="shared" si="151"/>
        <v>Propriedade destinada a climatizar: é.unidade.de.ocupação</v>
      </c>
      <c r="V392" s="5" t="str">
        <f t="shared" si="152"/>
        <v>Dado para climatizar:  unidade.de.ocupação  Deve ser formatado como (xsd:double)</v>
      </c>
      <c r="W392" s="5" t="s">
        <v>5328</v>
      </c>
      <c r="X392" s="24" t="str">
        <f t="shared" si="153"/>
        <v>clima.147</v>
      </c>
      <c r="Y392" s="24" t="str">
        <f t="shared" si="154"/>
        <v>Ação de climatizar</v>
      </c>
      <c r="Z392" s="47" t="s">
        <v>1380</v>
      </c>
      <c r="AA392" s="25" t="str">
        <f t="shared" si="148"/>
        <v>null</v>
      </c>
      <c r="AB392" s="26" t="s">
        <v>0</v>
      </c>
      <c r="AC392" s="25" t="str">
        <f t="shared" si="149"/>
        <v>null</v>
      </c>
      <c r="AD392" s="26" t="s">
        <v>0</v>
      </c>
      <c r="AE392" s="25" t="str">
        <f t="shared" si="146"/>
        <v>null</v>
      </c>
      <c r="AF392" s="26" t="s">
        <v>0</v>
      </c>
      <c r="AG392" s="47" t="s">
        <v>2728</v>
      </c>
    </row>
    <row r="393" spans="1:33" ht="6.9" customHeight="1" x14ac:dyDescent="0.4">
      <c r="A393" s="4">
        <f>ROW()</f>
        <v>393</v>
      </c>
      <c r="B393" s="9" t="s">
        <v>27</v>
      </c>
      <c r="C393" s="55" t="str">
        <f t="shared" si="147"/>
        <v>p.climatizar</v>
      </c>
      <c r="D393" s="6" t="str">
        <f t="shared" si="140"/>
        <v>é.unidade.de.carga.de.energia</v>
      </c>
      <c r="E393" s="8" t="s">
        <v>28</v>
      </c>
      <c r="F393" s="42" t="str">
        <f t="shared" si="145"/>
        <v>d.climatizar</v>
      </c>
      <c r="G393" s="17" t="s">
        <v>610</v>
      </c>
      <c r="H393" s="41" t="s">
        <v>36</v>
      </c>
      <c r="I393" s="16" t="str">
        <f t="shared" si="150"/>
        <v>null</v>
      </c>
      <c r="J393" s="15" t="s">
        <v>0</v>
      </c>
      <c r="K393" s="15" t="s">
        <v>0</v>
      </c>
      <c r="L393" s="15" t="s">
        <v>0</v>
      </c>
      <c r="M393" s="15" t="s">
        <v>0</v>
      </c>
      <c r="N393" s="15" t="s">
        <v>0</v>
      </c>
      <c r="O393" s="15" t="s">
        <v>0</v>
      </c>
      <c r="P393" s="15" t="s">
        <v>0</v>
      </c>
      <c r="Q393" s="15" t="s">
        <v>0</v>
      </c>
      <c r="R393" s="15" t="s">
        <v>0</v>
      </c>
      <c r="S393" s="10" t="s">
        <v>1</v>
      </c>
      <c r="T393" s="10" t="s">
        <v>32</v>
      </c>
      <c r="U393" s="5" t="str">
        <f t="shared" si="151"/>
        <v>Propriedade destinada a climatizar: é.unidade.de.carga.de.energia</v>
      </c>
      <c r="V393" s="5" t="str">
        <f t="shared" si="152"/>
        <v>Dado para climatizar:  unidade.de.carga.de.energia  Deve ser formatado como (xsd:double)</v>
      </c>
      <c r="W393" s="5" t="s">
        <v>5329</v>
      </c>
      <c r="X393" s="24" t="str">
        <f t="shared" si="153"/>
        <v>clima.148</v>
      </c>
      <c r="Y393" s="24" t="str">
        <f t="shared" si="154"/>
        <v>Ação de climatizar</v>
      </c>
      <c r="Z393" s="47" t="s">
        <v>1381</v>
      </c>
      <c r="AA393" s="25" t="str">
        <f t="shared" si="148"/>
        <v>null</v>
      </c>
      <c r="AB393" s="26" t="s">
        <v>0</v>
      </c>
      <c r="AC393" s="25" t="str">
        <f t="shared" si="149"/>
        <v>null</v>
      </c>
      <c r="AD393" s="26" t="s">
        <v>0</v>
      </c>
      <c r="AE393" s="25" t="str">
        <f t="shared" si="146"/>
        <v>null</v>
      </c>
      <c r="AF393" s="26" t="s">
        <v>0</v>
      </c>
      <c r="AG393" s="47" t="s">
        <v>2729</v>
      </c>
    </row>
    <row r="394" spans="1:33" ht="6.9" customHeight="1" x14ac:dyDescent="0.4">
      <c r="A394" s="4">
        <f>ROW()</f>
        <v>394</v>
      </c>
      <c r="B394" s="9" t="s">
        <v>27</v>
      </c>
      <c r="C394" s="54" t="str">
        <f t="shared" ref="C394:C398" si="155">SUBSTITUTE(F394,"d.","p.")</f>
        <v>p.colaborar</v>
      </c>
      <c r="D394" s="6" t="str">
        <f t="shared" si="140"/>
        <v>é.arquivado</v>
      </c>
      <c r="E394" s="8" t="s">
        <v>28</v>
      </c>
      <c r="F394" s="51" t="s">
        <v>5003</v>
      </c>
      <c r="G394" s="18" t="s">
        <v>5000</v>
      </c>
      <c r="H394" s="41" t="s">
        <v>2121</v>
      </c>
      <c r="I394" s="16" t="str">
        <f t="shared" ref="I394:I398" si="156">J394</f>
        <v>null</v>
      </c>
      <c r="J394" s="13" t="s">
        <v>0</v>
      </c>
      <c r="K394" s="13" t="s">
        <v>0</v>
      </c>
      <c r="L394" s="13" t="s">
        <v>0</v>
      </c>
      <c r="M394" s="13" t="s">
        <v>0</v>
      </c>
      <c r="N394" s="15" t="s">
        <v>0</v>
      </c>
      <c r="O394" s="13" t="s">
        <v>0</v>
      </c>
      <c r="P394" s="13" t="s">
        <v>0</v>
      </c>
      <c r="Q394" s="13" t="s">
        <v>0</v>
      </c>
      <c r="R394" s="15" t="s">
        <v>0</v>
      </c>
      <c r="S394" s="10" t="s">
        <v>1</v>
      </c>
      <c r="T394" s="10" t="s">
        <v>32</v>
      </c>
      <c r="U394" s="5" t="str">
        <f t="shared" si="151"/>
        <v>Propriedade destinada a colaborar: é.arquivado</v>
      </c>
      <c r="V394" s="5" t="str">
        <f t="shared" si="152"/>
        <v>Dado para colaborar:  arquivado  Deve ser formatado como (rdfs:Literal  or  xsd:string)</v>
      </c>
      <c r="W394" s="5" t="s">
        <v>5330</v>
      </c>
      <c r="X394" s="24" t="str">
        <f t="shared" si="153"/>
        <v>colab.100</v>
      </c>
      <c r="Y394" s="24" t="str">
        <f t="shared" si="154"/>
        <v>Ação de colaborar</v>
      </c>
      <c r="Z394" s="47" t="s">
        <v>6594</v>
      </c>
      <c r="AA394" s="25" t="str">
        <f t="shared" ref="AA394:AA398" si="157">IF(AB394="null", "null", "categoria.revit")</f>
        <v>null</v>
      </c>
      <c r="AB394" s="26" t="s">
        <v>0</v>
      </c>
      <c r="AC394" s="25" t="str">
        <f t="shared" ref="AC394:AC398" si="158">IF(AD394="null", "null", "classe.ifc")</f>
        <v>null</v>
      </c>
      <c r="AD394" s="26" t="s">
        <v>0</v>
      </c>
      <c r="AE394" s="25" t="str">
        <f t="shared" si="146"/>
        <v>null</v>
      </c>
      <c r="AF394" s="26" t="s">
        <v>0</v>
      </c>
      <c r="AG394" s="47" t="s">
        <v>6619</v>
      </c>
    </row>
    <row r="395" spans="1:33" ht="6.9" customHeight="1" x14ac:dyDescent="0.4">
      <c r="A395" s="4">
        <f>ROW()</f>
        <v>395</v>
      </c>
      <c r="B395" s="9" t="s">
        <v>27</v>
      </c>
      <c r="C395" s="55" t="str">
        <f t="shared" ref="C395" si="159">SUBSTITUTE(F395,"d.","p.")</f>
        <v>p.colaborar</v>
      </c>
      <c r="D395" s="6" t="str">
        <f t="shared" si="140"/>
        <v>é.compartilhado</v>
      </c>
      <c r="E395" s="8" t="s">
        <v>28</v>
      </c>
      <c r="F395" s="42" t="str">
        <f>F394</f>
        <v>d.colaborar</v>
      </c>
      <c r="G395" s="18" t="s">
        <v>4999</v>
      </c>
      <c r="H395" s="41" t="s">
        <v>2121</v>
      </c>
      <c r="I395" s="16" t="str">
        <f t="shared" ref="I395" si="160">J395</f>
        <v>null</v>
      </c>
      <c r="J395" s="13" t="s">
        <v>0</v>
      </c>
      <c r="K395" s="13" t="s">
        <v>0</v>
      </c>
      <c r="L395" s="13" t="s">
        <v>0</v>
      </c>
      <c r="M395" s="13" t="s">
        <v>0</v>
      </c>
      <c r="N395" s="15" t="s">
        <v>0</v>
      </c>
      <c r="O395" s="13" t="s">
        <v>0</v>
      </c>
      <c r="P395" s="13" t="s">
        <v>0</v>
      </c>
      <c r="Q395" s="13" t="s">
        <v>0</v>
      </c>
      <c r="R395" s="15" t="s">
        <v>0</v>
      </c>
      <c r="S395" s="10" t="s">
        <v>1</v>
      </c>
      <c r="T395" s="10" t="s">
        <v>32</v>
      </c>
      <c r="U395" s="5" t="str">
        <f t="shared" si="151"/>
        <v>Propriedade destinada a colaborar: é.compartilhado</v>
      </c>
      <c r="V395" s="5" t="str">
        <f t="shared" si="152"/>
        <v>Dado para colaborar:  compartilhado  Deve ser formatado como (rdfs:Literal  or  xsd:string)</v>
      </c>
      <c r="W395" s="5" t="s">
        <v>5331</v>
      </c>
      <c r="X395" s="24" t="str">
        <f t="shared" si="153"/>
        <v>colab.101</v>
      </c>
      <c r="Y395" s="24" t="str">
        <f t="shared" si="154"/>
        <v>Ação de colaborar</v>
      </c>
      <c r="Z395" s="47" t="s">
        <v>6595</v>
      </c>
      <c r="AA395" s="25" t="str">
        <f t="shared" ref="AA395" si="161">IF(AB395="null", "null", "categoria.revit")</f>
        <v>null</v>
      </c>
      <c r="AB395" s="26" t="s">
        <v>0</v>
      </c>
      <c r="AC395" s="25" t="str">
        <f t="shared" ref="AC395" si="162">IF(AD395="null", "null", "classe.ifc")</f>
        <v>null</v>
      </c>
      <c r="AD395" s="26" t="s">
        <v>0</v>
      </c>
      <c r="AE395" s="25" t="str">
        <f t="shared" si="146"/>
        <v>null</v>
      </c>
      <c r="AF395" s="26" t="s">
        <v>0</v>
      </c>
      <c r="AG395" s="47" t="s">
        <v>6620</v>
      </c>
    </row>
    <row r="396" spans="1:33" ht="6.9" customHeight="1" x14ac:dyDescent="0.4">
      <c r="A396" s="4">
        <f>ROW()</f>
        <v>396</v>
      </c>
      <c r="B396" s="9" t="s">
        <v>27</v>
      </c>
      <c r="C396" s="55" t="str">
        <f t="shared" si="155"/>
        <v>p.colaborar</v>
      </c>
      <c r="D396" s="6" t="str">
        <f t="shared" si="140"/>
        <v>é.em.andamento</v>
      </c>
      <c r="E396" s="8" t="s">
        <v>28</v>
      </c>
      <c r="F396" s="42" t="str">
        <f t="shared" ref="F396:F397" si="163">F395</f>
        <v>d.colaborar</v>
      </c>
      <c r="G396" s="18" t="s">
        <v>5002</v>
      </c>
      <c r="H396" s="41" t="s">
        <v>2121</v>
      </c>
      <c r="I396" s="16" t="str">
        <f t="shared" si="156"/>
        <v>null</v>
      </c>
      <c r="J396" s="13" t="s">
        <v>0</v>
      </c>
      <c r="K396" s="13" t="s">
        <v>0</v>
      </c>
      <c r="L396" s="13" t="s">
        <v>0</v>
      </c>
      <c r="M396" s="13" t="s">
        <v>0</v>
      </c>
      <c r="N396" s="15" t="s">
        <v>0</v>
      </c>
      <c r="O396" s="13" t="s">
        <v>0</v>
      </c>
      <c r="P396" s="13" t="s">
        <v>0</v>
      </c>
      <c r="Q396" s="13" t="s">
        <v>0</v>
      </c>
      <c r="R396" s="15" t="s">
        <v>0</v>
      </c>
      <c r="S396" s="10" t="s">
        <v>1</v>
      </c>
      <c r="T396" s="10" t="s">
        <v>32</v>
      </c>
      <c r="U396" s="5" t="str">
        <f t="shared" si="151"/>
        <v>Propriedade destinada a colaborar: é.em.andamento</v>
      </c>
      <c r="V396" s="5" t="str">
        <f t="shared" si="152"/>
        <v>Dado para colaborar:  em.andamento  Deve ser formatado como (rdfs:Literal  or  xsd:string)</v>
      </c>
      <c r="W396" s="5" t="s">
        <v>5332</v>
      </c>
      <c r="X396" s="24" t="str">
        <f t="shared" si="153"/>
        <v>colab.102</v>
      </c>
      <c r="Y396" s="24" t="str">
        <f t="shared" si="154"/>
        <v>Ação de colaborar</v>
      </c>
      <c r="Z396" s="47" t="s">
        <v>6596</v>
      </c>
      <c r="AA396" s="25" t="str">
        <f t="shared" si="157"/>
        <v>null</v>
      </c>
      <c r="AB396" s="26" t="s">
        <v>0</v>
      </c>
      <c r="AC396" s="25" t="str">
        <f t="shared" si="158"/>
        <v>null</v>
      </c>
      <c r="AD396" s="26" t="s">
        <v>0</v>
      </c>
      <c r="AE396" s="25" t="str">
        <f t="shared" si="146"/>
        <v>null</v>
      </c>
      <c r="AF396" s="26" t="s">
        <v>0</v>
      </c>
      <c r="AG396" s="47" t="s">
        <v>6621</v>
      </c>
    </row>
    <row r="397" spans="1:33" ht="6.9" customHeight="1" x14ac:dyDescent="0.4">
      <c r="A397" s="4">
        <f>ROW()</f>
        <v>397</v>
      </c>
      <c r="B397" s="9" t="s">
        <v>27</v>
      </c>
      <c r="C397" s="55" t="str">
        <f t="shared" si="155"/>
        <v>p.colaborar</v>
      </c>
      <c r="D397" s="6" t="str">
        <f t="shared" si="140"/>
        <v>é.publicado</v>
      </c>
      <c r="E397" s="8" t="s">
        <v>28</v>
      </c>
      <c r="F397" s="42" t="str">
        <f t="shared" si="163"/>
        <v>d.colaborar</v>
      </c>
      <c r="G397" s="18" t="s">
        <v>5001</v>
      </c>
      <c r="H397" s="41" t="s">
        <v>2121</v>
      </c>
      <c r="I397" s="16" t="str">
        <f t="shared" si="156"/>
        <v>null</v>
      </c>
      <c r="J397" s="13" t="s">
        <v>0</v>
      </c>
      <c r="K397" s="13" t="s">
        <v>0</v>
      </c>
      <c r="L397" s="13" t="s">
        <v>0</v>
      </c>
      <c r="M397" s="13" t="s">
        <v>0</v>
      </c>
      <c r="N397" s="15" t="s">
        <v>0</v>
      </c>
      <c r="O397" s="13" t="s">
        <v>0</v>
      </c>
      <c r="P397" s="13" t="s">
        <v>0</v>
      </c>
      <c r="Q397" s="13" t="s">
        <v>0</v>
      </c>
      <c r="R397" s="15" t="s">
        <v>0</v>
      </c>
      <c r="S397" s="10" t="s">
        <v>1</v>
      </c>
      <c r="T397" s="10" t="s">
        <v>32</v>
      </c>
      <c r="U397" s="5" t="str">
        <f t="shared" si="151"/>
        <v>Propriedade destinada a colaborar: é.publicado</v>
      </c>
      <c r="V397" s="5" t="str">
        <f t="shared" si="152"/>
        <v>Dado para colaborar:  publicado  Deve ser formatado como (rdfs:Literal  or  xsd:string)</v>
      </c>
      <c r="W397" s="5" t="s">
        <v>5333</v>
      </c>
      <c r="X397" s="24" t="str">
        <f t="shared" si="153"/>
        <v>colab.103</v>
      </c>
      <c r="Y397" s="24" t="str">
        <f t="shared" si="154"/>
        <v>Ação de colaborar</v>
      </c>
      <c r="Z397" s="47" t="s">
        <v>6597</v>
      </c>
      <c r="AA397" s="25" t="str">
        <f t="shared" si="157"/>
        <v>null</v>
      </c>
      <c r="AB397" s="26" t="s">
        <v>0</v>
      </c>
      <c r="AC397" s="25" t="str">
        <f t="shared" si="158"/>
        <v>null</v>
      </c>
      <c r="AD397" s="26" t="s">
        <v>0</v>
      </c>
      <c r="AE397" s="25" t="str">
        <f t="shared" si="146"/>
        <v>null</v>
      </c>
      <c r="AF397" s="26" t="s">
        <v>0</v>
      </c>
      <c r="AG397" s="47" t="s">
        <v>6622</v>
      </c>
    </row>
    <row r="398" spans="1:33" ht="6.9" customHeight="1" x14ac:dyDescent="0.4">
      <c r="A398" s="4">
        <f>ROW()</f>
        <v>398</v>
      </c>
      <c r="B398" s="9" t="s">
        <v>27</v>
      </c>
      <c r="C398" s="54" t="str">
        <f t="shared" si="155"/>
        <v>p.colorir</v>
      </c>
      <c r="D398" s="6" t="str">
        <f t="shared" si="140"/>
        <v>é.canal.alfa</v>
      </c>
      <c r="E398" s="8" t="s">
        <v>28</v>
      </c>
      <c r="F398" s="51" t="s">
        <v>7568</v>
      </c>
      <c r="G398" s="17" t="s">
        <v>7569</v>
      </c>
      <c r="H398" s="42" t="s">
        <v>33</v>
      </c>
      <c r="I398" s="16" t="str">
        <f t="shared" si="156"/>
        <v>null</v>
      </c>
      <c r="J398" s="15" t="s">
        <v>0</v>
      </c>
      <c r="K398" s="15" t="s">
        <v>0</v>
      </c>
      <c r="L398" s="15" t="s">
        <v>0</v>
      </c>
      <c r="M398" s="15" t="s">
        <v>0</v>
      </c>
      <c r="N398" s="15" t="s">
        <v>0</v>
      </c>
      <c r="O398" s="15" t="s">
        <v>0</v>
      </c>
      <c r="P398" s="15" t="s">
        <v>0</v>
      </c>
      <c r="Q398" s="15" t="s">
        <v>0</v>
      </c>
      <c r="R398" s="15" t="s">
        <v>0</v>
      </c>
      <c r="S398" s="10" t="s">
        <v>1</v>
      </c>
      <c r="T398" s="10" t="s">
        <v>32</v>
      </c>
      <c r="U398" s="5" t="str">
        <f t="shared" si="151"/>
        <v>Propriedade destinada a colorir: é.canal.alfa</v>
      </c>
      <c r="V398" s="5" t="str">
        <f t="shared" si="152"/>
        <v>Dado para colorir:  canal.alfa  Deve ser formatado como (xsd:integer)</v>
      </c>
      <c r="W398" s="5" t="s">
        <v>8654</v>
      </c>
      <c r="X398" s="24" t="str">
        <f t="shared" si="153"/>
        <v>color.100</v>
      </c>
      <c r="Y398" s="24" t="str">
        <f t="shared" si="154"/>
        <v>Ação de colorir</v>
      </c>
      <c r="Z398" s="47" t="s">
        <v>8643</v>
      </c>
      <c r="AA398" s="25" t="str">
        <f t="shared" si="157"/>
        <v>null</v>
      </c>
      <c r="AB398" s="26" t="s">
        <v>0</v>
      </c>
      <c r="AC398" s="25" t="str">
        <f t="shared" si="158"/>
        <v>null</v>
      </c>
      <c r="AD398" s="26" t="s">
        <v>0</v>
      </c>
      <c r="AE398" s="25" t="str">
        <f t="shared" si="146"/>
        <v>null</v>
      </c>
      <c r="AF398" s="26" t="s">
        <v>0</v>
      </c>
      <c r="AG398" s="47" t="s">
        <v>8553</v>
      </c>
    </row>
    <row r="399" spans="1:33" ht="6.9" customHeight="1" x14ac:dyDescent="0.4">
      <c r="A399" s="4">
        <f>ROW()</f>
        <v>399</v>
      </c>
      <c r="B399" s="9" t="s">
        <v>27</v>
      </c>
      <c r="C399" s="55" t="str">
        <f t="shared" ref="C399:C418" si="164">SUBSTITUTE(F399,"d.","p.")</f>
        <v>p.colorir</v>
      </c>
      <c r="D399" s="6" t="str">
        <f t="shared" ref="D399:D462" si="165">_xlfn.CONCAT("é.",G399)</f>
        <v>é.canal.black</v>
      </c>
      <c r="E399" s="8" t="s">
        <v>28</v>
      </c>
      <c r="F399" s="42" t="str">
        <f t="shared" ref="F399:F418" si="166">F398</f>
        <v>d.colorir</v>
      </c>
      <c r="G399" s="17" t="s">
        <v>7571</v>
      </c>
      <c r="H399" s="42" t="s">
        <v>33</v>
      </c>
      <c r="I399" s="16" t="str">
        <f t="shared" ref="I399:I418" si="167">J399</f>
        <v>null</v>
      </c>
      <c r="J399" s="15" t="s">
        <v>0</v>
      </c>
      <c r="K399" s="15" t="s">
        <v>0</v>
      </c>
      <c r="L399" s="15" t="s">
        <v>0</v>
      </c>
      <c r="M399" s="15" t="s">
        <v>0</v>
      </c>
      <c r="N399" s="15" t="s">
        <v>0</v>
      </c>
      <c r="O399" s="15" t="s">
        <v>0</v>
      </c>
      <c r="P399" s="15" t="s">
        <v>0</v>
      </c>
      <c r="Q399" s="15" t="s">
        <v>0</v>
      </c>
      <c r="R399" s="15" t="s">
        <v>0</v>
      </c>
      <c r="S399" s="10" t="s">
        <v>1</v>
      </c>
      <c r="T399" s="10" t="s">
        <v>32</v>
      </c>
      <c r="U399" s="5" t="str">
        <f t="shared" si="151"/>
        <v>Propriedade destinada a colorir: é.canal.black</v>
      </c>
      <c r="V399" s="5" t="str">
        <f t="shared" si="152"/>
        <v>Dado para colorir:  canal.black  Deve ser formatado como (xsd:integer)</v>
      </c>
      <c r="W399" s="5" t="s">
        <v>8653</v>
      </c>
      <c r="X399" s="24" t="str">
        <f t="shared" si="153"/>
        <v>color.101</v>
      </c>
      <c r="Y399" s="24" t="str">
        <f t="shared" si="154"/>
        <v>Ação de colorir</v>
      </c>
      <c r="Z399" s="47" t="s">
        <v>8642</v>
      </c>
      <c r="AA399" s="25" t="str">
        <f t="shared" ref="AA399:AA418" si="168">IF(AB399="null", "null", "categoria.revit")</f>
        <v>null</v>
      </c>
      <c r="AB399" s="26" t="s">
        <v>0</v>
      </c>
      <c r="AC399" s="25" t="str">
        <f t="shared" ref="AC399:AC418" si="169">IF(AD399="null", "null", "classe.ifc")</f>
        <v>null</v>
      </c>
      <c r="AD399" s="26" t="s">
        <v>0</v>
      </c>
      <c r="AE399" s="25" t="str">
        <f t="shared" ref="AE399:AE418" si="170">IF(AF399="null", "null", "propriedade")</f>
        <v>null</v>
      </c>
      <c r="AF399" s="26" t="s">
        <v>0</v>
      </c>
      <c r="AG399" s="47" t="s">
        <v>8554</v>
      </c>
    </row>
    <row r="400" spans="1:33" ht="6.9" customHeight="1" x14ac:dyDescent="0.4">
      <c r="A400" s="4">
        <f>ROW()</f>
        <v>400</v>
      </c>
      <c r="B400" s="9" t="s">
        <v>27</v>
      </c>
      <c r="C400" s="55" t="str">
        <f t="shared" si="164"/>
        <v>p.colorir</v>
      </c>
      <c r="D400" s="6" t="str">
        <f t="shared" si="165"/>
        <v>é.canal.blue</v>
      </c>
      <c r="E400" s="8" t="s">
        <v>28</v>
      </c>
      <c r="F400" s="42" t="str">
        <f t="shared" si="166"/>
        <v>d.colorir</v>
      </c>
      <c r="G400" s="17" t="s">
        <v>7570</v>
      </c>
      <c r="H400" s="42" t="s">
        <v>33</v>
      </c>
      <c r="I400" s="16" t="str">
        <f t="shared" si="167"/>
        <v>null</v>
      </c>
      <c r="J400" s="15" t="s">
        <v>0</v>
      </c>
      <c r="K400" s="15" t="s">
        <v>0</v>
      </c>
      <c r="L400" s="15" t="s">
        <v>0</v>
      </c>
      <c r="M400" s="15" t="s">
        <v>0</v>
      </c>
      <c r="N400" s="15" t="s">
        <v>0</v>
      </c>
      <c r="O400" s="15" t="s">
        <v>0</v>
      </c>
      <c r="P400" s="15" t="s">
        <v>0</v>
      </c>
      <c r="Q400" s="15" t="s">
        <v>0</v>
      </c>
      <c r="R400" s="15" t="s">
        <v>0</v>
      </c>
      <c r="S400" s="10" t="s">
        <v>1</v>
      </c>
      <c r="T400" s="10" t="s">
        <v>32</v>
      </c>
      <c r="U400" s="5" t="str">
        <f t="shared" si="151"/>
        <v>Propriedade destinada a colorir: é.canal.blue</v>
      </c>
      <c r="V400" s="5" t="str">
        <f t="shared" si="152"/>
        <v>Dado para colorir:  canal.blue  Deve ser formatado como (xsd:integer)</v>
      </c>
      <c r="W400" s="5" t="s">
        <v>8655</v>
      </c>
      <c r="X400" s="24" t="str">
        <f t="shared" si="153"/>
        <v>color.102</v>
      </c>
      <c r="Y400" s="24" t="str">
        <f t="shared" si="154"/>
        <v>Ação de colorir</v>
      </c>
      <c r="Z400" s="47" t="s">
        <v>8641</v>
      </c>
      <c r="AA400" s="25" t="str">
        <f t="shared" si="168"/>
        <v>null</v>
      </c>
      <c r="AB400" s="26" t="s">
        <v>0</v>
      </c>
      <c r="AC400" s="25" t="str">
        <f t="shared" si="169"/>
        <v>null</v>
      </c>
      <c r="AD400" s="26" t="s">
        <v>0</v>
      </c>
      <c r="AE400" s="25" t="str">
        <f t="shared" si="170"/>
        <v>null</v>
      </c>
      <c r="AF400" s="26" t="s">
        <v>0</v>
      </c>
      <c r="AG400" s="47" t="s">
        <v>8555</v>
      </c>
    </row>
    <row r="401" spans="1:33" ht="6.9" customHeight="1" x14ac:dyDescent="0.4">
      <c r="A401" s="4">
        <f>ROW()</f>
        <v>401</v>
      </c>
      <c r="B401" s="9" t="s">
        <v>27</v>
      </c>
      <c r="C401" s="55" t="str">
        <f t="shared" si="164"/>
        <v>p.colorir</v>
      </c>
      <c r="D401" s="6" t="str">
        <f t="shared" si="165"/>
        <v>é.canal.cyan</v>
      </c>
      <c r="E401" s="8" t="s">
        <v>28</v>
      </c>
      <c r="F401" s="42" t="str">
        <f t="shared" si="166"/>
        <v>d.colorir</v>
      </c>
      <c r="G401" s="17" t="s">
        <v>7574</v>
      </c>
      <c r="H401" s="42" t="s">
        <v>33</v>
      </c>
      <c r="I401" s="16" t="str">
        <f t="shared" si="167"/>
        <v>null</v>
      </c>
      <c r="J401" s="15" t="s">
        <v>0</v>
      </c>
      <c r="K401" s="15" t="s">
        <v>0</v>
      </c>
      <c r="L401" s="15" t="s">
        <v>0</v>
      </c>
      <c r="M401" s="15" t="s">
        <v>0</v>
      </c>
      <c r="N401" s="15" t="s">
        <v>0</v>
      </c>
      <c r="O401" s="15" t="s">
        <v>0</v>
      </c>
      <c r="P401" s="15" t="s">
        <v>0</v>
      </c>
      <c r="Q401" s="15" t="s">
        <v>0</v>
      </c>
      <c r="R401" s="15" t="s">
        <v>0</v>
      </c>
      <c r="S401" s="10" t="s">
        <v>1</v>
      </c>
      <c r="T401" s="10" t="s">
        <v>32</v>
      </c>
      <c r="U401" s="5" t="str">
        <f t="shared" si="151"/>
        <v>Propriedade destinada a colorir: é.canal.cyan</v>
      </c>
      <c r="V401" s="5" t="str">
        <f t="shared" si="152"/>
        <v>Dado para colorir:  canal.cyan  Deve ser formatado como (xsd:integer)</v>
      </c>
      <c r="W401" s="5" t="s">
        <v>8656</v>
      </c>
      <c r="X401" s="24" t="str">
        <f t="shared" si="153"/>
        <v>color.103</v>
      </c>
      <c r="Y401" s="24" t="str">
        <f t="shared" si="154"/>
        <v>Ação de colorir</v>
      </c>
      <c r="Z401" s="47" t="s">
        <v>8640</v>
      </c>
      <c r="AA401" s="25" t="str">
        <f t="shared" si="168"/>
        <v>null</v>
      </c>
      <c r="AB401" s="26" t="s">
        <v>0</v>
      </c>
      <c r="AC401" s="25" t="str">
        <f t="shared" si="169"/>
        <v>null</v>
      </c>
      <c r="AD401" s="26" t="s">
        <v>0</v>
      </c>
      <c r="AE401" s="25" t="str">
        <f t="shared" si="170"/>
        <v>null</v>
      </c>
      <c r="AF401" s="26" t="s">
        <v>0</v>
      </c>
      <c r="AG401" s="47" t="s">
        <v>8556</v>
      </c>
    </row>
    <row r="402" spans="1:33" ht="6.9" customHeight="1" x14ac:dyDescent="0.4">
      <c r="A402" s="4">
        <f>ROW()</f>
        <v>402</v>
      </c>
      <c r="B402" s="9" t="s">
        <v>27</v>
      </c>
      <c r="C402" s="55" t="str">
        <f t="shared" si="164"/>
        <v>p.colorir</v>
      </c>
      <c r="D402" s="6" t="str">
        <f t="shared" si="165"/>
        <v>é.canal.green</v>
      </c>
      <c r="E402" s="8" t="s">
        <v>28</v>
      </c>
      <c r="F402" s="42" t="str">
        <f t="shared" si="166"/>
        <v>d.colorir</v>
      </c>
      <c r="G402" s="17" t="s">
        <v>7575</v>
      </c>
      <c r="H402" s="42" t="s">
        <v>33</v>
      </c>
      <c r="I402" s="16" t="str">
        <f t="shared" si="167"/>
        <v>null</v>
      </c>
      <c r="J402" s="15" t="s">
        <v>0</v>
      </c>
      <c r="K402" s="15" t="s">
        <v>0</v>
      </c>
      <c r="L402" s="15" t="s">
        <v>0</v>
      </c>
      <c r="M402" s="15" t="s">
        <v>0</v>
      </c>
      <c r="N402" s="15" t="s">
        <v>0</v>
      </c>
      <c r="O402" s="15" t="s">
        <v>0</v>
      </c>
      <c r="P402" s="15" t="s">
        <v>0</v>
      </c>
      <c r="Q402" s="15" t="s">
        <v>0</v>
      </c>
      <c r="R402" s="15" t="s">
        <v>0</v>
      </c>
      <c r="S402" s="10" t="s">
        <v>1</v>
      </c>
      <c r="T402" s="10" t="s">
        <v>32</v>
      </c>
      <c r="U402" s="5" t="str">
        <f t="shared" si="151"/>
        <v>Propriedade destinada a colorir: é.canal.green</v>
      </c>
      <c r="V402" s="5" t="str">
        <f t="shared" si="152"/>
        <v>Dado para colorir:  canal.green  Deve ser formatado como (xsd:integer)</v>
      </c>
      <c r="W402" s="5" t="s">
        <v>8657</v>
      </c>
      <c r="X402" s="24" t="str">
        <f t="shared" si="153"/>
        <v>color.104</v>
      </c>
      <c r="Y402" s="24" t="str">
        <f t="shared" si="154"/>
        <v>Ação de colorir</v>
      </c>
      <c r="Z402" s="47" t="s">
        <v>8639</v>
      </c>
      <c r="AA402" s="25" t="str">
        <f t="shared" si="168"/>
        <v>null</v>
      </c>
      <c r="AB402" s="26" t="s">
        <v>0</v>
      </c>
      <c r="AC402" s="25" t="str">
        <f t="shared" si="169"/>
        <v>null</v>
      </c>
      <c r="AD402" s="26" t="s">
        <v>0</v>
      </c>
      <c r="AE402" s="25" t="str">
        <f t="shared" si="170"/>
        <v>null</v>
      </c>
      <c r="AF402" s="26" t="s">
        <v>0</v>
      </c>
      <c r="AG402" s="47" t="s">
        <v>8557</v>
      </c>
    </row>
    <row r="403" spans="1:33" ht="6.9" customHeight="1" x14ac:dyDescent="0.4">
      <c r="A403" s="4">
        <f>ROW()</f>
        <v>403</v>
      </c>
      <c r="B403" s="9" t="s">
        <v>27</v>
      </c>
      <c r="C403" s="55" t="str">
        <f t="shared" si="164"/>
        <v>p.colorir</v>
      </c>
      <c r="D403" s="6" t="str">
        <f t="shared" si="165"/>
        <v>é.canal.magenta</v>
      </c>
      <c r="E403" s="8" t="s">
        <v>28</v>
      </c>
      <c r="F403" s="42" t="str">
        <f t="shared" si="166"/>
        <v>d.colorir</v>
      </c>
      <c r="G403" s="17" t="s">
        <v>7577</v>
      </c>
      <c r="H403" s="42" t="s">
        <v>33</v>
      </c>
      <c r="I403" s="16" t="str">
        <f t="shared" si="167"/>
        <v>null</v>
      </c>
      <c r="J403" s="15" t="s">
        <v>0</v>
      </c>
      <c r="K403" s="15" t="s">
        <v>0</v>
      </c>
      <c r="L403" s="15" t="s">
        <v>0</v>
      </c>
      <c r="M403" s="15" t="s">
        <v>0</v>
      </c>
      <c r="N403" s="15" t="s">
        <v>0</v>
      </c>
      <c r="O403" s="15" t="s">
        <v>0</v>
      </c>
      <c r="P403" s="15" t="s">
        <v>0</v>
      </c>
      <c r="Q403" s="15" t="s">
        <v>0</v>
      </c>
      <c r="R403" s="15" t="s">
        <v>0</v>
      </c>
      <c r="S403" s="10" t="s">
        <v>1</v>
      </c>
      <c r="T403" s="10" t="s">
        <v>32</v>
      </c>
      <c r="U403" s="5" t="str">
        <f t="shared" si="151"/>
        <v>Propriedade destinada a colorir: é.canal.magenta</v>
      </c>
      <c r="V403" s="5" t="str">
        <f t="shared" si="152"/>
        <v>Dado para colorir:  canal.magenta  Deve ser formatado como (xsd:integer)</v>
      </c>
      <c r="W403" s="5" t="s">
        <v>8658</v>
      </c>
      <c r="X403" s="24" t="str">
        <f t="shared" si="153"/>
        <v>color.105</v>
      </c>
      <c r="Y403" s="24" t="str">
        <f t="shared" si="154"/>
        <v>Ação de colorir</v>
      </c>
      <c r="Z403" s="47" t="s">
        <v>8637</v>
      </c>
      <c r="AA403" s="25" t="str">
        <f t="shared" si="168"/>
        <v>null</v>
      </c>
      <c r="AB403" s="26" t="s">
        <v>0</v>
      </c>
      <c r="AC403" s="25" t="str">
        <f t="shared" si="169"/>
        <v>null</v>
      </c>
      <c r="AD403" s="26" t="s">
        <v>0</v>
      </c>
      <c r="AE403" s="25" t="str">
        <f t="shared" si="170"/>
        <v>null</v>
      </c>
      <c r="AF403" s="26" t="s">
        <v>0</v>
      </c>
      <c r="AG403" s="47" t="s">
        <v>8558</v>
      </c>
    </row>
    <row r="404" spans="1:33" ht="6.9" customHeight="1" x14ac:dyDescent="0.4">
      <c r="A404" s="4">
        <f>ROW()</f>
        <v>404</v>
      </c>
      <c r="B404" s="9" t="s">
        <v>27</v>
      </c>
      <c r="C404" s="55" t="str">
        <f t="shared" si="164"/>
        <v>p.colorir</v>
      </c>
      <c r="D404" s="6" t="str">
        <f t="shared" si="165"/>
        <v>é.canal.red</v>
      </c>
      <c r="E404" s="8" t="s">
        <v>28</v>
      </c>
      <c r="F404" s="42" t="str">
        <f t="shared" si="166"/>
        <v>d.colorir</v>
      </c>
      <c r="G404" s="17" t="s">
        <v>7576</v>
      </c>
      <c r="H404" s="42" t="s">
        <v>33</v>
      </c>
      <c r="I404" s="16" t="str">
        <f t="shared" si="167"/>
        <v>null</v>
      </c>
      <c r="J404" s="15" t="s">
        <v>0</v>
      </c>
      <c r="K404" s="15" t="s">
        <v>0</v>
      </c>
      <c r="L404" s="15" t="s">
        <v>0</v>
      </c>
      <c r="M404" s="15" t="s">
        <v>0</v>
      </c>
      <c r="N404" s="15" t="s">
        <v>0</v>
      </c>
      <c r="O404" s="15" t="s">
        <v>0</v>
      </c>
      <c r="P404" s="15" t="s">
        <v>0</v>
      </c>
      <c r="Q404" s="15" t="s">
        <v>0</v>
      </c>
      <c r="R404" s="15" t="s">
        <v>0</v>
      </c>
      <c r="S404" s="10" t="s">
        <v>1</v>
      </c>
      <c r="T404" s="10" t="s">
        <v>32</v>
      </c>
      <c r="U404" s="5" t="str">
        <f t="shared" si="151"/>
        <v>Propriedade destinada a colorir: é.canal.red</v>
      </c>
      <c r="V404" s="5" t="str">
        <f t="shared" si="152"/>
        <v>Dado para colorir:  canal.red  Deve ser formatado como (xsd:integer)</v>
      </c>
      <c r="W404" s="5" t="s">
        <v>8659</v>
      </c>
      <c r="X404" s="24" t="str">
        <f t="shared" si="153"/>
        <v>color.106</v>
      </c>
      <c r="Y404" s="24" t="str">
        <f t="shared" si="154"/>
        <v>Ação de colorir</v>
      </c>
      <c r="Z404" s="47" t="s">
        <v>8638</v>
      </c>
      <c r="AA404" s="25" t="str">
        <f t="shared" si="168"/>
        <v>null</v>
      </c>
      <c r="AB404" s="26" t="s">
        <v>0</v>
      </c>
      <c r="AC404" s="25" t="str">
        <f t="shared" si="169"/>
        <v>null</v>
      </c>
      <c r="AD404" s="26" t="s">
        <v>0</v>
      </c>
      <c r="AE404" s="25" t="str">
        <f t="shared" si="170"/>
        <v>null</v>
      </c>
      <c r="AF404" s="26" t="s">
        <v>0</v>
      </c>
      <c r="AG404" s="47" t="s">
        <v>8559</v>
      </c>
    </row>
    <row r="405" spans="1:33" ht="6.9" customHeight="1" x14ac:dyDescent="0.4">
      <c r="A405" s="4">
        <f>ROW()</f>
        <v>405</v>
      </c>
      <c r="B405" s="9" t="s">
        <v>27</v>
      </c>
      <c r="C405" s="55" t="str">
        <f t="shared" si="164"/>
        <v>p.colorir</v>
      </c>
      <c r="D405" s="6" t="str">
        <f t="shared" si="165"/>
        <v>é.canal.yellow</v>
      </c>
      <c r="E405" s="8" t="s">
        <v>28</v>
      </c>
      <c r="F405" s="42" t="str">
        <f t="shared" si="166"/>
        <v>d.colorir</v>
      </c>
      <c r="G405" s="17" t="s">
        <v>7580</v>
      </c>
      <c r="H405" s="42" t="s">
        <v>33</v>
      </c>
      <c r="I405" s="16" t="str">
        <f t="shared" si="167"/>
        <v>null</v>
      </c>
      <c r="J405" s="15" t="s">
        <v>0</v>
      </c>
      <c r="K405" s="15" t="s">
        <v>0</v>
      </c>
      <c r="L405" s="15" t="s">
        <v>0</v>
      </c>
      <c r="M405" s="15" t="s">
        <v>0</v>
      </c>
      <c r="N405" s="15" t="s">
        <v>0</v>
      </c>
      <c r="O405" s="15" t="s">
        <v>0</v>
      </c>
      <c r="P405" s="15" t="s">
        <v>0</v>
      </c>
      <c r="Q405" s="15" t="s">
        <v>0</v>
      </c>
      <c r="R405" s="15" t="s">
        <v>0</v>
      </c>
      <c r="S405" s="10" t="s">
        <v>1</v>
      </c>
      <c r="T405" s="10" t="s">
        <v>32</v>
      </c>
      <c r="U405" s="5" t="str">
        <f t="shared" si="151"/>
        <v>Propriedade destinada a colorir: é.canal.yellow</v>
      </c>
      <c r="V405" s="5" t="str">
        <f t="shared" si="152"/>
        <v>Dado para colorir:  canal.yellow  Deve ser formatado como (xsd:integer)</v>
      </c>
      <c r="W405" s="5" t="s">
        <v>8660</v>
      </c>
      <c r="X405" s="24" t="str">
        <f t="shared" si="153"/>
        <v>color.107</v>
      </c>
      <c r="Y405" s="24" t="str">
        <f t="shared" si="154"/>
        <v>Ação de colorir</v>
      </c>
      <c r="Z405" s="47" t="s">
        <v>8636</v>
      </c>
      <c r="AA405" s="25" t="str">
        <f t="shared" si="168"/>
        <v>null</v>
      </c>
      <c r="AB405" s="26" t="s">
        <v>0</v>
      </c>
      <c r="AC405" s="25" t="str">
        <f t="shared" si="169"/>
        <v>null</v>
      </c>
      <c r="AD405" s="26" t="s">
        <v>0</v>
      </c>
      <c r="AE405" s="25" t="str">
        <f t="shared" si="170"/>
        <v>null</v>
      </c>
      <c r="AF405" s="26" t="s">
        <v>0</v>
      </c>
      <c r="AG405" s="47" t="s">
        <v>8560</v>
      </c>
    </row>
    <row r="406" spans="1:33" ht="6.9" customHeight="1" x14ac:dyDescent="0.4">
      <c r="A406" s="4">
        <f>ROW()</f>
        <v>406</v>
      </c>
      <c r="B406" s="9" t="s">
        <v>27</v>
      </c>
      <c r="C406" s="55" t="str">
        <f t="shared" si="164"/>
        <v>p.colorir</v>
      </c>
      <c r="D406" s="6" t="str">
        <f t="shared" si="165"/>
        <v>é.cor</v>
      </c>
      <c r="E406" s="8" t="s">
        <v>28</v>
      </c>
      <c r="F406" s="42" t="str">
        <f t="shared" si="166"/>
        <v>d.colorir</v>
      </c>
      <c r="G406" s="17" t="s">
        <v>167</v>
      </c>
      <c r="H406" s="42" t="s">
        <v>2121</v>
      </c>
      <c r="I406" s="16" t="str">
        <f t="shared" si="167"/>
        <v>null</v>
      </c>
      <c r="J406" s="15" t="s">
        <v>0</v>
      </c>
      <c r="K406" s="15" t="s">
        <v>0</v>
      </c>
      <c r="L406" s="15" t="s">
        <v>0</v>
      </c>
      <c r="M406" s="15" t="s">
        <v>0</v>
      </c>
      <c r="N406" s="15" t="s">
        <v>0</v>
      </c>
      <c r="O406" s="15" t="s">
        <v>0</v>
      </c>
      <c r="P406" s="15" t="s">
        <v>0</v>
      </c>
      <c r="Q406" s="15" t="s">
        <v>0</v>
      </c>
      <c r="R406" s="15" t="s">
        <v>0</v>
      </c>
      <c r="S406" s="10" t="s">
        <v>1</v>
      </c>
      <c r="T406" s="10" t="s">
        <v>32</v>
      </c>
      <c r="U406" s="5" t="str">
        <f t="shared" si="151"/>
        <v>Propriedade destinada a colorir: é.cor</v>
      </c>
      <c r="V406" s="5" t="str">
        <f t="shared" si="152"/>
        <v>Dado para colorir:  cor  Deve ser formatado como (rdfs:Literal  or  xsd:string)</v>
      </c>
      <c r="W406" s="5" t="s">
        <v>8661</v>
      </c>
      <c r="X406" s="24" t="str">
        <f t="shared" si="153"/>
        <v>color.108</v>
      </c>
      <c r="Y406" s="24" t="str">
        <f t="shared" si="154"/>
        <v>Ação de colorir</v>
      </c>
      <c r="Z406" s="47" t="s">
        <v>8644</v>
      </c>
      <c r="AA406" s="25" t="str">
        <f t="shared" si="168"/>
        <v>null</v>
      </c>
      <c r="AB406" s="26" t="s">
        <v>0</v>
      </c>
      <c r="AC406" s="25" t="str">
        <f t="shared" si="169"/>
        <v>null</v>
      </c>
      <c r="AD406" s="26" t="s">
        <v>0</v>
      </c>
      <c r="AE406" s="25" t="str">
        <f t="shared" si="170"/>
        <v>null</v>
      </c>
      <c r="AF406" s="26" t="s">
        <v>0</v>
      </c>
      <c r="AG406" s="47" t="s">
        <v>4824</v>
      </c>
    </row>
    <row r="407" spans="1:33" ht="6.9" customHeight="1" x14ac:dyDescent="0.4">
      <c r="A407" s="4">
        <f>ROW()</f>
        <v>407</v>
      </c>
      <c r="B407" s="9" t="s">
        <v>27</v>
      </c>
      <c r="C407" s="55" t="str">
        <f t="shared" si="164"/>
        <v>p.colorir</v>
      </c>
      <c r="D407" s="6" t="str">
        <f t="shared" si="165"/>
        <v>é.cor.cmy</v>
      </c>
      <c r="E407" s="8" t="s">
        <v>28</v>
      </c>
      <c r="F407" s="42" t="str">
        <f t="shared" si="166"/>
        <v>d.colorir</v>
      </c>
      <c r="G407" s="17" t="s">
        <v>7572</v>
      </c>
      <c r="H407" s="42" t="s">
        <v>2121</v>
      </c>
      <c r="I407" s="16" t="str">
        <f t="shared" si="167"/>
        <v>null</v>
      </c>
      <c r="J407" s="15" t="s">
        <v>0</v>
      </c>
      <c r="K407" s="15" t="s">
        <v>0</v>
      </c>
      <c r="L407" s="15" t="s">
        <v>0</v>
      </c>
      <c r="M407" s="15" t="s">
        <v>0</v>
      </c>
      <c r="N407" s="15" t="s">
        <v>0</v>
      </c>
      <c r="O407" s="15" t="s">
        <v>0</v>
      </c>
      <c r="P407" s="15" t="s">
        <v>0</v>
      </c>
      <c r="Q407" s="15" t="s">
        <v>0</v>
      </c>
      <c r="R407" s="15" t="s">
        <v>0</v>
      </c>
      <c r="S407" s="10" t="s">
        <v>1</v>
      </c>
      <c r="T407" s="10" t="s">
        <v>32</v>
      </c>
      <c r="U407" s="5" t="str">
        <f t="shared" si="151"/>
        <v>Propriedade destinada a colorir: é.cor.cmy</v>
      </c>
      <c r="V407" s="5" t="str">
        <f t="shared" si="152"/>
        <v>Dado para colorir:  cor.cmy  Deve ser formatado como (rdfs:Literal  or  xsd:string)</v>
      </c>
      <c r="W407" s="5" t="s">
        <v>6186</v>
      </c>
      <c r="X407" s="24" t="str">
        <f t="shared" si="153"/>
        <v>color.109</v>
      </c>
      <c r="Y407" s="24" t="str">
        <f t="shared" si="154"/>
        <v>Ação de colorir</v>
      </c>
      <c r="Z407" s="47" t="s">
        <v>8645</v>
      </c>
      <c r="AA407" s="25" t="str">
        <f t="shared" si="168"/>
        <v>null</v>
      </c>
      <c r="AB407" s="26" t="s">
        <v>0</v>
      </c>
      <c r="AC407" s="25" t="str">
        <f t="shared" si="169"/>
        <v>null</v>
      </c>
      <c r="AD407" s="26" t="s">
        <v>0</v>
      </c>
      <c r="AE407" s="25" t="str">
        <f t="shared" si="170"/>
        <v>null</v>
      </c>
      <c r="AF407" s="26" t="s">
        <v>0</v>
      </c>
      <c r="AG407" s="47" t="s">
        <v>8561</v>
      </c>
    </row>
    <row r="408" spans="1:33" ht="6.9" customHeight="1" x14ac:dyDescent="0.4">
      <c r="A408" s="4">
        <f>ROW()</f>
        <v>408</v>
      </c>
      <c r="B408" s="9" t="s">
        <v>27</v>
      </c>
      <c r="C408" s="55" t="str">
        <f t="shared" si="164"/>
        <v>p.colorir</v>
      </c>
      <c r="D408" s="6" t="str">
        <f t="shared" si="165"/>
        <v>é.cor.cmyb</v>
      </c>
      <c r="E408" s="8" t="s">
        <v>28</v>
      </c>
      <c r="F408" s="42" t="str">
        <f t="shared" si="166"/>
        <v>d.colorir</v>
      </c>
      <c r="G408" s="17" t="s">
        <v>7573</v>
      </c>
      <c r="H408" s="42" t="s">
        <v>2121</v>
      </c>
      <c r="I408" s="16" t="str">
        <f t="shared" si="167"/>
        <v>null</v>
      </c>
      <c r="J408" s="15" t="s">
        <v>0</v>
      </c>
      <c r="K408" s="15" t="s">
        <v>0</v>
      </c>
      <c r="L408" s="15" t="s">
        <v>0</v>
      </c>
      <c r="M408" s="15" t="s">
        <v>0</v>
      </c>
      <c r="N408" s="15" t="s">
        <v>0</v>
      </c>
      <c r="O408" s="15" t="s">
        <v>0</v>
      </c>
      <c r="P408" s="15" t="s">
        <v>0</v>
      </c>
      <c r="Q408" s="15" t="s">
        <v>0</v>
      </c>
      <c r="R408" s="15" t="s">
        <v>0</v>
      </c>
      <c r="S408" s="10" t="s">
        <v>1</v>
      </c>
      <c r="T408" s="10" t="s">
        <v>32</v>
      </c>
      <c r="U408" s="5" t="str">
        <f t="shared" si="151"/>
        <v>Propriedade destinada a colorir: é.cor.cmyb</v>
      </c>
      <c r="V408" s="5" t="str">
        <f t="shared" si="152"/>
        <v>Dado para colorir:  cor.cmyb  Deve ser formatado como (rdfs:Literal  or  xsd:string)</v>
      </c>
      <c r="W408" s="5" t="s">
        <v>8662</v>
      </c>
      <c r="X408" s="24" t="str">
        <f t="shared" si="153"/>
        <v>color.110</v>
      </c>
      <c r="Y408" s="24" t="str">
        <f t="shared" si="154"/>
        <v>Ação de colorir</v>
      </c>
      <c r="Z408" s="47" t="s">
        <v>8646</v>
      </c>
      <c r="AA408" s="25" t="str">
        <f t="shared" si="168"/>
        <v>null</v>
      </c>
      <c r="AB408" s="26" t="s">
        <v>0</v>
      </c>
      <c r="AC408" s="25" t="str">
        <f t="shared" si="169"/>
        <v>null</v>
      </c>
      <c r="AD408" s="26" t="s">
        <v>0</v>
      </c>
      <c r="AE408" s="25" t="str">
        <f t="shared" si="170"/>
        <v>null</v>
      </c>
      <c r="AF408" s="26" t="s">
        <v>0</v>
      </c>
      <c r="AG408" s="47" t="s">
        <v>8562</v>
      </c>
    </row>
    <row r="409" spans="1:33" ht="6.9" customHeight="1" x14ac:dyDescent="0.4">
      <c r="A409" s="4">
        <f>ROW()</f>
        <v>409</v>
      </c>
      <c r="B409" s="9" t="s">
        <v>27</v>
      </c>
      <c r="C409" s="55" t="str">
        <f t="shared" si="164"/>
        <v>p.colorir</v>
      </c>
      <c r="D409" s="6" t="str">
        <f t="shared" si="165"/>
        <v>é.cor.hexa</v>
      </c>
      <c r="E409" s="8" t="s">
        <v>28</v>
      </c>
      <c r="F409" s="42" t="str">
        <f t="shared" si="166"/>
        <v>d.colorir</v>
      </c>
      <c r="G409" s="17" t="s">
        <v>925</v>
      </c>
      <c r="H409" s="42" t="s">
        <v>2121</v>
      </c>
      <c r="I409" s="16" t="str">
        <f t="shared" si="167"/>
        <v>null</v>
      </c>
      <c r="J409" s="15" t="s">
        <v>0</v>
      </c>
      <c r="K409" s="15" t="s">
        <v>0</v>
      </c>
      <c r="L409" s="15" t="s">
        <v>0</v>
      </c>
      <c r="M409" s="15" t="s">
        <v>0</v>
      </c>
      <c r="N409" s="15" t="s">
        <v>0</v>
      </c>
      <c r="O409" s="15" t="s">
        <v>0</v>
      </c>
      <c r="P409" s="15" t="s">
        <v>0</v>
      </c>
      <c r="Q409" s="15" t="s">
        <v>0</v>
      </c>
      <c r="R409" s="15" t="s">
        <v>0</v>
      </c>
      <c r="S409" s="10" t="s">
        <v>1</v>
      </c>
      <c r="T409" s="10" t="s">
        <v>32</v>
      </c>
      <c r="U409" s="5" t="str">
        <f t="shared" si="151"/>
        <v>Propriedade destinada a colorir: é.cor.hexa</v>
      </c>
      <c r="V409" s="5" t="str">
        <f t="shared" si="152"/>
        <v>Dado para colorir:  cor.hexa  Deve ser formatado como (rdfs:Literal  or  xsd:string)</v>
      </c>
      <c r="W409" s="5" t="s">
        <v>8663</v>
      </c>
      <c r="X409" s="24" t="str">
        <f t="shared" si="153"/>
        <v>color.111</v>
      </c>
      <c r="Y409" s="24" t="str">
        <f t="shared" si="154"/>
        <v>Ação de colorir</v>
      </c>
      <c r="Z409" s="47" t="s">
        <v>8647</v>
      </c>
      <c r="AA409" s="25" t="str">
        <f t="shared" si="168"/>
        <v>null</v>
      </c>
      <c r="AB409" s="26" t="s">
        <v>0</v>
      </c>
      <c r="AC409" s="25" t="str">
        <f t="shared" si="169"/>
        <v>null</v>
      </c>
      <c r="AD409" s="26" t="s">
        <v>0</v>
      </c>
      <c r="AE409" s="25" t="str">
        <f t="shared" si="170"/>
        <v>null</v>
      </c>
      <c r="AF409" s="26" t="s">
        <v>0</v>
      </c>
      <c r="AG409" s="47" t="s">
        <v>8563</v>
      </c>
    </row>
    <row r="410" spans="1:33" ht="6.9" customHeight="1" x14ac:dyDescent="0.4">
      <c r="A410" s="4">
        <f>ROW()</f>
        <v>410</v>
      </c>
      <c r="B410" s="9" t="s">
        <v>27</v>
      </c>
      <c r="C410" s="55" t="str">
        <f t="shared" si="164"/>
        <v>p.colorir</v>
      </c>
      <c r="D410" s="6" t="str">
        <f t="shared" si="165"/>
        <v>é.cor.rgb</v>
      </c>
      <c r="E410" s="8" t="s">
        <v>28</v>
      </c>
      <c r="F410" s="42" t="str">
        <f t="shared" si="166"/>
        <v>d.colorir</v>
      </c>
      <c r="G410" s="17" t="s">
        <v>7578</v>
      </c>
      <c r="H410" s="42" t="s">
        <v>2121</v>
      </c>
      <c r="I410" s="16" t="str">
        <f t="shared" si="167"/>
        <v>null</v>
      </c>
      <c r="J410" s="15" t="s">
        <v>0</v>
      </c>
      <c r="K410" s="15" t="s">
        <v>0</v>
      </c>
      <c r="L410" s="15" t="s">
        <v>0</v>
      </c>
      <c r="M410" s="15" t="s">
        <v>0</v>
      </c>
      <c r="N410" s="15" t="s">
        <v>0</v>
      </c>
      <c r="O410" s="15" t="s">
        <v>0</v>
      </c>
      <c r="P410" s="15" t="s">
        <v>0</v>
      </c>
      <c r="Q410" s="15" t="s">
        <v>0</v>
      </c>
      <c r="R410" s="15" t="s">
        <v>0</v>
      </c>
      <c r="S410" s="10" t="s">
        <v>1</v>
      </c>
      <c r="T410" s="10" t="s">
        <v>32</v>
      </c>
      <c r="U410" s="5" t="str">
        <f t="shared" si="151"/>
        <v>Propriedade destinada a colorir: é.cor.rgb</v>
      </c>
      <c r="V410" s="5" t="str">
        <f t="shared" si="152"/>
        <v>Dado para colorir:  cor.rgb  Deve ser formatado como (rdfs:Literal  or  xsd:string)</v>
      </c>
      <c r="W410" s="5" t="s">
        <v>8664</v>
      </c>
      <c r="X410" s="24" t="str">
        <f t="shared" si="153"/>
        <v>color.112</v>
      </c>
      <c r="Y410" s="24" t="str">
        <f t="shared" si="154"/>
        <v>Ação de colorir</v>
      </c>
      <c r="Z410" s="47" t="s">
        <v>8648</v>
      </c>
      <c r="AA410" s="25" t="str">
        <f t="shared" si="168"/>
        <v>null</v>
      </c>
      <c r="AB410" s="26" t="s">
        <v>0</v>
      </c>
      <c r="AC410" s="25" t="str">
        <f t="shared" si="169"/>
        <v>null</v>
      </c>
      <c r="AD410" s="26" t="s">
        <v>0</v>
      </c>
      <c r="AE410" s="25" t="str">
        <f t="shared" si="170"/>
        <v>null</v>
      </c>
      <c r="AF410" s="26" t="s">
        <v>0</v>
      </c>
      <c r="AG410" s="47" t="s">
        <v>8564</v>
      </c>
    </row>
    <row r="411" spans="1:33" ht="6.9" customHeight="1" x14ac:dyDescent="0.4">
      <c r="A411" s="4">
        <f>ROW()</f>
        <v>411</v>
      </c>
      <c r="B411" s="9" t="s">
        <v>27</v>
      </c>
      <c r="C411" s="55" t="str">
        <f t="shared" si="164"/>
        <v>p.colorir</v>
      </c>
      <c r="D411" s="6" t="str">
        <f t="shared" si="165"/>
        <v>é.cor.rgba</v>
      </c>
      <c r="E411" s="8" t="s">
        <v>28</v>
      </c>
      <c r="F411" s="42" t="str">
        <f t="shared" si="166"/>
        <v>d.colorir</v>
      </c>
      <c r="G411" s="17" t="s">
        <v>7579</v>
      </c>
      <c r="H411" s="42" t="s">
        <v>2121</v>
      </c>
      <c r="I411" s="16" t="str">
        <f t="shared" si="167"/>
        <v>null</v>
      </c>
      <c r="J411" s="15" t="s">
        <v>0</v>
      </c>
      <c r="K411" s="15" t="s">
        <v>0</v>
      </c>
      <c r="L411" s="15" t="s">
        <v>0</v>
      </c>
      <c r="M411" s="15" t="s">
        <v>0</v>
      </c>
      <c r="N411" s="15" t="s">
        <v>0</v>
      </c>
      <c r="O411" s="15" t="s">
        <v>0</v>
      </c>
      <c r="P411" s="15" t="s">
        <v>0</v>
      </c>
      <c r="Q411" s="15" t="s">
        <v>0</v>
      </c>
      <c r="R411" s="15" t="s">
        <v>0</v>
      </c>
      <c r="S411" s="10" t="s">
        <v>1</v>
      </c>
      <c r="T411" s="10" t="s">
        <v>32</v>
      </c>
      <c r="U411" s="5" t="str">
        <f t="shared" si="151"/>
        <v>Propriedade destinada a colorir: é.cor.rgba</v>
      </c>
      <c r="V411" s="5" t="str">
        <f t="shared" si="152"/>
        <v>Dado para colorir:  cor.rgba  Deve ser formatado como (rdfs:Literal  or  xsd:string)</v>
      </c>
      <c r="W411" s="5" t="s">
        <v>8665</v>
      </c>
      <c r="X411" s="24" t="str">
        <f t="shared" si="153"/>
        <v>color.113</v>
      </c>
      <c r="Y411" s="24" t="str">
        <f t="shared" si="154"/>
        <v>Ação de colorir</v>
      </c>
      <c r="Z411" s="47" t="s">
        <v>8649</v>
      </c>
      <c r="AA411" s="25" t="str">
        <f t="shared" si="168"/>
        <v>null</v>
      </c>
      <c r="AB411" s="26" t="s">
        <v>0</v>
      </c>
      <c r="AC411" s="25" t="str">
        <f t="shared" si="169"/>
        <v>null</v>
      </c>
      <c r="AD411" s="26" t="s">
        <v>0</v>
      </c>
      <c r="AE411" s="25" t="str">
        <f t="shared" si="170"/>
        <v>null</v>
      </c>
      <c r="AF411" s="26" t="s">
        <v>0</v>
      </c>
      <c r="AG411" s="47" t="s">
        <v>8565</v>
      </c>
    </row>
    <row r="412" spans="1:33" ht="6.9" customHeight="1" x14ac:dyDescent="0.4">
      <c r="A412" s="4">
        <f>ROW()</f>
        <v>412</v>
      </c>
      <c r="B412" s="9" t="s">
        <v>27</v>
      </c>
      <c r="C412" s="55" t="str">
        <f t="shared" si="164"/>
        <v>p.colorir</v>
      </c>
      <c r="D412" s="6" t="str">
        <f t="shared" si="165"/>
        <v>é.croma</v>
      </c>
      <c r="E412" s="8" t="s">
        <v>28</v>
      </c>
      <c r="F412" s="42" t="str">
        <f t="shared" si="166"/>
        <v>d.colorir</v>
      </c>
      <c r="G412" s="17" t="s">
        <v>405</v>
      </c>
      <c r="H412" s="42" t="s">
        <v>33</v>
      </c>
      <c r="I412" s="16" t="str">
        <f t="shared" si="167"/>
        <v>null</v>
      </c>
      <c r="J412" s="15" t="s">
        <v>0</v>
      </c>
      <c r="K412" s="15" t="s">
        <v>0</v>
      </c>
      <c r="L412" s="15" t="s">
        <v>0</v>
      </c>
      <c r="M412" s="15" t="s">
        <v>0</v>
      </c>
      <c r="N412" s="15" t="s">
        <v>0</v>
      </c>
      <c r="O412" s="15" t="s">
        <v>0</v>
      </c>
      <c r="P412" s="15" t="s">
        <v>0</v>
      </c>
      <c r="Q412" s="15" t="s">
        <v>0</v>
      </c>
      <c r="R412" s="15" t="s">
        <v>0</v>
      </c>
      <c r="S412" s="10" t="s">
        <v>1</v>
      </c>
      <c r="T412" s="10" t="s">
        <v>32</v>
      </c>
      <c r="U412" s="5" t="str">
        <f t="shared" si="151"/>
        <v>Propriedade destinada a colorir: é.croma</v>
      </c>
      <c r="V412" s="5" t="str">
        <f t="shared" si="152"/>
        <v>Dado para colorir:  croma  Deve ser formatado como (xsd:integer)</v>
      </c>
      <c r="W412" s="5" t="s">
        <v>8666</v>
      </c>
      <c r="X412" s="24" t="str">
        <f t="shared" si="153"/>
        <v>color.114</v>
      </c>
      <c r="Y412" s="24" t="str">
        <f t="shared" si="154"/>
        <v>Ação de colorir</v>
      </c>
      <c r="Z412" s="47" t="s">
        <v>4609</v>
      </c>
      <c r="AA412" s="25" t="str">
        <f t="shared" si="168"/>
        <v>null</v>
      </c>
      <c r="AB412" s="26" t="s">
        <v>0</v>
      </c>
      <c r="AC412" s="25" t="str">
        <f t="shared" si="169"/>
        <v>null</v>
      </c>
      <c r="AD412" s="26" t="s">
        <v>0</v>
      </c>
      <c r="AE412" s="25" t="str">
        <f t="shared" si="170"/>
        <v>null</v>
      </c>
      <c r="AF412" s="26" t="s">
        <v>0</v>
      </c>
      <c r="AG412" s="47" t="s">
        <v>8566</v>
      </c>
    </row>
    <row r="413" spans="1:33" ht="6.9" customHeight="1" x14ac:dyDescent="0.4">
      <c r="A413" s="4">
        <f>ROW()</f>
        <v>413</v>
      </c>
      <c r="B413" s="9" t="s">
        <v>27</v>
      </c>
      <c r="C413" s="55" t="str">
        <f t="shared" si="164"/>
        <v>p.colorir</v>
      </c>
      <c r="D413" s="6" t="str">
        <f t="shared" si="165"/>
        <v>é.hue</v>
      </c>
      <c r="E413" s="8" t="s">
        <v>28</v>
      </c>
      <c r="F413" s="42" t="str">
        <f t="shared" si="166"/>
        <v>d.colorir</v>
      </c>
      <c r="G413" s="17" t="s">
        <v>407</v>
      </c>
      <c r="H413" s="42" t="s">
        <v>33</v>
      </c>
      <c r="I413" s="16" t="str">
        <f t="shared" si="167"/>
        <v>null</v>
      </c>
      <c r="J413" s="15" t="s">
        <v>0</v>
      </c>
      <c r="K413" s="15" t="s">
        <v>0</v>
      </c>
      <c r="L413" s="15" t="s">
        <v>0</v>
      </c>
      <c r="M413" s="15" t="s">
        <v>0</v>
      </c>
      <c r="N413" s="15" t="s">
        <v>0</v>
      </c>
      <c r="O413" s="15" t="s">
        <v>0</v>
      </c>
      <c r="P413" s="15" t="s">
        <v>0</v>
      </c>
      <c r="Q413" s="15" t="s">
        <v>0</v>
      </c>
      <c r="R413" s="15" t="s">
        <v>0</v>
      </c>
      <c r="S413" s="10" t="s">
        <v>1</v>
      </c>
      <c r="T413" s="10" t="s">
        <v>32</v>
      </c>
      <c r="U413" s="5" t="str">
        <f t="shared" si="151"/>
        <v>Propriedade destinada a colorir: é.hue</v>
      </c>
      <c r="V413" s="5" t="str">
        <f t="shared" si="152"/>
        <v>Dado para colorir:  hue  Deve ser formatado como (xsd:integer)</v>
      </c>
      <c r="W413" s="5" t="s">
        <v>8667</v>
      </c>
      <c r="X413" s="24" t="str">
        <f t="shared" si="153"/>
        <v>color.115</v>
      </c>
      <c r="Y413" s="24" t="str">
        <f t="shared" si="154"/>
        <v>Ação de colorir</v>
      </c>
      <c r="Z413" s="47" t="s">
        <v>4607</v>
      </c>
      <c r="AA413" s="25" t="str">
        <f t="shared" si="168"/>
        <v>null</v>
      </c>
      <c r="AB413" s="26" t="s">
        <v>0</v>
      </c>
      <c r="AC413" s="25" t="str">
        <f t="shared" si="169"/>
        <v>null</v>
      </c>
      <c r="AD413" s="26" t="s">
        <v>0</v>
      </c>
      <c r="AE413" s="25" t="str">
        <f t="shared" si="170"/>
        <v>null</v>
      </c>
      <c r="AF413" s="26" t="s">
        <v>0</v>
      </c>
      <c r="AG413" s="47" t="s">
        <v>8567</v>
      </c>
    </row>
    <row r="414" spans="1:33" ht="6.9" customHeight="1" x14ac:dyDescent="0.4">
      <c r="A414" s="4">
        <f>ROW()</f>
        <v>414</v>
      </c>
      <c r="B414" s="9" t="s">
        <v>27</v>
      </c>
      <c r="C414" s="55" t="str">
        <f t="shared" si="164"/>
        <v>p.colorir</v>
      </c>
      <c r="D414" s="6" t="str">
        <f t="shared" si="165"/>
        <v>é.luminosidade</v>
      </c>
      <c r="E414" s="8" t="s">
        <v>28</v>
      </c>
      <c r="F414" s="42" t="str">
        <f t="shared" si="166"/>
        <v>d.colorir</v>
      </c>
      <c r="G414" s="17" t="s">
        <v>406</v>
      </c>
      <c r="H414" s="42" t="s">
        <v>33</v>
      </c>
      <c r="I414" s="16" t="str">
        <f t="shared" si="167"/>
        <v>null</v>
      </c>
      <c r="J414" s="15" t="s">
        <v>0</v>
      </c>
      <c r="K414" s="15" t="s">
        <v>0</v>
      </c>
      <c r="L414" s="15" t="s">
        <v>0</v>
      </c>
      <c r="M414" s="15" t="s">
        <v>0</v>
      </c>
      <c r="N414" s="15" t="s">
        <v>0</v>
      </c>
      <c r="O414" s="15" t="s">
        <v>0</v>
      </c>
      <c r="P414" s="15" t="s">
        <v>0</v>
      </c>
      <c r="Q414" s="15" t="s">
        <v>0</v>
      </c>
      <c r="R414" s="15" t="s">
        <v>0</v>
      </c>
      <c r="S414" s="10" t="s">
        <v>1</v>
      </c>
      <c r="T414" s="10" t="s">
        <v>32</v>
      </c>
      <c r="U414" s="5" t="str">
        <f t="shared" si="151"/>
        <v>Propriedade destinada a colorir: é.luminosidade</v>
      </c>
      <c r="V414" s="5" t="str">
        <f t="shared" si="152"/>
        <v>Dado para colorir:  luminosidade  Deve ser formatado como (xsd:integer)</v>
      </c>
      <c r="W414" s="5" t="s">
        <v>8668</v>
      </c>
      <c r="X414" s="24" t="str">
        <f t="shared" si="153"/>
        <v>color.116</v>
      </c>
      <c r="Y414" s="24" t="str">
        <f t="shared" si="154"/>
        <v>Ação de colorir</v>
      </c>
      <c r="Z414" s="47" t="s">
        <v>4606</v>
      </c>
      <c r="AA414" s="25" t="str">
        <f t="shared" si="168"/>
        <v>null</v>
      </c>
      <c r="AB414" s="26" t="s">
        <v>0</v>
      </c>
      <c r="AC414" s="25" t="str">
        <f t="shared" si="169"/>
        <v>null</v>
      </c>
      <c r="AD414" s="26" t="s">
        <v>0</v>
      </c>
      <c r="AE414" s="25" t="str">
        <f t="shared" si="170"/>
        <v>null</v>
      </c>
      <c r="AF414" s="26" t="s">
        <v>0</v>
      </c>
      <c r="AG414" s="47" t="s">
        <v>8568</v>
      </c>
    </row>
    <row r="415" spans="1:33" ht="6.9" customHeight="1" x14ac:dyDescent="0.4">
      <c r="A415" s="4">
        <f>ROW()</f>
        <v>415</v>
      </c>
      <c r="B415" s="9" t="s">
        <v>27</v>
      </c>
      <c r="C415" s="55" t="str">
        <f t="shared" si="164"/>
        <v>p.colorir</v>
      </c>
      <c r="D415" s="6" t="str">
        <f t="shared" si="165"/>
        <v>é.matiz</v>
      </c>
      <c r="E415" s="8" t="s">
        <v>28</v>
      </c>
      <c r="F415" s="42" t="str">
        <f t="shared" si="166"/>
        <v>d.colorir</v>
      </c>
      <c r="G415" s="17" t="s">
        <v>260</v>
      </c>
      <c r="H415" s="42" t="s">
        <v>33</v>
      </c>
      <c r="I415" s="16" t="str">
        <f t="shared" si="167"/>
        <v>null</v>
      </c>
      <c r="J415" s="15" t="s">
        <v>0</v>
      </c>
      <c r="K415" s="15" t="s">
        <v>0</v>
      </c>
      <c r="L415" s="15" t="s">
        <v>0</v>
      </c>
      <c r="M415" s="15" t="s">
        <v>0</v>
      </c>
      <c r="N415" s="15" t="s">
        <v>0</v>
      </c>
      <c r="O415" s="15" t="s">
        <v>0</v>
      </c>
      <c r="P415" s="15" t="s">
        <v>0</v>
      </c>
      <c r="Q415" s="15" t="s">
        <v>0</v>
      </c>
      <c r="R415" s="15" t="s">
        <v>0</v>
      </c>
      <c r="S415" s="10" t="s">
        <v>1</v>
      </c>
      <c r="T415" s="10" t="s">
        <v>32</v>
      </c>
      <c r="U415" s="5" t="str">
        <f t="shared" si="151"/>
        <v>Propriedade destinada a colorir: é.matiz</v>
      </c>
      <c r="V415" s="5" t="str">
        <f t="shared" si="152"/>
        <v>Dado para colorir:  matiz  Deve ser formatado como (xsd:integer)</v>
      </c>
      <c r="W415" s="5" t="s">
        <v>8669</v>
      </c>
      <c r="X415" s="24" t="str">
        <f t="shared" si="153"/>
        <v>color.117</v>
      </c>
      <c r="Y415" s="24" t="str">
        <f t="shared" si="154"/>
        <v>Ação de colorir</v>
      </c>
      <c r="Z415" s="47" t="s">
        <v>8650</v>
      </c>
      <c r="AA415" s="25" t="str">
        <f t="shared" si="168"/>
        <v>null</v>
      </c>
      <c r="AB415" s="26" t="s">
        <v>0</v>
      </c>
      <c r="AC415" s="25" t="str">
        <f t="shared" si="169"/>
        <v>null</v>
      </c>
      <c r="AD415" s="26" t="s">
        <v>0</v>
      </c>
      <c r="AE415" s="25" t="str">
        <f t="shared" si="170"/>
        <v>null</v>
      </c>
      <c r="AF415" s="26" t="s">
        <v>0</v>
      </c>
      <c r="AG415" s="47" t="s">
        <v>4826</v>
      </c>
    </row>
    <row r="416" spans="1:33" ht="6.9" customHeight="1" x14ac:dyDescent="0.4">
      <c r="A416" s="4">
        <f>ROW()</f>
        <v>416</v>
      </c>
      <c r="B416" s="9" t="s">
        <v>27</v>
      </c>
      <c r="C416" s="55" t="str">
        <f t="shared" si="164"/>
        <v>p.colorir</v>
      </c>
      <c r="D416" s="6" t="str">
        <f t="shared" si="165"/>
        <v>é.saturação</v>
      </c>
      <c r="E416" s="8" t="s">
        <v>28</v>
      </c>
      <c r="F416" s="42" t="str">
        <f t="shared" si="166"/>
        <v>d.colorir</v>
      </c>
      <c r="G416" s="17" t="s">
        <v>408</v>
      </c>
      <c r="H416" s="42" t="s">
        <v>33</v>
      </c>
      <c r="I416" s="16" t="str">
        <f t="shared" si="167"/>
        <v>null</v>
      </c>
      <c r="J416" s="15" t="s">
        <v>0</v>
      </c>
      <c r="K416" s="15" t="s">
        <v>0</v>
      </c>
      <c r="L416" s="15" t="s">
        <v>0</v>
      </c>
      <c r="M416" s="15" t="s">
        <v>0</v>
      </c>
      <c r="N416" s="15" t="s">
        <v>0</v>
      </c>
      <c r="O416" s="15" t="s">
        <v>0</v>
      </c>
      <c r="P416" s="15" t="s">
        <v>0</v>
      </c>
      <c r="Q416" s="15" t="s">
        <v>0</v>
      </c>
      <c r="R416" s="15" t="s">
        <v>0</v>
      </c>
      <c r="S416" s="10" t="s">
        <v>1</v>
      </c>
      <c r="T416" s="10" t="s">
        <v>32</v>
      </c>
      <c r="U416" s="5" t="str">
        <f t="shared" si="151"/>
        <v>Propriedade destinada a colorir: é.saturação</v>
      </c>
      <c r="V416" s="5" t="str">
        <f t="shared" si="152"/>
        <v>Dado para colorir:  saturação  Deve ser formatado como (xsd:integer)</v>
      </c>
      <c r="W416" s="5" t="s">
        <v>8670</v>
      </c>
      <c r="X416" s="24" t="str">
        <f t="shared" si="153"/>
        <v>color.118</v>
      </c>
      <c r="Y416" s="24" t="str">
        <f t="shared" si="154"/>
        <v>Ação de colorir</v>
      </c>
      <c r="Z416" s="47" t="s">
        <v>4608</v>
      </c>
      <c r="AA416" s="25" t="str">
        <f t="shared" si="168"/>
        <v>null</v>
      </c>
      <c r="AB416" s="26" t="s">
        <v>0</v>
      </c>
      <c r="AC416" s="25" t="str">
        <f t="shared" si="169"/>
        <v>null</v>
      </c>
      <c r="AD416" s="26" t="s">
        <v>0</v>
      </c>
      <c r="AE416" s="25" t="str">
        <f t="shared" si="170"/>
        <v>null</v>
      </c>
      <c r="AF416" s="26" t="s">
        <v>0</v>
      </c>
      <c r="AG416" s="47" t="s">
        <v>8569</v>
      </c>
    </row>
    <row r="417" spans="1:33" ht="6.9" customHeight="1" x14ac:dyDescent="0.4">
      <c r="A417" s="4">
        <f>ROW()</f>
        <v>417</v>
      </c>
      <c r="B417" s="9" t="s">
        <v>27</v>
      </c>
      <c r="C417" s="55" t="str">
        <f t="shared" si="164"/>
        <v>p.colorir</v>
      </c>
      <c r="D417" s="6" t="str">
        <f t="shared" si="165"/>
        <v>é.tonalidade</v>
      </c>
      <c r="E417" s="8" t="s">
        <v>28</v>
      </c>
      <c r="F417" s="42" t="str">
        <f t="shared" si="166"/>
        <v>d.colorir</v>
      </c>
      <c r="G417" s="17" t="s">
        <v>227</v>
      </c>
      <c r="H417" s="42" t="s">
        <v>2121</v>
      </c>
      <c r="I417" s="16" t="str">
        <f t="shared" si="167"/>
        <v>null</v>
      </c>
      <c r="J417" s="15" t="s">
        <v>0</v>
      </c>
      <c r="K417" s="15" t="s">
        <v>0</v>
      </c>
      <c r="L417" s="15" t="s">
        <v>0</v>
      </c>
      <c r="M417" s="15" t="s">
        <v>0</v>
      </c>
      <c r="N417" s="15" t="s">
        <v>0</v>
      </c>
      <c r="O417" s="15" t="s">
        <v>0</v>
      </c>
      <c r="P417" s="15" t="s">
        <v>0</v>
      </c>
      <c r="Q417" s="15" t="s">
        <v>0</v>
      </c>
      <c r="R417" s="15" t="s">
        <v>0</v>
      </c>
      <c r="S417" s="10" t="s">
        <v>1</v>
      </c>
      <c r="T417" s="10" t="s">
        <v>32</v>
      </c>
      <c r="U417" s="5" t="str">
        <f t="shared" si="151"/>
        <v>Propriedade destinada a colorir: é.tonalidade</v>
      </c>
      <c r="V417" s="5" t="str">
        <f t="shared" si="152"/>
        <v>Dado para colorir:  tonalidade  Deve ser formatado como (rdfs:Literal  or  xsd:string)</v>
      </c>
      <c r="W417" s="5" t="s">
        <v>8671</v>
      </c>
      <c r="X417" s="24" t="str">
        <f t="shared" si="153"/>
        <v>color.119</v>
      </c>
      <c r="Y417" s="24" t="str">
        <f t="shared" si="154"/>
        <v>Ação de colorir</v>
      </c>
      <c r="Z417" s="47" t="s">
        <v>8651</v>
      </c>
      <c r="AA417" s="25" t="str">
        <f t="shared" si="168"/>
        <v>null</v>
      </c>
      <c r="AB417" s="26" t="s">
        <v>0</v>
      </c>
      <c r="AC417" s="25" t="str">
        <f t="shared" si="169"/>
        <v>null</v>
      </c>
      <c r="AD417" s="26" t="s">
        <v>0</v>
      </c>
      <c r="AE417" s="25" t="str">
        <f t="shared" si="170"/>
        <v>null</v>
      </c>
      <c r="AF417" s="26" t="s">
        <v>0</v>
      </c>
      <c r="AG417" s="47" t="s">
        <v>4825</v>
      </c>
    </row>
    <row r="418" spans="1:33" ht="6.9" customHeight="1" x14ac:dyDescent="0.4">
      <c r="A418" s="4">
        <f>ROW()</f>
        <v>418</v>
      </c>
      <c r="B418" s="9" t="s">
        <v>27</v>
      </c>
      <c r="C418" s="55" t="str">
        <f t="shared" si="164"/>
        <v>p.colorir</v>
      </c>
      <c r="D418" s="6" t="str">
        <f t="shared" si="165"/>
        <v>é.transparente</v>
      </c>
      <c r="E418" s="8" t="s">
        <v>28</v>
      </c>
      <c r="F418" s="42" t="str">
        <f t="shared" si="166"/>
        <v>d.colorir</v>
      </c>
      <c r="G418" s="17" t="s">
        <v>304</v>
      </c>
      <c r="H418" s="42" t="s">
        <v>33</v>
      </c>
      <c r="I418" s="16" t="str">
        <f t="shared" si="167"/>
        <v>null</v>
      </c>
      <c r="J418" s="15" t="s">
        <v>0</v>
      </c>
      <c r="K418" s="15" t="s">
        <v>0</v>
      </c>
      <c r="L418" s="15" t="s">
        <v>0</v>
      </c>
      <c r="M418" s="15" t="s">
        <v>0</v>
      </c>
      <c r="N418" s="15" t="s">
        <v>0</v>
      </c>
      <c r="O418" s="15" t="s">
        <v>0</v>
      </c>
      <c r="P418" s="15" t="s">
        <v>0</v>
      </c>
      <c r="Q418" s="15" t="s">
        <v>0</v>
      </c>
      <c r="R418" s="15" t="s">
        <v>0</v>
      </c>
      <c r="S418" s="10" t="s">
        <v>1</v>
      </c>
      <c r="T418" s="10" t="s">
        <v>32</v>
      </c>
      <c r="U418" s="5" t="str">
        <f t="shared" si="151"/>
        <v>Propriedade destinada a colorir: é.transparente</v>
      </c>
      <c r="V418" s="5" t="str">
        <f t="shared" si="152"/>
        <v>Dado para colorir:  transparente  Deve ser formatado como (xsd:integer)</v>
      </c>
      <c r="W418" s="5" t="s">
        <v>8672</v>
      </c>
      <c r="X418" s="24" t="str">
        <f t="shared" si="153"/>
        <v>color.120</v>
      </c>
      <c r="Y418" s="24" t="str">
        <f t="shared" si="154"/>
        <v>Ação de colorir</v>
      </c>
      <c r="Z418" s="47" t="s">
        <v>8652</v>
      </c>
      <c r="AA418" s="25" t="str">
        <f t="shared" si="168"/>
        <v>null</v>
      </c>
      <c r="AB418" s="26" t="s">
        <v>0</v>
      </c>
      <c r="AC418" s="25" t="str">
        <f t="shared" si="169"/>
        <v>null</v>
      </c>
      <c r="AD418" s="26" t="s">
        <v>0</v>
      </c>
      <c r="AE418" s="25" t="str">
        <f t="shared" si="170"/>
        <v>null</v>
      </c>
      <c r="AF418" s="26" t="s">
        <v>0</v>
      </c>
      <c r="AG418" s="47" t="s">
        <v>8570</v>
      </c>
    </row>
    <row r="419" spans="1:33" ht="6.9" customHeight="1" x14ac:dyDescent="0.4">
      <c r="A419" s="4">
        <f>ROW()</f>
        <v>419</v>
      </c>
      <c r="B419" s="9" t="s">
        <v>27</v>
      </c>
      <c r="C419" s="54" t="str">
        <f t="shared" si="147"/>
        <v>p.compor</v>
      </c>
      <c r="D419" s="6" t="str">
        <f t="shared" si="165"/>
        <v>é.composto.por</v>
      </c>
      <c r="E419" s="8" t="s">
        <v>28</v>
      </c>
      <c r="F419" s="51" t="s">
        <v>2216</v>
      </c>
      <c r="G419" s="18" t="s">
        <v>2218</v>
      </c>
      <c r="H419" s="41" t="s">
        <v>2121</v>
      </c>
      <c r="I419" s="16" t="str">
        <f t="shared" si="150"/>
        <v>null</v>
      </c>
      <c r="J419" s="13" t="s">
        <v>0</v>
      </c>
      <c r="K419" s="13" t="s">
        <v>0</v>
      </c>
      <c r="L419" s="13" t="s">
        <v>0</v>
      </c>
      <c r="M419" s="13" t="s">
        <v>0</v>
      </c>
      <c r="N419" s="15" t="s">
        <v>0</v>
      </c>
      <c r="O419" s="13" t="s">
        <v>0</v>
      </c>
      <c r="P419" s="13" t="s">
        <v>0</v>
      </c>
      <c r="Q419" s="13" t="s">
        <v>0</v>
      </c>
      <c r="R419" s="15" t="s">
        <v>0</v>
      </c>
      <c r="S419" s="10" t="s">
        <v>1</v>
      </c>
      <c r="T419" s="10" t="s">
        <v>32</v>
      </c>
      <c r="U419" s="5" t="str">
        <f t="shared" si="151"/>
        <v>Propriedade destinada a compor: é.composto.por</v>
      </c>
      <c r="V419" s="5" t="str">
        <f t="shared" si="152"/>
        <v>Dado para compor:  composto.por  Deve ser formatado como (rdfs:Literal  or  xsd:string)</v>
      </c>
      <c r="W419" s="5" t="s">
        <v>5334</v>
      </c>
      <c r="X419" s="24" t="str">
        <f t="shared" si="153"/>
        <v>compo.100</v>
      </c>
      <c r="Y419" s="24" t="str">
        <f t="shared" si="154"/>
        <v>Ação de compor</v>
      </c>
      <c r="Z419" s="47" t="s">
        <v>6598</v>
      </c>
      <c r="AA419" s="25" t="str">
        <f t="shared" si="148"/>
        <v>null</v>
      </c>
      <c r="AB419" s="26" t="s">
        <v>0</v>
      </c>
      <c r="AC419" s="25" t="str">
        <f t="shared" si="149"/>
        <v>null</v>
      </c>
      <c r="AD419" s="26" t="s">
        <v>0</v>
      </c>
      <c r="AE419" s="25" t="str">
        <f t="shared" si="146"/>
        <v>null</v>
      </c>
      <c r="AF419" s="26" t="s">
        <v>0</v>
      </c>
      <c r="AG419" s="47" t="s">
        <v>6623</v>
      </c>
    </row>
    <row r="420" spans="1:33" ht="6.9" customHeight="1" x14ac:dyDescent="0.4">
      <c r="A420" s="4">
        <f>ROW()</f>
        <v>420</v>
      </c>
      <c r="B420" s="9" t="s">
        <v>27</v>
      </c>
      <c r="C420" s="55" t="str">
        <f t="shared" si="147"/>
        <v>p.compor</v>
      </c>
      <c r="D420" s="6" t="str">
        <f t="shared" si="165"/>
        <v>é.formado.por</v>
      </c>
      <c r="E420" s="8" t="s">
        <v>28</v>
      </c>
      <c r="F420" s="42" t="str">
        <f>F419</f>
        <v>d.compor</v>
      </c>
      <c r="G420" s="18" t="s">
        <v>2217</v>
      </c>
      <c r="H420" s="41" t="s">
        <v>2121</v>
      </c>
      <c r="I420" s="16" t="str">
        <f t="shared" si="150"/>
        <v>null</v>
      </c>
      <c r="J420" s="13" t="s">
        <v>0</v>
      </c>
      <c r="K420" s="13" t="s">
        <v>0</v>
      </c>
      <c r="L420" s="13" t="s">
        <v>0</v>
      </c>
      <c r="M420" s="13" t="s">
        <v>0</v>
      </c>
      <c r="N420" s="15" t="s">
        <v>0</v>
      </c>
      <c r="O420" s="13" t="s">
        <v>0</v>
      </c>
      <c r="P420" s="13" t="s">
        <v>0</v>
      </c>
      <c r="Q420" s="13" t="s">
        <v>0</v>
      </c>
      <c r="R420" s="15" t="s">
        <v>0</v>
      </c>
      <c r="S420" s="10" t="s">
        <v>1</v>
      </c>
      <c r="T420" s="10" t="s">
        <v>32</v>
      </c>
      <c r="U420" s="5" t="str">
        <f t="shared" si="151"/>
        <v>Propriedade destinada a compor: é.formado.por</v>
      </c>
      <c r="V420" s="5" t="str">
        <f t="shared" si="152"/>
        <v>Dado para compor:  formado.por  Deve ser formatado como (rdfs:Literal  or  xsd:string)</v>
      </c>
      <c r="W420" s="5" t="s">
        <v>5335</v>
      </c>
      <c r="X420" s="24" t="str">
        <f t="shared" si="153"/>
        <v>compo.101</v>
      </c>
      <c r="Y420" s="24" t="str">
        <f t="shared" si="154"/>
        <v>Ação de compor</v>
      </c>
      <c r="Z420" s="47" t="s">
        <v>6599</v>
      </c>
      <c r="AA420" s="25" t="str">
        <f t="shared" si="148"/>
        <v>null</v>
      </c>
      <c r="AB420" s="26" t="s">
        <v>0</v>
      </c>
      <c r="AC420" s="25" t="str">
        <f t="shared" si="149"/>
        <v>null</v>
      </c>
      <c r="AD420" s="26" t="s">
        <v>0</v>
      </c>
      <c r="AE420" s="25" t="str">
        <f t="shared" si="146"/>
        <v>null</v>
      </c>
      <c r="AF420" s="26" t="s">
        <v>0</v>
      </c>
      <c r="AG420" s="47" t="s">
        <v>6624</v>
      </c>
    </row>
    <row r="421" spans="1:33" ht="6.9" customHeight="1" x14ac:dyDescent="0.4">
      <c r="A421" s="4">
        <f>ROW()</f>
        <v>421</v>
      </c>
      <c r="B421" s="9" t="s">
        <v>27</v>
      </c>
      <c r="C421" s="55" t="str">
        <f t="shared" si="147"/>
        <v>p.compor</v>
      </c>
      <c r="D421" s="6" t="str">
        <f t="shared" si="165"/>
        <v>é.agrupador.de</v>
      </c>
      <c r="E421" s="8" t="s">
        <v>28</v>
      </c>
      <c r="F421" s="42" t="str">
        <f>F420</f>
        <v>d.compor</v>
      </c>
      <c r="G421" s="18" t="s">
        <v>991</v>
      </c>
      <c r="H421" s="41" t="s">
        <v>2121</v>
      </c>
      <c r="I421" s="16" t="str">
        <f t="shared" si="150"/>
        <v>null</v>
      </c>
      <c r="J421" s="13" t="s">
        <v>0</v>
      </c>
      <c r="K421" s="13" t="s">
        <v>0</v>
      </c>
      <c r="L421" s="13" t="s">
        <v>0</v>
      </c>
      <c r="M421" s="13" t="s">
        <v>0</v>
      </c>
      <c r="N421" s="15" t="s">
        <v>0</v>
      </c>
      <c r="O421" s="13" t="s">
        <v>0</v>
      </c>
      <c r="P421" s="13" t="s">
        <v>0</v>
      </c>
      <c r="Q421" s="13" t="s">
        <v>0</v>
      </c>
      <c r="R421" s="15" t="s">
        <v>0</v>
      </c>
      <c r="S421" s="10" t="s">
        <v>1</v>
      </c>
      <c r="T421" s="10" t="s">
        <v>32</v>
      </c>
      <c r="U421" s="5" t="str">
        <f t="shared" si="151"/>
        <v>Propriedade destinada a compor: é.agrupador.de</v>
      </c>
      <c r="V421" s="5" t="str">
        <f t="shared" si="152"/>
        <v>Dado para compor:  agrupador.de  Deve ser formatado como (rdfs:Literal  or  xsd:string)</v>
      </c>
      <c r="W421" s="5" t="s">
        <v>5336</v>
      </c>
      <c r="X421" s="24" t="str">
        <f t="shared" si="153"/>
        <v>compo.102</v>
      </c>
      <c r="Y421" s="24" t="str">
        <f t="shared" si="154"/>
        <v>Ação de compor</v>
      </c>
      <c r="Z421" s="47" t="s">
        <v>6600</v>
      </c>
      <c r="AA421" s="25" t="str">
        <f t="shared" si="148"/>
        <v>null</v>
      </c>
      <c r="AB421" s="26" t="s">
        <v>0</v>
      </c>
      <c r="AC421" s="25" t="str">
        <f t="shared" si="149"/>
        <v>null</v>
      </c>
      <c r="AD421" s="26" t="s">
        <v>0</v>
      </c>
      <c r="AE421" s="25" t="str">
        <f t="shared" si="146"/>
        <v>null</v>
      </c>
      <c r="AF421" s="26" t="s">
        <v>0</v>
      </c>
      <c r="AG421" s="47" t="s">
        <v>6625</v>
      </c>
    </row>
    <row r="422" spans="1:33" ht="6.9" customHeight="1" x14ac:dyDescent="0.4">
      <c r="A422" s="4">
        <f>ROW()</f>
        <v>422</v>
      </c>
      <c r="B422" s="9" t="s">
        <v>27</v>
      </c>
      <c r="C422" s="55" t="str">
        <f t="shared" si="147"/>
        <v>p.compor</v>
      </c>
      <c r="D422" s="6" t="str">
        <f t="shared" si="165"/>
        <v>é.agrupado.com</v>
      </c>
      <c r="E422" s="8" t="s">
        <v>28</v>
      </c>
      <c r="F422" s="42" t="str">
        <f>F421</f>
        <v>d.compor</v>
      </c>
      <c r="G422" s="18" t="s">
        <v>992</v>
      </c>
      <c r="H422" s="41" t="s">
        <v>2121</v>
      </c>
      <c r="I422" s="16" t="str">
        <f t="shared" si="150"/>
        <v>null</v>
      </c>
      <c r="J422" s="13" t="s">
        <v>0</v>
      </c>
      <c r="K422" s="13" t="s">
        <v>0</v>
      </c>
      <c r="L422" s="13" t="s">
        <v>0</v>
      </c>
      <c r="M422" s="13" t="s">
        <v>35</v>
      </c>
      <c r="N422" s="15" t="s">
        <v>0</v>
      </c>
      <c r="O422" s="13" t="s">
        <v>0</v>
      </c>
      <c r="P422" s="13" t="s">
        <v>0</v>
      </c>
      <c r="Q422" s="13" t="s">
        <v>0</v>
      </c>
      <c r="R422" s="15" t="s">
        <v>0</v>
      </c>
      <c r="S422" s="10" t="s">
        <v>1</v>
      </c>
      <c r="T422" s="10" t="s">
        <v>32</v>
      </c>
      <c r="U422" s="5" t="str">
        <f t="shared" si="151"/>
        <v>Propriedade destinada a compor: é.agrupado.com</v>
      </c>
      <c r="V422" s="5" t="str">
        <f t="shared" si="152"/>
        <v>Dado para compor:  agrupado.com  Deve ser formatado como (rdfs:Literal  or  xsd:string)</v>
      </c>
      <c r="W422" s="5" t="s">
        <v>5337</v>
      </c>
      <c r="X422" s="24" t="str">
        <f t="shared" si="153"/>
        <v>compo.103</v>
      </c>
      <c r="Y422" s="24" t="str">
        <f t="shared" si="154"/>
        <v>Ação de compor</v>
      </c>
      <c r="Z422" s="47" t="s">
        <v>6601</v>
      </c>
      <c r="AA422" s="25" t="str">
        <f t="shared" si="148"/>
        <v>null</v>
      </c>
      <c r="AB422" s="26" t="s">
        <v>0</v>
      </c>
      <c r="AC422" s="25" t="str">
        <f t="shared" si="149"/>
        <v>null</v>
      </c>
      <c r="AD422" s="26" t="s">
        <v>0</v>
      </c>
      <c r="AE422" s="25" t="str">
        <f t="shared" si="146"/>
        <v>null</v>
      </c>
      <c r="AF422" s="26" t="s">
        <v>0</v>
      </c>
      <c r="AG422" s="47" t="s">
        <v>6626</v>
      </c>
    </row>
    <row r="423" spans="1:33" ht="6.9" customHeight="1" x14ac:dyDescent="0.4">
      <c r="A423" s="4">
        <f>ROW()</f>
        <v>423</v>
      </c>
      <c r="B423" s="9" t="s">
        <v>27</v>
      </c>
      <c r="C423" s="55" t="str">
        <f t="shared" si="147"/>
        <v>p.compor</v>
      </c>
      <c r="D423" s="6" t="str">
        <f t="shared" si="165"/>
        <v>é.parte.de</v>
      </c>
      <c r="E423" s="8" t="s">
        <v>28</v>
      </c>
      <c r="F423" s="42" t="str">
        <f>F422</f>
        <v>d.compor</v>
      </c>
      <c r="G423" s="18" t="s">
        <v>989</v>
      </c>
      <c r="H423" s="41" t="s">
        <v>2121</v>
      </c>
      <c r="I423" s="16" t="str">
        <f t="shared" si="150"/>
        <v>null</v>
      </c>
      <c r="J423" s="13" t="s">
        <v>0</v>
      </c>
      <c r="K423" s="13" t="s">
        <v>0</v>
      </c>
      <c r="L423" s="13" t="s">
        <v>0</v>
      </c>
      <c r="M423" s="13" t="s">
        <v>35</v>
      </c>
      <c r="N423" s="15" t="s">
        <v>0</v>
      </c>
      <c r="O423" s="13" t="s">
        <v>0</v>
      </c>
      <c r="P423" s="13" t="s">
        <v>0</v>
      </c>
      <c r="Q423" s="13" t="s">
        <v>0</v>
      </c>
      <c r="R423" s="15" t="s">
        <v>0</v>
      </c>
      <c r="S423" s="10" t="s">
        <v>1</v>
      </c>
      <c r="T423" s="10" t="s">
        <v>32</v>
      </c>
      <c r="U423" s="5" t="str">
        <f t="shared" si="151"/>
        <v>Propriedade destinada a compor: é.parte.de</v>
      </c>
      <c r="V423" s="5" t="str">
        <f t="shared" si="152"/>
        <v>Dado para compor:  parte.de  Deve ser formatado como (rdfs:Literal  or  xsd:string)</v>
      </c>
      <c r="W423" s="5" t="s">
        <v>5338</v>
      </c>
      <c r="X423" s="24" t="str">
        <f t="shared" si="153"/>
        <v>compo.104</v>
      </c>
      <c r="Y423" s="24" t="str">
        <f t="shared" si="154"/>
        <v>Ação de compor</v>
      </c>
      <c r="Z423" s="47" t="s">
        <v>6602</v>
      </c>
      <c r="AA423" s="25" t="str">
        <f t="shared" si="148"/>
        <v>null</v>
      </c>
      <c r="AB423" s="26" t="s">
        <v>0</v>
      </c>
      <c r="AC423" s="25" t="str">
        <f t="shared" si="149"/>
        <v>null</v>
      </c>
      <c r="AD423" s="26" t="s">
        <v>0</v>
      </c>
      <c r="AE423" s="25" t="str">
        <f t="shared" si="146"/>
        <v>null</v>
      </c>
      <c r="AF423" s="26" t="s">
        <v>0</v>
      </c>
      <c r="AG423" s="47" t="s">
        <v>6627</v>
      </c>
    </row>
    <row r="424" spans="1:33" ht="6.9" customHeight="1" x14ac:dyDescent="0.4">
      <c r="A424" s="4">
        <f>ROW()</f>
        <v>424</v>
      </c>
      <c r="B424" s="9" t="s">
        <v>27</v>
      </c>
      <c r="C424" s="54" t="str">
        <f t="shared" si="147"/>
        <v>p.comunicar</v>
      </c>
      <c r="D424" s="6" t="str">
        <f t="shared" si="165"/>
        <v>é.telefone</v>
      </c>
      <c r="E424" s="8" t="s">
        <v>28</v>
      </c>
      <c r="F424" s="51" t="s">
        <v>611</v>
      </c>
      <c r="G424" s="18" t="s">
        <v>83</v>
      </c>
      <c r="H424" s="41" t="s">
        <v>2121</v>
      </c>
      <c r="I424" s="16" t="str">
        <f t="shared" si="150"/>
        <v>null</v>
      </c>
      <c r="J424" s="13" t="s">
        <v>0</v>
      </c>
      <c r="K424" s="13" t="s">
        <v>0</v>
      </c>
      <c r="L424" s="13" t="s">
        <v>0</v>
      </c>
      <c r="M424" s="13" t="s">
        <v>0</v>
      </c>
      <c r="N424" s="15" t="s">
        <v>0</v>
      </c>
      <c r="O424" s="13" t="s">
        <v>0</v>
      </c>
      <c r="P424" s="13" t="s">
        <v>0</v>
      </c>
      <c r="Q424" s="13" t="s">
        <v>0</v>
      </c>
      <c r="R424" s="15" t="s">
        <v>0</v>
      </c>
      <c r="S424" s="10" t="s">
        <v>1</v>
      </c>
      <c r="T424" s="10" t="s">
        <v>32</v>
      </c>
      <c r="U424" s="5" t="str">
        <f t="shared" si="151"/>
        <v>Propriedade destinada a comunicar: é.telefone</v>
      </c>
      <c r="V424" s="5" t="str">
        <f t="shared" si="152"/>
        <v>Dado para comunicar:  telefone  Deve ser formatado como (rdfs:Literal  or  xsd:string)</v>
      </c>
      <c r="W424" s="5" t="s">
        <v>8681</v>
      </c>
      <c r="X424" s="24" t="str">
        <f t="shared" si="153"/>
        <v>comun.100</v>
      </c>
      <c r="Y424" s="24" t="str">
        <f t="shared" si="154"/>
        <v>Ação de comunicar</v>
      </c>
      <c r="Z424" s="47" t="s">
        <v>8627</v>
      </c>
      <c r="AA424" s="25" t="str">
        <f t="shared" si="148"/>
        <v>null</v>
      </c>
      <c r="AB424" s="26" t="s">
        <v>0</v>
      </c>
      <c r="AC424" s="25" t="str">
        <f t="shared" si="149"/>
        <v>null</v>
      </c>
      <c r="AD424" s="26" t="s">
        <v>0</v>
      </c>
      <c r="AE424" s="25" t="str">
        <f t="shared" si="146"/>
        <v>propriedade</v>
      </c>
      <c r="AF424" s="26" t="s">
        <v>2412</v>
      </c>
      <c r="AG424" s="47" t="s">
        <v>8571</v>
      </c>
    </row>
    <row r="425" spans="1:33" ht="6.9" customHeight="1" x14ac:dyDescent="0.4">
      <c r="A425" s="4">
        <f>ROW()</f>
        <v>425</v>
      </c>
      <c r="B425" s="9" t="s">
        <v>27</v>
      </c>
      <c r="C425" s="55" t="str">
        <f t="shared" si="147"/>
        <v>p.comunicar</v>
      </c>
      <c r="D425" s="6" t="str">
        <f t="shared" si="165"/>
        <v>é.celular</v>
      </c>
      <c r="E425" s="8" t="s">
        <v>28</v>
      </c>
      <c r="F425" s="42" t="str">
        <f t="shared" ref="F425:F432" si="171">F424</f>
        <v>d.comunicar</v>
      </c>
      <c r="G425" s="18" t="s">
        <v>84</v>
      </c>
      <c r="H425" s="41" t="s">
        <v>2121</v>
      </c>
      <c r="I425" s="16" t="str">
        <f t="shared" si="150"/>
        <v>null</v>
      </c>
      <c r="J425" s="13" t="s">
        <v>0</v>
      </c>
      <c r="K425" s="13" t="s">
        <v>0</v>
      </c>
      <c r="L425" s="13" t="s">
        <v>0</v>
      </c>
      <c r="M425" s="13" t="s">
        <v>0</v>
      </c>
      <c r="N425" s="15" t="s">
        <v>0</v>
      </c>
      <c r="O425" s="13" t="s">
        <v>0</v>
      </c>
      <c r="P425" s="13" t="s">
        <v>0</v>
      </c>
      <c r="Q425" s="13" t="s">
        <v>0</v>
      </c>
      <c r="R425" s="15" t="s">
        <v>0</v>
      </c>
      <c r="S425" s="10" t="s">
        <v>1</v>
      </c>
      <c r="T425" s="10" t="s">
        <v>32</v>
      </c>
      <c r="U425" s="5" t="str">
        <f t="shared" si="151"/>
        <v>Propriedade destinada a comunicar: é.celular</v>
      </c>
      <c r="V425" s="5" t="str">
        <f t="shared" si="152"/>
        <v>Dado para comunicar:  celular  Deve ser formatado como (rdfs:Literal  or  xsd:string)</v>
      </c>
      <c r="W425" s="5" t="s">
        <v>8680</v>
      </c>
      <c r="X425" s="24" t="str">
        <f t="shared" si="153"/>
        <v>comun.101</v>
      </c>
      <c r="Y425" s="24" t="str">
        <f t="shared" si="154"/>
        <v>Ação de comunicar</v>
      </c>
      <c r="Z425" s="47" t="s">
        <v>8628</v>
      </c>
      <c r="AA425" s="25" t="str">
        <f t="shared" si="148"/>
        <v>null</v>
      </c>
      <c r="AB425" s="26" t="s">
        <v>0</v>
      </c>
      <c r="AC425" s="25" t="str">
        <f t="shared" si="149"/>
        <v>null</v>
      </c>
      <c r="AD425" s="26" t="s">
        <v>0</v>
      </c>
      <c r="AE425" s="25" t="str">
        <f t="shared" si="146"/>
        <v>propriedade</v>
      </c>
      <c r="AF425" s="26" t="s">
        <v>2412</v>
      </c>
      <c r="AG425" s="47" t="s">
        <v>8572</v>
      </c>
    </row>
    <row r="426" spans="1:33" ht="6.9" customHeight="1" x14ac:dyDescent="0.4">
      <c r="A426" s="4">
        <f>ROW()</f>
        <v>426</v>
      </c>
      <c r="B426" s="9" t="s">
        <v>27</v>
      </c>
      <c r="C426" s="55" t="str">
        <f t="shared" si="147"/>
        <v>p.comunicar</v>
      </c>
      <c r="D426" s="6" t="str">
        <f t="shared" si="165"/>
        <v>é.fax</v>
      </c>
      <c r="E426" s="8" t="s">
        <v>28</v>
      </c>
      <c r="F426" s="42" t="str">
        <f t="shared" si="171"/>
        <v>d.comunicar</v>
      </c>
      <c r="G426" s="18" t="s">
        <v>85</v>
      </c>
      <c r="H426" s="41" t="s">
        <v>2121</v>
      </c>
      <c r="I426" s="16" t="str">
        <f t="shared" si="150"/>
        <v>null</v>
      </c>
      <c r="J426" s="13" t="s">
        <v>0</v>
      </c>
      <c r="K426" s="13" t="s">
        <v>0</v>
      </c>
      <c r="L426" s="13" t="s">
        <v>0</v>
      </c>
      <c r="M426" s="13" t="s">
        <v>0</v>
      </c>
      <c r="N426" s="15" t="s">
        <v>0</v>
      </c>
      <c r="O426" s="13" t="s">
        <v>0</v>
      </c>
      <c r="P426" s="13" t="s">
        <v>0</v>
      </c>
      <c r="Q426" s="13" t="s">
        <v>0</v>
      </c>
      <c r="R426" s="15" t="s">
        <v>0</v>
      </c>
      <c r="S426" s="10" t="s">
        <v>1</v>
      </c>
      <c r="T426" s="10" t="s">
        <v>32</v>
      </c>
      <c r="U426" s="5" t="str">
        <f t="shared" si="151"/>
        <v>Propriedade destinada a comunicar: é.fax</v>
      </c>
      <c r="V426" s="5" t="str">
        <f t="shared" si="152"/>
        <v>Dado para comunicar:  fax  Deve ser formatado como (rdfs:Literal  or  xsd:string)</v>
      </c>
      <c r="W426" s="5" t="s">
        <v>8679</v>
      </c>
      <c r="X426" s="24" t="str">
        <f t="shared" si="153"/>
        <v>comun.102</v>
      </c>
      <c r="Y426" s="24" t="str">
        <f t="shared" si="154"/>
        <v>Ação de comunicar</v>
      </c>
      <c r="Z426" s="47" t="s">
        <v>8629</v>
      </c>
      <c r="AA426" s="25" t="str">
        <f t="shared" si="148"/>
        <v>null</v>
      </c>
      <c r="AB426" s="26" t="s">
        <v>0</v>
      </c>
      <c r="AC426" s="25" t="str">
        <f t="shared" si="149"/>
        <v>null</v>
      </c>
      <c r="AD426" s="26" t="s">
        <v>0</v>
      </c>
      <c r="AE426" s="25" t="str">
        <f t="shared" si="146"/>
        <v>propriedade</v>
      </c>
      <c r="AF426" s="26" t="s">
        <v>2420</v>
      </c>
      <c r="AG426" s="47" t="s">
        <v>8573</v>
      </c>
    </row>
    <row r="427" spans="1:33" ht="6.9" customHeight="1" x14ac:dyDescent="0.4">
      <c r="A427" s="4">
        <f>ROW()</f>
        <v>427</v>
      </c>
      <c r="B427" s="9" t="s">
        <v>27</v>
      </c>
      <c r="C427" s="55" t="str">
        <f t="shared" si="147"/>
        <v>p.comunicar</v>
      </c>
      <c r="D427" s="6" t="str">
        <f t="shared" si="165"/>
        <v>é.e-mail</v>
      </c>
      <c r="E427" s="8" t="s">
        <v>28</v>
      </c>
      <c r="F427" s="42" t="str">
        <f t="shared" si="171"/>
        <v>d.comunicar</v>
      </c>
      <c r="G427" s="18" t="s">
        <v>86</v>
      </c>
      <c r="H427" s="41" t="s">
        <v>2121</v>
      </c>
      <c r="I427" s="16" t="str">
        <f t="shared" si="150"/>
        <v>null</v>
      </c>
      <c r="J427" s="13" t="s">
        <v>0</v>
      </c>
      <c r="K427" s="13" t="s">
        <v>0</v>
      </c>
      <c r="L427" s="13" t="s">
        <v>0</v>
      </c>
      <c r="M427" s="13" t="s">
        <v>0</v>
      </c>
      <c r="N427" s="15" t="s">
        <v>0</v>
      </c>
      <c r="O427" s="13" t="s">
        <v>0</v>
      </c>
      <c r="P427" s="13" t="s">
        <v>0</v>
      </c>
      <c r="Q427" s="13" t="s">
        <v>0</v>
      </c>
      <c r="R427" s="15" t="s">
        <v>0</v>
      </c>
      <c r="S427" s="10" t="s">
        <v>1</v>
      </c>
      <c r="T427" s="10" t="s">
        <v>32</v>
      </c>
      <c r="U427" s="5" t="str">
        <f t="shared" si="151"/>
        <v>Propriedade destinada a comunicar: é.e-mail</v>
      </c>
      <c r="V427" s="5" t="str">
        <f t="shared" si="152"/>
        <v>Dado para comunicar:  e-mail  Deve ser formatado como (rdfs:Literal  or  xsd:string)</v>
      </c>
      <c r="W427" s="5" t="s">
        <v>8678</v>
      </c>
      <c r="X427" s="24" t="str">
        <f t="shared" si="153"/>
        <v>comun.103</v>
      </c>
      <c r="Y427" s="24" t="str">
        <f t="shared" si="154"/>
        <v>Ação de comunicar</v>
      </c>
      <c r="Z427" s="47" t="s">
        <v>8630</v>
      </c>
      <c r="AA427" s="25" t="str">
        <f t="shared" si="148"/>
        <v>null</v>
      </c>
      <c r="AB427" s="26" t="s">
        <v>0</v>
      </c>
      <c r="AC427" s="25" t="str">
        <f t="shared" si="149"/>
        <v>null</v>
      </c>
      <c r="AD427" s="26" t="s">
        <v>0</v>
      </c>
      <c r="AE427" s="25" t="str">
        <f t="shared" si="146"/>
        <v>propriedade</v>
      </c>
      <c r="AF427" s="26" t="s">
        <v>2419</v>
      </c>
      <c r="AG427" s="47" t="s">
        <v>8574</v>
      </c>
    </row>
    <row r="428" spans="1:33" ht="6.9" customHeight="1" x14ac:dyDescent="0.4">
      <c r="A428" s="4">
        <f>ROW()</f>
        <v>428</v>
      </c>
      <c r="B428" s="9" t="s">
        <v>27</v>
      </c>
      <c r="C428" s="55" t="str">
        <f t="shared" si="147"/>
        <v>p.comunicar</v>
      </c>
      <c r="D428" s="6" t="str">
        <f t="shared" si="165"/>
        <v>é.rede.social</v>
      </c>
      <c r="E428" s="8" t="s">
        <v>28</v>
      </c>
      <c r="F428" s="42" t="str">
        <f t="shared" si="171"/>
        <v>d.comunicar</v>
      </c>
      <c r="G428" s="18" t="s">
        <v>612</v>
      </c>
      <c r="H428" s="41" t="s">
        <v>2121</v>
      </c>
      <c r="I428" s="16" t="str">
        <f t="shared" si="150"/>
        <v>null</v>
      </c>
      <c r="J428" s="13" t="s">
        <v>0</v>
      </c>
      <c r="K428" s="13" t="s">
        <v>0</v>
      </c>
      <c r="L428" s="13" t="s">
        <v>0</v>
      </c>
      <c r="M428" s="13" t="s">
        <v>0</v>
      </c>
      <c r="N428" s="15" t="s">
        <v>0</v>
      </c>
      <c r="O428" s="13" t="s">
        <v>0</v>
      </c>
      <c r="P428" s="13" t="s">
        <v>0</v>
      </c>
      <c r="Q428" s="13" t="s">
        <v>0</v>
      </c>
      <c r="R428" s="15" t="s">
        <v>0</v>
      </c>
      <c r="S428" s="10" t="s">
        <v>1</v>
      </c>
      <c r="T428" s="10" t="s">
        <v>32</v>
      </c>
      <c r="U428" s="5" t="str">
        <f t="shared" si="151"/>
        <v>Propriedade destinada a comunicar: é.rede.social</v>
      </c>
      <c r="V428" s="5" t="str">
        <f t="shared" si="152"/>
        <v>Dado para comunicar:  rede.social  Deve ser formatado como (rdfs:Literal  or  xsd:string)</v>
      </c>
      <c r="W428" s="5" t="s">
        <v>8677</v>
      </c>
      <c r="X428" s="24" t="str">
        <f t="shared" si="153"/>
        <v>comun.104</v>
      </c>
      <c r="Y428" s="24" t="str">
        <f t="shared" si="154"/>
        <v>Ação de comunicar</v>
      </c>
      <c r="Z428" s="47" t="s">
        <v>8631</v>
      </c>
      <c r="AA428" s="25" t="str">
        <f t="shared" si="148"/>
        <v>null</v>
      </c>
      <c r="AB428" s="26" t="s">
        <v>0</v>
      </c>
      <c r="AC428" s="25" t="str">
        <f t="shared" si="149"/>
        <v>null</v>
      </c>
      <c r="AD428" s="26" t="s">
        <v>0</v>
      </c>
      <c r="AE428" s="25" t="str">
        <f t="shared" si="146"/>
        <v>propriedade</v>
      </c>
      <c r="AF428" s="26" t="s">
        <v>2421</v>
      </c>
      <c r="AG428" s="47" t="s">
        <v>8575</v>
      </c>
    </row>
    <row r="429" spans="1:33" ht="6.9" customHeight="1" x14ac:dyDescent="0.4">
      <c r="A429" s="4">
        <f>ROW()</f>
        <v>429</v>
      </c>
      <c r="B429" s="9" t="s">
        <v>27</v>
      </c>
      <c r="C429" s="55" t="str">
        <f t="shared" si="147"/>
        <v>p.comunicar</v>
      </c>
      <c r="D429" s="6" t="str">
        <f t="shared" si="165"/>
        <v>é.website</v>
      </c>
      <c r="E429" s="8" t="s">
        <v>28</v>
      </c>
      <c r="F429" s="42" t="str">
        <f t="shared" si="171"/>
        <v>d.comunicar</v>
      </c>
      <c r="G429" s="18" t="s">
        <v>208</v>
      </c>
      <c r="H429" s="41" t="s">
        <v>2121</v>
      </c>
      <c r="I429" s="16" t="str">
        <f t="shared" si="150"/>
        <v>null</v>
      </c>
      <c r="J429" s="13" t="s">
        <v>0</v>
      </c>
      <c r="K429" s="13" t="s">
        <v>0</v>
      </c>
      <c r="L429" s="13" t="s">
        <v>0</v>
      </c>
      <c r="M429" s="13" t="s">
        <v>0</v>
      </c>
      <c r="N429" s="15" t="s">
        <v>0</v>
      </c>
      <c r="O429" s="13" t="s">
        <v>0</v>
      </c>
      <c r="P429" s="13" t="s">
        <v>0</v>
      </c>
      <c r="Q429" s="13" t="s">
        <v>0</v>
      </c>
      <c r="R429" s="15" t="s">
        <v>0</v>
      </c>
      <c r="S429" s="10" t="s">
        <v>1</v>
      </c>
      <c r="T429" s="10" t="s">
        <v>32</v>
      </c>
      <c r="U429" s="5" t="str">
        <f t="shared" si="151"/>
        <v>Propriedade destinada a comunicar: é.website</v>
      </c>
      <c r="V429" s="5" t="str">
        <f t="shared" si="152"/>
        <v>Dado para comunicar:  website  Deve ser formatado como (rdfs:Literal  or  xsd:string)</v>
      </c>
      <c r="W429" s="5" t="s">
        <v>8676</v>
      </c>
      <c r="X429" s="24" t="str">
        <f t="shared" si="153"/>
        <v>comun.105</v>
      </c>
      <c r="Y429" s="24" t="str">
        <f t="shared" si="154"/>
        <v>Ação de comunicar</v>
      </c>
      <c r="Z429" s="47" t="s">
        <v>8632</v>
      </c>
      <c r="AA429" s="25" t="str">
        <f t="shared" si="148"/>
        <v>null</v>
      </c>
      <c r="AB429" s="26" t="s">
        <v>0</v>
      </c>
      <c r="AC429" s="25" t="str">
        <f t="shared" si="149"/>
        <v>null</v>
      </c>
      <c r="AD429" s="26" t="s">
        <v>0</v>
      </c>
      <c r="AE429" s="25" t="str">
        <f t="shared" si="146"/>
        <v>propriedade</v>
      </c>
      <c r="AF429" s="26" t="s">
        <v>2421</v>
      </c>
      <c r="AG429" s="47" t="s">
        <v>8576</v>
      </c>
    </row>
    <row r="430" spans="1:33" ht="6.9" customHeight="1" x14ac:dyDescent="0.4">
      <c r="A430" s="4">
        <f>ROW()</f>
        <v>430</v>
      </c>
      <c r="B430" s="9" t="s">
        <v>27</v>
      </c>
      <c r="C430" s="55" t="str">
        <f t="shared" si="147"/>
        <v>p.comunicar</v>
      </c>
      <c r="D430" s="6" t="str">
        <f t="shared" si="165"/>
        <v>é.caixa.postal</v>
      </c>
      <c r="E430" s="8" t="s">
        <v>28</v>
      </c>
      <c r="F430" s="42" t="str">
        <f t="shared" si="171"/>
        <v>d.comunicar</v>
      </c>
      <c r="G430" s="18" t="s">
        <v>613</v>
      </c>
      <c r="H430" s="41" t="s">
        <v>2121</v>
      </c>
      <c r="I430" s="16" t="str">
        <f t="shared" si="150"/>
        <v>null</v>
      </c>
      <c r="J430" s="13" t="s">
        <v>0</v>
      </c>
      <c r="K430" s="13" t="s">
        <v>0</v>
      </c>
      <c r="L430" s="13" t="s">
        <v>0</v>
      </c>
      <c r="M430" s="13" t="s">
        <v>0</v>
      </c>
      <c r="N430" s="15" t="s">
        <v>0</v>
      </c>
      <c r="O430" s="13" t="s">
        <v>0</v>
      </c>
      <c r="P430" s="13" t="s">
        <v>0</v>
      </c>
      <c r="Q430" s="13" t="s">
        <v>0</v>
      </c>
      <c r="R430" s="15" t="s">
        <v>0</v>
      </c>
      <c r="S430" s="10" t="s">
        <v>1</v>
      </c>
      <c r="T430" s="10" t="s">
        <v>32</v>
      </c>
      <c r="U430" s="5" t="str">
        <f t="shared" si="151"/>
        <v>Propriedade destinada a comunicar: é.caixa.postal</v>
      </c>
      <c r="V430" s="5" t="str">
        <f t="shared" si="152"/>
        <v>Dado para comunicar:  caixa.postal  Deve ser formatado como (rdfs:Literal  or  xsd:string)</v>
      </c>
      <c r="W430" s="5" t="s">
        <v>8675</v>
      </c>
      <c r="X430" s="24" t="str">
        <f t="shared" si="153"/>
        <v>comun.106</v>
      </c>
      <c r="Y430" s="24" t="str">
        <f t="shared" si="154"/>
        <v>Ação de comunicar</v>
      </c>
      <c r="Z430" s="47" t="s">
        <v>8633</v>
      </c>
      <c r="AA430" s="25" t="str">
        <f t="shared" si="148"/>
        <v>null</v>
      </c>
      <c r="AB430" s="26" t="s">
        <v>0</v>
      </c>
      <c r="AC430" s="25" t="str">
        <f t="shared" si="149"/>
        <v>null</v>
      </c>
      <c r="AD430" s="26" t="s">
        <v>0</v>
      </c>
      <c r="AE430" s="25" t="str">
        <f t="shared" si="146"/>
        <v>propriedade</v>
      </c>
      <c r="AF430" s="26" t="s">
        <v>2421</v>
      </c>
      <c r="AG430" s="47" t="s">
        <v>8577</v>
      </c>
    </row>
    <row r="431" spans="1:33" ht="6.9" customHeight="1" x14ac:dyDescent="0.4">
      <c r="A431" s="4">
        <f>ROW()</f>
        <v>431</v>
      </c>
      <c r="B431" s="9" t="s">
        <v>27</v>
      </c>
      <c r="C431" s="55" t="str">
        <f t="shared" si="147"/>
        <v>p.comunicar</v>
      </c>
      <c r="D431" s="6" t="str">
        <f t="shared" si="165"/>
        <v>é.telecom.hospitalar</v>
      </c>
      <c r="E431" s="8" t="s">
        <v>28</v>
      </c>
      <c r="F431" s="42" t="str">
        <f t="shared" si="171"/>
        <v>d.comunicar</v>
      </c>
      <c r="G431" s="18" t="s">
        <v>614</v>
      </c>
      <c r="H431" s="41" t="s">
        <v>2121</v>
      </c>
      <c r="I431" s="16" t="str">
        <f t="shared" si="150"/>
        <v>null</v>
      </c>
      <c r="J431" s="15" t="s">
        <v>0</v>
      </c>
      <c r="K431" s="15" t="s">
        <v>0</v>
      </c>
      <c r="L431" s="15" t="s">
        <v>0</v>
      </c>
      <c r="M431" s="15" t="s">
        <v>0</v>
      </c>
      <c r="N431" s="15" t="s">
        <v>0</v>
      </c>
      <c r="O431" s="15" t="s">
        <v>0</v>
      </c>
      <c r="P431" s="15" t="s">
        <v>0</v>
      </c>
      <c r="Q431" s="15" t="s">
        <v>0</v>
      </c>
      <c r="R431" s="15" t="s">
        <v>0</v>
      </c>
      <c r="S431" s="10" t="s">
        <v>1</v>
      </c>
      <c r="T431" s="10" t="s">
        <v>32</v>
      </c>
      <c r="U431" s="5" t="str">
        <f t="shared" si="151"/>
        <v>Propriedade destinada a comunicar: é.telecom.hospitalar</v>
      </c>
      <c r="V431" s="5" t="str">
        <f t="shared" si="152"/>
        <v>Dado para comunicar:  telecom.hospitalar  Deve ser formatado como (rdfs:Literal  or  xsd:string)</v>
      </c>
      <c r="W431" s="5" t="s">
        <v>5339</v>
      </c>
      <c r="X431" s="24" t="str">
        <f t="shared" si="153"/>
        <v>comun.107</v>
      </c>
      <c r="Y431" s="24" t="str">
        <f t="shared" si="154"/>
        <v>Ação de comunicar</v>
      </c>
      <c r="Z431" s="47" t="s">
        <v>8634</v>
      </c>
      <c r="AA431" s="25" t="str">
        <f t="shared" si="148"/>
        <v>categoria.revit</v>
      </c>
      <c r="AB431" s="26" t="s">
        <v>3504</v>
      </c>
      <c r="AC431" s="25" t="str">
        <f t="shared" si="149"/>
        <v>classe.ifc</v>
      </c>
      <c r="AD431" s="26" t="s">
        <v>3465</v>
      </c>
      <c r="AE431" s="25" t="str">
        <f t="shared" si="146"/>
        <v>propriedade</v>
      </c>
      <c r="AF431" s="26" t="s">
        <v>2421</v>
      </c>
      <c r="AG431" s="47" t="s">
        <v>4772</v>
      </c>
    </row>
    <row r="432" spans="1:33" ht="6.9" customHeight="1" x14ac:dyDescent="0.4">
      <c r="A432" s="4">
        <f>ROW()</f>
        <v>432</v>
      </c>
      <c r="B432" s="9" t="s">
        <v>27</v>
      </c>
      <c r="C432" s="55" t="str">
        <f t="shared" si="147"/>
        <v>p.comunicar</v>
      </c>
      <c r="D432" s="6" t="str">
        <f t="shared" si="165"/>
        <v>é.telecom</v>
      </c>
      <c r="E432" s="8" t="s">
        <v>28</v>
      </c>
      <c r="F432" s="42" t="str">
        <f t="shared" si="171"/>
        <v>d.comunicar</v>
      </c>
      <c r="G432" s="18" t="s">
        <v>453</v>
      </c>
      <c r="H432" s="41" t="s">
        <v>2121</v>
      </c>
      <c r="I432" s="16" t="str">
        <f t="shared" si="150"/>
        <v>null</v>
      </c>
      <c r="J432" s="13" t="s">
        <v>0</v>
      </c>
      <c r="K432" s="13" t="s">
        <v>0</v>
      </c>
      <c r="L432" s="13" t="s">
        <v>0</v>
      </c>
      <c r="M432" s="13" t="s">
        <v>0</v>
      </c>
      <c r="N432" s="15" t="s">
        <v>0</v>
      </c>
      <c r="O432" s="13" t="s">
        <v>0</v>
      </c>
      <c r="P432" s="13" t="s">
        <v>0</v>
      </c>
      <c r="Q432" s="13" t="s">
        <v>0</v>
      </c>
      <c r="R432" s="15" t="s">
        <v>0</v>
      </c>
      <c r="S432" s="10" t="s">
        <v>1</v>
      </c>
      <c r="T432" s="10" t="s">
        <v>32</v>
      </c>
      <c r="U432" s="5" t="str">
        <f t="shared" si="151"/>
        <v>Propriedade destinada a comunicar: é.telecom</v>
      </c>
      <c r="V432" s="5" t="str">
        <f t="shared" si="152"/>
        <v>Dado para comunicar:  telecom  Deve ser formatado como (rdfs:Literal  or  xsd:string)</v>
      </c>
      <c r="W432" s="5" t="s">
        <v>5340</v>
      </c>
      <c r="X432" s="24" t="str">
        <f t="shared" si="153"/>
        <v>comun.108</v>
      </c>
      <c r="Y432" s="24" t="str">
        <f t="shared" si="154"/>
        <v>Ação de comunicar</v>
      </c>
      <c r="Z432" s="47" t="s">
        <v>8635</v>
      </c>
      <c r="AA432" s="25" t="str">
        <f t="shared" si="148"/>
        <v>categoria.revit</v>
      </c>
      <c r="AB432" s="26" t="s">
        <v>3505</v>
      </c>
      <c r="AC432" s="25" t="str">
        <f t="shared" si="149"/>
        <v>classe.ifc</v>
      </c>
      <c r="AD432" s="26" t="s">
        <v>3466</v>
      </c>
      <c r="AE432" s="25" t="str">
        <f t="shared" si="146"/>
        <v>propriedade</v>
      </c>
      <c r="AF432" s="26" t="s">
        <v>2421</v>
      </c>
      <c r="AG432" s="47" t="s">
        <v>4773</v>
      </c>
    </row>
    <row r="433" spans="1:33" ht="6.9" customHeight="1" x14ac:dyDescent="0.4">
      <c r="A433" s="4">
        <f>ROW()</f>
        <v>433</v>
      </c>
      <c r="B433" s="9" t="s">
        <v>27</v>
      </c>
      <c r="C433" s="54" t="str">
        <f t="shared" si="147"/>
        <v>p.concursar</v>
      </c>
      <c r="D433" s="6" t="str">
        <f t="shared" si="165"/>
        <v>é.edital</v>
      </c>
      <c r="E433" s="8" t="s">
        <v>28</v>
      </c>
      <c r="F433" s="50" t="s">
        <v>615</v>
      </c>
      <c r="G433" s="18" t="s">
        <v>245</v>
      </c>
      <c r="H433" s="41" t="s">
        <v>2121</v>
      </c>
      <c r="I433" s="16" t="str">
        <f t="shared" si="150"/>
        <v>null</v>
      </c>
      <c r="J433" s="15" t="s">
        <v>0</v>
      </c>
      <c r="K433" s="13" t="s">
        <v>0</v>
      </c>
      <c r="L433" s="13" t="s">
        <v>0</v>
      </c>
      <c r="M433" s="13" t="s">
        <v>0</v>
      </c>
      <c r="N433" s="15" t="s">
        <v>0</v>
      </c>
      <c r="O433" s="13" t="s">
        <v>0</v>
      </c>
      <c r="P433" s="13" t="s">
        <v>0</v>
      </c>
      <c r="Q433" s="13" t="s">
        <v>0</v>
      </c>
      <c r="R433" s="15" t="s">
        <v>0</v>
      </c>
      <c r="S433" s="10" t="s">
        <v>1</v>
      </c>
      <c r="T433" s="10" t="s">
        <v>32</v>
      </c>
      <c r="U433" s="5" t="str">
        <f t="shared" si="151"/>
        <v>Propriedade destinada a concursar: é.edital</v>
      </c>
      <c r="V433" s="5" t="str">
        <f t="shared" si="152"/>
        <v>Dado para concursar:  edital  Deve ser formatado como (rdfs:Literal  or  xsd:string)</v>
      </c>
      <c r="W433" s="5" t="s">
        <v>8673</v>
      </c>
      <c r="X433" s="24" t="str">
        <f t="shared" si="153"/>
        <v>concu.100</v>
      </c>
      <c r="Y433" s="24" t="str">
        <f t="shared" si="154"/>
        <v>Ação de concursar</v>
      </c>
      <c r="Z433" s="47" t="s">
        <v>8626</v>
      </c>
      <c r="AA433" s="25" t="str">
        <f t="shared" si="148"/>
        <v>null</v>
      </c>
      <c r="AB433" s="26" t="s">
        <v>0</v>
      </c>
      <c r="AC433" s="25" t="str">
        <f t="shared" si="149"/>
        <v>null</v>
      </c>
      <c r="AD433" s="26" t="s">
        <v>0</v>
      </c>
      <c r="AE433" s="25" t="str">
        <f t="shared" si="146"/>
        <v>null</v>
      </c>
      <c r="AF433" s="26" t="s">
        <v>0</v>
      </c>
      <c r="AG433" s="47" t="s">
        <v>8578</v>
      </c>
    </row>
    <row r="434" spans="1:33" ht="6.9" customHeight="1" x14ac:dyDescent="0.4">
      <c r="A434" s="4">
        <f>ROW()</f>
        <v>434</v>
      </c>
      <c r="B434" s="9" t="s">
        <v>27</v>
      </c>
      <c r="C434" s="55" t="str">
        <f t="shared" si="147"/>
        <v>p.concursar</v>
      </c>
      <c r="D434" s="6" t="str">
        <f t="shared" si="165"/>
        <v>é.proponente</v>
      </c>
      <c r="E434" s="8" t="s">
        <v>28</v>
      </c>
      <c r="F434" s="42" t="str">
        <f t="shared" ref="F434:F441" si="172">F433</f>
        <v>d.concursar</v>
      </c>
      <c r="G434" s="17" t="s">
        <v>246</v>
      </c>
      <c r="H434" s="42" t="s">
        <v>2121</v>
      </c>
      <c r="I434" s="16" t="str">
        <f t="shared" si="150"/>
        <v>null</v>
      </c>
      <c r="J434" s="15" t="s">
        <v>0</v>
      </c>
      <c r="K434" s="15" t="s">
        <v>0</v>
      </c>
      <c r="L434" s="15" t="s">
        <v>0</v>
      </c>
      <c r="M434" s="15" t="s">
        <v>0</v>
      </c>
      <c r="N434" s="15" t="s">
        <v>0</v>
      </c>
      <c r="O434" s="15" t="s">
        <v>0</v>
      </c>
      <c r="P434" s="15" t="s">
        <v>0</v>
      </c>
      <c r="Q434" s="13" t="s">
        <v>0</v>
      </c>
      <c r="R434" s="15" t="s">
        <v>0</v>
      </c>
      <c r="S434" s="10" t="s">
        <v>1</v>
      </c>
      <c r="T434" s="10" t="s">
        <v>32</v>
      </c>
      <c r="U434" s="5" t="str">
        <f t="shared" si="151"/>
        <v>Propriedade destinada a concursar: é.proponente</v>
      </c>
      <c r="V434" s="5" t="str">
        <f t="shared" si="152"/>
        <v>Dado para concursar:  proponente  Deve ser formatado como (rdfs:Literal  or  xsd:string)</v>
      </c>
      <c r="W434" s="5" t="s">
        <v>8674</v>
      </c>
      <c r="X434" s="24" t="str">
        <f t="shared" si="153"/>
        <v>concu.101</v>
      </c>
      <c r="Y434" s="24" t="str">
        <f t="shared" si="154"/>
        <v>Ação de concursar</v>
      </c>
      <c r="Z434" s="47" t="s">
        <v>8625</v>
      </c>
      <c r="AA434" s="25" t="str">
        <f t="shared" si="148"/>
        <v>null</v>
      </c>
      <c r="AB434" s="26" t="s">
        <v>0</v>
      </c>
      <c r="AC434" s="25" t="str">
        <f t="shared" si="149"/>
        <v>null</v>
      </c>
      <c r="AD434" s="26" t="s">
        <v>0</v>
      </c>
      <c r="AE434" s="25" t="str">
        <f t="shared" si="146"/>
        <v>null</v>
      </c>
      <c r="AF434" s="26" t="s">
        <v>0</v>
      </c>
      <c r="AG434" s="47" t="s">
        <v>8579</v>
      </c>
    </row>
    <row r="435" spans="1:33" ht="6.9" customHeight="1" x14ac:dyDescent="0.4">
      <c r="A435" s="4">
        <f>ROW()</f>
        <v>435</v>
      </c>
      <c r="B435" s="9" t="s">
        <v>27</v>
      </c>
      <c r="C435" s="55" t="str">
        <f t="shared" si="147"/>
        <v>p.concursar</v>
      </c>
      <c r="D435" s="6" t="str">
        <f t="shared" si="165"/>
        <v>é.classificado</v>
      </c>
      <c r="E435" s="8" t="s">
        <v>28</v>
      </c>
      <c r="F435" s="42" t="str">
        <f t="shared" si="172"/>
        <v>d.concursar</v>
      </c>
      <c r="G435" s="17" t="s">
        <v>248</v>
      </c>
      <c r="H435" s="42" t="s">
        <v>2121</v>
      </c>
      <c r="I435" s="16" t="str">
        <f t="shared" si="150"/>
        <v>null</v>
      </c>
      <c r="J435" s="15" t="s">
        <v>0</v>
      </c>
      <c r="K435" s="15" t="s">
        <v>0</v>
      </c>
      <c r="L435" s="15" t="s">
        <v>0</v>
      </c>
      <c r="M435" s="15" t="s">
        <v>0</v>
      </c>
      <c r="N435" s="15" t="s">
        <v>0</v>
      </c>
      <c r="O435" s="15" t="s">
        <v>0</v>
      </c>
      <c r="P435" s="15" t="s">
        <v>0</v>
      </c>
      <c r="Q435" s="13" t="s">
        <v>0</v>
      </c>
      <c r="R435" s="15" t="s">
        <v>0</v>
      </c>
      <c r="S435" s="10" t="s">
        <v>1</v>
      </c>
      <c r="T435" s="10" t="s">
        <v>32</v>
      </c>
      <c r="U435" s="5" t="str">
        <f t="shared" si="151"/>
        <v>Propriedade destinada a concursar: é.classificado</v>
      </c>
      <c r="V435" s="5" t="str">
        <f t="shared" si="152"/>
        <v>Dado para concursar:  classificado  Deve ser formatado como (rdfs:Literal  or  xsd:string)</v>
      </c>
      <c r="W435" s="5" t="s">
        <v>5341</v>
      </c>
      <c r="X435" s="24" t="str">
        <f t="shared" si="153"/>
        <v>concu.102</v>
      </c>
      <c r="Y435" s="24" t="str">
        <f t="shared" si="154"/>
        <v>Ação de concursar</v>
      </c>
      <c r="Z435" s="47" t="s">
        <v>1382</v>
      </c>
      <c r="AA435" s="25" t="str">
        <f t="shared" si="148"/>
        <v>null</v>
      </c>
      <c r="AB435" s="26" t="s">
        <v>0</v>
      </c>
      <c r="AC435" s="25" t="str">
        <f t="shared" si="149"/>
        <v>null</v>
      </c>
      <c r="AD435" s="26" t="s">
        <v>0</v>
      </c>
      <c r="AE435" s="25" t="str">
        <f t="shared" ref="AE435:AE496" si="173">IF(AF435="null", "null", "propriedade")</f>
        <v>null</v>
      </c>
      <c r="AF435" s="26" t="s">
        <v>0</v>
      </c>
      <c r="AG435" s="47" t="s">
        <v>8580</v>
      </c>
    </row>
    <row r="436" spans="1:33" ht="6.9" customHeight="1" x14ac:dyDescent="0.4">
      <c r="A436" s="4">
        <f>ROW()</f>
        <v>436</v>
      </c>
      <c r="B436" s="9" t="s">
        <v>27</v>
      </c>
      <c r="C436" s="55" t="str">
        <f t="shared" si="147"/>
        <v>p.concursar</v>
      </c>
      <c r="D436" s="6" t="str">
        <f t="shared" si="165"/>
        <v>é.vencedor</v>
      </c>
      <c r="E436" s="8" t="s">
        <v>28</v>
      </c>
      <c r="F436" s="42" t="str">
        <f t="shared" si="172"/>
        <v>d.concursar</v>
      </c>
      <c r="G436" s="17" t="s">
        <v>247</v>
      </c>
      <c r="H436" s="42" t="s">
        <v>2121</v>
      </c>
      <c r="I436" s="16" t="str">
        <f t="shared" si="150"/>
        <v>null</v>
      </c>
      <c r="J436" s="15" t="s">
        <v>0</v>
      </c>
      <c r="K436" s="15" t="s">
        <v>0</v>
      </c>
      <c r="L436" s="15" t="s">
        <v>0</v>
      </c>
      <c r="M436" s="15" t="s">
        <v>0</v>
      </c>
      <c r="N436" s="15" t="s">
        <v>0</v>
      </c>
      <c r="O436" s="15" t="s">
        <v>0</v>
      </c>
      <c r="P436" s="15" t="s">
        <v>0</v>
      </c>
      <c r="Q436" s="13" t="s">
        <v>0</v>
      </c>
      <c r="R436" s="15" t="s">
        <v>0</v>
      </c>
      <c r="S436" s="10" t="s">
        <v>1</v>
      </c>
      <c r="T436" s="10" t="s">
        <v>32</v>
      </c>
      <c r="U436" s="5" t="str">
        <f t="shared" si="151"/>
        <v>Propriedade destinada a concursar: é.vencedor</v>
      </c>
      <c r="V436" s="5" t="str">
        <f t="shared" si="152"/>
        <v>Dado para concursar:  vencedor  Deve ser formatado como (rdfs:Literal  or  xsd:string)</v>
      </c>
      <c r="W436" s="5" t="s">
        <v>5342</v>
      </c>
      <c r="X436" s="24" t="str">
        <f t="shared" si="153"/>
        <v>concu.103</v>
      </c>
      <c r="Y436" s="24" t="str">
        <f t="shared" si="154"/>
        <v>Ação de concursar</v>
      </c>
      <c r="Z436" s="47" t="s">
        <v>1383</v>
      </c>
      <c r="AA436" s="25" t="str">
        <f t="shared" si="148"/>
        <v>null</v>
      </c>
      <c r="AB436" s="26" t="s">
        <v>0</v>
      </c>
      <c r="AC436" s="25" t="str">
        <f t="shared" si="149"/>
        <v>null</v>
      </c>
      <c r="AD436" s="26" t="s">
        <v>0</v>
      </c>
      <c r="AE436" s="25" t="str">
        <f t="shared" si="173"/>
        <v>null</v>
      </c>
      <c r="AF436" s="26" t="s">
        <v>0</v>
      </c>
      <c r="AG436" s="47" t="s">
        <v>2730</v>
      </c>
    </row>
    <row r="437" spans="1:33" ht="6.9" customHeight="1" x14ac:dyDescent="0.4">
      <c r="A437" s="4">
        <f>ROW()</f>
        <v>437</v>
      </c>
      <c r="B437" s="9" t="s">
        <v>27</v>
      </c>
      <c r="C437" s="55" t="str">
        <f t="shared" si="147"/>
        <v>p.concursar</v>
      </c>
      <c r="D437" s="6" t="str">
        <f t="shared" si="165"/>
        <v>é.júri</v>
      </c>
      <c r="E437" s="8" t="s">
        <v>28</v>
      </c>
      <c r="F437" s="42" t="str">
        <f t="shared" si="172"/>
        <v>d.concursar</v>
      </c>
      <c r="G437" s="17" t="s">
        <v>6936</v>
      </c>
      <c r="H437" s="42" t="s">
        <v>2121</v>
      </c>
      <c r="I437" s="16" t="str">
        <f t="shared" si="150"/>
        <v>null</v>
      </c>
      <c r="J437" s="15" t="s">
        <v>0</v>
      </c>
      <c r="K437" s="15" t="s">
        <v>0</v>
      </c>
      <c r="L437" s="15" t="s">
        <v>0</v>
      </c>
      <c r="M437" s="15" t="s">
        <v>0</v>
      </c>
      <c r="N437" s="15" t="s">
        <v>0</v>
      </c>
      <c r="O437" s="15" t="s">
        <v>0</v>
      </c>
      <c r="P437" s="15" t="s">
        <v>0</v>
      </c>
      <c r="Q437" s="13" t="s">
        <v>0</v>
      </c>
      <c r="R437" s="15" t="s">
        <v>0</v>
      </c>
      <c r="S437" s="10" t="s">
        <v>1</v>
      </c>
      <c r="T437" s="10" t="s">
        <v>32</v>
      </c>
      <c r="U437" s="5" t="str">
        <f t="shared" si="151"/>
        <v>Propriedade destinada a concursar: é.júri</v>
      </c>
      <c r="V437" s="5" t="str">
        <f t="shared" si="152"/>
        <v>Dado para concursar:  júri  Deve ser formatado como (rdfs:Literal  or  xsd:string)</v>
      </c>
      <c r="W437" s="5" t="s">
        <v>7041</v>
      </c>
      <c r="X437" s="24" t="str">
        <f t="shared" si="153"/>
        <v>concu.104</v>
      </c>
      <c r="Y437" s="24" t="str">
        <f t="shared" si="154"/>
        <v>Ação de concursar</v>
      </c>
      <c r="Z437" s="47" t="s">
        <v>1384</v>
      </c>
      <c r="AA437" s="25" t="str">
        <f t="shared" si="148"/>
        <v>null</v>
      </c>
      <c r="AB437" s="26" t="s">
        <v>0</v>
      </c>
      <c r="AC437" s="25" t="str">
        <f t="shared" si="149"/>
        <v>null</v>
      </c>
      <c r="AD437" s="26" t="s">
        <v>0</v>
      </c>
      <c r="AE437" s="25" t="str">
        <f t="shared" si="173"/>
        <v>null</v>
      </c>
      <c r="AF437" s="26" t="s">
        <v>0</v>
      </c>
      <c r="AG437" s="47" t="s">
        <v>8581</v>
      </c>
    </row>
    <row r="438" spans="1:33" ht="6.9" customHeight="1" x14ac:dyDescent="0.4">
      <c r="A438" s="4">
        <f>ROW()</f>
        <v>438</v>
      </c>
      <c r="B438" s="9" t="s">
        <v>27</v>
      </c>
      <c r="C438" s="55" t="str">
        <f t="shared" si="147"/>
        <v>p.concursar</v>
      </c>
      <c r="D438" s="6" t="str">
        <f t="shared" si="165"/>
        <v>é.banca</v>
      </c>
      <c r="E438" s="8" t="s">
        <v>28</v>
      </c>
      <c r="F438" s="42" t="str">
        <f t="shared" si="172"/>
        <v>d.concursar</v>
      </c>
      <c r="G438" s="17" t="s">
        <v>249</v>
      </c>
      <c r="H438" s="42" t="s">
        <v>2121</v>
      </c>
      <c r="I438" s="16" t="str">
        <f t="shared" si="150"/>
        <v>null</v>
      </c>
      <c r="J438" s="15" t="s">
        <v>0</v>
      </c>
      <c r="K438" s="15" t="s">
        <v>0</v>
      </c>
      <c r="L438" s="15" t="s">
        <v>0</v>
      </c>
      <c r="M438" s="15" t="s">
        <v>0</v>
      </c>
      <c r="N438" s="15" t="s">
        <v>0</v>
      </c>
      <c r="O438" s="15" t="s">
        <v>0</v>
      </c>
      <c r="P438" s="15" t="s">
        <v>0</v>
      </c>
      <c r="Q438" s="13" t="s">
        <v>0</v>
      </c>
      <c r="R438" s="15" t="s">
        <v>0</v>
      </c>
      <c r="S438" s="10" t="s">
        <v>1</v>
      </c>
      <c r="T438" s="10" t="s">
        <v>32</v>
      </c>
      <c r="U438" s="5" t="str">
        <f t="shared" si="151"/>
        <v>Propriedade destinada a concursar: é.banca</v>
      </c>
      <c r="V438" s="5" t="str">
        <f t="shared" si="152"/>
        <v>Dado para concursar:  banca  Deve ser formatado como (rdfs:Literal  or  xsd:string)</v>
      </c>
      <c r="W438" s="5" t="s">
        <v>5343</v>
      </c>
      <c r="X438" s="24" t="str">
        <f t="shared" si="153"/>
        <v>concu.105</v>
      </c>
      <c r="Y438" s="24" t="str">
        <f t="shared" si="154"/>
        <v>Ação de concursar</v>
      </c>
      <c r="Z438" s="47" t="s">
        <v>1385</v>
      </c>
      <c r="AA438" s="25" t="str">
        <f t="shared" si="148"/>
        <v>null</v>
      </c>
      <c r="AB438" s="26" t="s">
        <v>0</v>
      </c>
      <c r="AC438" s="25" t="str">
        <f t="shared" si="149"/>
        <v>null</v>
      </c>
      <c r="AD438" s="26" t="s">
        <v>0</v>
      </c>
      <c r="AE438" s="25" t="str">
        <f t="shared" si="173"/>
        <v>null</v>
      </c>
      <c r="AF438" s="26" t="s">
        <v>0</v>
      </c>
      <c r="AG438" s="47" t="s">
        <v>2731</v>
      </c>
    </row>
    <row r="439" spans="1:33" ht="6.9" customHeight="1" x14ac:dyDescent="0.4">
      <c r="A439" s="4">
        <f>ROW()</f>
        <v>439</v>
      </c>
      <c r="B439" s="9" t="s">
        <v>27</v>
      </c>
      <c r="C439" s="55" t="str">
        <f t="shared" si="147"/>
        <v>p.concursar</v>
      </c>
      <c r="D439" s="6" t="str">
        <f t="shared" si="165"/>
        <v>é.consulta</v>
      </c>
      <c r="E439" s="8" t="s">
        <v>28</v>
      </c>
      <c r="F439" s="42" t="str">
        <f t="shared" si="172"/>
        <v>d.concursar</v>
      </c>
      <c r="G439" s="17" t="s">
        <v>250</v>
      </c>
      <c r="H439" s="42" t="s">
        <v>2121</v>
      </c>
      <c r="I439" s="16" t="str">
        <f t="shared" si="150"/>
        <v>null</v>
      </c>
      <c r="J439" s="15" t="s">
        <v>0</v>
      </c>
      <c r="K439" s="15" t="s">
        <v>0</v>
      </c>
      <c r="L439" s="15" t="s">
        <v>0</v>
      </c>
      <c r="M439" s="15" t="s">
        <v>0</v>
      </c>
      <c r="N439" s="15" t="s">
        <v>0</v>
      </c>
      <c r="O439" s="15" t="s">
        <v>0</v>
      </c>
      <c r="P439" s="15" t="s">
        <v>0</v>
      </c>
      <c r="Q439" s="13" t="s">
        <v>0</v>
      </c>
      <c r="R439" s="15" t="s">
        <v>0</v>
      </c>
      <c r="S439" s="10" t="s">
        <v>1</v>
      </c>
      <c r="T439" s="10" t="s">
        <v>32</v>
      </c>
      <c r="U439" s="5" t="str">
        <f t="shared" si="151"/>
        <v>Propriedade destinada a concursar: é.consulta</v>
      </c>
      <c r="V439" s="5" t="str">
        <f t="shared" si="152"/>
        <v>Dado para concursar:  consulta  Deve ser formatado como (rdfs:Literal  or  xsd:string)</v>
      </c>
      <c r="W439" s="5" t="s">
        <v>5344</v>
      </c>
      <c r="X439" s="24" t="str">
        <f t="shared" si="153"/>
        <v>concu.106</v>
      </c>
      <c r="Y439" s="24" t="str">
        <f t="shared" si="154"/>
        <v>Ação de concursar</v>
      </c>
      <c r="Z439" s="47" t="s">
        <v>1386</v>
      </c>
      <c r="AA439" s="25" t="str">
        <f t="shared" si="148"/>
        <v>null</v>
      </c>
      <c r="AB439" s="26" t="s">
        <v>0</v>
      </c>
      <c r="AC439" s="25" t="str">
        <f t="shared" si="149"/>
        <v>null</v>
      </c>
      <c r="AD439" s="26" t="s">
        <v>0</v>
      </c>
      <c r="AE439" s="25" t="str">
        <f t="shared" si="173"/>
        <v>null</v>
      </c>
      <c r="AF439" s="26" t="s">
        <v>0</v>
      </c>
      <c r="AG439" s="47" t="s">
        <v>4669</v>
      </c>
    </row>
    <row r="440" spans="1:33" ht="6.9" customHeight="1" x14ac:dyDescent="0.4">
      <c r="A440" s="4">
        <f>ROW()</f>
        <v>440</v>
      </c>
      <c r="B440" s="9" t="s">
        <v>27</v>
      </c>
      <c r="C440" s="55" t="str">
        <f t="shared" si="147"/>
        <v>p.concursar</v>
      </c>
      <c r="D440" s="6" t="str">
        <f t="shared" si="165"/>
        <v>é.recurso</v>
      </c>
      <c r="E440" s="8" t="s">
        <v>28</v>
      </c>
      <c r="F440" s="42" t="str">
        <f t="shared" si="172"/>
        <v>d.concursar</v>
      </c>
      <c r="G440" s="17" t="s">
        <v>251</v>
      </c>
      <c r="H440" s="42" t="s">
        <v>2121</v>
      </c>
      <c r="I440" s="16" t="str">
        <f t="shared" si="150"/>
        <v>null</v>
      </c>
      <c r="J440" s="15" t="s">
        <v>0</v>
      </c>
      <c r="K440" s="15" t="s">
        <v>0</v>
      </c>
      <c r="L440" s="15" t="s">
        <v>0</v>
      </c>
      <c r="M440" s="15" t="s">
        <v>0</v>
      </c>
      <c r="N440" s="15" t="s">
        <v>0</v>
      </c>
      <c r="O440" s="15" t="s">
        <v>0</v>
      </c>
      <c r="P440" s="15" t="s">
        <v>0</v>
      </c>
      <c r="Q440" s="13" t="s">
        <v>0</v>
      </c>
      <c r="R440" s="15" t="s">
        <v>1214</v>
      </c>
      <c r="S440" s="10" t="s">
        <v>1</v>
      </c>
      <c r="T440" s="10" t="s">
        <v>32</v>
      </c>
      <c r="U440" s="5" t="str">
        <f t="shared" si="151"/>
        <v>Propriedade destinada a concursar: é.recurso</v>
      </c>
      <c r="V440" s="5" t="str">
        <f t="shared" si="152"/>
        <v>Dado para concursar:  recurso  Deve ser formatado como (rdfs:Literal  or  xsd:string)</v>
      </c>
      <c r="W440" s="5" t="s">
        <v>5345</v>
      </c>
      <c r="X440" s="24" t="str">
        <f t="shared" si="153"/>
        <v>concu.107</v>
      </c>
      <c r="Y440" s="24" t="str">
        <f t="shared" si="154"/>
        <v>Ação de concursar</v>
      </c>
      <c r="Z440" s="47" t="s">
        <v>1387</v>
      </c>
      <c r="AA440" s="25" t="str">
        <f t="shared" si="148"/>
        <v>null</v>
      </c>
      <c r="AB440" s="26" t="s">
        <v>0</v>
      </c>
      <c r="AC440" s="25" t="str">
        <f t="shared" si="149"/>
        <v>null</v>
      </c>
      <c r="AD440" s="26" t="s">
        <v>0</v>
      </c>
      <c r="AE440" s="25" t="str">
        <f t="shared" si="173"/>
        <v>null</v>
      </c>
      <c r="AF440" s="26" t="s">
        <v>0</v>
      </c>
      <c r="AG440" s="47" t="s">
        <v>4670</v>
      </c>
    </row>
    <row r="441" spans="1:33" ht="6.9" customHeight="1" x14ac:dyDescent="0.4">
      <c r="A441" s="4">
        <f>ROW()</f>
        <v>441</v>
      </c>
      <c r="B441" s="9" t="s">
        <v>27</v>
      </c>
      <c r="C441" s="55" t="str">
        <f t="shared" si="147"/>
        <v>p.concursar</v>
      </c>
      <c r="D441" s="6" t="str">
        <f t="shared" si="165"/>
        <v>é.visita.técnica</v>
      </c>
      <c r="E441" s="8" t="s">
        <v>28</v>
      </c>
      <c r="F441" s="42" t="str">
        <f t="shared" si="172"/>
        <v>d.concursar</v>
      </c>
      <c r="G441" s="17" t="s">
        <v>616</v>
      </c>
      <c r="H441" s="42" t="s">
        <v>2121</v>
      </c>
      <c r="I441" s="16" t="str">
        <f t="shared" si="150"/>
        <v>null</v>
      </c>
      <c r="J441" s="15" t="s">
        <v>0</v>
      </c>
      <c r="K441" s="15" t="s">
        <v>0</v>
      </c>
      <c r="L441" s="15" t="s">
        <v>0</v>
      </c>
      <c r="M441" s="15" t="s">
        <v>0</v>
      </c>
      <c r="N441" s="15" t="s">
        <v>0</v>
      </c>
      <c r="O441" s="15" t="s">
        <v>0</v>
      </c>
      <c r="P441" s="15" t="s">
        <v>0</v>
      </c>
      <c r="Q441" s="13" t="s">
        <v>0</v>
      </c>
      <c r="R441" s="15" t="s">
        <v>0</v>
      </c>
      <c r="S441" s="10" t="s">
        <v>1</v>
      </c>
      <c r="T441" s="10" t="s">
        <v>32</v>
      </c>
      <c r="U441" s="5" t="str">
        <f t="shared" si="151"/>
        <v>Propriedade destinada a concursar: é.visita.técnica</v>
      </c>
      <c r="V441" s="5" t="str">
        <f t="shared" si="152"/>
        <v>Dado para concursar:  visita.técnica  Deve ser formatado como (rdfs:Literal  or  xsd:string)</v>
      </c>
      <c r="W441" s="5" t="s">
        <v>5346</v>
      </c>
      <c r="X441" s="24" t="str">
        <f t="shared" si="153"/>
        <v>concu.108</v>
      </c>
      <c r="Y441" s="24" t="str">
        <f t="shared" si="154"/>
        <v>Ação de concursar</v>
      </c>
      <c r="Z441" s="47" t="s">
        <v>1388</v>
      </c>
      <c r="AA441" s="25" t="str">
        <f t="shared" si="148"/>
        <v>null</v>
      </c>
      <c r="AB441" s="26" t="s">
        <v>0</v>
      </c>
      <c r="AC441" s="25" t="str">
        <f t="shared" si="149"/>
        <v>null</v>
      </c>
      <c r="AD441" s="26" t="s">
        <v>0</v>
      </c>
      <c r="AE441" s="25" t="str">
        <f t="shared" si="173"/>
        <v>null</v>
      </c>
      <c r="AF441" s="26" t="s">
        <v>0</v>
      </c>
      <c r="AG441" s="47" t="s">
        <v>4671</v>
      </c>
    </row>
    <row r="442" spans="1:33" ht="6.9" customHeight="1" x14ac:dyDescent="0.4">
      <c r="A442" s="4">
        <f>ROW()</f>
        <v>442</v>
      </c>
      <c r="B442" s="9" t="s">
        <v>27</v>
      </c>
      <c r="C442" s="54" t="str">
        <f t="shared" si="147"/>
        <v>p.conservar</v>
      </c>
      <c r="D442" s="6" t="str">
        <f t="shared" si="165"/>
        <v>é.código.de.conservação</v>
      </c>
      <c r="E442" s="8" t="s">
        <v>28</v>
      </c>
      <c r="F442" s="50" t="s">
        <v>2176</v>
      </c>
      <c r="G442" s="17" t="s">
        <v>2192</v>
      </c>
      <c r="H442" s="42" t="s">
        <v>2121</v>
      </c>
      <c r="I442" s="16" t="str">
        <f t="shared" si="150"/>
        <v>null</v>
      </c>
      <c r="J442" s="15" t="s">
        <v>0</v>
      </c>
      <c r="K442" s="15" t="s">
        <v>0</v>
      </c>
      <c r="L442" s="15" t="s">
        <v>0</v>
      </c>
      <c r="M442" s="15" t="s">
        <v>0</v>
      </c>
      <c r="N442" s="15" t="s">
        <v>0</v>
      </c>
      <c r="O442" s="15" t="s">
        <v>0</v>
      </c>
      <c r="P442" s="15" t="s">
        <v>0</v>
      </c>
      <c r="Q442" s="15" t="s">
        <v>0</v>
      </c>
      <c r="R442" s="15" t="s">
        <v>0</v>
      </c>
      <c r="S442" s="10" t="s">
        <v>1</v>
      </c>
      <c r="T442" s="10" t="s">
        <v>32</v>
      </c>
      <c r="U442" s="5" t="str">
        <f t="shared" si="151"/>
        <v>Propriedade destinada a conservar: é.código.de.conservação</v>
      </c>
      <c r="V442" s="5" t="str">
        <f t="shared" si="152"/>
        <v>Dado para conservar:  código.de.conservação  Deve ser formatado como (rdfs:Literal  or  xsd:string)</v>
      </c>
      <c r="W442" s="5" t="s">
        <v>5347</v>
      </c>
      <c r="X442" s="24" t="str">
        <f t="shared" si="153"/>
        <v>conse.100</v>
      </c>
      <c r="Y442" s="24" t="str">
        <f t="shared" si="154"/>
        <v>Ação de conservar</v>
      </c>
      <c r="Z442" s="47" t="s">
        <v>2193</v>
      </c>
      <c r="AA442" s="25" t="str">
        <f t="shared" si="148"/>
        <v>null</v>
      </c>
      <c r="AB442" s="26" t="s">
        <v>0</v>
      </c>
      <c r="AC442" s="25" t="str">
        <f t="shared" si="149"/>
        <v>null</v>
      </c>
      <c r="AD442" s="26" t="s">
        <v>0</v>
      </c>
      <c r="AE442" s="25" t="str">
        <f t="shared" si="173"/>
        <v>null</v>
      </c>
      <c r="AF442" s="26" t="s">
        <v>0</v>
      </c>
      <c r="AG442" s="47" t="s">
        <v>2732</v>
      </c>
    </row>
    <row r="443" spans="1:33" ht="6.9" customHeight="1" x14ac:dyDescent="0.4">
      <c r="A443" s="4">
        <f>ROW()</f>
        <v>443</v>
      </c>
      <c r="B443" s="9" t="s">
        <v>27</v>
      </c>
      <c r="C443" s="55" t="str">
        <f>SUBSTITUTE(F443,"d.","p.")</f>
        <v>p.conservar</v>
      </c>
      <c r="D443" s="6" t="str">
        <f t="shared" si="165"/>
        <v>é.crédito.de.carbono</v>
      </c>
      <c r="E443" s="8" t="s">
        <v>28</v>
      </c>
      <c r="F443" s="42" t="str">
        <f>F442</f>
        <v>d.conservar</v>
      </c>
      <c r="G443" s="46" t="s">
        <v>2198</v>
      </c>
      <c r="H443" s="42" t="s">
        <v>36</v>
      </c>
      <c r="I443" s="16" t="str">
        <f t="shared" ref="I443:I458" si="174">J443</f>
        <v>null</v>
      </c>
      <c r="J443" s="15" t="s">
        <v>0</v>
      </c>
      <c r="K443" s="15" t="s">
        <v>0</v>
      </c>
      <c r="L443" s="15" t="s">
        <v>0</v>
      </c>
      <c r="M443" s="15" t="s">
        <v>0</v>
      </c>
      <c r="N443" s="15" t="s">
        <v>0</v>
      </c>
      <c r="O443" s="15" t="s">
        <v>0</v>
      </c>
      <c r="P443" s="15" t="s">
        <v>0</v>
      </c>
      <c r="Q443" s="15" t="s">
        <v>0</v>
      </c>
      <c r="R443" s="15" t="s">
        <v>0</v>
      </c>
      <c r="S443" s="10" t="s">
        <v>1</v>
      </c>
      <c r="T443" s="10" t="s">
        <v>32</v>
      </c>
      <c r="U443" s="5" t="str">
        <f t="shared" si="151"/>
        <v>Propriedade destinada a conservar: é.crédito.de.carbono</v>
      </c>
      <c r="V443" s="5" t="str">
        <f t="shared" si="152"/>
        <v>Dado para conservar:  crédito.de.carbono  Deve ser formatado como (xsd:double)</v>
      </c>
      <c r="W443" s="5" t="s">
        <v>5358</v>
      </c>
      <c r="X443" s="24" t="str">
        <f t="shared" si="153"/>
        <v>conse.101</v>
      </c>
      <c r="Y443" s="24" t="str">
        <f t="shared" si="154"/>
        <v>Ação de conservar</v>
      </c>
      <c r="Z443" s="47" t="s">
        <v>2199</v>
      </c>
      <c r="AA443" s="25" t="str">
        <f t="shared" ref="AA443:AA458" si="175">IF(AB443="null", "null", "categoria.revit")</f>
        <v>null</v>
      </c>
      <c r="AB443" s="26" t="s">
        <v>0</v>
      </c>
      <c r="AC443" s="25" t="str">
        <f t="shared" ref="AC443:AC458" si="176">IF(AD443="null", "null", "classe.ifc")</f>
        <v>null</v>
      </c>
      <c r="AD443" s="26" t="s">
        <v>0</v>
      </c>
      <c r="AE443" s="25" t="str">
        <f t="shared" si="173"/>
        <v>null</v>
      </c>
      <c r="AF443" s="26" t="s">
        <v>0</v>
      </c>
      <c r="AG443" s="47" t="s">
        <v>2733</v>
      </c>
    </row>
    <row r="444" spans="1:33" ht="6.9" customHeight="1" x14ac:dyDescent="0.4">
      <c r="A444" s="4">
        <f>ROW()</f>
        <v>444</v>
      </c>
      <c r="B444" s="9" t="s">
        <v>27</v>
      </c>
      <c r="C444" s="55" t="str">
        <f t="shared" ref="C444:C458" si="177">SUBSTITUTE(F444,"d.","p.")</f>
        <v>p.conservar</v>
      </c>
      <c r="D444" s="6" t="str">
        <f t="shared" si="165"/>
        <v>é.dados.deficientes</v>
      </c>
      <c r="E444" s="8" t="s">
        <v>28</v>
      </c>
      <c r="F444" s="42" t="str">
        <f t="shared" ref="F444:F458" si="178">F443</f>
        <v>d.conservar</v>
      </c>
      <c r="G444" s="46" t="s">
        <v>2184</v>
      </c>
      <c r="H444" s="42" t="s">
        <v>2121</v>
      </c>
      <c r="I444" s="16" t="str">
        <f t="shared" si="174"/>
        <v>null</v>
      </c>
      <c r="J444" s="15" t="s">
        <v>0</v>
      </c>
      <c r="K444" s="15" t="s">
        <v>0</v>
      </c>
      <c r="L444" s="15" t="s">
        <v>0</v>
      </c>
      <c r="M444" s="15" t="s">
        <v>0</v>
      </c>
      <c r="N444" s="15" t="s">
        <v>0</v>
      </c>
      <c r="O444" s="15" t="s">
        <v>0</v>
      </c>
      <c r="P444" s="15" t="s">
        <v>0</v>
      </c>
      <c r="Q444" s="15" t="s">
        <v>0</v>
      </c>
      <c r="R444" s="15" t="s">
        <v>0</v>
      </c>
      <c r="S444" s="10" t="s">
        <v>1</v>
      </c>
      <c r="T444" s="10" t="s">
        <v>32</v>
      </c>
      <c r="U444" s="5" t="str">
        <f t="shared" si="151"/>
        <v>Propriedade destinada a conservar: é.dados.deficientes</v>
      </c>
      <c r="V444" s="5" t="str">
        <f t="shared" si="152"/>
        <v>Dado para conservar:  dados.deficientes  Deve ser formatado como (rdfs:Literal  or  xsd:string)</v>
      </c>
      <c r="W444" s="5" t="s">
        <v>5356</v>
      </c>
      <c r="X444" s="24" t="str">
        <f t="shared" si="153"/>
        <v>conse.102</v>
      </c>
      <c r="Y444" s="24" t="str">
        <f t="shared" si="154"/>
        <v>Ação de conservar</v>
      </c>
      <c r="Z444" s="47" t="s">
        <v>2194</v>
      </c>
      <c r="AA444" s="25" t="str">
        <f t="shared" si="175"/>
        <v>null</v>
      </c>
      <c r="AB444" s="26" t="s">
        <v>0</v>
      </c>
      <c r="AC444" s="25" t="str">
        <f t="shared" si="176"/>
        <v>null</v>
      </c>
      <c r="AD444" s="26" t="s">
        <v>0</v>
      </c>
      <c r="AE444" s="25" t="str">
        <f t="shared" si="173"/>
        <v>null</v>
      </c>
      <c r="AF444" s="26" t="s">
        <v>0</v>
      </c>
      <c r="AG444" s="47" t="s">
        <v>4680</v>
      </c>
    </row>
    <row r="445" spans="1:33" ht="6.9" customHeight="1" x14ac:dyDescent="0.4">
      <c r="A445" s="4">
        <f>ROW()</f>
        <v>445</v>
      </c>
      <c r="B445" s="9" t="s">
        <v>27</v>
      </c>
      <c r="C445" s="55" t="str">
        <f t="shared" si="177"/>
        <v>p.conservar</v>
      </c>
      <c r="D445" s="6" t="str">
        <f t="shared" si="165"/>
        <v>é.dependente.de.conservação</v>
      </c>
      <c r="E445" s="8" t="s">
        <v>28</v>
      </c>
      <c r="F445" s="42" t="str">
        <f t="shared" si="178"/>
        <v>d.conservar</v>
      </c>
      <c r="G445" s="46" t="s">
        <v>2182</v>
      </c>
      <c r="H445" s="42" t="s">
        <v>2121</v>
      </c>
      <c r="I445" s="16" t="str">
        <f t="shared" si="174"/>
        <v>null</v>
      </c>
      <c r="J445" s="15" t="s">
        <v>0</v>
      </c>
      <c r="K445" s="15" t="s">
        <v>0</v>
      </c>
      <c r="L445" s="15" t="s">
        <v>0</v>
      </c>
      <c r="M445" s="15" t="s">
        <v>0</v>
      </c>
      <c r="N445" s="15" t="s">
        <v>0</v>
      </c>
      <c r="O445" s="15" t="s">
        <v>0</v>
      </c>
      <c r="P445" s="15" t="s">
        <v>0</v>
      </c>
      <c r="Q445" s="15" t="s">
        <v>0</v>
      </c>
      <c r="R445" s="15" t="s">
        <v>0</v>
      </c>
      <c r="S445" s="10" t="s">
        <v>1</v>
      </c>
      <c r="T445" s="10" t="s">
        <v>32</v>
      </c>
      <c r="U445" s="5" t="str">
        <f t="shared" si="151"/>
        <v>Propriedade destinada a conservar: é.dependente.de.conservação</v>
      </c>
      <c r="V445" s="5" t="str">
        <f t="shared" si="152"/>
        <v>Dado para conservar:  dependente.de.conservação  Deve ser formatado como (rdfs:Literal  or  xsd:string)</v>
      </c>
      <c r="W445" s="5" t="s">
        <v>5354</v>
      </c>
      <c r="X445" s="24" t="str">
        <f t="shared" si="153"/>
        <v>conse.103</v>
      </c>
      <c r="Y445" s="24" t="str">
        <f t="shared" si="154"/>
        <v>Ação de conservar</v>
      </c>
      <c r="Z445" s="47" t="s">
        <v>2190</v>
      </c>
      <c r="AA445" s="25" t="str">
        <f t="shared" si="175"/>
        <v>null</v>
      </c>
      <c r="AB445" s="26" t="s">
        <v>0</v>
      </c>
      <c r="AC445" s="25" t="str">
        <f t="shared" si="176"/>
        <v>null</v>
      </c>
      <c r="AD445" s="26" t="s">
        <v>0</v>
      </c>
      <c r="AE445" s="25" t="str">
        <f t="shared" si="173"/>
        <v>null</v>
      </c>
      <c r="AF445" s="26" t="s">
        <v>0</v>
      </c>
      <c r="AG445" s="47" t="s">
        <v>4678</v>
      </c>
    </row>
    <row r="446" spans="1:33" ht="6.9" customHeight="1" x14ac:dyDescent="0.4">
      <c r="A446" s="4">
        <f>ROW()</f>
        <v>446</v>
      </c>
      <c r="B446" s="9" t="s">
        <v>27</v>
      </c>
      <c r="C446" s="55" t="str">
        <f t="shared" si="177"/>
        <v>p.conservar</v>
      </c>
      <c r="D446" s="6" t="str">
        <f t="shared" si="165"/>
        <v>é.em.perigo</v>
      </c>
      <c r="E446" s="8" t="s">
        <v>28</v>
      </c>
      <c r="F446" s="42" t="str">
        <f t="shared" si="178"/>
        <v>d.conservar</v>
      </c>
      <c r="G446" s="46" t="s">
        <v>2179</v>
      </c>
      <c r="H446" s="42" t="s">
        <v>2121</v>
      </c>
      <c r="I446" s="16" t="str">
        <f t="shared" si="174"/>
        <v>null</v>
      </c>
      <c r="J446" s="15" t="s">
        <v>0</v>
      </c>
      <c r="K446" s="15" t="s">
        <v>0</v>
      </c>
      <c r="L446" s="15" t="s">
        <v>0</v>
      </c>
      <c r="M446" s="15" t="s">
        <v>0</v>
      </c>
      <c r="N446" s="15" t="s">
        <v>0</v>
      </c>
      <c r="O446" s="15" t="s">
        <v>0</v>
      </c>
      <c r="P446" s="15" t="s">
        <v>0</v>
      </c>
      <c r="Q446" s="15" t="s">
        <v>0</v>
      </c>
      <c r="R446" s="15" t="s">
        <v>0</v>
      </c>
      <c r="S446" s="10" t="s">
        <v>1</v>
      </c>
      <c r="T446" s="10" t="s">
        <v>32</v>
      </c>
      <c r="U446" s="5" t="str">
        <f t="shared" si="151"/>
        <v>Propriedade destinada a conservar: é.em.perigo</v>
      </c>
      <c r="V446" s="5" t="str">
        <f t="shared" si="152"/>
        <v>Dado para conservar:  em.perigo  Deve ser formatado como (rdfs:Literal  or  xsd:string)</v>
      </c>
      <c r="W446" s="5" t="s">
        <v>5351</v>
      </c>
      <c r="X446" s="24" t="str">
        <f t="shared" si="153"/>
        <v>conse.104</v>
      </c>
      <c r="Y446" s="24" t="str">
        <f t="shared" si="154"/>
        <v>Ação de conservar</v>
      </c>
      <c r="Z446" s="47" t="s">
        <v>2188</v>
      </c>
      <c r="AA446" s="25" t="str">
        <f t="shared" si="175"/>
        <v>null</v>
      </c>
      <c r="AB446" s="26" t="s">
        <v>0</v>
      </c>
      <c r="AC446" s="25" t="str">
        <f t="shared" si="176"/>
        <v>null</v>
      </c>
      <c r="AD446" s="26" t="s">
        <v>0</v>
      </c>
      <c r="AE446" s="25" t="str">
        <f t="shared" si="173"/>
        <v>null</v>
      </c>
      <c r="AF446" s="26" t="s">
        <v>0</v>
      </c>
      <c r="AG446" s="47" t="s">
        <v>4675</v>
      </c>
    </row>
    <row r="447" spans="1:33" ht="6.9" customHeight="1" x14ac:dyDescent="0.4">
      <c r="A447" s="4">
        <f>ROW()</f>
        <v>447</v>
      </c>
      <c r="B447" s="9" t="s">
        <v>27</v>
      </c>
      <c r="C447" s="55" t="str">
        <f t="shared" si="177"/>
        <v>p.conservar</v>
      </c>
      <c r="D447" s="6" t="str">
        <f t="shared" si="165"/>
        <v>é.em.perigo.crítico</v>
      </c>
      <c r="E447" s="8" t="s">
        <v>28</v>
      </c>
      <c r="F447" s="42" t="str">
        <f t="shared" si="178"/>
        <v>d.conservar</v>
      </c>
      <c r="G447" s="46" t="s">
        <v>4110</v>
      </c>
      <c r="H447" s="42" t="s">
        <v>2121</v>
      </c>
      <c r="I447" s="16" t="str">
        <f t="shared" si="174"/>
        <v>null</v>
      </c>
      <c r="J447" s="15" t="s">
        <v>0</v>
      </c>
      <c r="K447" s="15" t="s">
        <v>0</v>
      </c>
      <c r="L447" s="15" t="s">
        <v>0</v>
      </c>
      <c r="M447" s="15" t="s">
        <v>0</v>
      </c>
      <c r="N447" s="15" t="s">
        <v>0</v>
      </c>
      <c r="O447" s="15" t="s">
        <v>0</v>
      </c>
      <c r="P447" s="15" t="s">
        <v>0</v>
      </c>
      <c r="Q447" s="15" t="s">
        <v>0</v>
      </c>
      <c r="R447" s="15" t="s">
        <v>0</v>
      </c>
      <c r="S447" s="10" t="s">
        <v>1</v>
      </c>
      <c r="T447" s="10" t="s">
        <v>32</v>
      </c>
      <c r="U447" s="5" t="str">
        <f t="shared" si="151"/>
        <v>Propriedade destinada a conservar: é.em.perigo.crítico</v>
      </c>
      <c r="V447" s="5" t="str">
        <f t="shared" si="152"/>
        <v>Dado para conservar:  em.perigo.crítico  Deve ser formatado como (rdfs:Literal  or  xsd:string)</v>
      </c>
      <c r="W447" s="5" t="s">
        <v>5350</v>
      </c>
      <c r="X447" s="24" t="str">
        <f t="shared" si="153"/>
        <v>conse.105</v>
      </c>
      <c r="Y447" s="24" t="str">
        <f t="shared" si="154"/>
        <v>Ação de conservar</v>
      </c>
      <c r="Z447" s="47" t="s">
        <v>8624</v>
      </c>
      <c r="AA447" s="25" t="str">
        <f t="shared" si="175"/>
        <v>null</v>
      </c>
      <c r="AB447" s="26" t="s">
        <v>0</v>
      </c>
      <c r="AC447" s="25" t="str">
        <f t="shared" si="176"/>
        <v>null</v>
      </c>
      <c r="AD447" s="26" t="s">
        <v>0</v>
      </c>
      <c r="AE447" s="25" t="str">
        <f t="shared" si="173"/>
        <v>null</v>
      </c>
      <c r="AF447" s="26" t="s">
        <v>0</v>
      </c>
      <c r="AG447" s="47" t="s">
        <v>4674</v>
      </c>
    </row>
    <row r="448" spans="1:33" ht="6.9" customHeight="1" x14ac:dyDescent="0.4">
      <c r="A448" s="4">
        <f>ROW()</f>
        <v>448</v>
      </c>
      <c r="B448" s="9" t="s">
        <v>27</v>
      </c>
      <c r="C448" s="55" t="str">
        <f t="shared" si="177"/>
        <v>p.conservar</v>
      </c>
      <c r="D448" s="6" t="str">
        <f t="shared" si="165"/>
        <v>é.extinto</v>
      </c>
      <c r="E448" s="8" t="s">
        <v>28</v>
      </c>
      <c r="F448" s="42" t="str">
        <f t="shared" si="178"/>
        <v>d.conservar</v>
      </c>
      <c r="G448" s="17" t="s">
        <v>2177</v>
      </c>
      <c r="H448" s="42" t="s">
        <v>2121</v>
      </c>
      <c r="I448" s="16" t="str">
        <f t="shared" si="174"/>
        <v>null</v>
      </c>
      <c r="J448" s="15" t="s">
        <v>0</v>
      </c>
      <c r="K448" s="15" t="s">
        <v>0</v>
      </c>
      <c r="L448" s="15" t="s">
        <v>0</v>
      </c>
      <c r="M448" s="15" t="s">
        <v>0</v>
      </c>
      <c r="N448" s="15" t="s">
        <v>0</v>
      </c>
      <c r="O448" s="15" t="s">
        <v>0</v>
      </c>
      <c r="P448" s="15" t="s">
        <v>0</v>
      </c>
      <c r="Q448" s="15" t="s">
        <v>0</v>
      </c>
      <c r="R448" s="15" t="s">
        <v>0</v>
      </c>
      <c r="S448" s="10" t="s">
        <v>1</v>
      </c>
      <c r="T448" s="10" t="s">
        <v>32</v>
      </c>
      <c r="U448" s="5" t="str">
        <f t="shared" si="151"/>
        <v>Propriedade destinada a conservar: é.extinto</v>
      </c>
      <c r="V448" s="5" t="str">
        <f t="shared" si="152"/>
        <v>Dado para conservar:  extinto  Deve ser formatado como (rdfs:Literal  or  xsd:string)</v>
      </c>
      <c r="W448" s="5" t="s">
        <v>5348</v>
      </c>
      <c r="X448" s="24" t="str">
        <f t="shared" si="153"/>
        <v>conse.106</v>
      </c>
      <c r="Y448" s="24" t="str">
        <f t="shared" si="154"/>
        <v>Ação de conservar</v>
      </c>
      <c r="Z448" s="47" t="s">
        <v>2186</v>
      </c>
      <c r="AA448" s="25" t="str">
        <f t="shared" si="175"/>
        <v>null</v>
      </c>
      <c r="AB448" s="26" t="s">
        <v>0</v>
      </c>
      <c r="AC448" s="25" t="str">
        <f t="shared" si="176"/>
        <v>null</v>
      </c>
      <c r="AD448" s="26" t="s">
        <v>0</v>
      </c>
      <c r="AE448" s="25" t="str">
        <f t="shared" si="173"/>
        <v>null</v>
      </c>
      <c r="AF448" s="26" t="s">
        <v>0</v>
      </c>
      <c r="AG448" s="47" t="s">
        <v>4672</v>
      </c>
    </row>
    <row r="449" spans="1:33" ht="6.9" customHeight="1" x14ac:dyDescent="0.4">
      <c r="A449" s="4">
        <f>ROW()</f>
        <v>449</v>
      </c>
      <c r="B449" s="9" t="s">
        <v>27</v>
      </c>
      <c r="C449" s="55" t="str">
        <f t="shared" si="177"/>
        <v>p.conservar</v>
      </c>
      <c r="D449" s="6" t="str">
        <f t="shared" si="165"/>
        <v>é.extinto.na.natureza</v>
      </c>
      <c r="E449" s="8" t="s">
        <v>28</v>
      </c>
      <c r="F449" s="42" t="str">
        <f t="shared" si="178"/>
        <v>d.conservar</v>
      </c>
      <c r="G449" s="45" t="s">
        <v>2178</v>
      </c>
      <c r="H449" s="42" t="s">
        <v>2121</v>
      </c>
      <c r="I449" s="16" t="str">
        <f t="shared" si="174"/>
        <v>null</v>
      </c>
      <c r="J449" s="15" t="s">
        <v>0</v>
      </c>
      <c r="K449" s="15" t="s">
        <v>0</v>
      </c>
      <c r="L449" s="15" t="s">
        <v>0</v>
      </c>
      <c r="M449" s="15" t="s">
        <v>0</v>
      </c>
      <c r="N449" s="15" t="s">
        <v>0</v>
      </c>
      <c r="O449" s="15" t="s">
        <v>0</v>
      </c>
      <c r="P449" s="15" t="s">
        <v>0</v>
      </c>
      <c r="Q449" s="15" t="s">
        <v>0</v>
      </c>
      <c r="R449" s="15" t="s">
        <v>0</v>
      </c>
      <c r="S449" s="10" t="s">
        <v>1</v>
      </c>
      <c r="T449" s="10" t="s">
        <v>32</v>
      </c>
      <c r="U449" s="5" t="str">
        <f t="shared" si="151"/>
        <v>Propriedade destinada a conservar: é.extinto.na.natureza</v>
      </c>
      <c r="V449" s="5" t="str">
        <f t="shared" si="152"/>
        <v>Dado para conservar:  extinto.na.natureza  Deve ser formatado como (rdfs:Literal  or  xsd:string)</v>
      </c>
      <c r="W449" s="5" t="s">
        <v>5349</v>
      </c>
      <c r="X449" s="24" t="str">
        <f t="shared" si="153"/>
        <v>conse.107</v>
      </c>
      <c r="Y449" s="24" t="str">
        <f t="shared" si="154"/>
        <v>Ação de conservar</v>
      </c>
      <c r="Z449" s="47" t="s">
        <v>2187</v>
      </c>
      <c r="AA449" s="25" t="str">
        <f t="shared" si="175"/>
        <v>null</v>
      </c>
      <c r="AB449" s="26" t="s">
        <v>0</v>
      </c>
      <c r="AC449" s="25" t="str">
        <f t="shared" si="176"/>
        <v>null</v>
      </c>
      <c r="AD449" s="26" t="s">
        <v>0</v>
      </c>
      <c r="AE449" s="25" t="str">
        <f t="shared" si="173"/>
        <v>null</v>
      </c>
      <c r="AF449" s="26" t="s">
        <v>0</v>
      </c>
      <c r="AG449" s="47" t="s">
        <v>4673</v>
      </c>
    </row>
    <row r="450" spans="1:33" ht="6.9" customHeight="1" x14ac:dyDescent="0.4">
      <c r="A450" s="4">
        <f>ROW()</f>
        <v>450</v>
      </c>
      <c r="B450" s="9" t="s">
        <v>27</v>
      </c>
      <c r="C450" s="55" t="str">
        <f t="shared" si="177"/>
        <v>p.conservar</v>
      </c>
      <c r="D450" s="6" t="str">
        <f t="shared" si="165"/>
        <v>é.não.avaliado</v>
      </c>
      <c r="E450" s="8" t="s">
        <v>28</v>
      </c>
      <c r="F450" s="42" t="str">
        <f t="shared" si="178"/>
        <v>d.conservar</v>
      </c>
      <c r="G450" s="46" t="s">
        <v>2185</v>
      </c>
      <c r="H450" s="42" t="s">
        <v>2121</v>
      </c>
      <c r="I450" s="16" t="str">
        <f t="shared" si="174"/>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79">_xlfn.CONCAT("Propriedade destinada a ",MID(C450,FIND("p.",C450,1)+2,100),": ",D450)</f>
        <v>Propriedade destinada a conservar: é.não.avaliado</v>
      </c>
      <c r="V450" s="5" t="str">
        <f t="shared" ref="V450:V513" si="180">_xlfn.CONCAT("Dado para ",MID(F450,FIND("d.",F450,1)+2,100),":  ",G450, "  Deve ser formatado como (",H450, ")")</f>
        <v>Dado para conservar:  não.avaliado  Deve ser formatado como (rdfs:Literal  or  xsd:string)</v>
      </c>
      <c r="W450" s="5" t="s">
        <v>5357</v>
      </c>
      <c r="X450" s="24" t="str">
        <f t="shared" si="153"/>
        <v>conse.108</v>
      </c>
      <c r="Y450" s="24" t="str">
        <f t="shared" si="154"/>
        <v>Ação de conservar</v>
      </c>
      <c r="Z450" s="47" t="s">
        <v>2195</v>
      </c>
      <c r="AA450" s="25" t="str">
        <f t="shared" si="175"/>
        <v>null</v>
      </c>
      <c r="AB450" s="26" t="s">
        <v>0</v>
      </c>
      <c r="AC450" s="25" t="str">
        <f t="shared" si="176"/>
        <v>null</v>
      </c>
      <c r="AD450" s="26" t="s">
        <v>0</v>
      </c>
      <c r="AE450" s="25" t="str">
        <f t="shared" si="173"/>
        <v>null</v>
      </c>
      <c r="AF450" s="26" t="s">
        <v>0</v>
      </c>
      <c r="AG450" s="47" t="s">
        <v>4681</v>
      </c>
    </row>
    <row r="451" spans="1:33" ht="6.9" customHeight="1" x14ac:dyDescent="0.4">
      <c r="A451" s="4">
        <f>ROW()</f>
        <v>451</v>
      </c>
      <c r="B451" s="9" t="s">
        <v>27</v>
      </c>
      <c r="C451" s="55" t="str">
        <f t="shared" si="177"/>
        <v>p.conservar</v>
      </c>
      <c r="D451" s="6" t="str">
        <f t="shared" si="165"/>
        <v>é.pegada.de.carbono</v>
      </c>
      <c r="E451" s="8" t="s">
        <v>28</v>
      </c>
      <c r="F451" s="42" t="str">
        <f t="shared" si="178"/>
        <v>d.conservar</v>
      </c>
      <c r="G451" s="46" t="s">
        <v>6674</v>
      </c>
      <c r="H451" s="42" t="s">
        <v>36</v>
      </c>
      <c r="I451" s="16" t="str">
        <f t="shared" si="174"/>
        <v>null</v>
      </c>
      <c r="J451" s="15" t="s">
        <v>0</v>
      </c>
      <c r="K451" s="15" t="s">
        <v>0</v>
      </c>
      <c r="L451" s="15" t="s">
        <v>0</v>
      </c>
      <c r="M451" s="15" t="s">
        <v>0</v>
      </c>
      <c r="N451" s="15" t="s">
        <v>0</v>
      </c>
      <c r="O451" s="15" t="s">
        <v>0</v>
      </c>
      <c r="P451" s="15" t="s">
        <v>0</v>
      </c>
      <c r="Q451" s="15" t="s">
        <v>0</v>
      </c>
      <c r="R451" s="15" t="s">
        <v>0</v>
      </c>
      <c r="S451" s="10" t="s">
        <v>1</v>
      </c>
      <c r="T451" s="10" t="s">
        <v>32</v>
      </c>
      <c r="U451" s="5" t="str">
        <f t="shared" si="179"/>
        <v>Propriedade destinada a conservar: é.pegada.de.carbono</v>
      </c>
      <c r="V451" s="5" t="str">
        <f t="shared" si="180"/>
        <v>Dado para conservar:  pegada.de.carbono  Deve ser formatado como (xsd:double)</v>
      </c>
      <c r="W451" s="5" t="s">
        <v>6675</v>
      </c>
      <c r="X451" s="24" t="str">
        <f t="shared" ref="X451:X514" si="181">IF(F450&lt;&gt;F451,_xlfn.CONCAT(RIGHT(LEFT(F451,7),5),".100"),_xlfn.CONCAT(RIGHT(LEFT(F451,7),5),".",SUM(VALUE(RIGHT(X450,3)),1)))</f>
        <v>conse.109</v>
      </c>
      <c r="Y451" s="24" t="str">
        <f t="shared" ref="Y451:Y514" si="182">_xlfn.CONCAT("Ação de ", SUBSTITUTE(F451, "d.",  ""))</f>
        <v>Ação de conservar</v>
      </c>
      <c r="Z451" s="47" t="s">
        <v>6676</v>
      </c>
      <c r="AA451" s="25" t="str">
        <f t="shared" si="175"/>
        <v>null</v>
      </c>
      <c r="AB451" s="26" t="s">
        <v>0</v>
      </c>
      <c r="AC451" s="25" t="str">
        <f t="shared" si="176"/>
        <v>null</v>
      </c>
      <c r="AD451" s="26" t="s">
        <v>0</v>
      </c>
      <c r="AE451" s="25" t="str">
        <f t="shared" si="173"/>
        <v>null</v>
      </c>
      <c r="AF451" s="26" t="s">
        <v>0</v>
      </c>
      <c r="AG451" s="47" t="s">
        <v>6677</v>
      </c>
    </row>
    <row r="452" spans="1:33" ht="6.9" customHeight="1" x14ac:dyDescent="0.4">
      <c r="A452" s="4">
        <f>ROW()</f>
        <v>452</v>
      </c>
      <c r="B452" s="9" t="s">
        <v>27</v>
      </c>
      <c r="C452" s="55" t="str">
        <f t="shared" si="177"/>
        <v>p.conservar</v>
      </c>
      <c r="D452" s="6" t="str">
        <f t="shared" si="165"/>
        <v>é.pouco.preocupante</v>
      </c>
      <c r="E452" s="8" t="s">
        <v>28</v>
      </c>
      <c r="F452" s="42" t="str">
        <f t="shared" si="178"/>
        <v>d.conservar</v>
      </c>
      <c r="G452" s="46" t="s">
        <v>2183</v>
      </c>
      <c r="H452" s="42" t="s">
        <v>2121</v>
      </c>
      <c r="I452" s="16" t="str">
        <f t="shared" si="174"/>
        <v>null</v>
      </c>
      <c r="J452" s="15" t="s">
        <v>0</v>
      </c>
      <c r="K452" s="15" t="s">
        <v>0</v>
      </c>
      <c r="L452" s="15" t="s">
        <v>0</v>
      </c>
      <c r="M452" s="15" t="s">
        <v>0</v>
      </c>
      <c r="N452" s="15" t="s">
        <v>0</v>
      </c>
      <c r="O452" s="15" t="s">
        <v>0</v>
      </c>
      <c r="P452" s="15" t="s">
        <v>0</v>
      </c>
      <c r="Q452" s="15" t="s">
        <v>0</v>
      </c>
      <c r="R452" s="15" t="s">
        <v>0</v>
      </c>
      <c r="S452" s="10" t="s">
        <v>1</v>
      </c>
      <c r="T452" s="10" t="s">
        <v>32</v>
      </c>
      <c r="U452" s="5" t="str">
        <f t="shared" si="179"/>
        <v>Propriedade destinada a conservar: é.pouco.preocupante</v>
      </c>
      <c r="V452" s="5" t="str">
        <f t="shared" si="180"/>
        <v>Dado para conservar:  pouco.preocupante  Deve ser formatado como (rdfs:Literal  or  xsd:string)</v>
      </c>
      <c r="W452" s="5" t="s">
        <v>5355</v>
      </c>
      <c r="X452" s="24" t="str">
        <f t="shared" si="181"/>
        <v>conse.110</v>
      </c>
      <c r="Y452" s="24" t="str">
        <f t="shared" si="182"/>
        <v>Ação de conservar</v>
      </c>
      <c r="Z452" s="47" t="s">
        <v>8623</v>
      </c>
      <c r="AA452" s="25" t="str">
        <f t="shared" si="175"/>
        <v>null</v>
      </c>
      <c r="AB452" s="26" t="s">
        <v>0</v>
      </c>
      <c r="AC452" s="25" t="str">
        <f t="shared" si="176"/>
        <v>null</v>
      </c>
      <c r="AD452" s="26" t="s">
        <v>0</v>
      </c>
      <c r="AE452" s="25" t="str">
        <f t="shared" si="173"/>
        <v>null</v>
      </c>
      <c r="AF452" s="26" t="s">
        <v>0</v>
      </c>
      <c r="AG452" s="47" t="s">
        <v>4679</v>
      </c>
    </row>
    <row r="453" spans="1:33" ht="6.9" customHeight="1" x14ac:dyDescent="0.4">
      <c r="A453" s="4">
        <f>ROW()</f>
        <v>453</v>
      </c>
      <c r="B453" s="9" t="s">
        <v>27</v>
      </c>
      <c r="C453" s="55" t="str">
        <f t="shared" si="177"/>
        <v>p.conservar</v>
      </c>
      <c r="D453" s="6" t="str">
        <f t="shared" si="165"/>
        <v>é.quase.ameaçado</v>
      </c>
      <c r="E453" s="8" t="s">
        <v>28</v>
      </c>
      <c r="F453" s="42" t="str">
        <f t="shared" si="178"/>
        <v>d.conservar</v>
      </c>
      <c r="G453" s="46" t="s">
        <v>2181</v>
      </c>
      <c r="H453" s="42" t="s">
        <v>2121</v>
      </c>
      <c r="I453" s="16" t="str">
        <f t="shared" si="174"/>
        <v>null</v>
      </c>
      <c r="J453" s="15" t="s">
        <v>0</v>
      </c>
      <c r="K453" s="15" t="s">
        <v>0</v>
      </c>
      <c r="L453" s="15" t="s">
        <v>0</v>
      </c>
      <c r="M453" s="15" t="s">
        <v>0</v>
      </c>
      <c r="N453" s="15" t="s">
        <v>0</v>
      </c>
      <c r="O453" s="15" t="s">
        <v>0</v>
      </c>
      <c r="P453" s="15" t="s">
        <v>0</v>
      </c>
      <c r="Q453" s="15" t="s">
        <v>0</v>
      </c>
      <c r="R453" s="15" t="s">
        <v>0</v>
      </c>
      <c r="S453" s="10" t="s">
        <v>1</v>
      </c>
      <c r="T453" s="10" t="s">
        <v>32</v>
      </c>
      <c r="U453" s="5" t="str">
        <f t="shared" si="179"/>
        <v>Propriedade destinada a conservar: é.quase.ameaçado</v>
      </c>
      <c r="V453" s="5" t="str">
        <f t="shared" si="180"/>
        <v>Dado para conservar:  quase.ameaçado  Deve ser formatado como (rdfs:Literal  or  xsd:string)</v>
      </c>
      <c r="W453" s="5" t="s">
        <v>5353</v>
      </c>
      <c r="X453" s="24" t="str">
        <f t="shared" si="181"/>
        <v>conse.111</v>
      </c>
      <c r="Y453" s="24" t="str">
        <f t="shared" si="182"/>
        <v>Ação de conservar</v>
      </c>
      <c r="Z453" s="47" t="s">
        <v>8622</v>
      </c>
      <c r="AA453" s="25" t="str">
        <f t="shared" si="175"/>
        <v>null</v>
      </c>
      <c r="AB453" s="26" t="s">
        <v>0</v>
      </c>
      <c r="AC453" s="25" t="str">
        <f t="shared" si="176"/>
        <v>null</v>
      </c>
      <c r="AD453" s="26" t="s">
        <v>0</v>
      </c>
      <c r="AE453" s="25" t="str">
        <f t="shared" si="173"/>
        <v>null</v>
      </c>
      <c r="AF453" s="26" t="s">
        <v>0</v>
      </c>
      <c r="AG453" s="47" t="s">
        <v>4677</v>
      </c>
    </row>
    <row r="454" spans="1:33" ht="6.9" customHeight="1" x14ac:dyDescent="0.4">
      <c r="A454" s="4">
        <f>ROW()</f>
        <v>454</v>
      </c>
      <c r="B454" s="9" t="s">
        <v>27</v>
      </c>
      <c r="C454" s="55" t="str">
        <f t="shared" si="177"/>
        <v>p.conservar</v>
      </c>
      <c r="D454" s="6" t="str">
        <f t="shared" si="165"/>
        <v>é.sanidade.do.indivíduo</v>
      </c>
      <c r="E454" s="8" t="s">
        <v>28</v>
      </c>
      <c r="F454" s="42" t="str">
        <f t="shared" si="178"/>
        <v>d.conservar</v>
      </c>
      <c r="G454" s="46" t="s">
        <v>2196</v>
      </c>
      <c r="H454" s="42" t="s">
        <v>33</v>
      </c>
      <c r="I454" s="16" t="str">
        <f t="shared" si="174"/>
        <v>null</v>
      </c>
      <c r="J454" s="15" t="s">
        <v>0</v>
      </c>
      <c r="K454" s="15" t="s">
        <v>0</v>
      </c>
      <c r="L454" s="15" t="s">
        <v>0</v>
      </c>
      <c r="M454" s="15" t="s">
        <v>0</v>
      </c>
      <c r="N454" s="15" t="s">
        <v>0</v>
      </c>
      <c r="O454" s="15" t="s">
        <v>0</v>
      </c>
      <c r="P454" s="15" t="s">
        <v>0</v>
      </c>
      <c r="Q454" s="15" t="s">
        <v>0</v>
      </c>
      <c r="R454" s="15" t="s">
        <v>0</v>
      </c>
      <c r="S454" s="10" t="s">
        <v>1</v>
      </c>
      <c r="T454" s="10" t="s">
        <v>32</v>
      </c>
      <c r="U454" s="5" t="str">
        <f t="shared" si="179"/>
        <v>Propriedade destinada a conservar: é.sanidade.do.indivíduo</v>
      </c>
      <c r="V454" s="5" t="str">
        <f t="shared" si="180"/>
        <v>Dado para conservar:  sanidade.do.indivíduo  Deve ser formatado como (xsd:integer)</v>
      </c>
      <c r="W454" s="5" t="s">
        <v>5360</v>
      </c>
      <c r="X454" s="24" t="str">
        <f t="shared" si="181"/>
        <v>conse.112</v>
      </c>
      <c r="Y454" s="24" t="str">
        <f t="shared" si="182"/>
        <v>Ação de conservar</v>
      </c>
      <c r="Z454" s="47" t="s">
        <v>2197</v>
      </c>
      <c r="AA454" s="25" t="str">
        <f t="shared" si="175"/>
        <v>null</v>
      </c>
      <c r="AB454" s="26" t="s">
        <v>0</v>
      </c>
      <c r="AC454" s="25" t="str">
        <f t="shared" si="176"/>
        <v>null</v>
      </c>
      <c r="AD454" s="26" t="s">
        <v>0</v>
      </c>
      <c r="AE454" s="25" t="str">
        <f t="shared" si="173"/>
        <v>null</v>
      </c>
      <c r="AF454" s="26" t="s">
        <v>0</v>
      </c>
      <c r="AG454" s="47" t="s">
        <v>2735</v>
      </c>
    </row>
    <row r="455" spans="1:33" ht="6.9" customHeight="1" x14ac:dyDescent="0.4">
      <c r="A455" s="4">
        <f>ROW()</f>
        <v>455</v>
      </c>
      <c r="B455" s="9" t="s">
        <v>27</v>
      </c>
      <c r="C455" s="55" t="str">
        <f t="shared" si="177"/>
        <v>p.conservar</v>
      </c>
      <c r="D455" s="6" t="str">
        <f t="shared" si="165"/>
        <v>é.título.de.crédito.de.carbono</v>
      </c>
      <c r="E455" s="8" t="s">
        <v>28</v>
      </c>
      <c r="F455" s="42" t="str">
        <f t="shared" si="178"/>
        <v>d.conservar</v>
      </c>
      <c r="G455" s="46" t="s">
        <v>2201</v>
      </c>
      <c r="H455" s="42" t="s">
        <v>2121</v>
      </c>
      <c r="I455" s="16" t="str">
        <f t="shared" si="174"/>
        <v>null</v>
      </c>
      <c r="J455" s="15" t="s">
        <v>0</v>
      </c>
      <c r="K455" s="15" t="s">
        <v>0</v>
      </c>
      <c r="L455" s="15" t="s">
        <v>0</v>
      </c>
      <c r="M455" s="15" t="s">
        <v>0</v>
      </c>
      <c r="N455" s="15" t="s">
        <v>0</v>
      </c>
      <c r="O455" s="15" t="s">
        <v>0</v>
      </c>
      <c r="P455" s="15" t="s">
        <v>0</v>
      </c>
      <c r="Q455" s="15" t="s">
        <v>0</v>
      </c>
      <c r="R455" s="15" t="s">
        <v>0</v>
      </c>
      <c r="S455" s="10" t="s">
        <v>1</v>
      </c>
      <c r="T455" s="10" t="s">
        <v>32</v>
      </c>
      <c r="U455" s="5" t="str">
        <f t="shared" si="179"/>
        <v>Propriedade destinada a conservar: é.título.de.crédito.de.carbono</v>
      </c>
      <c r="V455" s="5" t="str">
        <f t="shared" si="180"/>
        <v>Dado para conservar:  título.de.crédito.de.carbono  Deve ser formatado como (rdfs:Literal  or  xsd:string)</v>
      </c>
      <c r="W455" s="5" t="s">
        <v>5359</v>
      </c>
      <c r="X455" s="24" t="str">
        <f t="shared" si="181"/>
        <v>conse.113</v>
      </c>
      <c r="Y455" s="24" t="str">
        <f t="shared" si="182"/>
        <v>Ação de conservar</v>
      </c>
      <c r="Z455" s="47" t="s">
        <v>2200</v>
      </c>
      <c r="AA455" s="25" t="str">
        <f t="shared" si="175"/>
        <v>null</v>
      </c>
      <c r="AB455" s="26" t="s">
        <v>0</v>
      </c>
      <c r="AC455" s="25" t="str">
        <f t="shared" si="176"/>
        <v>null</v>
      </c>
      <c r="AD455" s="26" t="s">
        <v>0</v>
      </c>
      <c r="AE455" s="25" t="str">
        <f t="shared" si="173"/>
        <v>null</v>
      </c>
      <c r="AF455" s="26" t="s">
        <v>0</v>
      </c>
      <c r="AG455" s="47" t="s">
        <v>2734</v>
      </c>
    </row>
    <row r="456" spans="1:33" ht="6.9" customHeight="1" x14ac:dyDescent="0.4">
      <c r="A456" s="4">
        <f>ROW()</f>
        <v>456</v>
      </c>
      <c r="B456" s="9" t="s">
        <v>27</v>
      </c>
      <c r="C456" s="55" t="str">
        <f t="shared" si="177"/>
        <v>p.conservar</v>
      </c>
      <c r="D456" s="6" t="str">
        <f t="shared" si="165"/>
        <v>é.unidade.de.proteção.integral</v>
      </c>
      <c r="E456" s="8" t="s">
        <v>28</v>
      </c>
      <c r="F456" s="42" t="str">
        <f t="shared" si="178"/>
        <v>d.conservar</v>
      </c>
      <c r="G456" s="17" t="s">
        <v>532</v>
      </c>
      <c r="H456" s="42" t="s">
        <v>2121</v>
      </c>
      <c r="I456" s="16" t="str">
        <f t="shared" si="174"/>
        <v>null</v>
      </c>
      <c r="J456" s="15" t="s">
        <v>0</v>
      </c>
      <c r="K456" s="15" t="s">
        <v>0</v>
      </c>
      <c r="L456" s="15" t="s">
        <v>0</v>
      </c>
      <c r="M456" s="15" t="s">
        <v>0</v>
      </c>
      <c r="N456" s="15" t="s">
        <v>0</v>
      </c>
      <c r="O456" s="15" t="s">
        <v>0</v>
      </c>
      <c r="P456" s="15" t="s">
        <v>0</v>
      </c>
      <c r="Q456" s="15" t="s">
        <v>0</v>
      </c>
      <c r="R456" s="15" t="s">
        <v>0</v>
      </c>
      <c r="S456" s="10" t="s">
        <v>1</v>
      </c>
      <c r="T456" s="10" t="s">
        <v>32</v>
      </c>
      <c r="U456" s="5" t="str">
        <f t="shared" si="179"/>
        <v>Propriedade destinada a conservar: é.unidade.de.proteção.integral</v>
      </c>
      <c r="V456" s="5" t="str">
        <f t="shared" si="180"/>
        <v>Dado para conservar:  unidade.de.proteção.integral  Deve ser formatado como (rdfs:Literal  or  xsd:string)</v>
      </c>
      <c r="W456" s="5" t="s">
        <v>7369</v>
      </c>
      <c r="X456" s="24" t="str">
        <f t="shared" si="181"/>
        <v>conse.114</v>
      </c>
      <c r="Y456" s="24" t="str">
        <f t="shared" si="182"/>
        <v>Ação de conservar</v>
      </c>
      <c r="Z456" s="47" t="s">
        <v>7188</v>
      </c>
      <c r="AA456" s="25" t="str">
        <f t="shared" si="175"/>
        <v>null</v>
      </c>
      <c r="AB456" s="26" t="s">
        <v>0</v>
      </c>
      <c r="AC456" s="25" t="str">
        <f t="shared" si="176"/>
        <v>null</v>
      </c>
      <c r="AD456" s="26" t="s">
        <v>0</v>
      </c>
      <c r="AE456" s="25" t="str">
        <f t="shared" si="173"/>
        <v>propriedade</v>
      </c>
      <c r="AF456" s="26" t="s">
        <v>7371</v>
      </c>
      <c r="AG456" s="47" t="s">
        <v>6875</v>
      </c>
    </row>
    <row r="457" spans="1:33" ht="6.9" customHeight="1" x14ac:dyDescent="0.4">
      <c r="A457" s="4">
        <f>ROW()</f>
        <v>457</v>
      </c>
      <c r="B457" s="9" t="s">
        <v>27</v>
      </c>
      <c r="C457" s="55" t="str">
        <f t="shared" si="177"/>
        <v>p.conservar</v>
      </c>
      <c r="D457" s="6" t="str">
        <f t="shared" si="165"/>
        <v>é.unidade.de.uso.sustentável</v>
      </c>
      <c r="E457" s="8" t="s">
        <v>28</v>
      </c>
      <c r="F457" s="42" t="str">
        <f t="shared" si="178"/>
        <v>d.conservar</v>
      </c>
      <c r="G457" s="17" t="s">
        <v>533</v>
      </c>
      <c r="H457" s="42" t="s">
        <v>2121</v>
      </c>
      <c r="I457" s="16" t="str">
        <f t="shared" si="174"/>
        <v>null</v>
      </c>
      <c r="J457" s="15" t="s">
        <v>0</v>
      </c>
      <c r="K457" s="15" t="s">
        <v>0</v>
      </c>
      <c r="L457" s="15" t="s">
        <v>0</v>
      </c>
      <c r="M457" s="15" t="s">
        <v>0</v>
      </c>
      <c r="N457" s="15" t="s">
        <v>0</v>
      </c>
      <c r="O457" s="15" t="s">
        <v>0</v>
      </c>
      <c r="P457" s="15" t="s">
        <v>0</v>
      </c>
      <c r="Q457" s="15" t="s">
        <v>0</v>
      </c>
      <c r="R457" s="15" t="s">
        <v>0</v>
      </c>
      <c r="S457" s="10" t="s">
        <v>1</v>
      </c>
      <c r="T457" s="10" t="s">
        <v>32</v>
      </c>
      <c r="U457" s="5" t="str">
        <f t="shared" si="179"/>
        <v>Propriedade destinada a conservar: é.unidade.de.uso.sustentável</v>
      </c>
      <c r="V457" s="5" t="str">
        <f t="shared" si="180"/>
        <v>Dado para conservar:  unidade.de.uso.sustentável  Deve ser formatado como (rdfs:Literal  or  xsd:string)</v>
      </c>
      <c r="W457" s="5" t="s">
        <v>7370</v>
      </c>
      <c r="X457" s="24" t="str">
        <f t="shared" si="181"/>
        <v>conse.115</v>
      </c>
      <c r="Y457" s="24" t="str">
        <f t="shared" si="182"/>
        <v>Ação de conservar</v>
      </c>
      <c r="Z457" s="47" t="s">
        <v>7190</v>
      </c>
      <c r="AA457" s="25" t="str">
        <f t="shared" si="175"/>
        <v>null</v>
      </c>
      <c r="AB457" s="26" t="s">
        <v>0</v>
      </c>
      <c r="AC457" s="25" t="str">
        <f t="shared" si="176"/>
        <v>null</v>
      </c>
      <c r="AD457" s="26" t="s">
        <v>0</v>
      </c>
      <c r="AE457" s="25" t="str">
        <f t="shared" si="173"/>
        <v>propriedade</v>
      </c>
      <c r="AF457" s="26" t="s">
        <v>7372</v>
      </c>
      <c r="AG457" s="47" t="s">
        <v>6876</v>
      </c>
    </row>
    <row r="458" spans="1:33" ht="6.9" customHeight="1" x14ac:dyDescent="0.4">
      <c r="A458" s="4">
        <f>ROW()</f>
        <v>458</v>
      </c>
      <c r="B458" s="9" t="s">
        <v>27</v>
      </c>
      <c r="C458" s="55" t="str">
        <f t="shared" si="177"/>
        <v>p.conservar</v>
      </c>
      <c r="D458" s="6" t="str">
        <f t="shared" si="165"/>
        <v>é.vulnerável</v>
      </c>
      <c r="E458" s="8" t="s">
        <v>28</v>
      </c>
      <c r="F458" s="42" t="str">
        <f t="shared" si="178"/>
        <v>d.conservar</v>
      </c>
      <c r="G458" s="46" t="s">
        <v>2180</v>
      </c>
      <c r="H458" s="42" t="s">
        <v>2121</v>
      </c>
      <c r="I458" s="16" t="str">
        <f t="shared" si="174"/>
        <v>null</v>
      </c>
      <c r="J458" s="15" t="s">
        <v>0</v>
      </c>
      <c r="K458" s="15" t="s">
        <v>0</v>
      </c>
      <c r="L458" s="15" t="s">
        <v>0</v>
      </c>
      <c r="M458" s="15" t="s">
        <v>0</v>
      </c>
      <c r="N458" s="15" t="s">
        <v>0</v>
      </c>
      <c r="O458" s="15" t="s">
        <v>0</v>
      </c>
      <c r="P458" s="15" t="s">
        <v>0</v>
      </c>
      <c r="Q458" s="15" t="s">
        <v>0</v>
      </c>
      <c r="R458" s="15" t="s">
        <v>0</v>
      </c>
      <c r="S458" s="10" t="s">
        <v>1</v>
      </c>
      <c r="T458" s="10" t="s">
        <v>32</v>
      </c>
      <c r="U458" s="5" t="str">
        <f t="shared" si="179"/>
        <v>Propriedade destinada a conservar: é.vulnerável</v>
      </c>
      <c r="V458" s="5" t="str">
        <f t="shared" si="180"/>
        <v>Dado para conservar:  vulnerável  Deve ser formatado como (rdfs:Literal  or  xsd:string)</v>
      </c>
      <c r="W458" s="5" t="s">
        <v>5352</v>
      </c>
      <c r="X458" s="24" t="str">
        <f t="shared" si="181"/>
        <v>conse.116</v>
      </c>
      <c r="Y458" s="24" t="str">
        <f t="shared" si="182"/>
        <v>Ação de conservar</v>
      </c>
      <c r="Z458" s="47" t="s">
        <v>2189</v>
      </c>
      <c r="AA458" s="25" t="str">
        <f t="shared" si="175"/>
        <v>null</v>
      </c>
      <c r="AB458" s="26" t="s">
        <v>0</v>
      </c>
      <c r="AC458" s="25" t="str">
        <f t="shared" si="176"/>
        <v>null</v>
      </c>
      <c r="AD458" s="26" t="s">
        <v>0</v>
      </c>
      <c r="AE458" s="25" t="str">
        <f t="shared" si="173"/>
        <v>null</v>
      </c>
      <c r="AF458" s="26" t="s">
        <v>0</v>
      </c>
      <c r="AG458" s="47" t="s">
        <v>4676</v>
      </c>
    </row>
    <row r="459" spans="1:33" ht="6.9" customHeight="1" x14ac:dyDescent="0.4">
      <c r="A459" s="4">
        <f>ROW()</f>
        <v>459</v>
      </c>
      <c r="B459" s="9" t="s">
        <v>27</v>
      </c>
      <c r="C459" s="54" t="str">
        <f t="shared" ref="C459:C518" si="183">SUBSTITUTE(F459,"d.","p.")</f>
        <v>p.consumir</v>
      </c>
      <c r="D459" s="6" t="str">
        <f t="shared" si="165"/>
        <v>é.ph</v>
      </c>
      <c r="E459" s="8" t="s">
        <v>28</v>
      </c>
      <c r="F459" s="50" t="s">
        <v>617</v>
      </c>
      <c r="G459" s="17" t="s">
        <v>464</v>
      </c>
      <c r="H459" s="42" t="s">
        <v>36</v>
      </c>
      <c r="I459" s="16" t="str">
        <f t="shared" ref="I459:I518" si="184">J459</f>
        <v>null</v>
      </c>
      <c r="J459" s="15" t="s">
        <v>0</v>
      </c>
      <c r="K459" s="15" t="s">
        <v>0</v>
      </c>
      <c r="L459" s="15" t="s">
        <v>0</v>
      </c>
      <c r="M459" s="15" t="s">
        <v>0</v>
      </c>
      <c r="N459" s="15" t="s">
        <v>0</v>
      </c>
      <c r="O459" s="15" t="s">
        <v>0</v>
      </c>
      <c r="P459" s="15" t="s">
        <v>0</v>
      </c>
      <c r="Q459" s="15" t="s">
        <v>0</v>
      </c>
      <c r="R459" s="15" t="s">
        <v>0</v>
      </c>
      <c r="S459" s="10" t="s">
        <v>1</v>
      </c>
      <c r="T459" s="10" t="s">
        <v>32</v>
      </c>
      <c r="U459" s="5" t="str">
        <f t="shared" si="179"/>
        <v>Propriedade destinada a consumir: é.ph</v>
      </c>
      <c r="V459" s="5" t="str">
        <f t="shared" si="180"/>
        <v>Dado para consumir:  ph  Deve ser formatado como (xsd:double)</v>
      </c>
      <c r="W459" s="5" t="s">
        <v>5362</v>
      </c>
      <c r="X459" s="24" t="str">
        <f t="shared" si="181"/>
        <v>consu.100</v>
      </c>
      <c r="Y459" s="24" t="str">
        <f t="shared" si="182"/>
        <v>Ação de consumir</v>
      </c>
      <c r="Z459" s="47" t="s">
        <v>1390</v>
      </c>
      <c r="AA459" s="25" t="str">
        <f t="shared" ref="AA459:AA518" si="185">IF(AB459="null", "null", "categoria.revit")</f>
        <v>null</v>
      </c>
      <c r="AB459" s="26" t="s">
        <v>0</v>
      </c>
      <c r="AC459" s="25" t="str">
        <f t="shared" ref="AC459:AC518" si="186">IF(AD459="null", "null", "classe.ifc")</f>
        <v>null</v>
      </c>
      <c r="AD459" s="26" t="s">
        <v>0</v>
      </c>
      <c r="AE459" s="25" t="str">
        <f t="shared" si="173"/>
        <v>null</v>
      </c>
      <c r="AF459" s="26" t="s">
        <v>0</v>
      </c>
      <c r="AG459" s="47" t="s">
        <v>2736</v>
      </c>
    </row>
    <row r="460" spans="1:33" ht="6.9" customHeight="1" x14ac:dyDescent="0.4">
      <c r="A460" s="4">
        <f>ROW()</f>
        <v>460</v>
      </c>
      <c r="B460" s="9" t="s">
        <v>27</v>
      </c>
      <c r="C460" s="55" t="str">
        <f t="shared" si="183"/>
        <v>p.consumir</v>
      </c>
      <c r="D460" s="6" t="str">
        <f t="shared" si="165"/>
        <v>é.alcalinidade</v>
      </c>
      <c r="E460" s="8" t="s">
        <v>28</v>
      </c>
      <c r="F460" s="42" t="str">
        <f t="shared" ref="F460:F463" si="187">F459</f>
        <v>d.consumir</v>
      </c>
      <c r="G460" s="17" t="s">
        <v>465</v>
      </c>
      <c r="H460" s="42" t="s">
        <v>36</v>
      </c>
      <c r="I460" s="16" t="str">
        <f t="shared" si="184"/>
        <v>null</v>
      </c>
      <c r="J460" s="15" t="s">
        <v>0</v>
      </c>
      <c r="K460" s="15" t="s">
        <v>0</v>
      </c>
      <c r="L460" s="15" t="s">
        <v>0</v>
      </c>
      <c r="M460" s="15" t="s">
        <v>0</v>
      </c>
      <c r="N460" s="15" t="s">
        <v>0</v>
      </c>
      <c r="O460" s="15" t="s">
        <v>0</v>
      </c>
      <c r="P460" s="15" t="s">
        <v>0</v>
      </c>
      <c r="Q460" s="15" t="s">
        <v>0</v>
      </c>
      <c r="R460" s="15" t="s">
        <v>0</v>
      </c>
      <c r="S460" s="10" t="s">
        <v>1</v>
      </c>
      <c r="T460" s="10" t="s">
        <v>32</v>
      </c>
      <c r="U460" s="5" t="str">
        <f t="shared" si="179"/>
        <v>Propriedade destinada a consumir: é.alcalinidade</v>
      </c>
      <c r="V460" s="5" t="str">
        <f t="shared" si="180"/>
        <v>Dado para consumir:  alcalinidade  Deve ser formatado como (xsd:double)</v>
      </c>
      <c r="W460" s="5" t="s">
        <v>5363</v>
      </c>
      <c r="X460" s="24" t="str">
        <f t="shared" si="181"/>
        <v>consu.101</v>
      </c>
      <c r="Y460" s="24" t="str">
        <f t="shared" si="182"/>
        <v>Ação de consumir</v>
      </c>
      <c r="Z460" s="47" t="s">
        <v>1391</v>
      </c>
      <c r="AA460" s="25" t="str">
        <f t="shared" si="185"/>
        <v>null</v>
      </c>
      <c r="AB460" s="26" t="s">
        <v>0</v>
      </c>
      <c r="AC460" s="25" t="str">
        <f t="shared" si="186"/>
        <v>null</v>
      </c>
      <c r="AD460" s="26" t="s">
        <v>0</v>
      </c>
      <c r="AE460" s="25" t="str">
        <f t="shared" si="173"/>
        <v>null</v>
      </c>
      <c r="AF460" s="26" t="s">
        <v>0</v>
      </c>
      <c r="AG460" s="47" t="s">
        <v>2737</v>
      </c>
    </row>
    <row r="461" spans="1:33" ht="6.9" customHeight="1" x14ac:dyDescent="0.4">
      <c r="A461" s="4">
        <f>ROW()</f>
        <v>461</v>
      </c>
      <c r="B461" s="9" t="s">
        <v>27</v>
      </c>
      <c r="C461" s="55" t="str">
        <f t="shared" si="183"/>
        <v>p.consumir</v>
      </c>
      <c r="D461" s="6" t="str">
        <f t="shared" si="165"/>
        <v>é.potabilidade</v>
      </c>
      <c r="E461" s="8" t="s">
        <v>28</v>
      </c>
      <c r="F461" s="42" t="str">
        <f t="shared" si="187"/>
        <v>d.consumir</v>
      </c>
      <c r="G461" s="17" t="s">
        <v>466</v>
      </c>
      <c r="H461" s="42" t="s">
        <v>2121</v>
      </c>
      <c r="I461" s="16" t="str">
        <f t="shared" si="184"/>
        <v>null</v>
      </c>
      <c r="J461" s="15" t="s">
        <v>0</v>
      </c>
      <c r="K461" s="15" t="s">
        <v>0</v>
      </c>
      <c r="L461" s="15" t="s">
        <v>0</v>
      </c>
      <c r="M461" s="15" t="s">
        <v>0</v>
      </c>
      <c r="N461" s="15" t="s">
        <v>0</v>
      </c>
      <c r="O461" s="15" t="s">
        <v>0</v>
      </c>
      <c r="P461" s="15" t="s">
        <v>0</v>
      </c>
      <c r="Q461" s="15" t="s">
        <v>0</v>
      </c>
      <c r="R461" s="15" t="s">
        <v>0</v>
      </c>
      <c r="S461" s="10" t="s">
        <v>1</v>
      </c>
      <c r="T461" s="10" t="s">
        <v>32</v>
      </c>
      <c r="U461" s="5" t="str">
        <f t="shared" si="179"/>
        <v>Propriedade destinada a consumir: é.potabilidade</v>
      </c>
      <c r="V461" s="5" t="str">
        <f t="shared" si="180"/>
        <v>Dado para consumir:  potabilidade  Deve ser formatado como (rdfs:Literal  or  xsd:string)</v>
      </c>
      <c r="W461" s="5" t="s">
        <v>5364</v>
      </c>
      <c r="X461" s="24" t="str">
        <f t="shared" si="181"/>
        <v>consu.102</v>
      </c>
      <c r="Y461" s="24" t="str">
        <f t="shared" si="182"/>
        <v>Ação de consumir</v>
      </c>
      <c r="Z461" s="47" t="s">
        <v>1392</v>
      </c>
      <c r="AA461" s="25" t="str">
        <f t="shared" si="185"/>
        <v>null</v>
      </c>
      <c r="AB461" s="26" t="s">
        <v>0</v>
      </c>
      <c r="AC461" s="25" t="str">
        <f t="shared" si="186"/>
        <v>null</v>
      </c>
      <c r="AD461" s="26" t="s">
        <v>0</v>
      </c>
      <c r="AE461" s="25" t="str">
        <f t="shared" si="173"/>
        <v>null</v>
      </c>
      <c r="AF461" s="26" t="s">
        <v>0</v>
      </c>
      <c r="AG461" s="47" t="s">
        <v>4683</v>
      </c>
    </row>
    <row r="462" spans="1:33" ht="6.9" customHeight="1" x14ac:dyDescent="0.4">
      <c r="A462" s="4">
        <f>ROW()</f>
        <v>462</v>
      </c>
      <c r="B462" s="9" t="s">
        <v>27</v>
      </c>
      <c r="C462" s="55" t="str">
        <f t="shared" si="183"/>
        <v>p.consumir</v>
      </c>
      <c r="D462" s="6" t="str">
        <f t="shared" si="165"/>
        <v>é.contaminante</v>
      </c>
      <c r="E462" s="8" t="s">
        <v>28</v>
      </c>
      <c r="F462" s="42" t="str">
        <f t="shared" si="187"/>
        <v>d.consumir</v>
      </c>
      <c r="G462" s="17" t="s">
        <v>467</v>
      </c>
      <c r="H462" s="42" t="s">
        <v>2121</v>
      </c>
      <c r="I462" s="16" t="str">
        <f t="shared" si="184"/>
        <v>null</v>
      </c>
      <c r="J462" s="15" t="s">
        <v>0</v>
      </c>
      <c r="K462" s="15" t="s">
        <v>0</v>
      </c>
      <c r="L462" s="15" t="s">
        <v>0</v>
      </c>
      <c r="M462" s="15" t="s">
        <v>0</v>
      </c>
      <c r="N462" s="15" t="s">
        <v>0</v>
      </c>
      <c r="O462" s="15" t="s">
        <v>0</v>
      </c>
      <c r="P462" s="15" t="s">
        <v>0</v>
      </c>
      <c r="Q462" s="15" t="s">
        <v>0</v>
      </c>
      <c r="R462" s="15" t="s">
        <v>0</v>
      </c>
      <c r="S462" s="10" t="s">
        <v>1</v>
      </c>
      <c r="T462" s="10" t="s">
        <v>32</v>
      </c>
      <c r="U462" s="5" t="str">
        <f t="shared" si="179"/>
        <v>Propriedade destinada a consumir: é.contaminante</v>
      </c>
      <c r="V462" s="5" t="str">
        <f t="shared" si="180"/>
        <v>Dado para consumir:  contaminante  Deve ser formatado como (rdfs:Literal  or  xsd:string)</v>
      </c>
      <c r="W462" s="5" t="s">
        <v>5365</v>
      </c>
      <c r="X462" s="24" t="str">
        <f t="shared" si="181"/>
        <v>consu.103</v>
      </c>
      <c r="Y462" s="24" t="str">
        <f t="shared" si="182"/>
        <v>Ação de consumir</v>
      </c>
      <c r="Z462" s="47" t="s">
        <v>1393</v>
      </c>
      <c r="AA462" s="25" t="str">
        <f t="shared" si="185"/>
        <v>null</v>
      </c>
      <c r="AB462" s="26" t="s">
        <v>0</v>
      </c>
      <c r="AC462" s="25" t="str">
        <f t="shared" si="186"/>
        <v>null</v>
      </c>
      <c r="AD462" s="26" t="s">
        <v>0</v>
      </c>
      <c r="AE462" s="25" t="str">
        <f t="shared" si="173"/>
        <v>null</v>
      </c>
      <c r="AF462" s="26" t="s">
        <v>0</v>
      </c>
      <c r="AG462" s="47" t="s">
        <v>4684</v>
      </c>
    </row>
    <row r="463" spans="1:33" ht="6.9" customHeight="1" x14ac:dyDescent="0.4">
      <c r="A463" s="4">
        <f>ROW()</f>
        <v>463</v>
      </c>
      <c r="B463" s="9" t="s">
        <v>27</v>
      </c>
      <c r="C463" s="55" t="str">
        <f t="shared" si="183"/>
        <v>p.consumir</v>
      </c>
      <c r="D463" s="6" t="str">
        <f t="shared" ref="D463:D526" si="188">_xlfn.CONCAT("é.",G463)</f>
        <v>é.apto.para.consumo</v>
      </c>
      <c r="E463" s="8" t="s">
        <v>28</v>
      </c>
      <c r="F463" s="42" t="str">
        <f t="shared" si="187"/>
        <v>d.consumir</v>
      </c>
      <c r="G463" s="17" t="s">
        <v>619</v>
      </c>
      <c r="H463" s="42" t="s">
        <v>2121</v>
      </c>
      <c r="I463" s="16" t="str">
        <f t="shared" si="184"/>
        <v>null</v>
      </c>
      <c r="J463" s="15" t="s">
        <v>0</v>
      </c>
      <c r="K463" s="15" t="s">
        <v>0</v>
      </c>
      <c r="L463" s="15" t="s">
        <v>0</v>
      </c>
      <c r="M463" s="15" t="s">
        <v>0</v>
      </c>
      <c r="N463" s="15" t="s">
        <v>0</v>
      </c>
      <c r="O463" s="15" t="s">
        <v>0</v>
      </c>
      <c r="P463" s="15" t="s">
        <v>0</v>
      </c>
      <c r="Q463" s="15" t="s">
        <v>0</v>
      </c>
      <c r="R463" s="15" t="s">
        <v>0</v>
      </c>
      <c r="S463" s="10" t="s">
        <v>1</v>
      </c>
      <c r="T463" s="10" t="s">
        <v>32</v>
      </c>
      <c r="U463" s="5" t="str">
        <f t="shared" si="179"/>
        <v>Propriedade destinada a consumir: é.apto.para.consumo</v>
      </c>
      <c r="V463" s="5" t="str">
        <f t="shared" si="180"/>
        <v>Dado para consumir:  apto.para.consumo  Deve ser formatado como (rdfs:Literal  or  xsd:string)</v>
      </c>
      <c r="W463" s="5" t="s">
        <v>5366</v>
      </c>
      <c r="X463" s="24" t="str">
        <f t="shared" si="181"/>
        <v>consu.104</v>
      </c>
      <c r="Y463" s="24" t="str">
        <f t="shared" si="182"/>
        <v>Ação de consumir</v>
      </c>
      <c r="Z463" s="47" t="s">
        <v>1394</v>
      </c>
      <c r="AA463" s="25" t="str">
        <f t="shared" si="185"/>
        <v>null</v>
      </c>
      <c r="AB463" s="26" t="s">
        <v>0</v>
      </c>
      <c r="AC463" s="25" t="str">
        <f t="shared" si="186"/>
        <v>null</v>
      </c>
      <c r="AD463" s="26" t="s">
        <v>0</v>
      </c>
      <c r="AE463" s="25" t="str">
        <f t="shared" si="173"/>
        <v>null</v>
      </c>
      <c r="AF463" s="26" t="s">
        <v>0</v>
      </c>
      <c r="AG463" s="47" t="s">
        <v>4685</v>
      </c>
    </row>
    <row r="464" spans="1:33" ht="6.9" customHeight="1" x14ac:dyDescent="0.4">
      <c r="A464" s="4">
        <f>ROW()</f>
        <v>464</v>
      </c>
      <c r="B464" s="9" t="s">
        <v>27</v>
      </c>
      <c r="C464" s="54" t="str">
        <f t="shared" si="183"/>
        <v>p.controlar</v>
      </c>
      <c r="D464" s="6" t="str">
        <f t="shared" si="188"/>
        <v>é.válvula</v>
      </c>
      <c r="E464" s="8" t="s">
        <v>28</v>
      </c>
      <c r="F464" s="51" t="s">
        <v>621</v>
      </c>
      <c r="G464" s="17" t="s">
        <v>4408</v>
      </c>
      <c r="H464" s="42" t="s">
        <v>2121</v>
      </c>
      <c r="I464" s="16" t="str">
        <f t="shared" si="184"/>
        <v>null</v>
      </c>
      <c r="J464" s="15" t="s">
        <v>0</v>
      </c>
      <c r="K464" s="15" t="s">
        <v>0</v>
      </c>
      <c r="L464" s="15" t="s">
        <v>0</v>
      </c>
      <c r="M464" s="15" t="s">
        <v>0</v>
      </c>
      <c r="N464" s="15" t="s">
        <v>0</v>
      </c>
      <c r="O464" s="15" t="s">
        <v>0</v>
      </c>
      <c r="P464" s="15" t="s">
        <v>0</v>
      </c>
      <c r="Q464" s="15" t="s">
        <v>0</v>
      </c>
      <c r="R464" s="15" t="s">
        <v>0</v>
      </c>
      <c r="S464" s="10" t="s">
        <v>1</v>
      </c>
      <c r="T464" s="10" t="s">
        <v>32</v>
      </c>
      <c r="U464" s="5" t="str">
        <f t="shared" si="179"/>
        <v>Propriedade destinada a controlar: é.válvula</v>
      </c>
      <c r="V464" s="5" t="str">
        <f t="shared" si="180"/>
        <v>Dado para controlar:  válvula  Deve ser formatado como (rdfs:Literal  or  xsd:string)</v>
      </c>
      <c r="W464" s="5" t="s">
        <v>5367</v>
      </c>
      <c r="X464" s="24" t="str">
        <f t="shared" si="181"/>
        <v>contr.100</v>
      </c>
      <c r="Y464" s="24" t="str">
        <f t="shared" si="182"/>
        <v>Ação de controlar</v>
      </c>
      <c r="Z464" s="47" t="s">
        <v>3962</v>
      </c>
      <c r="AA464" s="25" t="str">
        <f t="shared" si="185"/>
        <v>categoria.revit</v>
      </c>
      <c r="AB464" s="26" t="s">
        <v>3506</v>
      </c>
      <c r="AC464" s="25" t="str">
        <f t="shared" si="186"/>
        <v>classe.ifc</v>
      </c>
      <c r="AD464" s="26" t="s">
        <v>3467</v>
      </c>
      <c r="AE464" s="25" t="str">
        <f t="shared" si="173"/>
        <v>null</v>
      </c>
      <c r="AF464" s="26" t="s">
        <v>0</v>
      </c>
      <c r="AG464" s="47" t="s">
        <v>4022</v>
      </c>
    </row>
    <row r="465" spans="1:33" ht="6.9" customHeight="1" x14ac:dyDescent="0.4">
      <c r="A465" s="4">
        <f>ROW()</f>
        <v>465</v>
      </c>
      <c r="B465" s="9" t="s">
        <v>27</v>
      </c>
      <c r="C465" s="55" t="str">
        <f t="shared" ref="C465:C482" si="189">SUBSTITUTE(F465,"d.","p.")</f>
        <v>p.controlar</v>
      </c>
      <c r="D465" s="6" t="str">
        <f t="shared" si="188"/>
        <v>é.controlador.de</v>
      </c>
      <c r="E465" s="8" t="s">
        <v>28</v>
      </c>
      <c r="F465" s="42" t="str">
        <f t="shared" ref="F465:F475" si="190">F464</f>
        <v>d.controlar</v>
      </c>
      <c r="G465" s="17" t="s">
        <v>4407</v>
      </c>
      <c r="H465" s="42" t="s">
        <v>2121</v>
      </c>
      <c r="I465" s="16" t="str">
        <f t="shared" ref="I465:I482" si="191">J465</f>
        <v>null</v>
      </c>
      <c r="J465" s="15" t="s">
        <v>0</v>
      </c>
      <c r="K465" s="15" t="s">
        <v>0</v>
      </c>
      <c r="L465" s="15" t="s">
        <v>0</v>
      </c>
      <c r="M465" s="15" t="s">
        <v>0</v>
      </c>
      <c r="N465" s="15" t="s">
        <v>0</v>
      </c>
      <c r="O465" s="15" t="s">
        <v>0</v>
      </c>
      <c r="P465" s="15" t="s">
        <v>0</v>
      </c>
      <c r="Q465" s="15" t="s">
        <v>0</v>
      </c>
      <c r="R465" s="15" t="s">
        <v>0</v>
      </c>
      <c r="S465" s="10" t="s">
        <v>1</v>
      </c>
      <c r="T465" s="10" t="s">
        <v>32</v>
      </c>
      <c r="U465" s="5" t="str">
        <f t="shared" si="179"/>
        <v>Propriedade destinada a controlar: é.controlador.de</v>
      </c>
      <c r="V465" s="5" t="str">
        <f t="shared" si="180"/>
        <v>Dado para controlar:  controlador.de  Deve ser formatado como (rdfs:Literal  or  xsd:string)</v>
      </c>
      <c r="W465" s="5" t="s">
        <v>5368</v>
      </c>
      <c r="X465" s="24" t="str">
        <f t="shared" si="181"/>
        <v>contr.101</v>
      </c>
      <c r="Y465" s="24" t="str">
        <f t="shared" si="182"/>
        <v>Ação de controlar</v>
      </c>
      <c r="Z465" s="47" t="s">
        <v>4305</v>
      </c>
      <c r="AA465" s="25" t="str">
        <f t="shared" ref="AA465:AA482" si="192">IF(AB465="null", "null", "categoria.revit")</f>
        <v>null</v>
      </c>
      <c r="AB465" s="26" t="s">
        <v>0</v>
      </c>
      <c r="AC465" s="25" t="str">
        <f t="shared" ref="AC465:AC482" si="193">IF(AD465="null", "null", "classe.ifc")</f>
        <v>null</v>
      </c>
      <c r="AD465" s="26" t="s">
        <v>0</v>
      </c>
      <c r="AE465" s="25" t="str">
        <f t="shared" si="173"/>
        <v>null</v>
      </c>
      <c r="AF465" s="26" t="s">
        <v>0</v>
      </c>
      <c r="AG465" s="47" t="s">
        <v>4304</v>
      </c>
    </row>
    <row r="466" spans="1:33" ht="6.9" customHeight="1" x14ac:dyDescent="0.4">
      <c r="A466" s="4">
        <f>ROW()</f>
        <v>466</v>
      </c>
      <c r="B466" s="9" t="s">
        <v>27</v>
      </c>
      <c r="C466" s="55" t="str">
        <f t="shared" si="189"/>
        <v>p.controlar</v>
      </c>
      <c r="D466" s="6" t="str">
        <f t="shared" si="188"/>
        <v>é.válvula.borboleta</v>
      </c>
      <c r="E466" s="8" t="s">
        <v>28</v>
      </c>
      <c r="F466" s="42" t="str">
        <f t="shared" si="190"/>
        <v>d.controlar</v>
      </c>
      <c r="G466" s="17" t="s">
        <v>626</v>
      </c>
      <c r="H466" s="41" t="s">
        <v>37</v>
      </c>
      <c r="I466" s="16" t="str">
        <f t="shared" si="191"/>
        <v>null</v>
      </c>
      <c r="J466" s="15" t="s">
        <v>0</v>
      </c>
      <c r="K466" s="15" t="s">
        <v>0</v>
      </c>
      <c r="L466" s="15" t="s">
        <v>0</v>
      </c>
      <c r="M466" s="15" t="s">
        <v>0</v>
      </c>
      <c r="N466" s="15" t="s">
        <v>0</v>
      </c>
      <c r="O466" s="15" t="s">
        <v>0</v>
      </c>
      <c r="P466" s="15" t="s">
        <v>0</v>
      </c>
      <c r="Q466" s="15" t="s">
        <v>0</v>
      </c>
      <c r="R466" s="15" t="s">
        <v>0</v>
      </c>
      <c r="S466" s="10" t="s">
        <v>1</v>
      </c>
      <c r="T466" s="10" t="s">
        <v>32</v>
      </c>
      <c r="U466" s="5" t="str">
        <f t="shared" si="179"/>
        <v>Propriedade destinada a controlar: é.válvula.borboleta</v>
      </c>
      <c r="V466" s="5" t="str">
        <f t="shared" si="180"/>
        <v>Dado para controlar:  válvula.borboleta  Deve ser formatado como (xsd:boolean)</v>
      </c>
      <c r="W466" s="5" t="s">
        <v>5369</v>
      </c>
      <c r="X466" s="24" t="str">
        <f t="shared" si="181"/>
        <v>contr.102</v>
      </c>
      <c r="Y466" s="24" t="str">
        <f t="shared" si="182"/>
        <v>Ação de controlar</v>
      </c>
      <c r="Z466" s="47" t="s">
        <v>1397</v>
      </c>
      <c r="AA466" s="25" t="str">
        <f t="shared" si="192"/>
        <v>categoria.revit</v>
      </c>
      <c r="AB466" s="26" t="s">
        <v>3506</v>
      </c>
      <c r="AC466" s="25" t="str">
        <f t="shared" si="193"/>
        <v>classe.ifc</v>
      </c>
      <c r="AD466" s="26" t="s">
        <v>3467</v>
      </c>
      <c r="AE466" s="25" t="str">
        <f t="shared" si="173"/>
        <v>null</v>
      </c>
      <c r="AF466" s="26" t="s">
        <v>0</v>
      </c>
      <c r="AG466" s="47" t="s">
        <v>4686</v>
      </c>
    </row>
    <row r="467" spans="1:33" ht="6.9" customHeight="1" x14ac:dyDescent="0.4">
      <c r="A467" s="4">
        <f>ROW()</f>
        <v>467</v>
      </c>
      <c r="B467" s="9" t="s">
        <v>27</v>
      </c>
      <c r="C467" s="55" t="str">
        <f t="shared" si="189"/>
        <v>p.controlar</v>
      </c>
      <c r="D467" s="6" t="str">
        <f t="shared" si="188"/>
        <v>é.válvula.de.agulha</v>
      </c>
      <c r="E467" s="8" t="s">
        <v>28</v>
      </c>
      <c r="F467" s="42" t="str">
        <f t="shared" si="190"/>
        <v>d.controlar</v>
      </c>
      <c r="G467" s="17" t="s">
        <v>631</v>
      </c>
      <c r="H467" s="41" t="s">
        <v>37</v>
      </c>
      <c r="I467" s="16" t="str">
        <f t="shared" si="191"/>
        <v>null</v>
      </c>
      <c r="J467" s="15" t="s">
        <v>0</v>
      </c>
      <c r="K467" s="15" t="s">
        <v>0</v>
      </c>
      <c r="L467" s="15" t="s">
        <v>0</v>
      </c>
      <c r="M467" s="15" t="s">
        <v>0</v>
      </c>
      <c r="N467" s="15" t="s">
        <v>0</v>
      </c>
      <c r="O467" s="15" t="s">
        <v>0</v>
      </c>
      <c r="P467" s="15" t="s">
        <v>0</v>
      </c>
      <c r="Q467" s="15" t="s">
        <v>0</v>
      </c>
      <c r="R467" s="15" t="s">
        <v>0</v>
      </c>
      <c r="S467" s="10" t="s">
        <v>1</v>
      </c>
      <c r="T467" s="10" t="s">
        <v>32</v>
      </c>
      <c r="U467" s="5" t="str">
        <f t="shared" si="179"/>
        <v>Propriedade destinada a controlar: é.válvula.de.agulha</v>
      </c>
      <c r="V467" s="5" t="str">
        <f t="shared" si="180"/>
        <v>Dado para controlar:  válvula.de.agulha  Deve ser formatado como (xsd:boolean)</v>
      </c>
      <c r="W467" s="5" t="s">
        <v>5370</v>
      </c>
      <c r="X467" s="24" t="str">
        <f t="shared" si="181"/>
        <v>contr.103</v>
      </c>
      <c r="Y467" s="24" t="str">
        <f t="shared" si="182"/>
        <v>Ação de controlar</v>
      </c>
      <c r="Z467" s="47" t="s">
        <v>8621</v>
      </c>
      <c r="AA467" s="25" t="str">
        <f t="shared" si="192"/>
        <v>categoria.revit</v>
      </c>
      <c r="AB467" s="26" t="s">
        <v>3506</v>
      </c>
      <c r="AC467" s="25" t="str">
        <f t="shared" si="193"/>
        <v>classe.ifc</v>
      </c>
      <c r="AD467" s="26" t="s">
        <v>3467</v>
      </c>
      <c r="AE467" s="25" t="str">
        <f t="shared" si="173"/>
        <v>null</v>
      </c>
      <c r="AF467" s="26" t="s">
        <v>0</v>
      </c>
      <c r="AG467" s="47" t="s">
        <v>4774</v>
      </c>
    </row>
    <row r="468" spans="1:33" ht="6.9" customHeight="1" x14ac:dyDescent="0.4">
      <c r="A468" s="4">
        <f>ROW()</f>
        <v>468</v>
      </c>
      <c r="B468" s="9" t="s">
        <v>27</v>
      </c>
      <c r="C468" s="55" t="str">
        <f t="shared" si="189"/>
        <v>p.controlar</v>
      </c>
      <c r="D468" s="6" t="str">
        <f t="shared" si="188"/>
        <v>é.válvula.de.alívio</v>
      </c>
      <c r="E468" s="8" t="s">
        <v>28</v>
      </c>
      <c r="F468" s="42" t="str">
        <f t="shared" si="190"/>
        <v>d.controlar</v>
      </c>
      <c r="G468" s="17" t="s">
        <v>628</v>
      </c>
      <c r="H468" s="41" t="s">
        <v>37</v>
      </c>
      <c r="I468" s="16" t="str">
        <f t="shared" si="191"/>
        <v>null</v>
      </c>
      <c r="J468" s="15" t="s">
        <v>0</v>
      </c>
      <c r="K468" s="15" t="s">
        <v>0</v>
      </c>
      <c r="L468" s="15" t="s">
        <v>0</v>
      </c>
      <c r="M468" s="15" t="s">
        <v>0</v>
      </c>
      <c r="N468" s="15" t="s">
        <v>0</v>
      </c>
      <c r="O468" s="15" t="s">
        <v>0</v>
      </c>
      <c r="P468" s="15" t="s">
        <v>0</v>
      </c>
      <c r="Q468" s="15" t="s">
        <v>0</v>
      </c>
      <c r="R468" s="15" t="s">
        <v>0</v>
      </c>
      <c r="S468" s="10" t="s">
        <v>1</v>
      </c>
      <c r="T468" s="10" t="s">
        <v>32</v>
      </c>
      <c r="U468" s="5" t="str">
        <f t="shared" si="179"/>
        <v>Propriedade destinada a controlar: é.válvula.de.alívio</v>
      </c>
      <c r="V468" s="5" t="str">
        <f t="shared" si="180"/>
        <v>Dado para controlar:  válvula.de.alívio  Deve ser formatado como (xsd:boolean)</v>
      </c>
      <c r="W468" s="5" t="s">
        <v>5371</v>
      </c>
      <c r="X468" s="24" t="str">
        <f t="shared" si="181"/>
        <v>contr.104</v>
      </c>
      <c r="Y468" s="24" t="str">
        <f t="shared" si="182"/>
        <v>Ação de controlar</v>
      </c>
      <c r="Z468" s="47" t="s">
        <v>1398</v>
      </c>
      <c r="AA468" s="25" t="str">
        <f t="shared" si="192"/>
        <v>categoria.revit</v>
      </c>
      <c r="AB468" s="26" t="s">
        <v>3506</v>
      </c>
      <c r="AC468" s="25" t="str">
        <f t="shared" si="193"/>
        <v>classe.ifc</v>
      </c>
      <c r="AD468" s="26" t="s">
        <v>3467</v>
      </c>
      <c r="AE468" s="25" t="str">
        <f t="shared" si="173"/>
        <v>null</v>
      </c>
      <c r="AF468" s="26" t="s">
        <v>0</v>
      </c>
      <c r="AG468" s="47" t="s">
        <v>4687</v>
      </c>
    </row>
    <row r="469" spans="1:33" ht="6.9" customHeight="1" x14ac:dyDescent="0.4">
      <c r="A469" s="4">
        <f>ROW()</f>
        <v>469</v>
      </c>
      <c r="B469" s="9" t="s">
        <v>27</v>
      </c>
      <c r="C469" s="55" t="str">
        <f t="shared" si="189"/>
        <v>p.controlar</v>
      </c>
      <c r="D469" s="6" t="str">
        <f t="shared" si="188"/>
        <v>é.válvula.de.controle</v>
      </c>
      <c r="E469" s="8" t="s">
        <v>28</v>
      </c>
      <c r="F469" s="42" t="str">
        <f t="shared" si="190"/>
        <v>d.controlar</v>
      </c>
      <c r="G469" s="17" t="s">
        <v>622</v>
      </c>
      <c r="H469" s="41" t="s">
        <v>37</v>
      </c>
      <c r="I469" s="16" t="str">
        <f t="shared" si="191"/>
        <v>null</v>
      </c>
      <c r="J469" s="15" t="s">
        <v>0</v>
      </c>
      <c r="K469" s="15" t="s">
        <v>0</v>
      </c>
      <c r="L469" s="15" t="s">
        <v>0</v>
      </c>
      <c r="M469" s="15" t="s">
        <v>0</v>
      </c>
      <c r="N469" s="15" t="s">
        <v>0</v>
      </c>
      <c r="O469" s="15" t="s">
        <v>0</v>
      </c>
      <c r="P469" s="15" t="s">
        <v>0</v>
      </c>
      <c r="Q469" s="15" t="s">
        <v>0</v>
      </c>
      <c r="R469" s="15" t="s">
        <v>0</v>
      </c>
      <c r="S469" s="10" t="s">
        <v>1</v>
      </c>
      <c r="T469" s="10" t="s">
        <v>32</v>
      </c>
      <c r="U469" s="5" t="str">
        <f t="shared" si="179"/>
        <v>Propriedade destinada a controlar: é.válvula.de.controle</v>
      </c>
      <c r="V469" s="5" t="str">
        <f t="shared" si="180"/>
        <v>Dado para controlar:  válvula.de.controle  Deve ser formatado como (xsd:boolean)</v>
      </c>
      <c r="W469" s="5" t="s">
        <v>5372</v>
      </c>
      <c r="X469" s="24" t="str">
        <f t="shared" si="181"/>
        <v>contr.105</v>
      </c>
      <c r="Y469" s="24" t="str">
        <f t="shared" si="182"/>
        <v>Ação de controlar</v>
      </c>
      <c r="Z469" s="47" t="s">
        <v>1395</v>
      </c>
      <c r="AA469" s="25" t="str">
        <f t="shared" si="192"/>
        <v>categoria.revit</v>
      </c>
      <c r="AB469" s="26" t="s">
        <v>3506</v>
      </c>
      <c r="AC469" s="25" t="str">
        <f t="shared" si="193"/>
        <v>classe.ifc</v>
      </c>
      <c r="AD469" s="26" t="s">
        <v>3467</v>
      </c>
      <c r="AE469" s="25" t="str">
        <f t="shared" si="173"/>
        <v>null</v>
      </c>
      <c r="AF469" s="26" t="s">
        <v>0</v>
      </c>
      <c r="AG469" s="47" t="s">
        <v>4688</v>
      </c>
    </row>
    <row r="470" spans="1:33" ht="6.9" customHeight="1" x14ac:dyDescent="0.4">
      <c r="A470" s="4">
        <f>ROW()</f>
        <v>470</v>
      </c>
      <c r="B470" s="9" t="s">
        <v>27</v>
      </c>
      <c r="C470" s="55" t="str">
        <f t="shared" si="189"/>
        <v>p.controlar</v>
      </c>
      <c r="D470" s="6" t="str">
        <f t="shared" si="188"/>
        <v>é.válvula.de.diafragma</v>
      </c>
      <c r="E470" s="8" t="s">
        <v>28</v>
      </c>
      <c r="F470" s="42" t="str">
        <f t="shared" si="190"/>
        <v>d.controlar</v>
      </c>
      <c r="G470" s="17" t="s">
        <v>629</v>
      </c>
      <c r="H470" s="41" t="s">
        <v>37</v>
      </c>
      <c r="I470" s="16" t="str">
        <f t="shared" si="191"/>
        <v>null</v>
      </c>
      <c r="J470" s="15" t="s">
        <v>0</v>
      </c>
      <c r="K470" s="15" t="s">
        <v>0</v>
      </c>
      <c r="L470" s="15" t="s">
        <v>0</v>
      </c>
      <c r="M470" s="15" t="s">
        <v>0</v>
      </c>
      <c r="N470" s="15" t="s">
        <v>0</v>
      </c>
      <c r="O470" s="15" t="s">
        <v>0</v>
      </c>
      <c r="P470" s="15" t="s">
        <v>0</v>
      </c>
      <c r="Q470" s="15" t="s">
        <v>0</v>
      </c>
      <c r="R470" s="15" t="s">
        <v>0</v>
      </c>
      <c r="S470" s="10" t="s">
        <v>1</v>
      </c>
      <c r="T470" s="10" t="s">
        <v>32</v>
      </c>
      <c r="U470" s="5" t="str">
        <f t="shared" si="179"/>
        <v>Propriedade destinada a controlar: é.válvula.de.diafragma</v>
      </c>
      <c r="V470" s="5" t="str">
        <f t="shared" si="180"/>
        <v>Dado para controlar:  válvula.de.diafragma  Deve ser formatado como (xsd:boolean)</v>
      </c>
      <c r="W470" s="5" t="s">
        <v>5373</v>
      </c>
      <c r="X470" s="24" t="str">
        <f t="shared" si="181"/>
        <v>contr.106</v>
      </c>
      <c r="Y470" s="24" t="str">
        <f t="shared" si="182"/>
        <v>Ação de controlar</v>
      </c>
      <c r="Z470" s="47" t="s">
        <v>1399</v>
      </c>
      <c r="AA470" s="25" t="str">
        <f t="shared" si="192"/>
        <v>categoria.revit</v>
      </c>
      <c r="AB470" s="26" t="s">
        <v>3506</v>
      </c>
      <c r="AC470" s="25" t="str">
        <f t="shared" si="193"/>
        <v>classe.ifc</v>
      </c>
      <c r="AD470" s="26" t="s">
        <v>3467</v>
      </c>
      <c r="AE470" s="25" t="str">
        <f t="shared" si="173"/>
        <v>null</v>
      </c>
      <c r="AF470" s="26" t="s">
        <v>0</v>
      </c>
      <c r="AG470" s="47" t="s">
        <v>4689</v>
      </c>
    </row>
    <row r="471" spans="1:33" ht="6.9" customHeight="1" x14ac:dyDescent="0.4">
      <c r="A471" s="4">
        <f>ROW()</f>
        <v>471</v>
      </c>
      <c r="B471" s="9" t="s">
        <v>27</v>
      </c>
      <c r="C471" s="55" t="str">
        <f t="shared" si="189"/>
        <v>p.controlar</v>
      </c>
      <c r="D471" s="6" t="str">
        <f t="shared" si="188"/>
        <v>é.válvula.de.esfera</v>
      </c>
      <c r="E471" s="8" t="s">
        <v>28</v>
      </c>
      <c r="F471" s="42" t="str">
        <f t="shared" si="190"/>
        <v>d.controlar</v>
      </c>
      <c r="G471" s="17" t="s">
        <v>625</v>
      </c>
      <c r="H471" s="41" t="s">
        <v>37</v>
      </c>
      <c r="I471" s="16" t="str">
        <f t="shared" si="191"/>
        <v>null</v>
      </c>
      <c r="J471" s="15" t="s">
        <v>0</v>
      </c>
      <c r="K471" s="15" t="s">
        <v>0</v>
      </c>
      <c r="L471" s="15" t="s">
        <v>0</v>
      </c>
      <c r="M471" s="15" t="s">
        <v>0</v>
      </c>
      <c r="N471" s="15" t="s">
        <v>0</v>
      </c>
      <c r="O471" s="15" t="s">
        <v>0</v>
      </c>
      <c r="P471" s="15" t="s">
        <v>0</v>
      </c>
      <c r="Q471" s="15" t="s">
        <v>0</v>
      </c>
      <c r="R471" s="15" t="s">
        <v>0</v>
      </c>
      <c r="S471" s="10" t="s">
        <v>1</v>
      </c>
      <c r="T471" s="10" t="s">
        <v>32</v>
      </c>
      <c r="U471" s="5" t="str">
        <f t="shared" si="179"/>
        <v>Propriedade destinada a controlar: é.válvula.de.esfera</v>
      </c>
      <c r="V471" s="5" t="str">
        <f t="shared" si="180"/>
        <v>Dado para controlar:  válvula.de.esfera  Deve ser formatado como (xsd:boolean)</v>
      </c>
      <c r="W471" s="5" t="s">
        <v>5374</v>
      </c>
      <c r="X471" s="24" t="str">
        <f t="shared" si="181"/>
        <v>contr.107</v>
      </c>
      <c r="Y471" s="24" t="str">
        <f t="shared" si="182"/>
        <v>Ação de controlar</v>
      </c>
      <c r="Z471" s="47" t="s">
        <v>8618</v>
      </c>
      <c r="AA471" s="25" t="str">
        <f t="shared" si="192"/>
        <v>categoria.revit</v>
      </c>
      <c r="AB471" s="26" t="s">
        <v>3506</v>
      </c>
      <c r="AC471" s="25" t="str">
        <f t="shared" si="193"/>
        <v>classe.ifc</v>
      </c>
      <c r="AD471" s="26" t="s">
        <v>3467</v>
      </c>
      <c r="AE471" s="25" t="str">
        <f t="shared" si="173"/>
        <v>null</v>
      </c>
      <c r="AF471" s="26" t="s">
        <v>0</v>
      </c>
      <c r="AG471" s="47" t="s">
        <v>4775</v>
      </c>
    </row>
    <row r="472" spans="1:33" ht="6.9" customHeight="1" x14ac:dyDescent="0.4">
      <c r="A472" s="4">
        <f>ROW()</f>
        <v>472</v>
      </c>
      <c r="B472" s="9" t="s">
        <v>27</v>
      </c>
      <c r="C472" s="55" t="str">
        <f t="shared" si="189"/>
        <v>p.controlar</v>
      </c>
      <c r="D472" s="6" t="str">
        <f t="shared" si="188"/>
        <v>é.válvula.de.gaveta</v>
      </c>
      <c r="E472" s="8" t="s">
        <v>28</v>
      </c>
      <c r="F472" s="42" t="str">
        <f t="shared" si="190"/>
        <v>d.controlar</v>
      </c>
      <c r="G472" s="17" t="s">
        <v>627</v>
      </c>
      <c r="H472" s="41" t="s">
        <v>37</v>
      </c>
      <c r="I472" s="16" t="str">
        <f t="shared" si="191"/>
        <v>null</v>
      </c>
      <c r="J472" s="15" t="s">
        <v>0</v>
      </c>
      <c r="K472" s="15" t="s">
        <v>0</v>
      </c>
      <c r="L472" s="15" t="s">
        <v>0</v>
      </c>
      <c r="M472" s="15" t="s">
        <v>0</v>
      </c>
      <c r="N472" s="15" t="s">
        <v>0</v>
      </c>
      <c r="O472" s="15" t="s">
        <v>0</v>
      </c>
      <c r="P472" s="15" t="s">
        <v>0</v>
      </c>
      <c r="Q472" s="15" t="s">
        <v>0</v>
      </c>
      <c r="R472" s="15" t="s">
        <v>0</v>
      </c>
      <c r="S472" s="10" t="s">
        <v>1</v>
      </c>
      <c r="T472" s="10" t="s">
        <v>32</v>
      </c>
      <c r="U472" s="5" t="str">
        <f t="shared" si="179"/>
        <v>Propriedade destinada a controlar: é.válvula.de.gaveta</v>
      </c>
      <c r="V472" s="5" t="str">
        <f t="shared" si="180"/>
        <v>Dado para controlar:  válvula.de.gaveta  Deve ser formatado como (xsd:boolean)</v>
      </c>
      <c r="W472" s="5" t="s">
        <v>5375</v>
      </c>
      <c r="X472" s="24" t="str">
        <f t="shared" si="181"/>
        <v>contr.108</v>
      </c>
      <c r="Y472" s="24" t="str">
        <f t="shared" si="182"/>
        <v>Ação de controlar</v>
      </c>
      <c r="Z472" s="47" t="s">
        <v>8619</v>
      </c>
      <c r="AA472" s="25" t="str">
        <f t="shared" si="192"/>
        <v>categoria.revit</v>
      </c>
      <c r="AB472" s="26" t="s">
        <v>3506</v>
      </c>
      <c r="AC472" s="25" t="str">
        <f t="shared" si="193"/>
        <v>classe.ifc</v>
      </c>
      <c r="AD472" s="26" t="s">
        <v>3467</v>
      </c>
      <c r="AE472" s="25" t="str">
        <f t="shared" si="173"/>
        <v>null</v>
      </c>
      <c r="AF472" s="26" t="s">
        <v>0</v>
      </c>
      <c r="AG472" s="47" t="s">
        <v>4776</v>
      </c>
    </row>
    <row r="473" spans="1:33" ht="6.9" customHeight="1" x14ac:dyDescent="0.4">
      <c r="A473" s="4">
        <f>ROW()</f>
        <v>473</v>
      </c>
      <c r="B473" s="9" t="s">
        <v>27</v>
      </c>
      <c r="C473" s="55" t="str">
        <f t="shared" si="189"/>
        <v>p.controlar</v>
      </c>
      <c r="D473" s="6" t="str">
        <f t="shared" si="188"/>
        <v>é.válvula.de.retenção</v>
      </c>
      <c r="E473" s="8" t="s">
        <v>28</v>
      </c>
      <c r="F473" s="42" t="str">
        <f t="shared" si="190"/>
        <v>d.controlar</v>
      </c>
      <c r="G473" s="17" t="s">
        <v>623</v>
      </c>
      <c r="H473" s="41" t="s">
        <v>37</v>
      </c>
      <c r="I473" s="16" t="str">
        <f t="shared" si="191"/>
        <v>null</v>
      </c>
      <c r="J473" s="15" t="s">
        <v>0</v>
      </c>
      <c r="K473" s="15" t="s">
        <v>0</v>
      </c>
      <c r="L473" s="15" t="s">
        <v>0</v>
      </c>
      <c r="M473" s="15" t="s">
        <v>0</v>
      </c>
      <c r="N473" s="15" t="s">
        <v>0</v>
      </c>
      <c r="O473" s="15" t="s">
        <v>0</v>
      </c>
      <c r="P473" s="15" t="s">
        <v>0</v>
      </c>
      <c r="Q473" s="15" t="s">
        <v>0</v>
      </c>
      <c r="R473" s="15" t="s">
        <v>0</v>
      </c>
      <c r="S473" s="10" t="s">
        <v>1</v>
      </c>
      <c r="T473" s="10" t="s">
        <v>32</v>
      </c>
      <c r="U473" s="5" t="str">
        <f t="shared" si="179"/>
        <v>Propriedade destinada a controlar: é.válvula.de.retenção</v>
      </c>
      <c r="V473" s="5" t="str">
        <f t="shared" si="180"/>
        <v>Dado para controlar:  válvula.de.retenção  Deve ser formatado como (xsd:boolean)</v>
      </c>
      <c r="W473" s="5" t="s">
        <v>5376</v>
      </c>
      <c r="X473" s="24" t="str">
        <f t="shared" si="181"/>
        <v>contr.109</v>
      </c>
      <c r="Y473" s="24" t="str">
        <f t="shared" si="182"/>
        <v>Ação de controlar</v>
      </c>
      <c r="Z473" s="47" t="s">
        <v>8620</v>
      </c>
      <c r="AA473" s="25" t="str">
        <f t="shared" si="192"/>
        <v>categoria.revit</v>
      </c>
      <c r="AB473" s="26" t="s">
        <v>3506</v>
      </c>
      <c r="AC473" s="25" t="str">
        <f t="shared" si="193"/>
        <v>classe.ifc</v>
      </c>
      <c r="AD473" s="26" t="s">
        <v>3467</v>
      </c>
      <c r="AE473" s="25" t="str">
        <f t="shared" si="173"/>
        <v>null</v>
      </c>
      <c r="AF473" s="26" t="s">
        <v>0</v>
      </c>
      <c r="AG473" s="47" t="s">
        <v>4777</v>
      </c>
    </row>
    <row r="474" spans="1:33" ht="6.9" customHeight="1" x14ac:dyDescent="0.4">
      <c r="A474" s="4">
        <f>ROW()</f>
        <v>474</v>
      </c>
      <c r="B474" s="9" t="s">
        <v>27</v>
      </c>
      <c r="C474" s="55" t="str">
        <f t="shared" si="189"/>
        <v>p.controlar</v>
      </c>
      <c r="D474" s="6" t="str">
        <f t="shared" si="188"/>
        <v>é.válvula.solenoide</v>
      </c>
      <c r="E474" s="8" t="s">
        <v>28</v>
      </c>
      <c r="F474" s="42" t="str">
        <f t="shared" si="190"/>
        <v>d.controlar</v>
      </c>
      <c r="G474" s="17" t="s">
        <v>630</v>
      </c>
      <c r="H474" s="41" t="s">
        <v>37</v>
      </c>
      <c r="I474" s="16" t="str">
        <f t="shared" si="191"/>
        <v>null</v>
      </c>
      <c r="J474" s="15" t="s">
        <v>0</v>
      </c>
      <c r="K474" s="15" t="s">
        <v>0</v>
      </c>
      <c r="L474" s="15" t="s">
        <v>0</v>
      </c>
      <c r="M474" s="15" t="s">
        <v>0</v>
      </c>
      <c r="N474" s="15" t="s">
        <v>0</v>
      </c>
      <c r="O474" s="15" t="s">
        <v>0</v>
      </c>
      <c r="P474" s="15" t="s">
        <v>0</v>
      </c>
      <c r="Q474" s="15" t="s">
        <v>0</v>
      </c>
      <c r="R474" s="15" t="s">
        <v>0</v>
      </c>
      <c r="S474" s="10" t="s">
        <v>1</v>
      </c>
      <c r="T474" s="10" t="s">
        <v>32</v>
      </c>
      <c r="U474" s="5" t="str">
        <f t="shared" si="179"/>
        <v>Propriedade destinada a controlar: é.válvula.solenoide</v>
      </c>
      <c r="V474" s="5" t="str">
        <f t="shared" si="180"/>
        <v>Dado para controlar:  válvula.solenoide  Deve ser formatado como (xsd:boolean)</v>
      </c>
      <c r="W474" s="5" t="s">
        <v>5377</v>
      </c>
      <c r="X474" s="24" t="str">
        <f t="shared" si="181"/>
        <v>contr.110</v>
      </c>
      <c r="Y474" s="24" t="str">
        <f t="shared" si="182"/>
        <v>Ação de controlar</v>
      </c>
      <c r="Z474" s="47" t="s">
        <v>1400</v>
      </c>
      <c r="AA474" s="25" t="str">
        <f t="shared" si="192"/>
        <v>categoria.revit</v>
      </c>
      <c r="AB474" s="26" t="s">
        <v>3506</v>
      </c>
      <c r="AC474" s="25" t="str">
        <f t="shared" si="193"/>
        <v>classe.ifc</v>
      </c>
      <c r="AD474" s="26" t="s">
        <v>3467</v>
      </c>
      <c r="AE474" s="25" t="str">
        <f t="shared" si="173"/>
        <v>null</v>
      </c>
      <c r="AF474" s="26" t="s">
        <v>0</v>
      </c>
      <c r="AG474" s="47" t="s">
        <v>4690</v>
      </c>
    </row>
    <row r="475" spans="1:33" ht="6.9" customHeight="1" x14ac:dyDescent="0.4">
      <c r="A475" s="4">
        <f>ROW()</f>
        <v>475</v>
      </c>
      <c r="B475" s="9" t="s">
        <v>27</v>
      </c>
      <c r="C475" s="55" t="str">
        <f t="shared" si="189"/>
        <v>p.controlar</v>
      </c>
      <c r="D475" s="6" t="str">
        <f t="shared" si="188"/>
        <v>é.válvula.ventosa</v>
      </c>
      <c r="E475" s="8" t="s">
        <v>28</v>
      </c>
      <c r="F475" s="42" t="str">
        <f t="shared" si="190"/>
        <v>d.controlar</v>
      </c>
      <c r="G475" s="17" t="s">
        <v>624</v>
      </c>
      <c r="H475" s="41" t="s">
        <v>37</v>
      </c>
      <c r="I475" s="16" t="str">
        <f t="shared" si="191"/>
        <v>null</v>
      </c>
      <c r="J475" s="15" t="s">
        <v>0</v>
      </c>
      <c r="K475" s="15" t="s">
        <v>0</v>
      </c>
      <c r="L475" s="15" t="s">
        <v>0</v>
      </c>
      <c r="M475" s="15" t="s">
        <v>0</v>
      </c>
      <c r="N475" s="15" t="s">
        <v>0</v>
      </c>
      <c r="O475" s="15" t="s">
        <v>0</v>
      </c>
      <c r="P475" s="15" t="s">
        <v>0</v>
      </c>
      <c r="Q475" s="15" t="s">
        <v>0</v>
      </c>
      <c r="R475" s="15" t="s">
        <v>0</v>
      </c>
      <c r="S475" s="10" t="s">
        <v>1</v>
      </c>
      <c r="T475" s="10" t="s">
        <v>32</v>
      </c>
      <c r="U475" s="5" t="str">
        <f t="shared" si="179"/>
        <v>Propriedade destinada a controlar: é.válvula.ventosa</v>
      </c>
      <c r="V475" s="5" t="str">
        <f t="shared" si="180"/>
        <v>Dado para controlar:  válvula.ventosa  Deve ser formatado como (xsd:boolean)</v>
      </c>
      <c r="W475" s="5" t="s">
        <v>5378</v>
      </c>
      <c r="X475" s="24" t="str">
        <f t="shared" si="181"/>
        <v>contr.111</v>
      </c>
      <c r="Y475" s="24" t="str">
        <f t="shared" si="182"/>
        <v>Ação de controlar</v>
      </c>
      <c r="Z475" s="47" t="s">
        <v>1396</v>
      </c>
      <c r="AA475" s="25" t="str">
        <f t="shared" si="192"/>
        <v>categoria.revit</v>
      </c>
      <c r="AB475" s="26" t="s">
        <v>3506</v>
      </c>
      <c r="AC475" s="25" t="str">
        <f t="shared" si="193"/>
        <v>classe.ifc</v>
      </c>
      <c r="AD475" s="26" t="s">
        <v>3467</v>
      </c>
      <c r="AE475" s="25" t="str">
        <f t="shared" si="173"/>
        <v>null</v>
      </c>
      <c r="AF475" s="26" t="s">
        <v>0</v>
      </c>
      <c r="AG475" s="47" t="s">
        <v>4691</v>
      </c>
    </row>
    <row r="476" spans="1:33" ht="6.9" customHeight="1" x14ac:dyDescent="0.4">
      <c r="A476" s="4">
        <f>ROW()</f>
        <v>476</v>
      </c>
      <c r="B476" s="9" t="s">
        <v>27</v>
      </c>
      <c r="C476" s="54" t="str">
        <f t="shared" si="189"/>
        <v>p.coordenar</v>
      </c>
      <c r="D476" s="6" t="str">
        <f t="shared" si="188"/>
        <v>é.disciplina.coordenada</v>
      </c>
      <c r="E476" s="8" t="s">
        <v>28</v>
      </c>
      <c r="F476" s="51" t="s">
        <v>5008</v>
      </c>
      <c r="G476" s="17" t="s">
        <v>5009</v>
      </c>
      <c r="H476" s="42" t="s">
        <v>2121</v>
      </c>
      <c r="I476" s="16" t="str">
        <f t="shared" si="191"/>
        <v>Functional</v>
      </c>
      <c r="J476" s="15" t="s">
        <v>29</v>
      </c>
      <c r="K476" s="15" t="s">
        <v>0</v>
      </c>
      <c r="L476" s="15" t="s">
        <v>0</v>
      </c>
      <c r="M476" s="15" t="s">
        <v>0</v>
      </c>
      <c r="N476" s="15" t="s">
        <v>0</v>
      </c>
      <c r="O476" s="15" t="s">
        <v>0</v>
      </c>
      <c r="P476" s="15" t="s">
        <v>0</v>
      </c>
      <c r="Q476" s="15" t="s">
        <v>0</v>
      </c>
      <c r="R476" s="15" t="s">
        <v>0</v>
      </c>
      <c r="S476" s="10" t="s">
        <v>1</v>
      </c>
      <c r="T476" s="10" t="s">
        <v>32</v>
      </c>
      <c r="U476" s="5" t="str">
        <f t="shared" si="179"/>
        <v>Propriedade destinada a coordenar: é.disciplina.coordenada</v>
      </c>
      <c r="V476" s="5" t="str">
        <f t="shared" si="180"/>
        <v>Dado para coordenar:  disciplina.coordenada  Deve ser formatado como (rdfs:Literal  or  xsd:string)</v>
      </c>
      <c r="W476" s="5" t="s">
        <v>5379</v>
      </c>
      <c r="X476" s="24" t="str">
        <f t="shared" si="181"/>
        <v>coord.100</v>
      </c>
      <c r="Y476" s="24" t="str">
        <f t="shared" si="182"/>
        <v>Ação de coordenar</v>
      </c>
      <c r="Z476" s="47" t="s">
        <v>6603</v>
      </c>
      <c r="AA476" s="25" t="str">
        <f t="shared" si="192"/>
        <v>null</v>
      </c>
      <c r="AB476" s="26" t="s">
        <v>0</v>
      </c>
      <c r="AC476" s="25" t="str">
        <f t="shared" si="193"/>
        <v>null</v>
      </c>
      <c r="AD476" s="26" t="s">
        <v>0</v>
      </c>
      <c r="AE476" s="25" t="str">
        <f t="shared" si="173"/>
        <v>null</v>
      </c>
      <c r="AF476" s="26" t="s">
        <v>0</v>
      </c>
      <c r="AG476" s="47" t="s">
        <v>6628</v>
      </c>
    </row>
    <row r="477" spans="1:33" ht="6.9" customHeight="1" x14ac:dyDescent="0.4">
      <c r="A477" s="4">
        <f>ROW()</f>
        <v>477</v>
      </c>
      <c r="B477" s="9" t="s">
        <v>27</v>
      </c>
      <c r="C477" s="55" t="str">
        <f t="shared" ref="C477" si="194">SUBSTITUTE(F477,"d.","p.")</f>
        <v>p.coordenar</v>
      </c>
      <c r="D477" s="6" t="str">
        <f t="shared" si="188"/>
        <v>é.empresa.coordenada</v>
      </c>
      <c r="E477" s="8" t="s">
        <v>28</v>
      </c>
      <c r="F477" s="42" t="str">
        <f>F476</f>
        <v>d.coordenar</v>
      </c>
      <c r="G477" s="17" t="s">
        <v>6942</v>
      </c>
      <c r="H477" s="42" t="s">
        <v>2121</v>
      </c>
      <c r="I477" s="16" t="str">
        <f t="shared" ref="I477" si="195">J477</f>
        <v>Functional</v>
      </c>
      <c r="J477" s="15" t="s">
        <v>29</v>
      </c>
      <c r="K477" s="15" t="s">
        <v>0</v>
      </c>
      <c r="L477" s="15" t="s">
        <v>0</v>
      </c>
      <c r="M477" s="15" t="s">
        <v>0</v>
      </c>
      <c r="N477" s="15" t="s">
        <v>0</v>
      </c>
      <c r="O477" s="15" t="s">
        <v>0</v>
      </c>
      <c r="P477" s="15" t="s">
        <v>0</v>
      </c>
      <c r="Q477" s="15" t="s">
        <v>0</v>
      </c>
      <c r="R477" s="15" t="s">
        <v>0</v>
      </c>
      <c r="S477" s="10" t="s">
        <v>1</v>
      </c>
      <c r="T477" s="10" t="s">
        <v>32</v>
      </c>
      <c r="U477" s="5" t="str">
        <f t="shared" si="179"/>
        <v>Propriedade destinada a coordenar: é.empresa.coordenada</v>
      </c>
      <c r="V477" s="5" t="str">
        <f t="shared" si="180"/>
        <v>Dado para coordenar:  empresa.coordenada  Deve ser formatado como (rdfs:Literal  or  xsd:string)</v>
      </c>
      <c r="W477" s="5" t="s">
        <v>5380</v>
      </c>
      <c r="X477" s="24" t="str">
        <f t="shared" si="181"/>
        <v>coord.101</v>
      </c>
      <c r="Y477" s="24" t="str">
        <f t="shared" si="182"/>
        <v>Ação de coordenar</v>
      </c>
      <c r="Z477" s="47" t="s">
        <v>6604</v>
      </c>
      <c r="AA477" s="25" t="str">
        <f t="shared" ref="AA477" si="196">IF(AB477="null", "null", "categoria.revit")</f>
        <v>null</v>
      </c>
      <c r="AB477" s="26" t="s">
        <v>0</v>
      </c>
      <c r="AC477" s="25" t="str">
        <f t="shared" ref="AC477" si="197">IF(AD477="null", "null", "classe.ifc")</f>
        <v>null</v>
      </c>
      <c r="AD477" s="26" t="s">
        <v>0</v>
      </c>
      <c r="AE477" s="25" t="str">
        <f t="shared" si="173"/>
        <v>null</v>
      </c>
      <c r="AF477" s="26" t="s">
        <v>0</v>
      </c>
      <c r="AG477" s="47" t="s">
        <v>6629</v>
      </c>
    </row>
    <row r="478" spans="1:33" ht="6.9" customHeight="1" x14ac:dyDescent="0.4">
      <c r="A478" s="4">
        <f>ROW()</f>
        <v>478</v>
      </c>
      <c r="B478" s="9" t="s">
        <v>27</v>
      </c>
      <c r="C478" s="55" t="str">
        <f t="shared" si="189"/>
        <v>p.coordenar</v>
      </c>
      <c r="D478" s="6" t="str">
        <f t="shared" si="188"/>
        <v>é.empresa.prefixo</v>
      </c>
      <c r="E478" s="8" t="s">
        <v>28</v>
      </c>
      <c r="F478" s="42" t="str">
        <f t="shared" ref="F478:F481" si="198">F477</f>
        <v>d.coordenar</v>
      </c>
      <c r="G478" s="17" t="s">
        <v>6943</v>
      </c>
      <c r="H478" s="42" t="s">
        <v>2121</v>
      </c>
      <c r="I478" s="16" t="str">
        <f t="shared" si="191"/>
        <v>Functional</v>
      </c>
      <c r="J478" s="15" t="s">
        <v>29</v>
      </c>
      <c r="K478" s="15" t="s">
        <v>0</v>
      </c>
      <c r="L478" s="15" t="s">
        <v>0</v>
      </c>
      <c r="M478" s="15" t="s">
        <v>0</v>
      </c>
      <c r="N478" s="15" t="s">
        <v>0</v>
      </c>
      <c r="O478" s="15" t="s">
        <v>0</v>
      </c>
      <c r="P478" s="15" t="s">
        <v>0</v>
      </c>
      <c r="Q478" s="15" t="s">
        <v>0</v>
      </c>
      <c r="R478" s="15" t="s">
        <v>0</v>
      </c>
      <c r="S478" s="10" t="s">
        <v>1</v>
      </c>
      <c r="T478" s="10" t="s">
        <v>32</v>
      </c>
      <c r="U478" s="5" t="str">
        <f t="shared" si="179"/>
        <v>Propriedade destinada a coordenar: é.empresa.prefixo</v>
      </c>
      <c r="V478" s="5" t="str">
        <f t="shared" si="180"/>
        <v>Dado para coordenar:  empresa.prefixo  Deve ser formatado como (rdfs:Literal  or  xsd:string)</v>
      </c>
      <c r="W478" s="5" t="s">
        <v>5381</v>
      </c>
      <c r="X478" s="24" t="str">
        <f t="shared" si="181"/>
        <v>coord.102</v>
      </c>
      <c r="Y478" s="24" t="str">
        <f t="shared" si="182"/>
        <v>Ação de coordenar</v>
      </c>
      <c r="Z478" s="47" t="s">
        <v>6605</v>
      </c>
      <c r="AA478" s="25" t="str">
        <f t="shared" si="192"/>
        <v>null</v>
      </c>
      <c r="AB478" s="26" t="s">
        <v>0</v>
      </c>
      <c r="AC478" s="25" t="str">
        <f t="shared" si="193"/>
        <v>null</v>
      </c>
      <c r="AD478" s="26" t="s">
        <v>0</v>
      </c>
      <c r="AE478" s="25" t="str">
        <f t="shared" si="173"/>
        <v>null</v>
      </c>
      <c r="AF478" s="26" t="s">
        <v>0</v>
      </c>
      <c r="AG478" s="47" t="s">
        <v>6630</v>
      </c>
    </row>
    <row r="479" spans="1:33" ht="6.9" customHeight="1" x14ac:dyDescent="0.4">
      <c r="A479" s="4">
        <f>ROW()</f>
        <v>479</v>
      </c>
      <c r="B479" s="9" t="s">
        <v>27</v>
      </c>
      <c r="C479" s="55" t="str">
        <f t="shared" ref="C479" si="199">SUBSTITUTE(F479,"d.","p.")</f>
        <v>p.coordenar</v>
      </c>
      <c r="D479" s="6" t="str">
        <f t="shared" si="188"/>
        <v>é.origem.coordenado</v>
      </c>
      <c r="E479" s="8" t="s">
        <v>28</v>
      </c>
      <c r="F479" s="42" t="str">
        <f>F477</f>
        <v>d.coordenar</v>
      </c>
      <c r="G479" s="17" t="s">
        <v>5010</v>
      </c>
      <c r="H479" s="42" t="s">
        <v>2121</v>
      </c>
      <c r="I479" s="16" t="str">
        <f t="shared" ref="I479" si="200">J479</f>
        <v>Functional</v>
      </c>
      <c r="J479" s="15" t="s">
        <v>29</v>
      </c>
      <c r="K479" s="15" t="s">
        <v>0</v>
      </c>
      <c r="L479" s="15" t="s">
        <v>0</v>
      </c>
      <c r="M479" s="15" t="s">
        <v>0</v>
      </c>
      <c r="N479" s="15" t="s">
        <v>0</v>
      </c>
      <c r="O479" s="15" t="s">
        <v>0</v>
      </c>
      <c r="P479" s="15" t="s">
        <v>0</v>
      </c>
      <c r="Q479" s="15" t="s">
        <v>0</v>
      </c>
      <c r="R479" s="15" t="s">
        <v>0</v>
      </c>
      <c r="S479" s="10" t="s">
        <v>1</v>
      </c>
      <c r="T479" s="10" t="s">
        <v>32</v>
      </c>
      <c r="U479" s="5" t="str">
        <f t="shared" si="179"/>
        <v>Propriedade destinada a coordenar: é.origem.coordenado</v>
      </c>
      <c r="V479" s="5" t="str">
        <f t="shared" si="180"/>
        <v>Dado para coordenar:  origem.coordenado  Deve ser formatado como (rdfs:Literal  or  xsd:string)</v>
      </c>
      <c r="W479" s="5" t="s">
        <v>5382</v>
      </c>
      <c r="X479" s="24" t="str">
        <f t="shared" si="181"/>
        <v>coord.103</v>
      </c>
      <c r="Y479" s="24" t="str">
        <f t="shared" si="182"/>
        <v>Ação de coordenar</v>
      </c>
      <c r="Z479" s="47" t="s">
        <v>6606</v>
      </c>
      <c r="AA479" s="25" t="str">
        <f t="shared" ref="AA479" si="201">IF(AB479="null", "null", "categoria.revit")</f>
        <v>null</v>
      </c>
      <c r="AB479" s="26" t="s">
        <v>0</v>
      </c>
      <c r="AC479" s="25" t="str">
        <f t="shared" ref="AC479" si="202">IF(AD479="null", "null", "classe.ifc")</f>
        <v>null</v>
      </c>
      <c r="AD479" s="26" t="s">
        <v>0</v>
      </c>
      <c r="AE479" s="25" t="str">
        <f t="shared" si="173"/>
        <v>null</v>
      </c>
      <c r="AF479" s="26" t="s">
        <v>0</v>
      </c>
      <c r="AG479" s="47" t="s">
        <v>6631</v>
      </c>
    </row>
    <row r="480" spans="1:33" ht="6.9" customHeight="1" x14ac:dyDescent="0.4">
      <c r="A480" s="4">
        <f>ROW()</f>
        <v>480</v>
      </c>
      <c r="B480" s="9" t="s">
        <v>27</v>
      </c>
      <c r="C480" s="55" t="str">
        <f t="shared" si="189"/>
        <v>p.coordenar</v>
      </c>
      <c r="D480" s="6" t="str">
        <f t="shared" si="188"/>
        <v>é.desnível.coordenado</v>
      </c>
      <c r="E480" s="8" t="s">
        <v>28</v>
      </c>
      <c r="F480" s="42" t="str">
        <f>F478</f>
        <v>d.coordenar</v>
      </c>
      <c r="G480" s="17" t="s">
        <v>5012</v>
      </c>
      <c r="H480" s="42" t="s">
        <v>36</v>
      </c>
      <c r="I480" s="16" t="str">
        <f t="shared" si="191"/>
        <v>Functional</v>
      </c>
      <c r="J480" s="15" t="s">
        <v>29</v>
      </c>
      <c r="K480" s="15" t="s">
        <v>0</v>
      </c>
      <c r="L480" s="15" t="s">
        <v>0</v>
      </c>
      <c r="M480" s="15" t="s">
        <v>0</v>
      </c>
      <c r="N480" s="15" t="s">
        <v>0</v>
      </c>
      <c r="O480" s="15" t="s">
        <v>0</v>
      </c>
      <c r="P480" s="15" t="s">
        <v>0</v>
      </c>
      <c r="Q480" s="15" t="s">
        <v>0</v>
      </c>
      <c r="R480" s="15" t="s">
        <v>0</v>
      </c>
      <c r="S480" s="10" t="s">
        <v>1</v>
      </c>
      <c r="T480" s="10" t="s">
        <v>32</v>
      </c>
      <c r="U480" s="5" t="str">
        <f t="shared" si="179"/>
        <v>Propriedade destinada a coordenar: é.desnível.coordenado</v>
      </c>
      <c r="V480" s="5" t="str">
        <f t="shared" si="180"/>
        <v>Dado para coordenar:  desnível.coordenado  Deve ser formatado como (xsd:double)</v>
      </c>
      <c r="W480" s="5" t="s">
        <v>5383</v>
      </c>
      <c r="X480" s="24" t="str">
        <f t="shared" si="181"/>
        <v>coord.104</v>
      </c>
      <c r="Y480" s="24" t="str">
        <f t="shared" si="182"/>
        <v>Ação de coordenar</v>
      </c>
      <c r="Z480" s="47" t="s">
        <v>6607</v>
      </c>
      <c r="AA480" s="25" t="str">
        <f t="shared" si="192"/>
        <v>null</v>
      </c>
      <c r="AB480" s="26" t="s">
        <v>0</v>
      </c>
      <c r="AC480" s="25" t="str">
        <f t="shared" si="193"/>
        <v>null</v>
      </c>
      <c r="AD480" s="26" t="s">
        <v>0</v>
      </c>
      <c r="AE480" s="25" t="str">
        <f t="shared" si="173"/>
        <v>null</v>
      </c>
      <c r="AF480" s="26" t="s">
        <v>0</v>
      </c>
      <c r="AG480" s="47" t="s">
        <v>6632</v>
      </c>
    </row>
    <row r="481" spans="1:33" ht="6.9" customHeight="1" x14ac:dyDescent="0.4">
      <c r="A481" s="4">
        <f>ROW()</f>
        <v>481</v>
      </c>
      <c r="B481" s="9" t="s">
        <v>27</v>
      </c>
      <c r="C481" s="55" t="str">
        <f t="shared" si="189"/>
        <v>p.coordenar</v>
      </c>
      <c r="D481" s="6" t="str">
        <f t="shared" si="188"/>
        <v>é.ângulo.coordenado</v>
      </c>
      <c r="E481" s="8" t="s">
        <v>28</v>
      </c>
      <c r="F481" s="42" t="str">
        <f t="shared" si="198"/>
        <v>d.coordenar</v>
      </c>
      <c r="G481" s="17" t="s">
        <v>5011</v>
      </c>
      <c r="H481" s="42" t="s">
        <v>36</v>
      </c>
      <c r="I481" s="16" t="str">
        <f t="shared" si="191"/>
        <v>Functional</v>
      </c>
      <c r="J481" s="15" t="s">
        <v>29</v>
      </c>
      <c r="K481" s="15" t="s">
        <v>0</v>
      </c>
      <c r="L481" s="15" t="s">
        <v>0</v>
      </c>
      <c r="M481" s="15" t="s">
        <v>0</v>
      </c>
      <c r="N481" s="15" t="s">
        <v>0</v>
      </c>
      <c r="O481" s="15" t="s">
        <v>0</v>
      </c>
      <c r="P481" s="15" t="s">
        <v>0</v>
      </c>
      <c r="Q481" s="15" t="s">
        <v>0</v>
      </c>
      <c r="R481" s="15" t="s">
        <v>0</v>
      </c>
      <c r="S481" s="10" t="s">
        <v>1</v>
      </c>
      <c r="T481" s="10" t="s">
        <v>32</v>
      </c>
      <c r="U481" s="5" t="str">
        <f t="shared" si="179"/>
        <v>Propriedade destinada a coordenar: é.ângulo.coordenado</v>
      </c>
      <c r="V481" s="5" t="str">
        <f t="shared" si="180"/>
        <v>Dado para coordenar:  ângulo.coordenado  Deve ser formatado como (xsd:double)</v>
      </c>
      <c r="W481" s="5" t="s">
        <v>5384</v>
      </c>
      <c r="X481" s="24" t="str">
        <f t="shared" si="181"/>
        <v>coord.105</v>
      </c>
      <c r="Y481" s="24" t="str">
        <f t="shared" si="182"/>
        <v>Ação de coordenar</v>
      </c>
      <c r="Z481" s="47" t="s">
        <v>6608</v>
      </c>
      <c r="AA481" s="25" t="str">
        <f t="shared" si="192"/>
        <v>null</v>
      </c>
      <c r="AB481" s="26" t="s">
        <v>0</v>
      </c>
      <c r="AC481" s="25" t="str">
        <f t="shared" si="193"/>
        <v>null</v>
      </c>
      <c r="AD481" s="26" t="s">
        <v>0</v>
      </c>
      <c r="AE481" s="25" t="str">
        <f t="shared" si="173"/>
        <v>null</v>
      </c>
      <c r="AF481" s="26" t="s">
        <v>0</v>
      </c>
      <c r="AG481" s="47" t="s">
        <v>6633</v>
      </c>
    </row>
    <row r="482" spans="1:33" ht="6.9" customHeight="1" x14ac:dyDescent="0.4">
      <c r="A482" s="4">
        <f>ROW()</f>
        <v>482</v>
      </c>
      <c r="B482" s="9" t="s">
        <v>27</v>
      </c>
      <c r="C482" s="54" t="str">
        <f t="shared" si="189"/>
        <v>p.dançar</v>
      </c>
      <c r="D482" s="6" t="str">
        <f t="shared" si="188"/>
        <v>é.coreto</v>
      </c>
      <c r="E482" s="8" t="s">
        <v>28</v>
      </c>
      <c r="F482" s="51" t="s">
        <v>4929</v>
      </c>
      <c r="G482" s="18" t="s">
        <v>4933</v>
      </c>
      <c r="H482" s="42" t="s">
        <v>2121</v>
      </c>
      <c r="I482" s="16" t="str">
        <f t="shared" si="191"/>
        <v>null</v>
      </c>
      <c r="J482" s="15" t="s">
        <v>0</v>
      </c>
      <c r="K482" s="15" t="s">
        <v>0</v>
      </c>
      <c r="L482" s="15" t="s">
        <v>0</v>
      </c>
      <c r="M482" s="15" t="s">
        <v>0</v>
      </c>
      <c r="N482" s="15" t="s">
        <v>0</v>
      </c>
      <c r="O482" s="15" t="s">
        <v>0</v>
      </c>
      <c r="P482" s="15" t="s">
        <v>0</v>
      </c>
      <c r="Q482" s="15" t="s">
        <v>0</v>
      </c>
      <c r="R482" s="15" t="s">
        <v>0</v>
      </c>
      <c r="S482" s="10" t="s">
        <v>1</v>
      </c>
      <c r="T482" s="10" t="s">
        <v>32</v>
      </c>
      <c r="U482" s="5" t="str">
        <f t="shared" si="179"/>
        <v>Propriedade destinada a dançar: é.coreto</v>
      </c>
      <c r="V482" s="5" t="str">
        <f t="shared" si="180"/>
        <v>Dado para dançar:  coreto  Deve ser formatado como (rdfs:Literal  or  xsd:string)</v>
      </c>
      <c r="W482" s="5" t="s">
        <v>5385</v>
      </c>
      <c r="X482" s="24" t="str">
        <f t="shared" si="181"/>
        <v>dança.100</v>
      </c>
      <c r="Y482" s="24" t="str">
        <f t="shared" si="182"/>
        <v>Ação de dançar</v>
      </c>
      <c r="Z482" s="47" t="s">
        <v>4938</v>
      </c>
      <c r="AA482" s="25" t="str">
        <f t="shared" si="192"/>
        <v>null</v>
      </c>
      <c r="AB482" s="26" t="s">
        <v>0</v>
      </c>
      <c r="AC482" s="25" t="str">
        <f t="shared" si="193"/>
        <v>null</v>
      </c>
      <c r="AD482" s="26" t="s">
        <v>0</v>
      </c>
      <c r="AE482" s="25" t="str">
        <f t="shared" si="173"/>
        <v>null</v>
      </c>
      <c r="AF482" s="26" t="s">
        <v>0</v>
      </c>
      <c r="AG482" s="47" t="s">
        <v>4953</v>
      </c>
    </row>
    <row r="483" spans="1:33" ht="6.9" customHeight="1" x14ac:dyDescent="0.4">
      <c r="A483" s="4">
        <f>ROW()</f>
        <v>483</v>
      </c>
      <c r="B483" s="9" t="s">
        <v>27</v>
      </c>
      <c r="C483" s="55" t="str">
        <f t="shared" ref="C483:C489" si="203">SUBSTITUTE(F483,"d.","p.")</f>
        <v>p.dançar</v>
      </c>
      <c r="D483" s="6" t="str">
        <f t="shared" si="188"/>
        <v>é.espaço.dj</v>
      </c>
      <c r="E483" s="8" t="s">
        <v>28</v>
      </c>
      <c r="F483" s="42" t="str">
        <f t="shared" ref="F483:F489" si="204">F482</f>
        <v>d.dançar</v>
      </c>
      <c r="G483" s="18" t="s">
        <v>4937</v>
      </c>
      <c r="H483" s="42" t="s">
        <v>2121</v>
      </c>
      <c r="I483" s="16" t="str">
        <f t="shared" ref="I483:I489" si="205">J483</f>
        <v>null</v>
      </c>
      <c r="J483" s="15" t="s">
        <v>0</v>
      </c>
      <c r="K483" s="15" t="s">
        <v>0</v>
      </c>
      <c r="L483" s="13" t="s">
        <v>0</v>
      </c>
      <c r="M483" s="13" t="s">
        <v>0</v>
      </c>
      <c r="N483" s="15" t="s">
        <v>0</v>
      </c>
      <c r="O483" s="13" t="s">
        <v>0</v>
      </c>
      <c r="P483" s="13" t="s">
        <v>0</v>
      </c>
      <c r="Q483" s="13" t="s">
        <v>0</v>
      </c>
      <c r="R483" s="15" t="s">
        <v>0</v>
      </c>
      <c r="S483" s="10" t="s">
        <v>1</v>
      </c>
      <c r="T483" s="10" t="s">
        <v>32</v>
      </c>
      <c r="U483" s="5" t="str">
        <f t="shared" si="179"/>
        <v>Propriedade destinada a dançar: é.espaço.dj</v>
      </c>
      <c r="V483" s="5" t="str">
        <f t="shared" si="180"/>
        <v>Dado para dançar:  espaço.dj  Deve ser formatado como (rdfs:Literal  or  xsd:string)</v>
      </c>
      <c r="W483" s="5" t="s">
        <v>5386</v>
      </c>
      <c r="X483" s="24" t="str">
        <f t="shared" si="181"/>
        <v>dança.101</v>
      </c>
      <c r="Y483" s="24" t="str">
        <f t="shared" si="182"/>
        <v>Ação de dançar</v>
      </c>
      <c r="Z483" s="47" t="s">
        <v>4939</v>
      </c>
      <c r="AA483" s="25" t="str">
        <f t="shared" ref="AA483:AA489" si="206">IF(AB483="null", "null", "categoria.revit")</f>
        <v>null</v>
      </c>
      <c r="AB483" s="26" t="s">
        <v>0</v>
      </c>
      <c r="AC483" s="25" t="str">
        <f t="shared" ref="AC483:AC489" si="207">IF(AD483="null", "null", "classe.ifc")</f>
        <v>null</v>
      </c>
      <c r="AD483" s="26" t="s">
        <v>0</v>
      </c>
      <c r="AE483" s="25" t="str">
        <f t="shared" si="173"/>
        <v>null</v>
      </c>
      <c r="AF483" s="26" t="s">
        <v>0</v>
      </c>
      <c r="AG483" s="47" t="s">
        <v>4946</v>
      </c>
    </row>
    <row r="484" spans="1:33" ht="6.9" customHeight="1" x14ac:dyDescent="0.4">
      <c r="A484" s="4">
        <f>ROW()</f>
        <v>484</v>
      </c>
      <c r="B484" s="9" t="s">
        <v>27</v>
      </c>
      <c r="C484" s="55" t="str">
        <f t="shared" si="203"/>
        <v>p.dançar</v>
      </c>
      <c r="D484" s="6" t="str">
        <f t="shared" si="188"/>
        <v>é.pista.de.dança</v>
      </c>
      <c r="E484" s="8" t="s">
        <v>28</v>
      </c>
      <c r="F484" s="42" t="str">
        <f t="shared" si="204"/>
        <v>d.dançar</v>
      </c>
      <c r="G484" s="18" t="s">
        <v>4930</v>
      </c>
      <c r="H484" s="42" t="s">
        <v>2121</v>
      </c>
      <c r="I484" s="16" t="str">
        <f t="shared" si="205"/>
        <v>null</v>
      </c>
      <c r="J484" s="15" t="s">
        <v>0</v>
      </c>
      <c r="K484" s="15" t="s">
        <v>0</v>
      </c>
      <c r="L484" s="13" t="s">
        <v>0</v>
      </c>
      <c r="M484" s="13" t="s">
        <v>0</v>
      </c>
      <c r="N484" s="15" t="s">
        <v>0</v>
      </c>
      <c r="O484" s="13" t="s">
        <v>0</v>
      </c>
      <c r="P484" s="13" t="s">
        <v>0</v>
      </c>
      <c r="Q484" s="13" t="s">
        <v>0</v>
      </c>
      <c r="R484" s="15" t="s">
        <v>0</v>
      </c>
      <c r="S484" s="10" t="s">
        <v>1</v>
      </c>
      <c r="T484" s="10" t="s">
        <v>32</v>
      </c>
      <c r="U484" s="5" t="str">
        <f t="shared" si="179"/>
        <v>Propriedade destinada a dançar: é.pista.de.dança</v>
      </c>
      <c r="V484" s="5" t="str">
        <f t="shared" si="180"/>
        <v>Dado para dançar:  pista.de.dança  Deve ser formatado como (rdfs:Literal  or  xsd:string)</v>
      </c>
      <c r="W484" s="5" t="s">
        <v>5387</v>
      </c>
      <c r="X484" s="24" t="str">
        <f t="shared" si="181"/>
        <v>dança.102</v>
      </c>
      <c r="Y484" s="24" t="str">
        <f t="shared" si="182"/>
        <v>Ação de dançar</v>
      </c>
      <c r="Z484" s="47" t="s">
        <v>4940</v>
      </c>
      <c r="AA484" s="25" t="str">
        <f t="shared" si="206"/>
        <v>null</v>
      </c>
      <c r="AB484" s="26" t="s">
        <v>0</v>
      </c>
      <c r="AC484" s="25" t="str">
        <f t="shared" si="207"/>
        <v>null</v>
      </c>
      <c r="AD484" s="26" t="s">
        <v>0</v>
      </c>
      <c r="AE484" s="25" t="str">
        <f t="shared" si="173"/>
        <v>null</v>
      </c>
      <c r="AF484" s="26" t="s">
        <v>0</v>
      </c>
      <c r="AG484" s="47" t="s">
        <v>4947</v>
      </c>
    </row>
    <row r="485" spans="1:33" ht="6.9" customHeight="1" x14ac:dyDescent="0.4">
      <c r="A485" s="4">
        <f>ROW()</f>
        <v>485</v>
      </c>
      <c r="B485" s="9" t="s">
        <v>27</v>
      </c>
      <c r="C485" s="55" t="str">
        <f t="shared" si="203"/>
        <v>p.dançar</v>
      </c>
      <c r="D485" s="6" t="str">
        <f t="shared" si="188"/>
        <v>é.pista.de.dança.escalonada</v>
      </c>
      <c r="E485" s="8" t="s">
        <v>28</v>
      </c>
      <c r="F485" s="42" t="str">
        <f t="shared" si="204"/>
        <v>d.dançar</v>
      </c>
      <c r="G485" s="18" t="s">
        <v>4936</v>
      </c>
      <c r="H485" s="42" t="s">
        <v>2121</v>
      </c>
      <c r="I485" s="16" t="str">
        <f t="shared" si="205"/>
        <v>null</v>
      </c>
      <c r="J485" s="15" t="s">
        <v>0</v>
      </c>
      <c r="K485" s="15" t="s">
        <v>0</v>
      </c>
      <c r="L485" s="13" t="s">
        <v>0</v>
      </c>
      <c r="M485" s="13" t="s">
        <v>0</v>
      </c>
      <c r="N485" s="15" t="s">
        <v>0</v>
      </c>
      <c r="O485" s="13" t="s">
        <v>0</v>
      </c>
      <c r="P485" s="13" t="s">
        <v>0</v>
      </c>
      <c r="Q485" s="13" t="s">
        <v>0</v>
      </c>
      <c r="R485" s="15" t="s">
        <v>0</v>
      </c>
      <c r="S485" s="10" t="s">
        <v>1</v>
      </c>
      <c r="T485" s="10" t="s">
        <v>32</v>
      </c>
      <c r="U485" s="5" t="str">
        <f t="shared" si="179"/>
        <v>Propriedade destinada a dançar: é.pista.de.dança.escalonada</v>
      </c>
      <c r="V485" s="5" t="str">
        <f t="shared" si="180"/>
        <v>Dado para dançar:  pista.de.dança.escalonada  Deve ser formatado como (rdfs:Literal  or  xsd:string)</v>
      </c>
      <c r="W485" s="5" t="s">
        <v>5388</v>
      </c>
      <c r="X485" s="24" t="str">
        <f t="shared" si="181"/>
        <v>dança.103</v>
      </c>
      <c r="Y485" s="24" t="str">
        <f t="shared" si="182"/>
        <v>Ação de dançar</v>
      </c>
      <c r="Z485" s="47" t="s">
        <v>4941</v>
      </c>
      <c r="AA485" s="25" t="str">
        <f t="shared" si="206"/>
        <v>null</v>
      </c>
      <c r="AB485" s="26" t="s">
        <v>0</v>
      </c>
      <c r="AC485" s="25" t="str">
        <f t="shared" si="207"/>
        <v>null</v>
      </c>
      <c r="AD485" s="26" t="s">
        <v>0</v>
      </c>
      <c r="AE485" s="25" t="str">
        <f t="shared" si="173"/>
        <v>null</v>
      </c>
      <c r="AF485" s="26" t="s">
        <v>0</v>
      </c>
      <c r="AG485" s="47" t="s">
        <v>4948</v>
      </c>
    </row>
    <row r="486" spans="1:33" ht="6.9" customHeight="1" x14ac:dyDescent="0.4">
      <c r="A486" s="4">
        <f>ROW()</f>
        <v>486</v>
      </c>
      <c r="B486" s="9" t="s">
        <v>27</v>
      </c>
      <c r="C486" s="55" t="str">
        <f t="shared" si="203"/>
        <v>p.dançar</v>
      </c>
      <c r="D486" s="6" t="str">
        <f t="shared" si="188"/>
        <v>é.tablado</v>
      </c>
      <c r="E486" s="8" t="s">
        <v>28</v>
      </c>
      <c r="F486" s="42" t="str">
        <f t="shared" si="204"/>
        <v>d.dançar</v>
      </c>
      <c r="G486" s="18" t="s">
        <v>4931</v>
      </c>
      <c r="H486" s="42" t="s">
        <v>2121</v>
      </c>
      <c r="I486" s="16" t="str">
        <f t="shared" si="205"/>
        <v>null</v>
      </c>
      <c r="J486" s="15" t="s">
        <v>0</v>
      </c>
      <c r="K486" s="15" t="s">
        <v>0</v>
      </c>
      <c r="L486" s="13" t="s">
        <v>0</v>
      </c>
      <c r="M486" s="13" t="s">
        <v>0</v>
      </c>
      <c r="N486" s="15" t="s">
        <v>0</v>
      </c>
      <c r="O486" s="13" t="s">
        <v>0</v>
      </c>
      <c r="P486" s="13" t="s">
        <v>0</v>
      </c>
      <c r="Q486" s="13" t="s">
        <v>0</v>
      </c>
      <c r="R486" s="15" t="s">
        <v>0</v>
      </c>
      <c r="S486" s="10" t="s">
        <v>1</v>
      </c>
      <c r="T486" s="10" t="s">
        <v>32</v>
      </c>
      <c r="U486" s="5" t="str">
        <f t="shared" si="179"/>
        <v>Propriedade destinada a dançar: é.tablado</v>
      </c>
      <c r="V486" s="5" t="str">
        <f t="shared" si="180"/>
        <v>Dado para dançar:  tablado  Deve ser formatado como (rdfs:Literal  or  xsd:string)</v>
      </c>
      <c r="W486" s="5" t="s">
        <v>5389</v>
      </c>
      <c r="X486" s="24" t="str">
        <f t="shared" si="181"/>
        <v>dança.104</v>
      </c>
      <c r="Y486" s="24" t="str">
        <f t="shared" si="182"/>
        <v>Ação de dançar</v>
      </c>
      <c r="Z486" s="47" t="s">
        <v>4944</v>
      </c>
      <c r="AA486" s="25" t="str">
        <f t="shared" si="206"/>
        <v>null</v>
      </c>
      <c r="AB486" s="26" t="s">
        <v>0</v>
      </c>
      <c r="AC486" s="25" t="str">
        <f t="shared" si="207"/>
        <v>null</v>
      </c>
      <c r="AD486" s="26" t="s">
        <v>0</v>
      </c>
      <c r="AE486" s="25" t="str">
        <f t="shared" si="173"/>
        <v>null</v>
      </c>
      <c r="AF486" s="26" t="s">
        <v>0</v>
      </c>
      <c r="AG486" s="47" t="s">
        <v>4949</v>
      </c>
    </row>
    <row r="487" spans="1:33" ht="6.9" customHeight="1" x14ac:dyDescent="0.4">
      <c r="A487" s="4">
        <f>ROW()</f>
        <v>487</v>
      </c>
      <c r="B487" s="9" t="s">
        <v>27</v>
      </c>
      <c r="C487" s="55" t="str">
        <f t="shared" si="203"/>
        <v>p.dançar</v>
      </c>
      <c r="D487" s="6" t="str">
        <f t="shared" si="188"/>
        <v>é.terreiro</v>
      </c>
      <c r="E487" s="8" t="s">
        <v>28</v>
      </c>
      <c r="F487" s="42" t="str">
        <f t="shared" si="204"/>
        <v>d.dançar</v>
      </c>
      <c r="G487" s="18" t="s">
        <v>4935</v>
      </c>
      <c r="H487" s="42" t="s">
        <v>2121</v>
      </c>
      <c r="I487" s="16" t="str">
        <f t="shared" si="205"/>
        <v>null</v>
      </c>
      <c r="J487" s="15" t="s">
        <v>0</v>
      </c>
      <c r="K487" s="15" t="s">
        <v>0</v>
      </c>
      <c r="L487" s="13" t="s">
        <v>0</v>
      </c>
      <c r="M487" s="13" t="s">
        <v>0</v>
      </c>
      <c r="N487" s="15" t="s">
        <v>0</v>
      </c>
      <c r="O487" s="13" t="s">
        <v>0</v>
      </c>
      <c r="P487" s="13" t="s">
        <v>0</v>
      </c>
      <c r="Q487" s="13" t="s">
        <v>0</v>
      </c>
      <c r="R487" s="15" t="s">
        <v>0</v>
      </c>
      <c r="S487" s="10" t="s">
        <v>1</v>
      </c>
      <c r="T487" s="10" t="s">
        <v>32</v>
      </c>
      <c r="U487" s="5" t="str">
        <f t="shared" si="179"/>
        <v>Propriedade destinada a dançar: é.terreiro</v>
      </c>
      <c r="V487" s="5" t="str">
        <f t="shared" si="180"/>
        <v>Dado para dançar:  terreiro  Deve ser formatado como (rdfs:Literal  or  xsd:string)</v>
      </c>
      <c r="W487" s="5" t="s">
        <v>5390</v>
      </c>
      <c r="X487" s="24" t="str">
        <f t="shared" si="181"/>
        <v>dança.105</v>
      </c>
      <c r="Y487" s="24" t="str">
        <f t="shared" si="182"/>
        <v>Ação de dançar</v>
      </c>
      <c r="Z487" s="47" t="s">
        <v>4942</v>
      </c>
      <c r="AA487" s="25" t="str">
        <f t="shared" si="206"/>
        <v>null</v>
      </c>
      <c r="AB487" s="26" t="s">
        <v>0</v>
      </c>
      <c r="AC487" s="25" t="str">
        <f t="shared" si="207"/>
        <v>null</v>
      </c>
      <c r="AD487" s="26" t="s">
        <v>0</v>
      </c>
      <c r="AE487" s="25" t="str">
        <f t="shared" si="173"/>
        <v>null</v>
      </c>
      <c r="AF487" s="26" t="s">
        <v>0</v>
      </c>
      <c r="AG487" s="47" t="s">
        <v>4950</v>
      </c>
    </row>
    <row r="488" spans="1:33" ht="6.9" customHeight="1" x14ac:dyDescent="0.4">
      <c r="A488" s="4">
        <f>ROW()</f>
        <v>488</v>
      </c>
      <c r="B488" s="9" t="s">
        <v>27</v>
      </c>
      <c r="C488" s="55" t="str">
        <f t="shared" si="203"/>
        <v>p.dançar</v>
      </c>
      <c r="D488" s="6" t="str">
        <f t="shared" si="188"/>
        <v>é.torre.de.iluminação</v>
      </c>
      <c r="E488" s="8" t="s">
        <v>28</v>
      </c>
      <c r="F488" s="42" t="str">
        <f t="shared" si="204"/>
        <v>d.dançar</v>
      </c>
      <c r="G488" s="18" t="s">
        <v>4934</v>
      </c>
      <c r="H488" s="42" t="s">
        <v>2121</v>
      </c>
      <c r="I488" s="16" t="str">
        <f t="shared" si="205"/>
        <v>null</v>
      </c>
      <c r="J488" s="15" t="s">
        <v>0</v>
      </c>
      <c r="K488" s="15" t="s">
        <v>0</v>
      </c>
      <c r="L488" s="13" t="s">
        <v>0</v>
      </c>
      <c r="M488" s="13" t="s">
        <v>0</v>
      </c>
      <c r="N488" s="15" t="s">
        <v>0</v>
      </c>
      <c r="O488" s="13" t="s">
        <v>0</v>
      </c>
      <c r="P488" s="13" t="s">
        <v>0</v>
      </c>
      <c r="Q488" s="13" t="s">
        <v>0</v>
      </c>
      <c r="R488" s="15" t="s">
        <v>0</v>
      </c>
      <c r="S488" s="10" t="s">
        <v>1</v>
      </c>
      <c r="T488" s="10" t="s">
        <v>32</v>
      </c>
      <c r="U488" s="5" t="str">
        <f t="shared" si="179"/>
        <v>Propriedade destinada a dançar: é.torre.de.iluminação</v>
      </c>
      <c r="V488" s="5" t="str">
        <f t="shared" si="180"/>
        <v>Dado para dançar:  torre.de.iluminação  Deve ser formatado como (rdfs:Literal  or  xsd:string)</v>
      </c>
      <c r="W488" s="5" t="s">
        <v>5391</v>
      </c>
      <c r="X488" s="24" t="str">
        <f t="shared" si="181"/>
        <v>dança.106</v>
      </c>
      <c r="Y488" s="24" t="str">
        <f t="shared" si="182"/>
        <v>Ação de dançar</v>
      </c>
      <c r="Z488" s="47" t="s">
        <v>4945</v>
      </c>
      <c r="AA488" s="25" t="str">
        <f t="shared" si="206"/>
        <v>null</v>
      </c>
      <c r="AB488" s="26" t="s">
        <v>0</v>
      </c>
      <c r="AC488" s="25" t="str">
        <f t="shared" si="207"/>
        <v>null</v>
      </c>
      <c r="AD488" s="26" t="s">
        <v>0</v>
      </c>
      <c r="AE488" s="25" t="str">
        <f t="shared" si="173"/>
        <v>null</v>
      </c>
      <c r="AF488" s="26" t="s">
        <v>0</v>
      </c>
      <c r="AG488" s="47" t="s">
        <v>4951</v>
      </c>
    </row>
    <row r="489" spans="1:33" ht="6.9" customHeight="1" x14ac:dyDescent="0.4">
      <c r="A489" s="4">
        <f>ROW()</f>
        <v>489</v>
      </c>
      <c r="B489" s="9" t="s">
        <v>27</v>
      </c>
      <c r="C489" s="55" t="str">
        <f t="shared" si="203"/>
        <v>p.dançar</v>
      </c>
      <c r="D489" s="6" t="str">
        <f t="shared" si="188"/>
        <v>é.torre.de.som</v>
      </c>
      <c r="E489" s="8" t="s">
        <v>28</v>
      </c>
      <c r="F489" s="42" t="str">
        <f t="shared" si="204"/>
        <v>d.dançar</v>
      </c>
      <c r="G489" s="18" t="s">
        <v>4932</v>
      </c>
      <c r="H489" s="42" t="s">
        <v>2121</v>
      </c>
      <c r="I489" s="16" t="str">
        <f t="shared" si="205"/>
        <v>null</v>
      </c>
      <c r="J489" s="15" t="s">
        <v>0</v>
      </c>
      <c r="K489" s="15" t="s">
        <v>0</v>
      </c>
      <c r="L489" s="13" t="s">
        <v>0</v>
      </c>
      <c r="M489" s="13" t="s">
        <v>0</v>
      </c>
      <c r="N489" s="15" t="s">
        <v>0</v>
      </c>
      <c r="O489" s="13" t="s">
        <v>0</v>
      </c>
      <c r="P489" s="13" t="s">
        <v>0</v>
      </c>
      <c r="Q489" s="13" t="s">
        <v>0</v>
      </c>
      <c r="R489" s="15" t="s">
        <v>0</v>
      </c>
      <c r="S489" s="10" t="s">
        <v>1</v>
      </c>
      <c r="T489" s="10" t="s">
        <v>32</v>
      </c>
      <c r="U489" s="5" t="str">
        <f t="shared" si="179"/>
        <v>Propriedade destinada a dançar: é.torre.de.som</v>
      </c>
      <c r="V489" s="5" t="str">
        <f t="shared" si="180"/>
        <v>Dado para dançar:  torre.de.som  Deve ser formatado como (rdfs:Literal  or  xsd:string)</v>
      </c>
      <c r="W489" s="5" t="s">
        <v>5392</v>
      </c>
      <c r="X489" s="24" t="str">
        <f t="shared" si="181"/>
        <v>dança.107</v>
      </c>
      <c r="Y489" s="24" t="str">
        <f t="shared" si="182"/>
        <v>Ação de dançar</v>
      </c>
      <c r="Z489" s="47" t="s">
        <v>4943</v>
      </c>
      <c r="AA489" s="25" t="str">
        <f t="shared" si="206"/>
        <v>null</v>
      </c>
      <c r="AB489" s="26" t="s">
        <v>0</v>
      </c>
      <c r="AC489" s="25" t="str">
        <f t="shared" si="207"/>
        <v>null</v>
      </c>
      <c r="AD489" s="26" t="s">
        <v>0</v>
      </c>
      <c r="AE489" s="25" t="str">
        <f t="shared" si="173"/>
        <v>null</v>
      </c>
      <c r="AF489" s="26" t="s">
        <v>0</v>
      </c>
      <c r="AG489" s="47" t="s">
        <v>4952</v>
      </c>
    </row>
    <row r="490" spans="1:33" ht="6.9" customHeight="1" x14ac:dyDescent="0.4">
      <c r="A490" s="4">
        <f>ROW()</f>
        <v>490</v>
      </c>
      <c r="B490" s="9" t="s">
        <v>27</v>
      </c>
      <c r="C490" s="54" t="str">
        <f t="shared" ref="C490:C497" si="208">SUBSTITUTE(F490,"d.","p.")</f>
        <v>p.datar</v>
      </c>
      <c r="D490" s="6" t="str">
        <f t="shared" si="188"/>
        <v>é.fechado.em</v>
      </c>
      <c r="E490" s="8" t="s">
        <v>28</v>
      </c>
      <c r="F490" s="51" t="s">
        <v>2266</v>
      </c>
      <c r="G490" s="18" t="s">
        <v>2267</v>
      </c>
      <c r="H490" s="41" t="s">
        <v>34</v>
      </c>
      <c r="I490" s="16" t="str">
        <f t="shared" si="184"/>
        <v>null</v>
      </c>
      <c r="J490" s="15" t="s">
        <v>0</v>
      </c>
      <c r="K490" s="15" t="s">
        <v>0</v>
      </c>
      <c r="L490" s="15" t="s">
        <v>0</v>
      </c>
      <c r="M490" s="15" t="s">
        <v>0</v>
      </c>
      <c r="N490" s="15" t="s">
        <v>0</v>
      </c>
      <c r="O490" s="15" t="s">
        <v>0</v>
      </c>
      <c r="P490" s="15" t="s">
        <v>0</v>
      </c>
      <c r="Q490" s="15" t="s">
        <v>0</v>
      </c>
      <c r="R490" s="15" t="s">
        <v>0</v>
      </c>
      <c r="S490" s="10" t="s">
        <v>1</v>
      </c>
      <c r="T490" s="10" t="s">
        <v>32</v>
      </c>
      <c r="U490" s="5" t="str">
        <f t="shared" si="179"/>
        <v>Propriedade destinada a datar: é.fechado.em</v>
      </c>
      <c r="V490" s="5" t="str">
        <f t="shared" si="180"/>
        <v>Dado para datar:  fechado.em  Deve ser formatado como (xsd:dateTime)</v>
      </c>
      <c r="W490" s="5" t="s">
        <v>5393</v>
      </c>
      <c r="X490" s="24" t="str">
        <f t="shared" si="181"/>
        <v>datar.100</v>
      </c>
      <c r="Y490" s="24" t="str">
        <f t="shared" si="182"/>
        <v>Ação de datar</v>
      </c>
      <c r="Z490" s="47" t="s">
        <v>3421</v>
      </c>
      <c r="AA490" s="25" t="str">
        <f t="shared" si="185"/>
        <v>null</v>
      </c>
      <c r="AB490" s="26" t="s">
        <v>0</v>
      </c>
      <c r="AC490" s="25" t="str">
        <f t="shared" si="186"/>
        <v>null</v>
      </c>
      <c r="AD490" s="26" t="s">
        <v>0</v>
      </c>
      <c r="AE490" s="25" t="str">
        <f t="shared" si="173"/>
        <v>null</v>
      </c>
      <c r="AF490" s="26" t="s">
        <v>0</v>
      </c>
      <c r="AG490" s="47" t="s">
        <v>4778</v>
      </c>
    </row>
    <row r="491" spans="1:33" ht="6.9" customHeight="1" x14ac:dyDescent="0.4">
      <c r="A491" s="4">
        <f>ROW()</f>
        <v>491</v>
      </c>
      <c r="B491" s="9" t="s">
        <v>27</v>
      </c>
      <c r="C491" s="55" t="str">
        <f t="shared" ref="C491:C492" si="209">SUBSTITUTE(F491,"d.","p.")</f>
        <v>p.datar</v>
      </c>
      <c r="D491" s="6" t="str">
        <f t="shared" si="188"/>
        <v>é.criado.em</v>
      </c>
      <c r="E491" s="8" t="s">
        <v>28</v>
      </c>
      <c r="F491" s="42" t="s">
        <v>2266</v>
      </c>
      <c r="G491" s="18" t="s">
        <v>2265</v>
      </c>
      <c r="H491" s="41" t="s">
        <v>34</v>
      </c>
      <c r="I491" s="16" t="str">
        <f t="shared" si="184"/>
        <v>null</v>
      </c>
      <c r="J491" s="15" t="s">
        <v>0</v>
      </c>
      <c r="K491" s="15" t="s">
        <v>0</v>
      </c>
      <c r="L491" s="13" t="s">
        <v>0</v>
      </c>
      <c r="M491" s="13" t="s">
        <v>0</v>
      </c>
      <c r="N491" s="15" t="s">
        <v>0</v>
      </c>
      <c r="O491" s="13" t="s">
        <v>0</v>
      </c>
      <c r="P491" s="13" t="s">
        <v>0</v>
      </c>
      <c r="Q491" s="13" t="s">
        <v>0</v>
      </c>
      <c r="R491" s="15" t="s">
        <v>0</v>
      </c>
      <c r="S491" s="10" t="s">
        <v>1</v>
      </c>
      <c r="T491" s="10" t="s">
        <v>32</v>
      </c>
      <c r="U491" s="5" t="str">
        <f t="shared" si="179"/>
        <v>Propriedade destinada a datar: é.criado.em</v>
      </c>
      <c r="V491" s="5" t="str">
        <f t="shared" si="180"/>
        <v>Dado para datar:  criado.em  Deve ser formatado como (xsd:dateTime)</v>
      </c>
      <c r="W491" s="5" t="s">
        <v>5394</v>
      </c>
      <c r="X491" s="24" t="str">
        <f t="shared" si="181"/>
        <v>datar.101</v>
      </c>
      <c r="Y491" s="24" t="str">
        <f t="shared" si="182"/>
        <v>Ação de datar</v>
      </c>
      <c r="Z491" s="47" t="s">
        <v>3428</v>
      </c>
      <c r="AA491" s="25" t="str">
        <f t="shared" si="185"/>
        <v>null</v>
      </c>
      <c r="AB491" s="26" t="s">
        <v>0</v>
      </c>
      <c r="AC491" s="25" t="str">
        <f t="shared" si="186"/>
        <v>null</v>
      </c>
      <c r="AD491" s="26" t="s">
        <v>0</v>
      </c>
      <c r="AE491" s="25" t="str">
        <f t="shared" si="173"/>
        <v>null</v>
      </c>
      <c r="AF491" s="26" t="s">
        <v>0</v>
      </c>
      <c r="AG491" s="47" t="s">
        <v>2738</v>
      </c>
    </row>
    <row r="492" spans="1:33" ht="6.9" customHeight="1" x14ac:dyDescent="0.4">
      <c r="A492" s="4">
        <f>ROW()</f>
        <v>492</v>
      </c>
      <c r="B492" s="9" t="s">
        <v>27</v>
      </c>
      <c r="C492" s="55" t="str">
        <f t="shared" si="209"/>
        <v>p.datar</v>
      </c>
      <c r="D492" s="6" t="str">
        <f t="shared" si="188"/>
        <v>é.plotado.em</v>
      </c>
      <c r="E492" s="8" t="s">
        <v>28</v>
      </c>
      <c r="F492" s="42" t="s">
        <v>2266</v>
      </c>
      <c r="G492" s="18" t="s">
        <v>3418</v>
      </c>
      <c r="H492" s="41" t="s">
        <v>34</v>
      </c>
      <c r="I492" s="16" t="str">
        <f t="shared" si="184"/>
        <v>null</v>
      </c>
      <c r="J492" s="15" t="s">
        <v>0</v>
      </c>
      <c r="K492" s="15" t="s">
        <v>0</v>
      </c>
      <c r="L492" s="13" t="s">
        <v>0</v>
      </c>
      <c r="M492" s="13" t="s">
        <v>0</v>
      </c>
      <c r="N492" s="15" t="s">
        <v>0</v>
      </c>
      <c r="O492" s="13" t="s">
        <v>0</v>
      </c>
      <c r="P492" s="13" t="s">
        <v>0</v>
      </c>
      <c r="Q492" s="13" t="s">
        <v>0</v>
      </c>
      <c r="R492" s="15" t="s">
        <v>0</v>
      </c>
      <c r="S492" s="10" t="s">
        <v>1</v>
      </c>
      <c r="T492" s="10" t="s">
        <v>32</v>
      </c>
      <c r="U492" s="5" t="str">
        <f t="shared" si="179"/>
        <v>Propriedade destinada a datar: é.plotado.em</v>
      </c>
      <c r="V492" s="5" t="str">
        <f t="shared" si="180"/>
        <v>Dado para datar:  plotado.em  Deve ser formatado como (xsd:dateTime)</v>
      </c>
      <c r="W492" s="5" t="s">
        <v>5395</v>
      </c>
      <c r="X492" s="24" t="str">
        <f t="shared" si="181"/>
        <v>datar.102</v>
      </c>
      <c r="Y492" s="24" t="str">
        <f t="shared" si="182"/>
        <v>Ação de datar</v>
      </c>
      <c r="Z492" s="47" t="s">
        <v>3429</v>
      </c>
      <c r="AA492" s="25" t="str">
        <f t="shared" si="185"/>
        <v>null</v>
      </c>
      <c r="AB492" s="26" t="s">
        <v>0</v>
      </c>
      <c r="AC492" s="25" t="str">
        <f t="shared" si="186"/>
        <v>null</v>
      </c>
      <c r="AD492" s="26" t="s">
        <v>0</v>
      </c>
      <c r="AE492" s="25" t="str">
        <f t="shared" si="173"/>
        <v>null</v>
      </c>
      <c r="AF492" s="26" t="s">
        <v>0</v>
      </c>
      <c r="AG492" s="47" t="s">
        <v>2738</v>
      </c>
    </row>
    <row r="493" spans="1:33" ht="6.9" customHeight="1" x14ac:dyDescent="0.4">
      <c r="A493" s="4">
        <f>ROW()</f>
        <v>493</v>
      </c>
      <c r="B493" s="9" t="s">
        <v>27</v>
      </c>
      <c r="C493" s="55" t="str">
        <f t="shared" si="208"/>
        <v>p.datar</v>
      </c>
      <c r="D493" s="6" t="str">
        <f t="shared" si="188"/>
        <v>é.emitido.em</v>
      </c>
      <c r="E493" s="8" t="s">
        <v>28</v>
      </c>
      <c r="F493" s="42" t="s">
        <v>2266</v>
      </c>
      <c r="G493" s="18" t="s">
        <v>3417</v>
      </c>
      <c r="H493" s="41" t="s">
        <v>34</v>
      </c>
      <c r="I493" s="16" t="str">
        <f t="shared" si="184"/>
        <v>null</v>
      </c>
      <c r="J493" s="15" t="s">
        <v>0</v>
      </c>
      <c r="K493" s="15" t="s">
        <v>0</v>
      </c>
      <c r="L493" s="13" t="s">
        <v>0</v>
      </c>
      <c r="M493" s="13" t="s">
        <v>0</v>
      </c>
      <c r="N493" s="15" t="s">
        <v>0</v>
      </c>
      <c r="O493" s="13" t="s">
        <v>0</v>
      </c>
      <c r="P493" s="13" t="s">
        <v>0</v>
      </c>
      <c r="Q493" s="13" t="s">
        <v>0</v>
      </c>
      <c r="R493" s="15" t="s">
        <v>0</v>
      </c>
      <c r="S493" s="10" t="s">
        <v>1</v>
      </c>
      <c r="T493" s="10" t="s">
        <v>32</v>
      </c>
      <c r="U493" s="5" t="str">
        <f t="shared" si="179"/>
        <v>Propriedade destinada a datar: é.emitido.em</v>
      </c>
      <c r="V493" s="5" t="str">
        <f t="shared" si="180"/>
        <v>Dado para datar:  emitido.em  Deve ser formatado como (xsd:dateTime)</v>
      </c>
      <c r="W493" s="5" t="s">
        <v>5396</v>
      </c>
      <c r="X493" s="24" t="str">
        <f t="shared" si="181"/>
        <v>datar.103</v>
      </c>
      <c r="Y493" s="24" t="str">
        <f t="shared" si="182"/>
        <v>Ação de datar</v>
      </c>
      <c r="Z493" s="47" t="s">
        <v>3422</v>
      </c>
      <c r="AA493" s="25" t="str">
        <f t="shared" si="185"/>
        <v>null</v>
      </c>
      <c r="AB493" s="26" t="s">
        <v>0</v>
      </c>
      <c r="AC493" s="25" t="str">
        <f t="shared" si="186"/>
        <v>null</v>
      </c>
      <c r="AD493" s="26" t="s">
        <v>0</v>
      </c>
      <c r="AE493" s="25" t="str">
        <f t="shared" si="173"/>
        <v>null</v>
      </c>
      <c r="AF493" s="26" t="s">
        <v>0</v>
      </c>
      <c r="AG493" s="47" t="s">
        <v>2738</v>
      </c>
    </row>
    <row r="494" spans="1:33" ht="6.9" customHeight="1" x14ac:dyDescent="0.4">
      <c r="A494" s="4">
        <f>ROW()</f>
        <v>494</v>
      </c>
      <c r="B494" s="9" t="s">
        <v>27</v>
      </c>
      <c r="C494" s="55" t="str">
        <f t="shared" ref="C494:C496" si="210">SUBSTITUTE(F494,"d.","p.")</f>
        <v>p.datar</v>
      </c>
      <c r="D494" s="6" t="str">
        <f t="shared" si="188"/>
        <v>é.entregue.em</v>
      </c>
      <c r="E494" s="8" t="s">
        <v>28</v>
      </c>
      <c r="F494" s="42" t="s">
        <v>2266</v>
      </c>
      <c r="G494" s="18" t="s">
        <v>3416</v>
      </c>
      <c r="H494" s="41" t="s">
        <v>34</v>
      </c>
      <c r="I494" s="16" t="str">
        <f t="shared" si="184"/>
        <v>null</v>
      </c>
      <c r="J494" s="15" t="s">
        <v>0</v>
      </c>
      <c r="K494" s="15" t="s">
        <v>0</v>
      </c>
      <c r="L494" s="13" t="s">
        <v>0</v>
      </c>
      <c r="M494" s="13" t="s">
        <v>0</v>
      </c>
      <c r="N494" s="15" t="s">
        <v>0</v>
      </c>
      <c r="O494" s="13" t="s">
        <v>0</v>
      </c>
      <c r="P494" s="13" t="s">
        <v>0</v>
      </c>
      <c r="Q494" s="13" t="s">
        <v>0</v>
      </c>
      <c r="R494" s="15" t="s">
        <v>0</v>
      </c>
      <c r="S494" s="10" t="s">
        <v>1</v>
      </c>
      <c r="T494" s="10" t="s">
        <v>32</v>
      </c>
      <c r="U494" s="5" t="str">
        <f t="shared" si="179"/>
        <v>Propriedade destinada a datar: é.entregue.em</v>
      </c>
      <c r="V494" s="5" t="str">
        <f t="shared" si="180"/>
        <v>Dado para datar:  entregue.em  Deve ser formatado como (xsd:dateTime)</v>
      </c>
      <c r="W494" s="5" t="s">
        <v>5397</v>
      </c>
      <c r="X494" s="24" t="str">
        <f t="shared" si="181"/>
        <v>datar.104</v>
      </c>
      <c r="Y494" s="24" t="str">
        <f t="shared" si="182"/>
        <v>Ação de datar</v>
      </c>
      <c r="Z494" s="47" t="s">
        <v>3423</v>
      </c>
      <c r="AA494" s="25" t="str">
        <f t="shared" si="185"/>
        <v>null</v>
      </c>
      <c r="AB494" s="26" t="s">
        <v>0</v>
      </c>
      <c r="AC494" s="25" t="str">
        <f t="shared" si="186"/>
        <v>null</v>
      </c>
      <c r="AD494" s="26" t="s">
        <v>0</v>
      </c>
      <c r="AE494" s="25" t="str">
        <f t="shared" si="173"/>
        <v>null</v>
      </c>
      <c r="AF494" s="26" t="s">
        <v>0</v>
      </c>
      <c r="AG494" s="47" t="s">
        <v>2738</v>
      </c>
    </row>
    <row r="495" spans="1:33" ht="6.9" customHeight="1" x14ac:dyDescent="0.4">
      <c r="A495" s="4">
        <f>ROW()</f>
        <v>495</v>
      </c>
      <c r="B495" s="9" t="s">
        <v>27</v>
      </c>
      <c r="C495" s="55" t="str">
        <f t="shared" si="210"/>
        <v>p.datar</v>
      </c>
      <c r="D495" s="6" t="str">
        <f t="shared" si="188"/>
        <v>é.instalado.em</v>
      </c>
      <c r="E495" s="8" t="s">
        <v>28</v>
      </c>
      <c r="F495" s="42" t="s">
        <v>2266</v>
      </c>
      <c r="G495" s="18" t="s">
        <v>3419</v>
      </c>
      <c r="H495" s="41" t="s">
        <v>34</v>
      </c>
      <c r="I495" s="16" t="str">
        <f t="shared" si="184"/>
        <v>null</v>
      </c>
      <c r="J495" s="15" t="s">
        <v>0</v>
      </c>
      <c r="K495" s="15" t="s">
        <v>0</v>
      </c>
      <c r="L495" s="13" t="s">
        <v>0</v>
      </c>
      <c r="M495" s="13" t="s">
        <v>0</v>
      </c>
      <c r="N495" s="15" t="s">
        <v>0</v>
      </c>
      <c r="O495" s="13" t="s">
        <v>0</v>
      </c>
      <c r="P495" s="13" t="s">
        <v>0</v>
      </c>
      <c r="Q495" s="13" t="s">
        <v>0</v>
      </c>
      <c r="R495" s="15" t="s">
        <v>0</v>
      </c>
      <c r="S495" s="10" t="s">
        <v>1</v>
      </c>
      <c r="T495" s="10" t="s">
        <v>32</v>
      </c>
      <c r="U495" s="5" t="str">
        <f t="shared" si="179"/>
        <v>Propriedade destinada a datar: é.instalado.em</v>
      </c>
      <c r="V495" s="5" t="str">
        <f t="shared" si="180"/>
        <v>Dado para datar:  instalado.em  Deve ser formatado como (xsd:dateTime)</v>
      </c>
      <c r="W495" s="5" t="s">
        <v>5398</v>
      </c>
      <c r="X495" s="24" t="str">
        <f t="shared" si="181"/>
        <v>datar.105</v>
      </c>
      <c r="Y495" s="24" t="str">
        <f t="shared" si="182"/>
        <v>Ação de datar</v>
      </c>
      <c r="Z495" s="47" t="s">
        <v>3424</v>
      </c>
      <c r="AA495" s="25" t="str">
        <f t="shared" si="185"/>
        <v>null</v>
      </c>
      <c r="AB495" s="26" t="s">
        <v>0</v>
      </c>
      <c r="AC495" s="25" t="str">
        <f t="shared" si="186"/>
        <v>null</v>
      </c>
      <c r="AD495" s="26" t="s">
        <v>0</v>
      </c>
      <c r="AE495" s="25" t="str">
        <f t="shared" si="173"/>
        <v>null</v>
      </c>
      <c r="AF495" s="26" t="s">
        <v>0</v>
      </c>
      <c r="AG495" s="47" t="s">
        <v>2738</v>
      </c>
    </row>
    <row r="496" spans="1:33" ht="6.9" customHeight="1" x14ac:dyDescent="0.4">
      <c r="A496" s="4">
        <f>ROW()</f>
        <v>496</v>
      </c>
      <c r="B496" s="9" t="s">
        <v>27</v>
      </c>
      <c r="C496" s="55" t="str">
        <f t="shared" si="210"/>
        <v>p.datar</v>
      </c>
      <c r="D496" s="6" t="str">
        <f t="shared" si="188"/>
        <v>é.pintado.em</v>
      </c>
      <c r="E496" s="8" t="s">
        <v>28</v>
      </c>
      <c r="F496" s="42" t="s">
        <v>2266</v>
      </c>
      <c r="G496" s="18" t="s">
        <v>3420</v>
      </c>
      <c r="H496" s="41" t="s">
        <v>34</v>
      </c>
      <c r="I496" s="16" t="str">
        <f t="shared" si="184"/>
        <v>null</v>
      </c>
      <c r="J496" s="15" t="s">
        <v>0</v>
      </c>
      <c r="K496" s="15" t="s">
        <v>0</v>
      </c>
      <c r="L496" s="13" t="s">
        <v>0</v>
      </c>
      <c r="M496" s="13" t="s">
        <v>0</v>
      </c>
      <c r="N496" s="15" t="s">
        <v>0</v>
      </c>
      <c r="O496" s="13" t="s">
        <v>0</v>
      </c>
      <c r="P496" s="13" t="s">
        <v>0</v>
      </c>
      <c r="Q496" s="13" t="s">
        <v>0</v>
      </c>
      <c r="R496" s="15" t="s">
        <v>0</v>
      </c>
      <c r="S496" s="10" t="s">
        <v>1</v>
      </c>
      <c r="T496" s="10" t="s">
        <v>32</v>
      </c>
      <c r="U496" s="5" t="str">
        <f t="shared" si="179"/>
        <v>Propriedade destinada a datar: é.pintado.em</v>
      </c>
      <c r="V496" s="5" t="str">
        <f t="shared" si="180"/>
        <v>Dado para datar:  pintado.em  Deve ser formatado como (xsd:dateTime)</v>
      </c>
      <c r="W496" s="5" t="s">
        <v>5399</v>
      </c>
      <c r="X496" s="24" t="str">
        <f t="shared" si="181"/>
        <v>datar.106</v>
      </c>
      <c r="Y496" s="24" t="str">
        <f t="shared" si="182"/>
        <v>Ação de datar</v>
      </c>
      <c r="Z496" s="47" t="s">
        <v>3425</v>
      </c>
      <c r="AA496" s="25" t="str">
        <f t="shared" si="185"/>
        <v>null</v>
      </c>
      <c r="AB496" s="26" t="s">
        <v>0</v>
      </c>
      <c r="AC496" s="25" t="str">
        <f t="shared" si="186"/>
        <v>null</v>
      </c>
      <c r="AD496" s="26" t="s">
        <v>0</v>
      </c>
      <c r="AE496" s="25" t="str">
        <f t="shared" si="173"/>
        <v>null</v>
      </c>
      <c r="AF496" s="26" t="s">
        <v>0</v>
      </c>
      <c r="AG496" s="47" t="s">
        <v>2738</v>
      </c>
    </row>
    <row r="497" spans="1:33" ht="6.9" customHeight="1" x14ac:dyDescent="0.4">
      <c r="A497" s="4">
        <f>ROW()</f>
        <v>497</v>
      </c>
      <c r="B497" s="9" t="s">
        <v>27</v>
      </c>
      <c r="C497" s="55" t="str">
        <f t="shared" si="208"/>
        <v>p.datar</v>
      </c>
      <c r="D497" s="6" t="str">
        <f t="shared" si="188"/>
        <v>é.comisionado.em</v>
      </c>
      <c r="E497" s="8" t="s">
        <v>28</v>
      </c>
      <c r="F497" s="42" t="s">
        <v>2266</v>
      </c>
      <c r="G497" s="18" t="s">
        <v>3415</v>
      </c>
      <c r="H497" s="41" t="s">
        <v>34</v>
      </c>
      <c r="I497" s="16" t="str">
        <f t="shared" si="184"/>
        <v>null</v>
      </c>
      <c r="J497" s="15" t="s">
        <v>0</v>
      </c>
      <c r="K497" s="15" t="s">
        <v>0</v>
      </c>
      <c r="L497" s="13" t="s">
        <v>0</v>
      </c>
      <c r="M497" s="13" t="s">
        <v>0</v>
      </c>
      <c r="N497" s="15" t="s">
        <v>0</v>
      </c>
      <c r="O497" s="13" t="s">
        <v>0</v>
      </c>
      <c r="P497" s="13" t="s">
        <v>0</v>
      </c>
      <c r="Q497" s="13" t="s">
        <v>0</v>
      </c>
      <c r="R497" s="15" t="s">
        <v>0</v>
      </c>
      <c r="S497" s="10" t="s">
        <v>1</v>
      </c>
      <c r="T497" s="10" t="s">
        <v>32</v>
      </c>
      <c r="U497" s="5" t="str">
        <f t="shared" si="179"/>
        <v>Propriedade destinada a datar: é.comisionado.em</v>
      </c>
      <c r="V497" s="5" t="str">
        <f t="shared" si="180"/>
        <v>Dado para datar:  comisionado.em  Deve ser formatado como (xsd:dateTime)</v>
      </c>
      <c r="W497" s="5" t="s">
        <v>5400</v>
      </c>
      <c r="X497" s="24" t="str">
        <f t="shared" si="181"/>
        <v>datar.107</v>
      </c>
      <c r="Y497" s="24" t="str">
        <f t="shared" si="182"/>
        <v>Ação de datar</v>
      </c>
      <c r="Z497" s="47" t="s">
        <v>3426</v>
      </c>
      <c r="AA497" s="25" t="str">
        <f t="shared" si="185"/>
        <v>null</v>
      </c>
      <c r="AB497" s="26" t="s">
        <v>0</v>
      </c>
      <c r="AC497" s="25" t="str">
        <f t="shared" si="186"/>
        <v>null</v>
      </c>
      <c r="AD497" s="26" t="s">
        <v>0</v>
      </c>
      <c r="AE497" s="25" t="str">
        <f t="shared" ref="AE497:AE560" si="211">IF(AF497="null", "null", "propriedade")</f>
        <v>null</v>
      </c>
      <c r="AF497" s="26" t="s">
        <v>0</v>
      </c>
      <c r="AG497" s="47" t="s">
        <v>2738</v>
      </c>
    </row>
    <row r="498" spans="1:33" ht="6.9" customHeight="1" x14ac:dyDescent="0.4">
      <c r="A498" s="4">
        <f>ROW()</f>
        <v>498</v>
      </c>
      <c r="B498" s="9" t="s">
        <v>27</v>
      </c>
      <c r="C498" s="55" t="str">
        <f t="shared" si="183"/>
        <v>p.datar</v>
      </c>
      <c r="D498" s="6" t="str">
        <f t="shared" si="188"/>
        <v>é.demolido.em</v>
      </c>
      <c r="E498" s="8" t="s">
        <v>28</v>
      </c>
      <c r="F498" s="42" t="s">
        <v>2266</v>
      </c>
      <c r="G498" s="18" t="s">
        <v>3414</v>
      </c>
      <c r="H498" s="41" t="s">
        <v>34</v>
      </c>
      <c r="I498" s="16" t="str">
        <f t="shared" si="184"/>
        <v>null</v>
      </c>
      <c r="J498" s="15" t="s">
        <v>0</v>
      </c>
      <c r="K498" s="15" t="s">
        <v>0</v>
      </c>
      <c r="L498" s="13" t="s">
        <v>0</v>
      </c>
      <c r="M498" s="13" t="s">
        <v>0</v>
      </c>
      <c r="N498" s="15" t="s">
        <v>0</v>
      </c>
      <c r="O498" s="13" t="s">
        <v>0</v>
      </c>
      <c r="P498" s="13" t="s">
        <v>0</v>
      </c>
      <c r="Q498" s="13" t="s">
        <v>0</v>
      </c>
      <c r="R498" s="15" t="s">
        <v>0</v>
      </c>
      <c r="S498" s="10" t="s">
        <v>1</v>
      </c>
      <c r="T498" s="10" t="s">
        <v>32</v>
      </c>
      <c r="U498" s="5" t="str">
        <f t="shared" si="179"/>
        <v>Propriedade destinada a datar: é.demolido.em</v>
      </c>
      <c r="V498" s="5" t="str">
        <f t="shared" si="180"/>
        <v>Dado para datar:  demolido.em  Deve ser formatado como (xsd:dateTime)</v>
      </c>
      <c r="W498" s="5" t="s">
        <v>5401</v>
      </c>
      <c r="X498" s="24" t="str">
        <f t="shared" si="181"/>
        <v>datar.108</v>
      </c>
      <c r="Y498" s="24" t="str">
        <f t="shared" si="182"/>
        <v>Ação de datar</v>
      </c>
      <c r="Z498" s="47" t="s">
        <v>3427</v>
      </c>
      <c r="AA498" s="25" t="str">
        <f t="shared" si="185"/>
        <v>null</v>
      </c>
      <c r="AB498" s="26" t="s">
        <v>0</v>
      </c>
      <c r="AC498" s="25" t="str">
        <f t="shared" si="186"/>
        <v>null</v>
      </c>
      <c r="AD498" s="26" t="s">
        <v>0</v>
      </c>
      <c r="AE498" s="25" t="str">
        <f t="shared" si="211"/>
        <v>null</v>
      </c>
      <c r="AF498" s="26" t="s">
        <v>0</v>
      </c>
      <c r="AG498" s="47" t="s">
        <v>2738</v>
      </c>
    </row>
    <row r="499" spans="1:33" ht="6.9" customHeight="1" x14ac:dyDescent="0.4">
      <c r="A499" s="4">
        <f>ROW()</f>
        <v>499</v>
      </c>
      <c r="B499" s="9" t="s">
        <v>27</v>
      </c>
      <c r="C499" s="54" t="str">
        <f t="shared" si="183"/>
        <v>p.derivar</v>
      </c>
      <c r="D499" s="6" t="str">
        <f t="shared" si="188"/>
        <v>é.conexão</v>
      </c>
      <c r="E499" s="8" t="s">
        <v>28</v>
      </c>
      <c r="F499" s="51" t="s">
        <v>635</v>
      </c>
      <c r="G499" s="17" t="s">
        <v>4424</v>
      </c>
      <c r="H499" s="42" t="s">
        <v>2121</v>
      </c>
      <c r="I499" s="16" t="str">
        <f t="shared" si="184"/>
        <v>null</v>
      </c>
      <c r="J499" s="15" t="s">
        <v>0</v>
      </c>
      <c r="K499" s="15" t="s">
        <v>0</v>
      </c>
      <c r="L499" s="15" t="s">
        <v>0</v>
      </c>
      <c r="M499" s="15" t="s">
        <v>0</v>
      </c>
      <c r="N499" s="15" t="s">
        <v>0</v>
      </c>
      <c r="O499" s="15" t="s">
        <v>0</v>
      </c>
      <c r="P499" s="15" t="s">
        <v>0</v>
      </c>
      <c r="Q499" s="15" t="s">
        <v>0</v>
      </c>
      <c r="R499" s="15" t="s">
        <v>0</v>
      </c>
      <c r="S499" s="10" t="s">
        <v>1</v>
      </c>
      <c r="T499" s="10" t="s">
        <v>32</v>
      </c>
      <c r="U499" s="5" t="str">
        <f t="shared" si="179"/>
        <v>Propriedade destinada a derivar: é.conexão</v>
      </c>
      <c r="V499" s="5" t="str">
        <f t="shared" si="180"/>
        <v>Dado para derivar:  conexão  Deve ser formatado como (rdfs:Literal  or  xsd:string)</v>
      </c>
      <c r="W499" s="5" t="s">
        <v>5402</v>
      </c>
      <c r="X499" s="24" t="str">
        <f t="shared" si="181"/>
        <v>deriv.100</v>
      </c>
      <c r="Y499" s="24" t="str">
        <f t="shared" si="182"/>
        <v>Ação de derivar</v>
      </c>
      <c r="Z499" s="47" t="s">
        <v>3963</v>
      </c>
      <c r="AA499" s="25" t="str">
        <f t="shared" si="185"/>
        <v>categoria.revit</v>
      </c>
      <c r="AB499" s="26" t="s">
        <v>3507</v>
      </c>
      <c r="AC499" s="25" t="str">
        <f t="shared" si="186"/>
        <v>classe.ifc</v>
      </c>
      <c r="AD499" s="26" t="s">
        <v>3457</v>
      </c>
      <c r="AE499" s="25" t="str">
        <f t="shared" si="211"/>
        <v>null</v>
      </c>
      <c r="AF499" s="26" t="s">
        <v>0</v>
      </c>
      <c r="AG499" s="47" t="s">
        <v>4023</v>
      </c>
    </row>
    <row r="500" spans="1:33" ht="6.9" customHeight="1" x14ac:dyDescent="0.4">
      <c r="A500" s="4">
        <f>ROW()</f>
        <v>500</v>
      </c>
      <c r="B500" s="9" t="s">
        <v>27</v>
      </c>
      <c r="C500" s="55" t="str">
        <f t="shared" si="183"/>
        <v>p.derivar</v>
      </c>
      <c r="D500" s="6" t="str">
        <f t="shared" si="188"/>
        <v>é.curva</v>
      </c>
      <c r="E500" s="8" t="s">
        <v>28</v>
      </c>
      <c r="F500" s="42" t="str">
        <f t="shared" ref="F500:F517" si="212">F499</f>
        <v>d.derivar</v>
      </c>
      <c r="G500" s="17" t="s">
        <v>98</v>
      </c>
      <c r="H500" s="41" t="s">
        <v>2121</v>
      </c>
      <c r="I500" s="16" t="str">
        <f t="shared" si="184"/>
        <v>null</v>
      </c>
      <c r="J500" s="15" t="s">
        <v>0</v>
      </c>
      <c r="K500" s="15" t="s">
        <v>0</v>
      </c>
      <c r="L500" s="15" t="s">
        <v>0</v>
      </c>
      <c r="M500" s="15" t="s">
        <v>0</v>
      </c>
      <c r="N500" s="15" t="s">
        <v>0</v>
      </c>
      <c r="O500" s="15" t="s">
        <v>0</v>
      </c>
      <c r="P500" s="15" t="s">
        <v>0</v>
      </c>
      <c r="Q500" s="15" t="s">
        <v>0</v>
      </c>
      <c r="R500" s="15" t="s">
        <v>0</v>
      </c>
      <c r="S500" s="10" t="s">
        <v>1</v>
      </c>
      <c r="T500" s="10" t="s">
        <v>32</v>
      </c>
      <c r="U500" s="5" t="str">
        <f t="shared" si="179"/>
        <v>Propriedade destinada a derivar: é.curva</v>
      </c>
      <c r="V500" s="5" t="str">
        <f t="shared" si="180"/>
        <v>Dado para derivar:  curva  Deve ser formatado como (rdfs:Literal  or  xsd:string)</v>
      </c>
      <c r="W500" s="5" t="s">
        <v>7042</v>
      </c>
      <c r="X500" s="24" t="str">
        <f t="shared" si="181"/>
        <v>deriv.101</v>
      </c>
      <c r="Y500" s="24" t="str">
        <f t="shared" si="182"/>
        <v>Ação de derivar</v>
      </c>
      <c r="Z500" s="47" t="s">
        <v>8600</v>
      </c>
      <c r="AA500" s="25" t="str">
        <f t="shared" si="185"/>
        <v>categoria.revit</v>
      </c>
      <c r="AB500" s="26" t="s">
        <v>3507</v>
      </c>
      <c r="AC500" s="25" t="str">
        <f t="shared" si="186"/>
        <v>classe.ifc</v>
      </c>
      <c r="AD500" s="26" t="s">
        <v>3457</v>
      </c>
      <c r="AE500" s="25" t="str">
        <f t="shared" si="211"/>
        <v>null</v>
      </c>
      <c r="AF500" s="26" t="s">
        <v>0</v>
      </c>
      <c r="AG500" s="47" t="s">
        <v>8582</v>
      </c>
    </row>
    <row r="501" spans="1:33" ht="6.9" customHeight="1" x14ac:dyDescent="0.4">
      <c r="A501" s="4">
        <f>ROW()</f>
        <v>501</v>
      </c>
      <c r="B501" s="9" t="s">
        <v>27</v>
      </c>
      <c r="C501" s="55" t="str">
        <f t="shared" si="183"/>
        <v>p.derivar</v>
      </c>
      <c r="D501" s="6" t="str">
        <f t="shared" si="188"/>
        <v>é.curva.longa</v>
      </c>
      <c r="E501" s="8" t="s">
        <v>28</v>
      </c>
      <c r="F501" s="42" t="str">
        <f t="shared" si="212"/>
        <v>d.derivar</v>
      </c>
      <c r="G501" s="17" t="s">
        <v>636</v>
      </c>
      <c r="H501" s="41" t="s">
        <v>2121</v>
      </c>
      <c r="I501" s="16" t="str">
        <f t="shared" si="184"/>
        <v>null</v>
      </c>
      <c r="J501" s="15" t="s">
        <v>0</v>
      </c>
      <c r="K501" s="15" t="s">
        <v>0</v>
      </c>
      <c r="L501" s="15" t="s">
        <v>0</v>
      </c>
      <c r="M501" s="15" t="s">
        <v>0</v>
      </c>
      <c r="N501" s="15" t="s">
        <v>0</v>
      </c>
      <c r="O501" s="15" t="s">
        <v>0</v>
      </c>
      <c r="P501" s="15" t="s">
        <v>0</v>
      </c>
      <c r="Q501" s="15" t="s">
        <v>0</v>
      </c>
      <c r="R501" s="15" t="s">
        <v>0</v>
      </c>
      <c r="S501" s="10" t="s">
        <v>1</v>
      </c>
      <c r="T501" s="10" t="s">
        <v>32</v>
      </c>
      <c r="U501" s="5" t="str">
        <f t="shared" si="179"/>
        <v>Propriedade destinada a derivar: é.curva.longa</v>
      </c>
      <c r="V501" s="5" t="str">
        <f t="shared" si="180"/>
        <v>Dado para derivar:  curva.longa  Deve ser formatado como (rdfs:Literal  or  xsd:string)</v>
      </c>
      <c r="W501" s="5" t="s">
        <v>7043</v>
      </c>
      <c r="X501" s="24" t="str">
        <f t="shared" si="181"/>
        <v>deriv.102</v>
      </c>
      <c r="Y501" s="24" t="str">
        <f t="shared" si="182"/>
        <v>Ação de derivar</v>
      </c>
      <c r="Z501" s="47" t="s">
        <v>8601</v>
      </c>
      <c r="AA501" s="25" t="str">
        <f t="shared" si="185"/>
        <v>categoria.revit</v>
      </c>
      <c r="AB501" s="26" t="s">
        <v>3507</v>
      </c>
      <c r="AC501" s="25" t="str">
        <f t="shared" si="186"/>
        <v>classe.ifc</v>
      </c>
      <c r="AD501" s="26" t="s">
        <v>3457</v>
      </c>
      <c r="AE501" s="25" t="str">
        <f t="shared" si="211"/>
        <v>null</v>
      </c>
      <c r="AF501" s="26" t="s">
        <v>0</v>
      </c>
      <c r="AG501" s="47" t="s">
        <v>8583</v>
      </c>
    </row>
    <row r="502" spans="1:33" ht="6.9" customHeight="1" x14ac:dyDescent="0.4">
      <c r="A502" s="4">
        <f>ROW()</f>
        <v>502</v>
      </c>
      <c r="B502" s="9" t="s">
        <v>27</v>
      </c>
      <c r="C502" s="55" t="str">
        <f t="shared" si="183"/>
        <v>p.derivar</v>
      </c>
      <c r="D502" s="6" t="str">
        <f t="shared" si="188"/>
        <v>é.curva.com.pé</v>
      </c>
      <c r="E502" s="8" t="s">
        <v>28</v>
      </c>
      <c r="F502" s="42" t="str">
        <f t="shared" si="212"/>
        <v>d.derivar</v>
      </c>
      <c r="G502" s="17" t="s">
        <v>637</v>
      </c>
      <c r="H502" s="41" t="s">
        <v>2121</v>
      </c>
      <c r="I502" s="16" t="str">
        <f t="shared" si="184"/>
        <v>null</v>
      </c>
      <c r="J502" s="15" t="s">
        <v>0</v>
      </c>
      <c r="K502" s="15" t="s">
        <v>0</v>
      </c>
      <c r="L502" s="15" t="s">
        <v>0</v>
      </c>
      <c r="M502" s="15" t="s">
        <v>0</v>
      </c>
      <c r="N502" s="15" t="s">
        <v>0</v>
      </c>
      <c r="O502" s="15" t="s">
        <v>0</v>
      </c>
      <c r="P502" s="15" t="s">
        <v>0</v>
      </c>
      <c r="Q502" s="15" t="s">
        <v>0</v>
      </c>
      <c r="R502" s="15" t="s">
        <v>0</v>
      </c>
      <c r="S502" s="10" t="s">
        <v>1</v>
      </c>
      <c r="T502" s="10" t="s">
        <v>32</v>
      </c>
      <c r="U502" s="5" t="str">
        <f t="shared" si="179"/>
        <v>Propriedade destinada a derivar: é.curva.com.pé</v>
      </c>
      <c r="V502" s="5" t="str">
        <f t="shared" si="180"/>
        <v>Dado para derivar:  curva.com.pé  Deve ser formatado como (rdfs:Literal  or  xsd:string)</v>
      </c>
      <c r="W502" s="5" t="s">
        <v>7044</v>
      </c>
      <c r="X502" s="24" t="str">
        <f t="shared" si="181"/>
        <v>deriv.103</v>
      </c>
      <c r="Y502" s="24" t="str">
        <f t="shared" si="182"/>
        <v>Ação de derivar</v>
      </c>
      <c r="Z502" s="47" t="s">
        <v>8602</v>
      </c>
      <c r="AA502" s="25" t="str">
        <f t="shared" si="185"/>
        <v>categoria.revit</v>
      </c>
      <c r="AB502" s="26" t="s">
        <v>3507</v>
      </c>
      <c r="AC502" s="25" t="str">
        <f t="shared" si="186"/>
        <v>classe.ifc</v>
      </c>
      <c r="AD502" s="26" t="s">
        <v>3457</v>
      </c>
      <c r="AE502" s="25" t="str">
        <f t="shared" si="211"/>
        <v>null</v>
      </c>
      <c r="AF502" s="26" t="s">
        <v>0</v>
      </c>
      <c r="AG502" s="47" t="s">
        <v>8584</v>
      </c>
    </row>
    <row r="503" spans="1:33" ht="6.9" customHeight="1" x14ac:dyDescent="0.4">
      <c r="A503" s="4">
        <f>ROW()</f>
        <v>503</v>
      </c>
      <c r="B503" s="9" t="s">
        <v>27</v>
      </c>
      <c r="C503" s="55" t="str">
        <f t="shared" si="183"/>
        <v>p.derivar</v>
      </c>
      <c r="D503" s="6" t="str">
        <f t="shared" si="188"/>
        <v>é.tê</v>
      </c>
      <c r="E503" s="8" t="s">
        <v>28</v>
      </c>
      <c r="F503" s="42" t="str">
        <f t="shared" si="212"/>
        <v>d.derivar</v>
      </c>
      <c r="G503" s="17" t="s">
        <v>6944</v>
      </c>
      <c r="H503" s="41" t="s">
        <v>2121</v>
      </c>
      <c r="I503" s="16" t="str">
        <f t="shared" si="184"/>
        <v>null</v>
      </c>
      <c r="J503" s="15" t="s">
        <v>0</v>
      </c>
      <c r="K503" s="15" t="s">
        <v>0</v>
      </c>
      <c r="L503" s="15" t="s">
        <v>0</v>
      </c>
      <c r="M503" s="15" t="s">
        <v>0</v>
      </c>
      <c r="N503" s="15" t="s">
        <v>0</v>
      </c>
      <c r="O503" s="15" t="s">
        <v>0</v>
      </c>
      <c r="P503" s="15" t="s">
        <v>0</v>
      </c>
      <c r="Q503" s="15" t="s">
        <v>0</v>
      </c>
      <c r="R503" s="15" t="s">
        <v>0</v>
      </c>
      <c r="S503" s="10" t="s">
        <v>1</v>
      </c>
      <c r="T503" s="10" t="s">
        <v>32</v>
      </c>
      <c r="U503" s="5" t="str">
        <f t="shared" si="179"/>
        <v>Propriedade destinada a derivar: é.tê</v>
      </c>
      <c r="V503" s="5" t="str">
        <f t="shared" si="180"/>
        <v>Dado para derivar:  tê  Deve ser formatado como (rdfs:Literal  or  xsd:string)</v>
      </c>
      <c r="W503" s="5" t="s">
        <v>7045</v>
      </c>
      <c r="X503" s="24" t="str">
        <f t="shared" si="181"/>
        <v>deriv.104</v>
      </c>
      <c r="Y503" s="24" t="str">
        <f t="shared" si="182"/>
        <v>Ação de derivar</v>
      </c>
      <c r="Z503" s="47" t="s">
        <v>8603</v>
      </c>
      <c r="AA503" s="25" t="str">
        <f t="shared" si="185"/>
        <v>categoria.revit</v>
      </c>
      <c r="AB503" s="26" t="s">
        <v>3507</v>
      </c>
      <c r="AC503" s="25" t="str">
        <f t="shared" si="186"/>
        <v>classe.ifc</v>
      </c>
      <c r="AD503" s="26" t="s">
        <v>3457</v>
      </c>
      <c r="AE503" s="25" t="str">
        <f t="shared" si="211"/>
        <v>null</v>
      </c>
      <c r="AF503" s="26" t="s">
        <v>0</v>
      </c>
      <c r="AG503" s="47" t="s">
        <v>8585</v>
      </c>
    </row>
    <row r="504" spans="1:33" ht="6.9" customHeight="1" x14ac:dyDescent="0.4">
      <c r="A504" s="4">
        <f>ROW()</f>
        <v>504</v>
      </c>
      <c r="B504" s="9" t="s">
        <v>27</v>
      </c>
      <c r="C504" s="55" t="str">
        <f t="shared" si="183"/>
        <v>p.derivar</v>
      </c>
      <c r="D504" s="6" t="str">
        <f t="shared" si="188"/>
        <v>é.cruzeta</v>
      </c>
      <c r="E504" s="8" t="s">
        <v>28</v>
      </c>
      <c r="F504" s="42" t="str">
        <f t="shared" si="212"/>
        <v>d.derivar</v>
      </c>
      <c r="G504" s="17" t="s">
        <v>99</v>
      </c>
      <c r="H504" s="41" t="s">
        <v>2121</v>
      </c>
      <c r="I504" s="16" t="str">
        <f t="shared" si="184"/>
        <v>null</v>
      </c>
      <c r="J504" s="15" t="s">
        <v>0</v>
      </c>
      <c r="K504" s="15" t="s">
        <v>0</v>
      </c>
      <c r="L504" s="15" t="s">
        <v>0</v>
      </c>
      <c r="M504" s="15" t="s">
        <v>0</v>
      </c>
      <c r="N504" s="15" t="s">
        <v>0</v>
      </c>
      <c r="O504" s="15" t="s">
        <v>0</v>
      </c>
      <c r="P504" s="15" t="s">
        <v>0</v>
      </c>
      <c r="Q504" s="15" t="s">
        <v>0</v>
      </c>
      <c r="R504" s="15" t="s">
        <v>0</v>
      </c>
      <c r="S504" s="10" t="s">
        <v>1</v>
      </c>
      <c r="T504" s="10" t="s">
        <v>32</v>
      </c>
      <c r="U504" s="5" t="str">
        <f t="shared" si="179"/>
        <v>Propriedade destinada a derivar: é.cruzeta</v>
      </c>
      <c r="V504" s="5" t="str">
        <f t="shared" si="180"/>
        <v>Dado para derivar:  cruzeta  Deve ser formatado como (rdfs:Literal  or  xsd:string)</v>
      </c>
      <c r="W504" s="5" t="s">
        <v>7046</v>
      </c>
      <c r="X504" s="24" t="str">
        <f t="shared" si="181"/>
        <v>deriv.105</v>
      </c>
      <c r="Y504" s="24" t="str">
        <f t="shared" si="182"/>
        <v>Ação de derivar</v>
      </c>
      <c r="Z504" s="47" t="s">
        <v>8604</v>
      </c>
      <c r="AA504" s="25" t="str">
        <f t="shared" si="185"/>
        <v>categoria.revit</v>
      </c>
      <c r="AB504" s="26" t="s">
        <v>3507</v>
      </c>
      <c r="AC504" s="25" t="str">
        <f t="shared" si="186"/>
        <v>classe.ifc</v>
      </c>
      <c r="AD504" s="26" t="s">
        <v>3457</v>
      </c>
      <c r="AE504" s="25" t="str">
        <f t="shared" si="211"/>
        <v>null</v>
      </c>
      <c r="AF504" s="26" t="s">
        <v>0</v>
      </c>
      <c r="AG504" s="47" t="s">
        <v>8586</v>
      </c>
    </row>
    <row r="505" spans="1:33" ht="6.9" customHeight="1" x14ac:dyDescent="0.4">
      <c r="A505" s="4">
        <f>ROW()</f>
        <v>505</v>
      </c>
      <c r="B505" s="9" t="s">
        <v>27</v>
      </c>
      <c r="C505" s="55" t="str">
        <f t="shared" si="183"/>
        <v>p.derivar</v>
      </c>
      <c r="D505" s="6" t="str">
        <f t="shared" si="188"/>
        <v>é.junção</v>
      </c>
      <c r="E505" s="8" t="s">
        <v>28</v>
      </c>
      <c r="F505" s="42" t="str">
        <f t="shared" si="212"/>
        <v>d.derivar</v>
      </c>
      <c r="G505" s="17" t="s">
        <v>100</v>
      </c>
      <c r="H505" s="41" t="s">
        <v>2121</v>
      </c>
      <c r="I505" s="16" t="str">
        <f t="shared" si="184"/>
        <v>null</v>
      </c>
      <c r="J505" s="15" t="s">
        <v>0</v>
      </c>
      <c r="K505" s="15" t="s">
        <v>0</v>
      </c>
      <c r="L505" s="15" t="s">
        <v>0</v>
      </c>
      <c r="M505" s="15" t="s">
        <v>0</v>
      </c>
      <c r="N505" s="15" t="s">
        <v>0</v>
      </c>
      <c r="O505" s="15" t="s">
        <v>0</v>
      </c>
      <c r="P505" s="15" t="s">
        <v>0</v>
      </c>
      <c r="Q505" s="15" t="s">
        <v>0</v>
      </c>
      <c r="R505" s="15" t="s">
        <v>0</v>
      </c>
      <c r="S505" s="10" t="s">
        <v>1</v>
      </c>
      <c r="T505" s="10" t="s">
        <v>32</v>
      </c>
      <c r="U505" s="5" t="str">
        <f t="shared" si="179"/>
        <v>Propriedade destinada a derivar: é.junção</v>
      </c>
      <c r="V505" s="5" t="str">
        <f t="shared" si="180"/>
        <v>Dado para derivar:  junção  Deve ser formatado como (rdfs:Literal  or  xsd:string)</v>
      </c>
      <c r="W505" s="5" t="s">
        <v>7047</v>
      </c>
      <c r="X505" s="24" t="str">
        <f t="shared" si="181"/>
        <v>deriv.106</v>
      </c>
      <c r="Y505" s="24" t="str">
        <f t="shared" si="182"/>
        <v>Ação de derivar</v>
      </c>
      <c r="Z505" s="47" t="s">
        <v>8605</v>
      </c>
      <c r="AA505" s="25" t="str">
        <f t="shared" si="185"/>
        <v>categoria.revit</v>
      </c>
      <c r="AB505" s="26" t="s">
        <v>3507</v>
      </c>
      <c r="AC505" s="25" t="str">
        <f t="shared" si="186"/>
        <v>classe.ifc</v>
      </c>
      <c r="AD505" s="26" t="s">
        <v>3457</v>
      </c>
      <c r="AE505" s="25" t="str">
        <f t="shared" si="211"/>
        <v>null</v>
      </c>
      <c r="AF505" s="26" t="s">
        <v>0</v>
      </c>
      <c r="AG505" s="47" t="s">
        <v>8587</v>
      </c>
    </row>
    <row r="506" spans="1:33" ht="6.9" customHeight="1" x14ac:dyDescent="0.4">
      <c r="A506" s="4">
        <f>ROW()</f>
        <v>506</v>
      </c>
      <c r="B506" s="9" t="s">
        <v>27</v>
      </c>
      <c r="C506" s="55" t="str">
        <f t="shared" si="183"/>
        <v>p.derivar</v>
      </c>
      <c r="D506" s="6" t="str">
        <f t="shared" si="188"/>
        <v>é.transição</v>
      </c>
      <c r="E506" s="8" t="s">
        <v>28</v>
      </c>
      <c r="F506" s="42" t="str">
        <f t="shared" si="212"/>
        <v>d.derivar</v>
      </c>
      <c r="G506" s="17" t="s">
        <v>101</v>
      </c>
      <c r="H506" s="41" t="s">
        <v>2121</v>
      </c>
      <c r="I506" s="16" t="str">
        <f t="shared" si="184"/>
        <v>null</v>
      </c>
      <c r="J506" s="15" t="s">
        <v>0</v>
      </c>
      <c r="K506" s="15" t="s">
        <v>0</v>
      </c>
      <c r="L506" s="15" t="s">
        <v>0</v>
      </c>
      <c r="M506" s="15" t="s">
        <v>0</v>
      </c>
      <c r="N506" s="15" t="s">
        <v>0</v>
      </c>
      <c r="O506" s="15" t="s">
        <v>0</v>
      </c>
      <c r="P506" s="15" t="s">
        <v>0</v>
      </c>
      <c r="Q506" s="15" t="s">
        <v>0</v>
      </c>
      <c r="R506" s="15" t="s">
        <v>0</v>
      </c>
      <c r="S506" s="10" t="s">
        <v>1</v>
      </c>
      <c r="T506" s="10" t="s">
        <v>32</v>
      </c>
      <c r="U506" s="5" t="str">
        <f t="shared" si="179"/>
        <v>Propriedade destinada a derivar: é.transição</v>
      </c>
      <c r="V506" s="5" t="str">
        <f t="shared" si="180"/>
        <v>Dado para derivar:  transição  Deve ser formatado como (rdfs:Literal  or  xsd:string)</v>
      </c>
      <c r="W506" s="5" t="s">
        <v>7048</v>
      </c>
      <c r="X506" s="24" t="str">
        <f t="shared" si="181"/>
        <v>deriv.107</v>
      </c>
      <c r="Y506" s="24" t="str">
        <f t="shared" si="182"/>
        <v>Ação de derivar</v>
      </c>
      <c r="Z506" s="47" t="s">
        <v>8606</v>
      </c>
      <c r="AA506" s="25" t="str">
        <f t="shared" si="185"/>
        <v>categoria.revit</v>
      </c>
      <c r="AB506" s="26" t="s">
        <v>3507</v>
      </c>
      <c r="AC506" s="25" t="str">
        <f t="shared" si="186"/>
        <v>classe.ifc</v>
      </c>
      <c r="AD506" s="26" t="s">
        <v>3457</v>
      </c>
      <c r="AE506" s="25" t="str">
        <f t="shared" si="211"/>
        <v>null</v>
      </c>
      <c r="AF506" s="26" t="s">
        <v>0</v>
      </c>
      <c r="AG506" s="47" t="s">
        <v>8588</v>
      </c>
    </row>
    <row r="507" spans="1:33" ht="6.9" customHeight="1" x14ac:dyDescent="0.4">
      <c r="A507" s="4">
        <f>ROW()</f>
        <v>507</v>
      </c>
      <c r="B507" s="9" t="s">
        <v>27</v>
      </c>
      <c r="C507" s="55" t="str">
        <f t="shared" si="183"/>
        <v>p.derivar</v>
      </c>
      <c r="D507" s="6" t="str">
        <f t="shared" si="188"/>
        <v>é.redução</v>
      </c>
      <c r="E507" s="8" t="s">
        <v>28</v>
      </c>
      <c r="F507" s="42" t="str">
        <f t="shared" si="212"/>
        <v>d.derivar</v>
      </c>
      <c r="G507" s="17" t="s">
        <v>102</v>
      </c>
      <c r="H507" s="41" t="s">
        <v>2121</v>
      </c>
      <c r="I507" s="16" t="str">
        <f t="shared" si="184"/>
        <v>null</v>
      </c>
      <c r="J507" s="15" t="s">
        <v>0</v>
      </c>
      <c r="K507" s="15" t="s">
        <v>0</v>
      </c>
      <c r="L507" s="15" t="s">
        <v>0</v>
      </c>
      <c r="M507" s="15" t="s">
        <v>0</v>
      </c>
      <c r="N507" s="15" t="s">
        <v>0</v>
      </c>
      <c r="O507" s="15" t="s">
        <v>0</v>
      </c>
      <c r="P507" s="15" t="s">
        <v>0</v>
      </c>
      <c r="Q507" s="15" t="s">
        <v>0</v>
      </c>
      <c r="R507" s="15" t="s">
        <v>0</v>
      </c>
      <c r="S507" s="10" t="s">
        <v>1</v>
      </c>
      <c r="T507" s="10" t="s">
        <v>32</v>
      </c>
      <c r="U507" s="5" t="str">
        <f t="shared" si="179"/>
        <v>Propriedade destinada a derivar: é.redução</v>
      </c>
      <c r="V507" s="5" t="str">
        <f t="shared" si="180"/>
        <v>Dado para derivar:  redução  Deve ser formatado como (rdfs:Literal  or  xsd:string)</v>
      </c>
      <c r="W507" s="5" t="s">
        <v>7049</v>
      </c>
      <c r="X507" s="24" t="str">
        <f t="shared" si="181"/>
        <v>deriv.108</v>
      </c>
      <c r="Y507" s="24" t="str">
        <f t="shared" si="182"/>
        <v>Ação de derivar</v>
      </c>
      <c r="Z507" s="47" t="s">
        <v>8607</v>
      </c>
      <c r="AA507" s="25" t="str">
        <f t="shared" si="185"/>
        <v>categoria.revit</v>
      </c>
      <c r="AB507" s="26" t="s">
        <v>3507</v>
      </c>
      <c r="AC507" s="25" t="str">
        <f t="shared" si="186"/>
        <v>classe.ifc</v>
      </c>
      <c r="AD507" s="26" t="s">
        <v>3457</v>
      </c>
      <c r="AE507" s="25" t="str">
        <f t="shared" si="211"/>
        <v>null</v>
      </c>
      <c r="AF507" s="26" t="s">
        <v>0</v>
      </c>
      <c r="AG507" s="47" t="s">
        <v>8589</v>
      </c>
    </row>
    <row r="508" spans="1:33" ht="6.9" customHeight="1" x14ac:dyDescent="0.4">
      <c r="A508" s="4">
        <f>ROW()</f>
        <v>508</v>
      </c>
      <c r="B508" s="9" t="s">
        <v>27</v>
      </c>
      <c r="C508" s="55" t="str">
        <f t="shared" si="183"/>
        <v>p.derivar</v>
      </c>
      <c r="D508" s="6" t="str">
        <f t="shared" si="188"/>
        <v>é.redução.excêntrica</v>
      </c>
      <c r="E508" s="8" t="s">
        <v>28</v>
      </c>
      <c r="F508" s="42" t="str">
        <f t="shared" si="212"/>
        <v>d.derivar</v>
      </c>
      <c r="G508" s="17" t="s">
        <v>638</v>
      </c>
      <c r="H508" s="41" t="s">
        <v>2121</v>
      </c>
      <c r="I508" s="16" t="str">
        <f t="shared" si="184"/>
        <v>null</v>
      </c>
      <c r="J508" s="15" t="s">
        <v>0</v>
      </c>
      <c r="K508" s="15" t="s">
        <v>0</v>
      </c>
      <c r="L508" s="15" t="s">
        <v>0</v>
      </c>
      <c r="M508" s="15" t="s">
        <v>0</v>
      </c>
      <c r="N508" s="15" t="s">
        <v>0</v>
      </c>
      <c r="O508" s="15" t="s">
        <v>0</v>
      </c>
      <c r="P508" s="15" t="s">
        <v>0</v>
      </c>
      <c r="Q508" s="15" t="s">
        <v>0</v>
      </c>
      <c r="R508" s="15" t="s">
        <v>0</v>
      </c>
      <c r="S508" s="10" t="s">
        <v>1</v>
      </c>
      <c r="T508" s="10" t="s">
        <v>32</v>
      </c>
      <c r="U508" s="5" t="str">
        <f t="shared" si="179"/>
        <v>Propriedade destinada a derivar: é.redução.excêntrica</v>
      </c>
      <c r="V508" s="5" t="str">
        <f t="shared" si="180"/>
        <v>Dado para derivar:  redução.excêntrica  Deve ser formatado como (rdfs:Literal  or  xsd:string)</v>
      </c>
      <c r="W508" s="5" t="s">
        <v>7050</v>
      </c>
      <c r="X508" s="24" t="str">
        <f t="shared" si="181"/>
        <v>deriv.109</v>
      </c>
      <c r="Y508" s="24" t="str">
        <f t="shared" si="182"/>
        <v>Ação de derivar</v>
      </c>
      <c r="Z508" s="47" t="s">
        <v>8608</v>
      </c>
      <c r="AA508" s="25" t="str">
        <f t="shared" si="185"/>
        <v>categoria.revit</v>
      </c>
      <c r="AB508" s="26" t="s">
        <v>3507</v>
      </c>
      <c r="AC508" s="25" t="str">
        <f t="shared" si="186"/>
        <v>classe.ifc</v>
      </c>
      <c r="AD508" s="26" t="s">
        <v>3457</v>
      </c>
      <c r="AE508" s="25" t="str">
        <f t="shared" si="211"/>
        <v>null</v>
      </c>
      <c r="AF508" s="26" t="s">
        <v>0</v>
      </c>
      <c r="AG508" s="47" t="s">
        <v>8590</v>
      </c>
    </row>
    <row r="509" spans="1:33" ht="6.9" customHeight="1" x14ac:dyDescent="0.4">
      <c r="A509" s="4">
        <f>ROW()</f>
        <v>509</v>
      </c>
      <c r="B509" s="9" t="s">
        <v>27</v>
      </c>
      <c r="C509" s="55" t="str">
        <f t="shared" si="183"/>
        <v>p.derivar</v>
      </c>
      <c r="D509" s="6" t="str">
        <f t="shared" si="188"/>
        <v>é.luva</v>
      </c>
      <c r="E509" s="8" t="s">
        <v>28</v>
      </c>
      <c r="F509" s="42" t="str">
        <f t="shared" si="212"/>
        <v>d.derivar</v>
      </c>
      <c r="G509" s="17" t="s">
        <v>103</v>
      </c>
      <c r="H509" s="41" t="s">
        <v>2121</v>
      </c>
      <c r="I509" s="16" t="str">
        <f t="shared" si="184"/>
        <v>null</v>
      </c>
      <c r="J509" s="15" t="s">
        <v>0</v>
      </c>
      <c r="K509" s="15" t="s">
        <v>0</v>
      </c>
      <c r="L509" s="15" t="s">
        <v>0</v>
      </c>
      <c r="M509" s="15" t="s">
        <v>0</v>
      </c>
      <c r="N509" s="15" t="s">
        <v>0</v>
      </c>
      <c r="O509" s="15" t="s">
        <v>0</v>
      </c>
      <c r="P509" s="15" t="s">
        <v>0</v>
      </c>
      <c r="Q509" s="15" t="s">
        <v>0</v>
      </c>
      <c r="R509" s="15" t="s">
        <v>0</v>
      </c>
      <c r="S509" s="10" t="s">
        <v>1</v>
      </c>
      <c r="T509" s="10" t="s">
        <v>32</v>
      </c>
      <c r="U509" s="5" t="str">
        <f t="shared" si="179"/>
        <v>Propriedade destinada a derivar: é.luva</v>
      </c>
      <c r="V509" s="5" t="str">
        <f t="shared" si="180"/>
        <v>Dado para derivar:  luva  Deve ser formatado como (rdfs:Literal  or  xsd:string)</v>
      </c>
      <c r="W509" s="5" t="s">
        <v>7051</v>
      </c>
      <c r="X509" s="24" t="str">
        <f t="shared" si="181"/>
        <v>deriv.110</v>
      </c>
      <c r="Y509" s="24" t="str">
        <f t="shared" si="182"/>
        <v>Ação de derivar</v>
      </c>
      <c r="Z509" s="47" t="s">
        <v>8609</v>
      </c>
      <c r="AA509" s="25" t="str">
        <f t="shared" si="185"/>
        <v>categoria.revit</v>
      </c>
      <c r="AB509" s="26" t="s">
        <v>3507</v>
      </c>
      <c r="AC509" s="25" t="str">
        <f t="shared" si="186"/>
        <v>classe.ifc</v>
      </c>
      <c r="AD509" s="26" t="s">
        <v>3457</v>
      </c>
      <c r="AE509" s="25" t="str">
        <f t="shared" si="211"/>
        <v>null</v>
      </c>
      <c r="AF509" s="26" t="s">
        <v>0</v>
      </c>
      <c r="AG509" s="47" t="s">
        <v>8591</v>
      </c>
    </row>
    <row r="510" spans="1:33" ht="6.9" customHeight="1" x14ac:dyDescent="0.4">
      <c r="A510" s="4">
        <f>ROW()</f>
        <v>510</v>
      </c>
      <c r="B510" s="9" t="s">
        <v>27</v>
      </c>
      <c r="C510" s="55" t="str">
        <f t="shared" si="183"/>
        <v>p.derivar</v>
      </c>
      <c r="D510" s="6" t="str">
        <f t="shared" si="188"/>
        <v>é.luva.de.correr</v>
      </c>
      <c r="E510" s="8" t="s">
        <v>28</v>
      </c>
      <c r="F510" s="42" t="str">
        <f t="shared" si="212"/>
        <v>d.derivar</v>
      </c>
      <c r="G510" s="17" t="s">
        <v>639</v>
      </c>
      <c r="H510" s="41" t="s">
        <v>2121</v>
      </c>
      <c r="I510" s="16" t="str">
        <f t="shared" si="184"/>
        <v>null</v>
      </c>
      <c r="J510" s="15" t="s">
        <v>0</v>
      </c>
      <c r="K510" s="15" t="s">
        <v>0</v>
      </c>
      <c r="L510" s="15" t="s">
        <v>0</v>
      </c>
      <c r="M510" s="15" t="s">
        <v>0</v>
      </c>
      <c r="N510" s="15" t="s">
        <v>0</v>
      </c>
      <c r="O510" s="15" t="s">
        <v>0</v>
      </c>
      <c r="P510" s="15" t="s">
        <v>0</v>
      </c>
      <c r="Q510" s="15" t="s">
        <v>0</v>
      </c>
      <c r="R510" s="15" t="s">
        <v>0</v>
      </c>
      <c r="S510" s="10" t="s">
        <v>1</v>
      </c>
      <c r="T510" s="10" t="s">
        <v>32</v>
      </c>
      <c r="U510" s="5" t="str">
        <f t="shared" si="179"/>
        <v>Propriedade destinada a derivar: é.luva.de.correr</v>
      </c>
      <c r="V510" s="5" t="str">
        <f t="shared" si="180"/>
        <v>Dado para derivar:  luva.de.correr  Deve ser formatado como (rdfs:Literal  or  xsd:string)</v>
      </c>
      <c r="W510" s="5" t="s">
        <v>7052</v>
      </c>
      <c r="X510" s="24" t="str">
        <f t="shared" si="181"/>
        <v>deriv.111</v>
      </c>
      <c r="Y510" s="24" t="str">
        <f t="shared" si="182"/>
        <v>Ação de derivar</v>
      </c>
      <c r="Z510" s="47" t="s">
        <v>8610</v>
      </c>
      <c r="AA510" s="25" t="str">
        <f t="shared" si="185"/>
        <v>categoria.revit</v>
      </c>
      <c r="AB510" s="26" t="s">
        <v>3507</v>
      </c>
      <c r="AC510" s="25" t="str">
        <f t="shared" si="186"/>
        <v>classe.ifc</v>
      </c>
      <c r="AD510" s="26" t="s">
        <v>3457</v>
      </c>
      <c r="AE510" s="25" t="str">
        <f t="shared" si="211"/>
        <v>null</v>
      </c>
      <c r="AF510" s="26" t="s">
        <v>0</v>
      </c>
      <c r="AG510" s="47" t="s">
        <v>8592</v>
      </c>
    </row>
    <row r="511" spans="1:33" ht="6.9" customHeight="1" x14ac:dyDescent="0.4">
      <c r="A511" s="4">
        <f>ROW()</f>
        <v>511</v>
      </c>
      <c r="B511" s="9" t="s">
        <v>27</v>
      </c>
      <c r="C511" s="55" t="str">
        <f t="shared" si="183"/>
        <v>p.derivar</v>
      </c>
      <c r="D511" s="6" t="str">
        <f t="shared" si="188"/>
        <v>é.prolongador</v>
      </c>
      <c r="E511" s="8" t="s">
        <v>28</v>
      </c>
      <c r="F511" s="42" t="str">
        <f t="shared" si="212"/>
        <v>d.derivar</v>
      </c>
      <c r="G511" s="17" t="s">
        <v>104</v>
      </c>
      <c r="H511" s="41" t="s">
        <v>2121</v>
      </c>
      <c r="I511" s="16" t="str">
        <f t="shared" si="184"/>
        <v>null</v>
      </c>
      <c r="J511" s="15" t="s">
        <v>0</v>
      </c>
      <c r="K511" s="15" t="s">
        <v>0</v>
      </c>
      <c r="L511" s="15" t="s">
        <v>0</v>
      </c>
      <c r="M511" s="15" t="s">
        <v>0</v>
      </c>
      <c r="N511" s="15" t="s">
        <v>0</v>
      </c>
      <c r="O511" s="15" t="s">
        <v>0</v>
      </c>
      <c r="P511" s="15" t="s">
        <v>0</v>
      </c>
      <c r="Q511" s="15" t="s">
        <v>0</v>
      </c>
      <c r="R511" s="15" t="s">
        <v>0</v>
      </c>
      <c r="S511" s="10" t="s">
        <v>1</v>
      </c>
      <c r="T511" s="10" t="s">
        <v>32</v>
      </c>
      <c r="U511" s="5" t="str">
        <f t="shared" si="179"/>
        <v>Propriedade destinada a derivar: é.prolongador</v>
      </c>
      <c r="V511" s="5" t="str">
        <f t="shared" si="180"/>
        <v>Dado para derivar:  prolongador  Deve ser formatado como (rdfs:Literal  or  xsd:string)</v>
      </c>
      <c r="W511" s="5" t="s">
        <v>7053</v>
      </c>
      <c r="X511" s="24" t="str">
        <f t="shared" si="181"/>
        <v>deriv.112</v>
      </c>
      <c r="Y511" s="24" t="str">
        <f t="shared" si="182"/>
        <v>Ação de derivar</v>
      </c>
      <c r="Z511" s="47" t="s">
        <v>8617</v>
      </c>
      <c r="AA511" s="25" t="str">
        <f t="shared" si="185"/>
        <v>categoria.revit</v>
      </c>
      <c r="AB511" s="26" t="s">
        <v>3507</v>
      </c>
      <c r="AC511" s="25" t="str">
        <f t="shared" si="186"/>
        <v>classe.ifc</v>
      </c>
      <c r="AD511" s="26" t="s">
        <v>3457</v>
      </c>
      <c r="AE511" s="25" t="str">
        <f t="shared" si="211"/>
        <v>null</v>
      </c>
      <c r="AF511" s="26" t="s">
        <v>0</v>
      </c>
      <c r="AG511" s="47" t="s">
        <v>8593</v>
      </c>
    </row>
    <row r="512" spans="1:33" ht="6.9" customHeight="1" x14ac:dyDescent="0.4">
      <c r="A512" s="4">
        <f>ROW()</f>
        <v>512</v>
      </c>
      <c r="B512" s="9" t="s">
        <v>27</v>
      </c>
      <c r="C512" s="55" t="str">
        <f t="shared" si="183"/>
        <v>p.derivar</v>
      </c>
      <c r="D512" s="6" t="str">
        <f t="shared" si="188"/>
        <v>é.cap</v>
      </c>
      <c r="E512" s="8" t="s">
        <v>28</v>
      </c>
      <c r="F512" s="42" t="str">
        <f t="shared" si="212"/>
        <v>d.derivar</v>
      </c>
      <c r="G512" s="17" t="s">
        <v>105</v>
      </c>
      <c r="H512" s="41" t="s">
        <v>2121</v>
      </c>
      <c r="I512" s="16" t="str">
        <f t="shared" si="184"/>
        <v>null</v>
      </c>
      <c r="J512" s="15" t="s">
        <v>0</v>
      </c>
      <c r="K512" s="15" t="s">
        <v>0</v>
      </c>
      <c r="L512" s="15" t="s">
        <v>0</v>
      </c>
      <c r="M512" s="15" t="s">
        <v>0</v>
      </c>
      <c r="N512" s="15" t="s">
        <v>0</v>
      </c>
      <c r="O512" s="15" t="s">
        <v>0</v>
      </c>
      <c r="P512" s="15" t="s">
        <v>0</v>
      </c>
      <c r="Q512" s="15" t="s">
        <v>0</v>
      </c>
      <c r="R512" s="15" t="s">
        <v>0</v>
      </c>
      <c r="S512" s="10" t="s">
        <v>1</v>
      </c>
      <c r="T512" s="10" t="s">
        <v>32</v>
      </c>
      <c r="U512" s="5" t="str">
        <f t="shared" si="179"/>
        <v>Propriedade destinada a derivar: é.cap</v>
      </c>
      <c r="V512" s="5" t="str">
        <f t="shared" si="180"/>
        <v>Dado para derivar:  cap  Deve ser formatado como (rdfs:Literal  or  xsd:string)</v>
      </c>
      <c r="W512" s="5" t="s">
        <v>7054</v>
      </c>
      <c r="X512" s="24" t="str">
        <f t="shared" si="181"/>
        <v>deriv.113</v>
      </c>
      <c r="Y512" s="24" t="str">
        <f t="shared" si="182"/>
        <v>Ação de derivar</v>
      </c>
      <c r="Z512" s="47" t="s">
        <v>8611</v>
      </c>
      <c r="AA512" s="25" t="str">
        <f t="shared" si="185"/>
        <v>categoria.revit</v>
      </c>
      <c r="AB512" s="26" t="s">
        <v>3507</v>
      </c>
      <c r="AC512" s="25" t="str">
        <f t="shared" si="186"/>
        <v>classe.ifc</v>
      </c>
      <c r="AD512" s="26" t="s">
        <v>3457</v>
      </c>
      <c r="AE512" s="25" t="str">
        <f t="shared" si="211"/>
        <v>null</v>
      </c>
      <c r="AF512" s="26" t="s">
        <v>0</v>
      </c>
      <c r="AG512" s="47" t="s">
        <v>8594</v>
      </c>
    </row>
    <row r="513" spans="1:33" ht="6.9" customHeight="1" x14ac:dyDescent="0.4">
      <c r="A513" s="4">
        <f>ROW()</f>
        <v>513</v>
      </c>
      <c r="B513" s="9" t="s">
        <v>27</v>
      </c>
      <c r="C513" s="55" t="str">
        <f t="shared" si="183"/>
        <v>p.derivar</v>
      </c>
      <c r="D513" s="6" t="str">
        <f t="shared" si="188"/>
        <v>é.plug</v>
      </c>
      <c r="E513" s="8" t="s">
        <v>28</v>
      </c>
      <c r="F513" s="42" t="str">
        <f t="shared" si="212"/>
        <v>d.derivar</v>
      </c>
      <c r="G513" s="17" t="s">
        <v>106</v>
      </c>
      <c r="H513" s="41" t="s">
        <v>2121</v>
      </c>
      <c r="I513" s="16" t="str">
        <f t="shared" si="184"/>
        <v>null</v>
      </c>
      <c r="J513" s="15" t="s">
        <v>0</v>
      </c>
      <c r="K513" s="15" t="s">
        <v>0</v>
      </c>
      <c r="L513" s="15" t="s">
        <v>0</v>
      </c>
      <c r="M513" s="15" t="s">
        <v>0</v>
      </c>
      <c r="N513" s="15" t="s">
        <v>0</v>
      </c>
      <c r="O513" s="15" t="s">
        <v>0</v>
      </c>
      <c r="P513" s="15" t="s">
        <v>0</v>
      </c>
      <c r="Q513" s="15" t="s">
        <v>0</v>
      </c>
      <c r="R513" s="15" t="s">
        <v>0</v>
      </c>
      <c r="S513" s="10" t="s">
        <v>1</v>
      </c>
      <c r="T513" s="10" t="s">
        <v>32</v>
      </c>
      <c r="U513" s="5" t="str">
        <f t="shared" si="179"/>
        <v>Propriedade destinada a derivar: é.plug</v>
      </c>
      <c r="V513" s="5" t="str">
        <f t="shared" si="180"/>
        <v>Dado para derivar:  plug  Deve ser formatado como (rdfs:Literal  or  xsd:string)</v>
      </c>
      <c r="W513" s="5" t="s">
        <v>7055</v>
      </c>
      <c r="X513" s="24" t="str">
        <f t="shared" si="181"/>
        <v>deriv.114</v>
      </c>
      <c r="Y513" s="24" t="str">
        <f t="shared" si="182"/>
        <v>Ação de derivar</v>
      </c>
      <c r="Z513" s="47" t="s">
        <v>8612</v>
      </c>
      <c r="AA513" s="25" t="str">
        <f t="shared" si="185"/>
        <v>categoria.revit</v>
      </c>
      <c r="AB513" s="26" t="s">
        <v>3507</v>
      </c>
      <c r="AC513" s="25" t="str">
        <f t="shared" si="186"/>
        <v>classe.ifc</v>
      </c>
      <c r="AD513" s="26" t="s">
        <v>3457</v>
      </c>
      <c r="AE513" s="25" t="str">
        <f t="shared" si="211"/>
        <v>null</v>
      </c>
      <c r="AF513" s="26" t="s">
        <v>0</v>
      </c>
      <c r="AG513" s="47" t="s">
        <v>8595</v>
      </c>
    </row>
    <row r="514" spans="1:33" ht="6.9" customHeight="1" x14ac:dyDescent="0.4">
      <c r="A514" s="4">
        <f>ROW()</f>
        <v>514</v>
      </c>
      <c r="B514" s="9" t="s">
        <v>27</v>
      </c>
      <c r="C514" s="55" t="str">
        <f t="shared" si="183"/>
        <v>p.derivar</v>
      </c>
      <c r="D514" s="6" t="str">
        <f t="shared" si="188"/>
        <v>é.conexão.elétrica</v>
      </c>
      <c r="E514" s="8" t="s">
        <v>28</v>
      </c>
      <c r="F514" s="42" t="str">
        <f t="shared" si="212"/>
        <v>d.derivar</v>
      </c>
      <c r="G514" s="17" t="s">
        <v>640</v>
      </c>
      <c r="H514" s="41" t="s">
        <v>2121</v>
      </c>
      <c r="I514" s="16" t="str">
        <f t="shared" si="184"/>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3">_xlfn.CONCAT("Propriedade destinada a ",MID(C514,FIND("p.",C514,1)+2,100),": ",D514)</f>
        <v>Propriedade destinada a derivar: é.conexão.elétrica</v>
      </c>
      <c r="V514" s="5" t="str">
        <f t="shared" ref="V514:V577" si="214">_xlfn.CONCAT("Dado para ",MID(F514,FIND("d.",F514,1)+2,100),":  ",G514, "  Deve ser formatado como (",H514, ")")</f>
        <v>Dado para derivar:  conexão.elétrica  Deve ser formatado como (rdfs:Literal  or  xsd:string)</v>
      </c>
      <c r="W514" s="5" t="s">
        <v>7056</v>
      </c>
      <c r="X514" s="24" t="str">
        <f t="shared" si="181"/>
        <v>deriv.115</v>
      </c>
      <c r="Y514" s="24" t="str">
        <f t="shared" si="182"/>
        <v>Ação de derivar</v>
      </c>
      <c r="Z514" s="47" t="s">
        <v>8613</v>
      </c>
      <c r="AA514" s="25" t="str">
        <f t="shared" si="185"/>
        <v>categoria.revit</v>
      </c>
      <c r="AB514" s="26" t="s">
        <v>3508</v>
      </c>
      <c r="AC514" s="25" t="str">
        <f t="shared" si="186"/>
        <v>null</v>
      </c>
      <c r="AD514" s="26" t="s">
        <v>0</v>
      </c>
      <c r="AE514" s="25" t="str">
        <f t="shared" si="211"/>
        <v>null</v>
      </c>
      <c r="AF514" s="26" t="s">
        <v>0</v>
      </c>
      <c r="AG514" s="47" t="s">
        <v>8596</v>
      </c>
    </row>
    <row r="515" spans="1:33" ht="6.9" customHeight="1" x14ac:dyDescent="0.4">
      <c r="A515" s="4">
        <f>ROW()</f>
        <v>515</v>
      </c>
      <c r="B515" s="9" t="s">
        <v>27</v>
      </c>
      <c r="C515" s="55" t="str">
        <f t="shared" si="183"/>
        <v>p.derivar</v>
      </c>
      <c r="D515" s="6" t="str">
        <f t="shared" si="188"/>
        <v>é.interruptor.de.luz</v>
      </c>
      <c r="E515" s="8" t="s">
        <v>28</v>
      </c>
      <c r="F515" s="42" t="str">
        <f t="shared" si="212"/>
        <v>d.derivar</v>
      </c>
      <c r="G515" s="17" t="s">
        <v>641</v>
      </c>
      <c r="H515" s="41" t="s">
        <v>2121</v>
      </c>
      <c r="I515" s="16" t="str">
        <f t="shared" si="184"/>
        <v>null</v>
      </c>
      <c r="J515" s="15" t="s">
        <v>0</v>
      </c>
      <c r="K515" s="15" t="s">
        <v>0</v>
      </c>
      <c r="L515" s="15" t="s">
        <v>0</v>
      </c>
      <c r="M515" s="15" t="s">
        <v>0</v>
      </c>
      <c r="N515" s="15" t="s">
        <v>0</v>
      </c>
      <c r="O515" s="15" t="s">
        <v>0</v>
      </c>
      <c r="P515" s="15" t="s">
        <v>0</v>
      </c>
      <c r="Q515" s="15" t="s">
        <v>0</v>
      </c>
      <c r="R515" s="15" t="s">
        <v>0</v>
      </c>
      <c r="S515" s="10" t="s">
        <v>1</v>
      </c>
      <c r="T515" s="10" t="s">
        <v>32</v>
      </c>
      <c r="U515" s="5" t="str">
        <f t="shared" si="213"/>
        <v>Propriedade destinada a derivar: é.interruptor.de.luz</v>
      </c>
      <c r="V515" s="5" t="str">
        <f t="shared" si="214"/>
        <v>Dado para derivar:  interruptor.de.luz  Deve ser formatado como (rdfs:Literal  or  xsd:string)</v>
      </c>
      <c r="W515" s="5" t="s">
        <v>7057</v>
      </c>
      <c r="X515" s="24" t="str">
        <f t="shared" ref="X515:X578" si="215">IF(F514&lt;&gt;F515,_xlfn.CONCAT(RIGHT(LEFT(F515,7),5),".100"),_xlfn.CONCAT(RIGHT(LEFT(F515,7),5),".",SUM(VALUE(RIGHT(X514,3)),1)))</f>
        <v>deriv.116</v>
      </c>
      <c r="Y515" s="24" t="str">
        <f t="shared" ref="Y515:Y578" si="216">_xlfn.CONCAT("Ação de ", SUBSTITUTE(F515, "d.",  ""))</f>
        <v>Ação de derivar</v>
      </c>
      <c r="Z515" s="47" t="s">
        <v>8614</v>
      </c>
      <c r="AA515" s="25" t="str">
        <f t="shared" si="185"/>
        <v>categoria.revit</v>
      </c>
      <c r="AB515" s="26" t="s">
        <v>3509</v>
      </c>
      <c r="AC515" s="25" t="str">
        <f t="shared" si="186"/>
        <v>null</v>
      </c>
      <c r="AD515" s="26" t="s">
        <v>0</v>
      </c>
      <c r="AE515" s="25" t="str">
        <f t="shared" si="211"/>
        <v>null</v>
      </c>
      <c r="AF515" s="26" t="s">
        <v>0</v>
      </c>
      <c r="AG515" s="47" t="s">
        <v>8597</v>
      </c>
    </row>
    <row r="516" spans="1:33" ht="6.9" customHeight="1" x14ac:dyDescent="0.4">
      <c r="A516" s="4">
        <f>ROW()</f>
        <v>516</v>
      </c>
      <c r="B516" s="9" t="s">
        <v>27</v>
      </c>
      <c r="C516" s="55" t="str">
        <f t="shared" si="183"/>
        <v>p.derivar</v>
      </c>
      <c r="D516" s="6" t="str">
        <f t="shared" si="188"/>
        <v>é.terminal.elétrico</v>
      </c>
      <c r="E516" s="8" t="s">
        <v>28</v>
      </c>
      <c r="F516" s="42" t="str">
        <f t="shared" si="212"/>
        <v>d.derivar</v>
      </c>
      <c r="G516" s="17" t="s">
        <v>642</v>
      </c>
      <c r="H516" s="41" t="s">
        <v>2121</v>
      </c>
      <c r="I516" s="16" t="str">
        <f t="shared" si="184"/>
        <v>null</v>
      </c>
      <c r="J516" s="15" t="s">
        <v>0</v>
      </c>
      <c r="K516" s="15" t="s">
        <v>0</v>
      </c>
      <c r="L516" s="15" t="s">
        <v>0</v>
      </c>
      <c r="M516" s="15" t="s">
        <v>0</v>
      </c>
      <c r="N516" s="15" t="s">
        <v>0</v>
      </c>
      <c r="O516" s="15" t="s">
        <v>0</v>
      </c>
      <c r="P516" s="15" t="s">
        <v>0</v>
      </c>
      <c r="Q516" s="15" t="s">
        <v>0</v>
      </c>
      <c r="R516" s="15" t="s">
        <v>0</v>
      </c>
      <c r="S516" s="10" t="s">
        <v>1</v>
      </c>
      <c r="T516" s="10" t="s">
        <v>32</v>
      </c>
      <c r="U516" s="5" t="str">
        <f t="shared" si="213"/>
        <v>Propriedade destinada a derivar: é.terminal.elétrico</v>
      </c>
      <c r="V516" s="5" t="str">
        <f t="shared" si="214"/>
        <v>Dado para derivar:  terminal.elétrico  Deve ser formatado como (rdfs:Literal  or  xsd:string)</v>
      </c>
      <c r="W516" s="5" t="s">
        <v>7058</v>
      </c>
      <c r="X516" s="24" t="str">
        <f t="shared" si="215"/>
        <v>deriv.117</v>
      </c>
      <c r="Y516" s="24" t="str">
        <f t="shared" si="216"/>
        <v>Ação de derivar</v>
      </c>
      <c r="Z516" s="47" t="s">
        <v>8615</v>
      </c>
      <c r="AA516" s="25" t="str">
        <f t="shared" si="185"/>
        <v>categoria.revit</v>
      </c>
      <c r="AB516" s="26" t="s">
        <v>3510</v>
      </c>
      <c r="AC516" s="25" t="str">
        <f t="shared" si="186"/>
        <v>null</v>
      </c>
      <c r="AD516" s="26" t="s">
        <v>0</v>
      </c>
      <c r="AE516" s="25" t="str">
        <f t="shared" si="211"/>
        <v>null</v>
      </c>
      <c r="AF516" s="26" t="s">
        <v>0</v>
      </c>
      <c r="AG516" s="47" t="s">
        <v>8598</v>
      </c>
    </row>
    <row r="517" spans="1:33" ht="6.9" customHeight="1" x14ac:dyDescent="0.4">
      <c r="A517" s="4">
        <f>ROW()</f>
        <v>517</v>
      </c>
      <c r="B517" s="9" t="s">
        <v>27</v>
      </c>
      <c r="C517" s="55" t="str">
        <f t="shared" si="183"/>
        <v>p.derivar</v>
      </c>
      <c r="D517" s="6" t="str">
        <f t="shared" si="188"/>
        <v>é.equipamento.elétrico</v>
      </c>
      <c r="E517" s="8" t="s">
        <v>28</v>
      </c>
      <c r="F517" s="42" t="str">
        <f t="shared" si="212"/>
        <v>d.derivar</v>
      </c>
      <c r="G517" s="17" t="s">
        <v>643</v>
      </c>
      <c r="H517" s="41" t="s">
        <v>2121</v>
      </c>
      <c r="I517" s="16" t="str">
        <f t="shared" si="184"/>
        <v>null</v>
      </c>
      <c r="J517" s="15" t="s">
        <v>0</v>
      </c>
      <c r="K517" s="15" t="s">
        <v>0</v>
      </c>
      <c r="L517" s="15" t="s">
        <v>0</v>
      </c>
      <c r="M517" s="15" t="s">
        <v>0</v>
      </c>
      <c r="N517" s="15" t="s">
        <v>0</v>
      </c>
      <c r="O517" s="15" t="s">
        <v>0</v>
      </c>
      <c r="P517" s="15" t="s">
        <v>0</v>
      </c>
      <c r="Q517" s="15" t="s">
        <v>0</v>
      </c>
      <c r="R517" s="15" t="s">
        <v>0</v>
      </c>
      <c r="S517" s="10" t="s">
        <v>1</v>
      </c>
      <c r="T517" s="10" t="s">
        <v>32</v>
      </c>
      <c r="U517" s="5" t="str">
        <f t="shared" si="213"/>
        <v>Propriedade destinada a derivar: é.equipamento.elétrico</v>
      </c>
      <c r="V517" s="5" t="str">
        <f t="shared" si="214"/>
        <v>Dado para derivar:  equipamento.elétrico  Deve ser formatado como (rdfs:Literal  or  xsd:string)</v>
      </c>
      <c r="W517" s="5" t="s">
        <v>7059</v>
      </c>
      <c r="X517" s="24" t="str">
        <f t="shared" si="215"/>
        <v>deriv.118</v>
      </c>
      <c r="Y517" s="24" t="str">
        <f t="shared" si="216"/>
        <v>Ação de derivar</v>
      </c>
      <c r="Z517" s="47" t="s">
        <v>8616</v>
      </c>
      <c r="AA517" s="25" t="str">
        <f t="shared" si="185"/>
        <v>categoria.revit</v>
      </c>
      <c r="AB517" s="26" t="s">
        <v>3511</v>
      </c>
      <c r="AC517" s="25" t="str">
        <f t="shared" si="186"/>
        <v>null</v>
      </c>
      <c r="AD517" s="26" t="s">
        <v>0</v>
      </c>
      <c r="AE517" s="25" t="str">
        <f t="shared" si="211"/>
        <v>null</v>
      </c>
      <c r="AF517" s="26" t="s">
        <v>0</v>
      </c>
      <c r="AG517" s="47" t="s">
        <v>8599</v>
      </c>
    </row>
    <row r="518" spans="1:33" ht="6.9" customHeight="1" x14ac:dyDescent="0.4">
      <c r="A518" s="4">
        <f>ROW()</f>
        <v>518</v>
      </c>
      <c r="B518" s="9" t="s">
        <v>27</v>
      </c>
      <c r="C518" s="54" t="str">
        <f t="shared" si="183"/>
        <v>p.digitalizar</v>
      </c>
      <c r="D518" s="6" t="str">
        <f t="shared" si="188"/>
        <v>é.arquivo.bcf</v>
      </c>
      <c r="E518" s="8" t="s">
        <v>28</v>
      </c>
      <c r="F518" s="51" t="s">
        <v>644</v>
      </c>
      <c r="G518" s="17" t="s">
        <v>6678</v>
      </c>
      <c r="H518" s="42" t="s">
        <v>2121</v>
      </c>
      <c r="I518" s="16" t="str">
        <f t="shared" si="184"/>
        <v>null</v>
      </c>
      <c r="J518" s="15" t="s">
        <v>0</v>
      </c>
      <c r="K518" s="15" t="s">
        <v>0</v>
      </c>
      <c r="L518" s="15" t="s">
        <v>0</v>
      </c>
      <c r="M518" s="15" t="s">
        <v>0</v>
      </c>
      <c r="N518" s="15" t="s">
        <v>0</v>
      </c>
      <c r="O518" s="15" t="s">
        <v>0</v>
      </c>
      <c r="P518" s="15" t="s">
        <v>0</v>
      </c>
      <c r="Q518" s="15" t="s">
        <v>0</v>
      </c>
      <c r="R518" s="15" t="s">
        <v>0</v>
      </c>
      <c r="S518" s="10" t="s">
        <v>1</v>
      </c>
      <c r="T518" s="10" t="s">
        <v>32</v>
      </c>
      <c r="U518" s="5" t="str">
        <f t="shared" si="213"/>
        <v>Propriedade destinada a digitalizar: é.arquivo.bcf</v>
      </c>
      <c r="V518" s="5" t="str">
        <f t="shared" si="214"/>
        <v>Dado para digitalizar:  arquivo.bcf  Deve ser formatado como (rdfs:Literal  or  xsd:string)</v>
      </c>
      <c r="W518" s="5" t="s">
        <v>6703</v>
      </c>
      <c r="X518" s="24" t="str">
        <f t="shared" si="215"/>
        <v>digit.100</v>
      </c>
      <c r="Y518" s="24" t="str">
        <f t="shared" si="216"/>
        <v>Ação de digitalizar</v>
      </c>
      <c r="Z518" s="47" t="s">
        <v>6729</v>
      </c>
      <c r="AA518" s="25" t="str">
        <f t="shared" si="185"/>
        <v>null</v>
      </c>
      <c r="AB518" s="26" t="s">
        <v>0</v>
      </c>
      <c r="AC518" s="25" t="str">
        <f t="shared" si="186"/>
        <v>null</v>
      </c>
      <c r="AD518" s="26" t="s">
        <v>0</v>
      </c>
      <c r="AE518" s="25" t="str">
        <f t="shared" si="211"/>
        <v>null</v>
      </c>
      <c r="AF518" s="26" t="s">
        <v>0</v>
      </c>
      <c r="AG518" s="47" t="s">
        <v>6635</v>
      </c>
    </row>
    <row r="519" spans="1:33" ht="6.9" customHeight="1" x14ac:dyDescent="0.4">
      <c r="A519" s="4">
        <f>ROW()</f>
        <v>519</v>
      </c>
      <c r="B519" s="9" t="s">
        <v>27</v>
      </c>
      <c r="C519" s="55" t="str">
        <f t="shared" ref="C519:C553" si="217">SUBSTITUTE(F519,"d.","p.")</f>
        <v>p.digitalizar</v>
      </c>
      <c r="D519" s="6" t="str">
        <f t="shared" si="188"/>
        <v>é.arquivo.csv</v>
      </c>
      <c r="E519" s="8" t="s">
        <v>28</v>
      </c>
      <c r="F519" s="42" t="str">
        <f t="shared" ref="F519:F553" si="218">F518</f>
        <v>d.digitalizar</v>
      </c>
      <c r="G519" s="17" t="s">
        <v>6679</v>
      </c>
      <c r="H519" s="42" t="s">
        <v>2121</v>
      </c>
      <c r="I519" s="16" t="str">
        <f t="shared" ref="I519:I553" si="219">J519</f>
        <v>null</v>
      </c>
      <c r="J519" s="15" t="s">
        <v>0</v>
      </c>
      <c r="K519" s="15" t="s">
        <v>0</v>
      </c>
      <c r="L519" s="15" t="s">
        <v>0</v>
      </c>
      <c r="M519" s="15" t="s">
        <v>0</v>
      </c>
      <c r="N519" s="15" t="s">
        <v>0</v>
      </c>
      <c r="O519" s="15" t="s">
        <v>0</v>
      </c>
      <c r="P519" s="15" t="s">
        <v>0</v>
      </c>
      <c r="Q519" s="15" t="s">
        <v>0</v>
      </c>
      <c r="R519" s="15" t="s">
        <v>0</v>
      </c>
      <c r="S519" s="10" t="s">
        <v>1</v>
      </c>
      <c r="T519" s="10" t="s">
        <v>32</v>
      </c>
      <c r="U519" s="5" t="str">
        <f t="shared" si="213"/>
        <v>Propriedade destinada a digitalizar: é.arquivo.csv</v>
      </c>
      <c r="V519" s="5" t="str">
        <f t="shared" si="214"/>
        <v>Dado para digitalizar:  arquivo.csv  Deve ser formatado como (rdfs:Literal  or  xsd:string)</v>
      </c>
      <c r="W519" s="5" t="s">
        <v>6704</v>
      </c>
      <c r="X519" s="24" t="str">
        <f t="shared" si="215"/>
        <v>digit.101</v>
      </c>
      <c r="Y519" s="24" t="str">
        <f t="shared" si="216"/>
        <v>Ação de digitalizar</v>
      </c>
      <c r="Z519" s="47" t="s">
        <v>6748</v>
      </c>
      <c r="AA519" s="25" t="str">
        <f t="shared" ref="AA519:AA553" si="220">IF(AB519="null", "null", "categoria.revit")</f>
        <v>null</v>
      </c>
      <c r="AB519" s="26" t="s">
        <v>0</v>
      </c>
      <c r="AC519" s="25" t="str">
        <f t="shared" ref="AC519:AC553" si="221">IF(AD519="null", "null", "classe.ifc")</f>
        <v>null</v>
      </c>
      <c r="AD519" s="26" t="s">
        <v>0</v>
      </c>
      <c r="AE519" s="25" t="str">
        <f t="shared" si="211"/>
        <v>null</v>
      </c>
      <c r="AF519" s="26" t="s">
        <v>0</v>
      </c>
      <c r="AG519" s="47" t="s">
        <v>6636</v>
      </c>
    </row>
    <row r="520" spans="1:33" ht="6.9" customHeight="1" x14ac:dyDescent="0.4">
      <c r="A520" s="4">
        <f>ROW()</f>
        <v>520</v>
      </c>
      <c r="B520" s="9" t="s">
        <v>27</v>
      </c>
      <c r="C520" s="55" t="str">
        <f t="shared" si="217"/>
        <v>p.digitalizar</v>
      </c>
      <c r="D520" s="6" t="str">
        <f t="shared" si="188"/>
        <v>é.arquivo.doc</v>
      </c>
      <c r="E520" s="8" t="s">
        <v>28</v>
      </c>
      <c r="F520" s="42" t="str">
        <f t="shared" si="218"/>
        <v>d.digitalizar</v>
      </c>
      <c r="G520" s="17" t="s">
        <v>6680</v>
      </c>
      <c r="H520" s="42" t="s">
        <v>2121</v>
      </c>
      <c r="I520" s="16" t="str">
        <f t="shared" si="219"/>
        <v>null</v>
      </c>
      <c r="J520" s="15" t="s">
        <v>0</v>
      </c>
      <c r="K520" s="15" t="s">
        <v>0</v>
      </c>
      <c r="L520" s="15" t="s">
        <v>0</v>
      </c>
      <c r="M520" s="15" t="s">
        <v>0</v>
      </c>
      <c r="N520" s="15" t="s">
        <v>0</v>
      </c>
      <c r="O520" s="15" t="s">
        <v>0</v>
      </c>
      <c r="P520" s="15" t="s">
        <v>0</v>
      </c>
      <c r="Q520" s="15" t="s">
        <v>0</v>
      </c>
      <c r="R520" s="15" t="s">
        <v>0</v>
      </c>
      <c r="S520" s="10" t="s">
        <v>1</v>
      </c>
      <c r="T520" s="10" t="s">
        <v>32</v>
      </c>
      <c r="U520" s="5" t="str">
        <f t="shared" si="213"/>
        <v>Propriedade destinada a digitalizar: é.arquivo.doc</v>
      </c>
      <c r="V520" s="5" t="str">
        <f t="shared" si="214"/>
        <v>Dado para digitalizar:  arquivo.doc  Deve ser formatado como (rdfs:Literal  or  xsd:string)</v>
      </c>
      <c r="W520" s="5" t="s">
        <v>6705</v>
      </c>
      <c r="X520" s="24" t="str">
        <f t="shared" si="215"/>
        <v>digit.102</v>
      </c>
      <c r="Y520" s="24" t="str">
        <f t="shared" si="216"/>
        <v>Ação de digitalizar</v>
      </c>
      <c r="Z520" s="47" t="s">
        <v>6730</v>
      </c>
      <c r="AA520" s="25" t="str">
        <f t="shared" si="220"/>
        <v>null</v>
      </c>
      <c r="AB520" s="26" t="s">
        <v>0</v>
      </c>
      <c r="AC520" s="25" t="str">
        <f t="shared" si="221"/>
        <v>null</v>
      </c>
      <c r="AD520" s="26" t="s">
        <v>0</v>
      </c>
      <c r="AE520" s="25" t="str">
        <f t="shared" si="211"/>
        <v>null</v>
      </c>
      <c r="AF520" s="26" t="s">
        <v>0</v>
      </c>
      <c r="AG520" s="47" t="s">
        <v>6637</v>
      </c>
    </row>
    <row r="521" spans="1:33" ht="6.9" customHeight="1" x14ac:dyDescent="0.4">
      <c r="A521" s="4">
        <f>ROW()</f>
        <v>521</v>
      </c>
      <c r="B521" s="9" t="s">
        <v>27</v>
      </c>
      <c r="C521" s="55" t="str">
        <f t="shared" si="217"/>
        <v>p.digitalizar</v>
      </c>
      <c r="D521" s="6" t="str">
        <f t="shared" si="188"/>
        <v>é.arquivo.dwg</v>
      </c>
      <c r="E521" s="8" t="s">
        <v>28</v>
      </c>
      <c r="F521" s="42" t="str">
        <f t="shared" si="218"/>
        <v>d.digitalizar</v>
      </c>
      <c r="G521" s="17" t="s">
        <v>6681</v>
      </c>
      <c r="H521" s="42" t="s">
        <v>2121</v>
      </c>
      <c r="I521" s="16" t="str">
        <f t="shared" si="219"/>
        <v>null</v>
      </c>
      <c r="J521" s="15" t="s">
        <v>0</v>
      </c>
      <c r="K521" s="15" t="s">
        <v>0</v>
      </c>
      <c r="L521" s="15" t="s">
        <v>0</v>
      </c>
      <c r="M521" s="15" t="s">
        <v>0</v>
      </c>
      <c r="N521" s="15" t="s">
        <v>0</v>
      </c>
      <c r="O521" s="15" t="s">
        <v>0</v>
      </c>
      <c r="P521" s="15" t="s">
        <v>0</v>
      </c>
      <c r="Q521" s="15" t="s">
        <v>0</v>
      </c>
      <c r="R521" s="15" t="s">
        <v>0</v>
      </c>
      <c r="S521" s="10" t="s">
        <v>1</v>
      </c>
      <c r="T521" s="10" t="s">
        <v>32</v>
      </c>
      <c r="U521" s="5" t="str">
        <f t="shared" si="213"/>
        <v>Propriedade destinada a digitalizar: é.arquivo.dwg</v>
      </c>
      <c r="V521" s="5" t="str">
        <f t="shared" si="214"/>
        <v>Dado para digitalizar:  arquivo.dwg  Deve ser formatado como (rdfs:Literal  or  xsd:string)</v>
      </c>
      <c r="W521" s="5" t="s">
        <v>6706</v>
      </c>
      <c r="X521" s="24" t="str">
        <f t="shared" si="215"/>
        <v>digit.103</v>
      </c>
      <c r="Y521" s="24" t="str">
        <f t="shared" si="216"/>
        <v>Ação de digitalizar</v>
      </c>
      <c r="Z521" s="47" t="s">
        <v>6749</v>
      </c>
      <c r="AA521" s="25" t="str">
        <f t="shared" si="220"/>
        <v>null</v>
      </c>
      <c r="AB521" s="26" t="s">
        <v>0</v>
      </c>
      <c r="AC521" s="25" t="str">
        <f t="shared" si="221"/>
        <v>null</v>
      </c>
      <c r="AD521" s="26" t="s">
        <v>0</v>
      </c>
      <c r="AE521" s="25" t="str">
        <f t="shared" si="211"/>
        <v>null</v>
      </c>
      <c r="AF521" s="26" t="s">
        <v>0</v>
      </c>
      <c r="AG521" s="47" t="s">
        <v>6638</v>
      </c>
    </row>
    <row r="522" spans="1:33" ht="6.9" customHeight="1" x14ac:dyDescent="0.4">
      <c r="A522" s="4">
        <f>ROW()</f>
        <v>522</v>
      </c>
      <c r="B522" s="9" t="s">
        <v>27</v>
      </c>
      <c r="C522" s="55" t="str">
        <f t="shared" si="217"/>
        <v>p.digitalizar</v>
      </c>
      <c r="D522" s="6" t="str">
        <f t="shared" si="188"/>
        <v>é.arquivo.dwt</v>
      </c>
      <c r="E522" s="8" t="s">
        <v>28</v>
      </c>
      <c r="F522" s="42" t="str">
        <f t="shared" si="218"/>
        <v>d.digitalizar</v>
      </c>
      <c r="G522" s="17" t="s">
        <v>6682</v>
      </c>
      <c r="H522" s="42" t="s">
        <v>2121</v>
      </c>
      <c r="I522" s="16" t="str">
        <f t="shared" si="219"/>
        <v>null</v>
      </c>
      <c r="J522" s="15" t="s">
        <v>0</v>
      </c>
      <c r="K522" s="15" t="s">
        <v>0</v>
      </c>
      <c r="L522" s="15" t="s">
        <v>0</v>
      </c>
      <c r="M522" s="15" t="s">
        <v>0</v>
      </c>
      <c r="N522" s="15" t="s">
        <v>0</v>
      </c>
      <c r="O522" s="15" t="s">
        <v>0</v>
      </c>
      <c r="P522" s="15" t="s">
        <v>0</v>
      </c>
      <c r="Q522" s="15" t="s">
        <v>0</v>
      </c>
      <c r="R522" s="15" t="s">
        <v>0</v>
      </c>
      <c r="S522" s="10" t="s">
        <v>1</v>
      </c>
      <c r="T522" s="10" t="s">
        <v>32</v>
      </c>
      <c r="U522" s="5" t="str">
        <f t="shared" si="213"/>
        <v>Propriedade destinada a digitalizar: é.arquivo.dwt</v>
      </c>
      <c r="V522" s="5" t="str">
        <f t="shared" si="214"/>
        <v>Dado para digitalizar:  arquivo.dwt  Deve ser formatado como (rdfs:Literal  or  xsd:string)</v>
      </c>
      <c r="W522" s="5" t="s">
        <v>6707</v>
      </c>
      <c r="X522" s="24" t="str">
        <f t="shared" si="215"/>
        <v>digit.104</v>
      </c>
      <c r="Y522" s="24" t="str">
        <f t="shared" si="216"/>
        <v>Ação de digitalizar</v>
      </c>
      <c r="Z522" s="47" t="s">
        <v>6731</v>
      </c>
      <c r="AA522" s="25" t="str">
        <f t="shared" si="220"/>
        <v>null</v>
      </c>
      <c r="AB522" s="26" t="s">
        <v>0</v>
      </c>
      <c r="AC522" s="25" t="str">
        <f t="shared" si="221"/>
        <v>null</v>
      </c>
      <c r="AD522" s="26" t="s">
        <v>0</v>
      </c>
      <c r="AE522" s="25" t="str">
        <f t="shared" si="211"/>
        <v>null</v>
      </c>
      <c r="AF522" s="26" t="s">
        <v>0</v>
      </c>
      <c r="AG522" s="47" t="s">
        <v>6639</v>
      </c>
    </row>
    <row r="523" spans="1:33" ht="6.9" customHeight="1" x14ac:dyDescent="0.4">
      <c r="A523" s="4">
        <f>ROW()</f>
        <v>523</v>
      </c>
      <c r="B523" s="9" t="s">
        <v>27</v>
      </c>
      <c r="C523" s="55" t="str">
        <f t="shared" si="217"/>
        <v>p.digitalizar</v>
      </c>
      <c r="D523" s="6" t="str">
        <f t="shared" si="188"/>
        <v>é.arquivo.dxe</v>
      </c>
      <c r="E523" s="8" t="s">
        <v>28</v>
      </c>
      <c r="F523" s="42" t="str">
        <f t="shared" si="218"/>
        <v>d.digitalizar</v>
      </c>
      <c r="G523" s="17" t="s">
        <v>6683</v>
      </c>
      <c r="H523" s="42" t="s">
        <v>2121</v>
      </c>
      <c r="I523" s="16" t="str">
        <f t="shared" si="219"/>
        <v>null</v>
      </c>
      <c r="J523" s="15" t="s">
        <v>0</v>
      </c>
      <c r="K523" s="15" t="s">
        <v>0</v>
      </c>
      <c r="L523" s="15" t="s">
        <v>0</v>
      </c>
      <c r="M523" s="15" t="s">
        <v>0</v>
      </c>
      <c r="N523" s="15" t="s">
        <v>0</v>
      </c>
      <c r="O523" s="15" t="s">
        <v>0</v>
      </c>
      <c r="P523" s="15" t="s">
        <v>0</v>
      </c>
      <c r="Q523" s="15" t="s">
        <v>0</v>
      </c>
      <c r="R523" s="15" t="s">
        <v>0</v>
      </c>
      <c r="S523" s="10" t="s">
        <v>1</v>
      </c>
      <c r="T523" s="10" t="s">
        <v>32</v>
      </c>
      <c r="U523" s="5" t="str">
        <f t="shared" si="213"/>
        <v>Propriedade destinada a digitalizar: é.arquivo.dxe</v>
      </c>
      <c r="V523" s="5" t="str">
        <f t="shared" si="214"/>
        <v>Dado para digitalizar:  arquivo.dxe  Deve ser formatado como (rdfs:Literal  or  xsd:string)</v>
      </c>
      <c r="W523" s="5" t="s">
        <v>6708</v>
      </c>
      <c r="X523" s="24" t="str">
        <f t="shared" si="215"/>
        <v>digit.105</v>
      </c>
      <c r="Y523" s="24" t="str">
        <f t="shared" si="216"/>
        <v>Ação de digitalizar</v>
      </c>
      <c r="Z523" s="47" t="s">
        <v>6750</v>
      </c>
      <c r="AA523" s="25" t="str">
        <f t="shared" si="220"/>
        <v>null</v>
      </c>
      <c r="AB523" s="26" t="s">
        <v>0</v>
      </c>
      <c r="AC523" s="25" t="str">
        <f t="shared" si="221"/>
        <v>null</v>
      </c>
      <c r="AD523" s="26" t="s">
        <v>0</v>
      </c>
      <c r="AE523" s="25" t="str">
        <f t="shared" si="211"/>
        <v>null</v>
      </c>
      <c r="AF523" s="26" t="s">
        <v>0</v>
      </c>
      <c r="AG523" s="47" t="s">
        <v>6640</v>
      </c>
    </row>
    <row r="524" spans="1:33" ht="6.9" customHeight="1" x14ac:dyDescent="0.4">
      <c r="A524" s="4">
        <f>ROW()</f>
        <v>524</v>
      </c>
      <c r="B524" s="9" t="s">
        <v>27</v>
      </c>
      <c r="C524" s="55" t="str">
        <f t="shared" si="217"/>
        <v>p.digitalizar</v>
      </c>
      <c r="D524" s="6" t="str">
        <f t="shared" si="188"/>
        <v>é.arquivo.dxf</v>
      </c>
      <c r="E524" s="8" t="s">
        <v>28</v>
      </c>
      <c r="F524" s="42" t="str">
        <f t="shared" si="218"/>
        <v>d.digitalizar</v>
      </c>
      <c r="G524" s="17" t="s">
        <v>6684</v>
      </c>
      <c r="H524" s="42" t="s">
        <v>2121</v>
      </c>
      <c r="I524" s="16" t="str">
        <f t="shared" si="219"/>
        <v>null</v>
      </c>
      <c r="J524" s="15" t="s">
        <v>0</v>
      </c>
      <c r="K524" s="15" t="s">
        <v>0</v>
      </c>
      <c r="L524" s="15" t="s">
        <v>0</v>
      </c>
      <c r="M524" s="15" t="s">
        <v>0</v>
      </c>
      <c r="N524" s="15" t="s">
        <v>0</v>
      </c>
      <c r="O524" s="15" t="s">
        <v>0</v>
      </c>
      <c r="P524" s="15" t="s">
        <v>0</v>
      </c>
      <c r="Q524" s="15" t="s">
        <v>0</v>
      </c>
      <c r="R524" s="15" t="s">
        <v>0</v>
      </c>
      <c r="S524" s="10" t="s">
        <v>1</v>
      </c>
      <c r="T524" s="10" t="s">
        <v>32</v>
      </c>
      <c r="U524" s="5" t="str">
        <f t="shared" si="213"/>
        <v>Propriedade destinada a digitalizar: é.arquivo.dxf</v>
      </c>
      <c r="V524" s="5" t="str">
        <f t="shared" si="214"/>
        <v>Dado para digitalizar:  arquivo.dxf  Deve ser formatado como (rdfs:Literal  or  xsd:string)</v>
      </c>
      <c r="W524" s="5" t="s">
        <v>6709</v>
      </c>
      <c r="X524" s="24" t="str">
        <f t="shared" si="215"/>
        <v>digit.106</v>
      </c>
      <c r="Y524" s="24" t="str">
        <f t="shared" si="216"/>
        <v>Ação de digitalizar</v>
      </c>
      <c r="Z524" s="47" t="s">
        <v>6751</v>
      </c>
      <c r="AA524" s="25" t="str">
        <f t="shared" si="220"/>
        <v>null</v>
      </c>
      <c r="AB524" s="26" t="s">
        <v>0</v>
      </c>
      <c r="AC524" s="25" t="str">
        <f t="shared" si="221"/>
        <v>null</v>
      </c>
      <c r="AD524" s="26" t="s">
        <v>0</v>
      </c>
      <c r="AE524" s="25" t="str">
        <f t="shared" si="211"/>
        <v>null</v>
      </c>
      <c r="AF524" s="26" t="s">
        <v>0</v>
      </c>
      <c r="AG524" s="47" t="s">
        <v>6641</v>
      </c>
    </row>
    <row r="525" spans="1:33" ht="6.9" customHeight="1" x14ac:dyDescent="0.4">
      <c r="A525" s="4">
        <f>ROW()</f>
        <v>525</v>
      </c>
      <c r="B525" s="9" t="s">
        <v>27</v>
      </c>
      <c r="C525" s="55" t="str">
        <f t="shared" si="217"/>
        <v>p.digitalizar</v>
      </c>
      <c r="D525" s="6" t="str">
        <f t="shared" si="188"/>
        <v>é.arquivo.e57</v>
      </c>
      <c r="E525" s="8" t="s">
        <v>28</v>
      </c>
      <c r="F525" s="42" t="str">
        <f t="shared" si="218"/>
        <v>d.digitalizar</v>
      </c>
      <c r="G525" s="17" t="s">
        <v>6685</v>
      </c>
      <c r="H525" s="42" t="s">
        <v>2121</v>
      </c>
      <c r="I525" s="16" t="str">
        <f t="shared" si="219"/>
        <v>null</v>
      </c>
      <c r="J525" s="15" t="s">
        <v>0</v>
      </c>
      <c r="K525" s="15" t="s">
        <v>0</v>
      </c>
      <c r="L525" s="15" t="s">
        <v>0</v>
      </c>
      <c r="M525" s="15" t="s">
        <v>0</v>
      </c>
      <c r="N525" s="15" t="s">
        <v>0</v>
      </c>
      <c r="O525" s="15" t="s">
        <v>0</v>
      </c>
      <c r="P525" s="15" t="s">
        <v>0</v>
      </c>
      <c r="Q525" s="15" t="s">
        <v>0</v>
      </c>
      <c r="R525" s="15" t="s">
        <v>0</v>
      </c>
      <c r="S525" s="10" t="s">
        <v>1</v>
      </c>
      <c r="T525" s="10" t="s">
        <v>32</v>
      </c>
      <c r="U525" s="5" t="str">
        <f t="shared" si="213"/>
        <v>Propriedade destinada a digitalizar: é.arquivo.e57</v>
      </c>
      <c r="V525" s="5" t="str">
        <f t="shared" si="214"/>
        <v>Dado para digitalizar:  arquivo.e57  Deve ser formatado como (rdfs:Literal  or  xsd:string)</v>
      </c>
      <c r="W525" s="5" t="s">
        <v>6710</v>
      </c>
      <c r="X525" s="24" t="str">
        <f t="shared" si="215"/>
        <v>digit.107</v>
      </c>
      <c r="Y525" s="24" t="str">
        <f t="shared" si="216"/>
        <v>Ação de digitalizar</v>
      </c>
      <c r="Z525" s="47" t="s">
        <v>6732</v>
      </c>
      <c r="AA525" s="25" t="str">
        <f t="shared" si="220"/>
        <v>null</v>
      </c>
      <c r="AB525" s="26" t="s">
        <v>0</v>
      </c>
      <c r="AC525" s="25" t="str">
        <f t="shared" si="221"/>
        <v>null</v>
      </c>
      <c r="AD525" s="26" t="s">
        <v>0</v>
      </c>
      <c r="AE525" s="25" t="str">
        <f t="shared" si="211"/>
        <v>null</v>
      </c>
      <c r="AF525" s="26" t="s">
        <v>0</v>
      </c>
      <c r="AG525" s="47" t="s">
        <v>6642</v>
      </c>
    </row>
    <row r="526" spans="1:33" ht="6.9" customHeight="1" x14ac:dyDescent="0.4">
      <c r="A526" s="4">
        <f>ROW()</f>
        <v>526</v>
      </c>
      <c r="B526" s="9" t="s">
        <v>27</v>
      </c>
      <c r="C526" s="55" t="str">
        <f t="shared" ref="C526:C532" si="222">SUBSTITUTE(F526,"d.","p.")</f>
        <v>p.digitalizar</v>
      </c>
      <c r="D526" s="6" t="str">
        <f t="shared" si="188"/>
        <v>é.arquivo.epw</v>
      </c>
      <c r="E526" s="8" t="s">
        <v>28</v>
      </c>
      <c r="F526" s="42" t="str">
        <f>F524</f>
        <v>d.digitalizar</v>
      </c>
      <c r="G526" s="17" t="s">
        <v>6686</v>
      </c>
      <c r="H526" s="42" t="s">
        <v>2121</v>
      </c>
      <c r="I526" s="16" t="str">
        <f t="shared" ref="I526:I532" si="223">J526</f>
        <v>null</v>
      </c>
      <c r="J526" s="15" t="s">
        <v>0</v>
      </c>
      <c r="K526" s="15" t="s">
        <v>0</v>
      </c>
      <c r="L526" s="15" t="s">
        <v>0</v>
      </c>
      <c r="M526" s="15" t="s">
        <v>0</v>
      </c>
      <c r="N526" s="15" t="s">
        <v>0</v>
      </c>
      <c r="O526" s="15" t="s">
        <v>0</v>
      </c>
      <c r="P526" s="15" t="s">
        <v>0</v>
      </c>
      <c r="Q526" s="15" t="s">
        <v>0</v>
      </c>
      <c r="R526" s="15" t="s">
        <v>0</v>
      </c>
      <c r="S526" s="10" t="s">
        <v>1</v>
      </c>
      <c r="T526" s="10" t="s">
        <v>32</v>
      </c>
      <c r="U526" s="5" t="str">
        <f t="shared" si="213"/>
        <v>Propriedade destinada a digitalizar: é.arquivo.epw</v>
      </c>
      <c r="V526" s="5" t="str">
        <f t="shared" si="214"/>
        <v>Dado para digitalizar:  arquivo.epw  Deve ser formatado como (rdfs:Literal  or  xsd:string)</v>
      </c>
      <c r="W526" s="5" t="s">
        <v>6723</v>
      </c>
      <c r="X526" s="24" t="str">
        <f t="shared" si="215"/>
        <v>digit.108</v>
      </c>
      <c r="Y526" s="24" t="str">
        <f t="shared" si="216"/>
        <v>Ação de digitalizar</v>
      </c>
      <c r="Z526" s="47" t="s">
        <v>6733</v>
      </c>
      <c r="AA526" s="25" t="str">
        <f t="shared" ref="AA526:AA532" si="224">IF(AB526="null", "null", "categoria.revit")</f>
        <v>null</v>
      </c>
      <c r="AB526" s="26" t="s">
        <v>0</v>
      </c>
      <c r="AC526" s="25" t="str">
        <f t="shared" ref="AC526:AC532" si="225">IF(AD526="null", "null", "classe.ifc")</f>
        <v>null</v>
      </c>
      <c r="AD526" s="26" t="s">
        <v>0</v>
      </c>
      <c r="AE526" s="25" t="str">
        <f t="shared" si="211"/>
        <v>null</v>
      </c>
      <c r="AF526" s="26" t="s">
        <v>0</v>
      </c>
      <c r="AG526" s="47" t="s">
        <v>6643</v>
      </c>
    </row>
    <row r="527" spans="1:33" ht="6.9" customHeight="1" x14ac:dyDescent="0.4">
      <c r="A527" s="4">
        <f>ROW()</f>
        <v>527</v>
      </c>
      <c r="B527" s="9" t="s">
        <v>27</v>
      </c>
      <c r="C527" s="55" t="str">
        <f t="shared" ref="C527" si="226">SUBSTITUTE(F527,"d.","p.")</f>
        <v>p.digitalizar</v>
      </c>
      <c r="D527" s="6" t="str">
        <f t="shared" ref="D527:D590" si="227">_xlfn.CONCAT("é.",G527)</f>
        <v>é.arquivo.dyf</v>
      </c>
      <c r="E527" s="8" t="s">
        <v>28</v>
      </c>
      <c r="F527" s="42" t="str">
        <f>F521</f>
        <v>d.digitalizar</v>
      </c>
      <c r="G527" s="17" t="s">
        <v>6882</v>
      </c>
      <c r="H527" s="42" t="s">
        <v>2121</v>
      </c>
      <c r="I527" s="16" t="str">
        <f t="shared" ref="I527" si="228">J527</f>
        <v>null</v>
      </c>
      <c r="J527" s="15" t="s">
        <v>0</v>
      </c>
      <c r="K527" s="15" t="s">
        <v>0</v>
      </c>
      <c r="L527" s="15" t="s">
        <v>0</v>
      </c>
      <c r="M527" s="15" t="s">
        <v>0</v>
      </c>
      <c r="N527" s="15" t="s">
        <v>0</v>
      </c>
      <c r="O527" s="15" t="s">
        <v>0</v>
      </c>
      <c r="P527" s="15" t="s">
        <v>0</v>
      </c>
      <c r="Q527" s="15" t="s">
        <v>0</v>
      </c>
      <c r="R527" s="15" t="s">
        <v>0</v>
      </c>
      <c r="S527" s="10" t="s">
        <v>1</v>
      </c>
      <c r="T527" s="10" t="s">
        <v>32</v>
      </c>
      <c r="U527" s="5" t="str">
        <f t="shared" si="213"/>
        <v>Propriedade destinada a digitalizar: é.arquivo.dyf</v>
      </c>
      <c r="V527" s="5" t="str">
        <f t="shared" si="214"/>
        <v>Dado para digitalizar:  arquivo.dyf  Deve ser formatado como (rdfs:Literal  or  xsd:string)</v>
      </c>
      <c r="W527" s="5" t="s">
        <v>6888</v>
      </c>
      <c r="X527" s="24" t="str">
        <f t="shared" si="215"/>
        <v>digit.109</v>
      </c>
      <c r="Y527" s="24" t="str">
        <f t="shared" si="216"/>
        <v>Ação de digitalizar</v>
      </c>
      <c r="Z527" s="47" t="s">
        <v>6899</v>
      </c>
      <c r="AA527" s="25" t="str">
        <f t="shared" ref="AA527" si="229">IF(AB527="null", "null", "categoria.revit")</f>
        <v>null</v>
      </c>
      <c r="AB527" s="26" t="s">
        <v>0</v>
      </c>
      <c r="AC527" s="25" t="str">
        <f t="shared" ref="AC527" si="230">IF(AD527="null", "null", "classe.ifc")</f>
        <v>null</v>
      </c>
      <c r="AD527" s="26" t="s">
        <v>0</v>
      </c>
      <c r="AE527" s="25" t="str">
        <f t="shared" si="211"/>
        <v>null</v>
      </c>
      <c r="AF527" s="26" t="s">
        <v>0</v>
      </c>
      <c r="AG527" s="47" t="s">
        <v>6890</v>
      </c>
    </row>
    <row r="528" spans="1:33" ht="6.9" customHeight="1" x14ac:dyDescent="0.4">
      <c r="A528" s="4">
        <f>ROW()</f>
        <v>528</v>
      </c>
      <c r="B528" s="9" t="s">
        <v>27</v>
      </c>
      <c r="C528" s="55" t="str">
        <f t="shared" si="222"/>
        <v>p.digitalizar</v>
      </c>
      <c r="D528" s="6" t="str">
        <f t="shared" si="227"/>
        <v>é.arquivo.dyn</v>
      </c>
      <c r="E528" s="8" t="s">
        <v>28</v>
      </c>
      <c r="F528" s="42" t="str">
        <f>F522</f>
        <v>d.digitalizar</v>
      </c>
      <c r="G528" s="17" t="s">
        <v>6881</v>
      </c>
      <c r="H528" s="42" t="s">
        <v>2121</v>
      </c>
      <c r="I528" s="16" t="str">
        <f t="shared" si="223"/>
        <v>null</v>
      </c>
      <c r="J528" s="15" t="s">
        <v>0</v>
      </c>
      <c r="K528" s="15" t="s">
        <v>0</v>
      </c>
      <c r="L528" s="15" t="s">
        <v>0</v>
      </c>
      <c r="M528" s="15" t="s">
        <v>0</v>
      </c>
      <c r="N528" s="15" t="s">
        <v>0</v>
      </c>
      <c r="O528" s="15" t="s">
        <v>0</v>
      </c>
      <c r="P528" s="15" t="s">
        <v>0</v>
      </c>
      <c r="Q528" s="15" t="s">
        <v>0</v>
      </c>
      <c r="R528" s="15" t="s">
        <v>0</v>
      </c>
      <c r="S528" s="10" t="s">
        <v>1</v>
      </c>
      <c r="T528" s="10" t="s">
        <v>32</v>
      </c>
      <c r="U528" s="5" t="str">
        <f t="shared" si="213"/>
        <v>Propriedade destinada a digitalizar: é.arquivo.dyn</v>
      </c>
      <c r="V528" s="5" t="str">
        <f t="shared" si="214"/>
        <v>Dado para digitalizar:  arquivo.dyn  Deve ser formatado como (rdfs:Literal  or  xsd:string)</v>
      </c>
      <c r="W528" s="5" t="s">
        <v>6889</v>
      </c>
      <c r="X528" s="24" t="str">
        <f t="shared" si="215"/>
        <v>digit.110</v>
      </c>
      <c r="Y528" s="24" t="str">
        <f t="shared" si="216"/>
        <v>Ação de digitalizar</v>
      </c>
      <c r="Z528" s="47" t="s">
        <v>6900</v>
      </c>
      <c r="AA528" s="25" t="str">
        <f t="shared" si="224"/>
        <v>null</v>
      </c>
      <c r="AB528" s="26" t="s">
        <v>0</v>
      </c>
      <c r="AC528" s="25" t="str">
        <f t="shared" si="225"/>
        <v>null</v>
      </c>
      <c r="AD528" s="26" t="s">
        <v>0</v>
      </c>
      <c r="AE528" s="25" t="str">
        <f t="shared" si="211"/>
        <v>null</v>
      </c>
      <c r="AF528" s="26" t="s">
        <v>0</v>
      </c>
      <c r="AG528" s="47" t="s">
        <v>6891</v>
      </c>
    </row>
    <row r="529" spans="1:33" ht="6.9" customHeight="1" x14ac:dyDescent="0.4">
      <c r="A529" s="4">
        <f>ROW()</f>
        <v>529</v>
      </c>
      <c r="B529" s="9" t="s">
        <v>27</v>
      </c>
      <c r="C529" s="55" t="str">
        <f t="shared" ref="C529" si="231">SUBSTITUTE(F529,"d.","p.")</f>
        <v>p.digitalizar</v>
      </c>
      <c r="D529" s="6" t="str">
        <f t="shared" si="227"/>
        <v>é.arquivo.py</v>
      </c>
      <c r="E529" s="8" t="s">
        <v>28</v>
      </c>
      <c r="F529" s="42" t="str">
        <f>F523</f>
        <v>d.digitalizar</v>
      </c>
      <c r="G529" s="17" t="s">
        <v>6880</v>
      </c>
      <c r="H529" s="42" t="s">
        <v>2121</v>
      </c>
      <c r="I529" s="16" t="str">
        <f t="shared" ref="I529" si="232">J529</f>
        <v>null</v>
      </c>
      <c r="J529" s="15" t="s">
        <v>0</v>
      </c>
      <c r="K529" s="15" t="s">
        <v>0</v>
      </c>
      <c r="L529" s="15" t="s">
        <v>0</v>
      </c>
      <c r="M529" s="15" t="s">
        <v>0</v>
      </c>
      <c r="N529" s="15" t="s">
        <v>0</v>
      </c>
      <c r="O529" s="15" t="s">
        <v>0</v>
      </c>
      <c r="P529" s="15" t="s">
        <v>0</v>
      </c>
      <c r="Q529" s="15" t="s">
        <v>0</v>
      </c>
      <c r="R529" s="15" t="s">
        <v>0</v>
      </c>
      <c r="S529" s="10" t="s">
        <v>1</v>
      </c>
      <c r="T529" s="10" t="s">
        <v>32</v>
      </c>
      <c r="U529" s="5" t="str">
        <f t="shared" si="213"/>
        <v>Propriedade destinada a digitalizar: é.arquivo.py</v>
      </c>
      <c r="V529" s="5" t="str">
        <f t="shared" si="214"/>
        <v>Dado para digitalizar:  arquivo.py  Deve ser formatado como (rdfs:Literal  or  xsd:string)</v>
      </c>
      <c r="W529" s="5" t="s">
        <v>6885</v>
      </c>
      <c r="X529" s="24" t="str">
        <f t="shared" si="215"/>
        <v>digit.111</v>
      </c>
      <c r="Y529" s="24" t="str">
        <f t="shared" si="216"/>
        <v>Ação de digitalizar</v>
      </c>
      <c r="Z529" s="47" t="s">
        <v>6902</v>
      </c>
      <c r="AA529" s="25" t="str">
        <f t="shared" ref="AA529" si="233">IF(AB529="null", "null", "categoria.revit")</f>
        <v>null</v>
      </c>
      <c r="AB529" s="26" t="s">
        <v>0</v>
      </c>
      <c r="AC529" s="25" t="str">
        <f t="shared" ref="AC529" si="234">IF(AD529="null", "null", "classe.ifc")</f>
        <v>null</v>
      </c>
      <c r="AD529" s="26" t="s">
        <v>0</v>
      </c>
      <c r="AE529" s="25" t="str">
        <f t="shared" si="211"/>
        <v>null</v>
      </c>
      <c r="AF529" s="26" t="s">
        <v>0</v>
      </c>
      <c r="AG529" s="47" t="s">
        <v>6892</v>
      </c>
    </row>
    <row r="530" spans="1:33" ht="6.9" customHeight="1" x14ac:dyDescent="0.4">
      <c r="A530" s="4">
        <f>ROW()</f>
        <v>530</v>
      </c>
      <c r="B530" s="9" t="s">
        <v>27</v>
      </c>
      <c r="C530" s="55" t="str">
        <f t="shared" si="222"/>
        <v>p.digitalizar</v>
      </c>
      <c r="D530" s="6" t="str">
        <f t="shared" si="227"/>
        <v>é.arquivo.dll</v>
      </c>
      <c r="E530" s="8" t="s">
        <v>28</v>
      </c>
      <c r="F530" s="42" t="str">
        <f>F524</f>
        <v>d.digitalizar</v>
      </c>
      <c r="G530" s="17" t="s">
        <v>6879</v>
      </c>
      <c r="H530" s="42" t="s">
        <v>2121</v>
      </c>
      <c r="I530" s="16" t="str">
        <f t="shared" si="223"/>
        <v>null</v>
      </c>
      <c r="J530" s="15" t="s">
        <v>0</v>
      </c>
      <c r="K530" s="15" t="s">
        <v>0</v>
      </c>
      <c r="L530" s="15" t="s">
        <v>0</v>
      </c>
      <c r="M530" s="15" t="s">
        <v>0</v>
      </c>
      <c r="N530" s="15" t="s">
        <v>0</v>
      </c>
      <c r="O530" s="15" t="s">
        <v>0</v>
      </c>
      <c r="P530" s="15" t="s">
        <v>0</v>
      </c>
      <c r="Q530" s="15" t="s">
        <v>0</v>
      </c>
      <c r="R530" s="15" t="s">
        <v>0</v>
      </c>
      <c r="S530" s="10" t="s">
        <v>1</v>
      </c>
      <c r="T530" s="10" t="s">
        <v>32</v>
      </c>
      <c r="U530" s="5" t="str">
        <f t="shared" si="213"/>
        <v>Propriedade destinada a digitalizar: é.arquivo.dll</v>
      </c>
      <c r="V530" s="5" t="str">
        <f t="shared" si="214"/>
        <v>Dado para digitalizar:  arquivo.dll  Deve ser formatado como (rdfs:Literal  or  xsd:string)</v>
      </c>
      <c r="W530" s="5" t="s">
        <v>6883</v>
      </c>
      <c r="X530" s="24" t="str">
        <f t="shared" si="215"/>
        <v>digit.112</v>
      </c>
      <c r="Y530" s="24" t="str">
        <f t="shared" si="216"/>
        <v>Ação de digitalizar</v>
      </c>
      <c r="Z530" s="47" t="s">
        <v>6903</v>
      </c>
      <c r="AA530" s="25" t="str">
        <f t="shared" si="224"/>
        <v>null</v>
      </c>
      <c r="AB530" s="26" t="s">
        <v>0</v>
      </c>
      <c r="AC530" s="25" t="str">
        <f t="shared" si="225"/>
        <v>null</v>
      </c>
      <c r="AD530" s="26" t="s">
        <v>0</v>
      </c>
      <c r="AE530" s="25" t="str">
        <f t="shared" si="211"/>
        <v>null</v>
      </c>
      <c r="AF530" s="26" t="s">
        <v>0</v>
      </c>
      <c r="AG530" s="47" t="s">
        <v>6893</v>
      </c>
    </row>
    <row r="531" spans="1:33" ht="6.9" customHeight="1" x14ac:dyDescent="0.4">
      <c r="A531" s="4">
        <f>ROW()</f>
        <v>531</v>
      </c>
      <c r="B531" s="9" t="s">
        <v>27</v>
      </c>
      <c r="C531" s="55" t="str">
        <f t="shared" si="222"/>
        <v>p.digitalizar</v>
      </c>
      <c r="D531" s="6" t="str">
        <f t="shared" si="227"/>
        <v>é.arquivo.exe</v>
      </c>
      <c r="E531" s="8" t="s">
        <v>28</v>
      </c>
      <c r="F531" s="42" t="str">
        <f>F524</f>
        <v>d.digitalizar</v>
      </c>
      <c r="G531" s="17" t="s">
        <v>6878</v>
      </c>
      <c r="H531" s="42" t="s">
        <v>2121</v>
      </c>
      <c r="I531" s="16" t="str">
        <f t="shared" si="223"/>
        <v>null</v>
      </c>
      <c r="J531" s="15" t="s">
        <v>0</v>
      </c>
      <c r="K531" s="15" t="s">
        <v>0</v>
      </c>
      <c r="L531" s="15" t="s">
        <v>0</v>
      </c>
      <c r="M531" s="15" t="s">
        <v>0</v>
      </c>
      <c r="N531" s="15" t="s">
        <v>0</v>
      </c>
      <c r="O531" s="15" t="s">
        <v>0</v>
      </c>
      <c r="P531" s="15" t="s">
        <v>0</v>
      </c>
      <c r="Q531" s="15" t="s">
        <v>0</v>
      </c>
      <c r="R531" s="15" t="s">
        <v>0</v>
      </c>
      <c r="S531" s="10" t="s">
        <v>1</v>
      </c>
      <c r="T531" s="10" t="s">
        <v>32</v>
      </c>
      <c r="U531" s="5" t="str">
        <f t="shared" si="213"/>
        <v>Propriedade destinada a digitalizar: é.arquivo.exe</v>
      </c>
      <c r="V531" s="5" t="str">
        <f t="shared" si="214"/>
        <v>Dado para digitalizar:  arquivo.exe  Deve ser formatado como (rdfs:Literal  or  xsd:string)</v>
      </c>
      <c r="W531" s="5" t="s">
        <v>6884</v>
      </c>
      <c r="X531" s="24" t="str">
        <f t="shared" si="215"/>
        <v>digit.113</v>
      </c>
      <c r="Y531" s="24" t="str">
        <f t="shared" si="216"/>
        <v>Ação de digitalizar</v>
      </c>
      <c r="Z531" s="47" t="s">
        <v>6904</v>
      </c>
      <c r="AA531" s="25" t="str">
        <f t="shared" si="224"/>
        <v>null</v>
      </c>
      <c r="AB531" s="26" t="s">
        <v>0</v>
      </c>
      <c r="AC531" s="25" t="str">
        <f t="shared" si="225"/>
        <v>null</v>
      </c>
      <c r="AD531" s="26" t="s">
        <v>0</v>
      </c>
      <c r="AE531" s="25" t="str">
        <f t="shared" si="211"/>
        <v>null</v>
      </c>
      <c r="AF531" s="26" t="s">
        <v>0</v>
      </c>
      <c r="AG531" s="47" t="s">
        <v>6894</v>
      </c>
    </row>
    <row r="532" spans="1:33" ht="6.9" customHeight="1" x14ac:dyDescent="0.4">
      <c r="A532" s="4">
        <f>ROW()</f>
        <v>532</v>
      </c>
      <c r="B532" s="9" t="s">
        <v>27</v>
      </c>
      <c r="C532" s="55" t="str">
        <f t="shared" si="222"/>
        <v>p.digitalizar</v>
      </c>
      <c r="D532" s="6" t="str">
        <f t="shared" si="227"/>
        <v>é.arquivo.lsp</v>
      </c>
      <c r="E532" s="8" t="s">
        <v>28</v>
      </c>
      <c r="F532" s="42" t="str">
        <f>F524</f>
        <v>d.digitalizar</v>
      </c>
      <c r="G532" s="17" t="s">
        <v>6897</v>
      </c>
      <c r="H532" s="42" t="s">
        <v>2121</v>
      </c>
      <c r="I532" s="16" t="str">
        <f t="shared" si="223"/>
        <v>null</v>
      </c>
      <c r="J532" s="15" t="s">
        <v>0</v>
      </c>
      <c r="K532" s="15" t="s">
        <v>0</v>
      </c>
      <c r="L532" s="15" t="s">
        <v>0</v>
      </c>
      <c r="M532" s="15" t="s">
        <v>0</v>
      </c>
      <c r="N532" s="15" t="s">
        <v>0</v>
      </c>
      <c r="O532" s="15" t="s">
        <v>0</v>
      </c>
      <c r="P532" s="15" t="s">
        <v>0</v>
      </c>
      <c r="Q532" s="15" t="s">
        <v>0</v>
      </c>
      <c r="R532" s="15" t="s">
        <v>0</v>
      </c>
      <c r="S532" s="10" t="s">
        <v>1</v>
      </c>
      <c r="T532" s="10" t="s">
        <v>32</v>
      </c>
      <c r="U532" s="5" t="str">
        <f t="shared" si="213"/>
        <v>Propriedade destinada a digitalizar: é.arquivo.lsp</v>
      </c>
      <c r="V532" s="5" t="str">
        <f t="shared" si="214"/>
        <v>Dado para digitalizar:  arquivo.lsp  Deve ser formatado como (rdfs:Literal  or  xsd:string)</v>
      </c>
      <c r="W532" s="5" t="s">
        <v>6886</v>
      </c>
      <c r="X532" s="24" t="str">
        <f t="shared" si="215"/>
        <v>digit.114</v>
      </c>
      <c r="Y532" s="24" t="str">
        <f t="shared" si="216"/>
        <v>Ação de digitalizar</v>
      </c>
      <c r="Z532" s="47" t="s">
        <v>6901</v>
      </c>
      <c r="AA532" s="25" t="str">
        <f t="shared" si="224"/>
        <v>null</v>
      </c>
      <c r="AB532" s="26" t="s">
        <v>0</v>
      </c>
      <c r="AC532" s="25" t="str">
        <f t="shared" si="225"/>
        <v>null</v>
      </c>
      <c r="AD532" s="26" t="s">
        <v>0</v>
      </c>
      <c r="AE532" s="25" t="str">
        <f t="shared" si="211"/>
        <v>null</v>
      </c>
      <c r="AF532" s="26" t="s">
        <v>0</v>
      </c>
      <c r="AG532" s="47" t="s">
        <v>6895</v>
      </c>
    </row>
    <row r="533" spans="1:33" ht="6.9" customHeight="1" x14ac:dyDescent="0.4">
      <c r="A533" s="4">
        <f>ROW()</f>
        <v>533</v>
      </c>
      <c r="B533" s="9" t="s">
        <v>27</v>
      </c>
      <c r="C533" s="55" t="str">
        <f t="shared" si="217"/>
        <v>p.digitalizar</v>
      </c>
      <c r="D533" s="6" t="str">
        <f t="shared" si="227"/>
        <v>é.arquivo.vlx</v>
      </c>
      <c r="E533" s="8" t="s">
        <v>28</v>
      </c>
      <c r="F533" s="42" t="str">
        <f>F525</f>
        <v>d.digitalizar</v>
      </c>
      <c r="G533" s="17" t="s">
        <v>6898</v>
      </c>
      <c r="H533" s="42" t="s">
        <v>2121</v>
      </c>
      <c r="I533" s="16" t="str">
        <f t="shared" si="219"/>
        <v>null</v>
      </c>
      <c r="J533" s="15" t="s">
        <v>0</v>
      </c>
      <c r="K533" s="15" t="s">
        <v>0</v>
      </c>
      <c r="L533" s="15" t="s">
        <v>0</v>
      </c>
      <c r="M533" s="15" t="s">
        <v>0</v>
      </c>
      <c r="N533" s="15" t="s">
        <v>0</v>
      </c>
      <c r="O533" s="15" t="s">
        <v>0</v>
      </c>
      <c r="P533" s="15" t="s">
        <v>0</v>
      </c>
      <c r="Q533" s="15" t="s">
        <v>0</v>
      </c>
      <c r="R533" s="15" t="s">
        <v>0</v>
      </c>
      <c r="S533" s="10" t="s">
        <v>1</v>
      </c>
      <c r="T533" s="10" t="s">
        <v>32</v>
      </c>
      <c r="U533" s="5" t="str">
        <f t="shared" si="213"/>
        <v>Propriedade destinada a digitalizar: é.arquivo.vlx</v>
      </c>
      <c r="V533" s="5" t="str">
        <f t="shared" si="214"/>
        <v>Dado para digitalizar:  arquivo.vlx  Deve ser formatado como (rdfs:Literal  or  xsd:string)</v>
      </c>
      <c r="W533" s="5" t="s">
        <v>6887</v>
      </c>
      <c r="X533" s="24" t="str">
        <f t="shared" si="215"/>
        <v>digit.115</v>
      </c>
      <c r="Y533" s="24" t="str">
        <f t="shared" si="216"/>
        <v>Ação de digitalizar</v>
      </c>
      <c r="Z533" s="47" t="s">
        <v>6905</v>
      </c>
      <c r="AA533" s="25" t="str">
        <f t="shared" si="220"/>
        <v>null</v>
      </c>
      <c r="AB533" s="26" t="s">
        <v>0</v>
      </c>
      <c r="AC533" s="25" t="str">
        <f t="shared" si="221"/>
        <v>null</v>
      </c>
      <c r="AD533" s="26" t="s">
        <v>0</v>
      </c>
      <c r="AE533" s="25" t="str">
        <f t="shared" si="211"/>
        <v>null</v>
      </c>
      <c r="AF533" s="26" t="s">
        <v>0</v>
      </c>
      <c r="AG533" s="47" t="s">
        <v>6896</v>
      </c>
    </row>
    <row r="534" spans="1:33" ht="6.9" customHeight="1" x14ac:dyDescent="0.4">
      <c r="A534" s="4">
        <f>ROW()</f>
        <v>534</v>
      </c>
      <c r="B534" s="9" t="s">
        <v>27</v>
      </c>
      <c r="C534" s="55" t="str">
        <f t="shared" si="217"/>
        <v>p.digitalizar</v>
      </c>
      <c r="D534" s="6" t="str">
        <f t="shared" si="227"/>
        <v>é.arquivo.frd</v>
      </c>
      <c r="E534" s="8" t="s">
        <v>28</v>
      </c>
      <c r="F534" s="42" t="str">
        <f t="shared" si="218"/>
        <v>d.digitalizar</v>
      </c>
      <c r="G534" s="17" t="s">
        <v>6687</v>
      </c>
      <c r="H534" s="42" t="s">
        <v>2121</v>
      </c>
      <c r="I534" s="16" t="str">
        <f t="shared" si="219"/>
        <v>null</v>
      </c>
      <c r="J534" s="15" t="s">
        <v>0</v>
      </c>
      <c r="K534" s="15" t="s">
        <v>0</v>
      </c>
      <c r="L534" s="15" t="s">
        <v>0</v>
      </c>
      <c r="M534" s="15" t="s">
        <v>0</v>
      </c>
      <c r="N534" s="15" t="s">
        <v>0</v>
      </c>
      <c r="O534" s="15" t="s">
        <v>0</v>
      </c>
      <c r="P534" s="15" t="s">
        <v>0</v>
      </c>
      <c r="Q534" s="15" t="s">
        <v>0</v>
      </c>
      <c r="R534" s="15" t="s">
        <v>0</v>
      </c>
      <c r="S534" s="10" t="s">
        <v>1</v>
      </c>
      <c r="T534" s="10" t="s">
        <v>32</v>
      </c>
      <c r="U534" s="5" t="str">
        <f t="shared" si="213"/>
        <v>Propriedade destinada a digitalizar: é.arquivo.frd</v>
      </c>
      <c r="V534" s="5" t="str">
        <f t="shared" si="214"/>
        <v>Dado para digitalizar:  arquivo.frd  Deve ser formatado como (rdfs:Literal  or  xsd:string)</v>
      </c>
      <c r="W534" s="5" t="s">
        <v>6711</v>
      </c>
      <c r="X534" s="24" t="str">
        <f t="shared" si="215"/>
        <v>digit.116</v>
      </c>
      <c r="Y534" s="24" t="str">
        <f t="shared" si="216"/>
        <v>Ação de digitalizar</v>
      </c>
      <c r="Z534" s="47" t="s">
        <v>6752</v>
      </c>
      <c r="AA534" s="25" t="str">
        <f t="shared" si="220"/>
        <v>null</v>
      </c>
      <c r="AB534" s="26" t="s">
        <v>0</v>
      </c>
      <c r="AC534" s="25" t="str">
        <f t="shared" si="221"/>
        <v>null</v>
      </c>
      <c r="AD534" s="26" t="s">
        <v>0</v>
      </c>
      <c r="AE534" s="25" t="str">
        <f t="shared" si="211"/>
        <v>null</v>
      </c>
      <c r="AF534" s="26" t="s">
        <v>0</v>
      </c>
      <c r="AG534" s="47" t="s">
        <v>6644</v>
      </c>
    </row>
    <row r="535" spans="1:33" ht="6.9" customHeight="1" x14ac:dyDescent="0.4">
      <c r="A535" s="4">
        <f>ROW()</f>
        <v>535</v>
      </c>
      <c r="B535" s="9" t="s">
        <v>27</v>
      </c>
      <c r="C535" s="55" t="str">
        <f t="shared" si="217"/>
        <v>p.digitalizar</v>
      </c>
      <c r="D535" s="6" t="str">
        <f t="shared" si="227"/>
        <v>é.arquivo.ies</v>
      </c>
      <c r="E535" s="8" t="s">
        <v>28</v>
      </c>
      <c r="F535" s="42" t="str">
        <f t="shared" si="218"/>
        <v>d.digitalizar</v>
      </c>
      <c r="G535" s="17" t="s">
        <v>6688</v>
      </c>
      <c r="H535" s="42" t="s">
        <v>2121</v>
      </c>
      <c r="I535" s="16" t="str">
        <f t="shared" si="219"/>
        <v>null</v>
      </c>
      <c r="J535" s="15" t="s">
        <v>0</v>
      </c>
      <c r="K535" s="15" t="s">
        <v>0</v>
      </c>
      <c r="L535" s="15" t="s">
        <v>0</v>
      </c>
      <c r="M535" s="15" t="s">
        <v>0</v>
      </c>
      <c r="N535" s="15" t="s">
        <v>0</v>
      </c>
      <c r="O535" s="15" t="s">
        <v>0</v>
      </c>
      <c r="P535" s="15" t="s">
        <v>0</v>
      </c>
      <c r="Q535" s="15" t="s">
        <v>0</v>
      </c>
      <c r="R535" s="15" t="s">
        <v>0</v>
      </c>
      <c r="S535" s="10" t="s">
        <v>1</v>
      </c>
      <c r="T535" s="10" t="s">
        <v>32</v>
      </c>
      <c r="U535" s="5" t="str">
        <f t="shared" si="213"/>
        <v>Propriedade destinada a digitalizar: é.arquivo.ies</v>
      </c>
      <c r="V535" s="5" t="str">
        <f t="shared" si="214"/>
        <v>Dado para digitalizar:  arquivo.ies  Deve ser formatado como (rdfs:Literal  or  xsd:string)</v>
      </c>
      <c r="W535" s="5" t="s">
        <v>6724</v>
      </c>
      <c r="X535" s="24" t="str">
        <f t="shared" si="215"/>
        <v>digit.117</v>
      </c>
      <c r="Y535" s="24" t="str">
        <f t="shared" si="216"/>
        <v>Ação de digitalizar</v>
      </c>
      <c r="Z535" s="47" t="s">
        <v>6734</v>
      </c>
      <c r="AA535" s="25" t="str">
        <f t="shared" si="220"/>
        <v>null</v>
      </c>
      <c r="AB535" s="26" t="s">
        <v>0</v>
      </c>
      <c r="AC535" s="25" t="str">
        <f t="shared" si="221"/>
        <v>null</v>
      </c>
      <c r="AD535" s="26" t="s">
        <v>0</v>
      </c>
      <c r="AE535" s="25" t="str">
        <f t="shared" si="211"/>
        <v>null</v>
      </c>
      <c r="AF535" s="26" t="s">
        <v>0</v>
      </c>
      <c r="AG535" s="47" t="s">
        <v>6645</v>
      </c>
    </row>
    <row r="536" spans="1:33" ht="6.9" customHeight="1" x14ac:dyDescent="0.4">
      <c r="A536" s="4">
        <f>ROW()</f>
        <v>536</v>
      </c>
      <c r="B536" s="9" t="s">
        <v>27</v>
      </c>
      <c r="C536" s="55" t="str">
        <f t="shared" si="217"/>
        <v>p.digitalizar</v>
      </c>
      <c r="D536" s="6" t="str">
        <f t="shared" si="227"/>
        <v>é.arquivo.ifc</v>
      </c>
      <c r="E536" s="8" t="s">
        <v>28</v>
      </c>
      <c r="F536" s="42" t="str">
        <f t="shared" si="218"/>
        <v>d.digitalizar</v>
      </c>
      <c r="G536" s="17" t="s">
        <v>4115</v>
      </c>
      <c r="H536" s="42" t="s">
        <v>2121</v>
      </c>
      <c r="I536" s="16" t="str">
        <f t="shared" si="219"/>
        <v>null</v>
      </c>
      <c r="J536" s="15" t="s">
        <v>0</v>
      </c>
      <c r="K536" s="15" t="s">
        <v>0</v>
      </c>
      <c r="L536" s="15" t="s">
        <v>0</v>
      </c>
      <c r="M536" s="15" t="s">
        <v>0</v>
      </c>
      <c r="N536" s="15" t="s">
        <v>0</v>
      </c>
      <c r="O536" s="15" t="s">
        <v>0</v>
      </c>
      <c r="P536" s="15" t="s">
        <v>0</v>
      </c>
      <c r="Q536" s="15" t="s">
        <v>0</v>
      </c>
      <c r="R536" s="15" t="s">
        <v>0</v>
      </c>
      <c r="S536" s="10" t="s">
        <v>1</v>
      </c>
      <c r="T536" s="10" t="s">
        <v>32</v>
      </c>
      <c r="U536" s="5" t="str">
        <f t="shared" si="213"/>
        <v>Propriedade destinada a digitalizar: é.arquivo.ifc</v>
      </c>
      <c r="V536" s="5" t="str">
        <f t="shared" si="214"/>
        <v>Dado para digitalizar:  arquivo.ifc  Deve ser formatado como (rdfs:Literal  or  xsd:string)</v>
      </c>
      <c r="W536" s="5" t="s">
        <v>6712</v>
      </c>
      <c r="X536" s="24" t="str">
        <f t="shared" si="215"/>
        <v>digit.118</v>
      </c>
      <c r="Y536" s="24" t="str">
        <f t="shared" si="216"/>
        <v>Ação de digitalizar</v>
      </c>
      <c r="Z536" s="47" t="s">
        <v>6735</v>
      </c>
      <c r="AA536" s="25" t="str">
        <f t="shared" si="220"/>
        <v>null</v>
      </c>
      <c r="AB536" s="26" t="s">
        <v>0</v>
      </c>
      <c r="AC536" s="25" t="str">
        <f t="shared" si="221"/>
        <v>null</v>
      </c>
      <c r="AD536" s="26" t="s">
        <v>0</v>
      </c>
      <c r="AE536" s="25" t="str">
        <f t="shared" si="211"/>
        <v>null</v>
      </c>
      <c r="AF536" s="26" t="s">
        <v>0</v>
      </c>
      <c r="AG536" s="47" t="s">
        <v>6646</v>
      </c>
    </row>
    <row r="537" spans="1:33" ht="6.9" customHeight="1" x14ac:dyDescent="0.4">
      <c r="A537" s="4">
        <f>ROW()</f>
        <v>537</v>
      </c>
      <c r="B537" s="9" t="s">
        <v>27</v>
      </c>
      <c r="C537" s="55" t="str">
        <f t="shared" si="217"/>
        <v>p.digitalizar</v>
      </c>
      <c r="D537" s="6" t="str">
        <f t="shared" si="227"/>
        <v>é.arquivo.kml</v>
      </c>
      <c r="E537" s="8" t="s">
        <v>28</v>
      </c>
      <c r="F537" s="42" t="str">
        <f t="shared" si="218"/>
        <v>d.digitalizar</v>
      </c>
      <c r="G537" s="17" t="s">
        <v>6689</v>
      </c>
      <c r="H537" s="42" t="s">
        <v>2121</v>
      </c>
      <c r="I537" s="16" t="str">
        <f t="shared" si="219"/>
        <v>null</v>
      </c>
      <c r="J537" s="15" t="s">
        <v>0</v>
      </c>
      <c r="K537" s="15" t="s">
        <v>0</v>
      </c>
      <c r="L537" s="15" t="s">
        <v>0</v>
      </c>
      <c r="M537" s="15" t="s">
        <v>0</v>
      </c>
      <c r="N537" s="15" t="s">
        <v>0</v>
      </c>
      <c r="O537" s="15" t="s">
        <v>0</v>
      </c>
      <c r="P537" s="15" t="s">
        <v>0</v>
      </c>
      <c r="Q537" s="15" t="s">
        <v>0</v>
      </c>
      <c r="R537" s="15" t="s">
        <v>0</v>
      </c>
      <c r="S537" s="10" t="s">
        <v>1</v>
      </c>
      <c r="T537" s="10" t="s">
        <v>32</v>
      </c>
      <c r="U537" s="5" t="str">
        <f t="shared" si="213"/>
        <v>Propriedade destinada a digitalizar: é.arquivo.kml</v>
      </c>
      <c r="V537" s="5" t="str">
        <f t="shared" si="214"/>
        <v>Dado para digitalizar:  arquivo.kml  Deve ser formatado como (rdfs:Literal  or  xsd:string)</v>
      </c>
      <c r="W537" s="5" t="s">
        <v>6713</v>
      </c>
      <c r="X537" s="24" t="str">
        <f t="shared" si="215"/>
        <v>digit.119</v>
      </c>
      <c r="Y537" s="24" t="str">
        <f t="shared" si="216"/>
        <v>Ação de digitalizar</v>
      </c>
      <c r="Z537" s="47" t="s">
        <v>6736</v>
      </c>
      <c r="AA537" s="25" t="str">
        <f t="shared" si="220"/>
        <v>null</v>
      </c>
      <c r="AB537" s="26" t="s">
        <v>0</v>
      </c>
      <c r="AC537" s="25" t="str">
        <f t="shared" si="221"/>
        <v>null</v>
      </c>
      <c r="AD537" s="26" t="s">
        <v>0</v>
      </c>
      <c r="AE537" s="25" t="str">
        <f t="shared" si="211"/>
        <v>null</v>
      </c>
      <c r="AF537" s="26" t="s">
        <v>0</v>
      </c>
      <c r="AG537" s="47" t="s">
        <v>6647</v>
      </c>
    </row>
    <row r="538" spans="1:33" ht="6.9" customHeight="1" x14ac:dyDescent="0.4">
      <c r="A538" s="4">
        <f>ROW()</f>
        <v>538</v>
      </c>
      <c r="B538" s="9" t="s">
        <v>27</v>
      </c>
      <c r="C538" s="55" t="str">
        <f t="shared" si="217"/>
        <v>p.digitalizar</v>
      </c>
      <c r="D538" s="6" t="str">
        <f t="shared" si="227"/>
        <v>é.arquivo.kmz</v>
      </c>
      <c r="E538" s="8" t="s">
        <v>28</v>
      </c>
      <c r="F538" s="42" t="str">
        <f t="shared" si="218"/>
        <v>d.digitalizar</v>
      </c>
      <c r="G538" s="17" t="s">
        <v>6690</v>
      </c>
      <c r="H538" s="42" t="s">
        <v>2121</v>
      </c>
      <c r="I538" s="16" t="str">
        <f t="shared" si="219"/>
        <v>null</v>
      </c>
      <c r="J538" s="15" t="s">
        <v>0</v>
      </c>
      <c r="K538" s="15" t="s">
        <v>0</v>
      </c>
      <c r="L538" s="15" t="s">
        <v>0</v>
      </c>
      <c r="M538" s="15" t="s">
        <v>0</v>
      </c>
      <c r="N538" s="15" t="s">
        <v>0</v>
      </c>
      <c r="O538" s="15" t="s">
        <v>0</v>
      </c>
      <c r="P538" s="15" t="s">
        <v>0</v>
      </c>
      <c r="Q538" s="15" t="s">
        <v>0</v>
      </c>
      <c r="R538" s="15" t="s">
        <v>0</v>
      </c>
      <c r="S538" s="10" t="s">
        <v>1</v>
      </c>
      <c r="T538" s="10" t="s">
        <v>32</v>
      </c>
      <c r="U538" s="5" t="str">
        <f t="shared" si="213"/>
        <v>Propriedade destinada a digitalizar: é.arquivo.kmz</v>
      </c>
      <c r="V538" s="5" t="str">
        <f t="shared" si="214"/>
        <v>Dado para digitalizar:  arquivo.kmz  Deve ser formatado como (rdfs:Literal  or  xsd:string)</v>
      </c>
      <c r="W538" s="5" t="s">
        <v>6714</v>
      </c>
      <c r="X538" s="24" t="str">
        <f t="shared" si="215"/>
        <v>digit.120</v>
      </c>
      <c r="Y538" s="24" t="str">
        <f t="shared" si="216"/>
        <v>Ação de digitalizar</v>
      </c>
      <c r="Z538" s="47" t="s">
        <v>6737</v>
      </c>
      <c r="AA538" s="25" t="str">
        <f t="shared" si="220"/>
        <v>null</v>
      </c>
      <c r="AB538" s="26" t="s">
        <v>0</v>
      </c>
      <c r="AC538" s="25" t="str">
        <f t="shared" si="221"/>
        <v>null</v>
      </c>
      <c r="AD538" s="26" t="s">
        <v>0</v>
      </c>
      <c r="AE538" s="25" t="str">
        <f t="shared" si="211"/>
        <v>null</v>
      </c>
      <c r="AF538" s="26" t="s">
        <v>0</v>
      </c>
      <c r="AG538" s="47" t="s">
        <v>6648</v>
      </c>
    </row>
    <row r="539" spans="1:33" ht="6.9" customHeight="1" x14ac:dyDescent="0.4">
      <c r="A539" s="4">
        <f>ROW()</f>
        <v>539</v>
      </c>
      <c r="B539" s="9" t="s">
        <v>27</v>
      </c>
      <c r="C539" s="55" t="str">
        <f t="shared" si="217"/>
        <v>p.digitalizar</v>
      </c>
      <c r="D539" s="6" t="str">
        <f t="shared" si="227"/>
        <v>é.arquivo.ods</v>
      </c>
      <c r="E539" s="8" t="s">
        <v>28</v>
      </c>
      <c r="F539" s="42" t="str">
        <f t="shared" si="218"/>
        <v>d.digitalizar</v>
      </c>
      <c r="G539" s="17" t="s">
        <v>6691</v>
      </c>
      <c r="H539" s="42" t="s">
        <v>2121</v>
      </c>
      <c r="I539" s="16" t="str">
        <f t="shared" si="219"/>
        <v>null</v>
      </c>
      <c r="J539" s="15" t="s">
        <v>0</v>
      </c>
      <c r="K539" s="15" t="s">
        <v>0</v>
      </c>
      <c r="L539" s="15" t="s">
        <v>0</v>
      </c>
      <c r="M539" s="15" t="s">
        <v>0</v>
      </c>
      <c r="N539" s="15" t="s">
        <v>0</v>
      </c>
      <c r="O539" s="15" t="s">
        <v>0</v>
      </c>
      <c r="P539" s="15" t="s">
        <v>0</v>
      </c>
      <c r="Q539" s="15" t="s">
        <v>0</v>
      </c>
      <c r="R539" s="15" t="s">
        <v>0</v>
      </c>
      <c r="S539" s="10" t="s">
        <v>1</v>
      </c>
      <c r="T539" s="10" t="s">
        <v>32</v>
      </c>
      <c r="U539" s="5" t="str">
        <f t="shared" si="213"/>
        <v>Propriedade destinada a digitalizar: é.arquivo.ods</v>
      </c>
      <c r="V539" s="5" t="str">
        <f t="shared" si="214"/>
        <v>Dado para digitalizar:  arquivo.ods  Deve ser formatado como (rdfs:Literal  or  xsd:string)</v>
      </c>
      <c r="W539" s="5" t="s">
        <v>6715</v>
      </c>
      <c r="X539" s="24" t="str">
        <f t="shared" si="215"/>
        <v>digit.121</v>
      </c>
      <c r="Y539" s="24" t="str">
        <f t="shared" si="216"/>
        <v>Ação de digitalizar</v>
      </c>
      <c r="Z539" s="47" t="s">
        <v>6738</v>
      </c>
      <c r="AA539" s="25" t="str">
        <f t="shared" si="220"/>
        <v>null</v>
      </c>
      <c r="AB539" s="26" t="s">
        <v>0</v>
      </c>
      <c r="AC539" s="25" t="str">
        <f t="shared" si="221"/>
        <v>null</v>
      </c>
      <c r="AD539" s="26" t="s">
        <v>0</v>
      </c>
      <c r="AE539" s="25" t="str">
        <f t="shared" si="211"/>
        <v>null</v>
      </c>
      <c r="AF539" s="26" t="s">
        <v>0</v>
      </c>
      <c r="AG539" s="47" t="s">
        <v>6649</v>
      </c>
    </row>
    <row r="540" spans="1:33" ht="6.9" customHeight="1" x14ac:dyDescent="0.4">
      <c r="A540" s="4">
        <f>ROW()</f>
        <v>540</v>
      </c>
      <c r="B540" s="9" t="s">
        <v>27</v>
      </c>
      <c r="C540" s="55" t="str">
        <f t="shared" si="217"/>
        <v>p.digitalizar</v>
      </c>
      <c r="D540" s="6" t="str">
        <f t="shared" si="227"/>
        <v>é.arquivo.personalizado</v>
      </c>
      <c r="E540" s="8" t="s">
        <v>28</v>
      </c>
      <c r="F540" s="42" t="str">
        <f t="shared" si="218"/>
        <v>d.digitalizar</v>
      </c>
      <c r="G540" s="17" t="s">
        <v>6692</v>
      </c>
      <c r="H540" s="42" t="s">
        <v>2121</v>
      </c>
      <c r="I540" s="16" t="str">
        <f t="shared" si="219"/>
        <v>null</v>
      </c>
      <c r="J540" s="15" t="s">
        <v>0</v>
      </c>
      <c r="K540" s="15" t="s">
        <v>0</v>
      </c>
      <c r="L540" s="15" t="s">
        <v>0</v>
      </c>
      <c r="M540" s="15" t="s">
        <v>0</v>
      </c>
      <c r="N540" s="15" t="s">
        <v>0</v>
      </c>
      <c r="O540" s="15" t="s">
        <v>0</v>
      </c>
      <c r="P540" s="15" t="s">
        <v>0</v>
      </c>
      <c r="Q540" s="15" t="s">
        <v>0</v>
      </c>
      <c r="R540" s="15" t="s">
        <v>0</v>
      </c>
      <c r="S540" s="10" t="s">
        <v>1</v>
      </c>
      <c r="T540" s="10" t="s">
        <v>32</v>
      </c>
      <c r="U540" s="5" t="str">
        <f t="shared" si="213"/>
        <v>Propriedade destinada a digitalizar: é.arquivo.personalizado</v>
      </c>
      <c r="V540" s="5" t="str">
        <f t="shared" si="214"/>
        <v>Dado para digitalizar:  arquivo.personalizado  Deve ser formatado como (rdfs:Literal  or  xsd:string)</v>
      </c>
      <c r="W540" s="5" t="s">
        <v>5403</v>
      </c>
      <c r="X540" s="24" t="str">
        <f t="shared" si="215"/>
        <v>digit.122</v>
      </c>
      <c r="Y540" s="24" t="str">
        <f t="shared" si="216"/>
        <v>Ação de digitalizar</v>
      </c>
      <c r="Z540" s="47" t="s">
        <v>6753</v>
      </c>
      <c r="AA540" s="25" t="str">
        <f t="shared" si="220"/>
        <v>null</v>
      </c>
      <c r="AB540" s="26" t="s">
        <v>0</v>
      </c>
      <c r="AC540" s="25" t="str">
        <f t="shared" si="221"/>
        <v>null</v>
      </c>
      <c r="AD540" s="26" t="s">
        <v>0</v>
      </c>
      <c r="AE540" s="25" t="str">
        <f t="shared" si="211"/>
        <v>null</v>
      </c>
      <c r="AF540" s="26" t="s">
        <v>0</v>
      </c>
      <c r="AG540" s="47" t="s">
        <v>6650</v>
      </c>
    </row>
    <row r="541" spans="1:33" ht="6.9" customHeight="1" x14ac:dyDescent="0.4">
      <c r="A541" s="4">
        <f>ROW()</f>
        <v>541</v>
      </c>
      <c r="B541" s="9" t="s">
        <v>27</v>
      </c>
      <c r="C541" s="55" t="str">
        <f t="shared" si="217"/>
        <v>p.digitalizar</v>
      </c>
      <c r="D541" s="6" t="str">
        <f t="shared" si="227"/>
        <v>é.arquivo.proprietário</v>
      </c>
      <c r="E541" s="8" t="s">
        <v>28</v>
      </c>
      <c r="F541" s="42" t="str">
        <f t="shared" si="218"/>
        <v>d.digitalizar</v>
      </c>
      <c r="G541" s="17" t="s">
        <v>6693</v>
      </c>
      <c r="H541" s="42" t="s">
        <v>2121</v>
      </c>
      <c r="I541" s="16" t="str">
        <f t="shared" si="219"/>
        <v>null</v>
      </c>
      <c r="J541" s="15" t="s">
        <v>0</v>
      </c>
      <c r="K541" s="15" t="s">
        <v>0</v>
      </c>
      <c r="L541" s="15" t="s">
        <v>0</v>
      </c>
      <c r="M541" s="15" t="s">
        <v>0</v>
      </c>
      <c r="N541" s="15" t="s">
        <v>0</v>
      </c>
      <c r="O541" s="15" t="s">
        <v>0</v>
      </c>
      <c r="P541" s="15" t="s">
        <v>0</v>
      </c>
      <c r="Q541" s="15" t="s">
        <v>0</v>
      </c>
      <c r="R541" s="15" t="s">
        <v>0</v>
      </c>
      <c r="S541" s="10" t="s">
        <v>1</v>
      </c>
      <c r="T541" s="10" t="s">
        <v>32</v>
      </c>
      <c r="U541" s="5" t="str">
        <f t="shared" si="213"/>
        <v>Propriedade destinada a digitalizar: é.arquivo.proprietário</v>
      </c>
      <c r="V541" s="5" t="str">
        <f t="shared" si="214"/>
        <v>Dado para digitalizar:  arquivo.proprietário  Deve ser formatado como (rdfs:Literal  or  xsd:string)</v>
      </c>
      <c r="W541" s="5" t="s">
        <v>5404</v>
      </c>
      <c r="X541" s="24" t="str">
        <f t="shared" si="215"/>
        <v>digit.123</v>
      </c>
      <c r="Y541" s="24" t="str">
        <f t="shared" si="216"/>
        <v>Ação de digitalizar</v>
      </c>
      <c r="Z541" s="47" t="s">
        <v>6754</v>
      </c>
      <c r="AA541" s="25" t="str">
        <f t="shared" si="220"/>
        <v>null</v>
      </c>
      <c r="AB541" s="26" t="s">
        <v>0</v>
      </c>
      <c r="AC541" s="25" t="str">
        <f t="shared" si="221"/>
        <v>null</v>
      </c>
      <c r="AD541" s="26" t="s">
        <v>0</v>
      </c>
      <c r="AE541" s="25" t="str">
        <f t="shared" si="211"/>
        <v>null</v>
      </c>
      <c r="AF541" s="26" t="s">
        <v>0</v>
      </c>
      <c r="AG541" s="47" t="s">
        <v>6651</v>
      </c>
    </row>
    <row r="542" spans="1:33" ht="6.9" customHeight="1" x14ac:dyDescent="0.4">
      <c r="A542" s="4">
        <f>ROW()</f>
        <v>542</v>
      </c>
      <c r="B542" s="9" t="s">
        <v>27</v>
      </c>
      <c r="C542" s="55" t="str">
        <f t="shared" si="217"/>
        <v>p.digitalizar</v>
      </c>
      <c r="D542" s="6" t="str">
        <f t="shared" si="227"/>
        <v>é.arquivo.rcs</v>
      </c>
      <c r="E542" s="8" t="s">
        <v>28</v>
      </c>
      <c r="F542" s="42" t="str">
        <f t="shared" si="218"/>
        <v>d.digitalizar</v>
      </c>
      <c r="G542" s="17" t="s">
        <v>6694</v>
      </c>
      <c r="H542" s="42" t="s">
        <v>2121</v>
      </c>
      <c r="I542" s="16" t="str">
        <f t="shared" si="219"/>
        <v>null</v>
      </c>
      <c r="J542" s="15" t="s">
        <v>0</v>
      </c>
      <c r="K542" s="15" t="s">
        <v>0</v>
      </c>
      <c r="L542" s="15" t="s">
        <v>0</v>
      </c>
      <c r="M542" s="15" t="s">
        <v>0</v>
      </c>
      <c r="N542" s="15" t="s">
        <v>0</v>
      </c>
      <c r="O542" s="15" t="s">
        <v>0</v>
      </c>
      <c r="P542" s="15" t="s">
        <v>0</v>
      </c>
      <c r="Q542" s="15" t="s">
        <v>0</v>
      </c>
      <c r="R542" s="15" t="s">
        <v>0</v>
      </c>
      <c r="S542" s="10" t="s">
        <v>1</v>
      </c>
      <c r="T542" s="10" t="s">
        <v>32</v>
      </c>
      <c r="U542" s="5" t="str">
        <f t="shared" si="213"/>
        <v>Propriedade destinada a digitalizar: é.arquivo.rcs</v>
      </c>
      <c r="V542" s="5" t="str">
        <f t="shared" si="214"/>
        <v>Dado para digitalizar:  arquivo.rcs  Deve ser formatado como (rdfs:Literal  or  xsd:string)</v>
      </c>
      <c r="W542" s="5" t="s">
        <v>6716</v>
      </c>
      <c r="X542" s="24" t="str">
        <f t="shared" si="215"/>
        <v>digit.124</v>
      </c>
      <c r="Y542" s="24" t="str">
        <f t="shared" si="216"/>
        <v>Ação de digitalizar</v>
      </c>
      <c r="Z542" s="47" t="s">
        <v>6739</v>
      </c>
      <c r="AA542" s="25" t="str">
        <f t="shared" si="220"/>
        <v>null</v>
      </c>
      <c r="AB542" s="26" t="s">
        <v>0</v>
      </c>
      <c r="AC542" s="25" t="str">
        <f t="shared" si="221"/>
        <v>null</v>
      </c>
      <c r="AD542" s="26" t="s">
        <v>0</v>
      </c>
      <c r="AE542" s="25" t="str">
        <f t="shared" si="211"/>
        <v>null</v>
      </c>
      <c r="AF542" s="26" t="s">
        <v>0</v>
      </c>
      <c r="AG542" s="47" t="s">
        <v>6652</v>
      </c>
    </row>
    <row r="543" spans="1:33" ht="6.9" customHeight="1" x14ac:dyDescent="0.4">
      <c r="A543" s="4">
        <f>ROW()</f>
        <v>543</v>
      </c>
      <c r="B543" s="9" t="s">
        <v>27</v>
      </c>
      <c r="C543" s="55" t="str">
        <f t="shared" si="217"/>
        <v>p.digitalizar</v>
      </c>
      <c r="D543" s="6" t="str">
        <f t="shared" si="227"/>
        <v>é.arquivo.rfa</v>
      </c>
      <c r="E543" s="8" t="s">
        <v>28</v>
      </c>
      <c r="F543" s="42" t="str">
        <f t="shared" si="218"/>
        <v>d.digitalizar</v>
      </c>
      <c r="G543" s="17" t="s">
        <v>6695</v>
      </c>
      <c r="H543" s="42" t="s">
        <v>2121</v>
      </c>
      <c r="I543" s="16" t="str">
        <f t="shared" si="219"/>
        <v>null</v>
      </c>
      <c r="J543" s="15" t="s">
        <v>0</v>
      </c>
      <c r="K543" s="15" t="s">
        <v>0</v>
      </c>
      <c r="L543" s="15" t="s">
        <v>0</v>
      </c>
      <c r="M543" s="15" t="s">
        <v>0</v>
      </c>
      <c r="N543" s="15" t="s">
        <v>0</v>
      </c>
      <c r="O543" s="15" t="s">
        <v>0</v>
      </c>
      <c r="P543" s="15" t="s">
        <v>0</v>
      </c>
      <c r="Q543" s="15" t="s">
        <v>0</v>
      </c>
      <c r="R543" s="15" t="s">
        <v>0</v>
      </c>
      <c r="S543" s="10" t="s">
        <v>1</v>
      </c>
      <c r="T543" s="10" t="s">
        <v>32</v>
      </c>
      <c r="U543" s="5" t="str">
        <f t="shared" si="213"/>
        <v>Propriedade destinada a digitalizar: é.arquivo.rfa</v>
      </c>
      <c r="V543" s="5" t="str">
        <f t="shared" si="214"/>
        <v>Dado para digitalizar:  arquivo.rfa  Deve ser formatado como (rdfs:Literal  or  xsd:string)</v>
      </c>
      <c r="W543" s="5" t="s">
        <v>6717</v>
      </c>
      <c r="X543" s="24" t="str">
        <f t="shared" si="215"/>
        <v>digit.125</v>
      </c>
      <c r="Y543" s="24" t="str">
        <f t="shared" si="216"/>
        <v>Ação de digitalizar</v>
      </c>
      <c r="Z543" s="47" t="s">
        <v>6740</v>
      </c>
      <c r="AA543" s="25" t="str">
        <f t="shared" si="220"/>
        <v>null</v>
      </c>
      <c r="AB543" s="26" t="s">
        <v>0</v>
      </c>
      <c r="AC543" s="25" t="str">
        <f t="shared" si="221"/>
        <v>null</v>
      </c>
      <c r="AD543" s="26" t="s">
        <v>0</v>
      </c>
      <c r="AE543" s="25" t="str">
        <f t="shared" si="211"/>
        <v>null</v>
      </c>
      <c r="AF543" s="26" t="s">
        <v>0</v>
      </c>
      <c r="AG543" s="47" t="s">
        <v>6653</v>
      </c>
    </row>
    <row r="544" spans="1:33" ht="6.9" customHeight="1" x14ac:dyDescent="0.4">
      <c r="A544" s="4">
        <f>ROW()</f>
        <v>544</v>
      </c>
      <c r="B544" s="9" t="s">
        <v>27</v>
      </c>
      <c r="C544" s="55" t="str">
        <f t="shared" si="217"/>
        <v>p.digitalizar</v>
      </c>
      <c r="D544" s="6" t="str">
        <f t="shared" si="227"/>
        <v>é.arquivo.rft</v>
      </c>
      <c r="E544" s="8" t="s">
        <v>28</v>
      </c>
      <c r="F544" s="42" t="str">
        <f t="shared" si="218"/>
        <v>d.digitalizar</v>
      </c>
      <c r="G544" s="17" t="s">
        <v>6696</v>
      </c>
      <c r="H544" s="42" t="s">
        <v>2121</v>
      </c>
      <c r="I544" s="16" t="str">
        <f t="shared" si="219"/>
        <v>null</v>
      </c>
      <c r="J544" s="15" t="s">
        <v>0</v>
      </c>
      <c r="K544" s="15" t="s">
        <v>0</v>
      </c>
      <c r="L544" s="15" t="s">
        <v>0</v>
      </c>
      <c r="M544" s="15" t="s">
        <v>0</v>
      </c>
      <c r="N544" s="15" t="s">
        <v>0</v>
      </c>
      <c r="O544" s="15" t="s">
        <v>0</v>
      </c>
      <c r="P544" s="15" t="s">
        <v>0</v>
      </c>
      <c r="Q544" s="15" t="s">
        <v>0</v>
      </c>
      <c r="R544" s="15" t="s">
        <v>0</v>
      </c>
      <c r="S544" s="10" t="s">
        <v>1</v>
      </c>
      <c r="T544" s="10" t="s">
        <v>32</v>
      </c>
      <c r="U544" s="5" t="str">
        <f t="shared" si="213"/>
        <v>Propriedade destinada a digitalizar: é.arquivo.rft</v>
      </c>
      <c r="V544" s="5" t="str">
        <f t="shared" si="214"/>
        <v>Dado para digitalizar:  arquivo.rft  Deve ser formatado como (rdfs:Literal  or  xsd:string)</v>
      </c>
      <c r="W544" s="5" t="s">
        <v>6718</v>
      </c>
      <c r="X544" s="24" t="str">
        <f t="shared" si="215"/>
        <v>digit.126</v>
      </c>
      <c r="Y544" s="24" t="str">
        <f t="shared" si="216"/>
        <v>Ação de digitalizar</v>
      </c>
      <c r="Z544" s="47" t="s">
        <v>6741</v>
      </c>
      <c r="AA544" s="25" t="str">
        <f t="shared" si="220"/>
        <v>null</v>
      </c>
      <c r="AB544" s="26" t="s">
        <v>0</v>
      </c>
      <c r="AC544" s="25" t="str">
        <f t="shared" si="221"/>
        <v>null</v>
      </c>
      <c r="AD544" s="26" t="s">
        <v>0</v>
      </c>
      <c r="AE544" s="25" t="str">
        <f t="shared" si="211"/>
        <v>null</v>
      </c>
      <c r="AF544" s="26" t="s">
        <v>0</v>
      </c>
      <c r="AG544" s="47" t="s">
        <v>6654</v>
      </c>
    </row>
    <row r="545" spans="1:33" ht="6.9" customHeight="1" x14ac:dyDescent="0.4">
      <c r="A545" s="4">
        <f>ROW()</f>
        <v>545</v>
      </c>
      <c r="B545" s="9" t="s">
        <v>27</v>
      </c>
      <c r="C545" s="55" t="str">
        <f t="shared" si="217"/>
        <v>p.digitalizar</v>
      </c>
      <c r="D545" s="6" t="str">
        <f t="shared" si="227"/>
        <v>é.arquivo.rte</v>
      </c>
      <c r="E545" s="8" t="s">
        <v>28</v>
      </c>
      <c r="F545" s="42" t="str">
        <f t="shared" si="218"/>
        <v>d.digitalizar</v>
      </c>
      <c r="G545" s="17" t="s">
        <v>6697</v>
      </c>
      <c r="H545" s="42" t="s">
        <v>2121</v>
      </c>
      <c r="I545" s="16" t="str">
        <f t="shared" si="219"/>
        <v>null</v>
      </c>
      <c r="J545" s="15" t="s">
        <v>0</v>
      </c>
      <c r="K545" s="15" t="s">
        <v>0</v>
      </c>
      <c r="L545" s="15" t="s">
        <v>0</v>
      </c>
      <c r="M545" s="15" t="s">
        <v>0</v>
      </c>
      <c r="N545" s="15" t="s">
        <v>0</v>
      </c>
      <c r="O545" s="15" t="s">
        <v>0</v>
      </c>
      <c r="P545" s="15" t="s">
        <v>0</v>
      </c>
      <c r="Q545" s="15" t="s">
        <v>0</v>
      </c>
      <c r="R545" s="15" t="s">
        <v>0</v>
      </c>
      <c r="S545" s="10" t="s">
        <v>1</v>
      </c>
      <c r="T545" s="10" t="s">
        <v>32</v>
      </c>
      <c r="U545" s="5" t="str">
        <f t="shared" si="213"/>
        <v>Propriedade destinada a digitalizar: é.arquivo.rte</v>
      </c>
      <c r="V545" s="5" t="str">
        <f t="shared" si="214"/>
        <v>Dado para digitalizar:  arquivo.rte  Deve ser formatado como (rdfs:Literal  or  xsd:string)</v>
      </c>
      <c r="W545" s="5" t="s">
        <v>6719</v>
      </c>
      <c r="X545" s="24" t="str">
        <f t="shared" si="215"/>
        <v>digit.127</v>
      </c>
      <c r="Y545" s="24" t="str">
        <f t="shared" si="216"/>
        <v>Ação de digitalizar</v>
      </c>
      <c r="Z545" s="47" t="s">
        <v>6742</v>
      </c>
      <c r="AA545" s="25" t="str">
        <f t="shared" si="220"/>
        <v>null</v>
      </c>
      <c r="AB545" s="26" t="s">
        <v>0</v>
      </c>
      <c r="AC545" s="25" t="str">
        <f t="shared" si="221"/>
        <v>null</v>
      </c>
      <c r="AD545" s="26" t="s">
        <v>0</v>
      </c>
      <c r="AE545" s="25" t="str">
        <f t="shared" si="211"/>
        <v>null</v>
      </c>
      <c r="AF545" s="26" t="s">
        <v>0</v>
      </c>
      <c r="AG545" s="47" t="s">
        <v>6655</v>
      </c>
    </row>
    <row r="546" spans="1:33" ht="6.9" customHeight="1" x14ac:dyDescent="0.4">
      <c r="A546" s="4">
        <f>ROW()</f>
        <v>546</v>
      </c>
      <c r="B546" s="9" t="s">
        <v>27</v>
      </c>
      <c r="C546" s="55" t="str">
        <f t="shared" si="217"/>
        <v>p.digitalizar</v>
      </c>
      <c r="D546" s="6" t="str">
        <f t="shared" si="227"/>
        <v>é.arquivo.rvt</v>
      </c>
      <c r="E546" s="8" t="s">
        <v>28</v>
      </c>
      <c r="F546" s="42" t="str">
        <f t="shared" si="218"/>
        <v>d.digitalizar</v>
      </c>
      <c r="G546" s="17" t="s">
        <v>6698</v>
      </c>
      <c r="H546" s="42" t="s">
        <v>2121</v>
      </c>
      <c r="I546" s="16" t="str">
        <f t="shared" si="219"/>
        <v>null</v>
      </c>
      <c r="J546" s="15" t="s">
        <v>0</v>
      </c>
      <c r="K546" s="15" t="s">
        <v>0</v>
      </c>
      <c r="L546" s="15" t="s">
        <v>0</v>
      </c>
      <c r="M546" s="15" t="s">
        <v>0</v>
      </c>
      <c r="N546" s="15" t="s">
        <v>0</v>
      </c>
      <c r="O546" s="15" t="s">
        <v>0</v>
      </c>
      <c r="P546" s="15" t="s">
        <v>0</v>
      </c>
      <c r="Q546" s="15" t="s">
        <v>0</v>
      </c>
      <c r="R546" s="15" t="s">
        <v>0</v>
      </c>
      <c r="S546" s="10" t="s">
        <v>1</v>
      </c>
      <c r="T546" s="10" t="s">
        <v>32</v>
      </c>
      <c r="U546" s="5" t="str">
        <f t="shared" si="213"/>
        <v>Propriedade destinada a digitalizar: é.arquivo.rvt</v>
      </c>
      <c r="V546" s="5" t="str">
        <f t="shared" si="214"/>
        <v>Dado para digitalizar:  arquivo.rvt  Deve ser formatado como (rdfs:Literal  or  xsd:string)</v>
      </c>
      <c r="W546" s="5" t="s">
        <v>6720</v>
      </c>
      <c r="X546" s="24" t="str">
        <f t="shared" si="215"/>
        <v>digit.128</v>
      </c>
      <c r="Y546" s="24" t="str">
        <f t="shared" si="216"/>
        <v>Ação de digitalizar</v>
      </c>
      <c r="Z546" s="47" t="s">
        <v>6743</v>
      </c>
      <c r="AA546" s="25" t="str">
        <f t="shared" si="220"/>
        <v>null</v>
      </c>
      <c r="AB546" s="26" t="s">
        <v>0</v>
      </c>
      <c r="AC546" s="25" t="str">
        <f t="shared" si="221"/>
        <v>null</v>
      </c>
      <c r="AD546" s="26" t="s">
        <v>0</v>
      </c>
      <c r="AE546" s="25" t="str">
        <f t="shared" si="211"/>
        <v>null</v>
      </c>
      <c r="AF546" s="26" t="s">
        <v>0</v>
      </c>
      <c r="AG546" s="47" t="s">
        <v>6656</v>
      </c>
    </row>
    <row r="547" spans="1:33" ht="6.9" customHeight="1" x14ac:dyDescent="0.4">
      <c r="A547" s="4">
        <f>ROW()</f>
        <v>547</v>
      </c>
      <c r="B547" s="9" t="s">
        <v>27</v>
      </c>
      <c r="C547" s="55" t="str">
        <f t="shared" si="217"/>
        <v>p.digitalizar</v>
      </c>
      <c r="D547" s="6" t="str">
        <f t="shared" si="227"/>
        <v>é.arquivo.txt</v>
      </c>
      <c r="E547" s="8" t="s">
        <v>28</v>
      </c>
      <c r="F547" s="42" t="str">
        <f t="shared" si="218"/>
        <v>d.digitalizar</v>
      </c>
      <c r="G547" s="17" t="s">
        <v>6699</v>
      </c>
      <c r="H547" s="42" t="s">
        <v>2121</v>
      </c>
      <c r="I547" s="16" t="str">
        <f t="shared" si="219"/>
        <v>null</v>
      </c>
      <c r="J547" s="15" t="s">
        <v>0</v>
      </c>
      <c r="K547" s="15" t="s">
        <v>0</v>
      </c>
      <c r="L547" s="15" t="s">
        <v>0</v>
      </c>
      <c r="M547" s="15" t="s">
        <v>0</v>
      </c>
      <c r="N547" s="15" t="s">
        <v>0</v>
      </c>
      <c r="O547" s="15" t="s">
        <v>0</v>
      </c>
      <c r="P547" s="15" t="s">
        <v>0</v>
      </c>
      <c r="Q547" s="15" t="s">
        <v>0</v>
      </c>
      <c r="R547" s="15" t="s">
        <v>0</v>
      </c>
      <c r="S547" s="10" t="s">
        <v>1</v>
      </c>
      <c r="T547" s="10" t="s">
        <v>32</v>
      </c>
      <c r="U547" s="5" t="str">
        <f t="shared" si="213"/>
        <v>Propriedade destinada a digitalizar: é.arquivo.txt</v>
      </c>
      <c r="V547" s="5" t="str">
        <f t="shared" si="214"/>
        <v>Dado para digitalizar:  arquivo.txt  Deve ser formatado como (rdfs:Literal  or  xsd:string)</v>
      </c>
      <c r="W547" s="5" t="s">
        <v>6721</v>
      </c>
      <c r="X547" s="24" t="str">
        <f t="shared" si="215"/>
        <v>digit.129</v>
      </c>
      <c r="Y547" s="24" t="str">
        <f t="shared" si="216"/>
        <v>Ação de digitalizar</v>
      </c>
      <c r="Z547" s="47" t="s">
        <v>6755</v>
      </c>
      <c r="AA547" s="25" t="str">
        <f t="shared" si="220"/>
        <v>null</v>
      </c>
      <c r="AB547" s="26" t="s">
        <v>0</v>
      </c>
      <c r="AC547" s="25" t="str">
        <f t="shared" si="221"/>
        <v>null</v>
      </c>
      <c r="AD547" s="26" t="s">
        <v>0</v>
      </c>
      <c r="AE547" s="25" t="str">
        <f t="shared" si="211"/>
        <v>null</v>
      </c>
      <c r="AF547" s="26" t="s">
        <v>0</v>
      </c>
      <c r="AG547" s="47" t="s">
        <v>6657</v>
      </c>
    </row>
    <row r="548" spans="1:33" ht="6.9" customHeight="1" x14ac:dyDescent="0.4">
      <c r="A548" s="4">
        <f>ROW()</f>
        <v>548</v>
      </c>
      <c r="B548" s="9" t="s">
        <v>27</v>
      </c>
      <c r="C548" s="55" t="str">
        <f t="shared" si="217"/>
        <v>p.digitalizar</v>
      </c>
      <c r="D548" s="6" t="str">
        <f t="shared" si="227"/>
        <v>é.arquivo.universal</v>
      </c>
      <c r="E548" s="8" t="s">
        <v>28</v>
      </c>
      <c r="F548" s="42" t="str">
        <f t="shared" si="218"/>
        <v>d.digitalizar</v>
      </c>
      <c r="G548" s="17" t="s">
        <v>6700</v>
      </c>
      <c r="H548" s="42" t="s">
        <v>2121</v>
      </c>
      <c r="I548" s="16" t="str">
        <f t="shared" si="219"/>
        <v>null</v>
      </c>
      <c r="J548" s="15" t="s">
        <v>0</v>
      </c>
      <c r="K548" s="15" t="s">
        <v>0</v>
      </c>
      <c r="L548" s="15" t="s">
        <v>0</v>
      </c>
      <c r="M548" s="15" t="s">
        <v>0</v>
      </c>
      <c r="N548" s="15" t="s">
        <v>0</v>
      </c>
      <c r="O548" s="15" t="s">
        <v>0</v>
      </c>
      <c r="P548" s="15" t="s">
        <v>0</v>
      </c>
      <c r="Q548" s="15" t="s">
        <v>0</v>
      </c>
      <c r="R548" s="15" t="s">
        <v>0</v>
      </c>
      <c r="S548" s="10" t="s">
        <v>1</v>
      </c>
      <c r="T548" s="10" t="s">
        <v>32</v>
      </c>
      <c r="U548" s="5" t="str">
        <f t="shared" si="213"/>
        <v>Propriedade destinada a digitalizar: é.arquivo.universal</v>
      </c>
      <c r="V548" s="5" t="str">
        <f t="shared" si="214"/>
        <v>Dado para digitalizar:  arquivo.universal  Deve ser formatado como (rdfs:Literal  or  xsd:string)</v>
      </c>
      <c r="W548" s="5" t="s">
        <v>5405</v>
      </c>
      <c r="X548" s="24" t="str">
        <f t="shared" si="215"/>
        <v>digit.130</v>
      </c>
      <c r="Y548" s="24" t="str">
        <f t="shared" si="216"/>
        <v>Ação de digitalizar</v>
      </c>
      <c r="Z548" s="47" t="s">
        <v>6744</v>
      </c>
      <c r="AA548" s="25" t="str">
        <f t="shared" si="220"/>
        <v>null</v>
      </c>
      <c r="AB548" s="26" t="s">
        <v>0</v>
      </c>
      <c r="AC548" s="25" t="str">
        <f t="shared" si="221"/>
        <v>null</v>
      </c>
      <c r="AD548" s="26" t="s">
        <v>0</v>
      </c>
      <c r="AE548" s="25" t="str">
        <f t="shared" si="211"/>
        <v>null</v>
      </c>
      <c r="AF548" s="26" t="s">
        <v>0</v>
      </c>
      <c r="AG548" s="47" t="s">
        <v>6658</v>
      </c>
    </row>
    <row r="549" spans="1:33" ht="6.9" customHeight="1" x14ac:dyDescent="0.4">
      <c r="A549" s="4">
        <f>ROW()</f>
        <v>549</v>
      </c>
      <c r="B549" s="9" t="s">
        <v>27</v>
      </c>
      <c r="C549" s="55" t="str">
        <f t="shared" si="217"/>
        <v>p.digitalizar</v>
      </c>
      <c r="D549" s="6" t="str">
        <f t="shared" si="227"/>
        <v>é.arquivo.xlsx</v>
      </c>
      <c r="E549" s="8" t="s">
        <v>28</v>
      </c>
      <c r="F549" s="42" t="str">
        <f t="shared" si="218"/>
        <v>d.digitalizar</v>
      </c>
      <c r="G549" s="17" t="s">
        <v>6701</v>
      </c>
      <c r="H549" s="42" t="s">
        <v>2121</v>
      </c>
      <c r="I549" s="16" t="str">
        <f t="shared" si="219"/>
        <v>null</v>
      </c>
      <c r="J549" s="15" t="s">
        <v>0</v>
      </c>
      <c r="K549" s="15" t="s">
        <v>0</v>
      </c>
      <c r="L549" s="15" t="s">
        <v>0</v>
      </c>
      <c r="M549" s="15" t="s">
        <v>0</v>
      </c>
      <c r="N549" s="15" t="s">
        <v>0</v>
      </c>
      <c r="O549" s="15" t="s">
        <v>0</v>
      </c>
      <c r="P549" s="15" t="s">
        <v>0</v>
      </c>
      <c r="Q549" s="15" t="s">
        <v>0</v>
      </c>
      <c r="R549" s="15" t="s">
        <v>0</v>
      </c>
      <c r="S549" s="10" t="s">
        <v>1</v>
      </c>
      <c r="T549" s="10" t="s">
        <v>32</v>
      </c>
      <c r="U549" s="5" t="str">
        <f t="shared" si="213"/>
        <v>Propriedade destinada a digitalizar: é.arquivo.xlsx</v>
      </c>
      <c r="V549" s="5" t="str">
        <f t="shared" si="214"/>
        <v>Dado para digitalizar:  arquivo.xlsx  Deve ser formatado como (rdfs:Literal  or  xsd:string)</v>
      </c>
      <c r="W549" s="5" t="s">
        <v>6722</v>
      </c>
      <c r="X549" s="24" t="str">
        <f t="shared" si="215"/>
        <v>digit.131</v>
      </c>
      <c r="Y549" s="24" t="str">
        <f t="shared" si="216"/>
        <v>Ação de digitalizar</v>
      </c>
      <c r="Z549" s="47" t="s">
        <v>6745</v>
      </c>
      <c r="AA549" s="25" t="str">
        <f t="shared" si="220"/>
        <v>null</v>
      </c>
      <c r="AB549" s="26" t="s">
        <v>0</v>
      </c>
      <c r="AC549" s="25" t="str">
        <f t="shared" si="221"/>
        <v>null</v>
      </c>
      <c r="AD549" s="26" t="s">
        <v>0</v>
      </c>
      <c r="AE549" s="25" t="str">
        <f t="shared" si="211"/>
        <v>null</v>
      </c>
      <c r="AF549" s="26" t="s">
        <v>0</v>
      </c>
      <c r="AG549" s="47" t="s">
        <v>6659</v>
      </c>
    </row>
    <row r="550" spans="1:33" ht="6.9" customHeight="1" x14ac:dyDescent="0.4">
      <c r="A550" s="4">
        <f>ROW()</f>
        <v>550</v>
      </c>
      <c r="B550" s="9" t="s">
        <v>27</v>
      </c>
      <c r="C550" s="55" t="str">
        <f t="shared" si="217"/>
        <v>p.digitalizar</v>
      </c>
      <c r="D550" s="6" t="str">
        <f t="shared" si="227"/>
        <v>é.arquivo.zma</v>
      </c>
      <c r="E550" s="8" t="s">
        <v>28</v>
      </c>
      <c r="F550" s="42" t="str">
        <f t="shared" si="218"/>
        <v>d.digitalizar</v>
      </c>
      <c r="G550" s="17" t="s">
        <v>6702</v>
      </c>
      <c r="H550" s="42" t="s">
        <v>2121</v>
      </c>
      <c r="I550" s="16" t="str">
        <f t="shared" si="219"/>
        <v>null</v>
      </c>
      <c r="J550" s="15" t="s">
        <v>0</v>
      </c>
      <c r="K550" s="15" t="s">
        <v>0</v>
      </c>
      <c r="L550" s="15" t="s">
        <v>0</v>
      </c>
      <c r="M550" s="15" t="s">
        <v>0</v>
      </c>
      <c r="N550" s="15" t="s">
        <v>0</v>
      </c>
      <c r="O550" s="15" t="s">
        <v>0</v>
      </c>
      <c r="P550" s="15" t="s">
        <v>0</v>
      </c>
      <c r="Q550" s="15" t="s">
        <v>0</v>
      </c>
      <c r="R550" s="15" t="s">
        <v>0</v>
      </c>
      <c r="S550" s="10" t="s">
        <v>1</v>
      </c>
      <c r="T550" s="10" t="s">
        <v>32</v>
      </c>
      <c r="U550" s="5" t="str">
        <f t="shared" si="213"/>
        <v>Propriedade destinada a digitalizar: é.arquivo.zma</v>
      </c>
      <c r="V550" s="5" t="str">
        <f t="shared" si="214"/>
        <v>Dado para digitalizar:  arquivo.zma  Deve ser formatado como (rdfs:Literal  or  xsd:string)</v>
      </c>
      <c r="W550" s="5" t="s">
        <v>6725</v>
      </c>
      <c r="X550" s="24" t="str">
        <f t="shared" si="215"/>
        <v>digit.132</v>
      </c>
      <c r="Y550" s="24" t="str">
        <f t="shared" si="216"/>
        <v>Ação de digitalizar</v>
      </c>
      <c r="Z550" s="47" t="s">
        <v>6756</v>
      </c>
      <c r="AA550" s="25" t="str">
        <f t="shared" si="220"/>
        <v>null</v>
      </c>
      <c r="AB550" s="26" t="s">
        <v>0</v>
      </c>
      <c r="AC550" s="25" t="str">
        <f t="shared" si="221"/>
        <v>null</v>
      </c>
      <c r="AD550" s="26" t="s">
        <v>0</v>
      </c>
      <c r="AE550" s="25" t="str">
        <f t="shared" si="211"/>
        <v>null</v>
      </c>
      <c r="AF550" s="26" t="s">
        <v>0</v>
      </c>
      <c r="AG550" s="47" t="s">
        <v>6660</v>
      </c>
    </row>
    <row r="551" spans="1:33" ht="6.9" customHeight="1" x14ac:dyDescent="0.4">
      <c r="A551" s="4">
        <f>ROW()</f>
        <v>551</v>
      </c>
      <c r="B551" s="9" t="s">
        <v>27</v>
      </c>
      <c r="C551" s="55" t="str">
        <f t="shared" si="217"/>
        <v>p.digitalizar</v>
      </c>
      <c r="D551" s="6" t="str">
        <f t="shared" si="227"/>
        <v>é.codificação.de.caracteres</v>
      </c>
      <c r="E551" s="8" t="s">
        <v>28</v>
      </c>
      <c r="F551" s="42" t="str">
        <f t="shared" si="218"/>
        <v>d.digitalizar</v>
      </c>
      <c r="G551" s="17" t="s">
        <v>645</v>
      </c>
      <c r="H551" s="42" t="s">
        <v>2121</v>
      </c>
      <c r="I551" s="16" t="str">
        <f t="shared" si="219"/>
        <v>null</v>
      </c>
      <c r="J551" s="15" t="s">
        <v>0</v>
      </c>
      <c r="K551" s="15" t="s">
        <v>0</v>
      </c>
      <c r="L551" s="15" t="s">
        <v>0</v>
      </c>
      <c r="M551" s="15" t="s">
        <v>0</v>
      </c>
      <c r="N551" s="15" t="s">
        <v>0</v>
      </c>
      <c r="O551" s="15" t="s">
        <v>0</v>
      </c>
      <c r="P551" s="15" t="s">
        <v>0</v>
      </c>
      <c r="Q551" s="15" t="s">
        <v>0</v>
      </c>
      <c r="R551" s="15" t="s">
        <v>0</v>
      </c>
      <c r="S551" s="10" t="s">
        <v>1</v>
      </c>
      <c r="T551" s="10" t="s">
        <v>32</v>
      </c>
      <c r="U551" s="5" t="str">
        <f t="shared" si="213"/>
        <v>Propriedade destinada a digitalizar: é.codificação.de.caracteres</v>
      </c>
      <c r="V551" s="5" t="str">
        <f t="shared" si="214"/>
        <v>Dado para digitalizar:  codificação.de.caracteres  Deve ser formatado como (rdfs:Literal  or  xsd:string)</v>
      </c>
      <c r="W551" s="5" t="s">
        <v>6726</v>
      </c>
      <c r="X551" s="24" t="str">
        <f t="shared" si="215"/>
        <v>digit.133</v>
      </c>
      <c r="Y551" s="24" t="str">
        <f t="shared" si="216"/>
        <v>Ação de digitalizar</v>
      </c>
      <c r="Z551" s="47" t="s">
        <v>6757</v>
      </c>
      <c r="AA551" s="25" t="str">
        <f t="shared" si="220"/>
        <v>null</v>
      </c>
      <c r="AB551" s="26" t="s">
        <v>0</v>
      </c>
      <c r="AC551" s="25" t="str">
        <f t="shared" si="221"/>
        <v>null</v>
      </c>
      <c r="AD551" s="26" t="s">
        <v>0</v>
      </c>
      <c r="AE551" s="25" t="str">
        <f t="shared" si="211"/>
        <v>null</v>
      </c>
      <c r="AF551" s="26" t="s">
        <v>0</v>
      </c>
      <c r="AG551" s="47" t="s">
        <v>6634</v>
      </c>
    </row>
    <row r="552" spans="1:33" ht="6.9" customHeight="1" x14ac:dyDescent="0.4">
      <c r="A552" s="4">
        <f>ROW()</f>
        <v>552</v>
      </c>
      <c r="B552" s="9" t="s">
        <v>27</v>
      </c>
      <c r="C552" s="55" t="str">
        <f t="shared" si="217"/>
        <v>p.digitalizar</v>
      </c>
      <c r="D552" s="6" t="str">
        <f t="shared" si="227"/>
        <v>é.resolução.horizontal</v>
      </c>
      <c r="E552" s="8" t="s">
        <v>28</v>
      </c>
      <c r="F552" s="42" t="str">
        <f t="shared" si="218"/>
        <v>d.digitalizar</v>
      </c>
      <c r="G552" s="17" t="s">
        <v>646</v>
      </c>
      <c r="H552" s="42" t="s">
        <v>33</v>
      </c>
      <c r="I552" s="16" t="str">
        <f t="shared" si="219"/>
        <v>null</v>
      </c>
      <c r="J552" s="15" t="s">
        <v>0</v>
      </c>
      <c r="K552" s="15" t="s">
        <v>0</v>
      </c>
      <c r="L552" s="15" t="s">
        <v>0</v>
      </c>
      <c r="M552" s="15" t="s">
        <v>0</v>
      </c>
      <c r="N552" s="15" t="s">
        <v>0</v>
      </c>
      <c r="O552" s="15" t="s">
        <v>0</v>
      </c>
      <c r="P552" s="15" t="s">
        <v>0</v>
      </c>
      <c r="Q552" s="15" t="s">
        <v>0</v>
      </c>
      <c r="R552" s="15" t="s">
        <v>0</v>
      </c>
      <c r="S552" s="10" t="s">
        <v>1</v>
      </c>
      <c r="T552" s="10" t="s">
        <v>32</v>
      </c>
      <c r="U552" s="5" t="str">
        <f t="shared" si="213"/>
        <v>Propriedade destinada a digitalizar: é.resolução.horizontal</v>
      </c>
      <c r="V552" s="5" t="str">
        <f t="shared" si="214"/>
        <v>Dado para digitalizar:  resolução.horizontal  Deve ser formatado como (xsd:integer)</v>
      </c>
      <c r="W552" s="5" t="s">
        <v>6728</v>
      </c>
      <c r="X552" s="24" t="str">
        <f t="shared" si="215"/>
        <v>digit.134</v>
      </c>
      <c r="Y552" s="24" t="str">
        <f t="shared" si="216"/>
        <v>Ação de digitalizar</v>
      </c>
      <c r="Z552" s="47" t="s">
        <v>6746</v>
      </c>
      <c r="AA552" s="25" t="str">
        <f t="shared" si="220"/>
        <v>null</v>
      </c>
      <c r="AB552" s="26" t="s">
        <v>0</v>
      </c>
      <c r="AC552" s="25" t="str">
        <f t="shared" si="221"/>
        <v>null</v>
      </c>
      <c r="AD552" s="26" t="s">
        <v>0</v>
      </c>
      <c r="AE552" s="25" t="str">
        <f t="shared" si="211"/>
        <v>null</v>
      </c>
      <c r="AF552" s="26" t="s">
        <v>0</v>
      </c>
      <c r="AG552" s="47" t="s">
        <v>6661</v>
      </c>
    </row>
    <row r="553" spans="1:33" ht="6.9" customHeight="1" x14ac:dyDescent="0.4">
      <c r="A553" s="4">
        <f>ROW()</f>
        <v>553</v>
      </c>
      <c r="B553" s="9" t="s">
        <v>27</v>
      </c>
      <c r="C553" s="55" t="str">
        <f t="shared" si="217"/>
        <v>p.digitalizar</v>
      </c>
      <c r="D553" s="6" t="str">
        <f t="shared" si="227"/>
        <v>é.resolução.vertical</v>
      </c>
      <c r="E553" s="8" t="s">
        <v>28</v>
      </c>
      <c r="F553" s="42" t="str">
        <f t="shared" si="218"/>
        <v>d.digitalizar</v>
      </c>
      <c r="G553" s="17" t="s">
        <v>647</v>
      </c>
      <c r="H553" s="42" t="s">
        <v>33</v>
      </c>
      <c r="I553" s="16" t="str">
        <f t="shared" si="219"/>
        <v>null</v>
      </c>
      <c r="J553" s="15" t="s">
        <v>0</v>
      </c>
      <c r="K553" s="15" t="s">
        <v>0</v>
      </c>
      <c r="L553" s="15" t="s">
        <v>0</v>
      </c>
      <c r="M553" s="15" t="s">
        <v>0</v>
      </c>
      <c r="N553" s="15" t="s">
        <v>0</v>
      </c>
      <c r="O553" s="15" t="s">
        <v>0</v>
      </c>
      <c r="P553" s="15" t="s">
        <v>0</v>
      </c>
      <c r="Q553" s="15" t="s">
        <v>0</v>
      </c>
      <c r="R553" s="15" t="s">
        <v>0</v>
      </c>
      <c r="S553" s="10" t="s">
        <v>1</v>
      </c>
      <c r="T553" s="10" t="s">
        <v>32</v>
      </c>
      <c r="U553" s="5" t="str">
        <f t="shared" si="213"/>
        <v>Propriedade destinada a digitalizar: é.resolução.vertical</v>
      </c>
      <c r="V553" s="5" t="str">
        <f t="shared" si="214"/>
        <v>Dado para digitalizar:  resolução.vertical  Deve ser formatado como (xsd:integer)</v>
      </c>
      <c r="W553" s="5" t="s">
        <v>6727</v>
      </c>
      <c r="X553" s="24" t="str">
        <f t="shared" si="215"/>
        <v>digit.135</v>
      </c>
      <c r="Y553" s="24" t="str">
        <f t="shared" si="216"/>
        <v>Ação de digitalizar</v>
      </c>
      <c r="Z553" s="47" t="s">
        <v>6747</v>
      </c>
      <c r="AA553" s="25" t="str">
        <f t="shared" si="220"/>
        <v>null</v>
      </c>
      <c r="AB553" s="26" t="s">
        <v>0</v>
      </c>
      <c r="AC553" s="25" t="str">
        <f t="shared" si="221"/>
        <v>null</v>
      </c>
      <c r="AD553" s="26" t="s">
        <v>0</v>
      </c>
      <c r="AE553" s="25" t="str">
        <f t="shared" si="211"/>
        <v>null</v>
      </c>
      <c r="AF553" s="26" t="s">
        <v>0</v>
      </c>
      <c r="AG553" s="47" t="s">
        <v>6662</v>
      </c>
    </row>
    <row r="554" spans="1:33" ht="6.9" customHeight="1" x14ac:dyDescent="0.4">
      <c r="A554" s="4">
        <f>ROW()</f>
        <v>554</v>
      </c>
      <c r="B554" s="9" t="s">
        <v>27</v>
      </c>
      <c r="C554" s="54" t="str">
        <f t="shared" ref="C554:C686" si="235">SUBSTITUTE(F554,"d.","p.")</f>
        <v>p.dimensionar</v>
      </c>
      <c r="D554" s="6" t="str">
        <f t="shared" si="227"/>
        <v>é.altura</v>
      </c>
      <c r="E554" s="8" t="s">
        <v>28</v>
      </c>
      <c r="F554" s="51" t="s">
        <v>3437</v>
      </c>
      <c r="G554" s="17" t="s">
        <v>147</v>
      </c>
      <c r="H554" s="42" t="s">
        <v>36</v>
      </c>
      <c r="I554" s="16" t="str">
        <f t="shared" ref="I554:I610" si="236">J554</f>
        <v>null</v>
      </c>
      <c r="J554" s="15" t="s">
        <v>0</v>
      </c>
      <c r="K554" s="15" t="s">
        <v>0</v>
      </c>
      <c r="L554" s="15" t="s">
        <v>0</v>
      </c>
      <c r="M554" s="15" t="s">
        <v>0</v>
      </c>
      <c r="N554" s="15" t="s">
        <v>0</v>
      </c>
      <c r="O554" s="15" t="s">
        <v>0</v>
      </c>
      <c r="P554" s="15" t="s">
        <v>0</v>
      </c>
      <c r="Q554" s="15" t="s">
        <v>0</v>
      </c>
      <c r="R554" s="15" t="s">
        <v>0</v>
      </c>
      <c r="S554" s="10" t="s">
        <v>1</v>
      </c>
      <c r="T554" s="10" t="s">
        <v>32</v>
      </c>
      <c r="U554" s="5" t="str">
        <f t="shared" si="213"/>
        <v>Propriedade destinada a dimensionar: é.altura</v>
      </c>
      <c r="V554" s="5" t="str">
        <f t="shared" si="214"/>
        <v>Dado para dimensionar:  altura  Deve ser formatado como (xsd:double)</v>
      </c>
      <c r="W554" s="5" t="s">
        <v>5406</v>
      </c>
      <c r="X554" s="24" t="str">
        <f t="shared" si="215"/>
        <v>dimen.100</v>
      </c>
      <c r="Y554" s="24" t="str">
        <f t="shared" si="216"/>
        <v>Ação de dimensionar</v>
      </c>
      <c r="Z554" s="47" t="s">
        <v>1224</v>
      </c>
      <c r="AA554" s="25" t="str">
        <f t="shared" ref="AA554" si="237">IF(AB554="null", "null", "categoria.revit")</f>
        <v>null</v>
      </c>
      <c r="AB554" s="26" t="s">
        <v>0</v>
      </c>
      <c r="AC554" s="25" t="str">
        <f t="shared" ref="AC554" si="238">IF(AD554="null", "null", "classe.ifc")</f>
        <v>null</v>
      </c>
      <c r="AD554" s="26" t="s">
        <v>0</v>
      </c>
      <c r="AE554" s="25" t="str">
        <f t="shared" si="211"/>
        <v>null</v>
      </c>
      <c r="AF554" s="26" t="s">
        <v>0</v>
      </c>
      <c r="AG554" s="47" t="s">
        <v>3682</v>
      </c>
    </row>
    <row r="555" spans="1:33" ht="6.9" customHeight="1" x14ac:dyDescent="0.4">
      <c r="A555" s="4">
        <f>ROW()</f>
        <v>555</v>
      </c>
      <c r="B555" s="9" t="s">
        <v>27</v>
      </c>
      <c r="C555" s="55" t="str">
        <f t="shared" ref="C555:C589" si="239">SUBSTITUTE(F555,"d.","p.")</f>
        <v>p.dimensionar</v>
      </c>
      <c r="D555" s="6" t="str">
        <f t="shared" si="227"/>
        <v>é.altura.ao.eixo</v>
      </c>
      <c r="E555" s="8" t="s">
        <v>28</v>
      </c>
      <c r="F555" s="42" t="str">
        <f t="shared" ref="F555:F618" si="240">F554</f>
        <v>d.dimensionar</v>
      </c>
      <c r="G555" s="17" t="s">
        <v>1223</v>
      </c>
      <c r="H555" s="42" t="s">
        <v>36</v>
      </c>
      <c r="I555" s="16" t="str">
        <f t="shared" si="236"/>
        <v>null</v>
      </c>
      <c r="J555" s="15" t="s">
        <v>0</v>
      </c>
      <c r="K555" s="15" t="s">
        <v>0</v>
      </c>
      <c r="L555" s="15" t="s">
        <v>0</v>
      </c>
      <c r="M555" s="15" t="s">
        <v>0</v>
      </c>
      <c r="N555" s="15" t="s">
        <v>0</v>
      </c>
      <c r="O555" s="15" t="s">
        <v>0</v>
      </c>
      <c r="P555" s="15" t="s">
        <v>0</v>
      </c>
      <c r="Q555" s="15" t="s">
        <v>0</v>
      </c>
      <c r="R555" s="15" t="s">
        <v>0</v>
      </c>
      <c r="S555" s="10" t="s">
        <v>1</v>
      </c>
      <c r="T555" s="10" t="s">
        <v>32</v>
      </c>
      <c r="U555" s="5" t="str">
        <f t="shared" si="213"/>
        <v>Propriedade destinada a dimensionar: é.altura.ao.eixo</v>
      </c>
      <c r="V555" s="5" t="str">
        <f t="shared" si="214"/>
        <v>Dado para dimensionar:  altura.ao.eixo  Deve ser formatado como (xsd:double)</v>
      </c>
      <c r="W555" s="5" t="s">
        <v>5407</v>
      </c>
      <c r="X555" s="24" t="str">
        <f t="shared" si="215"/>
        <v>dimen.101</v>
      </c>
      <c r="Y555" s="24" t="str">
        <f t="shared" si="216"/>
        <v>Ação de dimensionar</v>
      </c>
      <c r="Z555" s="47" t="s">
        <v>1666</v>
      </c>
      <c r="AA555" s="25" t="str">
        <f t="shared" ref="AA555:AA589" si="241">IF(AB555="null", "null", "categoria.revit")</f>
        <v>null</v>
      </c>
      <c r="AB555" s="26" t="s">
        <v>0</v>
      </c>
      <c r="AC555" s="25" t="str">
        <f t="shared" ref="AC555:AC589" si="242">IF(AD555="null", "null", "classe.ifc")</f>
        <v>null</v>
      </c>
      <c r="AD555" s="26" t="s">
        <v>0</v>
      </c>
      <c r="AE555" s="25" t="str">
        <f t="shared" si="211"/>
        <v>null</v>
      </c>
      <c r="AF555" s="26" t="s">
        <v>0</v>
      </c>
      <c r="AG555" s="47" t="s">
        <v>3683</v>
      </c>
    </row>
    <row r="556" spans="1:33" ht="6.9" customHeight="1" x14ac:dyDescent="0.4">
      <c r="A556" s="4">
        <f>ROW()</f>
        <v>556</v>
      </c>
      <c r="B556" s="9" t="s">
        <v>27</v>
      </c>
      <c r="C556" s="55" t="str">
        <f t="shared" si="239"/>
        <v>p.dimensionar</v>
      </c>
      <c r="D556" s="6" t="str">
        <f t="shared" si="227"/>
        <v>é.altura.interna</v>
      </c>
      <c r="E556" s="8" t="s">
        <v>28</v>
      </c>
      <c r="F556" s="42" t="str">
        <f t="shared" si="240"/>
        <v>d.dimensionar</v>
      </c>
      <c r="G556" s="17" t="s">
        <v>1982</v>
      </c>
      <c r="H556" s="42" t="s">
        <v>36</v>
      </c>
      <c r="I556" s="16" t="str">
        <f t="shared" si="236"/>
        <v>null</v>
      </c>
      <c r="J556" s="15" t="s">
        <v>0</v>
      </c>
      <c r="K556" s="15" t="s">
        <v>0</v>
      </c>
      <c r="L556" s="15" t="s">
        <v>0</v>
      </c>
      <c r="M556" s="15" t="s">
        <v>0</v>
      </c>
      <c r="N556" s="15" t="s">
        <v>0</v>
      </c>
      <c r="O556" s="15" t="s">
        <v>0</v>
      </c>
      <c r="P556" s="15" t="s">
        <v>0</v>
      </c>
      <c r="Q556" s="15" t="s">
        <v>0</v>
      </c>
      <c r="R556" s="15" t="s">
        <v>0</v>
      </c>
      <c r="S556" s="10" t="s">
        <v>1</v>
      </c>
      <c r="T556" s="10" t="s">
        <v>32</v>
      </c>
      <c r="U556" s="5" t="str">
        <f t="shared" si="213"/>
        <v>Propriedade destinada a dimensionar: é.altura.interna</v>
      </c>
      <c r="V556" s="5" t="str">
        <f t="shared" si="214"/>
        <v>Dado para dimensionar:  altura.interna  Deve ser formatado como (xsd:double)</v>
      </c>
      <c r="W556" s="5" t="s">
        <v>5408</v>
      </c>
      <c r="X556" s="24" t="str">
        <f t="shared" si="215"/>
        <v>dimen.102</v>
      </c>
      <c r="Y556" s="24" t="str">
        <f t="shared" si="216"/>
        <v>Ação de dimensionar</v>
      </c>
      <c r="Z556" s="47" t="s">
        <v>1983</v>
      </c>
      <c r="AA556" s="25" t="str">
        <f t="shared" si="241"/>
        <v>null</v>
      </c>
      <c r="AB556" s="26" t="s">
        <v>0</v>
      </c>
      <c r="AC556" s="25" t="str">
        <f t="shared" si="242"/>
        <v>null</v>
      </c>
      <c r="AD556" s="26" t="s">
        <v>0</v>
      </c>
      <c r="AE556" s="25" t="str">
        <f t="shared" si="211"/>
        <v>null</v>
      </c>
      <c r="AF556" s="26" t="s">
        <v>0</v>
      </c>
      <c r="AG556" s="47" t="s">
        <v>3684</v>
      </c>
    </row>
    <row r="557" spans="1:33" ht="6.9" customHeight="1" x14ac:dyDescent="0.4">
      <c r="A557" s="4">
        <f>ROW()</f>
        <v>557</v>
      </c>
      <c r="B557" s="9" t="s">
        <v>27</v>
      </c>
      <c r="C557" s="55" t="str">
        <f t="shared" si="239"/>
        <v>p.dimensionar</v>
      </c>
      <c r="D557" s="6" t="str">
        <f t="shared" si="227"/>
        <v>é.altura.nominal.da.onda</v>
      </c>
      <c r="E557" s="8" t="s">
        <v>28</v>
      </c>
      <c r="F557" s="42" t="str">
        <f t="shared" si="240"/>
        <v>d.dimensionar</v>
      </c>
      <c r="G557" s="17" t="s">
        <v>3436</v>
      </c>
      <c r="H557" s="41" t="s">
        <v>36</v>
      </c>
      <c r="I557" s="16" t="str">
        <f t="shared" si="236"/>
        <v>null</v>
      </c>
      <c r="J557" s="15" t="s">
        <v>0</v>
      </c>
      <c r="K557" s="15" t="s">
        <v>0</v>
      </c>
      <c r="L557" s="15" t="s">
        <v>0</v>
      </c>
      <c r="M557" s="15" t="s">
        <v>0</v>
      </c>
      <c r="N557" s="15" t="s">
        <v>0</v>
      </c>
      <c r="O557" s="15" t="s">
        <v>0</v>
      </c>
      <c r="P557" s="15" t="s">
        <v>0</v>
      </c>
      <c r="Q557" s="15" t="s">
        <v>0</v>
      </c>
      <c r="R557" s="15" t="s">
        <v>0</v>
      </c>
      <c r="S557" s="10" t="s">
        <v>1</v>
      </c>
      <c r="T557" s="10" t="s">
        <v>32</v>
      </c>
      <c r="U557" s="5" t="str">
        <f t="shared" si="213"/>
        <v>Propriedade destinada a dimensionar: é.altura.nominal.da.onda</v>
      </c>
      <c r="V557" s="5" t="str">
        <f t="shared" si="214"/>
        <v>Dado para dimensionar:  altura.nominal.da.onda  Deve ser formatado como (xsd:double)</v>
      </c>
      <c r="W557" s="5" t="s">
        <v>5409</v>
      </c>
      <c r="X557" s="24" t="str">
        <f t="shared" si="215"/>
        <v>dimen.103</v>
      </c>
      <c r="Y557" s="24" t="str">
        <f t="shared" si="216"/>
        <v>Ação de dimensionar</v>
      </c>
      <c r="Z557" s="47" t="s">
        <v>3438</v>
      </c>
      <c r="AA557" s="25" t="str">
        <f t="shared" si="241"/>
        <v>null</v>
      </c>
      <c r="AB557" s="26" t="s">
        <v>0</v>
      </c>
      <c r="AC557" s="25" t="str">
        <f t="shared" si="242"/>
        <v>null</v>
      </c>
      <c r="AD557" s="26" t="s">
        <v>0</v>
      </c>
      <c r="AE557" s="25" t="str">
        <f t="shared" si="211"/>
        <v>null</v>
      </c>
      <c r="AF557" s="26" t="s">
        <v>0</v>
      </c>
      <c r="AG557" s="47" t="s">
        <v>3685</v>
      </c>
    </row>
    <row r="558" spans="1:33" ht="6.9" customHeight="1" x14ac:dyDescent="0.4">
      <c r="A558" s="4">
        <f>ROW()</f>
        <v>558</v>
      </c>
      <c r="B558" s="9" t="s">
        <v>27</v>
      </c>
      <c r="C558" s="55" t="str">
        <f t="shared" si="239"/>
        <v>p.dimensionar</v>
      </c>
      <c r="D558" s="6" t="str">
        <f t="shared" si="227"/>
        <v>é.área</v>
      </c>
      <c r="E558" s="8" t="s">
        <v>28</v>
      </c>
      <c r="F558" s="42" t="str">
        <f t="shared" si="240"/>
        <v>d.dimensionar</v>
      </c>
      <c r="G558" s="17" t="s">
        <v>146</v>
      </c>
      <c r="H558" s="42" t="s">
        <v>36</v>
      </c>
      <c r="I558" s="16" t="str">
        <f t="shared" si="236"/>
        <v>Functional</v>
      </c>
      <c r="J558" s="15" t="s">
        <v>29</v>
      </c>
      <c r="K558" s="15" t="s">
        <v>0</v>
      </c>
      <c r="L558" s="15" t="s">
        <v>0</v>
      </c>
      <c r="M558" s="15" t="s">
        <v>0</v>
      </c>
      <c r="N558" s="15" t="s">
        <v>0</v>
      </c>
      <c r="O558" s="15" t="s">
        <v>0</v>
      </c>
      <c r="P558" s="15" t="s">
        <v>0</v>
      </c>
      <c r="Q558" s="15" t="s">
        <v>0</v>
      </c>
      <c r="R558" s="15" t="s">
        <v>0</v>
      </c>
      <c r="S558" s="10" t="s">
        <v>1</v>
      </c>
      <c r="T558" s="10" t="s">
        <v>32</v>
      </c>
      <c r="U558" s="5" t="str">
        <f t="shared" si="213"/>
        <v>Propriedade destinada a dimensionar: é.área</v>
      </c>
      <c r="V558" s="5" t="str">
        <f t="shared" si="214"/>
        <v>Dado para dimensionar:  área  Deve ser formatado como (xsd:double)</v>
      </c>
      <c r="W558" s="5" t="s">
        <v>5410</v>
      </c>
      <c r="X558" s="24" t="str">
        <f t="shared" si="215"/>
        <v>dimen.104</v>
      </c>
      <c r="Y558" s="24" t="str">
        <f t="shared" si="216"/>
        <v>Ação de dimensionar</v>
      </c>
      <c r="Z558" s="47" t="s">
        <v>1664</v>
      </c>
      <c r="AA558" s="25" t="str">
        <f t="shared" si="241"/>
        <v>null</v>
      </c>
      <c r="AB558" s="26" t="s">
        <v>0</v>
      </c>
      <c r="AC558" s="25" t="str">
        <f t="shared" si="242"/>
        <v>null</v>
      </c>
      <c r="AD558" s="26" t="s">
        <v>0</v>
      </c>
      <c r="AE558" s="25" t="str">
        <f t="shared" si="211"/>
        <v>null</v>
      </c>
      <c r="AF558" s="26" t="s">
        <v>0</v>
      </c>
      <c r="AG558" s="47" t="s">
        <v>3686</v>
      </c>
    </row>
    <row r="559" spans="1:33" ht="6.9" customHeight="1" x14ac:dyDescent="0.4">
      <c r="A559" s="4">
        <f>ROW()</f>
        <v>559</v>
      </c>
      <c r="B559" s="9" t="s">
        <v>27</v>
      </c>
      <c r="C559" s="55" t="str">
        <f t="shared" si="239"/>
        <v>p.dimensionar</v>
      </c>
      <c r="D559" s="6" t="str">
        <f t="shared" si="227"/>
        <v>é.área.bruta</v>
      </c>
      <c r="E559" s="8" t="s">
        <v>28</v>
      </c>
      <c r="F559" s="42" t="str">
        <f t="shared" si="240"/>
        <v>d.dimensionar</v>
      </c>
      <c r="G559" s="17" t="s">
        <v>809</v>
      </c>
      <c r="H559" s="42" t="s">
        <v>36</v>
      </c>
      <c r="I559" s="16" t="str">
        <f t="shared" si="236"/>
        <v>Functional</v>
      </c>
      <c r="J559" s="15" t="s">
        <v>29</v>
      </c>
      <c r="K559" s="15" t="s">
        <v>0</v>
      </c>
      <c r="L559" s="15" t="s">
        <v>0</v>
      </c>
      <c r="M559" s="15" t="s">
        <v>0</v>
      </c>
      <c r="N559" s="15" t="s">
        <v>0</v>
      </c>
      <c r="O559" s="15" t="s">
        <v>0</v>
      </c>
      <c r="P559" s="15" t="s">
        <v>0</v>
      </c>
      <c r="Q559" s="15" t="s">
        <v>0</v>
      </c>
      <c r="R559" s="15" t="s">
        <v>2091</v>
      </c>
      <c r="S559" s="10" t="s">
        <v>1</v>
      </c>
      <c r="T559" s="10" t="s">
        <v>32</v>
      </c>
      <c r="U559" s="5" t="str">
        <f t="shared" si="213"/>
        <v>Propriedade destinada a dimensionar: é.área.bruta</v>
      </c>
      <c r="V559" s="5" t="str">
        <f t="shared" si="214"/>
        <v>Dado para dimensionar:  área.bruta  Deve ser formatado como (xsd:double)</v>
      </c>
      <c r="W559" s="5" t="s">
        <v>5411</v>
      </c>
      <c r="X559" s="24" t="str">
        <f t="shared" si="215"/>
        <v>dimen.105</v>
      </c>
      <c r="Y559" s="24" t="str">
        <f t="shared" si="216"/>
        <v>Ação de dimensionar</v>
      </c>
      <c r="Z559" s="47" t="s">
        <v>1665</v>
      </c>
      <c r="AA559" s="25" t="str">
        <f t="shared" si="241"/>
        <v>null</v>
      </c>
      <c r="AB559" s="26" t="s">
        <v>0</v>
      </c>
      <c r="AC559" s="25" t="str">
        <f t="shared" si="242"/>
        <v>null</v>
      </c>
      <c r="AD559" s="26" t="s">
        <v>0</v>
      </c>
      <c r="AE559" s="25" t="str">
        <f t="shared" si="211"/>
        <v>null</v>
      </c>
      <c r="AF559" s="26" t="s">
        <v>0</v>
      </c>
      <c r="AG559" s="47" t="s">
        <v>3687</v>
      </c>
    </row>
    <row r="560" spans="1:33" ht="6.9" customHeight="1" x14ac:dyDescent="0.4">
      <c r="A560" s="4">
        <f>ROW()</f>
        <v>560</v>
      </c>
      <c r="B560" s="9" t="s">
        <v>27</v>
      </c>
      <c r="C560" s="55" t="str">
        <f t="shared" si="239"/>
        <v>p.dimensionar</v>
      </c>
      <c r="D560" s="6" t="str">
        <f t="shared" si="227"/>
        <v>é.área.coberta.padrão</v>
      </c>
      <c r="E560" s="8" t="s">
        <v>28</v>
      </c>
      <c r="F560" s="42" t="str">
        <f t="shared" si="240"/>
        <v>d.dimensionar</v>
      </c>
      <c r="G560" s="17" t="s">
        <v>2086</v>
      </c>
      <c r="H560" s="42" t="s">
        <v>36</v>
      </c>
      <c r="I560" s="16" t="str">
        <f t="shared" si="236"/>
        <v>null</v>
      </c>
      <c r="J560" s="15" t="s">
        <v>0</v>
      </c>
      <c r="K560" s="15" t="s">
        <v>0</v>
      </c>
      <c r="L560" s="15" t="s">
        <v>0</v>
      </c>
      <c r="M560" s="15" t="s">
        <v>0</v>
      </c>
      <c r="N560" s="15" t="s">
        <v>0</v>
      </c>
      <c r="O560" s="15" t="s">
        <v>0</v>
      </c>
      <c r="P560" s="15" t="s">
        <v>0</v>
      </c>
      <c r="Q560" s="15" t="s">
        <v>0</v>
      </c>
      <c r="R560" s="15" t="s">
        <v>0</v>
      </c>
      <c r="S560" s="10" t="s">
        <v>1</v>
      </c>
      <c r="T560" s="10" t="s">
        <v>32</v>
      </c>
      <c r="U560" s="5" t="str">
        <f t="shared" si="213"/>
        <v>Propriedade destinada a dimensionar: é.área.coberta.padrão</v>
      </c>
      <c r="V560" s="5" t="str">
        <f t="shared" si="214"/>
        <v>Dado para dimensionar:  área.coberta.padrão  Deve ser formatado como (xsd:double)</v>
      </c>
      <c r="W560" s="5" t="s">
        <v>5412</v>
      </c>
      <c r="X560" s="24" t="str">
        <f t="shared" si="215"/>
        <v>dimen.106</v>
      </c>
      <c r="Y560" s="24" t="str">
        <f t="shared" si="216"/>
        <v>Ação de dimensionar</v>
      </c>
      <c r="Z560" s="47" t="s">
        <v>2095</v>
      </c>
      <c r="AA560" s="25" t="str">
        <f t="shared" si="241"/>
        <v>null</v>
      </c>
      <c r="AB560" s="26" t="s">
        <v>0</v>
      </c>
      <c r="AC560" s="25" t="str">
        <f t="shared" si="242"/>
        <v>null</v>
      </c>
      <c r="AD560" s="26" t="s">
        <v>0</v>
      </c>
      <c r="AE560" s="25" t="str">
        <f t="shared" si="211"/>
        <v>null</v>
      </c>
      <c r="AF560" s="26" t="s">
        <v>0</v>
      </c>
      <c r="AG560" s="47" t="s">
        <v>3688</v>
      </c>
    </row>
    <row r="561" spans="1:33" ht="6.9" customHeight="1" x14ac:dyDescent="0.4">
      <c r="A561" s="4">
        <f>ROW()</f>
        <v>561</v>
      </c>
      <c r="B561" s="9" t="s">
        <v>27</v>
      </c>
      <c r="C561" s="55" t="str">
        <f t="shared" si="239"/>
        <v>p.dimensionar</v>
      </c>
      <c r="D561" s="6" t="str">
        <f t="shared" si="227"/>
        <v>é.área.coberta.padrão.diferente</v>
      </c>
      <c r="E561" s="8" t="s">
        <v>28</v>
      </c>
      <c r="F561" s="42" t="str">
        <f t="shared" si="240"/>
        <v>d.dimensionar</v>
      </c>
      <c r="G561" s="17" t="s">
        <v>3555</v>
      </c>
      <c r="H561" s="42" t="s">
        <v>36</v>
      </c>
      <c r="I561" s="16" t="str">
        <f t="shared" si="236"/>
        <v>null</v>
      </c>
      <c r="J561" s="15" t="s">
        <v>0</v>
      </c>
      <c r="K561" s="15" t="s">
        <v>0</v>
      </c>
      <c r="L561" s="15" t="s">
        <v>0</v>
      </c>
      <c r="M561" s="15" t="s">
        <v>0</v>
      </c>
      <c r="N561" s="15" t="s">
        <v>0</v>
      </c>
      <c r="O561" s="15" t="s">
        <v>0</v>
      </c>
      <c r="P561" s="15" t="s">
        <v>0</v>
      </c>
      <c r="Q561" s="15" t="s">
        <v>0</v>
      </c>
      <c r="R561" s="15" t="s">
        <v>0</v>
      </c>
      <c r="S561" s="10" t="s">
        <v>1</v>
      </c>
      <c r="T561" s="10" t="s">
        <v>32</v>
      </c>
      <c r="U561" s="5" t="str">
        <f t="shared" si="213"/>
        <v>Propriedade destinada a dimensionar: é.área.coberta.padrão.diferente</v>
      </c>
      <c r="V561" s="5" t="str">
        <f t="shared" si="214"/>
        <v>Dado para dimensionar:  área.coberta.padrão.diferente  Deve ser formatado como (xsd:double)</v>
      </c>
      <c r="W561" s="5" t="s">
        <v>5413</v>
      </c>
      <c r="X561" s="24" t="str">
        <f t="shared" si="215"/>
        <v>dimen.107</v>
      </c>
      <c r="Y561" s="24" t="str">
        <f t="shared" si="216"/>
        <v>Ação de dimensionar</v>
      </c>
      <c r="Z561" s="47" t="s">
        <v>2094</v>
      </c>
      <c r="AA561" s="25" t="str">
        <f t="shared" si="241"/>
        <v>null</v>
      </c>
      <c r="AB561" s="26" t="s">
        <v>0</v>
      </c>
      <c r="AC561" s="25" t="str">
        <f t="shared" si="242"/>
        <v>null</v>
      </c>
      <c r="AD561" s="26" t="s">
        <v>0</v>
      </c>
      <c r="AE561" s="25" t="str">
        <f t="shared" ref="AE561:AE625" si="243">IF(AF561="null", "null", "propriedade")</f>
        <v>null</v>
      </c>
      <c r="AF561" s="26" t="s">
        <v>0</v>
      </c>
      <c r="AG561" s="47" t="s">
        <v>3689</v>
      </c>
    </row>
    <row r="562" spans="1:33" ht="6.9" customHeight="1" x14ac:dyDescent="0.4">
      <c r="A562" s="4">
        <f>ROW()</f>
        <v>562</v>
      </c>
      <c r="B562" s="9" t="s">
        <v>27</v>
      </c>
      <c r="C562" s="55" t="str">
        <f t="shared" si="239"/>
        <v>p.dimensionar</v>
      </c>
      <c r="D562" s="6" t="str">
        <f t="shared" si="227"/>
        <v>é.área.de.uso.comum</v>
      </c>
      <c r="E562" s="8" t="s">
        <v>28</v>
      </c>
      <c r="F562" s="42" t="str">
        <f t="shared" si="240"/>
        <v>d.dimensionar</v>
      </c>
      <c r="G562" s="17" t="s">
        <v>2084</v>
      </c>
      <c r="H562" s="42" t="s">
        <v>36</v>
      </c>
      <c r="I562" s="16" t="str">
        <f t="shared" si="236"/>
        <v>null</v>
      </c>
      <c r="J562" s="15" t="s">
        <v>0</v>
      </c>
      <c r="K562" s="15" t="s">
        <v>0</v>
      </c>
      <c r="L562" s="15" t="s">
        <v>0</v>
      </c>
      <c r="M562" s="15" t="s">
        <v>0</v>
      </c>
      <c r="N562" s="15" t="s">
        <v>0</v>
      </c>
      <c r="O562" s="15" t="s">
        <v>0</v>
      </c>
      <c r="P562" s="15" t="s">
        <v>0</v>
      </c>
      <c r="Q562" s="15" t="s">
        <v>0</v>
      </c>
      <c r="R562" s="15" t="s">
        <v>0</v>
      </c>
      <c r="S562" s="10" t="s">
        <v>1</v>
      </c>
      <c r="T562" s="10" t="s">
        <v>32</v>
      </c>
      <c r="U562" s="5" t="str">
        <f t="shared" si="213"/>
        <v>Propriedade destinada a dimensionar: é.área.de.uso.comum</v>
      </c>
      <c r="V562" s="5" t="str">
        <f t="shared" si="214"/>
        <v>Dado para dimensionar:  área.de.uso.comum  Deve ser formatado como (xsd:double)</v>
      </c>
      <c r="W562" s="5" t="s">
        <v>5414</v>
      </c>
      <c r="X562" s="24" t="str">
        <f t="shared" si="215"/>
        <v>dimen.108</v>
      </c>
      <c r="Y562" s="24" t="str">
        <f t="shared" si="216"/>
        <v>Ação de dimensionar</v>
      </c>
      <c r="Z562" s="47" t="s">
        <v>2096</v>
      </c>
      <c r="AA562" s="25" t="str">
        <f t="shared" si="241"/>
        <v>null</v>
      </c>
      <c r="AB562" s="26" t="s">
        <v>0</v>
      </c>
      <c r="AC562" s="25" t="str">
        <f t="shared" si="242"/>
        <v>null</v>
      </c>
      <c r="AD562" s="26" t="s">
        <v>0</v>
      </c>
      <c r="AE562" s="25" t="str">
        <f t="shared" si="243"/>
        <v>null</v>
      </c>
      <c r="AF562" s="26" t="s">
        <v>0</v>
      </c>
      <c r="AG562" s="47" t="s">
        <v>3690</v>
      </c>
    </row>
    <row r="563" spans="1:33" ht="6.9" customHeight="1" x14ac:dyDescent="0.4">
      <c r="A563" s="4">
        <f>ROW()</f>
        <v>563</v>
      </c>
      <c r="B563" s="9" t="s">
        <v>27</v>
      </c>
      <c r="C563" s="55" t="str">
        <f t="shared" si="239"/>
        <v>p.dimensionar</v>
      </c>
      <c r="D563" s="6" t="str">
        <f t="shared" si="227"/>
        <v>é.área.de.uso.comum.de.divisão.não.proporcional</v>
      </c>
      <c r="E563" s="8" t="s">
        <v>28</v>
      </c>
      <c r="F563" s="42" t="str">
        <f t="shared" si="240"/>
        <v>d.dimensionar</v>
      </c>
      <c r="G563" s="17" t="s">
        <v>2085</v>
      </c>
      <c r="H563" s="42" t="s">
        <v>36</v>
      </c>
      <c r="I563" s="16" t="str">
        <f t="shared" si="236"/>
        <v>null</v>
      </c>
      <c r="J563" s="15" t="s">
        <v>0</v>
      </c>
      <c r="K563" s="15" t="s">
        <v>0</v>
      </c>
      <c r="L563" s="15" t="s">
        <v>0</v>
      </c>
      <c r="M563" s="15" t="s">
        <v>0</v>
      </c>
      <c r="N563" s="15" t="s">
        <v>0</v>
      </c>
      <c r="O563" s="15" t="s">
        <v>0</v>
      </c>
      <c r="P563" s="15" t="s">
        <v>0</v>
      </c>
      <c r="Q563" s="15" t="s">
        <v>0</v>
      </c>
      <c r="R563" s="15" t="s">
        <v>0</v>
      </c>
      <c r="S563" s="10" t="s">
        <v>1</v>
      </c>
      <c r="T563" s="10" t="s">
        <v>32</v>
      </c>
      <c r="U563" s="5" t="str">
        <f t="shared" si="213"/>
        <v>Propriedade destinada a dimensionar: é.área.de.uso.comum.de.divisão.não.proporcional</v>
      </c>
      <c r="V563" s="5" t="str">
        <f t="shared" si="214"/>
        <v>Dado para dimensionar:  área.de.uso.comum.de.divisão.não.proporcional  Deve ser formatado como (xsd:double)</v>
      </c>
      <c r="W563" s="5" t="s">
        <v>5415</v>
      </c>
      <c r="X563" s="24" t="str">
        <f t="shared" si="215"/>
        <v>dimen.109</v>
      </c>
      <c r="Y563" s="24" t="str">
        <f t="shared" si="216"/>
        <v>Ação de dimensionar</v>
      </c>
      <c r="Z563" s="47" t="s">
        <v>2097</v>
      </c>
      <c r="AA563" s="25" t="str">
        <f t="shared" si="241"/>
        <v>null</v>
      </c>
      <c r="AB563" s="26" t="s">
        <v>0</v>
      </c>
      <c r="AC563" s="25" t="str">
        <f t="shared" si="242"/>
        <v>null</v>
      </c>
      <c r="AD563" s="26" t="s">
        <v>0</v>
      </c>
      <c r="AE563" s="25" t="str">
        <f t="shared" si="243"/>
        <v>null</v>
      </c>
      <c r="AF563" s="26" t="s">
        <v>0</v>
      </c>
      <c r="AG563" s="47" t="s">
        <v>3691</v>
      </c>
    </row>
    <row r="564" spans="1:33" ht="6.9" customHeight="1" x14ac:dyDescent="0.4">
      <c r="A564" s="4">
        <f>ROW()</f>
        <v>564</v>
      </c>
      <c r="B564" s="9" t="s">
        <v>27</v>
      </c>
      <c r="C564" s="55" t="str">
        <f t="shared" si="239"/>
        <v>p.dimensionar</v>
      </c>
      <c r="D564" s="6" t="str">
        <f t="shared" si="227"/>
        <v>é.área.de.vaga.de.garagem.de.unidade.autônoma</v>
      </c>
      <c r="E564" s="8" t="s">
        <v>28</v>
      </c>
      <c r="F564" s="42" t="str">
        <f t="shared" si="240"/>
        <v>d.dimensionar</v>
      </c>
      <c r="G564" s="17" t="s">
        <v>3553</v>
      </c>
      <c r="H564" s="42" t="s">
        <v>36</v>
      </c>
      <c r="I564" s="16" t="str">
        <f t="shared" si="236"/>
        <v>null</v>
      </c>
      <c r="J564" s="15" t="s">
        <v>0</v>
      </c>
      <c r="K564" s="15" t="s">
        <v>0</v>
      </c>
      <c r="L564" s="15" t="s">
        <v>0</v>
      </c>
      <c r="M564" s="15" t="s">
        <v>0</v>
      </c>
      <c r="N564" s="15" t="s">
        <v>0</v>
      </c>
      <c r="O564" s="15" t="s">
        <v>0</v>
      </c>
      <c r="P564" s="15" t="s">
        <v>0</v>
      </c>
      <c r="Q564" s="15" t="s">
        <v>0</v>
      </c>
      <c r="R564" s="15" t="s">
        <v>0</v>
      </c>
      <c r="S564" s="10" t="s">
        <v>1</v>
      </c>
      <c r="T564" s="10" t="s">
        <v>32</v>
      </c>
      <c r="U564" s="5" t="str">
        <f t="shared" si="213"/>
        <v>Propriedade destinada a dimensionar: é.área.de.vaga.de.garagem.de.unidade.autônoma</v>
      </c>
      <c r="V564" s="5" t="str">
        <f t="shared" si="214"/>
        <v>Dado para dimensionar:  área.de.vaga.de.garagem.de.unidade.autônoma  Deve ser formatado como (xsd:double)</v>
      </c>
      <c r="W564" s="5" t="s">
        <v>5416</v>
      </c>
      <c r="X564" s="24" t="str">
        <f t="shared" si="215"/>
        <v>dimen.110</v>
      </c>
      <c r="Y564" s="24" t="str">
        <f t="shared" si="216"/>
        <v>Ação de dimensionar</v>
      </c>
      <c r="Z564" s="47" t="s">
        <v>2098</v>
      </c>
      <c r="AA564" s="25" t="str">
        <f t="shared" si="241"/>
        <v>null</v>
      </c>
      <c r="AB564" s="26" t="s">
        <v>0</v>
      </c>
      <c r="AC564" s="25" t="str">
        <f t="shared" si="242"/>
        <v>null</v>
      </c>
      <c r="AD564" s="26" t="s">
        <v>0</v>
      </c>
      <c r="AE564" s="25" t="str">
        <f t="shared" si="243"/>
        <v>null</v>
      </c>
      <c r="AF564" s="26" t="s">
        <v>0</v>
      </c>
      <c r="AG564" s="47" t="s">
        <v>3692</v>
      </c>
    </row>
    <row r="565" spans="1:33" ht="6.9" customHeight="1" x14ac:dyDescent="0.4">
      <c r="A565" s="4">
        <f>ROW()</f>
        <v>565</v>
      </c>
      <c r="B565" s="9" t="s">
        <v>27</v>
      </c>
      <c r="C565" s="55" t="str">
        <f t="shared" si="239"/>
        <v>p.dimensionar</v>
      </c>
      <c r="D565" s="6" t="str">
        <f t="shared" si="227"/>
        <v>é.área.de.vaga.de.garagem.de.uso.comum</v>
      </c>
      <c r="E565" s="8" t="s">
        <v>28</v>
      </c>
      <c r="F565" s="42" t="str">
        <f t="shared" si="240"/>
        <v>d.dimensionar</v>
      </c>
      <c r="G565" s="17" t="s">
        <v>3554</v>
      </c>
      <c r="H565" s="42" t="s">
        <v>36</v>
      </c>
      <c r="I565" s="16" t="str">
        <f t="shared" si="236"/>
        <v>null</v>
      </c>
      <c r="J565" s="15" t="s">
        <v>0</v>
      </c>
      <c r="K565" s="15" t="s">
        <v>0</v>
      </c>
      <c r="L565" s="15" t="s">
        <v>0</v>
      </c>
      <c r="M565" s="15" t="s">
        <v>0</v>
      </c>
      <c r="N565" s="15" t="s">
        <v>0</v>
      </c>
      <c r="O565" s="15" t="s">
        <v>0</v>
      </c>
      <c r="P565" s="15" t="s">
        <v>0</v>
      </c>
      <c r="Q565" s="15" t="s">
        <v>0</v>
      </c>
      <c r="R565" s="15" t="s">
        <v>0</v>
      </c>
      <c r="S565" s="10" t="s">
        <v>1</v>
      </c>
      <c r="T565" s="10" t="s">
        <v>32</v>
      </c>
      <c r="U565" s="5" t="str">
        <f t="shared" si="213"/>
        <v>Propriedade destinada a dimensionar: é.área.de.vaga.de.garagem.de.uso.comum</v>
      </c>
      <c r="V565" s="5" t="str">
        <f t="shared" si="214"/>
        <v>Dado para dimensionar:  área.de.vaga.de.garagem.de.uso.comum  Deve ser formatado como (xsd:double)</v>
      </c>
      <c r="W565" s="5" t="s">
        <v>5417</v>
      </c>
      <c r="X565" s="24" t="str">
        <f t="shared" si="215"/>
        <v>dimen.111</v>
      </c>
      <c r="Y565" s="24" t="str">
        <f t="shared" si="216"/>
        <v>Ação de dimensionar</v>
      </c>
      <c r="Z565" s="47" t="s">
        <v>2099</v>
      </c>
      <c r="AA565" s="25" t="str">
        <f t="shared" si="241"/>
        <v>null</v>
      </c>
      <c r="AB565" s="26" t="s">
        <v>0</v>
      </c>
      <c r="AC565" s="25" t="str">
        <f t="shared" si="242"/>
        <v>null</v>
      </c>
      <c r="AD565" s="26" t="s">
        <v>0</v>
      </c>
      <c r="AE565" s="25" t="str">
        <f t="shared" si="243"/>
        <v>null</v>
      </c>
      <c r="AF565" s="26" t="s">
        <v>0</v>
      </c>
      <c r="AG565" s="47" t="s">
        <v>3693</v>
      </c>
    </row>
    <row r="566" spans="1:33" ht="6.9" customHeight="1" x14ac:dyDescent="0.4">
      <c r="A566" s="4">
        <f>ROW()</f>
        <v>566</v>
      </c>
      <c r="B566" s="9" t="s">
        <v>27</v>
      </c>
      <c r="C566" s="55" t="str">
        <f t="shared" si="239"/>
        <v>p.dimensionar</v>
      </c>
      <c r="D566" s="6" t="str">
        <f t="shared" si="227"/>
        <v>é.área.de.vaga.de.garagem.vinculada.à.unidade.autônoma</v>
      </c>
      <c r="E566" s="8" t="s">
        <v>28</v>
      </c>
      <c r="F566" s="42" t="str">
        <f t="shared" si="240"/>
        <v>d.dimensionar</v>
      </c>
      <c r="G566" s="17" t="s">
        <v>2083</v>
      </c>
      <c r="H566" s="42" t="s">
        <v>36</v>
      </c>
      <c r="I566" s="16" t="str">
        <f t="shared" si="236"/>
        <v>null</v>
      </c>
      <c r="J566" s="15" t="s">
        <v>0</v>
      </c>
      <c r="K566" s="15" t="s">
        <v>0</v>
      </c>
      <c r="L566" s="15" t="s">
        <v>0</v>
      </c>
      <c r="M566" s="15" t="s">
        <v>0</v>
      </c>
      <c r="N566" s="15" t="s">
        <v>0</v>
      </c>
      <c r="O566" s="15" t="s">
        <v>0</v>
      </c>
      <c r="P566" s="15" t="s">
        <v>0</v>
      </c>
      <c r="Q566" s="15" t="s">
        <v>0</v>
      </c>
      <c r="R566" s="15" t="s">
        <v>0</v>
      </c>
      <c r="S566" s="10" t="s">
        <v>1</v>
      </c>
      <c r="T566" s="10" t="s">
        <v>32</v>
      </c>
      <c r="U566" s="5" t="str">
        <f t="shared" si="213"/>
        <v>Propriedade destinada a dimensionar: é.área.de.vaga.de.garagem.vinculada.à.unidade.autônoma</v>
      </c>
      <c r="V566" s="5" t="str">
        <f t="shared" si="214"/>
        <v>Dado para dimensionar:  área.de.vaga.de.garagem.vinculada.à.unidade.autônoma  Deve ser formatado como (xsd:double)</v>
      </c>
      <c r="W566" s="5" t="s">
        <v>5418</v>
      </c>
      <c r="X566" s="24" t="str">
        <f t="shared" si="215"/>
        <v>dimen.112</v>
      </c>
      <c r="Y566" s="24" t="str">
        <f t="shared" si="216"/>
        <v>Ação de dimensionar</v>
      </c>
      <c r="Z566" s="47" t="s">
        <v>2100</v>
      </c>
      <c r="AA566" s="25" t="str">
        <f t="shared" si="241"/>
        <v>null</v>
      </c>
      <c r="AB566" s="26" t="s">
        <v>0</v>
      </c>
      <c r="AC566" s="25" t="str">
        <f t="shared" si="242"/>
        <v>null</v>
      </c>
      <c r="AD566" s="26" t="s">
        <v>0</v>
      </c>
      <c r="AE566" s="25" t="str">
        <f t="shared" si="243"/>
        <v>null</v>
      </c>
      <c r="AF566" s="26" t="s">
        <v>0</v>
      </c>
      <c r="AG566" s="47" t="s">
        <v>3694</v>
      </c>
    </row>
    <row r="567" spans="1:33" ht="6.9" customHeight="1" x14ac:dyDescent="0.4">
      <c r="A567" s="4">
        <f>ROW()</f>
        <v>567</v>
      </c>
      <c r="B567" s="9" t="s">
        <v>27</v>
      </c>
      <c r="C567" s="55" t="str">
        <f t="shared" si="239"/>
        <v>p.dimensionar</v>
      </c>
      <c r="D567" s="6" t="str">
        <f t="shared" si="227"/>
        <v>é.área.descoberta</v>
      </c>
      <c r="E567" s="8" t="s">
        <v>28</v>
      </c>
      <c r="F567" s="42" t="str">
        <f t="shared" si="240"/>
        <v>d.dimensionar</v>
      </c>
      <c r="G567" s="17" t="s">
        <v>2087</v>
      </c>
      <c r="H567" s="42" t="s">
        <v>36</v>
      </c>
      <c r="I567" s="16" t="str">
        <f t="shared" si="236"/>
        <v>null</v>
      </c>
      <c r="J567" s="15" t="s">
        <v>0</v>
      </c>
      <c r="K567" s="15" t="s">
        <v>0</v>
      </c>
      <c r="L567" s="15" t="s">
        <v>0</v>
      </c>
      <c r="M567" s="15" t="s">
        <v>0</v>
      </c>
      <c r="N567" s="15" t="s">
        <v>0</v>
      </c>
      <c r="O567" s="15" t="s">
        <v>0</v>
      </c>
      <c r="P567" s="15" t="s">
        <v>0</v>
      </c>
      <c r="Q567" s="15" t="s">
        <v>0</v>
      </c>
      <c r="R567" s="15" t="s">
        <v>0</v>
      </c>
      <c r="S567" s="10" t="s">
        <v>1</v>
      </c>
      <c r="T567" s="10" t="s">
        <v>32</v>
      </c>
      <c r="U567" s="5" t="str">
        <f t="shared" si="213"/>
        <v>Propriedade destinada a dimensionar: é.área.descoberta</v>
      </c>
      <c r="V567" s="5" t="str">
        <f t="shared" si="214"/>
        <v>Dado para dimensionar:  área.descoberta  Deve ser formatado como (xsd:double)</v>
      </c>
      <c r="W567" s="5" t="s">
        <v>5419</v>
      </c>
      <c r="X567" s="24" t="str">
        <f t="shared" si="215"/>
        <v>dimen.113</v>
      </c>
      <c r="Y567" s="24" t="str">
        <f t="shared" si="216"/>
        <v>Ação de dimensionar</v>
      </c>
      <c r="Z567" s="47" t="s">
        <v>2101</v>
      </c>
      <c r="AA567" s="25" t="str">
        <f t="shared" si="241"/>
        <v>null</v>
      </c>
      <c r="AB567" s="26" t="s">
        <v>0</v>
      </c>
      <c r="AC567" s="25" t="str">
        <f t="shared" si="242"/>
        <v>null</v>
      </c>
      <c r="AD567" s="26" t="s">
        <v>0</v>
      </c>
      <c r="AE567" s="25" t="str">
        <f t="shared" si="243"/>
        <v>null</v>
      </c>
      <c r="AF567" s="26" t="s">
        <v>0</v>
      </c>
      <c r="AG567" s="47" t="s">
        <v>3695</v>
      </c>
    </row>
    <row r="568" spans="1:33" ht="6.9" customHeight="1" x14ac:dyDescent="0.4">
      <c r="A568" s="4">
        <f>ROW()</f>
        <v>568</v>
      </c>
      <c r="B568" s="9" t="s">
        <v>27</v>
      </c>
      <c r="C568" s="55" t="str">
        <f t="shared" si="239"/>
        <v>p.dimensionar</v>
      </c>
      <c r="D568" s="6" t="str">
        <f t="shared" si="227"/>
        <v>é.área.equivalente</v>
      </c>
      <c r="E568" s="8" t="s">
        <v>28</v>
      </c>
      <c r="F568" s="42" t="str">
        <f t="shared" si="240"/>
        <v>d.dimensionar</v>
      </c>
      <c r="G568" s="17" t="s">
        <v>2078</v>
      </c>
      <c r="H568" s="42" t="s">
        <v>36</v>
      </c>
      <c r="I568" s="16" t="str">
        <f t="shared" si="236"/>
        <v>null</v>
      </c>
      <c r="J568" s="15" t="s">
        <v>0</v>
      </c>
      <c r="K568" s="15" t="s">
        <v>0</v>
      </c>
      <c r="L568" s="15" t="s">
        <v>0</v>
      </c>
      <c r="M568" s="15" t="s">
        <v>0</v>
      </c>
      <c r="N568" s="15" t="s">
        <v>0</v>
      </c>
      <c r="O568" s="15" t="s">
        <v>0</v>
      </c>
      <c r="P568" s="15" t="s">
        <v>0</v>
      </c>
      <c r="Q568" s="15" t="s">
        <v>0</v>
      </c>
      <c r="R568" s="15" t="s">
        <v>0</v>
      </c>
      <c r="S568" s="10" t="s">
        <v>1</v>
      </c>
      <c r="T568" s="10" t="s">
        <v>32</v>
      </c>
      <c r="U568" s="5" t="str">
        <f t="shared" si="213"/>
        <v>Propriedade destinada a dimensionar: é.área.equivalente</v>
      </c>
      <c r="V568" s="5" t="str">
        <f t="shared" si="214"/>
        <v>Dado para dimensionar:  área.equivalente  Deve ser formatado como (xsd:double)</v>
      </c>
      <c r="W568" s="5" t="s">
        <v>5420</v>
      </c>
      <c r="X568" s="24" t="str">
        <f t="shared" si="215"/>
        <v>dimen.114</v>
      </c>
      <c r="Y568" s="24" t="str">
        <f t="shared" si="216"/>
        <v>Ação de dimensionar</v>
      </c>
      <c r="Z568" s="47" t="s">
        <v>2102</v>
      </c>
      <c r="AA568" s="25" t="str">
        <f t="shared" si="241"/>
        <v>null</v>
      </c>
      <c r="AB568" s="26" t="s">
        <v>0</v>
      </c>
      <c r="AC568" s="25" t="str">
        <f t="shared" si="242"/>
        <v>null</v>
      </c>
      <c r="AD568" s="26" t="s">
        <v>0</v>
      </c>
      <c r="AE568" s="25" t="str">
        <f t="shared" si="243"/>
        <v>null</v>
      </c>
      <c r="AF568" s="26" t="s">
        <v>0</v>
      </c>
      <c r="AG568" s="47" t="s">
        <v>3696</v>
      </c>
    </row>
    <row r="569" spans="1:33" ht="6.9" customHeight="1" x14ac:dyDescent="0.4">
      <c r="A569" s="4">
        <f>ROW()</f>
        <v>569</v>
      </c>
      <c r="B569" s="9" t="s">
        <v>27</v>
      </c>
      <c r="C569" s="55" t="str">
        <f t="shared" si="239"/>
        <v>p.dimensionar</v>
      </c>
      <c r="D569" s="6" t="str">
        <f t="shared" si="227"/>
        <v>é.área.equivalente.coeficiente</v>
      </c>
      <c r="E569" s="8" t="s">
        <v>28</v>
      </c>
      <c r="F569" s="42" t="str">
        <f t="shared" si="240"/>
        <v>d.dimensionar</v>
      </c>
      <c r="G569" s="17" t="s">
        <v>3545</v>
      </c>
      <c r="H569" s="42" t="s">
        <v>36</v>
      </c>
      <c r="I569" s="16" t="str">
        <f t="shared" si="236"/>
        <v>null</v>
      </c>
      <c r="J569" s="15" t="s">
        <v>0</v>
      </c>
      <c r="K569" s="15" t="s">
        <v>0</v>
      </c>
      <c r="L569" s="15" t="s">
        <v>0</v>
      </c>
      <c r="M569" s="15" t="s">
        <v>0</v>
      </c>
      <c r="N569" s="15" t="s">
        <v>0</v>
      </c>
      <c r="O569" s="15" t="s">
        <v>0</v>
      </c>
      <c r="P569" s="15" t="s">
        <v>0</v>
      </c>
      <c r="Q569" s="15" t="s">
        <v>0</v>
      </c>
      <c r="R569" s="15" t="s">
        <v>0</v>
      </c>
      <c r="S569" s="10" t="s">
        <v>1</v>
      </c>
      <c r="T569" s="10" t="s">
        <v>32</v>
      </c>
      <c r="U569" s="5" t="str">
        <f t="shared" si="213"/>
        <v>Propriedade destinada a dimensionar: é.área.equivalente.coeficiente</v>
      </c>
      <c r="V569" s="5" t="str">
        <f t="shared" si="214"/>
        <v>Dado para dimensionar:  área.equivalente.coeficiente  Deve ser formatado como (xsd:double)</v>
      </c>
      <c r="W569" s="5" t="s">
        <v>5421</v>
      </c>
      <c r="X569" s="24" t="str">
        <f t="shared" si="215"/>
        <v>dimen.115</v>
      </c>
      <c r="Y569" s="24" t="str">
        <f t="shared" si="216"/>
        <v>Ação de dimensionar</v>
      </c>
      <c r="Z569" s="47" t="s">
        <v>2110</v>
      </c>
      <c r="AA569" s="25" t="str">
        <f t="shared" si="241"/>
        <v>null</v>
      </c>
      <c r="AB569" s="26" t="s">
        <v>0</v>
      </c>
      <c r="AC569" s="25" t="str">
        <f t="shared" si="242"/>
        <v>null</v>
      </c>
      <c r="AD569" s="26" t="s">
        <v>0</v>
      </c>
      <c r="AE569" s="25" t="str">
        <f t="shared" si="243"/>
        <v>null</v>
      </c>
      <c r="AF569" s="26" t="s">
        <v>0</v>
      </c>
      <c r="AG569" s="47" t="s">
        <v>3697</v>
      </c>
    </row>
    <row r="570" spans="1:33" ht="6.9" customHeight="1" x14ac:dyDescent="0.4">
      <c r="A570" s="4">
        <f>ROW()</f>
        <v>570</v>
      </c>
      <c r="B570" s="9" t="s">
        <v>27</v>
      </c>
      <c r="C570" s="55" t="str">
        <f t="shared" si="239"/>
        <v>p.dimensionar</v>
      </c>
      <c r="D570" s="6" t="str">
        <f t="shared" si="227"/>
        <v>é.área.privativa.acessória</v>
      </c>
      <c r="E570" s="8" t="s">
        <v>28</v>
      </c>
      <c r="F570" s="42" t="str">
        <f t="shared" si="240"/>
        <v>d.dimensionar</v>
      </c>
      <c r="G570" s="17" t="s">
        <v>2082</v>
      </c>
      <c r="H570" s="42" t="s">
        <v>36</v>
      </c>
      <c r="I570" s="16" t="str">
        <f t="shared" si="236"/>
        <v>null</v>
      </c>
      <c r="J570" s="15" t="s">
        <v>0</v>
      </c>
      <c r="K570" s="15" t="s">
        <v>0</v>
      </c>
      <c r="L570" s="15" t="s">
        <v>0</v>
      </c>
      <c r="M570" s="15" t="s">
        <v>0</v>
      </c>
      <c r="N570" s="15" t="s">
        <v>0</v>
      </c>
      <c r="O570" s="15" t="s">
        <v>0</v>
      </c>
      <c r="P570" s="15" t="s">
        <v>0</v>
      </c>
      <c r="Q570" s="15" t="s">
        <v>0</v>
      </c>
      <c r="R570" s="15" t="s">
        <v>0</v>
      </c>
      <c r="S570" s="10" t="s">
        <v>1</v>
      </c>
      <c r="T570" s="10" t="s">
        <v>32</v>
      </c>
      <c r="U570" s="5" t="str">
        <f t="shared" si="213"/>
        <v>Propriedade destinada a dimensionar: é.área.privativa.acessória</v>
      </c>
      <c r="V570" s="5" t="str">
        <f t="shared" si="214"/>
        <v>Dado para dimensionar:  área.privativa.acessória  Deve ser formatado como (xsd:double)</v>
      </c>
      <c r="W570" s="5" t="s">
        <v>5422</v>
      </c>
      <c r="X570" s="24" t="str">
        <f t="shared" si="215"/>
        <v>dimen.116</v>
      </c>
      <c r="Y570" s="24" t="str">
        <f t="shared" si="216"/>
        <v>Ação de dimensionar</v>
      </c>
      <c r="Z570" s="47" t="s">
        <v>2103</v>
      </c>
      <c r="AA570" s="25" t="str">
        <f t="shared" si="241"/>
        <v>null</v>
      </c>
      <c r="AB570" s="26" t="s">
        <v>0</v>
      </c>
      <c r="AC570" s="25" t="str">
        <f t="shared" si="242"/>
        <v>null</v>
      </c>
      <c r="AD570" s="26" t="s">
        <v>0</v>
      </c>
      <c r="AE570" s="25" t="str">
        <f t="shared" si="243"/>
        <v>null</v>
      </c>
      <c r="AF570" s="26" t="s">
        <v>0</v>
      </c>
      <c r="AG570" s="47" t="s">
        <v>3698</v>
      </c>
    </row>
    <row r="571" spans="1:33" ht="6.9" customHeight="1" x14ac:dyDescent="0.4">
      <c r="A571" s="4">
        <f>ROW()</f>
        <v>571</v>
      </c>
      <c r="B571" s="9" t="s">
        <v>27</v>
      </c>
      <c r="C571" s="55" t="str">
        <f t="shared" si="239"/>
        <v>p.dimensionar</v>
      </c>
      <c r="D571" s="6" t="str">
        <f t="shared" si="227"/>
        <v>é.área.privativa.principal</v>
      </c>
      <c r="E571" s="8" t="s">
        <v>28</v>
      </c>
      <c r="F571" s="42" t="str">
        <f t="shared" si="240"/>
        <v>d.dimensionar</v>
      </c>
      <c r="G571" s="17" t="s">
        <v>2081</v>
      </c>
      <c r="H571" s="42" t="s">
        <v>36</v>
      </c>
      <c r="I571" s="16" t="str">
        <f t="shared" si="236"/>
        <v>null</v>
      </c>
      <c r="J571" s="15" t="s">
        <v>0</v>
      </c>
      <c r="K571" s="15" t="s">
        <v>0</v>
      </c>
      <c r="L571" s="15" t="s">
        <v>0</v>
      </c>
      <c r="M571" s="15" t="s">
        <v>0</v>
      </c>
      <c r="N571" s="15" t="s">
        <v>0</v>
      </c>
      <c r="O571" s="15" t="s">
        <v>0</v>
      </c>
      <c r="P571" s="15" t="s">
        <v>0</v>
      </c>
      <c r="Q571" s="15" t="s">
        <v>0</v>
      </c>
      <c r="R571" s="15" t="s">
        <v>0</v>
      </c>
      <c r="S571" s="10" t="s">
        <v>1</v>
      </c>
      <c r="T571" s="10" t="s">
        <v>32</v>
      </c>
      <c r="U571" s="5" t="str">
        <f t="shared" si="213"/>
        <v>Propriedade destinada a dimensionar: é.área.privativa.principal</v>
      </c>
      <c r="V571" s="5" t="str">
        <f t="shared" si="214"/>
        <v>Dado para dimensionar:  área.privativa.principal  Deve ser formatado como (xsd:double)</v>
      </c>
      <c r="W571" s="67" t="s">
        <v>5423</v>
      </c>
      <c r="X571" s="24" t="str">
        <f t="shared" si="215"/>
        <v>dimen.117</v>
      </c>
      <c r="Y571" s="24" t="str">
        <f t="shared" si="216"/>
        <v>Ação de dimensionar</v>
      </c>
      <c r="Z571" s="47" t="s">
        <v>2104</v>
      </c>
      <c r="AA571" s="25" t="str">
        <f t="shared" si="241"/>
        <v>null</v>
      </c>
      <c r="AB571" s="26" t="s">
        <v>0</v>
      </c>
      <c r="AC571" s="25" t="str">
        <f t="shared" si="242"/>
        <v>null</v>
      </c>
      <c r="AD571" s="26" t="s">
        <v>0</v>
      </c>
      <c r="AE571" s="25" t="str">
        <f t="shared" si="243"/>
        <v>null</v>
      </c>
      <c r="AF571" s="26" t="s">
        <v>0</v>
      </c>
      <c r="AG571" s="47" t="s">
        <v>3699</v>
      </c>
    </row>
    <row r="572" spans="1:33" ht="6.9" customHeight="1" x14ac:dyDescent="0.4">
      <c r="A572" s="4">
        <f>ROW()</f>
        <v>572</v>
      </c>
      <c r="B572" s="9" t="s">
        <v>27</v>
      </c>
      <c r="C572" s="55" t="str">
        <f t="shared" si="239"/>
        <v>p.dimensionar</v>
      </c>
      <c r="D572" s="6" t="str">
        <f t="shared" si="227"/>
        <v>é.área.real</v>
      </c>
      <c r="E572" s="8" t="s">
        <v>28</v>
      </c>
      <c r="F572" s="42" t="str">
        <f t="shared" si="240"/>
        <v>d.dimensionar</v>
      </c>
      <c r="G572" s="17" t="s">
        <v>2080</v>
      </c>
      <c r="H572" s="42" t="s">
        <v>36</v>
      </c>
      <c r="I572" s="16" t="str">
        <f t="shared" si="236"/>
        <v>null</v>
      </c>
      <c r="J572" s="15" t="s">
        <v>0</v>
      </c>
      <c r="K572" s="15" t="s">
        <v>0</v>
      </c>
      <c r="L572" s="15" t="s">
        <v>0</v>
      </c>
      <c r="M572" s="15" t="s">
        <v>0</v>
      </c>
      <c r="N572" s="15" t="s">
        <v>0</v>
      </c>
      <c r="O572" s="15" t="s">
        <v>0</v>
      </c>
      <c r="P572" s="15" t="s">
        <v>0</v>
      </c>
      <c r="Q572" s="15" t="s">
        <v>0</v>
      </c>
      <c r="R572" s="15" t="s">
        <v>2092</v>
      </c>
      <c r="S572" s="10" t="s">
        <v>1</v>
      </c>
      <c r="T572" s="10" t="s">
        <v>32</v>
      </c>
      <c r="U572" s="5" t="str">
        <f t="shared" si="213"/>
        <v>Propriedade destinada a dimensionar: é.área.real</v>
      </c>
      <c r="V572" s="5" t="str">
        <f t="shared" si="214"/>
        <v>Dado para dimensionar:  área.real  Deve ser formatado como (xsd:double)</v>
      </c>
      <c r="W572" s="5" t="s">
        <v>5424</v>
      </c>
      <c r="X572" s="24" t="str">
        <f t="shared" si="215"/>
        <v>dimen.118</v>
      </c>
      <c r="Y572" s="24" t="str">
        <f t="shared" si="216"/>
        <v>Ação de dimensionar</v>
      </c>
      <c r="Z572" s="47" t="s">
        <v>2105</v>
      </c>
      <c r="AA572" s="25" t="str">
        <f t="shared" si="241"/>
        <v>null</v>
      </c>
      <c r="AB572" s="26" t="s">
        <v>0</v>
      </c>
      <c r="AC572" s="25" t="str">
        <f t="shared" si="242"/>
        <v>null</v>
      </c>
      <c r="AD572" s="26" t="s">
        <v>0</v>
      </c>
      <c r="AE572" s="25" t="str">
        <f t="shared" si="243"/>
        <v>null</v>
      </c>
      <c r="AF572" s="26" t="s">
        <v>0</v>
      </c>
      <c r="AG572" s="47" t="s">
        <v>3700</v>
      </c>
    </row>
    <row r="573" spans="1:33" ht="6.9" customHeight="1" x14ac:dyDescent="0.4">
      <c r="A573" s="4">
        <f>ROW()</f>
        <v>573</v>
      </c>
      <c r="B573" s="9" t="s">
        <v>27</v>
      </c>
      <c r="C573" s="55" t="str">
        <f t="shared" si="239"/>
        <v>p.dimensionar</v>
      </c>
      <c r="D573" s="6" t="str">
        <f t="shared" si="227"/>
        <v>é.área.real.do.projeto</v>
      </c>
      <c r="E573" s="8" t="s">
        <v>28</v>
      </c>
      <c r="F573" s="42" t="str">
        <f t="shared" si="240"/>
        <v>d.dimensionar</v>
      </c>
      <c r="G573" s="17" t="s">
        <v>3549</v>
      </c>
      <c r="H573" s="42" t="s">
        <v>36</v>
      </c>
      <c r="I573" s="16" t="str">
        <f t="shared" si="236"/>
        <v>null</v>
      </c>
      <c r="J573" s="15" t="s">
        <v>0</v>
      </c>
      <c r="K573" s="15" t="s">
        <v>0</v>
      </c>
      <c r="L573" s="15" t="s">
        <v>0</v>
      </c>
      <c r="M573" s="15" t="s">
        <v>0</v>
      </c>
      <c r="N573" s="15" t="s">
        <v>0</v>
      </c>
      <c r="O573" s="15" t="s">
        <v>0</v>
      </c>
      <c r="P573" s="15" t="s">
        <v>0</v>
      </c>
      <c r="Q573" s="15" t="s">
        <v>0</v>
      </c>
      <c r="R573" s="15" t="s">
        <v>0</v>
      </c>
      <c r="S573" s="10" t="s">
        <v>1</v>
      </c>
      <c r="T573" s="10" t="s">
        <v>32</v>
      </c>
      <c r="U573" s="5" t="str">
        <f t="shared" si="213"/>
        <v>Propriedade destinada a dimensionar: é.área.real.do.projeto</v>
      </c>
      <c r="V573" s="5" t="str">
        <f t="shared" si="214"/>
        <v>Dado para dimensionar:  área.real.do.projeto  Deve ser formatado como (xsd:double)</v>
      </c>
      <c r="W573" s="5" t="s">
        <v>5425</v>
      </c>
      <c r="X573" s="24" t="str">
        <f t="shared" si="215"/>
        <v>dimen.119</v>
      </c>
      <c r="Y573" s="24" t="str">
        <f t="shared" si="216"/>
        <v>Ação de dimensionar</v>
      </c>
      <c r="Z573" s="47" t="s">
        <v>2106</v>
      </c>
      <c r="AA573" s="25" t="str">
        <f t="shared" si="241"/>
        <v>null</v>
      </c>
      <c r="AB573" s="26" t="s">
        <v>0</v>
      </c>
      <c r="AC573" s="25" t="str">
        <f t="shared" si="242"/>
        <v>null</v>
      </c>
      <c r="AD573" s="26" t="s">
        <v>0</v>
      </c>
      <c r="AE573" s="25" t="str">
        <f t="shared" si="243"/>
        <v>null</v>
      </c>
      <c r="AF573" s="26" t="s">
        <v>0</v>
      </c>
      <c r="AG573" s="47" t="s">
        <v>3701</v>
      </c>
    </row>
    <row r="574" spans="1:33" ht="6.9" customHeight="1" x14ac:dyDescent="0.4">
      <c r="A574" s="4">
        <f>ROW()</f>
        <v>574</v>
      </c>
      <c r="B574" s="9" t="s">
        <v>27</v>
      </c>
      <c r="C574" s="55" t="str">
        <f t="shared" si="239"/>
        <v>p.dimensionar</v>
      </c>
      <c r="D574" s="6" t="str">
        <f t="shared" si="227"/>
        <v>é.área.real.total.edificação</v>
      </c>
      <c r="E574" s="8" t="s">
        <v>28</v>
      </c>
      <c r="F574" s="42" t="str">
        <f t="shared" si="240"/>
        <v>d.dimensionar</v>
      </c>
      <c r="G574" s="17" t="s">
        <v>3548</v>
      </c>
      <c r="H574" s="42" t="s">
        <v>36</v>
      </c>
      <c r="I574" s="16" t="str">
        <f t="shared" si="236"/>
        <v>null</v>
      </c>
      <c r="J574" s="15" t="s">
        <v>0</v>
      </c>
      <c r="K574" s="15" t="s">
        <v>0</v>
      </c>
      <c r="L574" s="15" t="s">
        <v>0</v>
      </c>
      <c r="M574" s="15" t="s">
        <v>0</v>
      </c>
      <c r="N574" s="15" t="s">
        <v>0</v>
      </c>
      <c r="O574" s="15" t="s">
        <v>0</v>
      </c>
      <c r="P574" s="15" t="s">
        <v>0</v>
      </c>
      <c r="Q574" s="15" t="s">
        <v>0</v>
      </c>
      <c r="R574" s="15" t="s">
        <v>0</v>
      </c>
      <c r="S574" s="10" t="s">
        <v>1</v>
      </c>
      <c r="T574" s="10" t="s">
        <v>32</v>
      </c>
      <c r="U574" s="5" t="str">
        <f t="shared" si="213"/>
        <v>Propriedade destinada a dimensionar: é.área.real.total.edificação</v>
      </c>
      <c r="V574" s="5" t="str">
        <f t="shared" si="214"/>
        <v>Dado para dimensionar:  área.real.total.edificação  Deve ser formatado como (xsd:double)</v>
      </c>
      <c r="W574" s="67" t="s">
        <v>5426</v>
      </c>
      <c r="X574" s="24" t="str">
        <f t="shared" si="215"/>
        <v>dimen.120</v>
      </c>
      <c r="Y574" s="24" t="str">
        <f t="shared" si="216"/>
        <v>Ação de dimensionar</v>
      </c>
      <c r="Z574" s="47" t="s">
        <v>2107</v>
      </c>
      <c r="AA574" s="25" t="str">
        <f t="shared" si="241"/>
        <v>null</v>
      </c>
      <c r="AB574" s="26" t="s">
        <v>0</v>
      </c>
      <c r="AC574" s="25" t="str">
        <f t="shared" si="242"/>
        <v>null</v>
      </c>
      <c r="AD574" s="26" t="s">
        <v>0</v>
      </c>
      <c r="AE574" s="25" t="str">
        <f t="shared" si="243"/>
        <v>null</v>
      </c>
      <c r="AF574" s="26" t="s">
        <v>0</v>
      </c>
      <c r="AG574" s="47" t="s">
        <v>3702</v>
      </c>
    </row>
    <row r="575" spans="1:33" ht="6.9" customHeight="1" x14ac:dyDescent="0.4">
      <c r="A575" s="4">
        <f>ROW()</f>
        <v>575</v>
      </c>
      <c r="B575" s="9" t="s">
        <v>27</v>
      </c>
      <c r="C575" s="55" t="str">
        <f t="shared" si="239"/>
        <v>p.dimensionar</v>
      </c>
      <c r="D575" s="6" t="str">
        <f t="shared" si="227"/>
        <v>é.área.real.total.pavimento</v>
      </c>
      <c r="E575" s="8" t="s">
        <v>28</v>
      </c>
      <c r="F575" s="42" t="str">
        <f t="shared" si="240"/>
        <v>d.dimensionar</v>
      </c>
      <c r="G575" s="17" t="s">
        <v>3547</v>
      </c>
      <c r="H575" s="42" t="s">
        <v>36</v>
      </c>
      <c r="I575" s="16" t="str">
        <f t="shared" si="236"/>
        <v>null</v>
      </c>
      <c r="J575" s="15" t="s">
        <v>0</v>
      </c>
      <c r="K575" s="15" t="s">
        <v>0</v>
      </c>
      <c r="L575" s="15" t="s">
        <v>0</v>
      </c>
      <c r="M575" s="15" t="s">
        <v>0</v>
      </c>
      <c r="N575" s="15" t="s">
        <v>0</v>
      </c>
      <c r="O575" s="15" t="s">
        <v>0</v>
      </c>
      <c r="P575" s="15" t="s">
        <v>0</v>
      </c>
      <c r="Q575" s="15" t="s">
        <v>0</v>
      </c>
      <c r="R575" s="15" t="s">
        <v>0</v>
      </c>
      <c r="S575" s="10" t="s">
        <v>1</v>
      </c>
      <c r="T575" s="10" t="s">
        <v>32</v>
      </c>
      <c r="U575" s="5" t="str">
        <f t="shared" si="213"/>
        <v>Propriedade destinada a dimensionar: é.área.real.total.pavimento</v>
      </c>
      <c r="V575" s="5" t="str">
        <f t="shared" si="214"/>
        <v>Dado para dimensionar:  área.real.total.pavimento  Deve ser formatado como (xsd:double)</v>
      </c>
      <c r="W575" s="5" t="s">
        <v>5427</v>
      </c>
      <c r="X575" s="24" t="str">
        <f t="shared" si="215"/>
        <v>dimen.121</v>
      </c>
      <c r="Y575" s="24" t="str">
        <f t="shared" si="216"/>
        <v>Ação de dimensionar</v>
      </c>
      <c r="Z575" s="47" t="s">
        <v>2109</v>
      </c>
      <c r="AA575" s="25" t="str">
        <f t="shared" si="241"/>
        <v>null</v>
      </c>
      <c r="AB575" s="26" t="s">
        <v>0</v>
      </c>
      <c r="AC575" s="25" t="str">
        <f t="shared" si="242"/>
        <v>null</v>
      </c>
      <c r="AD575" s="26" t="s">
        <v>0</v>
      </c>
      <c r="AE575" s="25" t="str">
        <f t="shared" si="243"/>
        <v>null</v>
      </c>
      <c r="AF575" s="26" t="s">
        <v>0</v>
      </c>
      <c r="AG575" s="47" t="s">
        <v>3703</v>
      </c>
    </row>
    <row r="576" spans="1:33" ht="6.9" customHeight="1" x14ac:dyDescent="0.4">
      <c r="A576" s="4">
        <f>ROW()</f>
        <v>576</v>
      </c>
      <c r="B576" s="9" t="s">
        <v>27</v>
      </c>
      <c r="C576" s="55" t="str">
        <f t="shared" si="239"/>
        <v>p.dimensionar</v>
      </c>
      <c r="D576" s="6" t="str">
        <f t="shared" si="227"/>
        <v>é.área.real.total.unidade.autônoma</v>
      </c>
      <c r="E576" s="8" t="s">
        <v>28</v>
      </c>
      <c r="F576" s="42" t="str">
        <f t="shared" si="240"/>
        <v>d.dimensionar</v>
      </c>
      <c r="G576" s="17" t="s">
        <v>3546</v>
      </c>
      <c r="H576" s="42" t="s">
        <v>36</v>
      </c>
      <c r="I576" s="16" t="str">
        <f t="shared" si="236"/>
        <v>null</v>
      </c>
      <c r="J576" s="15" t="s">
        <v>0</v>
      </c>
      <c r="K576" s="15" t="s">
        <v>0</v>
      </c>
      <c r="L576" s="15" t="s">
        <v>0</v>
      </c>
      <c r="M576" s="15" t="s">
        <v>0</v>
      </c>
      <c r="N576" s="15" t="s">
        <v>0</v>
      </c>
      <c r="O576" s="15" t="s">
        <v>0</v>
      </c>
      <c r="P576" s="15" t="s">
        <v>0</v>
      </c>
      <c r="Q576" s="15" t="s">
        <v>0</v>
      </c>
      <c r="R576" s="15" t="s">
        <v>0</v>
      </c>
      <c r="S576" s="10" t="s">
        <v>1</v>
      </c>
      <c r="T576" s="10" t="s">
        <v>32</v>
      </c>
      <c r="U576" s="5" t="str">
        <f t="shared" si="213"/>
        <v>Propriedade destinada a dimensionar: é.área.real.total.unidade.autônoma</v>
      </c>
      <c r="V576" s="5" t="str">
        <f t="shared" si="214"/>
        <v>Dado para dimensionar:  área.real.total.unidade.autônoma  Deve ser formatado como (xsd:double)</v>
      </c>
      <c r="W576" s="5" t="s">
        <v>5428</v>
      </c>
      <c r="X576" s="24" t="str">
        <f t="shared" si="215"/>
        <v>dimen.122</v>
      </c>
      <c r="Y576" s="24" t="str">
        <f t="shared" si="216"/>
        <v>Ação de dimensionar</v>
      </c>
      <c r="Z576" s="47" t="s">
        <v>2108</v>
      </c>
      <c r="AA576" s="25" t="str">
        <f t="shared" si="241"/>
        <v>null</v>
      </c>
      <c r="AB576" s="26" t="s">
        <v>0</v>
      </c>
      <c r="AC576" s="25" t="str">
        <f t="shared" si="242"/>
        <v>null</v>
      </c>
      <c r="AD576" s="26" t="s">
        <v>0</v>
      </c>
      <c r="AE576" s="25" t="str">
        <f t="shared" si="243"/>
        <v>null</v>
      </c>
      <c r="AF576" s="26" t="s">
        <v>0</v>
      </c>
      <c r="AG576" s="47" t="s">
        <v>3704</v>
      </c>
    </row>
    <row r="577" spans="1:33" ht="6.9" customHeight="1" x14ac:dyDescent="0.4">
      <c r="A577" s="4">
        <f>ROW()</f>
        <v>577</v>
      </c>
      <c r="B577" s="9" t="s">
        <v>27</v>
      </c>
      <c r="C577" s="55" t="str">
        <f t="shared" si="239"/>
        <v>p.dimensionar</v>
      </c>
      <c r="D577" s="6" t="str">
        <f t="shared" si="227"/>
        <v>é.área.útil</v>
      </c>
      <c r="E577" s="8" t="s">
        <v>28</v>
      </c>
      <c r="F577" s="42" t="str">
        <f t="shared" si="240"/>
        <v>d.dimensionar</v>
      </c>
      <c r="G577" s="17" t="s">
        <v>810</v>
      </c>
      <c r="H577" s="42" t="s">
        <v>36</v>
      </c>
      <c r="I577" s="16" t="str">
        <f t="shared" si="236"/>
        <v>Functional</v>
      </c>
      <c r="J577" s="15" t="s">
        <v>29</v>
      </c>
      <c r="K577" s="15" t="s">
        <v>0</v>
      </c>
      <c r="L577" s="15" t="s">
        <v>0</v>
      </c>
      <c r="M577" s="15" t="s">
        <v>0</v>
      </c>
      <c r="N577" s="15" t="s">
        <v>0</v>
      </c>
      <c r="O577" s="15" t="s">
        <v>0</v>
      </c>
      <c r="P577" s="15" t="s">
        <v>0</v>
      </c>
      <c r="Q577" s="15" t="s">
        <v>0</v>
      </c>
      <c r="R577" s="15" t="s">
        <v>0</v>
      </c>
      <c r="S577" s="10" t="s">
        <v>1</v>
      </c>
      <c r="T577" s="10" t="s">
        <v>32</v>
      </c>
      <c r="U577" s="5" t="str">
        <f t="shared" si="213"/>
        <v>Propriedade destinada a dimensionar: é.área.útil</v>
      </c>
      <c r="V577" s="5" t="str">
        <f t="shared" si="214"/>
        <v>Dado para dimensionar:  área.útil  Deve ser formatado como (xsd:double)</v>
      </c>
      <c r="W577" s="5" t="s">
        <v>5429</v>
      </c>
      <c r="X577" s="24" t="str">
        <f t="shared" si="215"/>
        <v>dimen.123</v>
      </c>
      <c r="Y577" s="24" t="str">
        <f t="shared" si="216"/>
        <v>Ação de dimensionar</v>
      </c>
      <c r="Z577" s="47" t="s">
        <v>2093</v>
      </c>
      <c r="AA577" s="25" t="str">
        <f t="shared" si="241"/>
        <v>null</v>
      </c>
      <c r="AB577" s="26" t="s">
        <v>0</v>
      </c>
      <c r="AC577" s="25" t="str">
        <f t="shared" si="242"/>
        <v>null</v>
      </c>
      <c r="AD577" s="26" t="s">
        <v>0</v>
      </c>
      <c r="AE577" s="25" t="str">
        <f t="shared" si="243"/>
        <v>null</v>
      </c>
      <c r="AF577" s="26" t="s">
        <v>0</v>
      </c>
      <c r="AG577" s="47" t="s">
        <v>3705</v>
      </c>
    </row>
    <row r="578" spans="1:33" ht="6.9" customHeight="1" x14ac:dyDescent="0.4">
      <c r="A578" s="4">
        <f>ROW()</f>
        <v>578</v>
      </c>
      <c r="B578" s="9" t="s">
        <v>27</v>
      </c>
      <c r="C578" s="55" t="str">
        <f t="shared" si="239"/>
        <v>p.dimensionar</v>
      </c>
      <c r="D578" s="6" t="str">
        <f t="shared" si="227"/>
        <v>é.balanço.máximo</v>
      </c>
      <c r="E578" s="8" t="s">
        <v>28</v>
      </c>
      <c r="F578" s="42" t="str">
        <f t="shared" si="240"/>
        <v>d.dimensionar</v>
      </c>
      <c r="G578" s="43" t="s">
        <v>3445</v>
      </c>
      <c r="H578" s="42" t="s">
        <v>36</v>
      </c>
      <c r="I578" s="16" t="str">
        <f t="shared" si="236"/>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4">_xlfn.CONCAT("Propriedade destinada a ",MID(C578,FIND("p.",C578,1)+2,100),": ",D578)</f>
        <v>Propriedade destinada a dimensionar: é.balanço.máximo</v>
      </c>
      <c r="V578" s="5" t="str">
        <f t="shared" ref="V578:V641" si="245">_xlfn.CONCAT("Dado para ",MID(F578,FIND("d.",F578,1)+2,100),":  ",G578, "  Deve ser formatado como (",H578, ")")</f>
        <v>Dado para dimensionar:  balanço.máximo  Deve ser formatado como (xsd:double)</v>
      </c>
      <c r="W578" s="5" t="s">
        <v>5430</v>
      </c>
      <c r="X578" s="24" t="str">
        <f t="shared" si="215"/>
        <v>dimen.124</v>
      </c>
      <c r="Y578" s="24" t="str">
        <f t="shared" si="216"/>
        <v>Ação de dimensionar</v>
      </c>
      <c r="Z578" s="47" t="s">
        <v>3452</v>
      </c>
      <c r="AA578" s="25" t="str">
        <f t="shared" si="241"/>
        <v>null</v>
      </c>
      <c r="AB578" s="26" t="s">
        <v>0</v>
      </c>
      <c r="AC578" s="25" t="str">
        <f t="shared" si="242"/>
        <v>null</v>
      </c>
      <c r="AD578" s="26" t="s">
        <v>0</v>
      </c>
      <c r="AE578" s="25" t="str">
        <f t="shared" si="243"/>
        <v>null</v>
      </c>
      <c r="AF578" s="26" t="s">
        <v>0</v>
      </c>
      <c r="AG578" s="47" t="s">
        <v>3706</v>
      </c>
    </row>
    <row r="579" spans="1:33" ht="6.9" customHeight="1" x14ac:dyDescent="0.4">
      <c r="A579" s="4">
        <f>ROW()</f>
        <v>579</v>
      </c>
      <c r="B579" s="9" t="s">
        <v>27</v>
      </c>
      <c r="C579" s="55" t="str">
        <f t="shared" si="239"/>
        <v>p.dimensionar</v>
      </c>
      <c r="D579" s="6" t="str">
        <f t="shared" si="227"/>
        <v>é.balanço.máximo.lateral</v>
      </c>
      <c r="E579" s="8" t="s">
        <v>28</v>
      </c>
      <c r="F579" s="42" t="str">
        <f t="shared" si="240"/>
        <v>d.dimensionar</v>
      </c>
      <c r="G579" s="43" t="s">
        <v>3453</v>
      </c>
      <c r="H579" s="42" t="s">
        <v>36</v>
      </c>
      <c r="I579" s="16" t="str">
        <f t="shared" si="236"/>
        <v>null</v>
      </c>
      <c r="J579" s="15" t="s">
        <v>0</v>
      </c>
      <c r="K579" s="15" t="s">
        <v>0</v>
      </c>
      <c r="L579" s="15" t="s">
        <v>0</v>
      </c>
      <c r="M579" s="15" t="s">
        <v>0</v>
      </c>
      <c r="N579" s="15" t="s">
        <v>0</v>
      </c>
      <c r="O579" s="15" t="s">
        <v>0</v>
      </c>
      <c r="P579" s="15" t="s">
        <v>0</v>
      </c>
      <c r="Q579" s="15" t="s">
        <v>0</v>
      </c>
      <c r="R579" s="15" t="s">
        <v>0</v>
      </c>
      <c r="S579" s="10" t="s">
        <v>1</v>
      </c>
      <c r="T579" s="10" t="s">
        <v>32</v>
      </c>
      <c r="U579" s="5" t="str">
        <f t="shared" si="244"/>
        <v>Propriedade destinada a dimensionar: é.balanço.máximo.lateral</v>
      </c>
      <c r="V579" s="5" t="str">
        <f t="shared" si="245"/>
        <v>Dado para dimensionar:  balanço.máximo.lateral  Deve ser formatado como (xsd:double)</v>
      </c>
      <c r="W579" s="5" t="s">
        <v>5431</v>
      </c>
      <c r="X579" s="24" t="str">
        <f t="shared" ref="X579:X642" si="246">IF(F578&lt;&gt;F579,_xlfn.CONCAT(RIGHT(LEFT(F579,7),5),".100"),_xlfn.CONCAT(RIGHT(LEFT(F579,7),5),".",SUM(VALUE(RIGHT(X578,3)),1)))</f>
        <v>dimen.125</v>
      </c>
      <c r="Y579" s="24" t="str">
        <f t="shared" ref="Y579:Y642" si="247">_xlfn.CONCAT("Ação de ", SUBSTITUTE(F579, "d.",  ""))</f>
        <v>Ação de dimensionar</v>
      </c>
      <c r="Z579" s="47" t="s">
        <v>3451</v>
      </c>
      <c r="AA579" s="25" t="str">
        <f t="shared" si="241"/>
        <v>null</v>
      </c>
      <c r="AB579" s="26" t="s">
        <v>0</v>
      </c>
      <c r="AC579" s="25" t="str">
        <f t="shared" si="242"/>
        <v>null</v>
      </c>
      <c r="AD579" s="26" t="s">
        <v>0</v>
      </c>
      <c r="AE579" s="25" t="str">
        <f t="shared" si="243"/>
        <v>null</v>
      </c>
      <c r="AF579" s="26" t="s">
        <v>0</v>
      </c>
      <c r="AG579" s="47" t="s">
        <v>3707</v>
      </c>
    </row>
    <row r="580" spans="1:33" ht="6.9" customHeight="1" x14ac:dyDescent="0.4">
      <c r="A580" s="4">
        <f>ROW()</f>
        <v>580</v>
      </c>
      <c r="B580" s="9" t="s">
        <v>27</v>
      </c>
      <c r="C580" s="55" t="str">
        <f t="shared" si="239"/>
        <v>p.dimensionar</v>
      </c>
      <c r="D580" s="6" t="str">
        <f t="shared" si="227"/>
        <v>é.caimento.máximo</v>
      </c>
      <c r="E580" s="8" t="s">
        <v>28</v>
      </c>
      <c r="F580" s="42" t="str">
        <f t="shared" si="240"/>
        <v>d.dimensionar</v>
      </c>
      <c r="G580" s="43" t="s">
        <v>3551</v>
      </c>
      <c r="H580" s="42" t="s">
        <v>36</v>
      </c>
      <c r="I580" s="16" t="str">
        <f t="shared" si="236"/>
        <v>null</v>
      </c>
      <c r="J580" s="15" t="s">
        <v>0</v>
      </c>
      <c r="K580" s="15" t="s">
        <v>0</v>
      </c>
      <c r="L580" s="15" t="s">
        <v>0</v>
      </c>
      <c r="M580" s="15" t="s">
        <v>0</v>
      </c>
      <c r="N580" s="15" t="s">
        <v>0</v>
      </c>
      <c r="O580" s="15" t="s">
        <v>0</v>
      </c>
      <c r="P580" s="15" t="s">
        <v>0</v>
      </c>
      <c r="Q580" s="15" t="s">
        <v>0</v>
      </c>
      <c r="R580" s="20" t="s">
        <v>3556</v>
      </c>
      <c r="S580" s="10" t="s">
        <v>1</v>
      </c>
      <c r="T580" s="10" t="s">
        <v>32</v>
      </c>
      <c r="U580" s="5" t="str">
        <f t="shared" si="244"/>
        <v>Propriedade destinada a dimensionar: é.caimento.máximo</v>
      </c>
      <c r="V580" s="5" t="str">
        <f t="shared" si="245"/>
        <v>Dado para dimensionar:  caimento.máximo  Deve ser formatado como (xsd:double)</v>
      </c>
      <c r="W580" s="5" t="s">
        <v>5432</v>
      </c>
      <c r="X580" s="24" t="str">
        <f t="shared" si="246"/>
        <v>dimen.126</v>
      </c>
      <c r="Y580" s="24" t="str">
        <f t="shared" si="247"/>
        <v>Ação de dimensionar</v>
      </c>
      <c r="Z580" s="47" t="s">
        <v>3647</v>
      </c>
      <c r="AA580" s="25" t="str">
        <f t="shared" si="241"/>
        <v>null</v>
      </c>
      <c r="AB580" s="26" t="s">
        <v>0</v>
      </c>
      <c r="AC580" s="25" t="str">
        <f t="shared" si="242"/>
        <v>null</v>
      </c>
      <c r="AD580" s="26" t="s">
        <v>0</v>
      </c>
      <c r="AE580" s="25" t="str">
        <f t="shared" si="243"/>
        <v>null</v>
      </c>
      <c r="AF580" s="26" t="s">
        <v>0</v>
      </c>
      <c r="AG580" s="47" t="s">
        <v>3708</v>
      </c>
    </row>
    <row r="581" spans="1:33" ht="6.9" customHeight="1" x14ac:dyDescent="0.4">
      <c r="A581" s="4">
        <f>ROW()</f>
        <v>581</v>
      </c>
      <c r="B581" s="9" t="s">
        <v>27</v>
      </c>
      <c r="C581" s="55" t="str">
        <f t="shared" si="239"/>
        <v>p.dimensionar</v>
      </c>
      <c r="D581" s="6" t="str">
        <f t="shared" si="227"/>
        <v>é.caimento.mínimo</v>
      </c>
      <c r="E581" s="8" t="s">
        <v>28</v>
      </c>
      <c r="F581" s="42" t="str">
        <f t="shared" si="240"/>
        <v>d.dimensionar</v>
      </c>
      <c r="G581" s="43" t="s">
        <v>3552</v>
      </c>
      <c r="H581" s="42" t="s">
        <v>36</v>
      </c>
      <c r="I581" s="16" t="str">
        <f t="shared" si="236"/>
        <v>null</v>
      </c>
      <c r="J581" s="15" t="s">
        <v>0</v>
      </c>
      <c r="K581" s="15" t="s">
        <v>0</v>
      </c>
      <c r="L581" s="15" t="s">
        <v>0</v>
      </c>
      <c r="M581" s="15" t="s">
        <v>0</v>
      </c>
      <c r="N581" s="15" t="s">
        <v>0</v>
      </c>
      <c r="O581" s="15" t="s">
        <v>0</v>
      </c>
      <c r="P581" s="15" t="s">
        <v>0</v>
      </c>
      <c r="Q581" s="15" t="s">
        <v>0</v>
      </c>
      <c r="R581" s="20" t="s">
        <v>3557</v>
      </c>
      <c r="S581" s="10" t="s">
        <v>1</v>
      </c>
      <c r="T581" s="10" t="s">
        <v>32</v>
      </c>
      <c r="U581" s="5" t="str">
        <f t="shared" si="244"/>
        <v>Propriedade destinada a dimensionar: é.caimento.mínimo</v>
      </c>
      <c r="V581" s="5" t="str">
        <f t="shared" si="245"/>
        <v>Dado para dimensionar:  caimento.mínimo  Deve ser formatado como (xsd:double)</v>
      </c>
      <c r="W581" s="5" t="s">
        <v>5433</v>
      </c>
      <c r="X581" s="24" t="str">
        <f t="shared" si="246"/>
        <v>dimen.127</v>
      </c>
      <c r="Y581" s="24" t="str">
        <f t="shared" si="247"/>
        <v>Ação de dimensionar</v>
      </c>
      <c r="Z581" s="47" t="s">
        <v>3648</v>
      </c>
      <c r="AA581" s="25" t="str">
        <f t="shared" si="241"/>
        <v>null</v>
      </c>
      <c r="AB581" s="26" t="s">
        <v>0</v>
      </c>
      <c r="AC581" s="25" t="str">
        <f t="shared" si="242"/>
        <v>null</v>
      </c>
      <c r="AD581" s="26" t="s">
        <v>0</v>
      </c>
      <c r="AE581" s="25" t="str">
        <f t="shared" si="243"/>
        <v>null</v>
      </c>
      <c r="AF581" s="26" t="s">
        <v>0</v>
      </c>
      <c r="AG581" s="47" t="s">
        <v>3709</v>
      </c>
    </row>
    <row r="582" spans="1:33" ht="6.9" customHeight="1" x14ac:dyDescent="0.4">
      <c r="A582" s="4">
        <f>ROW()</f>
        <v>582</v>
      </c>
      <c r="B582" s="9" t="s">
        <v>27</v>
      </c>
      <c r="C582" s="55" t="str">
        <f t="shared" ref="C582" si="248">SUBSTITUTE(F582,"d.","p.")</f>
        <v>p.dimensionar</v>
      </c>
      <c r="D582" s="6" t="str">
        <f t="shared" si="227"/>
        <v>é.coeficiente.de.rugosidade</v>
      </c>
      <c r="E582" s="8" t="s">
        <v>28</v>
      </c>
      <c r="F582" s="42" t="str">
        <f t="shared" si="240"/>
        <v>d.dimensionar</v>
      </c>
      <c r="G582" s="17" t="s">
        <v>4247</v>
      </c>
      <c r="H582" s="42" t="s">
        <v>36</v>
      </c>
      <c r="I582" s="16" t="str">
        <f t="shared" ref="I582" si="249">J582</f>
        <v>null</v>
      </c>
      <c r="J582" s="15" t="s">
        <v>0</v>
      </c>
      <c r="K582" s="15" t="s">
        <v>0</v>
      </c>
      <c r="L582" s="15" t="s">
        <v>0</v>
      </c>
      <c r="M582" s="15" t="s">
        <v>0</v>
      </c>
      <c r="N582" s="15" t="s">
        <v>0</v>
      </c>
      <c r="O582" s="15" t="s">
        <v>0</v>
      </c>
      <c r="P582" s="15" t="s">
        <v>0</v>
      </c>
      <c r="Q582" s="15" t="s">
        <v>0</v>
      </c>
      <c r="R582" s="15" t="s">
        <v>0</v>
      </c>
      <c r="S582" s="10" t="s">
        <v>1</v>
      </c>
      <c r="T582" s="10" t="s">
        <v>32</v>
      </c>
      <c r="U582" s="5" t="str">
        <f t="shared" si="244"/>
        <v>Propriedade destinada a dimensionar: é.coeficiente.de.rugosidade</v>
      </c>
      <c r="V582" s="5" t="str">
        <f t="shared" si="245"/>
        <v>Dado para dimensionar:  coeficiente.de.rugosidade  Deve ser formatado como (xsd:double)</v>
      </c>
      <c r="W582" s="5" t="s">
        <v>5434</v>
      </c>
      <c r="X582" s="24" t="str">
        <f t="shared" si="246"/>
        <v>dimen.128</v>
      </c>
      <c r="Y582" s="24" t="str">
        <f t="shared" si="247"/>
        <v>Ação de dimensionar</v>
      </c>
      <c r="Z582" s="47" t="s">
        <v>4248</v>
      </c>
      <c r="AA582" s="25" t="str">
        <f t="shared" ref="AA582" si="250">IF(AB582="null", "null", "categoria.revit")</f>
        <v>null</v>
      </c>
      <c r="AB582" s="26" t="s">
        <v>0</v>
      </c>
      <c r="AC582" s="25" t="str">
        <f t="shared" ref="AC582" si="251">IF(AD582="null", "null", "classe.ifc")</f>
        <v>null</v>
      </c>
      <c r="AD582" s="26" t="s">
        <v>0</v>
      </c>
      <c r="AE582" s="25" t="str">
        <f t="shared" si="243"/>
        <v>null</v>
      </c>
      <c r="AF582" s="26" t="s">
        <v>0</v>
      </c>
      <c r="AG582" s="47" t="s">
        <v>4249</v>
      </c>
    </row>
    <row r="583" spans="1:33" ht="6.9" customHeight="1" x14ac:dyDescent="0.4">
      <c r="A583" s="4">
        <f>ROW()</f>
        <v>583</v>
      </c>
      <c r="B583" s="9" t="s">
        <v>27</v>
      </c>
      <c r="C583" s="55" t="str">
        <f t="shared" si="239"/>
        <v>p.dimensionar</v>
      </c>
      <c r="D583" s="6" t="str">
        <f t="shared" si="227"/>
        <v>é.comprimento</v>
      </c>
      <c r="E583" s="8" t="s">
        <v>28</v>
      </c>
      <c r="F583" s="42" t="str">
        <f t="shared" si="240"/>
        <v>d.dimensionar</v>
      </c>
      <c r="G583" s="17" t="s">
        <v>148</v>
      </c>
      <c r="H583" s="42" t="s">
        <v>36</v>
      </c>
      <c r="I583" s="16" t="str">
        <f t="shared" si="236"/>
        <v>null</v>
      </c>
      <c r="J583" s="15" t="s">
        <v>0</v>
      </c>
      <c r="K583" s="15" t="s">
        <v>0</v>
      </c>
      <c r="L583" s="15" t="s">
        <v>0</v>
      </c>
      <c r="M583" s="15" t="s">
        <v>0</v>
      </c>
      <c r="N583" s="15" t="s">
        <v>0</v>
      </c>
      <c r="O583" s="15" t="s">
        <v>0</v>
      </c>
      <c r="P583" s="15" t="s">
        <v>0</v>
      </c>
      <c r="Q583" s="15" t="s">
        <v>0</v>
      </c>
      <c r="R583" s="15" t="s">
        <v>0</v>
      </c>
      <c r="S583" s="10" t="s">
        <v>1</v>
      </c>
      <c r="T583" s="10" t="s">
        <v>32</v>
      </c>
      <c r="U583" s="5" t="str">
        <f t="shared" si="244"/>
        <v>Propriedade destinada a dimensionar: é.comprimento</v>
      </c>
      <c r="V583" s="5" t="str">
        <f t="shared" si="245"/>
        <v>Dado para dimensionar:  comprimento  Deve ser formatado como (xsd:double)</v>
      </c>
      <c r="W583" s="5" t="s">
        <v>5435</v>
      </c>
      <c r="X583" s="24" t="str">
        <f t="shared" si="246"/>
        <v>dimen.129</v>
      </c>
      <c r="Y583" s="24" t="str">
        <f t="shared" si="247"/>
        <v>Ação de dimensionar</v>
      </c>
      <c r="Z583" s="47" t="s">
        <v>1678</v>
      </c>
      <c r="AA583" s="25" t="str">
        <f t="shared" si="241"/>
        <v>null</v>
      </c>
      <c r="AB583" s="26" t="s">
        <v>0</v>
      </c>
      <c r="AC583" s="25" t="str">
        <f t="shared" si="242"/>
        <v>null</v>
      </c>
      <c r="AD583" s="26" t="s">
        <v>0</v>
      </c>
      <c r="AE583" s="25" t="str">
        <f t="shared" si="243"/>
        <v>null</v>
      </c>
      <c r="AF583" s="26" t="s">
        <v>0</v>
      </c>
      <c r="AG583" s="47" t="s">
        <v>3710</v>
      </c>
    </row>
    <row r="584" spans="1:33" ht="6.9" customHeight="1" x14ac:dyDescent="0.4">
      <c r="A584" s="4">
        <f>ROW()</f>
        <v>584</v>
      </c>
      <c r="B584" s="9" t="s">
        <v>27</v>
      </c>
      <c r="C584" s="55" t="str">
        <f t="shared" ref="C584" si="252">SUBSTITUTE(F584,"d.","p.")</f>
        <v>p.dimensionar</v>
      </c>
      <c r="D584" s="6" t="str">
        <f t="shared" si="227"/>
        <v>é.comprimento.crítico</v>
      </c>
      <c r="E584" s="8" t="s">
        <v>28</v>
      </c>
      <c r="F584" s="42" t="str">
        <f t="shared" si="240"/>
        <v>d.dimensionar</v>
      </c>
      <c r="G584" s="17" t="s">
        <v>4244</v>
      </c>
      <c r="H584" s="42" t="s">
        <v>36</v>
      </c>
      <c r="I584" s="16" t="str">
        <f t="shared" ref="I584" si="253">J584</f>
        <v>null</v>
      </c>
      <c r="J584" s="15" t="s">
        <v>0</v>
      </c>
      <c r="K584" s="15" t="s">
        <v>0</v>
      </c>
      <c r="L584" s="15" t="s">
        <v>0</v>
      </c>
      <c r="M584" s="15" t="s">
        <v>0</v>
      </c>
      <c r="N584" s="15" t="s">
        <v>0</v>
      </c>
      <c r="O584" s="15" t="s">
        <v>0</v>
      </c>
      <c r="P584" s="15" t="s">
        <v>0</v>
      </c>
      <c r="Q584" s="15" t="s">
        <v>0</v>
      </c>
      <c r="R584" s="15" t="s">
        <v>0</v>
      </c>
      <c r="S584" s="10" t="s">
        <v>1</v>
      </c>
      <c r="T584" s="10" t="s">
        <v>32</v>
      </c>
      <c r="U584" s="5" t="str">
        <f t="shared" si="244"/>
        <v>Propriedade destinada a dimensionar: é.comprimento.crítico</v>
      </c>
      <c r="V584" s="5" t="str">
        <f t="shared" si="245"/>
        <v>Dado para dimensionar:  comprimento.crítico  Deve ser formatado como (xsd:double)</v>
      </c>
      <c r="W584" s="5" t="s">
        <v>5436</v>
      </c>
      <c r="X584" s="24" t="str">
        <f t="shared" si="246"/>
        <v>dimen.130</v>
      </c>
      <c r="Y584" s="24" t="str">
        <f t="shared" si="247"/>
        <v>Ação de dimensionar</v>
      </c>
      <c r="Z584" s="47" t="s">
        <v>4245</v>
      </c>
      <c r="AA584" s="25" t="str">
        <f t="shared" ref="AA584" si="254">IF(AB584="null", "null", "categoria.revit")</f>
        <v>null</v>
      </c>
      <c r="AB584" s="26" t="s">
        <v>0</v>
      </c>
      <c r="AC584" s="25" t="str">
        <f t="shared" ref="AC584" si="255">IF(AD584="null", "null", "classe.ifc")</f>
        <v>null</v>
      </c>
      <c r="AD584" s="26" t="s">
        <v>0</v>
      </c>
      <c r="AE584" s="25" t="str">
        <f t="shared" si="243"/>
        <v>null</v>
      </c>
      <c r="AF584" s="26" t="s">
        <v>0</v>
      </c>
      <c r="AG584" s="47" t="s">
        <v>4246</v>
      </c>
    </row>
    <row r="585" spans="1:33" ht="6.9" customHeight="1" x14ac:dyDescent="0.4">
      <c r="A585" s="4">
        <f>ROW()</f>
        <v>585</v>
      </c>
      <c r="B585" s="9" t="s">
        <v>27</v>
      </c>
      <c r="C585" s="55" t="str">
        <f t="shared" si="239"/>
        <v>p.dimensionar</v>
      </c>
      <c r="D585" s="6" t="str">
        <f t="shared" si="227"/>
        <v>é.comprimento.interno</v>
      </c>
      <c r="E585" s="8" t="s">
        <v>28</v>
      </c>
      <c r="F585" s="42" t="str">
        <f t="shared" si="240"/>
        <v>d.dimensionar</v>
      </c>
      <c r="G585" s="17" t="s">
        <v>1980</v>
      </c>
      <c r="H585" s="42" t="s">
        <v>36</v>
      </c>
      <c r="I585" s="16" t="str">
        <f t="shared" si="236"/>
        <v>null</v>
      </c>
      <c r="J585" s="15" t="s">
        <v>0</v>
      </c>
      <c r="K585" s="15" t="s">
        <v>0</v>
      </c>
      <c r="L585" s="15" t="s">
        <v>0</v>
      </c>
      <c r="M585" s="15" t="s">
        <v>0</v>
      </c>
      <c r="N585" s="15" t="s">
        <v>0</v>
      </c>
      <c r="O585" s="15" t="s">
        <v>0</v>
      </c>
      <c r="P585" s="15" t="s">
        <v>0</v>
      </c>
      <c r="Q585" s="15" t="s">
        <v>0</v>
      </c>
      <c r="R585" s="15" t="s">
        <v>0</v>
      </c>
      <c r="S585" s="10" t="s">
        <v>1</v>
      </c>
      <c r="T585" s="10" t="s">
        <v>32</v>
      </c>
      <c r="U585" s="5" t="str">
        <f t="shared" si="244"/>
        <v>Propriedade destinada a dimensionar: é.comprimento.interno</v>
      </c>
      <c r="V585" s="5" t="str">
        <f t="shared" si="245"/>
        <v>Dado para dimensionar:  comprimento.interno  Deve ser formatado como (xsd:double)</v>
      </c>
      <c r="W585" s="5" t="s">
        <v>5437</v>
      </c>
      <c r="X585" s="24" t="str">
        <f t="shared" si="246"/>
        <v>dimen.131</v>
      </c>
      <c r="Y585" s="24" t="str">
        <f t="shared" si="247"/>
        <v>Ação de dimensionar</v>
      </c>
      <c r="Z585" s="47" t="s">
        <v>1985</v>
      </c>
      <c r="AA585" s="25" t="str">
        <f t="shared" si="241"/>
        <v>null</v>
      </c>
      <c r="AB585" s="26" t="s">
        <v>0</v>
      </c>
      <c r="AC585" s="25" t="str">
        <f t="shared" si="242"/>
        <v>null</v>
      </c>
      <c r="AD585" s="26" t="s">
        <v>0</v>
      </c>
      <c r="AE585" s="25" t="str">
        <f t="shared" si="243"/>
        <v>null</v>
      </c>
      <c r="AF585" s="26" t="s">
        <v>0</v>
      </c>
      <c r="AG585" s="47" t="s">
        <v>3711</v>
      </c>
    </row>
    <row r="586" spans="1:33" ht="6.9" customHeight="1" x14ac:dyDescent="0.4">
      <c r="A586" s="4">
        <f>ROW()</f>
        <v>586</v>
      </c>
      <c r="B586" s="9" t="s">
        <v>27</v>
      </c>
      <c r="C586" s="55" t="str">
        <f t="shared" si="239"/>
        <v>p.dimensionar</v>
      </c>
      <c r="D586" s="6" t="str">
        <f t="shared" si="227"/>
        <v>é.comprimento.sem.bolsa</v>
      </c>
      <c r="E586" s="8" t="s">
        <v>28</v>
      </c>
      <c r="F586" s="42" t="str">
        <f t="shared" si="240"/>
        <v>d.dimensionar</v>
      </c>
      <c r="G586" s="17" t="s">
        <v>1221</v>
      </c>
      <c r="H586" s="42" t="s">
        <v>36</v>
      </c>
      <c r="I586" s="16" t="str">
        <f t="shared" si="236"/>
        <v>null</v>
      </c>
      <c r="J586" s="15" t="s">
        <v>0</v>
      </c>
      <c r="K586" s="15" t="s">
        <v>0</v>
      </c>
      <c r="L586" s="15" t="s">
        <v>0</v>
      </c>
      <c r="M586" s="15" t="s">
        <v>0</v>
      </c>
      <c r="N586" s="15" t="s">
        <v>0</v>
      </c>
      <c r="O586" s="15" t="s">
        <v>0</v>
      </c>
      <c r="P586" s="15" t="s">
        <v>0</v>
      </c>
      <c r="Q586" s="15" t="s">
        <v>0</v>
      </c>
      <c r="R586" s="15" t="s">
        <v>0</v>
      </c>
      <c r="S586" s="10" t="s">
        <v>1</v>
      </c>
      <c r="T586" s="10" t="s">
        <v>32</v>
      </c>
      <c r="U586" s="5" t="str">
        <f t="shared" si="244"/>
        <v>Propriedade destinada a dimensionar: é.comprimento.sem.bolsa</v>
      </c>
      <c r="V586" s="5" t="str">
        <f t="shared" si="245"/>
        <v>Dado para dimensionar:  comprimento.sem.bolsa  Deve ser formatado como (xsd:double)</v>
      </c>
      <c r="W586" s="5" t="s">
        <v>5438</v>
      </c>
      <c r="X586" s="24" t="str">
        <f t="shared" si="246"/>
        <v>dimen.132</v>
      </c>
      <c r="Y586" s="24" t="str">
        <f t="shared" si="247"/>
        <v>Ação de dimensionar</v>
      </c>
      <c r="Z586" s="47" t="s">
        <v>1679</v>
      </c>
      <c r="AA586" s="25" t="str">
        <f t="shared" si="241"/>
        <v>null</v>
      </c>
      <c r="AB586" s="26" t="s">
        <v>0</v>
      </c>
      <c r="AC586" s="25" t="str">
        <f t="shared" si="242"/>
        <v>null</v>
      </c>
      <c r="AD586" s="26" t="s">
        <v>0</v>
      </c>
      <c r="AE586" s="25" t="str">
        <f t="shared" si="243"/>
        <v>null</v>
      </c>
      <c r="AF586" s="26" t="s">
        <v>0</v>
      </c>
      <c r="AG586" s="47" t="s">
        <v>3712</v>
      </c>
    </row>
    <row r="587" spans="1:33" ht="6.9" customHeight="1" x14ac:dyDescent="0.4">
      <c r="A587" s="4">
        <f>ROW()</f>
        <v>587</v>
      </c>
      <c r="B587" s="9" t="s">
        <v>27</v>
      </c>
      <c r="C587" s="55" t="str">
        <f t="shared" si="239"/>
        <v>p.dimensionar</v>
      </c>
      <c r="D587" s="6" t="str">
        <f t="shared" si="227"/>
        <v>é.cordão.de.solda</v>
      </c>
      <c r="E587" s="8" t="s">
        <v>28</v>
      </c>
      <c r="F587" s="42" t="str">
        <f t="shared" si="240"/>
        <v>d.dimensionar</v>
      </c>
      <c r="G587" s="17" t="s">
        <v>1220</v>
      </c>
      <c r="H587" s="42" t="s">
        <v>36</v>
      </c>
      <c r="I587" s="16" t="str">
        <f t="shared" si="236"/>
        <v>null</v>
      </c>
      <c r="J587" s="15" t="s">
        <v>0</v>
      </c>
      <c r="K587" s="15" t="s">
        <v>0</v>
      </c>
      <c r="L587" s="15" t="s">
        <v>0</v>
      </c>
      <c r="M587" s="15" t="s">
        <v>0</v>
      </c>
      <c r="N587" s="15" t="s">
        <v>0</v>
      </c>
      <c r="O587" s="15" t="s">
        <v>0</v>
      </c>
      <c r="P587" s="15" t="s">
        <v>0</v>
      </c>
      <c r="Q587" s="15" t="s">
        <v>0</v>
      </c>
      <c r="R587" s="15" t="s">
        <v>0</v>
      </c>
      <c r="S587" s="10" t="s">
        <v>1</v>
      </c>
      <c r="T587" s="10" t="s">
        <v>32</v>
      </c>
      <c r="U587" s="5" t="str">
        <f t="shared" si="244"/>
        <v>Propriedade destinada a dimensionar: é.cordão.de.solda</v>
      </c>
      <c r="V587" s="5" t="str">
        <f t="shared" si="245"/>
        <v>Dado para dimensionar:  cordão.de.solda  Deve ser formatado como (xsd:double)</v>
      </c>
      <c r="W587" s="5" t="s">
        <v>5439</v>
      </c>
      <c r="X587" s="24" t="str">
        <f t="shared" si="246"/>
        <v>dimen.133</v>
      </c>
      <c r="Y587" s="24" t="str">
        <f t="shared" si="247"/>
        <v>Ação de dimensionar</v>
      </c>
      <c r="Z587" s="47" t="s">
        <v>1684</v>
      </c>
      <c r="AA587" s="25" t="str">
        <f t="shared" si="241"/>
        <v>null</v>
      </c>
      <c r="AB587" s="26" t="s">
        <v>0</v>
      </c>
      <c r="AC587" s="25" t="str">
        <f t="shared" si="242"/>
        <v>null</v>
      </c>
      <c r="AD587" s="26" t="s">
        <v>0</v>
      </c>
      <c r="AE587" s="25" t="str">
        <f t="shared" si="243"/>
        <v>null</v>
      </c>
      <c r="AF587" s="26" t="s">
        <v>0</v>
      </c>
      <c r="AG587" s="47" t="s">
        <v>3713</v>
      </c>
    </row>
    <row r="588" spans="1:33" ht="6.9" customHeight="1" x14ac:dyDescent="0.4">
      <c r="A588" s="4">
        <f>ROW()</f>
        <v>588</v>
      </c>
      <c r="B588" s="9" t="s">
        <v>27</v>
      </c>
      <c r="C588" s="55" t="str">
        <f t="shared" ref="C588" si="256">SUBSTITUTE(F588,"d.","p.")</f>
        <v>p.dimensionar</v>
      </c>
      <c r="D588" s="6" t="str">
        <f t="shared" si="227"/>
        <v>é.cota</v>
      </c>
      <c r="E588" s="8" t="s">
        <v>28</v>
      </c>
      <c r="F588" s="42" t="str">
        <f>F586</f>
        <v>d.dimensionar</v>
      </c>
      <c r="G588" s="17" t="s">
        <v>155</v>
      </c>
      <c r="H588" s="42" t="s">
        <v>36</v>
      </c>
      <c r="I588" s="16" t="str">
        <f t="shared" ref="I588" si="257">J588</f>
        <v>null</v>
      </c>
      <c r="J588" s="15" t="s">
        <v>0</v>
      </c>
      <c r="K588" s="15" t="s">
        <v>0</v>
      </c>
      <c r="L588" s="15" t="s">
        <v>0</v>
      </c>
      <c r="M588" s="15" t="s">
        <v>0</v>
      </c>
      <c r="N588" s="15" t="s">
        <v>0</v>
      </c>
      <c r="O588" s="15" t="s">
        <v>0</v>
      </c>
      <c r="P588" s="15" t="s">
        <v>0</v>
      </c>
      <c r="Q588" s="15" t="s">
        <v>0</v>
      </c>
      <c r="R588" s="15" t="s">
        <v>0</v>
      </c>
      <c r="S588" s="10" t="s">
        <v>1</v>
      </c>
      <c r="T588" s="10" t="s">
        <v>32</v>
      </c>
      <c r="U588" s="5" t="str">
        <f t="shared" si="244"/>
        <v>Propriedade destinada a dimensionar: é.cota</v>
      </c>
      <c r="V588" s="5" t="str">
        <f t="shared" si="245"/>
        <v>Dado para dimensionar:  cota  Deve ser formatado como (xsd:double)</v>
      </c>
      <c r="W588" s="5" t="s">
        <v>5440</v>
      </c>
      <c r="X588" s="24" t="str">
        <f t="shared" si="246"/>
        <v>dimen.134</v>
      </c>
      <c r="Y588" s="24" t="str">
        <f t="shared" si="247"/>
        <v>Ação de dimensionar</v>
      </c>
      <c r="Z588" s="47" t="s">
        <v>1677</v>
      </c>
      <c r="AA588" s="25" t="str">
        <f t="shared" ref="AA588" si="258">IF(AB588="null", "null", "categoria.revit")</f>
        <v>null</v>
      </c>
      <c r="AB588" s="26" t="s">
        <v>0</v>
      </c>
      <c r="AC588" s="25" t="str">
        <f t="shared" ref="AC588" si="259">IF(AD588="null", "null", "classe.ifc")</f>
        <v>null</v>
      </c>
      <c r="AD588" s="26" t="s">
        <v>0</v>
      </c>
      <c r="AE588" s="25" t="str">
        <f t="shared" ref="AE588" si="260">IF(AF588="null", "null", "propriedade")</f>
        <v>null</v>
      </c>
      <c r="AF588" s="26" t="s">
        <v>0</v>
      </c>
      <c r="AG588" s="47" t="s">
        <v>3714</v>
      </c>
    </row>
    <row r="589" spans="1:33" ht="6.9" customHeight="1" x14ac:dyDescent="0.4">
      <c r="A589" s="4">
        <f>ROW()</f>
        <v>589</v>
      </c>
      <c r="B589" s="9" t="s">
        <v>27</v>
      </c>
      <c r="C589" s="55" t="str">
        <f t="shared" si="239"/>
        <v>p.dimensionar</v>
      </c>
      <c r="D589" s="6" t="str">
        <f t="shared" si="227"/>
        <v>é.cota.lençol.freático</v>
      </c>
      <c r="E589" s="8" t="s">
        <v>28</v>
      </c>
      <c r="F589" s="42" t="str">
        <f>F587</f>
        <v>d.dimensionar</v>
      </c>
      <c r="G589" s="17" t="s">
        <v>7487</v>
      </c>
      <c r="H589" s="42" t="s">
        <v>36</v>
      </c>
      <c r="I589" s="16" t="str">
        <f t="shared" si="236"/>
        <v>null</v>
      </c>
      <c r="J589" s="15" t="s">
        <v>0</v>
      </c>
      <c r="K589" s="15" t="s">
        <v>0</v>
      </c>
      <c r="L589" s="15" t="s">
        <v>0</v>
      </c>
      <c r="M589" s="15" t="s">
        <v>0</v>
      </c>
      <c r="N589" s="15" t="s">
        <v>0</v>
      </c>
      <c r="O589" s="15" t="s">
        <v>0</v>
      </c>
      <c r="P589" s="15" t="s">
        <v>0</v>
      </c>
      <c r="Q589" s="15" t="s">
        <v>0</v>
      </c>
      <c r="R589" s="15" t="s">
        <v>0</v>
      </c>
      <c r="S589" s="10" t="s">
        <v>1</v>
      </c>
      <c r="T589" s="10" t="s">
        <v>32</v>
      </c>
      <c r="U589" s="5" t="str">
        <f t="shared" si="244"/>
        <v>Propriedade destinada a dimensionar: é.cota.lençol.freático</v>
      </c>
      <c r="V589" s="5" t="str">
        <f t="shared" si="245"/>
        <v>Dado para dimensionar:  cota.lençol.freático  Deve ser formatado como (xsd:double)</v>
      </c>
      <c r="W589" s="5" t="s">
        <v>5440</v>
      </c>
      <c r="X589" s="24" t="str">
        <f t="shared" si="246"/>
        <v>dimen.135</v>
      </c>
      <c r="Y589" s="24" t="str">
        <f t="shared" si="247"/>
        <v>Ação de dimensionar</v>
      </c>
      <c r="Z589" s="47" t="s">
        <v>1677</v>
      </c>
      <c r="AA589" s="25" t="str">
        <f t="shared" si="241"/>
        <v>null</v>
      </c>
      <c r="AB589" s="26" t="s">
        <v>0</v>
      </c>
      <c r="AC589" s="25" t="str">
        <f t="shared" si="242"/>
        <v>null</v>
      </c>
      <c r="AD589" s="26" t="s">
        <v>0</v>
      </c>
      <c r="AE589" s="25" t="str">
        <f t="shared" si="243"/>
        <v>null</v>
      </c>
      <c r="AF589" s="26" t="s">
        <v>0</v>
      </c>
      <c r="AG589" s="47" t="s">
        <v>3714</v>
      </c>
    </row>
    <row r="590" spans="1:33" ht="6.9" customHeight="1" x14ac:dyDescent="0.4">
      <c r="A590" s="4">
        <f>ROW()</f>
        <v>590</v>
      </c>
      <c r="B590" s="9" t="s">
        <v>27</v>
      </c>
      <c r="C590" s="55" t="str">
        <f t="shared" ref="C590:C619" si="261">SUBSTITUTE(F590,"d.","p.")</f>
        <v>p.dimensionar</v>
      </c>
      <c r="D590" s="6" t="str">
        <f t="shared" si="227"/>
        <v>é.degrau.espelho</v>
      </c>
      <c r="E590" s="8" t="s">
        <v>28</v>
      </c>
      <c r="F590" s="42" t="str">
        <f t="shared" si="240"/>
        <v>d.dimensionar</v>
      </c>
      <c r="G590" s="17" t="s">
        <v>3544</v>
      </c>
      <c r="H590" s="42" t="s">
        <v>36</v>
      </c>
      <c r="I590" s="16" t="str">
        <f t="shared" si="236"/>
        <v>null</v>
      </c>
      <c r="J590" s="15" t="s">
        <v>0</v>
      </c>
      <c r="K590" s="15" t="s">
        <v>0</v>
      </c>
      <c r="L590" s="15" t="s">
        <v>0</v>
      </c>
      <c r="M590" s="15" t="s">
        <v>0</v>
      </c>
      <c r="N590" s="15" t="s">
        <v>0</v>
      </c>
      <c r="O590" s="15" t="s">
        <v>0</v>
      </c>
      <c r="P590" s="15" t="s">
        <v>0</v>
      </c>
      <c r="Q590" s="15" t="s">
        <v>0</v>
      </c>
      <c r="R590" s="15" t="s">
        <v>0</v>
      </c>
      <c r="S590" s="10" t="s">
        <v>1</v>
      </c>
      <c r="T590" s="10" t="s">
        <v>32</v>
      </c>
      <c r="U590" s="5" t="str">
        <f t="shared" si="244"/>
        <v>Propriedade destinada a dimensionar: é.degrau.espelho</v>
      </c>
      <c r="V590" s="5" t="str">
        <f t="shared" si="245"/>
        <v>Dado para dimensionar:  degrau.espelho  Deve ser formatado como (xsd:double)</v>
      </c>
      <c r="W590" s="5" t="s">
        <v>5441</v>
      </c>
      <c r="X590" s="24" t="str">
        <f t="shared" si="246"/>
        <v>dimen.136</v>
      </c>
      <c r="Y590" s="24" t="str">
        <f t="shared" si="247"/>
        <v>Ação de dimensionar</v>
      </c>
      <c r="Z590" s="47" t="s">
        <v>3649</v>
      </c>
      <c r="AA590" s="25" t="str">
        <f t="shared" ref="AA590:AA618" si="262">IF(AB590="null", "null", "categoria.revit")</f>
        <v>null</v>
      </c>
      <c r="AB590" s="26" t="s">
        <v>0</v>
      </c>
      <c r="AC590" s="25" t="str">
        <f t="shared" ref="AC590:AC618" si="263">IF(AD590="null", "null", "classe.ifc")</f>
        <v>null</v>
      </c>
      <c r="AD590" s="26" t="s">
        <v>0</v>
      </c>
      <c r="AE590" s="25" t="str">
        <f t="shared" si="243"/>
        <v>null</v>
      </c>
      <c r="AF590" s="26" t="s">
        <v>0</v>
      </c>
      <c r="AG590" s="47" t="s">
        <v>3715</v>
      </c>
    </row>
    <row r="591" spans="1:33" ht="6.9" customHeight="1" x14ac:dyDescent="0.4">
      <c r="A591" s="4">
        <f>ROW()</f>
        <v>591</v>
      </c>
      <c r="B591" s="9" t="s">
        <v>27</v>
      </c>
      <c r="C591" s="55" t="str">
        <f t="shared" si="261"/>
        <v>p.dimensionar</v>
      </c>
      <c r="D591" s="6" t="str">
        <f t="shared" ref="D591:D654" si="264">_xlfn.CONCAT("é.",G591)</f>
        <v>é.degrau.piso</v>
      </c>
      <c r="E591" s="8" t="s">
        <v>28</v>
      </c>
      <c r="F591" s="42" t="str">
        <f t="shared" si="240"/>
        <v>d.dimensionar</v>
      </c>
      <c r="G591" s="17" t="s">
        <v>3543</v>
      </c>
      <c r="H591" s="42" t="s">
        <v>36</v>
      </c>
      <c r="I591" s="16" t="str">
        <f t="shared" si="236"/>
        <v>null</v>
      </c>
      <c r="J591" s="15" t="s">
        <v>0</v>
      </c>
      <c r="K591" s="15" t="s">
        <v>0</v>
      </c>
      <c r="L591" s="15" t="s">
        <v>0</v>
      </c>
      <c r="M591" s="15" t="s">
        <v>0</v>
      </c>
      <c r="N591" s="15" t="s">
        <v>0</v>
      </c>
      <c r="O591" s="15" t="s">
        <v>0</v>
      </c>
      <c r="P591" s="15" t="s">
        <v>0</v>
      </c>
      <c r="Q591" s="15" t="s">
        <v>0</v>
      </c>
      <c r="R591" s="15" t="s">
        <v>0</v>
      </c>
      <c r="S591" s="10" t="s">
        <v>1</v>
      </c>
      <c r="T591" s="10" t="s">
        <v>32</v>
      </c>
      <c r="U591" s="5" t="str">
        <f t="shared" si="244"/>
        <v>Propriedade destinada a dimensionar: é.degrau.piso</v>
      </c>
      <c r="V591" s="5" t="str">
        <f t="shared" si="245"/>
        <v>Dado para dimensionar:  degrau.piso  Deve ser formatado como (xsd:double)</v>
      </c>
      <c r="W591" s="5" t="s">
        <v>5442</v>
      </c>
      <c r="X591" s="24" t="str">
        <f t="shared" si="246"/>
        <v>dimen.137</v>
      </c>
      <c r="Y591" s="24" t="str">
        <f t="shared" si="247"/>
        <v>Ação de dimensionar</v>
      </c>
      <c r="Z591" s="47" t="s">
        <v>3650</v>
      </c>
      <c r="AA591" s="25" t="str">
        <f t="shared" si="262"/>
        <v>null</v>
      </c>
      <c r="AB591" s="26" t="s">
        <v>0</v>
      </c>
      <c r="AC591" s="25" t="str">
        <f t="shared" si="263"/>
        <v>null</v>
      </c>
      <c r="AD591" s="26" t="s">
        <v>0</v>
      </c>
      <c r="AE591" s="25" t="str">
        <f t="shared" si="243"/>
        <v>null</v>
      </c>
      <c r="AF591" s="26" t="s">
        <v>0</v>
      </c>
      <c r="AG591" s="47" t="s">
        <v>3716</v>
      </c>
    </row>
    <row r="592" spans="1:33" ht="6.9" customHeight="1" x14ac:dyDescent="0.4">
      <c r="A592" s="4">
        <f>ROW()</f>
        <v>592</v>
      </c>
      <c r="B592" s="9" t="s">
        <v>27</v>
      </c>
      <c r="C592" s="55" t="str">
        <f t="shared" si="261"/>
        <v>p.dimensionar</v>
      </c>
      <c r="D592" s="6" t="str">
        <f t="shared" si="264"/>
        <v>é.diâmetro</v>
      </c>
      <c r="E592" s="8" t="s">
        <v>28</v>
      </c>
      <c r="F592" s="42" t="str">
        <f t="shared" si="240"/>
        <v>d.dimensionar</v>
      </c>
      <c r="G592" s="17" t="s">
        <v>4250</v>
      </c>
      <c r="H592" s="42" t="s">
        <v>36</v>
      </c>
      <c r="I592" s="16" t="str">
        <f t="shared" si="236"/>
        <v>null</v>
      </c>
      <c r="J592" s="15" t="s">
        <v>0</v>
      </c>
      <c r="K592" s="15" t="s">
        <v>0</v>
      </c>
      <c r="L592" s="15" t="s">
        <v>0</v>
      </c>
      <c r="M592" s="15" t="s">
        <v>0</v>
      </c>
      <c r="N592" s="15" t="s">
        <v>0</v>
      </c>
      <c r="O592" s="15" t="s">
        <v>0</v>
      </c>
      <c r="P592" s="15" t="s">
        <v>0</v>
      </c>
      <c r="Q592" s="15" t="s">
        <v>0</v>
      </c>
      <c r="R592" s="15" t="s">
        <v>0</v>
      </c>
      <c r="S592" s="10" t="s">
        <v>1</v>
      </c>
      <c r="T592" s="10" t="s">
        <v>32</v>
      </c>
      <c r="U592" s="5" t="str">
        <f t="shared" si="244"/>
        <v>Propriedade destinada a dimensionar: é.diâmetro</v>
      </c>
      <c r="V592" s="5" t="str">
        <f t="shared" si="245"/>
        <v>Dado para dimensionar:  diâmetro  Deve ser formatado como (xsd:double)</v>
      </c>
      <c r="W592" s="5" t="s">
        <v>5443</v>
      </c>
      <c r="X592" s="24" t="str">
        <f t="shared" si="246"/>
        <v>dimen.138</v>
      </c>
      <c r="Y592" s="24" t="str">
        <f t="shared" si="247"/>
        <v>Ação de dimensionar</v>
      </c>
      <c r="Z592" s="47" t="s">
        <v>3651</v>
      </c>
      <c r="AA592" s="25" t="str">
        <f t="shared" si="262"/>
        <v>null</v>
      </c>
      <c r="AB592" s="26" t="s">
        <v>0</v>
      </c>
      <c r="AC592" s="25" t="str">
        <f t="shared" si="263"/>
        <v>null</v>
      </c>
      <c r="AD592" s="26" t="s">
        <v>0</v>
      </c>
      <c r="AE592" s="25" t="str">
        <f t="shared" si="243"/>
        <v>null</v>
      </c>
      <c r="AF592" s="26" t="s">
        <v>0</v>
      </c>
      <c r="AG592" s="47" t="s">
        <v>3717</v>
      </c>
    </row>
    <row r="593" spans="1:33" ht="6.9" customHeight="1" x14ac:dyDescent="0.4">
      <c r="A593" s="4">
        <f>ROW()</f>
        <v>593</v>
      </c>
      <c r="B593" s="9" t="s">
        <v>27</v>
      </c>
      <c r="C593" s="55" t="str">
        <f t="shared" si="261"/>
        <v>p.dimensionar</v>
      </c>
      <c r="D593" s="6" t="str">
        <f t="shared" si="264"/>
        <v>é.diâmetro.da.ponta</v>
      </c>
      <c r="E593" s="8" t="s">
        <v>28</v>
      </c>
      <c r="F593" s="42" t="str">
        <f t="shared" si="240"/>
        <v>d.dimensionar</v>
      </c>
      <c r="G593" s="17" t="s">
        <v>4251</v>
      </c>
      <c r="H593" s="42" t="s">
        <v>36</v>
      </c>
      <c r="I593" s="16" t="str">
        <f t="shared" si="236"/>
        <v>null</v>
      </c>
      <c r="J593" s="15" t="s">
        <v>0</v>
      </c>
      <c r="K593" s="15" t="s">
        <v>0</v>
      </c>
      <c r="L593" s="15" t="s">
        <v>0</v>
      </c>
      <c r="M593" s="15" t="s">
        <v>0</v>
      </c>
      <c r="N593" s="15" t="s">
        <v>0</v>
      </c>
      <c r="O593" s="15" t="s">
        <v>0</v>
      </c>
      <c r="P593" s="15" t="s">
        <v>0</v>
      </c>
      <c r="Q593" s="15" t="s">
        <v>0</v>
      </c>
      <c r="R593" s="15" t="s">
        <v>0</v>
      </c>
      <c r="S593" s="10" t="s">
        <v>1</v>
      </c>
      <c r="T593" s="10" t="s">
        <v>32</v>
      </c>
      <c r="U593" s="5" t="str">
        <f t="shared" si="244"/>
        <v>Propriedade destinada a dimensionar: é.diâmetro.da.ponta</v>
      </c>
      <c r="V593" s="5" t="str">
        <f t="shared" si="245"/>
        <v>Dado para dimensionar:  diâmetro.da.ponta  Deve ser formatado como (xsd:double)</v>
      </c>
      <c r="W593" s="5" t="s">
        <v>5444</v>
      </c>
      <c r="X593" s="24" t="str">
        <f t="shared" si="246"/>
        <v>dimen.139</v>
      </c>
      <c r="Y593" s="24" t="str">
        <f t="shared" si="247"/>
        <v>Ação de dimensionar</v>
      </c>
      <c r="Z593" s="47" t="s">
        <v>1683</v>
      </c>
      <c r="AA593" s="25" t="str">
        <f t="shared" si="262"/>
        <v>null</v>
      </c>
      <c r="AB593" s="26" t="s">
        <v>0</v>
      </c>
      <c r="AC593" s="25" t="str">
        <f t="shared" si="263"/>
        <v>null</v>
      </c>
      <c r="AD593" s="26" t="s">
        <v>0</v>
      </c>
      <c r="AE593" s="25" t="str">
        <f t="shared" si="243"/>
        <v>null</v>
      </c>
      <c r="AF593" s="26" t="s">
        <v>0</v>
      </c>
      <c r="AG593" s="47" t="s">
        <v>3718</v>
      </c>
    </row>
    <row r="594" spans="1:33" ht="6.9" customHeight="1" x14ac:dyDescent="0.4">
      <c r="A594" s="4">
        <f>ROW()</f>
        <v>594</v>
      </c>
      <c r="B594" s="9" t="s">
        <v>27</v>
      </c>
      <c r="C594" s="55" t="str">
        <f t="shared" si="261"/>
        <v>p.dimensionar</v>
      </c>
      <c r="D594" s="6" t="str">
        <f t="shared" si="264"/>
        <v>é.diâmetro.externo.da.bolsa</v>
      </c>
      <c r="E594" s="8" t="s">
        <v>28</v>
      </c>
      <c r="F594" s="42" t="str">
        <f t="shared" si="240"/>
        <v>d.dimensionar</v>
      </c>
      <c r="G594" s="17" t="s">
        <v>4252</v>
      </c>
      <c r="H594" s="42" t="s">
        <v>36</v>
      </c>
      <c r="I594" s="16" t="str">
        <f t="shared" si="236"/>
        <v>null</v>
      </c>
      <c r="J594" s="15" t="s">
        <v>0</v>
      </c>
      <c r="K594" s="15" t="s">
        <v>0</v>
      </c>
      <c r="L594" s="15" t="s">
        <v>0</v>
      </c>
      <c r="M594" s="15" t="s">
        <v>0</v>
      </c>
      <c r="N594" s="15" t="s">
        <v>0</v>
      </c>
      <c r="O594" s="15" t="s">
        <v>0</v>
      </c>
      <c r="P594" s="15" t="s">
        <v>0</v>
      </c>
      <c r="Q594" s="15" t="s">
        <v>0</v>
      </c>
      <c r="R594" s="15" t="s">
        <v>0</v>
      </c>
      <c r="S594" s="10" t="s">
        <v>1</v>
      </c>
      <c r="T594" s="10" t="s">
        <v>32</v>
      </c>
      <c r="U594" s="5" t="str">
        <f t="shared" si="244"/>
        <v>Propriedade destinada a dimensionar: é.diâmetro.externo.da.bolsa</v>
      </c>
      <c r="V594" s="5" t="str">
        <f t="shared" si="245"/>
        <v>Dado para dimensionar:  diâmetro.externo.da.bolsa  Deve ser formatado como (xsd:double)</v>
      </c>
      <c r="W594" s="5" t="s">
        <v>5445</v>
      </c>
      <c r="X594" s="24" t="str">
        <f t="shared" si="246"/>
        <v>dimen.140</v>
      </c>
      <c r="Y594" s="24" t="str">
        <f t="shared" si="247"/>
        <v>Ação de dimensionar</v>
      </c>
      <c r="Z594" s="47" t="s">
        <v>1680</v>
      </c>
      <c r="AA594" s="25" t="str">
        <f t="shared" si="262"/>
        <v>null</v>
      </c>
      <c r="AB594" s="26" t="s">
        <v>0</v>
      </c>
      <c r="AC594" s="25" t="str">
        <f t="shared" si="263"/>
        <v>null</v>
      </c>
      <c r="AD594" s="26" t="s">
        <v>0</v>
      </c>
      <c r="AE594" s="25" t="str">
        <f t="shared" si="243"/>
        <v>null</v>
      </c>
      <c r="AF594" s="26" t="s">
        <v>0</v>
      </c>
      <c r="AG594" s="47" t="s">
        <v>3719</v>
      </c>
    </row>
    <row r="595" spans="1:33" ht="6.9" customHeight="1" x14ac:dyDescent="0.4">
      <c r="A595" s="4">
        <f>ROW()</f>
        <v>595</v>
      </c>
      <c r="B595" s="9" t="s">
        <v>27</v>
      </c>
      <c r="C595" s="55" t="str">
        <f t="shared" si="261"/>
        <v>p.dimensionar</v>
      </c>
      <c r="D595" s="6" t="str">
        <f t="shared" si="264"/>
        <v>é.diâmetro.interno.da.bolsa</v>
      </c>
      <c r="E595" s="8" t="s">
        <v>28</v>
      </c>
      <c r="F595" s="42" t="str">
        <f t="shared" si="240"/>
        <v>d.dimensionar</v>
      </c>
      <c r="G595" s="17" t="s">
        <v>4253</v>
      </c>
      <c r="H595" s="42" t="s">
        <v>36</v>
      </c>
      <c r="I595" s="16" t="str">
        <f t="shared" si="236"/>
        <v>null</v>
      </c>
      <c r="J595" s="15" t="s">
        <v>0</v>
      </c>
      <c r="K595" s="15" t="s">
        <v>0</v>
      </c>
      <c r="L595" s="15" t="s">
        <v>0</v>
      </c>
      <c r="M595" s="15" t="s">
        <v>0</v>
      </c>
      <c r="N595" s="15" t="s">
        <v>0</v>
      </c>
      <c r="O595" s="15" t="s">
        <v>0</v>
      </c>
      <c r="P595" s="15" t="s">
        <v>0</v>
      </c>
      <c r="Q595" s="15" t="s">
        <v>0</v>
      </c>
      <c r="R595" s="15" t="s">
        <v>0</v>
      </c>
      <c r="S595" s="10" t="s">
        <v>1</v>
      </c>
      <c r="T595" s="10" t="s">
        <v>32</v>
      </c>
      <c r="U595" s="5" t="str">
        <f t="shared" si="244"/>
        <v>Propriedade destinada a dimensionar: é.diâmetro.interno.da.bolsa</v>
      </c>
      <c r="V595" s="5" t="str">
        <f t="shared" si="245"/>
        <v>Dado para dimensionar:  diâmetro.interno.da.bolsa  Deve ser formatado como (xsd:double)</v>
      </c>
      <c r="W595" s="5" t="s">
        <v>5446</v>
      </c>
      <c r="X595" s="24" t="str">
        <f t="shared" si="246"/>
        <v>dimen.141</v>
      </c>
      <c r="Y595" s="24" t="str">
        <f t="shared" si="247"/>
        <v>Ação de dimensionar</v>
      </c>
      <c r="Z595" s="47" t="s">
        <v>1681</v>
      </c>
      <c r="AA595" s="25" t="str">
        <f t="shared" si="262"/>
        <v>null</v>
      </c>
      <c r="AB595" s="26" t="s">
        <v>0</v>
      </c>
      <c r="AC595" s="25" t="str">
        <f t="shared" si="263"/>
        <v>null</v>
      </c>
      <c r="AD595" s="26" t="s">
        <v>0</v>
      </c>
      <c r="AE595" s="25" t="str">
        <f t="shared" si="243"/>
        <v>null</v>
      </c>
      <c r="AF595" s="26" t="s">
        <v>0</v>
      </c>
      <c r="AG595" s="47" t="s">
        <v>3720</v>
      </c>
    </row>
    <row r="596" spans="1:33" ht="6.9" customHeight="1" x14ac:dyDescent="0.4">
      <c r="A596" s="4">
        <f>ROW()</f>
        <v>596</v>
      </c>
      <c r="B596" s="9" t="s">
        <v>27</v>
      </c>
      <c r="C596" s="55" t="str">
        <f t="shared" ref="C596" si="265">SUBSTITUTE(F596,"d.","p.")</f>
        <v>p.dimensionar</v>
      </c>
      <c r="D596" s="6" t="str">
        <f t="shared" si="264"/>
        <v>é.diâmetro.nominal</v>
      </c>
      <c r="E596" s="8" t="s">
        <v>28</v>
      </c>
      <c r="F596" s="42" t="str">
        <f t="shared" si="240"/>
        <v>d.dimensionar</v>
      </c>
      <c r="G596" s="17" t="s">
        <v>4254</v>
      </c>
      <c r="H596" s="42" t="s">
        <v>33</v>
      </c>
      <c r="I596" s="16" t="str">
        <f t="shared" ref="I596" si="266">J596</f>
        <v>Functional</v>
      </c>
      <c r="J596" s="15" t="s">
        <v>29</v>
      </c>
      <c r="K596" s="15" t="s">
        <v>0</v>
      </c>
      <c r="L596" s="15" t="s">
        <v>0</v>
      </c>
      <c r="M596" s="15" t="s">
        <v>0</v>
      </c>
      <c r="N596" s="15" t="s">
        <v>0</v>
      </c>
      <c r="O596" s="15" t="s">
        <v>0</v>
      </c>
      <c r="P596" s="15" t="s">
        <v>0</v>
      </c>
      <c r="Q596" s="15" t="s">
        <v>0</v>
      </c>
      <c r="R596" s="15" t="s">
        <v>4255</v>
      </c>
      <c r="S596" s="10" t="s">
        <v>1</v>
      </c>
      <c r="T596" s="10" t="s">
        <v>32</v>
      </c>
      <c r="U596" s="5" t="str">
        <f t="shared" si="244"/>
        <v>Propriedade destinada a dimensionar: é.diâmetro.nominal</v>
      </c>
      <c r="V596" s="5" t="str">
        <f t="shared" si="245"/>
        <v>Dado para dimensionar:  diâmetro.nominal  Deve ser formatado como (xsd:integer)</v>
      </c>
      <c r="W596" s="5" t="s">
        <v>5447</v>
      </c>
      <c r="X596" s="24" t="str">
        <f t="shared" si="246"/>
        <v>dimen.142</v>
      </c>
      <c r="Y596" s="24" t="str">
        <f t="shared" si="247"/>
        <v>Ação de dimensionar</v>
      </c>
      <c r="Z596" s="47" t="s">
        <v>1673</v>
      </c>
      <c r="AA596" s="25" t="str">
        <f t="shared" ref="AA596" si="267">IF(AB596="null", "null", "categoria.revit")</f>
        <v>null</v>
      </c>
      <c r="AB596" s="26" t="s">
        <v>0</v>
      </c>
      <c r="AC596" s="25" t="str">
        <f t="shared" ref="AC596" si="268">IF(AD596="null", "null", "classe.ifc")</f>
        <v>null</v>
      </c>
      <c r="AD596" s="26" t="s">
        <v>0</v>
      </c>
      <c r="AE596" s="25" t="str">
        <f t="shared" si="243"/>
        <v>null</v>
      </c>
      <c r="AF596" s="26" t="s">
        <v>0</v>
      </c>
      <c r="AG596" s="47" t="s">
        <v>3721</v>
      </c>
    </row>
    <row r="597" spans="1:33" ht="6.9" customHeight="1" x14ac:dyDescent="0.4">
      <c r="A597" s="4">
        <f>ROW()</f>
        <v>597</v>
      </c>
      <c r="B597" s="9" t="s">
        <v>27</v>
      </c>
      <c r="C597" s="55" t="str">
        <f t="shared" si="261"/>
        <v>p.dimensionar</v>
      </c>
      <c r="D597" s="6" t="str">
        <f t="shared" si="264"/>
        <v>é.dn</v>
      </c>
      <c r="E597" s="8" t="s">
        <v>28</v>
      </c>
      <c r="F597" s="42" t="str">
        <f t="shared" si="240"/>
        <v>d.dimensionar</v>
      </c>
      <c r="G597" s="17" t="s">
        <v>153</v>
      </c>
      <c r="H597" s="42" t="s">
        <v>33</v>
      </c>
      <c r="I597" s="16" t="str">
        <f t="shared" si="236"/>
        <v>Functional</v>
      </c>
      <c r="J597" s="15" t="s">
        <v>29</v>
      </c>
      <c r="K597" s="15" t="s">
        <v>0</v>
      </c>
      <c r="L597" s="15" t="s">
        <v>0</v>
      </c>
      <c r="M597" s="15" t="s">
        <v>0</v>
      </c>
      <c r="N597" s="15" t="s">
        <v>0</v>
      </c>
      <c r="O597" s="15" t="s">
        <v>0</v>
      </c>
      <c r="P597" s="15" t="s">
        <v>0</v>
      </c>
      <c r="Q597" s="15" t="s">
        <v>0</v>
      </c>
      <c r="R597" s="15" t="s">
        <v>4256</v>
      </c>
      <c r="S597" s="10" t="s">
        <v>1</v>
      </c>
      <c r="T597" s="10" t="s">
        <v>32</v>
      </c>
      <c r="U597" s="5" t="str">
        <f t="shared" si="244"/>
        <v>Propriedade destinada a dimensionar: é.dn</v>
      </c>
      <c r="V597" s="5" t="str">
        <f t="shared" si="245"/>
        <v>Dado para dimensionar:  dn  Deve ser formatado como (xsd:integer)</v>
      </c>
      <c r="W597" s="5" t="s">
        <v>5447</v>
      </c>
      <c r="X597" s="24" t="str">
        <f t="shared" si="246"/>
        <v>dimen.143</v>
      </c>
      <c r="Y597" s="24" t="str">
        <f t="shared" si="247"/>
        <v>Ação de dimensionar</v>
      </c>
      <c r="Z597" s="47" t="s">
        <v>1673</v>
      </c>
      <c r="AA597" s="25" t="str">
        <f t="shared" si="262"/>
        <v>null</v>
      </c>
      <c r="AB597" s="26" t="s">
        <v>0</v>
      </c>
      <c r="AC597" s="25" t="str">
        <f t="shared" si="263"/>
        <v>null</v>
      </c>
      <c r="AD597" s="26" t="s">
        <v>0</v>
      </c>
      <c r="AE597" s="25" t="str">
        <f t="shared" si="243"/>
        <v>null</v>
      </c>
      <c r="AF597" s="26" t="s">
        <v>0</v>
      </c>
      <c r="AG597" s="47" t="s">
        <v>3721</v>
      </c>
    </row>
    <row r="598" spans="1:33" ht="6.9" customHeight="1" x14ac:dyDescent="0.4">
      <c r="A598" s="4">
        <f>ROW()</f>
        <v>598</v>
      </c>
      <c r="B598" s="9" t="s">
        <v>27</v>
      </c>
      <c r="C598" s="55" t="str">
        <f t="shared" si="261"/>
        <v>p.dimensionar</v>
      </c>
      <c r="D598" s="6" t="str">
        <f t="shared" si="264"/>
        <v>é.espessura</v>
      </c>
      <c r="E598" s="8" t="s">
        <v>28</v>
      </c>
      <c r="F598" s="42" t="str">
        <f t="shared" si="240"/>
        <v>d.dimensionar</v>
      </c>
      <c r="G598" s="17" t="s">
        <v>151</v>
      </c>
      <c r="H598" s="42" t="s">
        <v>36</v>
      </c>
      <c r="I598" s="16" t="str">
        <f t="shared" si="236"/>
        <v>null</v>
      </c>
      <c r="J598" s="15" t="s">
        <v>0</v>
      </c>
      <c r="K598" s="15" t="s">
        <v>0</v>
      </c>
      <c r="L598" s="15" t="s">
        <v>0</v>
      </c>
      <c r="M598" s="15" t="s">
        <v>0</v>
      </c>
      <c r="N598" s="15" t="s">
        <v>0</v>
      </c>
      <c r="O598" s="15" t="s">
        <v>0</v>
      </c>
      <c r="P598" s="15" t="s">
        <v>0</v>
      </c>
      <c r="Q598" s="15" t="s">
        <v>0</v>
      </c>
      <c r="R598" s="15" t="s">
        <v>0</v>
      </c>
      <c r="S598" s="10" t="s">
        <v>1</v>
      </c>
      <c r="T598" s="10" t="s">
        <v>32</v>
      </c>
      <c r="U598" s="5" t="str">
        <f t="shared" si="244"/>
        <v>Propriedade destinada a dimensionar: é.espessura</v>
      </c>
      <c r="V598" s="5" t="str">
        <f t="shared" si="245"/>
        <v>Dado para dimensionar:  espessura  Deve ser formatado como (xsd:double)</v>
      </c>
      <c r="W598" s="5" t="s">
        <v>5448</v>
      </c>
      <c r="X598" s="24" t="str">
        <f t="shared" si="246"/>
        <v>dimen.144</v>
      </c>
      <c r="Y598" s="24" t="str">
        <f t="shared" si="247"/>
        <v>Ação de dimensionar</v>
      </c>
      <c r="Z598" s="47" t="s">
        <v>3441</v>
      </c>
      <c r="AA598" s="25" t="str">
        <f t="shared" si="262"/>
        <v>null</v>
      </c>
      <c r="AB598" s="26" t="s">
        <v>0</v>
      </c>
      <c r="AC598" s="25" t="str">
        <f t="shared" si="263"/>
        <v>null</v>
      </c>
      <c r="AD598" s="26" t="s">
        <v>0</v>
      </c>
      <c r="AE598" s="25" t="str">
        <f t="shared" si="243"/>
        <v>null</v>
      </c>
      <c r="AF598" s="26" t="s">
        <v>0</v>
      </c>
      <c r="AG598" s="47" t="s">
        <v>3722</v>
      </c>
    </row>
    <row r="599" spans="1:33" ht="6.9" customHeight="1" x14ac:dyDescent="0.4">
      <c r="A599" s="4">
        <f>ROW()</f>
        <v>599</v>
      </c>
      <c r="B599" s="9" t="s">
        <v>27</v>
      </c>
      <c r="C599" s="55" t="str">
        <f t="shared" si="261"/>
        <v>p.dimensionar</v>
      </c>
      <c r="D599" s="6" t="str">
        <f t="shared" si="264"/>
        <v>é.espessura.do.flange</v>
      </c>
      <c r="E599" s="8" t="s">
        <v>28</v>
      </c>
      <c r="F599" s="42" t="str">
        <f t="shared" si="240"/>
        <v>d.dimensionar</v>
      </c>
      <c r="G599" s="17" t="s">
        <v>1225</v>
      </c>
      <c r="H599" s="42" t="s">
        <v>36</v>
      </c>
      <c r="I599" s="16" t="str">
        <f t="shared" si="236"/>
        <v>null</v>
      </c>
      <c r="J599" s="15" t="s">
        <v>0</v>
      </c>
      <c r="K599" s="15" t="s">
        <v>0</v>
      </c>
      <c r="L599" s="15" t="s">
        <v>0</v>
      </c>
      <c r="M599" s="15" t="s">
        <v>0</v>
      </c>
      <c r="N599" s="15" t="s">
        <v>0</v>
      </c>
      <c r="O599" s="15" t="s">
        <v>0</v>
      </c>
      <c r="P599" s="15" t="s">
        <v>0</v>
      </c>
      <c r="Q599" s="15" t="s">
        <v>0</v>
      </c>
      <c r="R599" s="15" t="s">
        <v>0</v>
      </c>
      <c r="S599" s="10" t="s">
        <v>1</v>
      </c>
      <c r="T599" s="10" t="s">
        <v>32</v>
      </c>
      <c r="U599" s="5" t="str">
        <f t="shared" si="244"/>
        <v>Propriedade destinada a dimensionar: é.espessura.do.flange</v>
      </c>
      <c r="V599" s="5" t="str">
        <f t="shared" si="245"/>
        <v>Dado para dimensionar:  espessura.do.flange  Deve ser formatado como (xsd:double)</v>
      </c>
      <c r="W599" s="5" t="s">
        <v>5449</v>
      </c>
      <c r="X599" s="24" t="str">
        <f t="shared" si="246"/>
        <v>dimen.145</v>
      </c>
      <c r="Y599" s="24" t="str">
        <f t="shared" si="247"/>
        <v>Ação de dimensionar</v>
      </c>
      <c r="Z599" s="47" t="s">
        <v>1671</v>
      </c>
      <c r="AA599" s="25" t="str">
        <f t="shared" si="262"/>
        <v>null</v>
      </c>
      <c r="AB599" s="26" t="s">
        <v>0</v>
      </c>
      <c r="AC599" s="25" t="str">
        <f t="shared" si="263"/>
        <v>null</v>
      </c>
      <c r="AD599" s="26" t="s">
        <v>0</v>
      </c>
      <c r="AE599" s="25" t="str">
        <f t="shared" si="243"/>
        <v>null</v>
      </c>
      <c r="AF599" s="26" t="s">
        <v>0</v>
      </c>
      <c r="AG599" s="47" t="s">
        <v>3723</v>
      </c>
    </row>
    <row r="600" spans="1:33" ht="6.9" customHeight="1" x14ac:dyDescent="0.4">
      <c r="A600" s="4">
        <f>ROW()</f>
        <v>600</v>
      </c>
      <c r="B600" s="9" t="s">
        <v>27</v>
      </c>
      <c r="C600" s="55" t="str">
        <f t="shared" si="261"/>
        <v>p.dimensionar</v>
      </c>
      <c r="D600" s="6" t="str">
        <f t="shared" si="264"/>
        <v>é.espessura.nominal</v>
      </c>
      <c r="E600" s="8" t="s">
        <v>28</v>
      </c>
      <c r="F600" s="42" t="str">
        <f t="shared" si="240"/>
        <v>d.dimensionar</v>
      </c>
      <c r="G600" s="17" t="s">
        <v>3439</v>
      </c>
      <c r="H600" s="42" t="s">
        <v>36</v>
      </c>
      <c r="I600" s="16" t="str">
        <f t="shared" si="236"/>
        <v>null</v>
      </c>
      <c r="J600" s="15" t="s">
        <v>0</v>
      </c>
      <c r="K600" s="15" t="s">
        <v>0</v>
      </c>
      <c r="L600" s="15" t="s">
        <v>0</v>
      </c>
      <c r="M600" s="15" t="s">
        <v>0</v>
      </c>
      <c r="N600" s="15" t="s">
        <v>0</v>
      </c>
      <c r="O600" s="15" t="s">
        <v>0</v>
      </c>
      <c r="P600" s="15" t="s">
        <v>0</v>
      </c>
      <c r="Q600" s="15" t="s">
        <v>0</v>
      </c>
      <c r="R600" s="15" t="s">
        <v>0</v>
      </c>
      <c r="S600" s="10" t="s">
        <v>1</v>
      </c>
      <c r="T600" s="10" t="s">
        <v>32</v>
      </c>
      <c r="U600" s="5" t="str">
        <f t="shared" si="244"/>
        <v>Propriedade destinada a dimensionar: é.espessura.nominal</v>
      </c>
      <c r="V600" s="5" t="str">
        <f t="shared" si="245"/>
        <v>Dado para dimensionar:  espessura.nominal  Deve ser formatado como (xsd:double)</v>
      </c>
      <c r="W600" s="5" t="s">
        <v>5450</v>
      </c>
      <c r="X600" s="24" t="str">
        <f t="shared" si="246"/>
        <v>dimen.146</v>
      </c>
      <c r="Y600" s="24" t="str">
        <f t="shared" si="247"/>
        <v>Ação de dimensionar</v>
      </c>
      <c r="Z600" s="47" t="s">
        <v>3440</v>
      </c>
      <c r="AA600" s="25" t="str">
        <f t="shared" si="262"/>
        <v>null</v>
      </c>
      <c r="AB600" s="26" t="s">
        <v>0</v>
      </c>
      <c r="AC600" s="25" t="str">
        <f t="shared" si="263"/>
        <v>null</v>
      </c>
      <c r="AD600" s="26" t="s">
        <v>0</v>
      </c>
      <c r="AE600" s="25" t="str">
        <f t="shared" si="243"/>
        <v>null</v>
      </c>
      <c r="AF600" s="26" t="s">
        <v>0</v>
      </c>
      <c r="AG600" s="47" t="s">
        <v>3724</v>
      </c>
    </row>
    <row r="601" spans="1:33" ht="6.9" customHeight="1" x14ac:dyDescent="0.4">
      <c r="A601" s="4">
        <f>ROW()</f>
        <v>601</v>
      </c>
      <c r="B601" s="9" t="s">
        <v>27</v>
      </c>
      <c r="C601" s="55" t="str">
        <f t="shared" si="261"/>
        <v>p.dimensionar</v>
      </c>
      <c r="D601" s="6" t="str">
        <f t="shared" si="264"/>
        <v>é.inclinação.mínima</v>
      </c>
      <c r="E601" s="8" t="s">
        <v>28</v>
      </c>
      <c r="F601" s="42" t="str">
        <f t="shared" si="240"/>
        <v>d.dimensionar</v>
      </c>
      <c r="G601" s="43" t="s">
        <v>3446</v>
      </c>
      <c r="H601" s="42" t="s">
        <v>36</v>
      </c>
      <c r="I601" s="16" t="str">
        <f t="shared" si="236"/>
        <v>null</v>
      </c>
      <c r="J601" s="15" t="s">
        <v>0</v>
      </c>
      <c r="K601" s="15" t="s">
        <v>0</v>
      </c>
      <c r="L601" s="15" t="s">
        <v>0</v>
      </c>
      <c r="M601" s="15" t="s">
        <v>0</v>
      </c>
      <c r="N601" s="15" t="s">
        <v>0</v>
      </c>
      <c r="O601" s="15" t="s">
        <v>0</v>
      </c>
      <c r="P601" s="15" t="s">
        <v>0</v>
      </c>
      <c r="Q601" s="15" t="s">
        <v>0</v>
      </c>
      <c r="R601" s="20" t="s">
        <v>3558</v>
      </c>
      <c r="S601" s="10" t="s">
        <v>1</v>
      </c>
      <c r="T601" s="10" t="s">
        <v>32</v>
      </c>
      <c r="U601" s="5" t="str">
        <f t="shared" si="244"/>
        <v>Propriedade destinada a dimensionar: é.inclinação.mínima</v>
      </c>
      <c r="V601" s="5" t="str">
        <f t="shared" si="245"/>
        <v>Dado para dimensionar:  inclinação.mínima  Deve ser formatado como (xsd:double)</v>
      </c>
      <c r="W601" s="5" t="s">
        <v>5433</v>
      </c>
      <c r="X601" s="24" t="str">
        <f t="shared" si="246"/>
        <v>dimen.147</v>
      </c>
      <c r="Y601" s="24" t="str">
        <f t="shared" si="247"/>
        <v>Ação de dimensionar</v>
      </c>
      <c r="Z601" s="47" t="s">
        <v>3648</v>
      </c>
      <c r="AA601" s="25" t="str">
        <f t="shared" si="262"/>
        <v>null</v>
      </c>
      <c r="AB601" s="26" t="s">
        <v>0</v>
      </c>
      <c r="AC601" s="25" t="str">
        <f t="shared" si="263"/>
        <v>null</v>
      </c>
      <c r="AD601" s="26" t="s">
        <v>0</v>
      </c>
      <c r="AE601" s="25" t="str">
        <f t="shared" si="243"/>
        <v>null</v>
      </c>
      <c r="AF601" s="26" t="s">
        <v>0</v>
      </c>
      <c r="AG601" s="47" t="s">
        <v>3709</v>
      </c>
    </row>
    <row r="602" spans="1:33" ht="6.9" customHeight="1" x14ac:dyDescent="0.4">
      <c r="A602" s="4">
        <f>ROW()</f>
        <v>602</v>
      </c>
      <c r="B602" s="9" t="s">
        <v>27</v>
      </c>
      <c r="C602" s="55" t="str">
        <f t="shared" si="261"/>
        <v>p.dimensionar</v>
      </c>
      <c r="D602" s="6" t="str">
        <f t="shared" si="264"/>
        <v>é.largura</v>
      </c>
      <c r="E602" s="8" t="s">
        <v>28</v>
      </c>
      <c r="F602" s="42" t="str">
        <f t="shared" si="240"/>
        <v>d.dimensionar</v>
      </c>
      <c r="G602" s="17" t="s">
        <v>149</v>
      </c>
      <c r="H602" s="42" t="s">
        <v>36</v>
      </c>
      <c r="I602" s="16" t="str">
        <f t="shared" si="236"/>
        <v>null</v>
      </c>
      <c r="J602" s="15" t="s">
        <v>0</v>
      </c>
      <c r="K602" s="15" t="s">
        <v>0</v>
      </c>
      <c r="L602" s="15" t="s">
        <v>0</v>
      </c>
      <c r="M602" s="15" t="s">
        <v>0</v>
      </c>
      <c r="N602" s="15" t="s">
        <v>0</v>
      </c>
      <c r="O602" s="15" t="s">
        <v>0</v>
      </c>
      <c r="P602" s="15" t="s">
        <v>0</v>
      </c>
      <c r="Q602" s="15" t="s">
        <v>0</v>
      </c>
      <c r="R602" s="15" t="s">
        <v>0</v>
      </c>
      <c r="S602" s="10" t="s">
        <v>1</v>
      </c>
      <c r="T602" s="10" t="s">
        <v>32</v>
      </c>
      <c r="U602" s="5" t="str">
        <f t="shared" si="244"/>
        <v>Propriedade destinada a dimensionar: é.largura</v>
      </c>
      <c r="V602" s="5" t="str">
        <f t="shared" si="245"/>
        <v>Dado para dimensionar:  largura  Deve ser formatado como (xsd:double)</v>
      </c>
      <c r="W602" s="5" t="s">
        <v>5451</v>
      </c>
      <c r="X602" s="24" t="str">
        <f t="shared" si="246"/>
        <v>dimen.148</v>
      </c>
      <c r="Y602" s="24" t="str">
        <f t="shared" si="247"/>
        <v>Ação de dimensionar</v>
      </c>
      <c r="Z602" s="47" t="s">
        <v>1667</v>
      </c>
      <c r="AA602" s="25" t="str">
        <f t="shared" si="262"/>
        <v>null</v>
      </c>
      <c r="AB602" s="26" t="s">
        <v>0</v>
      </c>
      <c r="AC602" s="25" t="str">
        <f t="shared" si="263"/>
        <v>null</v>
      </c>
      <c r="AD602" s="26" t="s">
        <v>0</v>
      </c>
      <c r="AE602" s="25" t="str">
        <f t="shared" si="243"/>
        <v>null</v>
      </c>
      <c r="AF602" s="26" t="s">
        <v>0</v>
      </c>
      <c r="AG602" s="47" t="s">
        <v>3725</v>
      </c>
    </row>
    <row r="603" spans="1:33" ht="6.9" customHeight="1" x14ac:dyDescent="0.4">
      <c r="A603" s="4">
        <f>ROW()</f>
        <v>603</v>
      </c>
      <c r="B603" s="9" t="s">
        <v>27</v>
      </c>
      <c r="C603" s="55" t="str">
        <f t="shared" si="261"/>
        <v>p.dimensionar</v>
      </c>
      <c r="D603" s="6" t="str">
        <f t="shared" si="264"/>
        <v>é.largura.do.corpo</v>
      </c>
      <c r="E603" s="8" t="s">
        <v>28</v>
      </c>
      <c r="F603" s="42" t="str">
        <f t="shared" si="240"/>
        <v>d.dimensionar</v>
      </c>
      <c r="G603" s="17" t="s">
        <v>1228</v>
      </c>
      <c r="H603" s="42" t="s">
        <v>36</v>
      </c>
      <c r="I603" s="16" t="str">
        <f t="shared" si="236"/>
        <v>null</v>
      </c>
      <c r="J603" s="15" t="s">
        <v>0</v>
      </c>
      <c r="K603" s="15" t="s">
        <v>0</v>
      </c>
      <c r="L603" s="15" t="s">
        <v>0</v>
      </c>
      <c r="M603" s="15" t="s">
        <v>0</v>
      </c>
      <c r="N603" s="15" t="s">
        <v>0</v>
      </c>
      <c r="O603" s="15" t="s">
        <v>0</v>
      </c>
      <c r="P603" s="15" t="s">
        <v>0</v>
      </c>
      <c r="Q603" s="15" t="s">
        <v>0</v>
      </c>
      <c r="R603" s="15" t="s">
        <v>0</v>
      </c>
      <c r="S603" s="10" t="s">
        <v>1</v>
      </c>
      <c r="T603" s="10" t="s">
        <v>32</v>
      </c>
      <c r="U603" s="5" t="str">
        <f t="shared" si="244"/>
        <v>Propriedade destinada a dimensionar: é.largura.do.corpo</v>
      </c>
      <c r="V603" s="5" t="str">
        <f t="shared" si="245"/>
        <v>Dado para dimensionar:  largura.do.corpo  Deve ser formatado como (xsd:double)</v>
      </c>
      <c r="W603" s="5" t="s">
        <v>5452</v>
      </c>
      <c r="X603" s="24" t="str">
        <f t="shared" si="246"/>
        <v>dimen.149</v>
      </c>
      <c r="Y603" s="24" t="str">
        <f t="shared" si="247"/>
        <v>Ação de dimensionar</v>
      </c>
      <c r="Z603" s="47" t="s">
        <v>1674</v>
      </c>
      <c r="AA603" s="25" t="str">
        <f t="shared" si="262"/>
        <v>null</v>
      </c>
      <c r="AB603" s="26" t="s">
        <v>0</v>
      </c>
      <c r="AC603" s="25" t="str">
        <f t="shared" si="263"/>
        <v>null</v>
      </c>
      <c r="AD603" s="26" t="s">
        <v>0</v>
      </c>
      <c r="AE603" s="25" t="str">
        <f t="shared" si="243"/>
        <v>null</v>
      </c>
      <c r="AF603" s="26" t="s">
        <v>0</v>
      </c>
      <c r="AG603" s="47" t="s">
        <v>3726</v>
      </c>
    </row>
    <row r="604" spans="1:33" ht="6.9" customHeight="1" x14ac:dyDescent="0.4">
      <c r="A604" s="4">
        <f>ROW()</f>
        <v>604</v>
      </c>
      <c r="B604" s="9" t="s">
        <v>27</v>
      </c>
      <c r="C604" s="55" t="str">
        <f t="shared" si="261"/>
        <v>p.dimensionar</v>
      </c>
      <c r="D604" s="6" t="str">
        <f t="shared" si="264"/>
        <v>é.largura.interna</v>
      </c>
      <c r="E604" s="8" t="s">
        <v>28</v>
      </c>
      <c r="F604" s="42" t="str">
        <f t="shared" si="240"/>
        <v>d.dimensionar</v>
      </c>
      <c r="G604" s="17" t="s">
        <v>1981</v>
      </c>
      <c r="H604" s="42" t="s">
        <v>36</v>
      </c>
      <c r="I604" s="16" t="str">
        <f t="shared" si="236"/>
        <v>null</v>
      </c>
      <c r="J604" s="15" t="s">
        <v>0</v>
      </c>
      <c r="K604" s="15" t="s">
        <v>0</v>
      </c>
      <c r="L604" s="15" t="s">
        <v>0</v>
      </c>
      <c r="M604" s="15" t="s">
        <v>0</v>
      </c>
      <c r="N604" s="15" t="s">
        <v>0</v>
      </c>
      <c r="O604" s="15" t="s">
        <v>0</v>
      </c>
      <c r="P604" s="15" t="s">
        <v>0</v>
      </c>
      <c r="Q604" s="15" t="s">
        <v>0</v>
      </c>
      <c r="R604" s="15" t="s">
        <v>0</v>
      </c>
      <c r="S604" s="10" t="s">
        <v>1</v>
      </c>
      <c r="T604" s="10" t="s">
        <v>32</v>
      </c>
      <c r="U604" s="5" t="str">
        <f t="shared" si="244"/>
        <v>Propriedade destinada a dimensionar: é.largura.interna</v>
      </c>
      <c r="V604" s="5" t="str">
        <f t="shared" si="245"/>
        <v>Dado para dimensionar:  largura.interna  Deve ser formatado como (xsd:double)</v>
      </c>
      <c r="W604" s="5" t="s">
        <v>5453</v>
      </c>
      <c r="X604" s="24" t="str">
        <f t="shared" si="246"/>
        <v>dimen.150</v>
      </c>
      <c r="Y604" s="24" t="str">
        <f t="shared" si="247"/>
        <v>Ação de dimensionar</v>
      </c>
      <c r="Z604" s="47" t="s">
        <v>1984</v>
      </c>
      <c r="AA604" s="25" t="str">
        <f t="shared" si="262"/>
        <v>null</v>
      </c>
      <c r="AB604" s="26" t="s">
        <v>0</v>
      </c>
      <c r="AC604" s="25" t="str">
        <f t="shared" si="263"/>
        <v>null</v>
      </c>
      <c r="AD604" s="26" t="s">
        <v>0</v>
      </c>
      <c r="AE604" s="25" t="str">
        <f t="shared" si="243"/>
        <v>null</v>
      </c>
      <c r="AF604" s="26" t="s">
        <v>0</v>
      </c>
      <c r="AG604" s="47" t="s">
        <v>3727</v>
      </c>
    </row>
    <row r="605" spans="1:33" ht="6.9" customHeight="1" x14ac:dyDescent="0.4">
      <c r="A605" s="4">
        <f>ROW()</f>
        <v>605</v>
      </c>
      <c r="B605" s="9" t="s">
        <v>27</v>
      </c>
      <c r="C605" s="55" t="str">
        <f t="shared" si="261"/>
        <v>p.dimensionar</v>
      </c>
      <c r="D605" s="6" t="str">
        <f t="shared" si="264"/>
        <v>é.largura.total</v>
      </c>
      <c r="E605" s="8" t="s">
        <v>28</v>
      </c>
      <c r="F605" s="42" t="str">
        <f t="shared" si="240"/>
        <v>d.dimensionar</v>
      </c>
      <c r="G605" s="43" t="s">
        <v>3442</v>
      </c>
      <c r="H605" s="42" t="s">
        <v>36</v>
      </c>
      <c r="I605" s="16" t="str">
        <f t="shared" si="236"/>
        <v>null</v>
      </c>
      <c r="J605" s="15" t="s">
        <v>0</v>
      </c>
      <c r="K605" s="15" t="s">
        <v>0</v>
      </c>
      <c r="L605" s="15" t="s">
        <v>0</v>
      </c>
      <c r="M605" s="15" t="s">
        <v>0</v>
      </c>
      <c r="N605" s="15" t="s">
        <v>0</v>
      </c>
      <c r="O605" s="15" t="s">
        <v>0</v>
      </c>
      <c r="P605" s="15" t="s">
        <v>0</v>
      </c>
      <c r="Q605" s="15" t="s">
        <v>0</v>
      </c>
      <c r="R605" s="15" t="s">
        <v>0</v>
      </c>
      <c r="S605" s="10" t="s">
        <v>1</v>
      </c>
      <c r="T605" s="10" t="s">
        <v>32</v>
      </c>
      <c r="U605" s="5" t="str">
        <f t="shared" si="244"/>
        <v>Propriedade destinada a dimensionar: é.largura.total</v>
      </c>
      <c r="V605" s="5" t="str">
        <f t="shared" si="245"/>
        <v>Dado para dimensionar:  largura.total  Deve ser formatado como (xsd:double)</v>
      </c>
      <c r="W605" s="5" t="s">
        <v>5454</v>
      </c>
      <c r="X605" s="24" t="str">
        <f t="shared" si="246"/>
        <v>dimen.151</v>
      </c>
      <c r="Y605" s="24" t="str">
        <f t="shared" si="247"/>
        <v>Ação de dimensionar</v>
      </c>
      <c r="Z605" s="47" t="s">
        <v>3652</v>
      </c>
      <c r="AA605" s="25" t="str">
        <f t="shared" si="262"/>
        <v>null</v>
      </c>
      <c r="AB605" s="26" t="s">
        <v>0</v>
      </c>
      <c r="AC605" s="25" t="str">
        <f t="shared" si="263"/>
        <v>null</v>
      </c>
      <c r="AD605" s="26" t="s">
        <v>0</v>
      </c>
      <c r="AE605" s="25" t="str">
        <f t="shared" si="243"/>
        <v>null</v>
      </c>
      <c r="AF605" s="26" t="s">
        <v>0</v>
      </c>
      <c r="AG605" s="47" t="s">
        <v>3728</v>
      </c>
    </row>
    <row r="606" spans="1:33" ht="6.9" customHeight="1" x14ac:dyDescent="0.4">
      <c r="A606" s="4">
        <f>ROW()</f>
        <v>606</v>
      </c>
      <c r="B606" s="9" t="s">
        <v>27</v>
      </c>
      <c r="C606" s="55" t="str">
        <f t="shared" si="261"/>
        <v>p.dimensionar</v>
      </c>
      <c r="D606" s="6" t="str">
        <f t="shared" si="264"/>
        <v>é.largura.útil</v>
      </c>
      <c r="E606" s="8" t="s">
        <v>28</v>
      </c>
      <c r="F606" s="42" t="str">
        <f t="shared" si="240"/>
        <v>d.dimensionar</v>
      </c>
      <c r="G606" s="43" t="s">
        <v>3443</v>
      </c>
      <c r="H606" s="42" t="s">
        <v>36</v>
      </c>
      <c r="I606" s="16" t="str">
        <f t="shared" si="236"/>
        <v>null</v>
      </c>
      <c r="J606" s="15" t="s">
        <v>0</v>
      </c>
      <c r="K606" s="15" t="s">
        <v>0</v>
      </c>
      <c r="L606" s="15" t="s">
        <v>0</v>
      </c>
      <c r="M606" s="15" t="s">
        <v>0</v>
      </c>
      <c r="N606" s="15" t="s">
        <v>0</v>
      </c>
      <c r="O606" s="15" t="s">
        <v>0</v>
      </c>
      <c r="P606" s="15" t="s">
        <v>0</v>
      </c>
      <c r="Q606" s="15" t="s">
        <v>0</v>
      </c>
      <c r="R606" s="15" t="s">
        <v>0</v>
      </c>
      <c r="S606" s="10" t="s">
        <v>1</v>
      </c>
      <c r="T606" s="10" t="s">
        <v>32</v>
      </c>
      <c r="U606" s="5" t="str">
        <f t="shared" si="244"/>
        <v>Propriedade destinada a dimensionar: é.largura.útil</v>
      </c>
      <c r="V606" s="5" t="str">
        <f t="shared" si="245"/>
        <v>Dado para dimensionar:  largura.útil  Deve ser formatado como (xsd:double)</v>
      </c>
      <c r="W606" s="5" t="s">
        <v>5455</v>
      </c>
      <c r="X606" s="24" t="str">
        <f t="shared" si="246"/>
        <v>dimen.152</v>
      </c>
      <c r="Y606" s="24" t="str">
        <f t="shared" si="247"/>
        <v>Ação de dimensionar</v>
      </c>
      <c r="Z606" s="47" t="s">
        <v>3653</v>
      </c>
      <c r="AA606" s="25" t="str">
        <f t="shared" si="262"/>
        <v>null</v>
      </c>
      <c r="AB606" s="26" t="s">
        <v>0</v>
      </c>
      <c r="AC606" s="25" t="str">
        <f t="shared" si="263"/>
        <v>null</v>
      </c>
      <c r="AD606" s="26" t="s">
        <v>0</v>
      </c>
      <c r="AE606" s="25" t="str">
        <f t="shared" si="243"/>
        <v>null</v>
      </c>
      <c r="AF606" s="26" t="s">
        <v>0</v>
      </c>
      <c r="AG606" s="47" t="s">
        <v>3729</v>
      </c>
    </row>
    <row r="607" spans="1:33" ht="6.9" customHeight="1" x14ac:dyDescent="0.4">
      <c r="A607" s="4">
        <f>ROW()</f>
        <v>607</v>
      </c>
      <c r="B607" s="9" t="s">
        <v>27</v>
      </c>
      <c r="C607" s="55" t="str">
        <f t="shared" si="261"/>
        <v>p.dimensionar</v>
      </c>
      <c r="D607" s="6" t="str">
        <f t="shared" si="264"/>
        <v>é.pédireito</v>
      </c>
      <c r="E607" s="8" t="s">
        <v>28</v>
      </c>
      <c r="F607" s="42" t="str">
        <f t="shared" si="240"/>
        <v>d.dimensionar</v>
      </c>
      <c r="G607" s="17" t="s">
        <v>152</v>
      </c>
      <c r="H607" s="42" t="s">
        <v>36</v>
      </c>
      <c r="I607" s="16" t="str">
        <f t="shared" si="236"/>
        <v>null</v>
      </c>
      <c r="J607" s="15" t="s">
        <v>0</v>
      </c>
      <c r="K607" s="15" t="s">
        <v>0</v>
      </c>
      <c r="L607" s="15" t="s">
        <v>0</v>
      </c>
      <c r="M607" s="15" t="s">
        <v>0</v>
      </c>
      <c r="N607" s="15" t="s">
        <v>0</v>
      </c>
      <c r="O607" s="15" t="s">
        <v>0</v>
      </c>
      <c r="P607" s="15" t="s">
        <v>0</v>
      </c>
      <c r="Q607" s="15" t="s">
        <v>0</v>
      </c>
      <c r="R607" s="15" t="s">
        <v>7761</v>
      </c>
      <c r="S607" s="10" t="s">
        <v>1</v>
      </c>
      <c r="T607" s="10" t="s">
        <v>32</v>
      </c>
      <c r="U607" s="5" t="str">
        <f t="shared" si="244"/>
        <v>Propriedade destinada a dimensionar: é.pédireito</v>
      </c>
      <c r="V607" s="5" t="str">
        <f t="shared" si="245"/>
        <v>Dado para dimensionar:  pédireito  Deve ser formatado como (xsd:double)</v>
      </c>
      <c r="W607" s="5" t="s">
        <v>5456</v>
      </c>
      <c r="X607" s="24" t="str">
        <f t="shared" si="246"/>
        <v>dimen.153</v>
      </c>
      <c r="Y607" s="24" t="str">
        <f t="shared" si="247"/>
        <v>Ação de dimensionar</v>
      </c>
      <c r="Z607" s="47" t="s">
        <v>1672</v>
      </c>
      <c r="AA607" s="25" t="str">
        <f t="shared" si="262"/>
        <v>null</v>
      </c>
      <c r="AB607" s="26" t="s">
        <v>0</v>
      </c>
      <c r="AC607" s="25" t="str">
        <f t="shared" si="263"/>
        <v>null</v>
      </c>
      <c r="AD607" s="26" t="s">
        <v>0</v>
      </c>
      <c r="AE607" s="25" t="str">
        <f t="shared" si="243"/>
        <v>null</v>
      </c>
      <c r="AF607" s="26" t="s">
        <v>0</v>
      </c>
      <c r="AG607" s="47" t="s">
        <v>3730</v>
      </c>
    </row>
    <row r="608" spans="1:33" ht="6.9" customHeight="1" x14ac:dyDescent="0.4">
      <c r="A608" s="4">
        <f>ROW()</f>
        <v>608</v>
      </c>
      <c r="B608" s="9" t="s">
        <v>27</v>
      </c>
      <c r="C608" s="55" t="str">
        <f t="shared" ref="C608" si="269">SUBSTITUTE(F608,"d.","p.")</f>
        <v>p.dimensionar</v>
      </c>
      <c r="D608" s="6" t="str">
        <f t="shared" si="264"/>
        <v>é.pressão.nominal</v>
      </c>
      <c r="E608" s="8" t="s">
        <v>28</v>
      </c>
      <c r="F608" s="42" t="str">
        <f t="shared" si="240"/>
        <v>d.dimensionar</v>
      </c>
      <c r="G608" s="17" t="s">
        <v>555</v>
      </c>
      <c r="H608" s="42" t="s">
        <v>33</v>
      </c>
      <c r="I608" s="16" t="str">
        <f t="shared" ref="I608" si="270">J608</f>
        <v>Functional</v>
      </c>
      <c r="J608" s="15" t="s">
        <v>29</v>
      </c>
      <c r="K608" s="15" t="s">
        <v>0</v>
      </c>
      <c r="L608" s="15" t="s">
        <v>0</v>
      </c>
      <c r="M608" s="15" t="s">
        <v>0</v>
      </c>
      <c r="N608" s="15" t="s">
        <v>0</v>
      </c>
      <c r="O608" s="15" t="s">
        <v>0</v>
      </c>
      <c r="P608" s="15" t="s">
        <v>0</v>
      </c>
      <c r="Q608" s="15" t="s">
        <v>0</v>
      </c>
      <c r="R608" s="15" t="s">
        <v>4258</v>
      </c>
      <c r="S608" s="10" t="s">
        <v>1</v>
      </c>
      <c r="T608" s="10" t="s">
        <v>32</v>
      </c>
      <c r="U608" s="5" t="str">
        <f t="shared" si="244"/>
        <v>Propriedade destinada a dimensionar: é.pressão.nominal</v>
      </c>
      <c r="V608" s="5" t="str">
        <f t="shared" si="245"/>
        <v>Dado para dimensionar:  pressão.nominal  Deve ser formatado como (xsd:integer)</v>
      </c>
      <c r="W608" s="5" t="s">
        <v>5457</v>
      </c>
      <c r="X608" s="24" t="str">
        <f t="shared" si="246"/>
        <v>dimen.154</v>
      </c>
      <c r="Y608" s="24" t="str">
        <f t="shared" si="247"/>
        <v>Ação de dimensionar</v>
      </c>
      <c r="Z608" s="47" t="s">
        <v>2114</v>
      </c>
      <c r="AA608" s="25" t="str">
        <f t="shared" ref="AA608" si="271">IF(AB608="null", "null", "categoria.revit")</f>
        <v>null</v>
      </c>
      <c r="AB608" s="26" t="s">
        <v>0</v>
      </c>
      <c r="AC608" s="25" t="str">
        <f t="shared" ref="AC608" si="272">IF(AD608="null", "null", "classe.ifc")</f>
        <v>null</v>
      </c>
      <c r="AD608" s="26" t="s">
        <v>0</v>
      </c>
      <c r="AE608" s="25" t="str">
        <f t="shared" si="243"/>
        <v>null</v>
      </c>
      <c r="AF608" s="26" t="s">
        <v>0</v>
      </c>
      <c r="AG608" s="47" t="s">
        <v>3731</v>
      </c>
    </row>
    <row r="609" spans="1:33" ht="6.9" customHeight="1" x14ac:dyDescent="0.4">
      <c r="A609" s="4">
        <f>ROW()</f>
        <v>609</v>
      </c>
      <c r="B609" s="9" t="s">
        <v>27</v>
      </c>
      <c r="C609" s="55" t="str">
        <f t="shared" si="261"/>
        <v>p.dimensionar</v>
      </c>
      <c r="D609" s="6" t="str">
        <f t="shared" si="264"/>
        <v>é.pn</v>
      </c>
      <c r="E609" s="8" t="s">
        <v>28</v>
      </c>
      <c r="F609" s="42" t="str">
        <f t="shared" si="240"/>
        <v>d.dimensionar</v>
      </c>
      <c r="G609" s="17" t="s">
        <v>2113</v>
      </c>
      <c r="H609" s="42" t="s">
        <v>33</v>
      </c>
      <c r="I609" s="16" t="str">
        <f t="shared" si="236"/>
        <v>Functional</v>
      </c>
      <c r="J609" s="15" t="s">
        <v>29</v>
      </c>
      <c r="K609" s="15" t="s">
        <v>0</v>
      </c>
      <c r="L609" s="15" t="s">
        <v>0</v>
      </c>
      <c r="M609" s="15" t="s">
        <v>0</v>
      </c>
      <c r="N609" s="15" t="s">
        <v>0</v>
      </c>
      <c r="O609" s="15" t="s">
        <v>0</v>
      </c>
      <c r="P609" s="15" t="s">
        <v>0</v>
      </c>
      <c r="Q609" s="15" t="s">
        <v>0</v>
      </c>
      <c r="R609" s="15" t="s">
        <v>4257</v>
      </c>
      <c r="S609" s="10" t="s">
        <v>1</v>
      </c>
      <c r="T609" s="10" t="s">
        <v>32</v>
      </c>
      <c r="U609" s="5" t="str">
        <f t="shared" si="244"/>
        <v>Propriedade destinada a dimensionar: é.pn</v>
      </c>
      <c r="V609" s="5" t="str">
        <f t="shared" si="245"/>
        <v>Dado para dimensionar:  pn  Deve ser formatado como (xsd:integer)</v>
      </c>
      <c r="W609" s="5" t="s">
        <v>5457</v>
      </c>
      <c r="X609" s="24" t="str">
        <f t="shared" si="246"/>
        <v>dimen.155</v>
      </c>
      <c r="Y609" s="24" t="str">
        <f t="shared" si="247"/>
        <v>Ação de dimensionar</v>
      </c>
      <c r="Z609" s="47" t="s">
        <v>2114</v>
      </c>
      <c r="AA609" s="25" t="str">
        <f t="shared" si="262"/>
        <v>null</v>
      </c>
      <c r="AB609" s="26" t="s">
        <v>0</v>
      </c>
      <c r="AC609" s="25" t="str">
        <f t="shared" si="263"/>
        <v>null</v>
      </c>
      <c r="AD609" s="26" t="s">
        <v>0</v>
      </c>
      <c r="AE609" s="25" t="str">
        <f t="shared" si="243"/>
        <v>null</v>
      </c>
      <c r="AF609" s="26" t="s">
        <v>0</v>
      </c>
      <c r="AG609" s="47" t="s">
        <v>3731</v>
      </c>
    </row>
    <row r="610" spans="1:33" ht="6.9" customHeight="1" x14ac:dyDescent="0.4">
      <c r="A610" s="4">
        <f>ROW()</f>
        <v>610</v>
      </c>
      <c r="B610" s="9" t="s">
        <v>27</v>
      </c>
      <c r="C610" s="55" t="str">
        <f t="shared" si="261"/>
        <v>p.dimensionar</v>
      </c>
      <c r="D610" s="6" t="str">
        <f t="shared" si="264"/>
        <v>é.profundidade</v>
      </c>
      <c r="E610" s="8" t="s">
        <v>28</v>
      </c>
      <c r="F610" s="42" t="str">
        <f t="shared" si="240"/>
        <v>d.dimensionar</v>
      </c>
      <c r="G610" s="17" t="s">
        <v>150</v>
      </c>
      <c r="H610" s="42" t="s">
        <v>36</v>
      </c>
      <c r="I610" s="16" t="str">
        <f t="shared" si="236"/>
        <v>null</v>
      </c>
      <c r="J610" s="15" t="s">
        <v>0</v>
      </c>
      <c r="K610" s="15" t="s">
        <v>0</v>
      </c>
      <c r="L610" s="15" t="s">
        <v>0</v>
      </c>
      <c r="M610" s="15" t="s">
        <v>0</v>
      </c>
      <c r="N610" s="15" t="s">
        <v>0</v>
      </c>
      <c r="O610" s="15" t="s">
        <v>0</v>
      </c>
      <c r="P610" s="15" t="s">
        <v>0</v>
      </c>
      <c r="Q610" s="15" t="s">
        <v>0</v>
      </c>
      <c r="R610" s="15" t="s">
        <v>0</v>
      </c>
      <c r="S610" s="10" t="s">
        <v>1</v>
      </c>
      <c r="T610" s="10" t="s">
        <v>32</v>
      </c>
      <c r="U610" s="5" t="str">
        <f t="shared" si="244"/>
        <v>Propriedade destinada a dimensionar: é.profundidade</v>
      </c>
      <c r="V610" s="5" t="str">
        <f t="shared" si="245"/>
        <v>Dado para dimensionar:  profundidade  Deve ser formatado como (xsd:double)</v>
      </c>
      <c r="W610" s="5" t="s">
        <v>5458</v>
      </c>
      <c r="X610" s="24" t="str">
        <f t="shared" si="246"/>
        <v>dimen.156</v>
      </c>
      <c r="Y610" s="24" t="str">
        <f t="shared" si="247"/>
        <v>Ação de dimensionar</v>
      </c>
      <c r="Z610" s="47" t="s">
        <v>1668</v>
      </c>
      <c r="AA610" s="25" t="str">
        <f t="shared" si="262"/>
        <v>null</v>
      </c>
      <c r="AB610" s="26" t="s">
        <v>0</v>
      </c>
      <c r="AC610" s="25" t="str">
        <f t="shared" si="263"/>
        <v>null</v>
      </c>
      <c r="AD610" s="26" t="s">
        <v>0</v>
      </c>
      <c r="AE610" s="25" t="str">
        <f t="shared" si="243"/>
        <v>null</v>
      </c>
      <c r="AF610" s="26" t="s">
        <v>0</v>
      </c>
      <c r="AG610" s="47" t="s">
        <v>3732</v>
      </c>
    </row>
    <row r="611" spans="1:33" ht="6.9" customHeight="1" x14ac:dyDescent="0.4">
      <c r="A611" s="4">
        <f>ROW()</f>
        <v>611</v>
      </c>
      <c r="B611" s="9" t="s">
        <v>27</v>
      </c>
      <c r="C611" s="55" t="str">
        <f t="shared" si="261"/>
        <v>p.dimensionar</v>
      </c>
      <c r="D611" s="6" t="str">
        <f t="shared" si="264"/>
        <v>é.profundidade.da.bolsa</v>
      </c>
      <c r="E611" s="8" t="s">
        <v>28</v>
      </c>
      <c r="F611" s="42" t="str">
        <f t="shared" si="240"/>
        <v>d.dimensionar</v>
      </c>
      <c r="G611" s="17" t="s">
        <v>1219</v>
      </c>
      <c r="H611" s="42" t="s">
        <v>36</v>
      </c>
      <c r="I611" s="16" t="str">
        <f t="shared" ref="I611:I683" si="273">J611</f>
        <v>null</v>
      </c>
      <c r="J611" s="15" t="s">
        <v>0</v>
      </c>
      <c r="K611" s="15" t="s">
        <v>0</v>
      </c>
      <c r="L611" s="15" t="s">
        <v>0</v>
      </c>
      <c r="M611" s="15" t="s">
        <v>0</v>
      </c>
      <c r="N611" s="15" t="s">
        <v>0</v>
      </c>
      <c r="O611" s="15" t="s">
        <v>0</v>
      </c>
      <c r="P611" s="15" t="s">
        <v>0</v>
      </c>
      <c r="Q611" s="15" t="s">
        <v>0</v>
      </c>
      <c r="R611" s="15" t="s">
        <v>0</v>
      </c>
      <c r="S611" s="10" t="s">
        <v>1</v>
      </c>
      <c r="T611" s="10" t="s">
        <v>32</v>
      </c>
      <c r="U611" s="5" t="str">
        <f t="shared" si="244"/>
        <v>Propriedade destinada a dimensionar: é.profundidade.da.bolsa</v>
      </c>
      <c r="V611" s="5" t="str">
        <f t="shared" si="245"/>
        <v>Dado para dimensionar:  profundidade.da.bolsa  Deve ser formatado como (xsd:double)</v>
      </c>
      <c r="W611" s="5" t="s">
        <v>5459</v>
      </c>
      <c r="X611" s="24" t="str">
        <f t="shared" si="246"/>
        <v>dimen.157</v>
      </c>
      <c r="Y611" s="24" t="str">
        <f t="shared" si="247"/>
        <v>Ação de dimensionar</v>
      </c>
      <c r="Z611" s="47" t="s">
        <v>1682</v>
      </c>
      <c r="AA611" s="25" t="str">
        <f t="shared" si="262"/>
        <v>null</v>
      </c>
      <c r="AB611" s="26" t="s">
        <v>0</v>
      </c>
      <c r="AC611" s="25" t="str">
        <f t="shared" si="263"/>
        <v>null</v>
      </c>
      <c r="AD611" s="26" t="s">
        <v>0</v>
      </c>
      <c r="AE611" s="25" t="str">
        <f t="shared" si="243"/>
        <v>null</v>
      </c>
      <c r="AF611" s="26" t="s">
        <v>0</v>
      </c>
      <c r="AG611" s="47" t="s">
        <v>3733</v>
      </c>
    </row>
    <row r="612" spans="1:33" ht="6.9" customHeight="1" x14ac:dyDescent="0.4">
      <c r="A612" s="4">
        <f>ROW()</f>
        <v>612</v>
      </c>
      <c r="B612" s="9" t="s">
        <v>27</v>
      </c>
      <c r="C612" s="55" t="str">
        <f t="shared" si="261"/>
        <v>p.dimensionar</v>
      </c>
      <c r="D612" s="6" t="str">
        <f t="shared" si="264"/>
        <v>é.profundidade.do.corpo</v>
      </c>
      <c r="E612" s="8" t="s">
        <v>28</v>
      </c>
      <c r="F612" s="42" t="str">
        <f t="shared" si="240"/>
        <v>d.dimensionar</v>
      </c>
      <c r="G612" s="17" t="s">
        <v>1229</v>
      </c>
      <c r="H612" s="42" t="s">
        <v>36</v>
      </c>
      <c r="I612" s="16" t="str">
        <f t="shared" si="273"/>
        <v>null</v>
      </c>
      <c r="J612" s="15" t="s">
        <v>0</v>
      </c>
      <c r="K612" s="15" t="s">
        <v>0</v>
      </c>
      <c r="L612" s="15" t="s">
        <v>0</v>
      </c>
      <c r="M612" s="15" t="s">
        <v>0</v>
      </c>
      <c r="N612" s="15" t="s">
        <v>0</v>
      </c>
      <c r="O612" s="15" t="s">
        <v>0</v>
      </c>
      <c r="P612" s="15" t="s">
        <v>0</v>
      </c>
      <c r="Q612" s="15" t="s">
        <v>0</v>
      </c>
      <c r="R612" s="15" t="s">
        <v>0</v>
      </c>
      <c r="S612" s="10" t="s">
        <v>1</v>
      </c>
      <c r="T612" s="10" t="s">
        <v>32</v>
      </c>
      <c r="U612" s="5" t="str">
        <f t="shared" si="244"/>
        <v>Propriedade destinada a dimensionar: é.profundidade.do.corpo</v>
      </c>
      <c r="V612" s="5" t="str">
        <f t="shared" si="245"/>
        <v>Dado para dimensionar:  profundidade.do.corpo  Deve ser formatado como (xsd:double)</v>
      </c>
      <c r="W612" s="5" t="s">
        <v>5460</v>
      </c>
      <c r="X612" s="24" t="str">
        <f t="shared" si="246"/>
        <v>dimen.158</v>
      </c>
      <c r="Y612" s="24" t="str">
        <f t="shared" si="247"/>
        <v>Ação de dimensionar</v>
      </c>
      <c r="Z612" s="47" t="s">
        <v>1675</v>
      </c>
      <c r="AA612" s="25" t="str">
        <f t="shared" si="262"/>
        <v>null</v>
      </c>
      <c r="AB612" s="26" t="s">
        <v>0</v>
      </c>
      <c r="AC612" s="25" t="str">
        <f t="shared" si="263"/>
        <v>null</v>
      </c>
      <c r="AD612" s="26" t="s">
        <v>0</v>
      </c>
      <c r="AE612" s="25" t="str">
        <f t="shared" si="243"/>
        <v>null</v>
      </c>
      <c r="AF612" s="26" t="s">
        <v>0</v>
      </c>
      <c r="AG612" s="47" t="s">
        <v>3734</v>
      </c>
    </row>
    <row r="613" spans="1:33" ht="6.9" customHeight="1" x14ac:dyDescent="0.4">
      <c r="A613" s="4">
        <f>ROW()</f>
        <v>613</v>
      </c>
      <c r="B613" s="9" t="s">
        <v>27</v>
      </c>
      <c r="C613" s="55" t="str">
        <f t="shared" si="261"/>
        <v>p.dimensionar</v>
      </c>
      <c r="D613" s="6" t="str">
        <f t="shared" si="264"/>
        <v>é.raio</v>
      </c>
      <c r="E613" s="8" t="s">
        <v>28</v>
      </c>
      <c r="F613" s="42" t="str">
        <f t="shared" si="240"/>
        <v>d.dimensionar</v>
      </c>
      <c r="G613" s="17" t="s">
        <v>154</v>
      </c>
      <c r="H613" s="42" t="s">
        <v>36</v>
      </c>
      <c r="I613" s="16" t="str">
        <f t="shared" si="273"/>
        <v>null</v>
      </c>
      <c r="J613" s="15" t="s">
        <v>0</v>
      </c>
      <c r="K613" s="15" t="s">
        <v>0</v>
      </c>
      <c r="L613" s="15" t="s">
        <v>0</v>
      </c>
      <c r="M613" s="15" t="s">
        <v>0</v>
      </c>
      <c r="N613" s="15" t="s">
        <v>0</v>
      </c>
      <c r="O613" s="15" t="s">
        <v>0</v>
      </c>
      <c r="P613" s="15" t="s">
        <v>0</v>
      </c>
      <c r="Q613" s="15" t="s">
        <v>0</v>
      </c>
      <c r="R613" s="15" t="s">
        <v>0</v>
      </c>
      <c r="S613" s="10" t="s">
        <v>1</v>
      </c>
      <c r="T613" s="10" t="s">
        <v>32</v>
      </c>
      <c r="U613" s="5" t="str">
        <f t="shared" si="244"/>
        <v>Propriedade destinada a dimensionar: é.raio</v>
      </c>
      <c r="V613" s="5" t="str">
        <f t="shared" si="245"/>
        <v>Dado para dimensionar:  raio  Deve ser formatado como (xsd:double)</v>
      </c>
      <c r="W613" s="5" t="s">
        <v>5461</v>
      </c>
      <c r="X613" s="24" t="str">
        <f t="shared" si="246"/>
        <v>dimen.159</v>
      </c>
      <c r="Y613" s="24" t="str">
        <f t="shared" si="247"/>
        <v>Ação de dimensionar</v>
      </c>
      <c r="Z613" s="47" t="s">
        <v>1676</v>
      </c>
      <c r="AA613" s="25" t="str">
        <f t="shared" si="262"/>
        <v>null</v>
      </c>
      <c r="AB613" s="26" t="s">
        <v>0</v>
      </c>
      <c r="AC613" s="25" t="str">
        <f t="shared" si="263"/>
        <v>null</v>
      </c>
      <c r="AD613" s="26" t="s">
        <v>0</v>
      </c>
      <c r="AE613" s="25" t="str">
        <f t="shared" si="243"/>
        <v>null</v>
      </c>
      <c r="AF613" s="26" t="s">
        <v>0</v>
      </c>
      <c r="AG613" s="47" t="s">
        <v>3735</v>
      </c>
    </row>
    <row r="614" spans="1:33" ht="6.9" customHeight="1" x14ac:dyDescent="0.4">
      <c r="A614" s="4">
        <f>ROW()</f>
        <v>614</v>
      </c>
      <c r="B614" s="9" t="s">
        <v>27</v>
      </c>
      <c r="C614" s="55" t="str">
        <f t="shared" si="261"/>
        <v>p.dimensionar</v>
      </c>
      <c r="D614" s="6" t="str">
        <f t="shared" si="264"/>
        <v>é.recobrimento.longitudinal</v>
      </c>
      <c r="E614" s="8" t="s">
        <v>28</v>
      </c>
      <c r="F614" s="42" t="str">
        <f t="shared" si="240"/>
        <v>d.dimensionar</v>
      </c>
      <c r="G614" s="43" t="s">
        <v>3447</v>
      </c>
      <c r="H614" s="42" t="s">
        <v>36</v>
      </c>
      <c r="I614" s="16" t="str">
        <f t="shared" si="273"/>
        <v>null</v>
      </c>
      <c r="J614" s="15" t="s">
        <v>0</v>
      </c>
      <c r="K614" s="15" t="s">
        <v>0</v>
      </c>
      <c r="L614" s="15" t="s">
        <v>0</v>
      </c>
      <c r="M614" s="15" t="s">
        <v>0</v>
      </c>
      <c r="N614" s="15" t="s">
        <v>0</v>
      </c>
      <c r="O614" s="15" t="s">
        <v>0</v>
      </c>
      <c r="P614" s="15" t="s">
        <v>0</v>
      </c>
      <c r="Q614" s="15" t="s">
        <v>0</v>
      </c>
      <c r="R614" s="15" t="s">
        <v>0</v>
      </c>
      <c r="S614" s="10" t="s">
        <v>1</v>
      </c>
      <c r="T614" s="10" t="s">
        <v>32</v>
      </c>
      <c r="U614" s="5" t="str">
        <f t="shared" si="244"/>
        <v>Propriedade destinada a dimensionar: é.recobrimento.longitudinal</v>
      </c>
      <c r="V614" s="5" t="str">
        <f t="shared" si="245"/>
        <v>Dado para dimensionar:  recobrimento.longitudinal  Deve ser formatado como (xsd:double)</v>
      </c>
      <c r="W614" s="5" t="s">
        <v>5462</v>
      </c>
      <c r="X614" s="24" t="str">
        <f t="shared" si="246"/>
        <v>dimen.160</v>
      </c>
      <c r="Y614" s="24" t="str">
        <f t="shared" si="247"/>
        <v>Ação de dimensionar</v>
      </c>
      <c r="Z614" s="47" t="s">
        <v>3654</v>
      </c>
      <c r="AA614" s="25" t="str">
        <f t="shared" si="262"/>
        <v>null</v>
      </c>
      <c r="AB614" s="26" t="s">
        <v>0</v>
      </c>
      <c r="AC614" s="25" t="str">
        <f t="shared" si="263"/>
        <v>null</v>
      </c>
      <c r="AD614" s="26" t="s">
        <v>0</v>
      </c>
      <c r="AE614" s="25" t="str">
        <f t="shared" si="243"/>
        <v>null</v>
      </c>
      <c r="AF614" s="26" t="s">
        <v>0</v>
      </c>
      <c r="AG614" s="47" t="s">
        <v>3736</v>
      </c>
    </row>
    <row r="615" spans="1:33" ht="6.9" customHeight="1" x14ac:dyDescent="0.4">
      <c r="A615" s="4">
        <f>ROW()</f>
        <v>615</v>
      </c>
      <c r="B615" s="9" t="s">
        <v>27</v>
      </c>
      <c r="C615" s="55" t="str">
        <f t="shared" si="261"/>
        <v>p.dimensionar</v>
      </c>
      <c r="D615" s="6" t="str">
        <f t="shared" si="264"/>
        <v>é.t.f</v>
      </c>
      <c r="E615" s="8" t="s">
        <v>28</v>
      </c>
      <c r="F615" s="42" t="str">
        <f t="shared" si="240"/>
        <v>d.dimensionar</v>
      </c>
      <c r="G615" s="17" t="s">
        <v>1248</v>
      </c>
      <c r="H615" s="42" t="s">
        <v>36</v>
      </c>
      <c r="I615" s="16" t="str">
        <f t="shared" si="273"/>
        <v>null</v>
      </c>
      <c r="J615" s="15" t="s">
        <v>0</v>
      </c>
      <c r="K615" s="15" t="s">
        <v>0</v>
      </c>
      <c r="L615" s="15" t="s">
        <v>0</v>
      </c>
      <c r="M615" s="15" t="s">
        <v>0</v>
      </c>
      <c r="N615" s="15" t="s">
        <v>0</v>
      </c>
      <c r="O615" s="15" t="s">
        <v>0</v>
      </c>
      <c r="P615" s="15" t="s">
        <v>0</v>
      </c>
      <c r="Q615" s="15" t="s">
        <v>0</v>
      </c>
      <c r="R615" s="15" t="s">
        <v>0</v>
      </c>
      <c r="S615" s="10" t="s">
        <v>1</v>
      </c>
      <c r="T615" s="10" t="s">
        <v>32</v>
      </c>
      <c r="U615" s="5" t="str">
        <f t="shared" si="244"/>
        <v>Propriedade destinada a dimensionar: é.t.f</v>
      </c>
      <c r="V615" s="5" t="str">
        <f t="shared" si="245"/>
        <v>Dado para dimensionar:  t.f  Deve ser formatado como (xsd:double)</v>
      </c>
      <c r="W615" s="5" t="s">
        <v>5463</v>
      </c>
      <c r="X615" s="24" t="str">
        <f t="shared" si="246"/>
        <v>dimen.161</v>
      </c>
      <c r="Y615" s="24" t="str">
        <f t="shared" si="247"/>
        <v>Ação de dimensionar</v>
      </c>
      <c r="Z615" s="47" t="s">
        <v>1670</v>
      </c>
      <c r="AA615" s="25" t="str">
        <f t="shared" si="262"/>
        <v>null</v>
      </c>
      <c r="AB615" s="26" t="s">
        <v>0</v>
      </c>
      <c r="AC615" s="25" t="str">
        <f t="shared" si="263"/>
        <v>null</v>
      </c>
      <c r="AD615" s="26" t="s">
        <v>0</v>
      </c>
      <c r="AE615" s="25" t="str">
        <f t="shared" si="243"/>
        <v>null</v>
      </c>
      <c r="AF615" s="26" t="s">
        <v>0</v>
      </c>
      <c r="AG615" s="47" t="s">
        <v>3737</v>
      </c>
    </row>
    <row r="616" spans="1:33" ht="6.9" customHeight="1" x14ac:dyDescent="0.4">
      <c r="A616" s="4">
        <f>ROW()</f>
        <v>616</v>
      </c>
      <c r="B616" s="9" t="s">
        <v>27</v>
      </c>
      <c r="C616" s="55" t="str">
        <f t="shared" si="261"/>
        <v>p.dimensionar</v>
      </c>
      <c r="D616" s="6" t="str">
        <f t="shared" si="264"/>
        <v>é.t.w</v>
      </c>
      <c r="E616" s="8" t="s">
        <v>28</v>
      </c>
      <c r="F616" s="42" t="str">
        <f t="shared" si="240"/>
        <v>d.dimensionar</v>
      </c>
      <c r="G616" s="17" t="s">
        <v>1247</v>
      </c>
      <c r="H616" s="42" t="s">
        <v>36</v>
      </c>
      <c r="I616" s="16" t="str">
        <f t="shared" si="273"/>
        <v>null</v>
      </c>
      <c r="J616" s="15" t="s">
        <v>0</v>
      </c>
      <c r="K616" s="15" t="s">
        <v>0</v>
      </c>
      <c r="L616" s="15" t="s">
        <v>0</v>
      </c>
      <c r="M616" s="15" t="s">
        <v>0</v>
      </c>
      <c r="N616" s="15" t="s">
        <v>0</v>
      </c>
      <c r="O616" s="15" t="s">
        <v>0</v>
      </c>
      <c r="P616" s="15" t="s">
        <v>0</v>
      </c>
      <c r="Q616" s="15" t="s">
        <v>0</v>
      </c>
      <c r="R616" s="15" t="s">
        <v>0</v>
      </c>
      <c r="S616" s="10" t="s">
        <v>1</v>
      </c>
      <c r="T616" s="10" t="s">
        <v>32</v>
      </c>
      <c r="U616" s="5" t="str">
        <f t="shared" si="244"/>
        <v>Propriedade destinada a dimensionar: é.t.w</v>
      </c>
      <c r="V616" s="5" t="str">
        <f t="shared" si="245"/>
        <v>Dado para dimensionar:  t.w  Deve ser formatado como (xsd:double)</v>
      </c>
      <c r="W616" s="5" t="s">
        <v>5464</v>
      </c>
      <c r="X616" s="24" t="str">
        <f t="shared" si="246"/>
        <v>dimen.162</v>
      </c>
      <c r="Y616" s="24" t="str">
        <f t="shared" si="247"/>
        <v>Ação de dimensionar</v>
      </c>
      <c r="Z616" s="47" t="s">
        <v>1669</v>
      </c>
      <c r="AA616" s="25" t="str">
        <f t="shared" si="262"/>
        <v>null</v>
      </c>
      <c r="AB616" s="26" t="s">
        <v>0</v>
      </c>
      <c r="AC616" s="25" t="str">
        <f t="shared" si="263"/>
        <v>null</v>
      </c>
      <c r="AD616" s="26" t="s">
        <v>0</v>
      </c>
      <c r="AE616" s="25" t="str">
        <f t="shared" si="243"/>
        <v>null</v>
      </c>
      <c r="AF616" s="26" t="s">
        <v>0</v>
      </c>
      <c r="AG616" s="47" t="s">
        <v>3738</v>
      </c>
    </row>
    <row r="617" spans="1:33" ht="6.9" customHeight="1" x14ac:dyDescent="0.4">
      <c r="A617" s="4">
        <f>ROW()</f>
        <v>617</v>
      </c>
      <c r="B617" s="9" t="s">
        <v>27</v>
      </c>
      <c r="C617" s="55" t="str">
        <f t="shared" si="261"/>
        <v>p.dimensionar</v>
      </c>
      <c r="D617" s="6" t="str">
        <f t="shared" si="264"/>
        <v>é.vão.livre.máximo</v>
      </c>
      <c r="E617" s="8" t="s">
        <v>28</v>
      </c>
      <c r="F617" s="42" t="str">
        <f t="shared" si="240"/>
        <v>d.dimensionar</v>
      </c>
      <c r="G617" s="43" t="s">
        <v>3444</v>
      </c>
      <c r="H617" s="42" t="s">
        <v>36</v>
      </c>
      <c r="I617" s="16" t="str">
        <f t="shared" si="273"/>
        <v>null</v>
      </c>
      <c r="J617" s="15" t="s">
        <v>0</v>
      </c>
      <c r="K617" s="15" t="s">
        <v>0</v>
      </c>
      <c r="L617" s="15" t="s">
        <v>0</v>
      </c>
      <c r="M617" s="15" t="s">
        <v>0</v>
      </c>
      <c r="N617" s="15" t="s">
        <v>0</v>
      </c>
      <c r="O617" s="15" t="s">
        <v>0</v>
      </c>
      <c r="P617" s="15" t="s">
        <v>0</v>
      </c>
      <c r="Q617" s="15" t="s">
        <v>0</v>
      </c>
      <c r="R617" s="15" t="s">
        <v>0</v>
      </c>
      <c r="S617" s="10" t="s">
        <v>1</v>
      </c>
      <c r="T617" s="10" t="s">
        <v>32</v>
      </c>
      <c r="U617" s="5" t="str">
        <f t="shared" si="244"/>
        <v>Propriedade destinada a dimensionar: é.vão.livre.máximo</v>
      </c>
      <c r="V617" s="5" t="str">
        <f t="shared" si="245"/>
        <v>Dado para dimensionar:  vão.livre.máximo  Deve ser formatado como (xsd:double)</v>
      </c>
      <c r="W617" s="5" t="s">
        <v>5465</v>
      </c>
      <c r="X617" s="24" t="str">
        <f t="shared" si="246"/>
        <v>dimen.163</v>
      </c>
      <c r="Y617" s="24" t="str">
        <f t="shared" si="247"/>
        <v>Ação de dimensionar</v>
      </c>
      <c r="Z617" s="47" t="s">
        <v>3655</v>
      </c>
      <c r="AA617" s="25" t="str">
        <f t="shared" si="262"/>
        <v>null</v>
      </c>
      <c r="AB617" s="26" t="s">
        <v>0</v>
      </c>
      <c r="AC617" s="25" t="str">
        <f t="shared" si="263"/>
        <v>null</v>
      </c>
      <c r="AD617" s="26" t="s">
        <v>0</v>
      </c>
      <c r="AE617" s="25" t="str">
        <f t="shared" si="243"/>
        <v>null</v>
      </c>
      <c r="AF617" s="26" t="s">
        <v>0</v>
      </c>
      <c r="AG617" s="47" t="s">
        <v>3739</v>
      </c>
    </row>
    <row r="618" spans="1:33" ht="6.9" customHeight="1" x14ac:dyDescent="0.4">
      <c r="A618" s="4">
        <f>ROW()</f>
        <v>618</v>
      </c>
      <c r="B618" s="9" t="s">
        <v>27</v>
      </c>
      <c r="C618" s="55" t="str">
        <f t="shared" si="261"/>
        <v>p.dimensionar</v>
      </c>
      <c r="D618" s="6" t="str">
        <f t="shared" si="264"/>
        <v>é.volume</v>
      </c>
      <c r="E618" s="8" t="s">
        <v>28</v>
      </c>
      <c r="F618" s="42" t="str">
        <f t="shared" si="240"/>
        <v>d.dimensionar</v>
      </c>
      <c r="G618" s="17" t="s">
        <v>145</v>
      </c>
      <c r="H618" s="42" t="s">
        <v>36</v>
      </c>
      <c r="I618" s="16" t="str">
        <f t="shared" si="273"/>
        <v>Functional</v>
      </c>
      <c r="J618" s="15" t="s">
        <v>29</v>
      </c>
      <c r="K618" s="15" t="s">
        <v>0</v>
      </c>
      <c r="L618" s="15" t="s">
        <v>0</v>
      </c>
      <c r="M618" s="15" t="s">
        <v>0</v>
      </c>
      <c r="N618" s="15" t="s">
        <v>0</v>
      </c>
      <c r="O618" s="15" t="s">
        <v>0</v>
      </c>
      <c r="P618" s="15" t="s">
        <v>0</v>
      </c>
      <c r="Q618" s="15" t="s">
        <v>0</v>
      </c>
      <c r="R618" s="15" t="s">
        <v>0</v>
      </c>
      <c r="S618" s="10" t="s">
        <v>1</v>
      </c>
      <c r="T618" s="10" t="s">
        <v>32</v>
      </c>
      <c r="U618" s="5" t="str">
        <f t="shared" si="244"/>
        <v>Propriedade destinada a dimensionar: é.volume</v>
      </c>
      <c r="V618" s="5" t="str">
        <f t="shared" si="245"/>
        <v>Dado para dimensionar:  volume  Deve ser formatado como (xsd:double)</v>
      </c>
      <c r="W618" s="5" t="s">
        <v>5466</v>
      </c>
      <c r="X618" s="24" t="str">
        <f t="shared" si="246"/>
        <v>dimen.164</v>
      </c>
      <c r="Y618" s="24" t="str">
        <f t="shared" si="247"/>
        <v>Ação de dimensionar</v>
      </c>
      <c r="Z618" s="47" t="s">
        <v>1663</v>
      </c>
      <c r="AA618" s="25" t="str">
        <f t="shared" si="262"/>
        <v>null</v>
      </c>
      <c r="AB618" s="26" t="s">
        <v>0</v>
      </c>
      <c r="AC618" s="25" t="str">
        <f t="shared" si="263"/>
        <v>null</v>
      </c>
      <c r="AD618" s="26" t="s">
        <v>0</v>
      </c>
      <c r="AE618" s="25" t="str">
        <f t="shared" si="243"/>
        <v>propriedade</v>
      </c>
      <c r="AF618" s="26" t="s">
        <v>2480</v>
      </c>
      <c r="AG618" s="47" t="s">
        <v>3740</v>
      </c>
    </row>
    <row r="619" spans="1:33" ht="6.9" customHeight="1" x14ac:dyDescent="0.4">
      <c r="A619" s="4">
        <f>ROW()</f>
        <v>619</v>
      </c>
      <c r="B619" s="9" t="s">
        <v>27</v>
      </c>
      <c r="C619" s="54" t="str">
        <f t="shared" si="261"/>
        <v>p.direcionar</v>
      </c>
      <c r="D619" s="6" t="str">
        <f t="shared" si="264"/>
        <v>é.direção.vetorial</v>
      </c>
      <c r="E619" s="8" t="s">
        <v>28</v>
      </c>
      <c r="F619" s="50" t="s">
        <v>648</v>
      </c>
      <c r="G619" s="17" t="s">
        <v>4137</v>
      </c>
      <c r="H619" s="41" t="s">
        <v>2121</v>
      </c>
      <c r="I619" s="16" t="str">
        <f>J619</f>
        <v>null</v>
      </c>
      <c r="J619" s="15" t="s">
        <v>0</v>
      </c>
      <c r="K619" s="15" t="s">
        <v>0</v>
      </c>
      <c r="L619" s="15" t="s">
        <v>0</v>
      </c>
      <c r="M619" s="15" t="s">
        <v>0</v>
      </c>
      <c r="N619" s="15" t="s">
        <v>0</v>
      </c>
      <c r="O619" s="15" t="s">
        <v>0</v>
      </c>
      <c r="P619" s="15" t="s">
        <v>0</v>
      </c>
      <c r="Q619" s="15" t="s">
        <v>0</v>
      </c>
      <c r="R619" s="15" t="s">
        <v>4147</v>
      </c>
      <c r="S619" s="10" t="s">
        <v>1</v>
      </c>
      <c r="T619" s="10" t="s">
        <v>32</v>
      </c>
      <c r="U619" s="5" t="str">
        <f t="shared" si="244"/>
        <v>Propriedade destinada a direcionar: é.direção.vetorial</v>
      </c>
      <c r="V619" s="5" t="str">
        <f t="shared" si="245"/>
        <v>Dado para direcionar:  direção.vetorial  Deve ser formatado como (rdfs:Literal  or  xsd:string)</v>
      </c>
      <c r="W619" s="5" t="s">
        <v>5467</v>
      </c>
      <c r="X619" s="24" t="str">
        <f t="shared" si="246"/>
        <v>direc.100</v>
      </c>
      <c r="Y619" s="24" t="str">
        <f t="shared" si="247"/>
        <v>Ação de direcionar</v>
      </c>
      <c r="Z619" s="47" t="s">
        <v>4140</v>
      </c>
      <c r="AA619" s="25" t="str">
        <f>IF(AB619="null", "null", "categoria.revit")</f>
        <v>null</v>
      </c>
      <c r="AB619" s="26" t="s">
        <v>0</v>
      </c>
      <c r="AC619" s="25" t="str">
        <f>IF(AD619="null", "null", "classe.ifc")</f>
        <v>null</v>
      </c>
      <c r="AD619" s="26" t="s">
        <v>0</v>
      </c>
      <c r="AE619" s="25" t="str">
        <f t="shared" si="243"/>
        <v>null</v>
      </c>
      <c r="AF619" s="26" t="s">
        <v>0</v>
      </c>
      <c r="AG619" s="47" t="s">
        <v>4143</v>
      </c>
    </row>
    <row r="620" spans="1:33" ht="6.9" customHeight="1" x14ac:dyDescent="0.4">
      <c r="A620" s="4">
        <f>ROW()</f>
        <v>620</v>
      </c>
      <c r="B620" s="9" t="s">
        <v>27</v>
      </c>
      <c r="C620" s="55" t="str">
        <f>SUBSTITUTE(F620,"d.","p.")</f>
        <v>p.direcionar</v>
      </c>
      <c r="D620" s="6" t="str">
        <f t="shared" si="264"/>
        <v>é.para.baixo</v>
      </c>
      <c r="E620" s="8" t="s">
        <v>28</v>
      </c>
      <c r="F620" s="42" t="str">
        <f>F619</f>
        <v>d.direcionar</v>
      </c>
      <c r="G620" s="17" t="s">
        <v>4136</v>
      </c>
      <c r="H620" s="41" t="s">
        <v>2121</v>
      </c>
      <c r="I620" s="16" t="str">
        <f>J620</f>
        <v>null</v>
      </c>
      <c r="J620" s="15" t="s">
        <v>0</v>
      </c>
      <c r="K620" s="15" t="s">
        <v>0</v>
      </c>
      <c r="L620" s="15" t="s">
        <v>0</v>
      </c>
      <c r="M620" s="15" t="s">
        <v>0</v>
      </c>
      <c r="N620" s="15" t="s">
        <v>0</v>
      </c>
      <c r="O620" s="15" t="s">
        <v>0</v>
      </c>
      <c r="P620" s="15" t="s">
        <v>0</v>
      </c>
      <c r="Q620" s="15" t="s">
        <v>4144</v>
      </c>
      <c r="R620" s="15" t="s">
        <v>0</v>
      </c>
      <c r="S620" s="10" t="s">
        <v>1</v>
      </c>
      <c r="T620" s="10" t="s">
        <v>32</v>
      </c>
      <c r="U620" s="5" t="str">
        <f t="shared" si="244"/>
        <v>Propriedade destinada a direcionar: é.para.baixo</v>
      </c>
      <c r="V620" s="5" t="str">
        <f t="shared" si="245"/>
        <v>Dado para direcionar:  para.baixo  Deve ser formatado como (rdfs:Literal  or  xsd:string)</v>
      </c>
      <c r="W620" s="5" t="s">
        <v>5468</v>
      </c>
      <c r="X620" s="24" t="str">
        <f t="shared" si="246"/>
        <v>direc.101</v>
      </c>
      <c r="Y620" s="24" t="str">
        <f t="shared" si="247"/>
        <v>Ação de direcionar</v>
      </c>
      <c r="Z620" s="47" t="s">
        <v>4139</v>
      </c>
      <c r="AA620" s="25" t="str">
        <f>IF(AB620="null", "null", "categoria.revit")</f>
        <v>null</v>
      </c>
      <c r="AB620" s="26" t="s">
        <v>0</v>
      </c>
      <c r="AC620" s="25" t="str">
        <f>IF(AD620="null", "null", "classe.ifc")</f>
        <v>null</v>
      </c>
      <c r="AD620" s="26" t="s">
        <v>0</v>
      </c>
      <c r="AE620" s="25" t="str">
        <f t="shared" si="243"/>
        <v>null</v>
      </c>
      <c r="AF620" s="26" t="s">
        <v>0</v>
      </c>
      <c r="AG620" s="47" t="s">
        <v>4142</v>
      </c>
    </row>
    <row r="621" spans="1:33" ht="6.9" customHeight="1" x14ac:dyDescent="0.4">
      <c r="A621" s="4">
        <f>ROW()</f>
        <v>621</v>
      </c>
      <c r="B621" s="9" t="s">
        <v>27</v>
      </c>
      <c r="C621" s="55" t="str">
        <f t="shared" ref="C621:C625" si="274">SUBSTITUTE(F621,"d.","p.")</f>
        <v>p.direcionar</v>
      </c>
      <c r="D621" s="6" t="str">
        <f t="shared" si="264"/>
        <v>é.para.cima</v>
      </c>
      <c r="E621" s="8" t="s">
        <v>28</v>
      </c>
      <c r="F621" s="42" t="str">
        <f t="shared" ref="F621:F625" si="275">F620</f>
        <v>d.direcionar</v>
      </c>
      <c r="G621" s="17" t="s">
        <v>4135</v>
      </c>
      <c r="H621" s="41" t="s">
        <v>2121</v>
      </c>
      <c r="I621" s="16" t="str">
        <f>J621</f>
        <v>null</v>
      </c>
      <c r="J621" s="15" t="s">
        <v>0</v>
      </c>
      <c r="K621" s="15" t="s">
        <v>0</v>
      </c>
      <c r="L621" s="15" t="s">
        <v>0</v>
      </c>
      <c r="M621" s="15" t="s">
        <v>0</v>
      </c>
      <c r="N621" s="15" t="s">
        <v>0</v>
      </c>
      <c r="O621" s="15" t="s">
        <v>0</v>
      </c>
      <c r="P621" s="15" t="s">
        <v>0</v>
      </c>
      <c r="Q621" s="15" t="s">
        <v>4145</v>
      </c>
      <c r="R621" s="15" t="s">
        <v>0</v>
      </c>
      <c r="S621" s="10" t="s">
        <v>1</v>
      </c>
      <c r="T621" s="10" t="s">
        <v>32</v>
      </c>
      <c r="U621" s="5" t="str">
        <f t="shared" si="244"/>
        <v>Propriedade destinada a direcionar: é.para.cima</v>
      </c>
      <c r="V621" s="5" t="str">
        <f t="shared" si="245"/>
        <v>Dado para direcionar:  para.cima  Deve ser formatado como (rdfs:Literal  or  xsd:string)</v>
      </c>
      <c r="W621" s="5" t="s">
        <v>5469</v>
      </c>
      <c r="X621" s="24" t="str">
        <f t="shared" si="246"/>
        <v>direc.102</v>
      </c>
      <c r="Y621" s="24" t="str">
        <f t="shared" si="247"/>
        <v>Ação de direcionar</v>
      </c>
      <c r="Z621" s="47" t="s">
        <v>4138</v>
      </c>
      <c r="AA621" s="25" t="str">
        <f>IF(AB621="null", "null", "categoria.revit")</f>
        <v>null</v>
      </c>
      <c r="AB621" s="26" t="s">
        <v>0</v>
      </c>
      <c r="AC621" s="25" t="str">
        <f>IF(AD621="null", "null", "classe.ifc")</f>
        <v>null</v>
      </c>
      <c r="AD621" s="26" t="s">
        <v>0</v>
      </c>
      <c r="AE621" s="25" t="str">
        <f t="shared" si="243"/>
        <v>null</v>
      </c>
      <c r="AF621" s="26" t="s">
        <v>0</v>
      </c>
      <c r="AG621" s="47" t="s">
        <v>4141</v>
      </c>
    </row>
    <row r="622" spans="1:33" ht="6.9" customHeight="1" x14ac:dyDescent="0.4">
      <c r="A622" s="4">
        <f>ROW()</f>
        <v>622</v>
      </c>
      <c r="B622" s="9" t="s">
        <v>27</v>
      </c>
      <c r="C622" s="55" t="str">
        <f t="shared" si="274"/>
        <v>p.direcionar</v>
      </c>
      <c r="D622" s="6" t="str">
        <f t="shared" si="264"/>
        <v>é.para.dentro</v>
      </c>
      <c r="E622" s="8" t="s">
        <v>28</v>
      </c>
      <c r="F622" s="42" t="str">
        <f t="shared" si="275"/>
        <v>d.direcionar</v>
      </c>
      <c r="G622" s="17" t="s">
        <v>649</v>
      </c>
      <c r="H622" s="41" t="s">
        <v>2121</v>
      </c>
      <c r="I622" s="16" t="str">
        <f t="shared" ref="I622" si="276">J622</f>
        <v>null</v>
      </c>
      <c r="J622" s="15" t="s">
        <v>0</v>
      </c>
      <c r="K622" s="15" t="s">
        <v>0</v>
      </c>
      <c r="L622" s="15" t="s">
        <v>0</v>
      </c>
      <c r="M622" s="15" t="s">
        <v>0</v>
      </c>
      <c r="N622" s="15" t="s">
        <v>0</v>
      </c>
      <c r="O622" s="15" t="s">
        <v>0</v>
      </c>
      <c r="P622" s="15" t="s">
        <v>0</v>
      </c>
      <c r="Q622" s="15" t="s">
        <v>4382</v>
      </c>
      <c r="R622" s="15" t="s">
        <v>0</v>
      </c>
      <c r="S622" s="10" t="s">
        <v>1</v>
      </c>
      <c r="T622" s="10" t="s">
        <v>32</v>
      </c>
      <c r="U622" s="5" t="str">
        <f t="shared" si="244"/>
        <v>Propriedade destinada a direcionar: é.para.dentro</v>
      </c>
      <c r="V622" s="5" t="str">
        <f t="shared" si="245"/>
        <v>Dado para direcionar:  para.dentro  Deve ser formatado como (rdfs:Literal  or  xsd:string)</v>
      </c>
      <c r="W622" s="5" t="s">
        <v>5470</v>
      </c>
      <c r="X622" s="24" t="str">
        <f t="shared" si="246"/>
        <v>direc.103</v>
      </c>
      <c r="Y622" s="24" t="str">
        <f t="shared" si="247"/>
        <v>Ação de direcionar</v>
      </c>
      <c r="Z622" s="47" t="s">
        <v>1401</v>
      </c>
      <c r="AA622" s="25" t="str">
        <f t="shared" ref="AA622" si="277">IF(AB622="null", "null", "categoria.revit")</f>
        <v>null</v>
      </c>
      <c r="AB622" s="26" t="s">
        <v>0</v>
      </c>
      <c r="AC622" s="25" t="str">
        <f t="shared" ref="AC622" si="278">IF(AD622="null", "null", "classe.ifc")</f>
        <v>null</v>
      </c>
      <c r="AD622" s="26" t="s">
        <v>0</v>
      </c>
      <c r="AE622" s="25" t="str">
        <f t="shared" si="243"/>
        <v>null</v>
      </c>
      <c r="AF622" s="26" t="s">
        <v>0</v>
      </c>
      <c r="AG622" s="47" t="s">
        <v>2739</v>
      </c>
    </row>
    <row r="623" spans="1:33" ht="6.9" customHeight="1" x14ac:dyDescent="0.4">
      <c r="A623" s="4">
        <f>ROW()</f>
        <v>623</v>
      </c>
      <c r="B623" s="9" t="s">
        <v>27</v>
      </c>
      <c r="C623" s="55" t="str">
        <f t="shared" si="274"/>
        <v>p.direcionar</v>
      </c>
      <c r="D623" s="6" t="str">
        <f t="shared" si="264"/>
        <v>é.para.direita</v>
      </c>
      <c r="E623" s="8" t="s">
        <v>28</v>
      </c>
      <c r="F623" s="42" t="str">
        <f t="shared" si="275"/>
        <v>d.direcionar</v>
      </c>
      <c r="G623" s="17" t="s">
        <v>651</v>
      </c>
      <c r="H623" s="41" t="s">
        <v>2121</v>
      </c>
      <c r="I623" s="16" t="str">
        <f>J623</f>
        <v>null</v>
      </c>
      <c r="J623" s="15" t="s">
        <v>0</v>
      </c>
      <c r="K623" s="15" t="s">
        <v>0</v>
      </c>
      <c r="L623" s="15" t="s">
        <v>0</v>
      </c>
      <c r="M623" s="15" t="s">
        <v>0</v>
      </c>
      <c r="N623" s="15" t="s">
        <v>0</v>
      </c>
      <c r="O623" s="15" t="s">
        <v>0</v>
      </c>
      <c r="P623" s="15" t="s">
        <v>0</v>
      </c>
      <c r="Q623" s="15" t="s">
        <v>4384</v>
      </c>
      <c r="R623" s="15" t="s">
        <v>0</v>
      </c>
      <c r="S623" s="10" t="s">
        <v>1</v>
      </c>
      <c r="T623" s="10" t="s">
        <v>32</v>
      </c>
      <c r="U623" s="5" t="str">
        <f t="shared" si="244"/>
        <v>Propriedade destinada a direcionar: é.para.direita</v>
      </c>
      <c r="V623" s="5" t="str">
        <f t="shared" si="245"/>
        <v>Dado para direcionar:  para.direita  Deve ser formatado como (rdfs:Literal  or  xsd:string)</v>
      </c>
      <c r="W623" s="5" t="s">
        <v>5471</v>
      </c>
      <c r="X623" s="24" t="str">
        <f t="shared" si="246"/>
        <v>direc.104</v>
      </c>
      <c r="Y623" s="24" t="str">
        <f t="shared" si="247"/>
        <v>Ação de direcionar</v>
      </c>
      <c r="Z623" s="47" t="s">
        <v>1403</v>
      </c>
      <c r="AA623" s="25" t="str">
        <f>IF(AB623="null", "null", "categoria.revit")</f>
        <v>null</v>
      </c>
      <c r="AB623" s="26" t="s">
        <v>0</v>
      </c>
      <c r="AC623" s="25" t="str">
        <f>IF(AD623="null", "null", "classe.ifc")</f>
        <v>null</v>
      </c>
      <c r="AD623" s="26" t="s">
        <v>0</v>
      </c>
      <c r="AE623" s="25" t="str">
        <f t="shared" si="243"/>
        <v>null</v>
      </c>
      <c r="AF623" s="26" t="s">
        <v>0</v>
      </c>
      <c r="AG623" s="47" t="s">
        <v>2741</v>
      </c>
    </row>
    <row r="624" spans="1:33" ht="6.9" customHeight="1" x14ac:dyDescent="0.4">
      <c r="A624" s="4">
        <f>ROW()</f>
        <v>624</v>
      </c>
      <c r="B624" s="9" t="s">
        <v>27</v>
      </c>
      <c r="C624" s="55" t="str">
        <f t="shared" si="274"/>
        <v>p.direcionar</v>
      </c>
      <c r="D624" s="6" t="str">
        <f t="shared" si="264"/>
        <v>é.para.esquerda</v>
      </c>
      <c r="E624" s="8" t="s">
        <v>28</v>
      </c>
      <c r="F624" s="42" t="str">
        <f t="shared" si="275"/>
        <v>d.direcionar</v>
      </c>
      <c r="G624" s="17" t="s">
        <v>652</v>
      </c>
      <c r="H624" s="41" t="s">
        <v>2121</v>
      </c>
      <c r="I624" s="16" t="str">
        <f>J624</f>
        <v>null</v>
      </c>
      <c r="J624" s="15" t="s">
        <v>0</v>
      </c>
      <c r="K624" s="15" t="s">
        <v>0</v>
      </c>
      <c r="L624" s="15" t="s">
        <v>0</v>
      </c>
      <c r="M624" s="15" t="s">
        <v>0</v>
      </c>
      <c r="N624" s="15" t="s">
        <v>0</v>
      </c>
      <c r="O624" s="15" t="s">
        <v>0</v>
      </c>
      <c r="P624" s="15" t="s">
        <v>0</v>
      </c>
      <c r="Q624" s="15" t="s">
        <v>4383</v>
      </c>
      <c r="R624" s="15" t="s">
        <v>0</v>
      </c>
      <c r="S624" s="10" t="s">
        <v>1</v>
      </c>
      <c r="T624" s="10" t="s">
        <v>32</v>
      </c>
      <c r="U624" s="5" t="str">
        <f t="shared" si="244"/>
        <v>Propriedade destinada a direcionar: é.para.esquerda</v>
      </c>
      <c r="V624" s="5" t="str">
        <f t="shared" si="245"/>
        <v>Dado para direcionar:  para.esquerda  Deve ser formatado como (rdfs:Literal  or  xsd:string)</v>
      </c>
      <c r="W624" s="5" t="s">
        <v>5472</v>
      </c>
      <c r="X624" s="24" t="str">
        <f t="shared" si="246"/>
        <v>direc.105</v>
      </c>
      <c r="Y624" s="24" t="str">
        <f t="shared" si="247"/>
        <v>Ação de direcionar</v>
      </c>
      <c r="Z624" s="47" t="s">
        <v>1404</v>
      </c>
      <c r="AA624" s="25" t="str">
        <f>IF(AB624="null", "null", "categoria.revit")</f>
        <v>null</v>
      </c>
      <c r="AB624" s="26" t="s">
        <v>0</v>
      </c>
      <c r="AC624" s="25" t="str">
        <f>IF(AD624="null", "null", "classe.ifc")</f>
        <v>null</v>
      </c>
      <c r="AD624" s="26" t="s">
        <v>0</v>
      </c>
      <c r="AE624" s="25" t="str">
        <f t="shared" si="243"/>
        <v>null</v>
      </c>
      <c r="AF624" s="26" t="s">
        <v>0</v>
      </c>
      <c r="AG624" s="47" t="s">
        <v>2742</v>
      </c>
    </row>
    <row r="625" spans="1:33" ht="6.9" customHeight="1" x14ac:dyDescent="0.4">
      <c r="A625" s="4">
        <f>ROW()</f>
        <v>625</v>
      </c>
      <c r="B625" s="9" t="s">
        <v>27</v>
      </c>
      <c r="C625" s="55" t="str">
        <f t="shared" si="274"/>
        <v>p.direcionar</v>
      </c>
      <c r="D625" s="6" t="str">
        <f t="shared" si="264"/>
        <v>é.para.fora</v>
      </c>
      <c r="E625" s="8" t="s">
        <v>28</v>
      </c>
      <c r="F625" s="42" t="str">
        <f t="shared" si="275"/>
        <v>d.direcionar</v>
      </c>
      <c r="G625" s="17" t="s">
        <v>650</v>
      </c>
      <c r="H625" s="41" t="s">
        <v>2121</v>
      </c>
      <c r="I625" s="16" t="str">
        <f>J625</f>
        <v>null</v>
      </c>
      <c r="J625" s="15" t="s">
        <v>0</v>
      </c>
      <c r="K625" s="15" t="s">
        <v>0</v>
      </c>
      <c r="L625" s="15" t="s">
        <v>0</v>
      </c>
      <c r="M625" s="15" t="s">
        <v>0</v>
      </c>
      <c r="N625" s="15" t="s">
        <v>0</v>
      </c>
      <c r="O625" s="15" t="s">
        <v>0</v>
      </c>
      <c r="P625" s="15" t="s">
        <v>0</v>
      </c>
      <c r="Q625" s="15" t="s">
        <v>4381</v>
      </c>
      <c r="R625" s="15" t="s">
        <v>0</v>
      </c>
      <c r="S625" s="10" t="s">
        <v>1</v>
      </c>
      <c r="T625" s="10" t="s">
        <v>32</v>
      </c>
      <c r="U625" s="5" t="str">
        <f t="shared" si="244"/>
        <v>Propriedade destinada a direcionar: é.para.fora</v>
      </c>
      <c r="V625" s="5" t="str">
        <f t="shared" si="245"/>
        <v>Dado para direcionar:  para.fora  Deve ser formatado como (rdfs:Literal  or  xsd:string)</v>
      </c>
      <c r="W625" s="5" t="s">
        <v>5473</v>
      </c>
      <c r="X625" s="24" t="str">
        <f t="shared" si="246"/>
        <v>direc.106</v>
      </c>
      <c r="Y625" s="24" t="str">
        <f t="shared" si="247"/>
        <v>Ação de direcionar</v>
      </c>
      <c r="Z625" s="47" t="s">
        <v>1402</v>
      </c>
      <c r="AA625" s="25" t="str">
        <f>IF(AB625="null", "null", "categoria.revit")</f>
        <v>null</v>
      </c>
      <c r="AB625" s="26" t="s">
        <v>0</v>
      </c>
      <c r="AC625" s="25" t="str">
        <f>IF(AD625="null", "null", "classe.ifc")</f>
        <v>null</v>
      </c>
      <c r="AD625" s="26" t="s">
        <v>0</v>
      </c>
      <c r="AE625" s="25" t="str">
        <f t="shared" si="243"/>
        <v>null</v>
      </c>
      <c r="AF625" s="26" t="s">
        <v>0</v>
      </c>
      <c r="AG625" s="47" t="s">
        <v>2740</v>
      </c>
    </row>
    <row r="626" spans="1:33" ht="6.9" customHeight="1" x14ac:dyDescent="0.4">
      <c r="A626" s="4">
        <f>ROW()</f>
        <v>626</v>
      </c>
      <c r="B626" s="9" t="s">
        <v>27</v>
      </c>
      <c r="C626" s="54" t="str">
        <f t="shared" si="235"/>
        <v>p.distribuir</v>
      </c>
      <c r="D626" s="6" t="str">
        <f t="shared" si="264"/>
        <v>é.conduíte</v>
      </c>
      <c r="E626" s="8" t="s">
        <v>28</v>
      </c>
      <c r="F626" s="51" t="s">
        <v>653</v>
      </c>
      <c r="G626" s="17" t="s">
        <v>6946</v>
      </c>
      <c r="H626" s="41" t="s">
        <v>2121</v>
      </c>
      <c r="I626" s="16" t="str">
        <f t="shared" si="273"/>
        <v>null</v>
      </c>
      <c r="J626" s="15" t="s">
        <v>0</v>
      </c>
      <c r="K626" s="15" t="s">
        <v>0</v>
      </c>
      <c r="L626" s="15" t="s">
        <v>0</v>
      </c>
      <c r="M626" s="15" t="s">
        <v>0</v>
      </c>
      <c r="N626" s="15" t="s">
        <v>0</v>
      </c>
      <c r="O626" s="15" t="s">
        <v>0</v>
      </c>
      <c r="P626" s="15" t="s">
        <v>0</v>
      </c>
      <c r="Q626" s="15" t="s">
        <v>0</v>
      </c>
      <c r="R626" s="15" t="s">
        <v>0</v>
      </c>
      <c r="S626" s="10" t="s">
        <v>1</v>
      </c>
      <c r="T626" s="10" t="s">
        <v>32</v>
      </c>
      <c r="U626" s="5" t="str">
        <f t="shared" si="244"/>
        <v>Propriedade destinada a distribuir: é.conduíte</v>
      </c>
      <c r="V626" s="5" t="str">
        <f t="shared" si="245"/>
        <v>Dado para distribuir:  conduíte  Deve ser formatado como (rdfs:Literal  or  xsd:string)</v>
      </c>
      <c r="W626" s="5" t="s">
        <v>5474</v>
      </c>
      <c r="X626" s="24" t="str">
        <f t="shared" si="246"/>
        <v>distr.100</v>
      </c>
      <c r="Y626" s="24" t="str">
        <f t="shared" si="247"/>
        <v>Ação de distribuir</v>
      </c>
      <c r="Z626" s="47" t="s">
        <v>1405</v>
      </c>
      <c r="AA626" s="25" t="str">
        <f t="shared" ref="AA626:AA687" si="279">IF(AB626="null", "null", "categoria.revit")</f>
        <v>null</v>
      </c>
      <c r="AB626" s="26" t="s">
        <v>0</v>
      </c>
      <c r="AC626" s="25" t="str">
        <f t="shared" ref="AC626:AC687" si="280">IF(AD626="null", "null", "classe.ifc")</f>
        <v>null</v>
      </c>
      <c r="AD626" s="26" t="s">
        <v>0</v>
      </c>
      <c r="AE626" s="25" t="str">
        <f t="shared" ref="AE626:AE690" si="281">IF(AF626="null", "null", "propriedade")</f>
        <v>null</v>
      </c>
      <c r="AF626" s="26" t="s">
        <v>0</v>
      </c>
      <c r="AG626" s="47" t="s">
        <v>4989</v>
      </c>
    </row>
    <row r="627" spans="1:33" ht="6.9" customHeight="1" x14ac:dyDescent="0.4">
      <c r="A627" s="4">
        <f>ROW()</f>
        <v>627</v>
      </c>
      <c r="B627" s="9" t="s">
        <v>27</v>
      </c>
      <c r="C627" s="55" t="str">
        <f t="shared" si="235"/>
        <v>p.distribuir</v>
      </c>
      <c r="D627" s="6" t="str">
        <f t="shared" si="264"/>
        <v>é.conexão.de.conduíte</v>
      </c>
      <c r="E627" s="8" t="s">
        <v>28</v>
      </c>
      <c r="F627" s="42" t="str">
        <f>F626</f>
        <v>d.distribuir</v>
      </c>
      <c r="G627" s="17" t="s">
        <v>6945</v>
      </c>
      <c r="H627" s="41" t="s">
        <v>2121</v>
      </c>
      <c r="I627" s="16" t="str">
        <f t="shared" si="273"/>
        <v>null</v>
      </c>
      <c r="J627" s="15" t="s">
        <v>0</v>
      </c>
      <c r="K627" s="15" t="s">
        <v>0</v>
      </c>
      <c r="L627" s="15" t="s">
        <v>0</v>
      </c>
      <c r="M627" s="15" t="s">
        <v>0</v>
      </c>
      <c r="N627" s="15" t="s">
        <v>0</v>
      </c>
      <c r="O627" s="15" t="s">
        <v>0</v>
      </c>
      <c r="P627" s="15" t="s">
        <v>0</v>
      </c>
      <c r="Q627" s="15" t="s">
        <v>0</v>
      </c>
      <c r="R627" s="15" t="s">
        <v>0</v>
      </c>
      <c r="S627" s="10" t="s">
        <v>1</v>
      </c>
      <c r="T627" s="10" t="s">
        <v>32</v>
      </c>
      <c r="U627" s="5" t="str">
        <f t="shared" si="244"/>
        <v>Propriedade destinada a distribuir: é.conexão.de.conduíte</v>
      </c>
      <c r="V627" s="5" t="str">
        <f t="shared" si="245"/>
        <v>Dado para distribuir:  conexão.de.conduíte  Deve ser formatado como (rdfs:Literal  or  xsd:string)</v>
      </c>
      <c r="W627" s="5" t="s">
        <v>5475</v>
      </c>
      <c r="X627" s="24" t="str">
        <f t="shared" si="246"/>
        <v>distr.101</v>
      </c>
      <c r="Y627" s="24" t="str">
        <f t="shared" si="247"/>
        <v>Ação de distribuir</v>
      </c>
      <c r="Z627" s="47" t="s">
        <v>1406</v>
      </c>
      <c r="AA627" s="25" t="str">
        <f t="shared" si="279"/>
        <v>null</v>
      </c>
      <c r="AB627" s="26" t="s">
        <v>0</v>
      </c>
      <c r="AC627" s="25" t="str">
        <f t="shared" si="280"/>
        <v>null</v>
      </c>
      <c r="AD627" s="26" t="s">
        <v>0</v>
      </c>
      <c r="AE627" s="25" t="str">
        <f t="shared" si="281"/>
        <v>null</v>
      </c>
      <c r="AF627" s="26" t="s">
        <v>0</v>
      </c>
      <c r="AG627" s="47" t="s">
        <v>4990</v>
      </c>
    </row>
    <row r="628" spans="1:33" ht="6.9" customHeight="1" x14ac:dyDescent="0.4">
      <c r="A628" s="4">
        <f>ROW()</f>
        <v>628</v>
      </c>
      <c r="B628" s="9" t="s">
        <v>27</v>
      </c>
      <c r="C628" s="55" t="str">
        <f t="shared" ref="C628" si="282">SUBSTITUTE(F628,"d.","p.")</f>
        <v>p.distribuir</v>
      </c>
      <c r="D628" s="6" t="str">
        <f t="shared" si="264"/>
        <v>é.eixo.de.conduíte</v>
      </c>
      <c r="E628" s="8" t="s">
        <v>28</v>
      </c>
      <c r="F628" s="42" t="str">
        <f t="shared" ref="F628:F632" si="283">F627</f>
        <v>d.distribuir</v>
      </c>
      <c r="G628" s="17" t="s">
        <v>6947</v>
      </c>
      <c r="H628" s="41" t="s">
        <v>2121</v>
      </c>
      <c r="I628" s="16" t="str">
        <f t="shared" ref="I628" si="284">J628</f>
        <v>null</v>
      </c>
      <c r="J628" s="15" t="s">
        <v>0</v>
      </c>
      <c r="K628" s="15" t="s">
        <v>0</v>
      </c>
      <c r="L628" s="15" t="s">
        <v>0</v>
      </c>
      <c r="M628" s="15" t="s">
        <v>0</v>
      </c>
      <c r="N628" s="15" t="s">
        <v>0</v>
      </c>
      <c r="O628" s="15" t="s">
        <v>0</v>
      </c>
      <c r="P628" s="15" t="s">
        <v>0</v>
      </c>
      <c r="Q628" s="15" t="s">
        <v>0</v>
      </c>
      <c r="R628" s="15" t="s">
        <v>0</v>
      </c>
      <c r="S628" s="10" t="s">
        <v>1</v>
      </c>
      <c r="T628" s="10" t="s">
        <v>32</v>
      </c>
      <c r="U628" s="5" t="str">
        <f t="shared" si="244"/>
        <v>Propriedade destinada a distribuir: é.eixo.de.conduíte</v>
      </c>
      <c r="V628" s="5" t="str">
        <f t="shared" si="245"/>
        <v>Dado para distribuir:  eixo.de.conduíte  Deve ser formatado como (rdfs:Literal  or  xsd:string)</v>
      </c>
      <c r="W628" s="5" t="s">
        <v>5497</v>
      </c>
      <c r="X628" s="24" t="str">
        <f t="shared" si="246"/>
        <v>distr.102</v>
      </c>
      <c r="Y628" s="24" t="str">
        <f t="shared" si="247"/>
        <v>Ação de distribuir</v>
      </c>
      <c r="Z628" s="47" t="s">
        <v>1421</v>
      </c>
      <c r="AA628" s="25" t="str">
        <f t="shared" ref="AA628" si="285">IF(AB628="null", "null", "categoria.revit")</f>
        <v>categoria.revit</v>
      </c>
      <c r="AB628" s="26" t="s">
        <v>3516</v>
      </c>
      <c r="AC628" s="25" t="str">
        <f t="shared" ref="AC628" si="286">IF(AD628="null", "null", "classe.ifc")</f>
        <v>classe.ifc</v>
      </c>
      <c r="AD628" s="26" t="s">
        <v>3468</v>
      </c>
      <c r="AE628" s="25" t="str">
        <f t="shared" si="281"/>
        <v>null</v>
      </c>
      <c r="AF628" s="26" t="s">
        <v>0</v>
      </c>
      <c r="AG628" s="47" t="s">
        <v>2743</v>
      </c>
    </row>
    <row r="629" spans="1:33" ht="6.9" customHeight="1" x14ac:dyDescent="0.4">
      <c r="A629" s="4">
        <f>ROW()</f>
        <v>629</v>
      </c>
      <c r="B629" s="9" t="s">
        <v>27</v>
      </c>
      <c r="C629" s="55" t="str">
        <f t="shared" si="235"/>
        <v>p.distribuir</v>
      </c>
      <c r="D629" s="6" t="str">
        <f t="shared" si="264"/>
        <v>é.calha</v>
      </c>
      <c r="E629" s="8" t="s">
        <v>28</v>
      </c>
      <c r="F629" s="42" t="str">
        <f t="shared" si="283"/>
        <v>d.distribuir</v>
      </c>
      <c r="G629" s="17" t="s">
        <v>244</v>
      </c>
      <c r="H629" s="41" t="s">
        <v>2121</v>
      </c>
      <c r="I629" s="16" t="str">
        <f t="shared" si="273"/>
        <v>null</v>
      </c>
      <c r="J629" s="15" t="s">
        <v>0</v>
      </c>
      <c r="K629" s="15" t="s">
        <v>0</v>
      </c>
      <c r="L629" s="15" t="s">
        <v>0</v>
      </c>
      <c r="M629" s="15" t="s">
        <v>0</v>
      </c>
      <c r="N629" s="15" t="s">
        <v>0</v>
      </c>
      <c r="O629" s="15" t="s">
        <v>0</v>
      </c>
      <c r="P629" s="15" t="s">
        <v>0</v>
      </c>
      <c r="Q629" s="15" t="s">
        <v>0</v>
      </c>
      <c r="R629" s="15" t="s">
        <v>0</v>
      </c>
      <c r="S629" s="10" t="s">
        <v>1</v>
      </c>
      <c r="T629" s="10" t="s">
        <v>32</v>
      </c>
      <c r="U629" s="5" t="str">
        <f t="shared" si="244"/>
        <v>Propriedade destinada a distribuir: é.calha</v>
      </c>
      <c r="V629" s="5" t="str">
        <f t="shared" si="245"/>
        <v>Dado para distribuir:  calha  Deve ser formatado como (rdfs:Literal  or  xsd:string)</v>
      </c>
      <c r="W629" s="5" t="s">
        <v>5476</v>
      </c>
      <c r="X629" s="24" t="str">
        <f t="shared" si="246"/>
        <v>distr.103</v>
      </c>
      <c r="Y629" s="24" t="str">
        <f t="shared" si="247"/>
        <v>Ação de distribuir</v>
      </c>
      <c r="Z629" s="47" t="s">
        <v>1407</v>
      </c>
      <c r="AA629" s="25" t="str">
        <f t="shared" si="279"/>
        <v>null</v>
      </c>
      <c r="AB629" s="26" t="s">
        <v>0</v>
      </c>
      <c r="AC629" s="25" t="str">
        <f t="shared" si="280"/>
        <v>null</v>
      </c>
      <c r="AD629" s="26" t="s">
        <v>0</v>
      </c>
      <c r="AE629" s="25" t="str">
        <f t="shared" si="281"/>
        <v>null</v>
      </c>
      <c r="AF629" s="26" t="s">
        <v>0</v>
      </c>
      <c r="AG629" s="47" t="s">
        <v>4991</v>
      </c>
    </row>
    <row r="630" spans="1:33" ht="6.9" customHeight="1" x14ac:dyDescent="0.4">
      <c r="A630" s="4">
        <f>ROW()</f>
        <v>630</v>
      </c>
      <c r="B630" s="9" t="s">
        <v>27</v>
      </c>
      <c r="C630" s="55" t="str">
        <f t="shared" si="235"/>
        <v>p.distribuir</v>
      </c>
      <c r="D630" s="6" t="str">
        <f t="shared" si="264"/>
        <v>é.conexão.de.calha</v>
      </c>
      <c r="E630" s="8" t="s">
        <v>28</v>
      </c>
      <c r="F630" s="42" t="str">
        <f t="shared" si="283"/>
        <v>d.distribuir</v>
      </c>
      <c r="G630" s="17" t="s">
        <v>1181</v>
      </c>
      <c r="H630" s="41" t="s">
        <v>2121</v>
      </c>
      <c r="I630" s="16" t="str">
        <f t="shared" si="273"/>
        <v>null</v>
      </c>
      <c r="J630" s="15" t="s">
        <v>0</v>
      </c>
      <c r="K630" s="15" t="s">
        <v>0</v>
      </c>
      <c r="L630" s="15" t="s">
        <v>0</v>
      </c>
      <c r="M630" s="15" t="s">
        <v>0</v>
      </c>
      <c r="N630" s="15" t="s">
        <v>0</v>
      </c>
      <c r="O630" s="15" t="s">
        <v>0</v>
      </c>
      <c r="P630" s="15" t="s">
        <v>0</v>
      </c>
      <c r="Q630" s="15" t="s">
        <v>0</v>
      </c>
      <c r="R630" s="15" t="s">
        <v>0</v>
      </c>
      <c r="S630" s="10" t="s">
        <v>1</v>
      </c>
      <c r="T630" s="10" t="s">
        <v>32</v>
      </c>
      <c r="U630" s="5" t="str">
        <f t="shared" si="244"/>
        <v>Propriedade destinada a distribuir: é.conexão.de.calha</v>
      </c>
      <c r="V630" s="5" t="str">
        <f t="shared" si="245"/>
        <v>Dado para distribuir:  conexão.de.calha  Deve ser formatado como (rdfs:Literal  or  xsd:string)</v>
      </c>
      <c r="W630" s="5" t="s">
        <v>5477</v>
      </c>
      <c r="X630" s="24" t="str">
        <f t="shared" si="246"/>
        <v>distr.104</v>
      </c>
      <c r="Y630" s="24" t="str">
        <f t="shared" si="247"/>
        <v>Ação de distribuir</v>
      </c>
      <c r="Z630" s="47" t="s">
        <v>1408</v>
      </c>
      <c r="AA630" s="25" t="str">
        <f t="shared" si="279"/>
        <v>null</v>
      </c>
      <c r="AB630" s="26" t="s">
        <v>0</v>
      </c>
      <c r="AC630" s="25" t="str">
        <f t="shared" si="280"/>
        <v>null</v>
      </c>
      <c r="AD630" s="26" t="s">
        <v>0</v>
      </c>
      <c r="AE630" s="25" t="str">
        <f t="shared" si="281"/>
        <v>null</v>
      </c>
      <c r="AF630" s="26" t="s">
        <v>0</v>
      </c>
      <c r="AG630" s="47" t="s">
        <v>4992</v>
      </c>
    </row>
    <row r="631" spans="1:33" ht="6.9" customHeight="1" x14ac:dyDescent="0.4">
      <c r="A631" s="4">
        <f>ROW()</f>
        <v>631</v>
      </c>
      <c r="B631" s="9" t="s">
        <v>27</v>
      </c>
      <c r="C631" s="55" t="str">
        <f t="shared" si="235"/>
        <v>p.distribuir</v>
      </c>
      <c r="D631" s="6" t="str">
        <f t="shared" si="264"/>
        <v>é.eixo.de.calha</v>
      </c>
      <c r="E631" s="8" t="s">
        <v>28</v>
      </c>
      <c r="F631" s="42" t="str">
        <f t="shared" si="283"/>
        <v>d.distribuir</v>
      </c>
      <c r="G631" s="17" t="s">
        <v>1179</v>
      </c>
      <c r="H631" s="41" t="s">
        <v>2121</v>
      </c>
      <c r="I631" s="16" t="str">
        <f t="shared" si="273"/>
        <v>null</v>
      </c>
      <c r="J631" s="15" t="s">
        <v>0</v>
      </c>
      <c r="K631" s="15" t="s">
        <v>0</v>
      </c>
      <c r="L631" s="15" t="s">
        <v>0</v>
      </c>
      <c r="M631" s="15" t="s">
        <v>0</v>
      </c>
      <c r="N631" s="15" t="s">
        <v>0</v>
      </c>
      <c r="O631" s="15" t="s">
        <v>0</v>
      </c>
      <c r="P631" s="15" t="s">
        <v>0</v>
      </c>
      <c r="Q631" s="15" t="s">
        <v>0</v>
      </c>
      <c r="R631" s="15" t="s">
        <v>0</v>
      </c>
      <c r="S631" s="10" t="s">
        <v>1</v>
      </c>
      <c r="T631" s="10" t="s">
        <v>32</v>
      </c>
      <c r="U631" s="5" t="str">
        <f t="shared" si="244"/>
        <v>Propriedade destinada a distribuir: é.eixo.de.calha</v>
      </c>
      <c r="V631" s="5" t="str">
        <f t="shared" si="245"/>
        <v>Dado para distribuir:  eixo.de.calha  Deve ser formatado como (rdfs:Literal  or  xsd:string)</v>
      </c>
      <c r="W631" s="5" t="s">
        <v>5478</v>
      </c>
      <c r="X631" s="24" t="str">
        <f t="shared" si="246"/>
        <v>distr.105</v>
      </c>
      <c r="Y631" s="24" t="str">
        <f t="shared" si="247"/>
        <v>Ação de distribuir</v>
      </c>
      <c r="Z631" s="47" t="s">
        <v>1409</v>
      </c>
      <c r="AA631" s="25" t="str">
        <f t="shared" si="279"/>
        <v>null</v>
      </c>
      <c r="AB631" s="26" t="s">
        <v>0</v>
      </c>
      <c r="AC631" s="25" t="str">
        <f t="shared" si="280"/>
        <v>null</v>
      </c>
      <c r="AD631" s="26" t="s">
        <v>0</v>
      </c>
      <c r="AE631" s="25" t="str">
        <f t="shared" si="281"/>
        <v>null</v>
      </c>
      <c r="AF631" s="26" t="s">
        <v>0</v>
      </c>
      <c r="AG631" s="47" t="s">
        <v>4993</v>
      </c>
    </row>
    <row r="632" spans="1:33" ht="6.9" customHeight="1" x14ac:dyDescent="0.4">
      <c r="A632" s="4">
        <f>ROW()</f>
        <v>632</v>
      </c>
      <c r="B632" s="9" t="s">
        <v>27</v>
      </c>
      <c r="C632" s="55" t="str">
        <f t="shared" si="235"/>
        <v>p.distribuir</v>
      </c>
      <c r="D632" s="6" t="str">
        <f t="shared" si="264"/>
        <v>é.leito.de.cabeamento</v>
      </c>
      <c r="E632" s="8" t="s">
        <v>28</v>
      </c>
      <c r="F632" s="42" t="str">
        <f t="shared" si="283"/>
        <v>d.distribuir</v>
      </c>
      <c r="G632" s="17" t="s">
        <v>654</v>
      </c>
      <c r="H632" s="41" t="s">
        <v>2121</v>
      </c>
      <c r="I632" s="16" t="str">
        <f t="shared" si="273"/>
        <v>null</v>
      </c>
      <c r="J632" s="15" t="s">
        <v>0</v>
      </c>
      <c r="K632" s="15" t="s">
        <v>0</v>
      </c>
      <c r="L632" s="15" t="s">
        <v>0</v>
      </c>
      <c r="M632" s="15" t="s">
        <v>0</v>
      </c>
      <c r="N632" s="15" t="s">
        <v>0</v>
      </c>
      <c r="O632" s="15" t="s">
        <v>0</v>
      </c>
      <c r="P632" s="15" t="s">
        <v>0</v>
      </c>
      <c r="Q632" s="15" t="s">
        <v>0</v>
      </c>
      <c r="R632" s="15" t="s">
        <v>0</v>
      </c>
      <c r="S632" s="10" t="s">
        <v>1</v>
      </c>
      <c r="T632" s="10" t="s">
        <v>32</v>
      </c>
      <c r="U632" s="5" t="str">
        <f t="shared" si="244"/>
        <v>Propriedade destinada a distribuir: é.leito.de.cabeamento</v>
      </c>
      <c r="V632" s="5" t="str">
        <f t="shared" si="245"/>
        <v>Dado para distribuir:  leito.de.cabeamento  Deve ser formatado como (rdfs:Literal  or  xsd:string)</v>
      </c>
      <c r="W632" s="5" t="s">
        <v>5479</v>
      </c>
      <c r="X632" s="24" t="str">
        <f t="shared" si="246"/>
        <v>distr.106</v>
      </c>
      <c r="Y632" s="24" t="str">
        <f t="shared" si="247"/>
        <v>Ação de distribuir</v>
      </c>
      <c r="Z632" s="47" t="s">
        <v>1410</v>
      </c>
      <c r="AA632" s="25" t="str">
        <f t="shared" si="279"/>
        <v>null</v>
      </c>
      <c r="AB632" s="26" t="s">
        <v>0</v>
      </c>
      <c r="AC632" s="25" t="str">
        <f t="shared" si="280"/>
        <v>null</v>
      </c>
      <c r="AD632" s="26" t="s">
        <v>0</v>
      </c>
      <c r="AE632" s="25" t="str">
        <f t="shared" si="281"/>
        <v>null</v>
      </c>
      <c r="AF632" s="26" t="s">
        <v>0</v>
      </c>
      <c r="AG632" s="47" t="s">
        <v>4994</v>
      </c>
    </row>
    <row r="633" spans="1:33" ht="6.9" customHeight="1" x14ac:dyDescent="0.4">
      <c r="A633" s="4">
        <f>ROW()</f>
        <v>633</v>
      </c>
      <c r="B633" s="9" t="s">
        <v>27</v>
      </c>
      <c r="C633" s="55" t="str">
        <f t="shared" si="235"/>
        <v>p.distribuir</v>
      </c>
      <c r="D633" s="6" t="str">
        <f t="shared" si="264"/>
        <v>é.conexão.de.leito.de.cabeamento</v>
      </c>
      <c r="E633" s="8" t="s">
        <v>28</v>
      </c>
      <c r="F633" s="42" t="str">
        <f>F632</f>
        <v>d.distribuir</v>
      </c>
      <c r="G633" s="17" t="s">
        <v>1180</v>
      </c>
      <c r="H633" s="41" t="s">
        <v>2121</v>
      </c>
      <c r="I633" s="16" t="str">
        <f t="shared" si="273"/>
        <v>null</v>
      </c>
      <c r="J633" s="15" t="s">
        <v>0</v>
      </c>
      <c r="K633" s="15" t="s">
        <v>0</v>
      </c>
      <c r="L633" s="15" t="s">
        <v>0</v>
      </c>
      <c r="M633" s="15" t="s">
        <v>0</v>
      </c>
      <c r="N633" s="15" t="s">
        <v>0</v>
      </c>
      <c r="O633" s="15" t="s">
        <v>0</v>
      </c>
      <c r="P633" s="15" t="s">
        <v>0</v>
      </c>
      <c r="Q633" s="15" t="s">
        <v>0</v>
      </c>
      <c r="R633" s="15" t="s">
        <v>0</v>
      </c>
      <c r="S633" s="10" t="s">
        <v>1</v>
      </c>
      <c r="T633" s="10" t="s">
        <v>32</v>
      </c>
      <c r="U633" s="5" t="str">
        <f t="shared" si="244"/>
        <v>Propriedade destinada a distribuir: é.conexão.de.leito.de.cabeamento</v>
      </c>
      <c r="V633" s="5" t="str">
        <f t="shared" si="245"/>
        <v>Dado para distribuir:  conexão.de.leito.de.cabeamento  Deve ser formatado como (rdfs:Literal  or  xsd:string)</v>
      </c>
      <c r="W633" s="5" t="s">
        <v>5479</v>
      </c>
      <c r="X633" s="24" t="str">
        <f t="shared" si="246"/>
        <v>distr.107</v>
      </c>
      <c r="Y633" s="24" t="str">
        <f t="shared" si="247"/>
        <v>Ação de distribuir</v>
      </c>
      <c r="Z633" s="47" t="s">
        <v>1410</v>
      </c>
      <c r="AA633" s="25" t="str">
        <f t="shared" si="279"/>
        <v>null</v>
      </c>
      <c r="AB633" s="26" t="s">
        <v>0</v>
      </c>
      <c r="AC633" s="25" t="str">
        <f t="shared" si="280"/>
        <v>null</v>
      </c>
      <c r="AD633" s="26" t="s">
        <v>0</v>
      </c>
      <c r="AE633" s="25" t="str">
        <f t="shared" si="281"/>
        <v>null</v>
      </c>
      <c r="AF633" s="26" t="s">
        <v>0</v>
      </c>
      <c r="AG633" s="47" t="s">
        <v>4994</v>
      </c>
    </row>
    <row r="634" spans="1:33" ht="6.9" customHeight="1" x14ac:dyDescent="0.4">
      <c r="A634" s="4">
        <f>ROW()</f>
        <v>634</v>
      </c>
      <c r="B634" s="9" t="s">
        <v>27</v>
      </c>
      <c r="C634" s="54" t="str">
        <f t="shared" si="235"/>
        <v>p.documentar</v>
      </c>
      <c r="D634" s="6" t="str">
        <f t="shared" si="264"/>
        <v>é.folha</v>
      </c>
      <c r="E634" s="8" t="s">
        <v>28</v>
      </c>
      <c r="F634" s="51" t="s">
        <v>655</v>
      </c>
      <c r="G634" s="17" t="s">
        <v>4425</v>
      </c>
      <c r="H634" s="42" t="s">
        <v>2121</v>
      </c>
      <c r="I634" s="16" t="str">
        <f t="shared" si="273"/>
        <v>null</v>
      </c>
      <c r="J634" s="15" t="s">
        <v>0</v>
      </c>
      <c r="K634" s="15" t="s">
        <v>0</v>
      </c>
      <c r="L634" s="15" t="s">
        <v>0</v>
      </c>
      <c r="M634" s="15" t="s">
        <v>0</v>
      </c>
      <c r="N634" s="15" t="s">
        <v>0</v>
      </c>
      <c r="O634" s="15" t="s">
        <v>0</v>
      </c>
      <c r="P634" s="15" t="s">
        <v>0</v>
      </c>
      <c r="Q634" s="15" t="s">
        <v>0</v>
      </c>
      <c r="R634" s="15" t="s">
        <v>0</v>
      </c>
      <c r="S634" s="10" t="s">
        <v>1</v>
      </c>
      <c r="T634" s="10" t="s">
        <v>32</v>
      </c>
      <c r="U634" s="5" t="str">
        <f t="shared" si="244"/>
        <v>Propriedade destinada a documentar: é.folha</v>
      </c>
      <c r="V634" s="5" t="str">
        <f t="shared" si="245"/>
        <v>Dado para documentar:  folha  Deve ser formatado como (rdfs:Literal  or  xsd:string)</v>
      </c>
      <c r="W634" s="5" t="s">
        <v>5480</v>
      </c>
      <c r="X634" s="24" t="str">
        <f t="shared" si="246"/>
        <v>docum.100</v>
      </c>
      <c r="Y634" s="24" t="str">
        <f t="shared" si="247"/>
        <v>Ação de documentar</v>
      </c>
      <c r="Z634" s="47" t="s">
        <v>3964</v>
      </c>
      <c r="AA634" s="25" t="str">
        <f t="shared" si="279"/>
        <v>categoria.revit</v>
      </c>
      <c r="AB634" s="26" t="s">
        <v>3512</v>
      </c>
      <c r="AC634" s="25" t="str">
        <f t="shared" si="280"/>
        <v>null</v>
      </c>
      <c r="AD634" s="26" t="s">
        <v>0</v>
      </c>
      <c r="AE634" s="25" t="str">
        <f t="shared" si="281"/>
        <v>null</v>
      </c>
      <c r="AF634" s="26" t="s">
        <v>0</v>
      </c>
      <c r="AG634" s="47" t="s">
        <v>4024</v>
      </c>
    </row>
    <row r="635" spans="1:33" ht="6.9" customHeight="1" x14ac:dyDescent="0.4">
      <c r="A635" s="4">
        <f>ROW()</f>
        <v>635</v>
      </c>
      <c r="B635" s="9" t="s">
        <v>27</v>
      </c>
      <c r="C635" s="55" t="str">
        <f t="shared" si="235"/>
        <v>p.documentar</v>
      </c>
      <c r="D635" s="6" t="str">
        <f t="shared" si="264"/>
        <v>é.prancha</v>
      </c>
      <c r="E635" s="8" t="s">
        <v>28</v>
      </c>
      <c r="F635" s="42" t="str">
        <f t="shared" ref="F635:F644" si="287">F634</f>
        <v>d.documentar</v>
      </c>
      <c r="G635" s="17" t="s">
        <v>107</v>
      </c>
      <c r="H635" s="42" t="s">
        <v>2121</v>
      </c>
      <c r="I635" s="16" t="str">
        <f t="shared" si="273"/>
        <v>null</v>
      </c>
      <c r="J635" s="15" t="s">
        <v>0</v>
      </c>
      <c r="K635" s="15" t="s">
        <v>0</v>
      </c>
      <c r="L635" s="15" t="s">
        <v>0</v>
      </c>
      <c r="M635" s="15" t="s">
        <v>0</v>
      </c>
      <c r="N635" s="15" t="s">
        <v>0</v>
      </c>
      <c r="O635" s="15" t="s">
        <v>0</v>
      </c>
      <c r="P635" s="15" t="s">
        <v>0</v>
      </c>
      <c r="Q635" s="15" t="s">
        <v>0</v>
      </c>
      <c r="R635" s="15" t="s">
        <v>0</v>
      </c>
      <c r="S635" s="10" t="s">
        <v>1</v>
      </c>
      <c r="T635" s="10" t="s">
        <v>32</v>
      </c>
      <c r="U635" s="5" t="str">
        <f t="shared" si="244"/>
        <v>Propriedade destinada a documentar: é.prancha</v>
      </c>
      <c r="V635" s="5" t="str">
        <f t="shared" si="245"/>
        <v>Dado para documentar:  prancha  Deve ser formatado como (rdfs:Literal  or  xsd:string)</v>
      </c>
      <c r="W635" s="5" t="s">
        <v>5481</v>
      </c>
      <c r="X635" s="24" t="str">
        <f t="shared" si="246"/>
        <v>docum.101</v>
      </c>
      <c r="Y635" s="24" t="str">
        <f t="shared" si="247"/>
        <v>Ação de documentar</v>
      </c>
      <c r="Z635" s="47" t="s">
        <v>1411</v>
      </c>
      <c r="AA635" s="25" t="str">
        <f t="shared" si="279"/>
        <v>categoria.revit</v>
      </c>
      <c r="AB635" s="26" t="s">
        <v>3512</v>
      </c>
      <c r="AC635" s="25" t="str">
        <f t="shared" si="280"/>
        <v>null</v>
      </c>
      <c r="AD635" s="26" t="s">
        <v>0</v>
      </c>
      <c r="AE635" s="25" t="str">
        <f t="shared" si="281"/>
        <v>null</v>
      </c>
      <c r="AF635" s="26" t="s">
        <v>0</v>
      </c>
      <c r="AG635" s="47" t="s">
        <v>4980</v>
      </c>
    </row>
    <row r="636" spans="1:33" ht="6.9" customHeight="1" x14ac:dyDescent="0.4">
      <c r="A636" s="4">
        <f>ROW()</f>
        <v>636</v>
      </c>
      <c r="B636" s="9" t="s">
        <v>27</v>
      </c>
      <c r="C636" s="55" t="str">
        <f t="shared" si="235"/>
        <v>p.documentar</v>
      </c>
      <c r="D636" s="6" t="str">
        <f t="shared" si="264"/>
        <v>é.carimbo</v>
      </c>
      <c r="E636" s="8" t="s">
        <v>28</v>
      </c>
      <c r="F636" s="42" t="str">
        <f t="shared" si="287"/>
        <v>d.documentar</v>
      </c>
      <c r="G636" s="17" t="s">
        <v>452</v>
      </c>
      <c r="H636" s="42" t="s">
        <v>2121</v>
      </c>
      <c r="I636" s="16" t="str">
        <f t="shared" si="273"/>
        <v>null</v>
      </c>
      <c r="J636" s="15" t="s">
        <v>0</v>
      </c>
      <c r="K636" s="15" t="s">
        <v>0</v>
      </c>
      <c r="L636" s="15" t="s">
        <v>0</v>
      </c>
      <c r="M636" s="15" t="s">
        <v>0</v>
      </c>
      <c r="N636" s="15" t="s">
        <v>0</v>
      </c>
      <c r="O636" s="15" t="s">
        <v>0</v>
      </c>
      <c r="P636" s="15" t="s">
        <v>0</v>
      </c>
      <c r="Q636" s="15" t="s">
        <v>0</v>
      </c>
      <c r="R636" s="15" t="s">
        <v>0</v>
      </c>
      <c r="S636" s="10" t="s">
        <v>1</v>
      </c>
      <c r="T636" s="10" t="s">
        <v>32</v>
      </c>
      <c r="U636" s="5" t="str">
        <f t="shared" si="244"/>
        <v>Propriedade destinada a documentar: é.carimbo</v>
      </c>
      <c r="V636" s="5" t="str">
        <f t="shared" si="245"/>
        <v>Dado para documentar:  carimbo  Deve ser formatado como (rdfs:Literal  or  xsd:string)</v>
      </c>
      <c r="W636" s="5" t="s">
        <v>5482</v>
      </c>
      <c r="X636" s="24" t="str">
        <f t="shared" si="246"/>
        <v>docum.102</v>
      </c>
      <c r="Y636" s="24" t="str">
        <f t="shared" si="247"/>
        <v>Ação de documentar</v>
      </c>
      <c r="Z636" s="47" t="s">
        <v>1412</v>
      </c>
      <c r="AA636" s="25" t="str">
        <f t="shared" si="279"/>
        <v>categoria.revit</v>
      </c>
      <c r="AB636" s="26" t="s">
        <v>3512</v>
      </c>
      <c r="AC636" s="25" t="str">
        <f t="shared" si="280"/>
        <v>null</v>
      </c>
      <c r="AD636" s="26" t="s">
        <v>0</v>
      </c>
      <c r="AE636" s="25" t="str">
        <f t="shared" si="281"/>
        <v>null</v>
      </c>
      <c r="AF636" s="26" t="s">
        <v>0</v>
      </c>
      <c r="AG636" s="47" t="s">
        <v>4981</v>
      </c>
    </row>
    <row r="637" spans="1:33" ht="6.9" customHeight="1" x14ac:dyDescent="0.4">
      <c r="A637" s="4">
        <f>ROW()</f>
        <v>637</v>
      </c>
      <c r="B637" s="9" t="s">
        <v>27</v>
      </c>
      <c r="C637" s="55" t="str">
        <f t="shared" si="235"/>
        <v>p.documentar</v>
      </c>
      <c r="D637" s="6" t="str">
        <f t="shared" si="264"/>
        <v>é.planta.baixa</v>
      </c>
      <c r="E637" s="8" t="s">
        <v>28</v>
      </c>
      <c r="F637" s="42" t="str">
        <f t="shared" si="287"/>
        <v>d.documentar</v>
      </c>
      <c r="G637" s="17" t="s">
        <v>656</v>
      </c>
      <c r="H637" s="42" t="s">
        <v>2121</v>
      </c>
      <c r="I637" s="16" t="str">
        <f t="shared" si="273"/>
        <v>null</v>
      </c>
      <c r="J637" s="15" t="s">
        <v>0</v>
      </c>
      <c r="K637" s="15" t="s">
        <v>0</v>
      </c>
      <c r="L637" s="15" t="s">
        <v>0</v>
      </c>
      <c r="M637" s="15" t="s">
        <v>0</v>
      </c>
      <c r="N637" s="15" t="s">
        <v>0</v>
      </c>
      <c r="O637" s="15" t="s">
        <v>0</v>
      </c>
      <c r="P637" s="15" t="s">
        <v>0</v>
      </c>
      <c r="Q637" s="15" t="s">
        <v>0</v>
      </c>
      <c r="R637" s="15" t="s">
        <v>0</v>
      </c>
      <c r="S637" s="10" t="s">
        <v>1</v>
      </c>
      <c r="T637" s="10" t="s">
        <v>32</v>
      </c>
      <c r="U637" s="5" t="str">
        <f t="shared" si="244"/>
        <v>Propriedade destinada a documentar: é.planta.baixa</v>
      </c>
      <c r="V637" s="5" t="str">
        <f t="shared" si="245"/>
        <v>Dado para documentar:  planta.baixa  Deve ser formatado como (rdfs:Literal  or  xsd:string)</v>
      </c>
      <c r="W637" s="5" t="s">
        <v>5483</v>
      </c>
      <c r="X637" s="24" t="str">
        <f t="shared" si="246"/>
        <v>docum.103</v>
      </c>
      <c r="Y637" s="24" t="str">
        <f t="shared" si="247"/>
        <v>Ação de documentar</v>
      </c>
      <c r="Z637" s="47" t="s">
        <v>1413</v>
      </c>
      <c r="AA637" s="25" t="str">
        <f t="shared" si="279"/>
        <v>categoria.revit</v>
      </c>
      <c r="AB637" s="26" t="s">
        <v>3513</v>
      </c>
      <c r="AC637" s="25" t="str">
        <f t="shared" si="280"/>
        <v>null</v>
      </c>
      <c r="AD637" s="26" t="s">
        <v>0</v>
      </c>
      <c r="AE637" s="25" t="str">
        <f t="shared" si="281"/>
        <v>null</v>
      </c>
      <c r="AF637" s="26" t="s">
        <v>0</v>
      </c>
      <c r="AG637" s="47" t="s">
        <v>4982</v>
      </c>
    </row>
    <row r="638" spans="1:33" ht="6.9" customHeight="1" x14ac:dyDescent="0.4">
      <c r="A638" s="4">
        <f>ROW()</f>
        <v>638</v>
      </c>
      <c r="B638" s="9" t="s">
        <v>27</v>
      </c>
      <c r="C638" s="55" t="str">
        <f t="shared" si="235"/>
        <v>p.documentar</v>
      </c>
      <c r="D638" s="6" t="str">
        <f t="shared" si="264"/>
        <v>é.esboço</v>
      </c>
      <c r="E638" s="8" t="s">
        <v>28</v>
      </c>
      <c r="F638" s="42" t="str">
        <f t="shared" si="287"/>
        <v>d.documentar</v>
      </c>
      <c r="G638" s="17" t="s">
        <v>324</v>
      </c>
      <c r="H638" s="42" t="s">
        <v>2121</v>
      </c>
      <c r="I638" s="16" t="str">
        <f t="shared" si="273"/>
        <v>null</v>
      </c>
      <c r="J638" s="15" t="s">
        <v>0</v>
      </c>
      <c r="K638" s="15" t="s">
        <v>0</v>
      </c>
      <c r="L638" s="15" t="s">
        <v>0</v>
      </c>
      <c r="M638" s="15" t="s">
        <v>0</v>
      </c>
      <c r="N638" s="15" t="s">
        <v>0</v>
      </c>
      <c r="O638" s="15" t="s">
        <v>0</v>
      </c>
      <c r="P638" s="15" t="s">
        <v>0</v>
      </c>
      <c r="Q638" s="15" t="s">
        <v>0</v>
      </c>
      <c r="R638" s="15" t="s">
        <v>0</v>
      </c>
      <c r="S638" s="10" t="s">
        <v>1</v>
      </c>
      <c r="T638" s="10" t="s">
        <v>32</v>
      </c>
      <c r="U638" s="5" t="str">
        <f t="shared" si="244"/>
        <v>Propriedade destinada a documentar: é.esboço</v>
      </c>
      <c r="V638" s="5" t="str">
        <f t="shared" si="245"/>
        <v>Dado para documentar:  esboço  Deve ser formatado como (rdfs:Literal  or  xsd:string)</v>
      </c>
      <c r="W638" s="5" t="s">
        <v>5484</v>
      </c>
      <c r="X638" s="24" t="str">
        <f t="shared" si="246"/>
        <v>docum.104</v>
      </c>
      <c r="Y638" s="24" t="str">
        <f t="shared" si="247"/>
        <v>Ação de documentar</v>
      </c>
      <c r="Z638" s="47" t="s">
        <v>1414</v>
      </c>
      <c r="AA638" s="25" t="str">
        <f t="shared" si="279"/>
        <v>categoria.revit</v>
      </c>
      <c r="AB638" s="26" t="s">
        <v>3513</v>
      </c>
      <c r="AC638" s="25" t="str">
        <f t="shared" si="280"/>
        <v>null</v>
      </c>
      <c r="AD638" s="26" t="s">
        <v>0</v>
      </c>
      <c r="AE638" s="25" t="str">
        <f t="shared" si="281"/>
        <v>null</v>
      </c>
      <c r="AF638" s="26" t="s">
        <v>0</v>
      </c>
      <c r="AG638" s="47" t="s">
        <v>4983</v>
      </c>
    </row>
    <row r="639" spans="1:33" ht="6.9" customHeight="1" x14ac:dyDescent="0.4">
      <c r="A639" s="4">
        <f>ROW()</f>
        <v>639</v>
      </c>
      <c r="B639" s="9" t="s">
        <v>27</v>
      </c>
      <c r="C639" s="55" t="str">
        <f t="shared" si="235"/>
        <v>p.documentar</v>
      </c>
      <c r="D639" s="6" t="str">
        <f t="shared" si="264"/>
        <v>é.detalhe</v>
      </c>
      <c r="E639" s="8" t="s">
        <v>28</v>
      </c>
      <c r="F639" s="42" t="str">
        <f t="shared" si="287"/>
        <v>d.documentar</v>
      </c>
      <c r="G639" s="17" t="s">
        <v>108</v>
      </c>
      <c r="H639" s="42" t="s">
        <v>2121</v>
      </c>
      <c r="I639" s="16" t="str">
        <f t="shared" si="273"/>
        <v>null</v>
      </c>
      <c r="J639" s="15" t="s">
        <v>0</v>
      </c>
      <c r="K639" s="15" t="s">
        <v>0</v>
      </c>
      <c r="L639" s="15" t="s">
        <v>0</v>
      </c>
      <c r="M639" s="15" t="s">
        <v>0</v>
      </c>
      <c r="N639" s="15" t="s">
        <v>0</v>
      </c>
      <c r="O639" s="15" t="s">
        <v>0</v>
      </c>
      <c r="P639" s="15" t="s">
        <v>0</v>
      </c>
      <c r="Q639" s="15" t="s">
        <v>0</v>
      </c>
      <c r="R639" s="15" t="s">
        <v>0</v>
      </c>
      <c r="S639" s="10" t="s">
        <v>1</v>
      </c>
      <c r="T639" s="10" t="s">
        <v>32</v>
      </c>
      <c r="U639" s="5" t="str">
        <f t="shared" si="244"/>
        <v>Propriedade destinada a documentar: é.detalhe</v>
      </c>
      <c r="V639" s="5" t="str">
        <f t="shared" si="245"/>
        <v>Dado para documentar:  detalhe  Deve ser formatado como (rdfs:Literal  or  xsd:string)</v>
      </c>
      <c r="W639" s="5" t="s">
        <v>5485</v>
      </c>
      <c r="X639" s="24" t="str">
        <f t="shared" si="246"/>
        <v>docum.105</v>
      </c>
      <c r="Y639" s="24" t="str">
        <f t="shared" si="247"/>
        <v>Ação de documentar</v>
      </c>
      <c r="Z639" s="47" t="s">
        <v>1415</v>
      </c>
      <c r="AA639" s="25" t="str">
        <f t="shared" si="279"/>
        <v>categoria.revit</v>
      </c>
      <c r="AB639" s="26" t="s">
        <v>3513</v>
      </c>
      <c r="AC639" s="25" t="str">
        <f t="shared" si="280"/>
        <v>null</v>
      </c>
      <c r="AD639" s="26" t="s">
        <v>0</v>
      </c>
      <c r="AE639" s="25" t="str">
        <f t="shared" si="281"/>
        <v>null</v>
      </c>
      <c r="AF639" s="26" t="s">
        <v>0</v>
      </c>
      <c r="AG639" s="47" t="s">
        <v>4984</v>
      </c>
    </row>
    <row r="640" spans="1:33" ht="6.9" customHeight="1" x14ac:dyDescent="0.4">
      <c r="A640" s="4">
        <f>ROW()</f>
        <v>640</v>
      </c>
      <c r="B640" s="9" t="s">
        <v>27</v>
      </c>
      <c r="C640" s="55" t="str">
        <f t="shared" si="235"/>
        <v>p.documentar</v>
      </c>
      <c r="D640" s="6" t="str">
        <f t="shared" si="264"/>
        <v>é.corte</v>
      </c>
      <c r="E640" s="8" t="s">
        <v>28</v>
      </c>
      <c r="F640" s="42" t="str">
        <f t="shared" si="287"/>
        <v>d.documentar</v>
      </c>
      <c r="G640" s="17" t="s">
        <v>109</v>
      </c>
      <c r="H640" s="42" t="s">
        <v>2121</v>
      </c>
      <c r="I640" s="16" t="str">
        <f t="shared" si="273"/>
        <v>null</v>
      </c>
      <c r="J640" s="15" t="s">
        <v>0</v>
      </c>
      <c r="K640" s="15" t="s">
        <v>0</v>
      </c>
      <c r="L640" s="15" t="s">
        <v>0</v>
      </c>
      <c r="M640" s="15" t="s">
        <v>0</v>
      </c>
      <c r="N640" s="15" t="s">
        <v>0</v>
      </c>
      <c r="O640" s="15" t="s">
        <v>0</v>
      </c>
      <c r="P640" s="15" t="s">
        <v>0</v>
      </c>
      <c r="Q640" s="15" t="s">
        <v>0</v>
      </c>
      <c r="R640" s="15" t="s">
        <v>0</v>
      </c>
      <c r="S640" s="10" t="s">
        <v>1</v>
      </c>
      <c r="T640" s="10" t="s">
        <v>32</v>
      </c>
      <c r="U640" s="5" t="str">
        <f t="shared" si="244"/>
        <v>Propriedade destinada a documentar: é.corte</v>
      </c>
      <c r="V640" s="5" t="str">
        <f t="shared" si="245"/>
        <v>Dado para documentar:  corte  Deve ser formatado como (rdfs:Literal  or  xsd:string)</v>
      </c>
      <c r="W640" s="5" t="s">
        <v>5486</v>
      </c>
      <c r="X640" s="24" t="str">
        <f t="shared" si="246"/>
        <v>docum.106</v>
      </c>
      <c r="Y640" s="24" t="str">
        <f t="shared" si="247"/>
        <v>Ação de documentar</v>
      </c>
      <c r="Z640" s="47" t="s">
        <v>1416</v>
      </c>
      <c r="AA640" s="25" t="str">
        <f t="shared" si="279"/>
        <v>categoria.revit</v>
      </c>
      <c r="AB640" s="26" t="s">
        <v>3513</v>
      </c>
      <c r="AC640" s="25" t="str">
        <f t="shared" si="280"/>
        <v>null</v>
      </c>
      <c r="AD640" s="26" t="s">
        <v>0</v>
      </c>
      <c r="AE640" s="25" t="str">
        <f t="shared" si="281"/>
        <v>null</v>
      </c>
      <c r="AF640" s="26" t="s">
        <v>0</v>
      </c>
      <c r="AG640" s="47" t="s">
        <v>4985</v>
      </c>
    </row>
    <row r="641" spans="1:33" ht="6.9" customHeight="1" x14ac:dyDescent="0.4">
      <c r="A641" s="4">
        <f>ROW()</f>
        <v>641</v>
      </c>
      <c r="B641" s="9" t="s">
        <v>27</v>
      </c>
      <c r="C641" s="55" t="str">
        <f t="shared" si="235"/>
        <v>p.documentar</v>
      </c>
      <c r="D641" s="6" t="str">
        <f t="shared" si="264"/>
        <v>é.vista</v>
      </c>
      <c r="E641" s="8" t="s">
        <v>28</v>
      </c>
      <c r="F641" s="42" t="str">
        <f t="shared" si="287"/>
        <v>d.documentar</v>
      </c>
      <c r="G641" s="17" t="s">
        <v>110</v>
      </c>
      <c r="H641" s="42" t="s">
        <v>2121</v>
      </c>
      <c r="I641" s="16" t="str">
        <f t="shared" si="273"/>
        <v>null</v>
      </c>
      <c r="J641" s="15" t="s">
        <v>0</v>
      </c>
      <c r="K641" s="15" t="s">
        <v>0</v>
      </c>
      <c r="L641" s="15" t="s">
        <v>0</v>
      </c>
      <c r="M641" s="15" t="s">
        <v>0</v>
      </c>
      <c r="N641" s="15" t="s">
        <v>0</v>
      </c>
      <c r="O641" s="15" t="s">
        <v>0</v>
      </c>
      <c r="P641" s="15" t="s">
        <v>0</v>
      </c>
      <c r="Q641" s="15" t="s">
        <v>0</v>
      </c>
      <c r="R641" s="15" t="s">
        <v>0</v>
      </c>
      <c r="S641" s="10" t="s">
        <v>1</v>
      </c>
      <c r="T641" s="10" t="s">
        <v>32</v>
      </c>
      <c r="U641" s="5" t="str">
        <f t="shared" si="244"/>
        <v>Propriedade destinada a documentar: é.vista</v>
      </c>
      <c r="V641" s="5" t="str">
        <f t="shared" si="245"/>
        <v>Dado para documentar:  vista  Deve ser formatado como (rdfs:Literal  or  xsd:string)</v>
      </c>
      <c r="W641" s="5" t="s">
        <v>5487</v>
      </c>
      <c r="X641" s="24" t="str">
        <f t="shared" si="246"/>
        <v>docum.107</v>
      </c>
      <c r="Y641" s="24" t="str">
        <f t="shared" si="247"/>
        <v>Ação de documentar</v>
      </c>
      <c r="Z641" s="47" t="s">
        <v>1417</v>
      </c>
      <c r="AA641" s="25" t="str">
        <f t="shared" si="279"/>
        <v>categoria.revit</v>
      </c>
      <c r="AB641" s="26" t="s">
        <v>3513</v>
      </c>
      <c r="AC641" s="25" t="str">
        <f t="shared" si="280"/>
        <v>null</v>
      </c>
      <c r="AD641" s="26" t="s">
        <v>0</v>
      </c>
      <c r="AE641" s="25" t="str">
        <f t="shared" si="281"/>
        <v>null</v>
      </c>
      <c r="AF641" s="26" t="s">
        <v>0</v>
      </c>
      <c r="AG641" s="47" t="s">
        <v>4986</v>
      </c>
    </row>
    <row r="642" spans="1:33" ht="6.9" customHeight="1" x14ac:dyDescent="0.4">
      <c r="A642" s="4">
        <f>ROW()</f>
        <v>642</v>
      </c>
      <c r="B642" s="9" t="s">
        <v>27</v>
      </c>
      <c r="C642" s="55" t="str">
        <f t="shared" si="235"/>
        <v>p.documentar</v>
      </c>
      <c r="D642" s="6" t="str">
        <f t="shared" si="264"/>
        <v>é.perspectiva</v>
      </c>
      <c r="E642" s="8" t="s">
        <v>28</v>
      </c>
      <c r="F642" s="42" t="str">
        <f t="shared" si="287"/>
        <v>d.documentar</v>
      </c>
      <c r="G642" s="17" t="s">
        <v>325</v>
      </c>
      <c r="H642" s="42" t="s">
        <v>2121</v>
      </c>
      <c r="I642" s="16" t="str">
        <f t="shared" si="273"/>
        <v>null</v>
      </c>
      <c r="J642" s="15" t="s">
        <v>0</v>
      </c>
      <c r="K642" s="15" t="s">
        <v>0</v>
      </c>
      <c r="L642" s="15" t="s">
        <v>0</v>
      </c>
      <c r="M642" s="15" t="s">
        <v>0</v>
      </c>
      <c r="N642" s="15" t="s">
        <v>0</v>
      </c>
      <c r="O642" s="15" t="s">
        <v>0</v>
      </c>
      <c r="P642" s="15" t="s">
        <v>0</v>
      </c>
      <c r="Q642" s="15" t="s">
        <v>0</v>
      </c>
      <c r="R642" s="15" t="s">
        <v>0</v>
      </c>
      <c r="S642" s="10" t="s">
        <v>1</v>
      </c>
      <c r="T642" s="10" t="s">
        <v>32</v>
      </c>
      <c r="U642" s="5" t="str">
        <f t="shared" ref="U642:U693" si="288">_xlfn.CONCAT("Propriedade destinada a ",MID(C642,FIND("p.",C642,1)+2,100),": ",D642)</f>
        <v>Propriedade destinada a documentar: é.perspectiva</v>
      </c>
      <c r="V642" s="5" t="str">
        <f t="shared" ref="V642:V693" si="289">_xlfn.CONCAT("Dado para ",MID(F642,FIND("d.",F642,1)+2,100),":  ",G642, "  Deve ser formatado como (",H642, ")")</f>
        <v>Dado para documentar:  perspectiva  Deve ser formatado como (rdfs:Literal  or  xsd:string)</v>
      </c>
      <c r="W642" s="5" t="s">
        <v>5488</v>
      </c>
      <c r="X642" s="24" t="str">
        <f t="shared" si="246"/>
        <v>docum.108</v>
      </c>
      <c r="Y642" s="24" t="str">
        <f t="shared" si="247"/>
        <v>Ação de documentar</v>
      </c>
      <c r="Z642" s="47" t="s">
        <v>1418</v>
      </c>
      <c r="AA642" s="25" t="str">
        <f t="shared" si="279"/>
        <v>categoria.revit</v>
      </c>
      <c r="AB642" s="26" t="s">
        <v>3513</v>
      </c>
      <c r="AC642" s="25" t="str">
        <f t="shared" si="280"/>
        <v>null</v>
      </c>
      <c r="AD642" s="26" t="s">
        <v>0</v>
      </c>
      <c r="AE642" s="25" t="str">
        <f t="shared" si="281"/>
        <v>null</v>
      </c>
      <c r="AF642" s="26" t="s">
        <v>0</v>
      </c>
      <c r="AG642" s="47" t="s">
        <v>4987</v>
      </c>
    </row>
    <row r="643" spans="1:33" ht="6.9" customHeight="1" x14ac:dyDescent="0.4">
      <c r="A643" s="4">
        <f>ROW()</f>
        <v>643</v>
      </c>
      <c r="B643" s="9" t="s">
        <v>27</v>
      </c>
      <c r="C643" s="55" t="str">
        <f t="shared" si="235"/>
        <v>p.documentar</v>
      </c>
      <c r="D643" s="6" t="str">
        <f t="shared" si="264"/>
        <v>é.axonometria</v>
      </c>
      <c r="E643" s="8" t="s">
        <v>28</v>
      </c>
      <c r="F643" s="42" t="str">
        <f t="shared" si="287"/>
        <v>d.documentar</v>
      </c>
      <c r="G643" s="17" t="s">
        <v>326</v>
      </c>
      <c r="H643" s="42" t="s">
        <v>2121</v>
      </c>
      <c r="I643" s="16" t="str">
        <f t="shared" si="273"/>
        <v>null</v>
      </c>
      <c r="J643" s="15" t="s">
        <v>0</v>
      </c>
      <c r="K643" s="15" t="s">
        <v>0</v>
      </c>
      <c r="L643" s="15" t="s">
        <v>0</v>
      </c>
      <c r="M643" s="15" t="s">
        <v>0</v>
      </c>
      <c r="N643" s="15" t="s">
        <v>0</v>
      </c>
      <c r="O643" s="15" t="s">
        <v>0</v>
      </c>
      <c r="P643" s="15" t="s">
        <v>0</v>
      </c>
      <c r="Q643" s="15" t="s">
        <v>0</v>
      </c>
      <c r="R643" s="15" t="s">
        <v>0</v>
      </c>
      <c r="S643" s="10" t="s">
        <v>1</v>
      </c>
      <c r="T643" s="10" t="s">
        <v>32</v>
      </c>
      <c r="U643" s="5" t="str">
        <f t="shared" si="288"/>
        <v>Propriedade destinada a documentar: é.axonometria</v>
      </c>
      <c r="V643" s="5" t="str">
        <f t="shared" si="289"/>
        <v>Dado para documentar:  axonometria  Deve ser formatado como (rdfs:Literal  or  xsd:string)</v>
      </c>
      <c r="W643" s="5" t="s">
        <v>5489</v>
      </c>
      <c r="X643" s="24" t="str">
        <f t="shared" ref="X643:X693" si="290">IF(F642&lt;&gt;F643,_xlfn.CONCAT(RIGHT(LEFT(F643,7),5),".100"),_xlfn.CONCAT(RIGHT(LEFT(F643,7),5),".",SUM(VALUE(RIGHT(X642,3)),1)))</f>
        <v>docum.109</v>
      </c>
      <c r="Y643" s="24" t="str">
        <f t="shared" ref="Y643:Y693" si="291">_xlfn.CONCAT("Ação de ", SUBSTITUTE(F643, "d.",  ""))</f>
        <v>Ação de documentar</v>
      </c>
      <c r="Z643" s="47" t="s">
        <v>1419</v>
      </c>
      <c r="AA643" s="25" t="str">
        <f t="shared" si="279"/>
        <v>categoria.revit</v>
      </c>
      <c r="AB643" s="26" t="s">
        <v>3513</v>
      </c>
      <c r="AC643" s="25" t="str">
        <f t="shared" si="280"/>
        <v>null</v>
      </c>
      <c r="AD643" s="26" t="s">
        <v>0</v>
      </c>
      <c r="AE643" s="25" t="str">
        <f t="shared" si="281"/>
        <v>null</v>
      </c>
      <c r="AF643" s="26" t="s">
        <v>0</v>
      </c>
      <c r="AG643" s="47" t="s">
        <v>4988</v>
      </c>
    </row>
    <row r="644" spans="1:33" ht="6.9" customHeight="1" x14ac:dyDescent="0.4">
      <c r="A644" s="4">
        <f>ROW()</f>
        <v>644</v>
      </c>
      <c r="B644" s="9" t="s">
        <v>27</v>
      </c>
      <c r="C644" s="55" t="str">
        <f t="shared" si="235"/>
        <v>p.documentar</v>
      </c>
      <c r="D644" s="6" t="str">
        <f t="shared" si="264"/>
        <v>é.grupo</v>
      </c>
      <c r="E644" s="8" t="s">
        <v>28</v>
      </c>
      <c r="F644" s="42" t="str">
        <f t="shared" si="287"/>
        <v>d.documentar</v>
      </c>
      <c r="G644" s="18" t="s">
        <v>198</v>
      </c>
      <c r="H644" s="41" t="s">
        <v>2121</v>
      </c>
      <c r="I644" s="16" t="str">
        <f t="shared" si="273"/>
        <v>null</v>
      </c>
      <c r="J644" s="13" t="s">
        <v>0</v>
      </c>
      <c r="K644" s="13" t="s">
        <v>0</v>
      </c>
      <c r="L644" s="13" t="s">
        <v>0</v>
      </c>
      <c r="M644" s="13" t="s">
        <v>0</v>
      </c>
      <c r="N644" s="15" t="s">
        <v>0</v>
      </c>
      <c r="O644" s="13" t="s">
        <v>0</v>
      </c>
      <c r="P644" s="13" t="s">
        <v>0</v>
      </c>
      <c r="Q644" s="13" t="s">
        <v>0</v>
      </c>
      <c r="R644" s="15" t="s">
        <v>0</v>
      </c>
      <c r="S644" s="10" t="s">
        <v>1</v>
      </c>
      <c r="T644" s="10" t="s">
        <v>32</v>
      </c>
      <c r="U644" s="5" t="str">
        <f t="shared" si="288"/>
        <v>Propriedade destinada a documentar: é.grupo</v>
      </c>
      <c r="V644" s="5" t="str">
        <f t="shared" si="289"/>
        <v>Dado para documentar:  grupo  Deve ser formatado como (rdfs:Literal  or  xsd:string)</v>
      </c>
      <c r="W644" s="5" t="s">
        <v>5490</v>
      </c>
      <c r="X644" s="24" t="str">
        <f t="shared" si="290"/>
        <v>docum.110</v>
      </c>
      <c r="Y644" s="24" t="str">
        <f t="shared" si="291"/>
        <v>Ação de documentar</v>
      </c>
      <c r="Z644" s="47" t="s">
        <v>1420</v>
      </c>
      <c r="AA644" s="25" t="str">
        <f t="shared" si="279"/>
        <v>categoria.revit</v>
      </c>
      <c r="AB644" s="26" t="s">
        <v>3514</v>
      </c>
      <c r="AC644" s="25" t="str">
        <f t="shared" si="280"/>
        <v>null</v>
      </c>
      <c r="AD644" s="26" t="s">
        <v>0</v>
      </c>
      <c r="AE644" s="25" t="str">
        <f t="shared" si="281"/>
        <v>null</v>
      </c>
      <c r="AF644" s="26" t="s">
        <v>0</v>
      </c>
      <c r="AG644" s="47" t="s">
        <v>4979</v>
      </c>
    </row>
    <row r="645" spans="1:33" ht="6.9" customHeight="1" x14ac:dyDescent="0.4">
      <c r="A645" s="4">
        <f>ROW()</f>
        <v>645</v>
      </c>
      <c r="B645" s="9" t="s">
        <v>27</v>
      </c>
      <c r="C645" s="54" t="str">
        <f t="shared" si="235"/>
        <v>p.drenar</v>
      </c>
      <c r="D645" s="6" t="str">
        <f t="shared" si="264"/>
        <v>é.ralo</v>
      </c>
      <c r="E645" s="8" t="s">
        <v>28</v>
      </c>
      <c r="F645" s="51" t="s">
        <v>4975</v>
      </c>
      <c r="G645" s="17" t="s">
        <v>4419</v>
      </c>
      <c r="H645" s="42" t="s">
        <v>2121</v>
      </c>
      <c r="I645" s="16" t="str">
        <f t="shared" si="273"/>
        <v>null</v>
      </c>
      <c r="J645" s="15" t="s">
        <v>0</v>
      </c>
      <c r="K645" s="15" t="s">
        <v>0</v>
      </c>
      <c r="L645" s="15" t="s">
        <v>0</v>
      </c>
      <c r="M645" s="15" t="s">
        <v>0</v>
      </c>
      <c r="N645" s="15" t="s">
        <v>0</v>
      </c>
      <c r="O645" s="15" t="s">
        <v>0</v>
      </c>
      <c r="P645" s="15" t="s">
        <v>0</v>
      </c>
      <c r="Q645" s="15" t="s">
        <v>0</v>
      </c>
      <c r="R645" s="15" t="s">
        <v>0</v>
      </c>
      <c r="S645" s="10" t="s">
        <v>1</v>
      </c>
      <c r="T645" s="10" t="s">
        <v>32</v>
      </c>
      <c r="U645" s="5" t="str">
        <f t="shared" si="288"/>
        <v>Propriedade destinada a drenar: é.ralo</v>
      </c>
      <c r="V645" s="5" t="str">
        <f t="shared" si="289"/>
        <v>Dado para drenar:  ralo  Deve ser formatado como (rdfs:Literal  or  xsd:string)</v>
      </c>
      <c r="W645" s="5" t="s">
        <v>5491</v>
      </c>
      <c r="X645" s="24" t="str">
        <f t="shared" si="290"/>
        <v>drena.100</v>
      </c>
      <c r="Y645" s="24" t="str">
        <f t="shared" si="291"/>
        <v>Ação de drenar</v>
      </c>
      <c r="Z645" s="47" t="s">
        <v>3956</v>
      </c>
      <c r="AA645" s="25" t="str">
        <f t="shared" si="279"/>
        <v>categoria.revit</v>
      </c>
      <c r="AB645" s="26" t="s">
        <v>3498</v>
      </c>
      <c r="AC645" s="25" t="str">
        <f t="shared" si="280"/>
        <v>classe.ifc</v>
      </c>
      <c r="AD645" s="26" t="s">
        <v>3461</v>
      </c>
      <c r="AE645" s="25" t="str">
        <f t="shared" si="281"/>
        <v>null</v>
      </c>
      <c r="AF645" s="26" t="s">
        <v>0</v>
      </c>
      <c r="AG645" s="47" t="s">
        <v>4016</v>
      </c>
    </row>
    <row r="646" spans="1:33" ht="6.9" customHeight="1" x14ac:dyDescent="0.4">
      <c r="A646" s="4">
        <f>ROW()</f>
        <v>646</v>
      </c>
      <c r="B646" s="9" t="s">
        <v>27</v>
      </c>
      <c r="C646" s="55" t="str">
        <f t="shared" si="235"/>
        <v>p.drenar</v>
      </c>
      <c r="D646" s="6" t="str">
        <f t="shared" si="264"/>
        <v>é.ralo.seco</v>
      </c>
      <c r="E646" s="8" t="s">
        <v>28</v>
      </c>
      <c r="F646" s="42" t="str">
        <f>F645</f>
        <v>d.drenar</v>
      </c>
      <c r="G646" s="17" t="s">
        <v>550</v>
      </c>
      <c r="H646" s="41" t="s">
        <v>37</v>
      </c>
      <c r="I646" s="16" t="str">
        <f t="shared" si="273"/>
        <v>null</v>
      </c>
      <c r="J646" s="15" t="s">
        <v>0</v>
      </c>
      <c r="K646" s="15" t="s">
        <v>0</v>
      </c>
      <c r="L646" s="15" t="s">
        <v>0</v>
      </c>
      <c r="M646" s="15" t="s">
        <v>0</v>
      </c>
      <c r="N646" s="15" t="s">
        <v>0</v>
      </c>
      <c r="O646" s="15" t="s">
        <v>0</v>
      </c>
      <c r="P646" s="15" t="s">
        <v>0</v>
      </c>
      <c r="Q646" s="15" t="s">
        <v>0</v>
      </c>
      <c r="R646" s="15" t="s">
        <v>0</v>
      </c>
      <c r="S646" s="10" t="s">
        <v>1</v>
      </c>
      <c r="T646" s="10" t="s">
        <v>32</v>
      </c>
      <c r="U646" s="5" t="str">
        <f t="shared" si="288"/>
        <v>Propriedade destinada a drenar: é.ralo.seco</v>
      </c>
      <c r="V646" s="5" t="str">
        <f t="shared" si="289"/>
        <v>Dado para drenar:  ralo.seco  Deve ser formatado como (xsd:boolean)</v>
      </c>
      <c r="W646" s="5" t="s">
        <v>5492</v>
      </c>
      <c r="X646" s="24" t="str">
        <f t="shared" si="290"/>
        <v>drena.101</v>
      </c>
      <c r="Y646" s="24" t="str">
        <f t="shared" si="291"/>
        <v>Ação de drenar</v>
      </c>
      <c r="Z646" s="47" t="s">
        <v>7373</v>
      </c>
      <c r="AA646" s="25" t="str">
        <f t="shared" si="279"/>
        <v>categoria.revit</v>
      </c>
      <c r="AB646" s="26" t="s">
        <v>3498</v>
      </c>
      <c r="AC646" s="25" t="str">
        <f t="shared" si="280"/>
        <v>classe.ifc</v>
      </c>
      <c r="AD646" s="26" t="s">
        <v>3461</v>
      </c>
      <c r="AE646" s="25" t="str">
        <f t="shared" si="281"/>
        <v>null</v>
      </c>
      <c r="AF646" s="26" t="s">
        <v>0</v>
      </c>
      <c r="AG646" s="47" t="s">
        <v>4976</v>
      </c>
    </row>
    <row r="647" spans="1:33" ht="6.9" customHeight="1" x14ac:dyDescent="0.4">
      <c r="A647" s="4">
        <f>ROW()</f>
        <v>647</v>
      </c>
      <c r="B647" s="9" t="s">
        <v>27</v>
      </c>
      <c r="C647" s="55" t="str">
        <f t="shared" si="235"/>
        <v>p.drenar</v>
      </c>
      <c r="D647" s="6" t="str">
        <f t="shared" si="264"/>
        <v>é.ralo.sifonado</v>
      </c>
      <c r="E647" s="8" t="s">
        <v>28</v>
      </c>
      <c r="F647" s="42" t="str">
        <f>F646</f>
        <v>d.drenar</v>
      </c>
      <c r="G647" s="17" t="s">
        <v>551</v>
      </c>
      <c r="H647" s="41" t="s">
        <v>37</v>
      </c>
      <c r="I647" s="16" t="str">
        <f t="shared" si="273"/>
        <v>null</v>
      </c>
      <c r="J647" s="15" t="s">
        <v>0</v>
      </c>
      <c r="K647" s="15" t="s">
        <v>0</v>
      </c>
      <c r="L647" s="15" t="s">
        <v>0</v>
      </c>
      <c r="M647" s="15" t="s">
        <v>0</v>
      </c>
      <c r="N647" s="15" t="s">
        <v>0</v>
      </c>
      <c r="O647" s="15" t="s">
        <v>0</v>
      </c>
      <c r="P647" s="15" t="s">
        <v>0</v>
      </c>
      <c r="Q647" s="15" t="s">
        <v>0</v>
      </c>
      <c r="R647" s="15" t="s">
        <v>0</v>
      </c>
      <c r="S647" s="10" t="s">
        <v>1</v>
      </c>
      <c r="T647" s="10" t="s">
        <v>32</v>
      </c>
      <c r="U647" s="5" t="str">
        <f t="shared" si="288"/>
        <v>Propriedade destinada a drenar: é.ralo.sifonado</v>
      </c>
      <c r="V647" s="5" t="str">
        <f t="shared" si="289"/>
        <v>Dado para drenar:  ralo.sifonado  Deve ser formatado como (xsd:boolean)</v>
      </c>
      <c r="W647" s="5" t="s">
        <v>5493</v>
      </c>
      <c r="X647" s="24" t="str">
        <f t="shared" si="290"/>
        <v>drena.102</v>
      </c>
      <c r="Y647" s="24" t="str">
        <f t="shared" si="291"/>
        <v>Ação de drenar</v>
      </c>
      <c r="Z647" s="47" t="s">
        <v>7374</v>
      </c>
      <c r="AA647" s="25" t="str">
        <f t="shared" si="279"/>
        <v>categoria.revit</v>
      </c>
      <c r="AB647" s="26" t="s">
        <v>3498</v>
      </c>
      <c r="AC647" s="25" t="str">
        <f t="shared" si="280"/>
        <v>classe.ifc</v>
      </c>
      <c r="AD647" s="26" t="s">
        <v>3461</v>
      </c>
      <c r="AE647" s="25" t="str">
        <f t="shared" si="281"/>
        <v>null</v>
      </c>
      <c r="AF647" s="26" t="s">
        <v>0</v>
      </c>
      <c r="AG647" s="47" t="s">
        <v>4977</v>
      </c>
    </row>
    <row r="648" spans="1:33" ht="6.9" customHeight="1" x14ac:dyDescent="0.4">
      <c r="A648" s="4">
        <f>ROW()</f>
        <v>648</v>
      </c>
      <c r="B648" s="9" t="s">
        <v>27</v>
      </c>
      <c r="C648" s="55" t="str">
        <f t="shared" si="235"/>
        <v>p.drenar</v>
      </c>
      <c r="D648" s="6" t="str">
        <f t="shared" si="264"/>
        <v>é.ralo.linear</v>
      </c>
      <c r="E648" s="8" t="s">
        <v>28</v>
      </c>
      <c r="F648" s="42" t="str">
        <f>F647</f>
        <v>d.drenar</v>
      </c>
      <c r="G648" s="17" t="s">
        <v>552</v>
      </c>
      <c r="H648" s="41" t="s">
        <v>37</v>
      </c>
      <c r="I648" s="16" t="str">
        <f t="shared" si="273"/>
        <v>null</v>
      </c>
      <c r="J648" s="15" t="s">
        <v>0</v>
      </c>
      <c r="K648" s="15" t="s">
        <v>0</v>
      </c>
      <c r="L648" s="15" t="s">
        <v>0</v>
      </c>
      <c r="M648" s="15" t="s">
        <v>0</v>
      </c>
      <c r="N648" s="15" t="s">
        <v>0</v>
      </c>
      <c r="O648" s="15" t="s">
        <v>0</v>
      </c>
      <c r="P648" s="15" t="s">
        <v>0</v>
      </c>
      <c r="Q648" s="15" t="s">
        <v>0</v>
      </c>
      <c r="R648" s="15" t="s">
        <v>0</v>
      </c>
      <c r="S648" s="10" t="s">
        <v>1</v>
      </c>
      <c r="T648" s="10" t="s">
        <v>32</v>
      </c>
      <c r="U648" s="5" t="str">
        <f t="shared" si="288"/>
        <v>Propriedade destinada a drenar: é.ralo.linear</v>
      </c>
      <c r="V648" s="5" t="str">
        <f t="shared" si="289"/>
        <v>Dado para drenar:  ralo.linear  Deve ser formatado como (xsd:boolean)</v>
      </c>
      <c r="W648" s="5" t="s">
        <v>5494</v>
      </c>
      <c r="X648" s="24" t="str">
        <f t="shared" si="290"/>
        <v>drena.103</v>
      </c>
      <c r="Y648" s="24" t="str">
        <f t="shared" si="291"/>
        <v>Ação de drenar</v>
      </c>
      <c r="Z648" s="47" t="s">
        <v>7375</v>
      </c>
      <c r="AA648" s="25" t="str">
        <f t="shared" si="279"/>
        <v>categoria.revit</v>
      </c>
      <c r="AB648" s="26" t="s">
        <v>3498</v>
      </c>
      <c r="AC648" s="25" t="str">
        <f t="shared" si="280"/>
        <v>classe.ifc</v>
      </c>
      <c r="AD648" s="26" t="s">
        <v>3461</v>
      </c>
      <c r="AE648" s="25" t="str">
        <f t="shared" si="281"/>
        <v>null</v>
      </c>
      <c r="AF648" s="26" t="s">
        <v>0</v>
      </c>
      <c r="AG648" s="47" t="s">
        <v>4978</v>
      </c>
    </row>
    <row r="649" spans="1:33" ht="6.9" customHeight="1" x14ac:dyDescent="0.4">
      <c r="A649" s="4">
        <f>ROW()</f>
        <v>649</v>
      </c>
      <c r="B649" s="9" t="s">
        <v>27</v>
      </c>
      <c r="C649" s="55" t="str">
        <f t="shared" si="235"/>
        <v>p.drenar</v>
      </c>
      <c r="D649" s="6" t="str">
        <f t="shared" si="264"/>
        <v>é.ralo.hemisférico</v>
      </c>
      <c r="E649" s="8" t="s">
        <v>28</v>
      </c>
      <c r="F649" s="42" t="str">
        <f>F648</f>
        <v>d.drenar</v>
      </c>
      <c r="G649" s="17" t="s">
        <v>553</v>
      </c>
      <c r="H649" s="41" t="s">
        <v>37</v>
      </c>
      <c r="I649" s="16" t="str">
        <f t="shared" si="273"/>
        <v>null</v>
      </c>
      <c r="J649" s="15" t="s">
        <v>0</v>
      </c>
      <c r="K649" s="15" t="s">
        <v>0</v>
      </c>
      <c r="L649" s="15" t="s">
        <v>0</v>
      </c>
      <c r="M649" s="15" t="s">
        <v>0</v>
      </c>
      <c r="N649" s="15" t="s">
        <v>0</v>
      </c>
      <c r="O649" s="15" t="s">
        <v>0</v>
      </c>
      <c r="P649" s="15" t="s">
        <v>0</v>
      </c>
      <c r="Q649" s="15" t="s">
        <v>0</v>
      </c>
      <c r="R649" s="15" t="s">
        <v>0</v>
      </c>
      <c r="S649" s="10" t="s">
        <v>1</v>
      </c>
      <c r="T649" s="10" t="s">
        <v>32</v>
      </c>
      <c r="U649" s="5" t="str">
        <f t="shared" si="288"/>
        <v>Propriedade destinada a drenar: é.ralo.hemisférico</v>
      </c>
      <c r="V649" s="5" t="str">
        <f t="shared" si="289"/>
        <v>Dado para drenar:  ralo.hemisférico  Deve ser formatado como (xsd:boolean)</v>
      </c>
      <c r="W649" s="5" t="s">
        <v>5495</v>
      </c>
      <c r="X649" s="24" t="str">
        <f t="shared" si="290"/>
        <v>drena.104</v>
      </c>
      <c r="Y649" s="24" t="str">
        <f t="shared" si="291"/>
        <v>Ação de drenar</v>
      </c>
      <c r="Z649" s="47" t="s">
        <v>7376</v>
      </c>
      <c r="AA649" s="25" t="str">
        <f t="shared" si="279"/>
        <v>categoria.revit</v>
      </c>
      <c r="AB649" s="26" t="s">
        <v>3498</v>
      </c>
      <c r="AC649" s="25" t="str">
        <f t="shared" si="280"/>
        <v>classe.ifc</v>
      </c>
      <c r="AD649" s="26" t="s">
        <v>3461</v>
      </c>
      <c r="AE649" s="25" t="str">
        <f t="shared" si="281"/>
        <v>null</v>
      </c>
      <c r="AF649" s="26" t="s">
        <v>0</v>
      </c>
      <c r="AG649" s="47" t="s">
        <v>4995</v>
      </c>
    </row>
    <row r="650" spans="1:33" ht="6.9" customHeight="1" x14ac:dyDescent="0.4">
      <c r="A650" s="4">
        <f>ROW()</f>
        <v>650</v>
      </c>
      <c r="B650" s="9" t="s">
        <v>27</v>
      </c>
      <c r="C650" s="54" t="str">
        <f t="shared" si="235"/>
        <v>p.eletrificar</v>
      </c>
      <c r="D650" s="6" t="str">
        <f t="shared" si="264"/>
        <v>é.circuito.elétrico</v>
      </c>
      <c r="E650" s="8" t="s">
        <v>28</v>
      </c>
      <c r="F650" s="50" t="s">
        <v>657</v>
      </c>
      <c r="G650" s="17" t="s">
        <v>658</v>
      </c>
      <c r="H650" s="41" t="s">
        <v>2121</v>
      </c>
      <c r="I650" s="16" t="str">
        <f t="shared" si="273"/>
        <v>null</v>
      </c>
      <c r="J650" s="15" t="s">
        <v>0</v>
      </c>
      <c r="K650" s="15" t="s">
        <v>0</v>
      </c>
      <c r="L650" s="15" t="s">
        <v>0</v>
      </c>
      <c r="M650" s="15" t="s">
        <v>0</v>
      </c>
      <c r="N650" s="15" t="s">
        <v>0</v>
      </c>
      <c r="O650" s="15" t="s">
        <v>0</v>
      </c>
      <c r="P650" s="15" t="s">
        <v>0</v>
      </c>
      <c r="Q650" s="15" t="s">
        <v>0</v>
      </c>
      <c r="R650" s="15" t="s">
        <v>0</v>
      </c>
      <c r="S650" s="10" t="s">
        <v>1</v>
      </c>
      <c r="T650" s="10" t="s">
        <v>32</v>
      </c>
      <c r="U650" s="5" t="str">
        <f t="shared" si="288"/>
        <v>Propriedade destinada a eletrificar: é.circuito.elétrico</v>
      </c>
      <c r="V650" s="5" t="str">
        <f t="shared" si="289"/>
        <v>Dado para eletrificar:  circuito.elétrico  Deve ser formatado como (rdfs:Literal  or  xsd:string)</v>
      </c>
      <c r="W650" s="5" t="s">
        <v>5496</v>
      </c>
      <c r="X650" s="24" t="str">
        <f t="shared" si="290"/>
        <v>eletr.100</v>
      </c>
      <c r="Y650" s="24" t="str">
        <f t="shared" si="291"/>
        <v>Ação de eletrificar</v>
      </c>
      <c r="Z650" s="47" t="s">
        <v>7377</v>
      </c>
      <c r="AA650" s="25" t="str">
        <f t="shared" si="279"/>
        <v>categoria.revit</v>
      </c>
      <c r="AB650" s="26" t="s">
        <v>3515</v>
      </c>
      <c r="AC650" s="25" t="str">
        <f t="shared" si="280"/>
        <v>null</v>
      </c>
      <c r="AD650" s="26" t="s">
        <v>0</v>
      </c>
      <c r="AE650" s="25" t="str">
        <f t="shared" si="281"/>
        <v>null</v>
      </c>
      <c r="AF650" s="26" t="s">
        <v>0</v>
      </c>
      <c r="AG650" s="47" t="s">
        <v>4779</v>
      </c>
    </row>
    <row r="651" spans="1:33" ht="6.9" customHeight="1" x14ac:dyDescent="0.4">
      <c r="A651" s="4">
        <f>ROW()</f>
        <v>651</v>
      </c>
      <c r="B651" s="9" t="s">
        <v>27</v>
      </c>
      <c r="C651" s="55" t="str">
        <f t="shared" si="235"/>
        <v>p.eletrificar</v>
      </c>
      <c r="D651" s="6" t="str">
        <f t="shared" si="264"/>
        <v>é.fiação.elétrica</v>
      </c>
      <c r="E651" s="8" t="s">
        <v>28</v>
      </c>
      <c r="F651" s="42" t="str">
        <f>F650</f>
        <v>d.eletrificar</v>
      </c>
      <c r="G651" s="17" t="s">
        <v>659</v>
      </c>
      <c r="H651" s="41" t="s">
        <v>2121</v>
      </c>
      <c r="I651" s="16" t="str">
        <f t="shared" si="273"/>
        <v>null</v>
      </c>
      <c r="J651" s="15" t="s">
        <v>0</v>
      </c>
      <c r="K651" s="15" t="s">
        <v>0</v>
      </c>
      <c r="L651" s="15" t="s">
        <v>0</v>
      </c>
      <c r="M651" s="15" t="s">
        <v>0</v>
      </c>
      <c r="N651" s="15" t="s">
        <v>0</v>
      </c>
      <c r="O651" s="15" t="s">
        <v>0</v>
      </c>
      <c r="P651" s="15" t="s">
        <v>0</v>
      </c>
      <c r="Q651" s="15" t="s">
        <v>0</v>
      </c>
      <c r="R651" s="15" t="s">
        <v>0</v>
      </c>
      <c r="S651" s="10" t="s">
        <v>1</v>
      </c>
      <c r="T651" s="10" t="s">
        <v>32</v>
      </c>
      <c r="U651" s="5" t="str">
        <f t="shared" si="288"/>
        <v>Propriedade destinada a eletrificar: é.fiação.elétrica</v>
      </c>
      <c r="V651" s="5" t="str">
        <f t="shared" si="289"/>
        <v>Dado para eletrificar:  fiação.elétrica  Deve ser formatado como (rdfs:Literal  or  xsd:string)</v>
      </c>
      <c r="W651" s="5" t="s">
        <v>5498</v>
      </c>
      <c r="X651" s="24" t="str">
        <f t="shared" si="290"/>
        <v>eletr.101</v>
      </c>
      <c r="Y651" s="24" t="str">
        <f t="shared" si="291"/>
        <v>Ação de eletrificar</v>
      </c>
      <c r="Z651" s="47" t="s">
        <v>1422</v>
      </c>
      <c r="AA651" s="25" t="str">
        <f t="shared" si="279"/>
        <v>categoria.revit</v>
      </c>
      <c r="AB651" s="26" t="s">
        <v>3517</v>
      </c>
      <c r="AC651" s="25" t="str">
        <f t="shared" si="280"/>
        <v>null</v>
      </c>
      <c r="AD651" s="26" t="s">
        <v>0</v>
      </c>
      <c r="AE651" s="25" t="str">
        <f t="shared" si="281"/>
        <v>null</v>
      </c>
      <c r="AF651" s="26" t="s">
        <v>0</v>
      </c>
      <c r="AG651" s="47" t="s">
        <v>4780</v>
      </c>
    </row>
    <row r="652" spans="1:33" ht="6.9" customHeight="1" x14ac:dyDescent="0.4">
      <c r="A652" s="4">
        <f>ROW()</f>
        <v>652</v>
      </c>
      <c r="B652" s="9" t="s">
        <v>27</v>
      </c>
      <c r="C652" s="55" t="str">
        <f t="shared" si="235"/>
        <v>p.eletrificar</v>
      </c>
      <c r="D652" s="6" t="str">
        <f t="shared" si="264"/>
        <v>é.fiação.lógica</v>
      </c>
      <c r="E652" s="8" t="s">
        <v>28</v>
      </c>
      <c r="F652" s="42" t="str">
        <f t="shared" ref="F652:F658" si="292">F651</f>
        <v>d.eletrificar</v>
      </c>
      <c r="G652" s="17" t="s">
        <v>660</v>
      </c>
      <c r="H652" s="41" t="s">
        <v>2121</v>
      </c>
      <c r="I652" s="16" t="str">
        <f t="shared" si="273"/>
        <v>null</v>
      </c>
      <c r="J652" s="15" t="s">
        <v>0</v>
      </c>
      <c r="K652" s="15" t="s">
        <v>0</v>
      </c>
      <c r="L652" s="15" t="s">
        <v>0</v>
      </c>
      <c r="M652" s="15" t="s">
        <v>0</v>
      </c>
      <c r="N652" s="15" t="s">
        <v>0</v>
      </c>
      <c r="O652" s="15" t="s">
        <v>0</v>
      </c>
      <c r="P652" s="15" t="s">
        <v>0</v>
      </c>
      <c r="Q652" s="15" t="s">
        <v>0</v>
      </c>
      <c r="R652" s="15" t="s">
        <v>0</v>
      </c>
      <c r="S652" s="10" t="s">
        <v>1</v>
      </c>
      <c r="T652" s="10" t="s">
        <v>32</v>
      </c>
      <c r="U652" s="5" t="str">
        <f t="shared" si="288"/>
        <v>Propriedade destinada a eletrificar: é.fiação.lógica</v>
      </c>
      <c r="V652" s="5" t="str">
        <f t="shared" si="289"/>
        <v>Dado para eletrificar:  fiação.lógica  Deve ser formatado como (rdfs:Literal  or  xsd:string)</v>
      </c>
      <c r="W652" s="5" t="s">
        <v>5499</v>
      </c>
      <c r="X652" s="24" t="str">
        <f t="shared" si="290"/>
        <v>eletr.102</v>
      </c>
      <c r="Y652" s="24" t="str">
        <f t="shared" si="291"/>
        <v>Ação de eletrificar</v>
      </c>
      <c r="Z652" s="47" t="s">
        <v>1423</v>
      </c>
      <c r="AA652" s="25" t="str">
        <f t="shared" si="279"/>
        <v>categoria.revit</v>
      </c>
      <c r="AB652" s="26" t="s">
        <v>3517</v>
      </c>
      <c r="AC652" s="25" t="str">
        <f t="shared" si="280"/>
        <v>null</v>
      </c>
      <c r="AD652" s="26" t="s">
        <v>0</v>
      </c>
      <c r="AE652" s="25" t="str">
        <f t="shared" si="281"/>
        <v>null</v>
      </c>
      <c r="AF652" s="26" t="s">
        <v>0</v>
      </c>
      <c r="AG652" s="47" t="s">
        <v>2744</v>
      </c>
    </row>
    <row r="653" spans="1:33" ht="6.9" customHeight="1" x14ac:dyDescent="0.4">
      <c r="A653" s="4">
        <f>ROW()</f>
        <v>653</v>
      </c>
      <c r="B653" s="9" t="s">
        <v>27</v>
      </c>
      <c r="C653" s="55" t="str">
        <f t="shared" si="235"/>
        <v>p.eletrificar</v>
      </c>
      <c r="D653" s="6" t="str">
        <f t="shared" si="264"/>
        <v>é.rede.urbana.de.elétrica</v>
      </c>
      <c r="E653" s="8" t="s">
        <v>28</v>
      </c>
      <c r="F653" s="42" t="str">
        <f t="shared" si="292"/>
        <v>d.eletrificar</v>
      </c>
      <c r="G653" s="17" t="s">
        <v>661</v>
      </c>
      <c r="H653" s="41" t="s">
        <v>2121</v>
      </c>
      <c r="I653" s="16" t="str">
        <f t="shared" si="273"/>
        <v>null</v>
      </c>
      <c r="J653" s="15" t="s">
        <v>0</v>
      </c>
      <c r="K653" s="15" t="s">
        <v>0</v>
      </c>
      <c r="L653" s="15" t="s">
        <v>0</v>
      </c>
      <c r="M653" s="15" t="s">
        <v>0</v>
      </c>
      <c r="N653" s="15" t="s">
        <v>0</v>
      </c>
      <c r="O653" s="15" t="s">
        <v>0</v>
      </c>
      <c r="P653" s="15" t="s">
        <v>0</v>
      </c>
      <c r="Q653" s="15" t="s">
        <v>0</v>
      </c>
      <c r="R653" s="15" t="s">
        <v>0</v>
      </c>
      <c r="S653" s="10" t="s">
        <v>1</v>
      </c>
      <c r="T653" s="10" t="s">
        <v>32</v>
      </c>
      <c r="U653" s="5" t="str">
        <f t="shared" si="288"/>
        <v>Propriedade destinada a eletrificar: é.rede.urbana.de.elétrica</v>
      </c>
      <c r="V653" s="5" t="str">
        <f t="shared" si="289"/>
        <v>Dado para eletrificar:  rede.urbana.de.elétrica  Deve ser formatado como (rdfs:Literal  or  xsd:string)</v>
      </c>
      <c r="W653" s="5" t="s">
        <v>5500</v>
      </c>
      <c r="X653" s="24" t="str">
        <f t="shared" si="290"/>
        <v>eletr.103</v>
      </c>
      <c r="Y653" s="24" t="str">
        <f t="shared" si="291"/>
        <v>Ação de eletrificar</v>
      </c>
      <c r="Z653" s="47" t="s">
        <v>1424</v>
      </c>
      <c r="AA653" s="25" t="str">
        <f t="shared" si="279"/>
        <v>categoria.revit</v>
      </c>
      <c r="AB653" s="26" t="s">
        <v>3516</v>
      </c>
      <c r="AC653" s="25" t="str">
        <f t="shared" si="280"/>
        <v>classe.ifc</v>
      </c>
      <c r="AD653" s="26" t="s">
        <v>3468</v>
      </c>
      <c r="AE653" s="25" t="str">
        <f t="shared" si="281"/>
        <v>null</v>
      </c>
      <c r="AF653" s="26" t="s">
        <v>0</v>
      </c>
      <c r="AG653" s="47" t="s">
        <v>4692</v>
      </c>
    </row>
    <row r="654" spans="1:33" ht="6.9" customHeight="1" x14ac:dyDescent="0.4">
      <c r="A654" s="4">
        <f>ROW()</f>
        <v>654</v>
      </c>
      <c r="B654" s="9" t="s">
        <v>27</v>
      </c>
      <c r="C654" s="55" t="str">
        <f t="shared" si="235"/>
        <v>p.eletrificar</v>
      </c>
      <c r="D654" s="6" t="str">
        <f t="shared" si="264"/>
        <v>é.rede.urbana.de.alta.tensão</v>
      </c>
      <c r="E654" s="8" t="s">
        <v>28</v>
      </c>
      <c r="F654" s="42" t="str">
        <f t="shared" si="292"/>
        <v>d.eletrificar</v>
      </c>
      <c r="G654" s="17" t="s">
        <v>662</v>
      </c>
      <c r="H654" s="41" t="s">
        <v>2121</v>
      </c>
      <c r="I654" s="16" t="str">
        <f t="shared" si="273"/>
        <v>null</v>
      </c>
      <c r="J654" s="15" t="s">
        <v>0</v>
      </c>
      <c r="K654" s="15" t="s">
        <v>0</v>
      </c>
      <c r="L654" s="15" t="s">
        <v>0</v>
      </c>
      <c r="M654" s="15" t="s">
        <v>0</v>
      </c>
      <c r="N654" s="15" t="s">
        <v>0</v>
      </c>
      <c r="O654" s="15" t="s">
        <v>0</v>
      </c>
      <c r="P654" s="15" t="s">
        <v>0</v>
      </c>
      <c r="Q654" s="15" t="s">
        <v>0</v>
      </c>
      <c r="R654" s="15" t="s">
        <v>0</v>
      </c>
      <c r="S654" s="10" t="s">
        <v>1</v>
      </c>
      <c r="T654" s="10" t="s">
        <v>32</v>
      </c>
      <c r="U654" s="5" t="str">
        <f t="shared" si="288"/>
        <v>Propriedade destinada a eletrificar: é.rede.urbana.de.alta.tensão</v>
      </c>
      <c r="V654" s="5" t="str">
        <f t="shared" si="289"/>
        <v>Dado para eletrificar:  rede.urbana.de.alta.tensão  Deve ser formatado como (rdfs:Literal  or  xsd:string)</v>
      </c>
      <c r="W654" s="5" t="s">
        <v>5501</v>
      </c>
      <c r="X654" s="24" t="str">
        <f t="shared" si="290"/>
        <v>eletr.104</v>
      </c>
      <c r="Y654" s="24" t="str">
        <f t="shared" si="291"/>
        <v>Ação de eletrificar</v>
      </c>
      <c r="Z654" s="47" t="s">
        <v>1425</v>
      </c>
      <c r="AA654" s="25" t="str">
        <f t="shared" si="279"/>
        <v>categoria.revit</v>
      </c>
      <c r="AB654" s="26" t="s">
        <v>3516</v>
      </c>
      <c r="AC654" s="25" t="str">
        <f t="shared" si="280"/>
        <v>classe.ifc</v>
      </c>
      <c r="AD654" s="26" t="s">
        <v>3468</v>
      </c>
      <c r="AE654" s="25" t="str">
        <f t="shared" si="281"/>
        <v>null</v>
      </c>
      <c r="AF654" s="26" t="s">
        <v>0</v>
      </c>
      <c r="AG654" s="47" t="s">
        <v>4693</v>
      </c>
    </row>
    <row r="655" spans="1:33" ht="6.9" customHeight="1" x14ac:dyDescent="0.4">
      <c r="A655" s="4">
        <f>ROW()</f>
        <v>655</v>
      </c>
      <c r="B655" s="9" t="s">
        <v>27</v>
      </c>
      <c r="C655" s="55" t="str">
        <f t="shared" si="235"/>
        <v>p.eletrificar</v>
      </c>
      <c r="D655" s="6" t="str">
        <f t="shared" ref="D655:D718" si="293">_xlfn.CONCAT("é.",G655)</f>
        <v>é.rede.urbana.de.média.tensão</v>
      </c>
      <c r="E655" s="8" t="s">
        <v>28</v>
      </c>
      <c r="F655" s="42" t="str">
        <f t="shared" si="292"/>
        <v>d.eletrificar</v>
      </c>
      <c r="G655" s="17" t="s">
        <v>663</v>
      </c>
      <c r="H655" s="41" t="s">
        <v>2121</v>
      </c>
      <c r="I655" s="16" t="str">
        <f t="shared" si="273"/>
        <v>null</v>
      </c>
      <c r="J655" s="15" t="s">
        <v>0</v>
      </c>
      <c r="K655" s="15" t="s">
        <v>0</v>
      </c>
      <c r="L655" s="15" t="s">
        <v>0</v>
      </c>
      <c r="M655" s="15" t="s">
        <v>0</v>
      </c>
      <c r="N655" s="15" t="s">
        <v>0</v>
      </c>
      <c r="O655" s="15" t="s">
        <v>0</v>
      </c>
      <c r="P655" s="15" t="s">
        <v>0</v>
      </c>
      <c r="Q655" s="15" t="s">
        <v>0</v>
      </c>
      <c r="R655" s="15" t="s">
        <v>0</v>
      </c>
      <c r="S655" s="10" t="s">
        <v>1</v>
      </c>
      <c r="T655" s="10" t="s">
        <v>32</v>
      </c>
      <c r="U655" s="5" t="str">
        <f t="shared" si="288"/>
        <v>Propriedade destinada a eletrificar: é.rede.urbana.de.média.tensão</v>
      </c>
      <c r="V655" s="5" t="str">
        <f t="shared" si="289"/>
        <v>Dado para eletrificar:  rede.urbana.de.média.tensão  Deve ser formatado como (rdfs:Literal  or  xsd:string)</v>
      </c>
      <c r="W655" s="5" t="s">
        <v>5502</v>
      </c>
      <c r="X655" s="24" t="str">
        <f t="shared" si="290"/>
        <v>eletr.105</v>
      </c>
      <c r="Y655" s="24" t="str">
        <f t="shared" si="291"/>
        <v>Ação de eletrificar</v>
      </c>
      <c r="Z655" s="47" t="s">
        <v>1426</v>
      </c>
      <c r="AA655" s="25" t="str">
        <f t="shared" si="279"/>
        <v>categoria.revit</v>
      </c>
      <c r="AB655" s="26" t="s">
        <v>3516</v>
      </c>
      <c r="AC655" s="25" t="str">
        <f t="shared" si="280"/>
        <v>classe.ifc</v>
      </c>
      <c r="AD655" s="26" t="s">
        <v>3468</v>
      </c>
      <c r="AE655" s="25" t="str">
        <f t="shared" si="281"/>
        <v>null</v>
      </c>
      <c r="AF655" s="26" t="s">
        <v>0</v>
      </c>
      <c r="AG655" s="47" t="s">
        <v>4694</v>
      </c>
    </row>
    <row r="656" spans="1:33" ht="6.9" customHeight="1" x14ac:dyDescent="0.4">
      <c r="A656" s="4">
        <f>ROW()</f>
        <v>656</v>
      </c>
      <c r="B656" s="9" t="s">
        <v>27</v>
      </c>
      <c r="C656" s="55" t="str">
        <f t="shared" si="235"/>
        <v>p.eletrificar</v>
      </c>
      <c r="D656" s="6" t="str">
        <f t="shared" si="293"/>
        <v>é.rede.urbana.de.baixa.tensão</v>
      </c>
      <c r="E656" s="8" t="s">
        <v>28</v>
      </c>
      <c r="F656" s="42" t="str">
        <f t="shared" si="292"/>
        <v>d.eletrificar</v>
      </c>
      <c r="G656" s="17" t="s">
        <v>664</v>
      </c>
      <c r="H656" s="41" t="s">
        <v>2121</v>
      </c>
      <c r="I656" s="16" t="str">
        <f t="shared" si="273"/>
        <v>null</v>
      </c>
      <c r="J656" s="15" t="s">
        <v>0</v>
      </c>
      <c r="K656" s="15" t="s">
        <v>0</v>
      </c>
      <c r="L656" s="15" t="s">
        <v>0</v>
      </c>
      <c r="M656" s="15" t="s">
        <v>0</v>
      </c>
      <c r="N656" s="15" t="s">
        <v>0</v>
      </c>
      <c r="O656" s="15" t="s">
        <v>0</v>
      </c>
      <c r="P656" s="15" t="s">
        <v>0</v>
      </c>
      <c r="Q656" s="15" t="s">
        <v>0</v>
      </c>
      <c r="R656" s="15" t="s">
        <v>0</v>
      </c>
      <c r="S656" s="10" t="s">
        <v>1</v>
      </c>
      <c r="T656" s="10" t="s">
        <v>32</v>
      </c>
      <c r="U656" s="5" t="str">
        <f t="shared" si="288"/>
        <v>Propriedade destinada a eletrificar: é.rede.urbana.de.baixa.tensão</v>
      </c>
      <c r="V656" s="5" t="str">
        <f t="shared" si="289"/>
        <v>Dado para eletrificar:  rede.urbana.de.baixa.tensão  Deve ser formatado como (rdfs:Literal  or  xsd:string)</v>
      </c>
      <c r="W656" s="5" t="s">
        <v>5503</v>
      </c>
      <c r="X656" s="24" t="str">
        <f t="shared" si="290"/>
        <v>eletr.106</v>
      </c>
      <c r="Y656" s="24" t="str">
        <f t="shared" si="291"/>
        <v>Ação de eletrificar</v>
      </c>
      <c r="Z656" s="47" t="s">
        <v>1427</v>
      </c>
      <c r="AA656" s="25" t="str">
        <f t="shared" si="279"/>
        <v>categoria.revit</v>
      </c>
      <c r="AB656" s="26" t="s">
        <v>3516</v>
      </c>
      <c r="AC656" s="25" t="str">
        <f t="shared" si="280"/>
        <v>classe.ifc</v>
      </c>
      <c r="AD656" s="26" t="s">
        <v>3468</v>
      </c>
      <c r="AE656" s="25" t="str">
        <f t="shared" si="281"/>
        <v>null</v>
      </c>
      <c r="AF656" s="26" t="s">
        <v>0</v>
      </c>
      <c r="AG656" s="47" t="s">
        <v>4695</v>
      </c>
    </row>
    <row r="657" spans="1:33" ht="6.9" customHeight="1" x14ac:dyDescent="0.4">
      <c r="A657" s="4">
        <f>ROW()</f>
        <v>657</v>
      </c>
      <c r="B657" s="9" t="s">
        <v>27</v>
      </c>
      <c r="C657" s="55" t="str">
        <f t="shared" si="235"/>
        <v>p.eletrificar</v>
      </c>
      <c r="D657" s="6" t="str">
        <f t="shared" si="293"/>
        <v>é.rede.urbana.de.dados</v>
      </c>
      <c r="E657" s="8" t="s">
        <v>28</v>
      </c>
      <c r="F657" s="42" t="str">
        <f t="shared" si="292"/>
        <v>d.eletrificar</v>
      </c>
      <c r="G657" s="17" t="s">
        <v>665</v>
      </c>
      <c r="H657" s="41" t="s">
        <v>2121</v>
      </c>
      <c r="I657" s="16" t="str">
        <f t="shared" si="273"/>
        <v>null</v>
      </c>
      <c r="J657" s="15" t="s">
        <v>0</v>
      </c>
      <c r="K657" s="15" t="s">
        <v>0</v>
      </c>
      <c r="L657" s="15" t="s">
        <v>0</v>
      </c>
      <c r="M657" s="15" t="s">
        <v>0</v>
      </c>
      <c r="N657" s="15" t="s">
        <v>0</v>
      </c>
      <c r="O657" s="15" t="s">
        <v>0</v>
      </c>
      <c r="P657" s="15" t="s">
        <v>0</v>
      </c>
      <c r="Q657" s="15" t="s">
        <v>0</v>
      </c>
      <c r="R657" s="15" t="s">
        <v>0</v>
      </c>
      <c r="S657" s="10" t="s">
        <v>1</v>
      </c>
      <c r="T657" s="10" t="s">
        <v>32</v>
      </c>
      <c r="U657" s="5" t="str">
        <f t="shared" si="288"/>
        <v>Propriedade destinada a eletrificar: é.rede.urbana.de.dados</v>
      </c>
      <c r="V657" s="5" t="str">
        <f t="shared" si="289"/>
        <v>Dado para eletrificar:  rede.urbana.de.dados  Deve ser formatado como (rdfs:Literal  or  xsd:string)</v>
      </c>
      <c r="W657" s="5" t="s">
        <v>5504</v>
      </c>
      <c r="X657" s="24" t="str">
        <f t="shared" si="290"/>
        <v>eletr.107</v>
      </c>
      <c r="Y657" s="24" t="str">
        <f t="shared" si="291"/>
        <v>Ação de eletrificar</v>
      </c>
      <c r="Z657" s="47" t="s">
        <v>1428</v>
      </c>
      <c r="AA657" s="25" t="str">
        <f t="shared" si="279"/>
        <v>categoria.revit</v>
      </c>
      <c r="AB657" s="26" t="s">
        <v>3516</v>
      </c>
      <c r="AC657" s="25" t="str">
        <f t="shared" si="280"/>
        <v>classe.ifc</v>
      </c>
      <c r="AD657" s="26" t="s">
        <v>3468</v>
      </c>
      <c r="AE657" s="25" t="str">
        <f t="shared" si="281"/>
        <v>null</v>
      </c>
      <c r="AF657" s="26" t="s">
        <v>0</v>
      </c>
      <c r="AG657" s="47" t="s">
        <v>2745</v>
      </c>
    </row>
    <row r="658" spans="1:33" ht="6.9" customHeight="1" x14ac:dyDescent="0.4">
      <c r="A658" s="4">
        <f>ROW()</f>
        <v>658</v>
      </c>
      <c r="B658" s="9" t="s">
        <v>27</v>
      </c>
      <c r="C658" s="55" t="str">
        <f t="shared" si="235"/>
        <v>p.eletrificar</v>
      </c>
      <c r="D658" s="6" t="str">
        <f t="shared" si="293"/>
        <v>é.rede.urbana.de.telefonia</v>
      </c>
      <c r="E658" s="8" t="s">
        <v>28</v>
      </c>
      <c r="F658" s="42" t="str">
        <f t="shared" si="292"/>
        <v>d.eletrificar</v>
      </c>
      <c r="G658" s="17" t="s">
        <v>666</v>
      </c>
      <c r="H658" s="41" t="s">
        <v>2121</v>
      </c>
      <c r="I658" s="16" t="str">
        <f t="shared" si="273"/>
        <v>null</v>
      </c>
      <c r="J658" s="15" t="s">
        <v>0</v>
      </c>
      <c r="K658" s="15" t="s">
        <v>0</v>
      </c>
      <c r="L658" s="15" t="s">
        <v>0</v>
      </c>
      <c r="M658" s="15" t="s">
        <v>0</v>
      </c>
      <c r="N658" s="15" t="s">
        <v>0</v>
      </c>
      <c r="O658" s="15" t="s">
        <v>0</v>
      </c>
      <c r="P658" s="15" t="s">
        <v>0</v>
      </c>
      <c r="Q658" s="15" t="s">
        <v>0</v>
      </c>
      <c r="R658" s="15" t="s">
        <v>0</v>
      </c>
      <c r="S658" s="10" t="s">
        <v>1</v>
      </c>
      <c r="T658" s="10" t="s">
        <v>32</v>
      </c>
      <c r="U658" s="5" t="str">
        <f t="shared" si="288"/>
        <v>Propriedade destinada a eletrificar: é.rede.urbana.de.telefonia</v>
      </c>
      <c r="V658" s="5" t="str">
        <f t="shared" si="289"/>
        <v>Dado para eletrificar:  rede.urbana.de.telefonia  Deve ser formatado como (rdfs:Literal  or  xsd:string)</v>
      </c>
      <c r="W658" s="5" t="s">
        <v>5505</v>
      </c>
      <c r="X658" s="24" t="str">
        <f t="shared" si="290"/>
        <v>eletr.108</v>
      </c>
      <c r="Y658" s="24" t="str">
        <f t="shared" si="291"/>
        <v>Ação de eletrificar</v>
      </c>
      <c r="Z658" s="47" t="s">
        <v>1429</v>
      </c>
      <c r="AA658" s="25" t="str">
        <f t="shared" si="279"/>
        <v>categoria.revit</v>
      </c>
      <c r="AB658" s="26" t="s">
        <v>3516</v>
      </c>
      <c r="AC658" s="25" t="str">
        <f t="shared" si="280"/>
        <v>classe.ifc</v>
      </c>
      <c r="AD658" s="26" t="s">
        <v>3468</v>
      </c>
      <c r="AE658" s="25" t="str">
        <f t="shared" si="281"/>
        <v>null</v>
      </c>
      <c r="AF658" s="26" t="s">
        <v>0</v>
      </c>
      <c r="AG658" s="47" t="s">
        <v>4696</v>
      </c>
    </row>
    <row r="659" spans="1:33" ht="6.9" customHeight="1" x14ac:dyDescent="0.4">
      <c r="A659" s="4">
        <f>ROW()</f>
        <v>659</v>
      </c>
      <c r="B659" s="9" t="s">
        <v>27</v>
      </c>
      <c r="C659" s="54" t="str">
        <f t="shared" si="235"/>
        <v>p.elevar</v>
      </c>
      <c r="D659" s="6" t="str">
        <f t="shared" si="293"/>
        <v>é.comunicador</v>
      </c>
      <c r="E659" s="8" t="s">
        <v>28</v>
      </c>
      <c r="F659" s="51" t="s">
        <v>2191</v>
      </c>
      <c r="G659" s="18" t="s">
        <v>320</v>
      </c>
      <c r="H659" s="41" t="s">
        <v>2121</v>
      </c>
      <c r="I659" s="16" t="str">
        <f t="shared" si="273"/>
        <v>null</v>
      </c>
      <c r="J659" s="13" t="s">
        <v>0</v>
      </c>
      <c r="K659" s="13" t="s">
        <v>0</v>
      </c>
      <c r="L659" s="13" t="s">
        <v>0</v>
      </c>
      <c r="M659" s="13" t="s">
        <v>0</v>
      </c>
      <c r="N659" s="15" t="s">
        <v>0</v>
      </c>
      <c r="O659" s="13" t="s">
        <v>0</v>
      </c>
      <c r="P659" s="13" t="s">
        <v>0</v>
      </c>
      <c r="Q659" s="13" t="s">
        <v>0</v>
      </c>
      <c r="R659" s="15" t="s">
        <v>0</v>
      </c>
      <c r="S659" s="10" t="s">
        <v>1</v>
      </c>
      <c r="T659" s="10" t="s">
        <v>32</v>
      </c>
      <c r="U659" s="5" t="str">
        <f t="shared" si="288"/>
        <v>Propriedade destinada a elevar: é.comunicador</v>
      </c>
      <c r="V659" s="5" t="str">
        <f t="shared" si="289"/>
        <v>Dado para elevar:  comunicador  Deve ser formatado como (rdfs:Literal  or  xsd:string)</v>
      </c>
      <c r="W659" s="5" t="s">
        <v>7741</v>
      </c>
      <c r="X659" s="24" t="str">
        <f t="shared" si="290"/>
        <v>eleva.100</v>
      </c>
      <c r="Y659" s="24" t="str">
        <f t="shared" si="291"/>
        <v>Ação de elevar</v>
      </c>
      <c r="Z659" s="47" t="s">
        <v>8006</v>
      </c>
      <c r="AA659" s="25" t="str">
        <f t="shared" si="279"/>
        <v>null</v>
      </c>
      <c r="AB659" s="26" t="s">
        <v>0</v>
      </c>
      <c r="AC659" s="25" t="str">
        <f t="shared" si="280"/>
        <v>null</v>
      </c>
      <c r="AD659" s="26" t="s">
        <v>0</v>
      </c>
      <c r="AE659" s="25" t="str">
        <f t="shared" si="281"/>
        <v>null</v>
      </c>
      <c r="AF659" s="26" t="s">
        <v>0</v>
      </c>
      <c r="AG659" s="47" t="s">
        <v>7747</v>
      </c>
    </row>
    <row r="660" spans="1:33" ht="6.9" customHeight="1" x14ac:dyDescent="0.4">
      <c r="A660" s="4">
        <f>ROW()</f>
        <v>660</v>
      </c>
      <c r="B660" s="9" t="s">
        <v>27</v>
      </c>
      <c r="C660" s="55" t="str">
        <f t="shared" si="235"/>
        <v>p.elevar</v>
      </c>
      <c r="D660" s="6" t="str">
        <f t="shared" si="293"/>
        <v>é.gancho</v>
      </c>
      <c r="E660" s="8" t="s">
        <v>28</v>
      </c>
      <c r="F660" s="42" t="str">
        <f t="shared" ref="F660:F666" si="294">F659</f>
        <v>d.elevar</v>
      </c>
      <c r="G660" s="18" t="s">
        <v>321</v>
      </c>
      <c r="H660" s="41" t="s">
        <v>2121</v>
      </c>
      <c r="I660" s="16" t="str">
        <f t="shared" si="273"/>
        <v>null</v>
      </c>
      <c r="J660" s="13" t="s">
        <v>0</v>
      </c>
      <c r="K660" s="13" t="s">
        <v>0</v>
      </c>
      <c r="L660" s="13" t="s">
        <v>0</v>
      </c>
      <c r="M660" s="13" t="s">
        <v>0</v>
      </c>
      <c r="N660" s="15" t="s">
        <v>0</v>
      </c>
      <c r="O660" s="13" t="s">
        <v>0</v>
      </c>
      <c r="P660" s="13" t="s">
        <v>0</v>
      </c>
      <c r="Q660" s="13" t="s">
        <v>0</v>
      </c>
      <c r="R660" s="15" t="s">
        <v>0</v>
      </c>
      <c r="S660" s="10" t="s">
        <v>1</v>
      </c>
      <c r="T660" s="10" t="s">
        <v>32</v>
      </c>
      <c r="U660" s="5" t="str">
        <f t="shared" si="288"/>
        <v>Propriedade destinada a elevar: é.gancho</v>
      </c>
      <c r="V660" s="5" t="str">
        <f t="shared" si="289"/>
        <v>Dado para elevar:  gancho  Deve ser formatado como (rdfs:Literal  or  xsd:string)</v>
      </c>
      <c r="W660" s="5" t="s">
        <v>7740</v>
      </c>
      <c r="X660" s="24" t="str">
        <f t="shared" si="290"/>
        <v>eleva.101</v>
      </c>
      <c r="Y660" s="24" t="str">
        <f t="shared" si="291"/>
        <v>Ação de elevar</v>
      </c>
      <c r="Z660" s="47" t="s">
        <v>8007</v>
      </c>
      <c r="AA660" s="25" t="str">
        <f t="shared" si="279"/>
        <v>null</v>
      </c>
      <c r="AB660" s="26" t="s">
        <v>0</v>
      </c>
      <c r="AC660" s="25" t="str">
        <f t="shared" si="280"/>
        <v>null</v>
      </c>
      <c r="AD660" s="26" t="s">
        <v>0</v>
      </c>
      <c r="AE660" s="25" t="str">
        <f t="shared" si="281"/>
        <v>null</v>
      </c>
      <c r="AF660" s="26" t="s">
        <v>0</v>
      </c>
      <c r="AG660" s="47" t="s">
        <v>7746</v>
      </c>
    </row>
    <row r="661" spans="1:33" ht="6.9" customHeight="1" x14ac:dyDescent="0.4">
      <c r="A661" s="4">
        <f>ROW()</f>
        <v>661</v>
      </c>
      <c r="B661" s="9" t="s">
        <v>27</v>
      </c>
      <c r="C661" s="55" t="str">
        <f t="shared" si="235"/>
        <v>p.elevar</v>
      </c>
      <c r="D661" s="6" t="str">
        <f t="shared" si="293"/>
        <v>é.guindaste</v>
      </c>
      <c r="E661" s="8" t="s">
        <v>28</v>
      </c>
      <c r="F661" s="42" t="str">
        <f t="shared" si="294"/>
        <v>d.elevar</v>
      </c>
      <c r="G661" s="18" t="s">
        <v>322</v>
      </c>
      <c r="H661" s="41" t="s">
        <v>2121</v>
      </c>
      <c r="I661" s="16" t="str">
        <f t="shared" si="273"/>
        <v>null</v>
      </c>
      <c r="J661" s="13" t="s">
        <v>0</v>
      </c>
      <c r="K661" s="13" t="s">
        <v>0</v>
      </c>
      <c r="L661" s="13" t="s">
        <v>0</v>
      </c>
      <c r="M661" s="13" t="s">
        <v>0</v>
      </c>
      <c r="N661" s="15" t="s">
        <v>0</v>
      </c>
      <c r="O661" s="13" t="s">
        <v>0</v>
      </c>
      <c r="P661" s="13" t="s">
        <v>0</v>
      </c>
      <c r="Q661" s="13" t="s">
        <v>0</v>
      </c>
      <c r="R661" s="15" t="s">
        <v>0</v>
      </c>
      <c r="S661" s="10" t="s">
        <v>1</v>
      </c>
      <c r="T661" s="10" t="s">
        <v>32</v>
      </c>
      <c r="U661" s="5" t="str">
        <f t="shared" si="288"/>
        <v>Propriedade destinada a elevar: é.guindaste</v>
      </c>
      <c r="V661" s="5" t="str">
        <f t="shared" si="289"/>
        <v>Dado para elevar:  guindaste  Deve ser formatado como (rdfs:Literal  or  xsd:string)</v>
      </c>
      <c r="W661" s="5" t="s">
        <v>7739</v>
      </c>
      <c r="X661" s="24" t="str">
        <f t="shared" si="290"/>
        <v>eleva.102</v>
      </c>
      <c r="Y661" s="24" t="str">
        <f t="shared" si="291"/>
        <v>Ação de elevar</v>
      </c>
      <c r="Z661" s="47" t="s">
        <v>8008</v>
      </c>
      <c r="AA661" s="25" t="str">
        <f t="shared" si="279"/>
        <v>null</v>
      </c>
      <c r="AB661" s="26" t="s">
        <v>0</v>
      </c>
      <c r="AC661" s="25" t="str">
        <f t="shared" si="280"/>
        <v>null</v>
      </c>
      <c r="AD661" s="26" t="s">
        <v>0</v>
      </c>
      <c r="AE661" s="25" t="str">
        <f t="shared" si="281"/>
        <v>null</v>
      </c>
      <c r="AF661" s="26" t="s">
        <v>0</v>
      </c>
      <c r="AG661" s="47" t="s">
        <v>7748</v>
      </c>
    </row>
    <row r="662" spans="1:33" ht="6.9" customHeight="1" x14ac:dyDescent="0.4">
      <c r="A662" s="4">
        <f>ROW()</f>
        <v>662</v>
      </c>
      <c r="B662" s="9" t="s">
        <v>27</v>
      </c>
      <c r="C662" s="55" t="str">
        <f t="shared" si="235"/>
        <v>p.elevar</v>
      </c>
      <c r="D662" s="6" t="str">
        <f t="shared" si="293"/>
        <v>é.eslinga</v>
      </c>
      <c r="E662" s="8" t="s">
        <v>28</v>
      </c>
      <c r="F662" s="42" t="str">
        <f t="shared" si="294"/>
        <v>d.elevar</v>
      </c>
      <c r="G662" s="18" t="s">
        <v>1134</v>
      </c>
      <c r="H662" s="41" t="s">
        <v>2121</v>
      </c>
      <c r="I662" s="16" t="str">
        <f t="shared" si="273"/>
        <v>null</v>
      </c>
      <c r="J662" s="13" t="s">
        <v>0</v>
      </c>
      <c r="K662" s="13" t="s">
        <v>0</v>
      </c>
      <c r="L662" s="13" t="s">
        <v>0</v>
      </c>
      <c r="M662" s="13" t="s">
        <v>0</v>
      </c>
      <c r="N662" s="15" t="s">
        <v>0</v>
      </c>
      <c r="O662" s="13" t="s">
        <v>0</v>
      </c>
      <c r="P662" s="13" t="s">
        <v>0</v>
      </c>
      <c r="Q662" s="13" t="s">
        <v>0</v>
      </c>
      <c r="R662" s="15" t="s">
        <v>0</v>
      </c>
      <c r="S662" s="10" t="s">
        <v>1</v>
      </c>
      <c r="T662" s="10" t="s">
        <v>32</v>
      </c>
      <c r="U662" s="5" t="str">
        <f t="shared" si="288"/>
        <v>Propriedade destinada a elevar: é.eslinga</v>
      </c>
      <c r="V662" s="5" t="str">
        <f t="shared" si="289"/>
        <v>Dado para elevar:  eslinga  Deve ser formatado como (rdfs:Literal  or  xsd:string)</v>
      </c>
      <c r="W662" s="5" t="s">
        <v>7738</v>
      </c>
      <c r="X662" s="24" t="str">
        <f t="shared" si="290"/>
        <v>eleva.103</v>
      </c>
      <c r="Y662" s="24" t="str">
        <f t="shared" si="291"/>
        <v>Ação de elevar</v>
      </c>
      <c r="Z662" s="47" t="s">
        <v>8009</v>
      </c>
      <c r="AA662" s="25" t="str">
        <f t="shared" si="279"/>
        <v>null</v>
      </c>
      <c r="AB662" s="26" t="s">
        <v>0</v>
      </c>
      <c r="AC662" s="25" t="str">
        <f t="shared" si="280"/>
        <v>null</v>
      </c>
      <c r="AD662" s="26" t="s">
        <v>0</v>
      </c>
      <c r="AE662" s="25" t="str">
        <f t="shared" si="281"/>
        <v>null</v>
      </c>
      <c r="AF662" s="26" t="s">
        <v>0</v>
      </c>
      <c r="AG662" s="47" t="s">
        <v>7749</v>
      </c>
    </row>
    <row r="663" spans="1:33" ht="6.9" customHeight="1" x14ac:dyDescent="0.4">
      <c r="A663" s="4">
        <f>ROW()</f>
        <v>663</v>
      </c>
      <c r="B663" s="9" t="s">
        <v>27</v>
      </c>
      <c r="C663" s="55" t="str">
        <f t="shared" ref="C663" si="295">SUBSTITUTE(F663,"d.","p.")</f>
        <v>p.elevar</v>
      </c>
      <c r="D663" s="6" t="str">
        <f t="shared" si="293"/>
        <v>é.cabine.elevador</v>
      </c>
      <c r="E663" s="8" t="s">
        <v>28</v>
      </c>
      <c r="F663" s="42" t="str">
        <f>F661</f>
        <v>d.elevar</v>
      </c>
      <c r="G663" s="18" t="s">
        <v>7736</v>
      </c>
      <c r="H663" s="41" t="s">
        <v>2121</v>
      </c>
      <c r="I663" s="16" t="str">
        <f t="shared" ref="I663" si="296">J663</f>
        <v>null</v>
      </c>
      <c r="J663" s="13" t="s">
        <v>0</v>
      </c>
      <c r="K663" s="13" t="s">
        <v>0</v>
      </c>
      <c r="L663" s="13" t="s">
        <v>0</v>
      </c>
      <c r="M663" s="13" t="s">
        <v>0</v>
      </c>
      <c r="N663" s="15" t="s">
        <v>0</v>
      </c>
      <c r="O663" s="13" t="s">
        <v>0</v>
      </c>
      <c r="P663" s="13" t="s">
        <v>0</v>
      </c>
      <c r="Q663" s="13" t="s">
        <v>0</v>
      </c>
      <c r="R663" s="15" t="s">
        <v>0</v>
      </c>
      <c r="S663" s="10" t="s">
        <v>1</v>
      </c>
      <c r="T663" s="10" t="s">
        <v>32</v>
      </c>
      <c r="U663" s="5" t="str">
        <f t="shared" si="288"/>
        <v>Propriedade destinada a elevar: é.cabine.elevador</v>
      </c>
      <c r="V663" s="5" t="str">
        <f t="shared" si="289"/>
        <v>Dado para elevar:  cabine.elevador  Deve ser formatado como (rdfs:Literal  or  xsd:string)</v>
      </c>
      <c r="W663" s="5" t="s">
        <v>7737</v>
      </c>
      <c r="X663" s="24" t="str">
        <f t="shared" si="290"/>
        <v>eleva.104</v>
      </c>
      <c r="Y663" s="24" t="str">
        <f t="shared" si="291"/>
        <v>Ação de elevar</v>
      </c>
      <c r="Z663" s="47" t="s">
        <v>8010</v>
      </c>
      <c r="AA663" s="25" t="str">
        <f t="shared" ref="AA663" si="297">IF(AB663="null", "null", "categoria.revit")</f>
        <v>null</v>
      </c>
      <c r="AB663" s="26" t="s">
        <v>0</v>
      </c>
      <c r="AC663" s="25" t="str">
        <f t="shared" ref="AC663" si="298">IF(AD663="null", "null", "classe.ifc")</f>
        <v>null</v>
      </c>
      <c r="AD663" s="26" t="s">
        <v>0</v>
      </c>
      <c r="AE663" s="25" t="str">
        <f t="shared" ref="AE663" si="299">IF(AF663="null", "null", "propriedade")</f>
        <v>null</v>
      </c>
      <c r="AF663" s="26" t="s">
        <v>0</v>
      </c>
      <c r="AG663" s="47" t="s">
        <v>7750</v>
      </c>
    </row>
    <row r="664" spans="1:33" ht="6.9" customHeight="1" x14ac:dyDescent="0.4">
      <c r="A664" s="4">
        <f>ROW()</f>
        <v>664</v>
      </c>
      <c r="B664" s="9" t="s">
        <v>27</v>
      </c>
      <c r="C664" s="55" t="str">
        <f t="shared" si="235"/>
        <v>p.elevar</v>
      </c>
      <c r="D664" s="6" t="str">
        <f t="shared" si="293"/>
        <v>é.corrente.hsz</v>
      </c>
      <c r="E664" s="8" t="s">
        <v>28</v>
      </c>
      <c r="F664" s="42" t="str">
        <f>F662</f>
        <v>d.elevar</v>
      </c>
      <c r="G664" s="18" t="s">
        <v>1135</v>
      </c>
      <c r="H664" s="41" t="s">
        <v>2121</v>
      </c>
      <c r="I664" s="16" t="str">
        <f t="shared" si="273"/>
        <v>null</v>
      </c>
      <c r="J664" s="13" t="s">
        <v>0</v>
      </c>
      <c r="K664" s="13" t="s">
        <v>0</v>
      </c>
      <c r="L664" s="13" t="s">
        <v>0</v>
      </c>
      <c r="M664" s="13" t="s">
        <v>0</v>
      </c>
      <c r="N664" s="15" t="s">
        <v>0</v>
      </c>
      <c r="O664" s="13" t="s">
        <v>0</v>
      </c>
      <c r="P664" s="13" t="s">
        <v>0</v>
      </c>
      <c r="Q664" s="13" t="s">
        <v>0</v>
      </c>
      <c r="R664" s="15" t="s">
        <v>0</v>
      </c>
      <c r="S664" s="10" t="s">
        <v>1</v>
      </c>
      <c r="T664" s="10" t="s">
        <v>32</v>
      </c>
      <c r="U664" s="5" t="str">
        <f t="shared" si="288"/>
        <v>Propriedade destinada a elevar: é.corrente.hsz</v>
      </c>
      <c r="V664" s="5" t="str">
        <f t="shared" si="289"/>
        <v>Dado para elevar:  corrente.hsz  Deve ser formatado como (rdfs:Literal  or  xsd:string)</v>
      </c>
      <c r="W664" s="5" t="s">
        <v>7744</v>
      </c>
      <c r="X664" s="24" t="str">
        <f t="shared" si="290"/>
        <v>eleva.105</v>
      </c>
      <c r="Y664" s="24" t="str">
        <f t="shared" si="291"/>
        <v>Ação de elevar</v>
      </c>
      <c r="Z664" s="47" t="s">
        <v>8011</v>
      </c>
      <c r="AA664" s="25" t="str">
        <f t="shared" si="279"/>
        <v>null</v>
      </c>
      <c r="AB664" s="26" t="s">
        <v>0</v>
      </c>
      <c r="AC664" s="25" t="str">
        <f t="shared" si="280"/>
        <v>null</v>
      </c>
      <c r="AD664" s="26" t="s">
        <v>0</v>
      </c>
      <c r="AE664" s="25" t="str">
        <f t="shared" si="281"/>
        <v>null</v>
      </c>
      <c r="AF664" s="26" t="s">
        <v>0</v>
      </c>
      <c r="AG664" s="47" t="s">
        <v>7745</v>
      </c>
    </row>
    <row r="665" spans="1:33" ht="6.9" customHeight="1" x14ac:dyDescent="0.4">
      <c r="A665" s="4">
        <f>ROW()</f>
        <v>665</v>
      </c>
      <c r="B665" s="9" t="s">
        <v>27</v>
      </c>
      <c r="C665" s="55" t="str">
        <f t="shared" si="235"/>
        <v>p.elevar</v>
      </c>
      <c r="D665" s="6" t="str">
        <f t="shared" si="293"/>
        <v>é.talha</v>
      </c>
      <c r="E665" s="8" t="s">
        <v>28</v>
      </c>
      <c r="F665" s="42" t="str">
        <f t="shared" si="294"/>
        <v>d.elevar</v>
      </c>
      <c r="G665" s="18" t="s">
        <v>1136</v>
      </c>
      <c r="H665" s="41" t="s">
        <v>2121</v>
      </c>
      <c r="I665" s="16" t="str">
        <f t="shared" si="273"/>
        <v>null</v>
      </c>
      <c r="J665" s="13" t="s">
        <v>0</v>
      </c>
      <c r="K665" s="13" t="s">
        <v>0</v>
      </c>
      <c r="L665" s="13" t="s">
        <v>0</v>
      </c>
      <c r="M665" s="13" t="s">
        <v>0</v>
      </c>
      <c r="N665" s="15" t="s">
        <v>0</v>
      </c>
      <c r="O665" s="13" t="s">
        <v>0</v>
      </c>
      <c r="P665" s="13" t="s">
        <v>0</v>
      </c>
      <c r="Q665" s="13" t="s">
        <v>0</v>
      </c>
      <c r="R665" s="15" t="s">
        <v>0</v>
      </c>
      <c r="S665" s="10" t="s">
        <v>1</v>
      </c>
      <c r="T665" s="10" t="s">
        <v>32</v>
      </c>
      <c r="U665" s="5" t="str">
        <f t="shared" si="288"/>
        <v>Propriedade destinada a elevar: é.talha</v>
      </c>
      <c r="V665" s="5" t="str">
        <f t="shared" si="289"/>
        <v>Dado para elevar:  talha  Deve ser formatado como (rdfs:Literal  or  xsd:string)</v>
      </c>
      <c r="W665" s="5" t="s">
        <v>7742</v>
      </c>
      <c r="X665" s="24" t="str">
        <f t="shared" si="290"/>
        <v>eleva.106</v>
      </c>
      <c r="Y665" s="24" t="str">
        <f t="shared" si="291"/>
        <v>Ação de elevar</v>
      </c>
      <c r="Z665" s="47" t="s">
        <v>8012</v>
      </c>
      <c r="AA665" s="25" t="str">
        <f t="shared" si="279"/>
        <v>null</v>
      </c>
      <c r="AB665" s="26" t="s">
        <v>0</v>
      </c>
      <c r="AC665" s="25" t="str">
        <f t="shared" si="280"/>
        <v>null</v>
      </c>
      <c r="AD665" s="26" t="s">
        <v>0</v>
      </c>
      <c r="AE665" s="25" t="str">
        <f t="shared" si="281"/>
        <v>null</v>
      </c>
      <c r="AF665" s="26" t="s">
        <v>0</v>
      </c>
      <c r="AG665" s="47" t="s">
        <v>7751</v>
      </c>
    </row>
    <row r="666" spans="1:33" ht="6.9" customHeight="1" x14ac:dyDescent="0.4">
      <c r="A666" s="4">
        <f>ROW()</f>
        <v>666</v>
      </c>
      <c r="B666" s="9" t="s">
        <v>27</v>
      </c>
      <c r="C666" s="55" t="str">
        <f t="shared" si="235"/>
        <v>p.elevar</v>
      </c>
      <c r="D666" s="6" t="str">
        <f t="shared" si="293"/>
        <v>é.corda</v>
      </c>
      <c r="E666" s="8" t="s">
        <v>28</v>
      </c>
      <c r="F666" s="42" t="str">
        <f t="shared" si="294"/>
        <v>d.elevar</v>
      </c>
      <c r="G666" s="18" t="s">
        <v>1137</v>
      </c>
      <c r="H666" s="41" t="s">
        <v>2121</v>
      </c>
      <c r="I666" s="16" t="str">
        <f t="shared" si="273"/>
        <v>null</v>
      </c>
      <c r="J666" s="13" t="s">
        <v>0</v>
      </c>
      <c r="K666" s="13" t="s">
        <v>0</v>
      </c>
      <c r="L666" s="13" t="s">
        <v>0</v>
      </c>
      <c r="M666" s="13" t="s">
        <v>0</v>
      </c>
      <c r="N666" s="15" t="s">
        <v>0</v>
      </c>
      <c r="O666" s="13" t="s">
        <v>0</v>
      </c>
      <c r="P666" s="13" t="s">
        <v>0</v>
      </c>
      <c r="Q666" s="13" t="s">
        <v>0</v>
      </c>
      <c r="R666" s="15" t="s">
        <v>0</v>
      </c>
      <c r="S666" s="10" t="s">
        <v>1</v>
      </c>
      <c r="T666" s="10" t="s">
        <v>32</v>
      </c>
      <c r="U666" s="5" t="str">
        <f t="shared" si="288"/>
        <v>Propriedade destinada a elevar: é.corda</v>
      </c>
      <c r="V666" s="5" t="str">
        <f t="shared" si="289"/>
        <v>Dado para elevar:  corda  Deve ser formatado como (rdfs:Literal  or  xsd:string)</v>
      </c>
      <c r="W666" s="5" t="s">
        <v>7743</v>
      </c>
      <c r="X666" s="24" t="str">
        <f t="shared" si="290"/>
        <v>eleva.107</v>
      </c>
      <c r="Y666" s="24" t="str">
        <f t="shared" si="291"/>
        <v>Ação de elevar</v>
      </c>
      <c r="Z666" s="47" t="s">
        <v>8013</v>
      </c>
      <c r="AA666" s="25" t="str">
        <f t="shared" si="279"/>
        <v>null</v>
      </c>
      <c r="AB666" s="26" t="s">
        <v>0</v>
      </c>
      <c r="AC666" s="25" t="str">
        <f t="shared" si="280"/>
        <v>null</v>
      </c>
      <c r="AD666" s="26" t="s">
        <v>0</v>
      </c>
      <c r="AE666" s="25" t="str">
        <f t="shared" si="281"/>
        <v>null</v>
      </c>
      <c r="AF666" s="26" t="s">
        <v>0</v>
      </c>
      <c r="AG666" s="47" t="s">
        <v>7752</v>
      </c>
    </row>
    <row r="667" spans="1:33" ht="6.9" customHeight="1" x14ac:dyDescent="0.4">
      <c r="A667" s="4">
        <f>ROW()</f>
        <v>667</v>
      </c>
      <c r="B667" s="9" t="s">
        <v>27</v>
      </c>
      <c r="C667" s="54" t="str">
        <f t="shared" si="235"/>
        <v>p.encher</v>
      </c>
      <c r="D667" s="6" t="str">
        <f t="shared" si="293"/>
        <v>é.capacidade.máxima</v>
      </c>
      <c r="E667" s="8" t="s">
        <v>28</v>
      </c>
      <c r="F667" s="50" t="s">
        <v>667</v>
      </c>
      <c r="G667" s="17" t="s">
        <v>1072</v>
      </c>
      <c r="H667" s="42" t="s">
        <v>36</v>
      </c>
      <c r="I667" s="16" t="str">
        <f t="shared" si="273"/>
        <v>null</v>
      </c>
      <c r="J667" s="15" t="s">
        <v>0</v>
      </c>
      <c r="K667" s="15" t="s">
        <v>0</v>
      </c>
      <c r="L667" s="15" t="s">
        <v>0</v>
      </c>
      <c r="M667" s="15" t="s">
        <v>0</v>
      </c>
      <c r="N667" s="15" t="s">
        <v>0</v>
      </c>
      <c r="O667" s="15" t="s">
        <v>0</v>
      </c>
      <c r="P667" s="15" t="s">
        <v>0</v>
      </c>
      <c r="Q667" s="15" t="s">
        <v>0</v>
      </c>
      <c r="R667" s="15" t="s">
        <v>0</v>
      </c>
      <c r="S667" s="10" t="s">
        <v>1</v>
      </c>
      <c r="T667" s="10" t="s">
        <v>32</v>
      </c>
      <c r="U667" s="5" t="str">
        <f t="shared" si="288"/>
        <v>Propriedade destinada a encher: é.capacidade.máxima</v>
      </c>
      <c r="V667" s="5" t="str">
        <f t="shared" si="289"/>
        <v>Dado para encher:  capacidade.máxima  Deve ser formatado como (xsd:double)</v>
      </c>
      <c r="W667" s="5" t="s">
        <v>5506</v>
      </c>
      <c r="X667" s="24" t="str">
        <f t="shared" si="290"/>
        <v>enche.100</v>
      </c>
      <c r="Y667" s="24" t="str">
        <f t="shared" si="291"/>
        <v>Ação de encher</v>
      </c>
      <c r="Z667" s="47" t="s">
        <v>8014</v>
      </c>
      <c r="AA667" s="25" t="str">
        <f t="shared" si="279"/>
        <v>null</v>
      </c>
      <c r="AB667" s="26" t="s">
        <v>0</v>
      </c>
      <c r="AC667" s="25" t="str">
        <f t="shared" si="280"/>
        <v>null</v>
      </c>
      <c r="AD667" s="26" t="s">
        <v>0</v>
      </c>
      <c r="AE667" s="25" t="str">
        <f t="shared" si="281"/>
        <v>null</v>
      </c>
      <c r="AF667" s="26" t="s">
        <v>0</v>
      </c>
      <c r="AG667" s="47" t="s">
        <v>4781</v>
      </c>
    </row>
    <row r="668" spans="1:33" ht="6.9" customHeight="1" x14ac:dyDescent="0.4">
      <c r="A668" s="4">
        <f>ROW()</f>
        <v>668</v>
      </c>
      <c r="B668" s="9" t="s">
        <v>27</v>
      </c>
      <c r="C668" s="55" t="str">
        <f t="shared" si="235"/>
        <v>p.encher</v>
      </c>
      <c r="D668" s="6" t="str">
        <f t="shared" si="293"/>
        <v>é.lotação</v>
      </c>
      <c r="E668" s="8" t="s">
        <v>28</v>
      </c>
      <c r="F668" s="42" t="str">
        <f>F667</f>
        <v>d.encher</v>
      </c>
      <c r="G668" s="18" t="s">
        <v>279</v>
      </c>
      <c r="H668" s="42" t="s">
        <v>33</v>
      </c>
      <c r="I668" s="16" t="str">
        <f t="shared" si="273"/>
        <v>null</v>
      </c>
      <c r="J668" s="15" t="s">
        <v>0</v>
      </c>
      <c r="K668" s="13" t="s">
        <v>0</v>
      </c>
      <c r="L668" s="13" t="s">
        <v>0</v>
      </c>
      <c r="M668" s="13" t="s">
        <v>0</v>
      </c>
      <c r="N668" s="15" t="s">
        <v>0</v>
      </c>
      <c r="O668" s="13" t="s">
        <v>0</v>
      </c>
      <c r="P668" s="13" t="s">
        <v>0</v>
      </c>
      <c r="Q668" s="13" t="s">
        <v>0</v>
      </c>
      <c r="R668" s="15" t="s">
        <v>0</v>
      </c>
      <c r="S668" s="10" t="s">
        <v>1</v>
      </c>
      <c r="T668" s="10" t="s">
        <v>32</v>
      </c>
      <c r="U668" s="5" t="str">
        <f t="shared" si="288"/>
        <v>Propriedade destinada a encher: é.lotação</v>
      </c>
      <c r="V668" s="5" t="str">
        <f t="shared" si="289"/>
        <v>Dado para encher:  lotação  Deve ser formatado como (xsd:integer)</v>
      </c>
      <c r="W668" s="5" t="s">
        <v>5507</v>
      </c>
      <c r="X668" s="24" t="str">
        <f t="shared" si="290"/>
        <v>enche.101</v>
      </c>
      <c r="Y668" s="24" t="str">
        <f t="shared" si="291"/>
        <v>Ação de encher</v>
      </c>
      <c r="Z668" s="47" t="s">
        <v>1430</v>
      </c>
      <c r="AA668" s="25" t="str">
        <f t="shared" si="279"/>
        <v>null</v>
      </c>
      <c r="AB668" s="26" t="s">
        <v>0</v>
      </c>
      <c r="AC668" s="25" t="str">
        <f t="shared" si="280"/>
        <v>null</v>
      </c>
      <c r="AD668" s="26" t="s">
        <v>0</v>
      </c>
      <c r="AE668" s="25" t="str">
        <f t="shared" si="281"/>
        <v>null</v>
      </c>
      <c r="AF668" s="26" t="s">
        <v>0</v>
      </c>
      <c r="AG668" s="47" t="s">
        <v>4782</v>
      </c>
    </row>
    <row r="669" spans="1:33" ht="6.9" customHeight="1" x14ac:dyDescent="0.4">
      <c r="A669" s="4">
        <f>ROW()</f>
        <v>669</v>
      </c>
      <c r="B669" s="9" t="s">
        <v>27</v>
      </c>
      <c r="C669" s="55" t="str">
        <f t="shared" si="235"/>
        <v>p.encher</v>
      </c>
      <c r="D669" s="6" t="str">
        <f t="shared" si="293"/>
        <v>é.lotação.máxima</v>
      </c>
      <c r="E669" s="8" t="s">
        <v>28</v>
      </c>
      <c r="F669" s="42" t="str">
        <f>F668</f>
        <v>d.encher</v>
      </c>
      <c r="G669" s="18" t="s">
        <v>668</v>
      </c>
      <c r="H669" s="42" t="s">
        <v>33</v>
      </c>
      <c r="I669" s="16" t="str">
        <f t="shared" si="273"/>
        <v>null</v>
      </c>
      <c r="J669" s="15" t="s">
        <v>0</v>
      </c>
      <c r="K669" s="13" t="s">
        <v>0</v>
      </c>
      <c r="L669" s="13" t="s">
        <v>0</v>
      </c>
      <c r="M669" s="13" t="s">
        <v>0</v>
      </c>
      <c r="N669" s="15" t="s">
        <v>0</v>
      </c>
      <c r="O669" s="13" t="s">
        <v>0</v>
      </c>
      <c r="P669" s="13" t="s">
        <v>0</v>
      </c>
      <c r="Q669" s="13" t="s">
        <v>0</v>
      </c>
      <c r="R669" s="15" t="s">
        <v>0</v>
      </c>
      <c r="S669" s="10" t="s">
        <v>1</v>
      </c>
      <c r="T669" s="10" t="s">
        <v>32</v>
      </c>
      <c r="U669" s="5" t="str">
        <f t="shared" si="288"/>
        <v>Propriedade destinada a encher: é.lotação.máxima</v>
      </c>
      <c r="V669" s="5" t="str">
        <f t="shared" si="289"/>
        <v>Dado para encher:  lotação.máxima  Deve ser formatado como (xsd:integer)</v>
      </c>
      <c r="W669" s="5" t="s">
        <v>5508</v>
      </c>
      <c r="X669" s="24" t="str">
        <f t="shared" si="290"/>
        <v>enche.102</v>
      </c>
      <c r="Y669" s="24" t="str">
        <f t="shared" si="291"/>
        <v>Ação de encher</v>
      </c>
      <c r="Z669" s="47" t="s">
        <v>1431</v>
      </c>
      <c r="AA669" s="25" t="str">
        <f t="shared" si="279"/>
        <v>null</v>
      </c>
      <c r="AB669" s="26" t="s">
        <v>0</v>
      </c>
      <c r="AC669" s="25" t="str">
        <f t="shared" si="280"/>
        <v>null</v>
      </c>
      <c r="AD669" s="26" t="s">
        <v>0</v>
      </c>
      <c r="AE669" s="25" t="str">
        <f t="shared" si="281"/>
        <v>null</v>
      </c>
      <c r="AF669" s="26" t="s">
        <v>0</v>
      </c>
      <c r="AG669" s="47" t="s">
        <v>4697</v>
      </c>
    </row>
    <row r="670" spans="1:33" ht="6.9" customHeight="1" x14ac:dyDescent="0.4">
      <c r="A670" s="4">
        <f>ROW()</f>
        <v>670</v>
      </c>
      <c r="B670" s="9" t="s">
        <v>27</v>
      </c>
      <c r="C670" s="54" t="str">
        <f t="shared" si="235"/>
        <v>p.endereçar</v>
      </c>
      <c r="D670" s="6" t="str">
        <f t="shared" si="293"/>
        <v>é.continente</v>
      </c>
      <c r="E670" s="8" t="s">
        <v>28</v>
      </c>
      <c r="F670" s="51" t="s">
        <v>669</v>
      </c>
      <c r="G670" s="18" t="s">
        <v>113</v>
      </c>
      <c r="H670" s="41" t="s">
        <v>2121</v>
      </c>
      <c r="I670" s="16" t="str">
        <f t="shared" si="273"/>
        <v>Functional</v>
      </c>
      <c r="J670" s="13" t="s">
        <v>29</v>
      </c>
      <c r="K670" s="13" t="s">
        <v>0</v>
      </c>
      <c r="L670" s="13" t="s">
        <v>0</v>
      </c>
      <c r="M670" s="13" t="s">
        <v>0</v>
      </c>
      <c r="N670" s="15" t="s">
        <v>0</v>
      </c>
      <c r="O670" s="13" t="s">
        <v>0</v>
      </c>
      <c r="P670" s="13" t="s">
        <v>0</v>
      </c>
      <c r="Q670" s="13" t="s">
        <v>0</v>
      </c>
      <c r="R670" s="15" t="s">
        <v>0</v>
      </c>
      <c r="S670" s="10" t="s">
        <v>1</v>
      </c>
      <c r="T670" s="10" t="s">
        <v>32</v>
      </c>
      <c r="U670" s="5" t="str">
        <f t="shared" si="288"/>
        <v>Propriedade destinada a endereçar: é.continente</v>
      </c>
      <c r="V670" s="5" t="str">
        <f t="shared" si="289"/>
        <v>Dado para endereçar:  continente  Deve ser formatado como (rdfs:Literal  or  xsd:string)</v>
      </c>
      <c r="W670" s="5" t="s">
        <v>5509</v>
      </c>
      <c r="X670" s="24" t="str">
        <f t="shared" si="290"/>
        <v>ender.100</v>
      </c>
      <c r="Y670" s="24" t="str">
        <f t="shared" si="291"/>
        <v>Ação de endereçar</v>
      </c>
      <c r="Z670" s="47" t="s">
        <v>1432</v>
      </c>
      <c r="AA670" s="25" t="str">
        <f t="shared" si="279"/>
        <v>null</v>
      </c>
      <c r="AB670" s="26" t="s">
        <v>0</v>
      </c>
      <c r="AC670" s="25" t="str">
        <f t="shared" si="280"/>
        <v>null</v>
      </c>
      <c r="AD670" s="26" t="s">
        <v>0</v>
      </c>
      <c r="AE670" s="25" t="str">
        <f t="shared" si="281"/>
        <v>null</v>
      </c>
      <c r="AF670" s="26" t="s">
        <v>0</v>
      </c>
      <c r="AG670" s="47" t="s">
        <v>2746</v>
      </c>
    </row>
    <row r="671" spans="1:33" ht="6.9" customHeight="1" x14ac:dyDescent="0.4">
      <c r="A671" s="4">
        <f>ROW()</f>
        <v>671</v>
      </c>
      <c r="B671" s="9" t="s">
        <v>27</v>
      </c>
      <c r="C671" s="55" t="str">
        <f t="shared" si="235"/>
        <v>p.endereçar</v>
      </c>
      <c r="D671" s="6" t="str">
        <f t="shared" si="293"/>
        <v>é.país</v>
      </c>
      <c r="E671" s="8" t="s">
        <v>28</v>
      </c>
      <c r="F671" s="42" t="str">
        <f>F670</f>
        <v>d.endereçar</v>
      </c>
      <c r="G671" s="18" t="s">
        <v>114</v>
      </c>
      <c r="H671" s="41" t="s">
        <v>2121</v>
      </c>
      <c r="I671" s="16" t="str">
        <f t="shared" si="273"/>
        <v>Functional</v>
      </c>
      <c r="J671" s="13" t="s">
        <v>29</v>
      </c>
      <c r="K671" s="13" t="s">
        <v>0</v>
      </c>
      <c r="L671" s="13" t="s">
        <v>0</v>
      </c>
      <c r="M671" s="13" t="s">
        <v>0</v>
      </c>
      <c r="N671" s="15" t="s">
        <v>0</v>
      </c>
      <c r="O671" s="13" t="s">
        <v>0</v>
      </c>
      <c r="P671" s="13" t="s">
        <v>0</v>
      </c>
      <c r="Q671" s="13" t="s">
        <v>0</v>
      </c>
      <c r="R671" s="15" t="s">
        <v>0</v>
      </c>
      <c r="S671" s="10" t="s">
        <v>1</v>
      </c>
      <c r="T671" s="10" t="s">
        <v>32</v>
      </c>
      <c r="U671" s="5" t="str">
        <f t="shared" si="288"/>
        <v>Propriedade destinada a endereçar: é.país</v>
      </c>
      <c r="V671" s="5" t="str">
        <f t="shared" si="289"/>
        <v>Dado para endereçar:  país  Deve ser formatado como (rdfs:Literal  or  xsd:string)</v>
      </c>
      <c r="W671" s="5" t="s">
        <v>5510</v>
      </c>
      <c r="X671" s="24" t="str">
        <f t="shared" si="290"/>
        <v>ender.101</v>
      </c>
      <c r="Y671" s="24" t="str">
        <f t="shared" si="291"/>
        <v>Ação de endereçar</v>
      </c>
      <c r="Z671" s="47" t="s">
        <v>1433</v>
      </c>
      <c r="AA671" s="25" t="str">
        <f t="shared" si="279"/>
        <v>null</v>
      </c>
      <c r="AB671" s="26" t="s">
        <v>0</v>
      </c>
      <c r="AC671" s="25" t="str">
        <f t="shared" si="280"/>
        <v>null</v>
      </c>
      <c r="AD671" s="26" t="s">
        <v>0</v>
      </c>
      <c r="AE671" s="25" t="str">
        <f t="shared" si="281"/>
        <v>propriedade</v>
      </c>
      <c r="AF671" s="26" t="s">
        <v>2413</v>
      </c>
      <c r="AG671" s="47" t="s">
        <v>2747</v>
      </c>
    </row>
    <row r="672" spans="1:33" ht="6.9" customHeight="1" x14ac:dyDescent="0.4">
      <c r="A672" s="4">
        <f>ROW()</f>
        <v>672</v>
      </c>
      <c r="B672" s="9" t="s">
        <v>27</v>
      </c>
      <c r="C672" s="55" t="str">
        <f t="shared" si="235"/>
        <v>p.endereçar</v>
      </c>
      <c r="D672" s="6" t="str">
        <f t="shared" si="293"/>
        <v>é.estado</v>
      </c>
      <c r="E672" s="8" t="s">
        <v>28</v>
      </c>
      <c r="F672" s="42" t="str">
        <f>F671</f>
        <v>d.endereçar</v>
      </c>
      <c r="G672" s="18" t="s">
        <v>115</v>
      </c>
      <c r="H672" s="41" t="s">
        <v>2121</v>
      </c>
      <c r="I672" s="16" t="str">
        <f t="shared" si="273"/>
        <v>Functional</v>
      </c>
      <c r="J672" s="13" t="s">
        <v>29</v>
      </c>
      <c r="K672" s="13" t="s">
        <v>0</v>
      </c>
      <c r="L672" s="13" t="s">
        <v>0</v>
      </c>
      <c r="M672" s="13" t="s">
        <v>0</v>
      </c>
      <c r="N672" s="15" t="s">
        <v>0</v>
      </c>
      <c r="O672" s="13" t="s">
        <v>0</v>
      </c>
      <c r="P672" s="13" t="s">
        <v>0</v>
      </c>
      <c r="Q672" s="13" t="s">
        <v>0</v>
      </c>
      <c r="R672" s="15" t="s">
        <v>0</v>
      </c>
      <c r="S672" s="10" t="s">
        <v>1</v>
      </c>
      <c r="T672" s="10" t="s">
        <v>32</v>
      </c>
      <c r="U672" s="5" t="str">
        <f t="shared" si="288"/>
        <v>Propriedade destinada a endereçar: é.estado</v>
      </c>
      <c r="V672" s="5" t="str">
        <f t="shared" si="289"/>
        <v>Dado para endereçar:  estado  Deve ser formatado como (rdfs:Literal  or  xsd:string)</v>
      </c>
      <c r="W672" s="5" t="s">
        <v>5511</v>
      </c>
      <c r="X672" s="24" t="str">
        <f t="shared" si="290"/>
        <v>ender.102</v>
      </c>
      <c r="Y672" s="24" t="str">
        <f t="shared" si="291"/>
        <v>Ação de endereçar</v>
      </c>
      <c r="Z672" s="47" t="s">
        <v>1434</v>
      </c>
      <c r="AA672" s="25" t="str">
        <f t="shared" si="279"/>
        <v>null</v>
      </c>
      <c r="AB672" s="26" t="s">
        <v>0</v>
      </c>
      <c r="AC672" s="25" t="str">
        <f t="shared" si="280"/>
        <v>null</v>
      </c>
      <c r="AD672" s="26" t="s">
        <v>0</v>
      </c>
      <c r="AE672" s="25" t="str">
        <f t="shared" si="281"/>
        <v>propriedade</v>
      </c>
      <c r="AF672" s="26" t="s">
        <v>2414</v>
      </c>
      <c r="AG672" s="47" t="s">
        <v>2748</v>
      </c>
    </row>
    <row r="673" spans="1:33" ht="6.9" customHeight="1" x14ac:dyDescent="0.4">
      <c r="A673" s="4">
        <f>ROW()</f>
        <v>673</v>
      </c>
      <c r="B673" s="9" t="s">
        <v>27</v>
      </c>
      <c r="C673" s="55" t="str">
        <f t="shared" si="235"/>
        <v>p.endereçar</v>
      </c>
      <c r="D673" s="6" t="str">
        <f t="shared" si="293"/>
        <v>é.uf</v>
      </c>
      <c r="E673" s="8" t="s">
        <v>28</v>
      </c>
      <c r="F673" s="42" t="str">
        <f>F672</f>
        <v>d.endereçar</v>
      </c>
      <c r="G673" s="18" t="s">
        <v>116</v>
      </c>
      <c r="H673" s="41" t="s">
        <v>2121</v>
      </c>
      <c r="I673" s="16" t="str">
        <f t="shared" si="273"/>
        <v>Functional</v>
      </c>
      <c r="J673" s="13" t="s">
        <v>29</v>
      </c>
      <c r="K673" s="13" t="s">
        <v>0</v>
      </c>
      <c r="L673" s="13" t="s">
        <v>0</v>
      </c>
      <c r="M673" s="13" t="s">
        <v>0</v>
      </c>
      <c r="N673" s="15" t="s">
        <v>0</v>
      </c>
      <c r="O673" s="13" t="s">
        <v>0</v>
      </c>
      <c r="P673" s="13" t="s">
        <v>0</v>
      </c>
      <c r="Q673" s="13" t="s">
        <v>0</v>
      </c>
      <c r="R673" s="15" t="s">
        <v>0</v>
      </c>
      <c r="S673" s="10" t="s">
        <v>1</v>
      </c>
      <c r="T673" s="10" t="s">
        <v>32</v>
      </c>
      <c r="U673" s="5" t="str">
        <f t="shared" si="288"/>
        <v>Propriedade destinada a endereçar: é.uf</v>
      </c>
      <c r="V673" s="5" t="str">
        <f t="shared" si="289"/>
        <v>Dado para endereçar:  uf  Deve ser formatado como (rdfs:Literal  or  xsd:string)</v>
      </c>
      <c r="W673" s="5" t="s">
        <v>5512</v>
      </c>
      <c r="X673" s="24" t="str">
        <f t="shared" si="290"/>
        <v>ender.103</v>
      </c>
      <c r="Y673" s="24" t="str">
        <f t="shared" si="291"/>
        <v>Ação de endereçar</v>
      </c>
      <c r="Z673" s="47" t="s">
        <v>1435</v>
      </c>
      <c r="AA673" s="25" t="str">
        <f t="shared" si="279"/>
        <v>null</v>
      </c>
      <c r="AB673" s="26" t="s">
        <v>0</v>
      </c>
      <c r="AC673" s="25" t="str">
        <f t="shared" si="280"/>
        <v>null</v>
      </c>
      <c r="AD673" s="26" t="s">
        <v>0</v>
      </c>
      <c r="AE673" s="25" t="str">
        <f t="shared" si="281"/>
        <v>null</v>
      </c>
      <c r="AF673" s="26" t="s">
        <v>0</v>
      </c>
      <c r="AG673" s="47" t="s">
        <v>2749</v>
      </c>
    </row>
    <row r="674" spans="1:33" ht="6.9" customHeight="1" x14ac:dyDescent="0.4">
      <c r="A674" s="4">
        <f>ROW()</f>
        <v>674</v>
      </c>
      <c r="B674" s="9" t="s">
        <v>27</v>
      </c>
      <c r="C674" s="55" t="str">
        <f t="shared" si="235"/>
        <v>p.endereçar</v>
      </c>
      <c r="D674" s="6" t="str">
        <f t="shared" si="293"/>
        <v>é.nuf</v>
      </c>
      <c r="E674" s="8" t="s">
        <v>28</v>
      </c>
      <c r="F674" s="42" t="str">
        <f>F673</f>
        <v>d.endereçar</v>
      </c>
      <c r="G674" s="18" t="s">
        <v>117</v>
      </c>
      <c r="H674" s="41" t="s">
        <v>2121</v>
      </c>
      <c r="I674" s="16" t="str">
        <f t="shared" si="273"/>
        <v>Functional</v>
      </c>
      <c r="J674" s="13" t="s">
        <v>29</v>
      </c>
      <c r="K674" s="13" t="s">
        <v>0</v>
      </c>
      <c r="L674" s="13" t="s">
        <v>0</v>
      </c>
      <c r="M674" s="13" t="s">
        <v>0</v>
      </c>
      <c r="N674" s="15" t="s">
        <v>0</v>
      </c>
      <c r="O674" s="13" t="s">
        <v>0</v>
      </c>
      <c r="P674" s="13" t="s">
        <v>0</v>
      </c>
      <c r="Q674" s="13" t="s">
        <v>0</v>
      </c>
      <c r="R674" s="15" t="s">
        <v>0</v>
      </c>
      <c r="S674" s="10" t="s">
        <v>1</v>
      </c>
      <c r="T674" s="10" t="s">
        <v>32</v>
      </c>
      <c r="U674" s="5" t="str">
        <f t="shared" si="288"/>
        <v>Propriedade destinada a endereçar: é.nuf</v>
      </c>
      <c r="V674" s="5" t="str">
        <f t="shared" si="289"/>
        <v>Dado para endereçar:  nuf  Deve ser formatado como (rdfs:Literal  or  xsd:string)</v>
      </c>
      <c r="W674" s="5" t="s">
        <v>5513</v>
      </c>
      <c r="X674" s="24" t="str">
        <f t="shared" si="290"/>
        <v>ender.104</v>
      </c>
      <c r="Y674" s="24" t="str">
        <f t="shared" si="291"/>
        <v>Ação de endereçar</v>
      </c>
      <c r="Z674" s="47" t="s">
        <v>1436</v>
      </c>
      <c r="AA674" s="25" t="str">
        <f t="shared" si="279"/>
        <v>null</v>
      </c>
      <c r="AB674" s="26" t="s">
        <v>0</v>
      </c>
      <c r="AC674" s="25" t="str">
        <f t="shared" si="280"/>
        <v>null</v>
      </c>
      <c r="AD674" s="26" t="s">
        <v>0</v>
      </c>
      <c r="AE674" s="25" t="str">
        <f t="shared" si="281"/>
        <v>null</v>
      </c>
      <c r="AF674" s="26" t="s">
        <v>0</v>
      </c>
      <c r="AG674" s="47" t="s">
        <v>2750</v>
      </c>
    </row>
    <row r="675" spans="1:33" ht="6.9" customHeight="1" x14ac:dyDescent="0.4">
      <c r="A675" s="4">
        <f>ROW()</f>
        <v>675</v>
      </c>
      <c r="B675" s="9" t="s">
        <v>27</v>
      </c>
      <c r="C675" s="55" t="str">
        <f t="shared" si="235"/>
        <v>p.endereçar</v>
      </c>
      <c r="D675" s="6" t="str">
        <f t="shared" si="293"/>
        <v>é.capital.de</v>
      </c>
      <c r="E675" s="8" t="s">
        <v>28</v>
      </c>
      <c r="F675" s="42" t="str">
        <f>F673</f>
        <v>d.endereçar</v>
      </c>
      <c r="G675" s="18" t="s">
        <v>670</v>
      </c>
      <c r="H675" s="41" t="s">
        <v>2121</v>
      </c>
      <c r="I675" s="16" t="str">
        <f t="shared" si="273"/>
        <v>Functional</v>
      </c>
      <c r="J675" s="13" t="s">
        <v>29</v>
      </c>
      <c r="K675" s="13" t="s">
        <v>0</v>
      </c>
      <c r="L675" s="13" t="s">
        <v>0</v>
      </c>
      <c r="M675" s="13" t="s">
        <v>0</v>
      </c>
      <c r="N675" s="15" t="s">
        <v>0</v>
      </c>
      <c r="O675" s="13" t="s">
        <v>0</v>
      </c>
      <c r="P675" s="13" t="s">
        <v>0</v>
      </c>
      <c r="Q675" s="13" t="s">
        <v>0</v>
      </c>
      <c r="R675" s="15" t="s">
        <v>0</v>
      </c>
      <c r="S675" s="10" t="s">
        <v>1</v>
      </c>
      <c r="T675" s="10" t="s">
        <v>32</v>
      </c>
      <c r="U675" s="5" t="str">
        <f t="shared" si="288"/>
        <v>Propriedade destinada a endereçar: é.capital.de</v>
      </c>
      <c r="V675" s="5" t="str">
        <f t="shared" si="289"/>
        <v>Dado para endereçar:  capital.de  Deve ser formatado como (rdfs:Literal  or  xsd:string)</v>
      </c>
      <c r="W675" s="5" t="s">
        <v>5514</v>
      </c>
      <c r="X675" s="24" t="str">
        <f t="shared" si="290"/>
        <v>ender.105</v>
      </c>
      <c r="Y675" s="24" t="str">
        <f t="shared" si="291"/>
        <v>Ação de endereçar</v>
      </c>
      <c r="Z675" s="47" t="s">
        <v>1437</v>
      </c>
      <c r="AA675" s="25" t="str">
        <f t="shared" si="279"/>
        <v>null</v>
      </c>
      <c r="AB675" s="26" t="s">
        <v>0</v>
      </c>
      <c r="AC675" s="25" t="str">
        <f t="shared" si="280"/>
        <v>null</v>
      </c>
      <c r="AD675" s="26" t="s">
        <v>0</v>
      </c>
      <c r="AE675" s="25" t="str">
        <f t="shared" si="281"/>
        <v>propriedade</v>
      </c>
      <c r="AF675" s="26" t="s">
        <v>2415</v>
      </c>
      <c r="AG675" s="47" t="s">
        <v>2751</v>
      </c>
    </row>
    <row r="676" spans="1:33" ht="6.9" customHeight="1" x14ac:dyDescent="0.4">
      <c r="A676" s="4">
        <f>ROW()</f>
        <v>676</v>
      </c>
      <c r="B676" s="9" t="s">
        <v>27</v>
      </c>
      <c r="C676" s="55" t="str">
        <f t="shared" si="235"/>
        <v>p.endereçar</v>
      </c>
      <c r="D676" s="6" t="str">
        <f t="shared" si="293"/>
        <v>é.cidade</v>
      </c>
      <c r="E676" s="8" t="s">
        <v>28</v>
      </c>
      <c r="F676" s="42" t="str">
        <f>F674</f>
        <v>d.endereçar</v>
      </c>
      <c r="G676" s="18" t="s">
        <v>118</v>
      </c>
      <c r="H676" s="41" t="s">
        <v>2121</v>
      </c>
      <c r="I676" s="16" t="str">
        <f t="shared" si="273"/>
        <v>Functional</v>
      </c>
      <c r="J676" s="13" t="s">
        <v>29</v>
      </c>
      <c r="K676" s="13" t="s">
        <v>0</v>
      </c>
      <c r="L676" s="13" t="s">
        <v>0</v>
      </c>
      <c r="M676" s="13" t="s">
        <v>0</v>
      </c>
      <c r="N676" s="15" t="s">
        <v>0</v>
      </c>
      <c r="O676" s="13" t="s">
        <v>0</v>
      </c>
      <c r="P676" s="13" t="s">
        <v>0</v>
      </c>
      <c r="Q676" s="13" t="s">
        <v>0</v>
      </c>
      <c r="R676" s="15" t="s">
        <v>0</v>
      </c>
      <c r="S676" s="10" t="s">
        <v>1</v>
      </c>
      <c r="T676" s="10" t="s">
        <v>32</v>
      </c>
      <c r="U676" s="5" t="str">
        <f t="shared" si="288"/>
        <v>Propriedade destinada a endereçar: é.cidade</v>
      </c>
      <c r="V676" s="5" t="str">
        <f t="shared" si="289"/>
        <v>Dado para endereçar:  cidade  Deve ser formatado como (rdfs:Literal  or  xsd:string)</v>
      </c>
      <c r="W676" s="5" t="s">
        <v>5515</v>
      </c>
      <c r="X676" s="24" t="str">
        <f t="shared" si="290"/>
        <v>ender.106</v>
      </c>
      <c r="Y676" s="24" t="str">
        <f t="shared" si="291"/>
        <v>Ação de endereçar</v>
      </c>
      <c r="Z676" s="47" t="s">
        <v>1438</v>
      </c>
      <c r="AA676" s="25" t="str">
        <f t="shared" si="279"/>
        <v>null</v>
      </c>
      <c r="AB676" s="26" t="s">
        <v>0</v>
      </c>
      <c r="AC676" s="25" t="str">
        <f t="shared" si="280"/>
        <v>null</v>
      </c>
      <c r="AD676" s="26" t="s">
        <v>0</v>
      </c>
      <c r="AE676" s="25" t="str">
        <f t="shared" si="281"/>
        <v>propriedade</v>
      </c>
      <c r="AF676" s="26" t="s">
        <v>2415</v>
      </c>
      <c r="AG676" s="47" t="s">
        <v>2752</v>
      </c>
    </row>
    <row r="677" spans="1:33" ht="6.9" customHeight="1" x14ac:dyDescent="0.4">
      <c r="A677" s="4">
        <f>ROW()</f>
        <v>677</v>
      </c>
      <c r="B677" s="9" t="s">
        <v>27</v>
      </c>
      <c r="C677" s="55" t="str">
        <f t="shared" si="235"/>
        <v>p.endereçar</v>
      </c>
      <c r="D677" s="6" t="str">
        <f t="shared" si="293"/>
        <v>é.distrito</v>
      </c>
      <c r="E677" s="8" t="s">
        <v>28</v>
      </c>
      <c r="F677" s="42" t="str">
        <f t="shared" ref="F677:F693" si="300">F676</f>
        <v>d.endereçar</v>
      </c>
      <c r="G677" s="18" t="s">
        <v>119</v>
      </c>
      <c r="H677" s="41" t="s">
        <v>2121</v>
      </c>
      <c r="I677" s="16" t="str">
        <f t="shared" si="273"/>
        <v>Functional</v>
      </c>
      <c r="J677" s="13" t="s">
        <v>29</v>
      </c>
      <c r="K677" s="13" t="s">
        <v>0</v>
      </c>
      <c r="L677" s="13" t="s">
        <v>0</v>
      </c>
      <c r="M677" s="13" t="s">
        <v>0</v>
      </c>
      <c r="N677" s="15" t="s">
        <v>0</v>
      </c>
      <c r="O677" s="13" t="s">
        <v>0</v>
      </c>
      <c r="P677" s="13" t="s">
        <v>0</v>
      </c>
      <c r="Q677" s="13" t="s">
        <v>0</v>
      </c>
      <c r="R677" s="15" t="s">
        <v>0</v>
      </c>
      <c r="S677" s="10" t="s">
        <v>1</v>
      </c>
      <c r="T677" s="10" t="s">
        <v>32</v>
      </c>
      <c r="U677" s="5" t="str">
        <f t="shared" si="288"/>
        <v>Propriedade destinada a endereçar: é.distrito</v>
      </c>
      <c r="V677" s="5" t="str">
        <f t="shared" si="289"/>
        <v>Dado para endereçar:  distrito  Deve ser formatado como (rdfs:Literal  or  xsd:string)</v>
      </c>
      <c r="W677" s="5" t="s">
        <v>5516</v>
      </c>
      <c r="X677" s="24" t="str">
        <f t="shared" si="290"/>
        <v>ender.107</v>
      </c>
      <c r="Y677" s="24" t="str">
        <f t="shared" si="291"/>
        <v>Ação de endereçar</v>
      </c>
      <c r="Z677" s="47" t="s">
        <v>1439</v>
      </c>
      <c r="AA677" s="25" t="str">
        <f t="shared" si="279"/>
        <v>null</v>
      </c>
      <c r="AB677" s="26" t="s">
        <v>0</v>
      </c>
      <c r="AC677" s="25" t="str">
        <f t="shared" si="280"/>
        <v>null</v>
      </c>
      <c r="AD677" s="26" t="s">
        <v>0</v>
      </c>
      <c r="AE677" s="25" t="str">
        <f t="shared" si="281"/>
        <v>null</v>
      </c>
      <c r="AF677" s="26" t="s">
        <v>0</v>
      </c>
      <c r="AG677" s="47" t="s">
        <v>2753</v>
      </c>
    </row>
    <row r="678" spans="1:33" ht="6.9" customHeight="1" x14ac:dyDescent="0.4">
      <c r="A678" s="4">
        <f>ROW()</f>
        <v>678</v>
      </c>
      <c r="B678" s="9" t="s">
        <v>27</v>
      </c>
      <c r="C678" s="55" t="str">
        <f t="shared" si="235"/>
        <v>p.endereçar</v>
      </c>
      <c r="D678" s="6" t="str">
        <f t="shared" si="293"/>
        <v>é.bairro</v>
      </c>
      <c r="E678" s="8" t="s">
        <v>28</v>
      </c>
      <c r="F678" s="42" t="str">
        <f t="shared" si="300"/>
        <v>d.endereçar</v>
      </c>
      <c r="G678" s="18" t="s">
        <v>120</v>
      </c>
      <c r="H678" s="41" t="s">
        <v>2121</v>
      </c>
      <c r="I678" s="16" t="str">
        <f t="shared" si="273"/>
        <v>Functional</v>
      </c>
      <c r="J678" s="13" t="s">
        <v>29</v>
      </c>
      <c r="K678" s="13" t="s">
        <v>0</v>
      </c>
      <c r="L678" s="13" t="s">
        <v>0</v>
      </c>
      <c r="M678" s="13" t="s">
        <v>0</v>
      </c>
      <c r="N678" s="15" t="s">
        <v>0</v>
      </c>
      <c r="O678" s="13" t="s">
        <v>0</v>
      </c>
      <c r="P678" s="13" t="s">
        <v>0</v>
      </c>
      <c r="Q678" s="13" t="s">
        <v>0</v>
      </c>
      <c r="R678" s="15" t="s">
        <v>0</v>
      </c>
      <c r="S678" s="10" t="s">
        <v>1</v>
      </c>
      <c r="T678" s="10" t="s">
        <v>32</v>
      </c>
      <c r="U678" s="5" t="str">
        <f t="shared" si="288"/>
        <v>Propriedade destinada a endereçar: é.bairro</v>
      </c>
      <c r="V678" s="5" t="str">
        <f t="shared" si="289"/>
        <v>Dado para endereçar:  bairro  Deve ser formatado como (rdfs:Literal  or  xsd:string)</v>
      </c>
      <c r="W678" s="5" t="s">
        <v>5517</v>
      </c>
      <c r="X678" s="24" t="str">
        <f t="shared" si="290"/>
        <v>ender.108</v>
      </c>
      <c r="Y678" s="24" t="str">
        <f t="shared" si="291"/>
        <v>Ação de endereçar</v>
      </c>
      <c r="Z678" s="47" t="s">
        <v>1440</v>
      </c>
      <c r="AA678" s="25" t="str">
        <f t="shared" si="279"/>
        <v>null</v>
      </c>
      <c r="AB678" s="26" t="s">
        <v>0</v>
      </c>
      <c r="AC678" s="25" t="str">
        <f t="shared" si="280"/>
        <v>null</v>
      </c>
      <c r="AD678" s="26" t="s">
        <v>0</v>
      </c>
      <c r="AE678" s="25" t="str">
        <f t="shared" si="281"/>
        <v>propriedade</v>
      </c>
      <c r="AF678" s="26" t="s">
        <v>2406</v>
      </c>
      <c r="AG678" s="47" t="s">
        <v>2754</v>
      </c>
    </row>
    <row r="679" spans="1:33" ht="6.9" customHeight="1" x14ac:dyDescent="0.4">
      <c r="A679" s="4">
        <f>ROW()</f>
        <v>679</v>
      </c>
      <c r="B679" s="9" t="s">
        <v>27</v>
      </c>
      <c r="C679" s="55" t="str">
        <f t="shared" si="235"/>
        <v>p.endereçar</v>
      </c>
      <c r="D679" s="6" t="str">
        <f t="shared" si="293"/>
        <v>é.código.da.edificação</v>
      </c>
      <c r="E679" s="8" t="s">
        <v>28</v>
      </c>
      <c r="F679" s="42" t="str">
        <f t="shared" si="300"/>
        <v>d.endereçar</v>
      </c>
      <c r="G679" s="46" t="s">
        <v>2425</v>
      </c>
      <c r="H679" s="41" t="s">
        <v>2121</v>
      </c>
      <c r="I679" s="16" t="str">
        <f t="shared" si="273"/>
        <v>Functional</v>
      </c>
      <c r="J679" s="13" t="s">
        <v>29</v>
      </c>
      <c r="K679" s="13" t="s">
        <v>0</v>
      </c>
      <c r="L679" s="13" t="s">
        <v>0</v>
      </c>
      <c r="M679" s="13" t="s">
        <v>0</v>
      </c>
      <c r="N679" s="15" t="s">
        <v>0</v>
      </c>
      <c r="O679" s="13" t="s">
        <v>0</v>
      </c>
      <c r="P679" s="13" t="s">
        <v>0</v>
      </c>
      <c r="Q679" s="13" t="s">
        <v>0</v>
      </c>
      <c r="R679" s="15" t="s">
        <v>0</v>
      </c>
      <c r="S679" s="10" t="s">
        <v>1</v>
      </c>
      <c r="T679" s="10" t="s">
        <v>32</v>
      </c>
      <c r="U679" s="5" t="str">
        <f t="shared" si="288"/>
        <v>Propriedade destinada a endereçar: é.código.da.edificação</v>
      </c>
      <c r="V679" s="5" t="str">
        <f t="shared" si="289"/>
        <v>Dado para endereçar:  código.da.edificação  Deve ser formatado como (rdfs:Literal  or  xsd:string)</v>
      </c>
      <c r="W679" s="5" t="s">
        <v>5518</v>
      </c>
      <c r="X679" s="24" t="str">
        <f t="shared" si="290"/>
        <v>ender.109</v>
      </c>
      <c r="Y679" s="24" t="str">
        <f t="shared" si="291"/>
        <v>Ação de endereçar</v>
      </c>
      <c r="Z679" s="48" t="s">
        <v>2438</v>
      </c>
      <c r="AA679" s="25" t="str">
        <f t="shared" si="279"/>
        <v>null</v>
      </c>
      <c r="AB679" s="26" t="s">
        <v>0</v>
      </c>
      <c r="AC679" s="25" t="str">
        <f t="shared" si="280"/>
        <v>null</v>
      </c>
      <c r="AD679" s="26" t="s">
        <v>0</v>
      </c>
      <c r="AE679" s="25" t="str">
        <f t="shared" si="281"/>
        <v>propriedade</v>
      </c>
      <c r="AF679" s="60" t="s">
        <v>2439</v>
      </c>
      <c r="AG679" s="47" t="s">
        <v>2755</v>
      </c>
    </row>
    <row r="680" spans="1:33" ht="6.9" customHeight="1" x14ac:dyDescent="0.4">
      <c r="A680" s="4">
        <f>ROW()</f>
        <v>680</v>
      </c>
      <c r="B680" s="9" t="s">
        <v>27</v>
      </c>
      <c r="C680" s="55" t="str">
        <f t="shared" si="235"/>
        <v>p.endereçar</v>
      </c>
      <c r="D680" s="6" t="str">
        <f t="shared" si="293"/>
        <v>é.nome.da.edificação</v>
      </c>
      <c r="E680" s="8" t="s">
        <v>28</v>
      </c>
      <c r="F680" s="42" t="str">
        <f t="shared" si="300"/>
        <v>d.endereçar</v>
      </c>
      <c r="G680" s="46" t="s">
        <v>2426</v>
      </c>
      <c r="H680" s="41" t="s">
        <v>2121</v>
      </c>
      <c r="I680" s="16" t="str">
        <f t="shared" si="273"/>
        <v>Functional</v>
      </c>
      <c r="J680" s="13" t="s">
        <v>29</v>
      </c>
      <c r="K680" s="13" t="s">
        <v>0</v>
      </c>
      <c r="L680" s="13" t="s">
        <v>0</v>
      </c>
      <c r="M680" s="13" t="s">
        <v>0</v>
      </c>
      <c r="N680" s="15" t="s">
        <v>0</v>
      </c>
      <c r="O680" s="13" t="s">
        <v>0</v>
      </c>
      <c r="P680" s="13" t="s">
        <v>0</v>
      </c>
      <c r="Q680" s="13" t="s">
        <v>0</v>
      </c>
      <c r="R680" s="15" t="s">
        <v>0</v>
      </c>
      <c r="S680" s="10" t="s">
        <v>1</v>
      </c>
      <c r="T680" s="10" t="s">
        <v>32</v>
      </c>
      <c r="U680" s="5" t="str">
        <f t="shared" si="288"/>
        <v>Propriedade destinada a endereçar: é.nome.da.edificação</v>
      </c>
      <c r="V680" s="5" t="str">
        <f t="shared" si="289"/>
        <v>Dado para endereçar:  nome.da.edificação  Deve ser formatado como (rdfs:Literal  or  xsd:string)</v>
      </c>
      <c r="W680" s="5" t="s">
        <v>5519</v>
      </c>
      <c r="X680" s="24" t="str">
        <f t="shared" si="290"/>
        <v>ender.110</v>
      </c>
      <c r="Y680" s="24" t="str">
        <f t="shared" si="291"/>
        <v>Ação de endereçar</v>
      </c>
      <c r="Z680" s="48" t="s">
        <v>2433</v>
      </c>
      <c r="AA680" s="25" t="str">
        <f t="shared" si="279"/>
        <v>null</v>
      </c>
      <c r="AB680" s="26" t="s">
        <v>0</v>
      </c>
      <c r="AC680" s="25" t="str">
        <f t="shared" si="280"/>
        <v>null</v>
      </c>
      <c r="AD680" s="26" t="s">
        <v>0</v>
      </c>
      <c r="AE680" s="25" t="str">
        <f t="shared" si="281"/>
        <v>propriedade</v>
      </c>
      <c r="AF680" s="60" t="s">
        <v>2439</v>
      </c>
      <c r="AG680" s="47" t="s">
        <v>2756</v>
      </c>
    </row>
    <row r="681" spans="1:33" ht="6.9" customHeight="1" x14ac:dyDescent="0.4">
      <c r="A681" s="4">
        <f>ROW()</f>
        <v>681</v>
      </c>
      <c r="B681" s="9" t="s">
        <v>27</v>
      </c>
      <c r="C681" s="55" t="str">
        <f t="shared" si="235"/>
        <v>p.endereçar</v>
      </c>
      <c r="D681" s="6" t="str">
        <f t="shared" si="293"/>
        <v>é.código.do.local</v>
      </c>
      <c r="E681" s="8" t="s">
        <v>28</v>
      </c>
      <c r="F681" s="42" t="str">
        <f t="shared" si="300"/>
        <v>d.endereçar</v>
      </c>
      <c r="G681" s="46" t="s">
        <v>2427</v>
      </c>
      <c r="H681" s="41" t="s">
        <v>2121</v>
      </c>
      <c r="I681" s="16" t="str">
        <f t="shared" si="273"/>
        <v>Functional</v>
      </c>
      <c r="J681" s="13" t="s">
        <v>29</v>
      </c>
      <c r="K681" s="13" t="s">
        <v>0</v>
      </c>
      <c r="L681" s="13" t="s">
        <v>0</v>
      </c>
      <c r="M681" s="13" t="s">
        <v>0</v>
      </c>
      <c r="N681" s="15" t="s">
        <v>0</v>
      </c>
      <c r="O681" s="13" t="s">
        <v>0</v>
      </c>
      <c r="P681" s="13" t="s">
        <v>0</v>
      </c>
      <c r="Q681" s="13" t="s">
        <v>0</v>
      </c>
      <c r="R681" s="15" t="s">
        <v>0</v>
      </c>
      <c r="S681" s="10" t="s">
        <v>1</v>
      </c>
      <c r="T681" s="10" t="s">
        <v>32</v>
      </c>
      <c r="U681" s="5" t="str">
        <f t="shared" si="288"/>
        <v>Propriedade destinada a endereçar: é.código.do.local</v>
      </c>
      <c r="V681" s="5" t="str">
        <f t="shared" si="289"/>
        <v>Dado para endereçar:  código.do.local  Deve ser formatado como (rdfs:Literal  or  xsd:string)</v>
      </c>
      <c r="W681" s="5" t="s">
        <v>5520</v>
      </c>
      <c r="X681" s="24" t="str">
        <f t="shared" si="290"/>
        <v>ender.111</v>
      </c>
      <c r="Y681" s="24" t="str">
        <f t="shared" si="291"/>
        <v>Ação de endereçar</v>
      </c>
      <c r="Z681" s="48" t="s">
        <v>2437</v>
      </c>
      <c r="AA681" s="25" t="str">
        <f t="shared" si="279"/>
        <v>null</v>
      </c>
      <c r="AB681" s="26" t="s">
        <v>0</v>
      </c>
      <c r="AC681" s="25" t="str">
        <f t="shared" si="280"/>
        <v>null</v>
      </c>
      <c r="AD681" s="26" t="s">
        <v>0</v>
      </c>
      <c r="AE681" s="25" t="str">
        <f t="shared" si="281"/>
        <v>propriedade</v>
      </c>
      <c r="AF681" s="60" t="s">
        <v>2440</v>
      </c>
      <c r="AG681" s="47" t="s">
        <v>2757</v>
      </c>
    </row>
    <row r="682" spans="1:33" ht="6.9" customHeight="1" x14ac:dyDescent="0.4">
      <c r="A682" s="4">
        <f>ROW()</f>
        <v>682</v>
      </c>
      <c r="B682" s="9" t="s">
        <v>27</v>
      </c>
      <c r="C682" s="55" t="str">
        <f t="shared" si="235"/>
        <v>p.endereçar</v>
      </c>
      <c r="D682" s="6" t="str">
        <f t="shared" si="293"/>
        <v>é.tipo.de.local</v>
      </c>
      <c r="E682" s="8" t="s">
        <v>28</v>
      </c>
      <c r="F682" s="42" t="str">
        <f t="shared" si="300"/>
        <v>d.endereçar</v>
      </c>
      <c r="G682" s="46" t="s">
        <v>2428</v>
      </c>
      <c r="H682" s="41" t="s">
        <v>2121</v>
      </c>
      <c r="I682" s="16" t="str">
        <f t="shared" si="273"/>
        <v>Functional</v>
      </c>
      <c r="J682" s="13" t="s">
        <v>29</v>
      </c>
      <c r="K682" s="13" t="s">
        <v>0</v>
      </c>
      <c r="L682" s="13" t="s">
        <v>0</v>
      </c>
      <c r="M682" s="13" t="s">
        <v>0</v>
      </c>
      <c r="N682" s="15" t="s">
        <v>0</v>
      </c>
      <c r="O682" s="13" t="s">
        <v>0</v>
      </c>
      <c r="P682" s="13" t="s">
        <v>0</v>
      </c>
      <c r="Q682" s="13" t="s">
        <v>0</v>
      </c>
      <c r="R682" s="15" t="s">
        <v>0</v>
      </c>
      <c r="S682" s="10" t="s">
        <v>1</v>
      </c>
      <c r="T682" s="10" t="s">
        <v>32</v>
      </c>
      <c r="U682" s="5" t="str">
        <f t="shared" si="288"/>
        <v>Propriedade destinada a endereçar: é.tipo.de.local</v>
      </c>
      <c r="V682" s="5" t="str">
        <f t="shared" si="289"/>
        <v>Dado para endereçar:  tipo.de.local  Deve ser formatado como (rdfs:Literal  or  xsd:string)</v>
      </c>
      <c r="W682" s="5" t="s">
        <v>5521</v>
      </c>
      <c r="X682" s="24" t="str">
        <f t="shared" si="290"/>
        <v>ender.112</v>
      </c>
      <c r="Y682" s="24" t="str">
        <f t="shared" si="291"/>
        <v>Ação de endereçar</v>
      </c>
      <c r="Z682" s="48" t="s">
        <v>2432</v>
      </c>
      <c r="AA682" s="25" t="str">
        <f t="shared" si="279"/>
        <v>null</v>
      </c>
      <c r="AB682" s="26" t="s">
        <v>0</v>
      </c>
      <c r="AC682" s="25" t="str">
        <f t="shared" si="280"/>
        <v>null</v>
      </c>
      <c r="AD682" s="26" t="s">
        <v>0</v>
      </c>
      <c r="AE682" s="25" t="str">
        <f t="shared" si="281"/>
        <v>propriedade</v>
      </c>
      <c r="AF682" s="60" t="s">
        <v>2441</v>
      </c>
      <c r="AG682" s="47" t="s">
        <v>2758</v>
      </c>
    </row>
    <row r="683" spans="1:33" ht="6.9" customHeight="1" x14ac:dyDescent="0.4">
      <c r="A683" s="4">
        <f>ROW()</f>
        <v>683</v>
      </c>
      <c r="B683" s="9" t="s">
        <v>27</v>
      </c>
      <c r="C683" s="55" t="str">
        <f t="shared" si="235"/>
        <v>p.endereçar</v>
      </c>
      <c r="D683" s="6" t="str">
        <f t="shared" si="293"/>
        <v>é.código.do.marco</v>
      </c>
      <c r="E683" s="8" t="s">
        <v>28</v>
      </c>
      <c r="F683" s="42" t="str">
        <f t="shared" si="300"/>
        <v>d.endereçar</v>
      </c>
      <c r="G683" s="46" t="s">
        <v>2429</v>
      </c>
      <c r="H683" s="41" t="s">
        <v>2121</v>
      </c>
      <c r="I683" s="16" t="str">
        <f t="shared" si="273"/>
        <v>Functional</v>
      </c>
      <c r="J683" s="13" t="s">
        <v>29</v>
      </c>
      <c r="K683" s="13" t="s">
        <v>0</v>
      </c>
      <c r="L683" s="13" t="s">
        <v>0</v>
      </c>
      <c r="M683" s="13" t="s">
        <v>0</v>
      </c>
      <c r="N683" s="15" t="s">
        <v>0</v>
      </c>
      <c r="O683" s="13" t="s">
        <v>0</v>
      </c>
      <c r="P683" s="13" t="s">
        <v>0</v>
      </c>
      <c r="Q683" s="13" t="s">
        <v>0</v>
      </c>
      <c r="R683" s="15" t="s">
        <v>0</v>
      </c>
      <c r="S683" s="10" t="s">
        <v>1</v>
      </c>
      <c r="T683" s="10" t="s">
        <v>32</v>
      </c>
      <c r="U683" s="5" t="str">
        <f t="shared" si="288"/>
        <v>Propriedade destinada a endereçar: é.código.do.marco</v>
      </c>
      <c r="V683" s="5" t="str">
        <f t="shared" si="289"/>
        <v>Dado para endereçar:  código.do.marco  Deve ser formatado como (rdfs:Literal  or  xsd:string)</v>
      </c>
      <c r="W683" s="5" t="s">
        <v>5522</v>
      </c>
      <c r="X683" s="24" t="str">
        <f t="shared" si="290"/>
        <v>ender.113</v>
      </c>
      <c r="Y683" s="24" t="str">
        <f t="shared" si="291"/>
        <v>Ação de endereçar</v>
      </c>
      <c r="Z683" s="48" t="s">
        <v>2436</v>
      </c>
      <c r="AA683" s="25" t="str">
        <f t="shared" si="279"/>
        <v>null</v>
      </c>
      <c r="AB683" s="26" t="s">
        <v>0</v>
      </c>
      <c r="AC683" s="25" t="str">
        <f t="shared" si="280"/>
        <v>null</v>
      </c>
      <c r="AD683" s="26" t="s">
        <v>0</v>
      </c>
      <c r="AE683" s="25" t="str">
        <f t="shared" si="281"/>
        <v>propriedade</v>
      </c>
      <c r="AF683" s="60" t="s">
        <v>2442</v>
      </c>
      <c r="AG683" s="47" t="s">
        <v>2759</v>
      </c>
    </row>
    <row r="684" spans="1:33" ht="6.9" customHeight="1" x14ac:dyDescent="0.4">
      <c r="A684" s="4">
        <f>ROW()</f>
        <v>684</v>
      </c>
      <c r="B684" s="9" t="s">
        <v>27</v>
      </c>
      <c r="C684" s="55" t="str">
        <f t="shared" si="235"/>
        <v>p.endereçar</v>
      </c>
      <c r="D684" s="6" t="str">
        <f t="shared" si="293"/>
        <v>é.grupo.da.edificação</v>
      </c>
      <c r="E684" s="8" t="s">
        <v>28</v>
      </c>
      <c r="F684" s="42" t="str">
        <f t="shared" si="300"/>
        <v>d.endereçar</v>
      </c>
      <c r="G684" s="46" t="s">
        <v>2430</v>
      </c>
      <c r="H684" s="41" t="s">
        <v>2121</v>
      </c>
      <c r="I684" s="16" t="str">
        <f t="shared" ref="I684:I746" si="301">J684</f>
        <v>Functional</v>
      </c>
      <c r="J684" s="13" t="s">
        <v>29</v>
      </c>
      <c r="K684" s="13" t="s">
        <v>0</v>
      </c>
      <c r="L684" s="13" t="s">
        <v>0</v>
      </c>
      <c r="M684" s="13" t="s">
        <v>0</v>
      </c>
      <c r="N684" s="15" t="s">
        <v>0</v>
      </c>
      <c r="O684" s="13" t="s">
        <v>0</v>
      </c>
      <c r="P684" s="13" t="s">
        <v>0</v>
      </c>
      <c r="Q684" s="13" t="s">
        <v>0</v>
      </c>
      <c r="R684" s="15" t="s">
        <v>0</v>
      </c>
      <c r="S684" s="10" t="s">
        <v>1</v>
      </c>
      <c r="T684" s="10" t="s">
        <v>32</v>
      </c>
      <c r="U684" s="5" t="str">
        <f t="shared" si="288"/>
        <v>Propriedade destinada a endereçar: é.grupo.da.edificação</v>
      </c>
      <c r="V684" s="5" t="str">
        <f t="shared" si="289"/>
        <v>Dado para endereçar:  grupo.da.edificação  Deve ser formatado como (rdfs:Literal  or  xsd:string)</v>
      </c>
      <c r="W684" s="5" t="s">
        <v>5523</v>
      </c>
      <c r="X684" s="24" t="str">
        <f t="shared" si="290"/>
        <v>ender.114</v>
      </c>
      <c r="Y684" s="24" t="str">
        <f t="shared" si="291"/>
        <v>Ação de endereçar</v>
      </c>
      <c r="Z684" s="48" t="s">
        <v>2434</v>
      </c>
      <c r="AA684" s="25" t="str">
        <f t="shared" si="279"/>
        <v>null</v>
      </c>
      <c r="AB684" s="26" t="s">
        <v>0</v>
      </c>
      <c r="AC684" s="25" t="str">
        <f t="shared" si="280"/>
        <v>null</v>
      </c>
      <c r="AD684" s="26" t="s">
        <v>0</v>
      </c>
      <c r="AE684" s="25" t="str">
        <f t="shared" si="281"/>
        <v>propriedade</v>
      </c>
      <c r="AF684" s="60" t="s">
        <v>2443</v>
      </c>
      <c r="AG684" s="47" t="s">
        <v>2760</v>
      </c>
    </row>
    <row r="685" spans="1:33" ht="6.9" customHeight="1" x14ac:dyDescent="0.4">
      <c r="A685" s="4">
        <f>ROW()</f>
        <v>685</v>
      </c>
      <c r="B685" s="9" t="s">
        <v>27</v>
      </c>
      <c r="C685" s="55" t="str">
        <f t="shared" si="235"/>
        <v>p.endereçar</v>
      </c>
      <c r="D685" s="6" t="str">
        <f t="shared" si="293"/>
        <v>é.número.da.edificação</v>
      </c>
      <c r="E685" s="8" t="s">
        <v>28</v>
      </c>
      <c r="F685" s="42" t="str">
        <f t="shared" si="300"/>
        <v>d.endereçar</v>
      </c>
      <c r="G685" s="46" t="s">
        <v>2431</v>
      </c>
      <c r="H685" s="41" t="s">
        <v>2121</v>
      </c>
      <c r="I685" s="16" t="str">
        <f t="shared" si="301"/>
        <v>Functional</v>
      </c>
      <c r="J685" s="13" t="s">
        <v>29</v>
      </c>
      <c r="K685" s="13" t="s">
        <v>0</v>
      </c>
      <c r="L685" s="13" t="s">
        <v>0</v>
      </c>
      <c r="M685" s="13" t="s">
        <v>0</v>
      </c>
      <c r="N685" s="15" t="s">
        <v>0</v>
      </c>
      <c r="O685" s="13" t="s">
        <v>0</v>
      </c>
      <c r="P685" s="13" t="s">
        <v>0</v>
      </c>
      <c r="Q685" s="13" t="s">
        <v>0</v>
      </c>
      <c r="R685" s="15" t="s">
        <v>0</v>
      </c>
      <c r="S685" s="10" t="s">
        <v>1</v>
      </c>
      <c r="T685" s="10" t="s">
        <v>32</v>
      </c>
      <c r="U685" s="5" t="str">
        <f t="shared" si="288"/>
        <v>Propriedade destinada a endereçar: é.número.da.edificação</v>
      </c>
      <c r="V685" s="5" t="str">
        <f t="shared" si="289"/>
        <v>Dado para endereçar:  número.da.edificação  Deve ser formatado como (rdfs:Literal  or  xsd:string)</v>
      </c>
      <c r="W685" s="5" t="s">
        <v>5524</v>
      </c>
      <c r="X685" s="24" t="str">
        <f t="shared" si="290"/>
        <v>ender.115</v>
      </c>
      <c r="Y685" s="24" t="str">
        <f t="shared" si="291"/>
        <v>Ação de endereçar</v>
      </c>
      <c r="Z685" s="48" t="s">
        <v>2435</v>
      </c>
      <c r="AA685" s="25" t="str">
        <f t="shared" si="279"/>
        <v>null</v>
      </c>
      <c r="AB685" s="26" t="s">
        <v>0</v>
      </c>
      <c r="AC685" s="25" t="str">
        <f t="shared" si="280"/>
        <v>null</v>
      </c>
      <c r="AD685" s="26" t="s">
        <v>0</v>
      </c>
      <c r="AE685" s="25" t="str">
        <f t="shared" si="281"/>
        <v>propriedade</v>
      </c>
      <c r="AF685" s="60" t="s">
        <v>2444</v>
      </c>
      <c r="AG685" s="47" t="s">
        <v>2761</v>
      </c>
    </row>
    <row r="686" spans="1:33" ht="6.9" customHeight="1" x14ac:dyDescent="0.4">
      <c r="A686" s="4">
        <f>ROW()</f>
        <v>686</v>
      </c>
      <c r="B686" s="9" t="s">
        <v>27</v>
      </c>
      <c r="C686" s="55" t="str">
        <f t="shared" si="235"/>
        <v>p.endereçar</v>
      </c>
      <c r="D686" s="6" t="str">
        <f t="shared" si="293"/>
        <v>é.nome.do.logradouro</v>
      </c>
      <c r="E686" s="8" t="s">
        <v>28</v>
      </c>
      <c r="F686" s="42" t="str">
        <f t="shared" si="300"/>
        <v>d.endereçar</v>
      </c>
      <c r="G686" s="18" t="s">
        <v>671</v>
      </c>
      <c r="H686" s="41" t="s">
        <v>2121</v>
      </c>
      <c r="I686" s="16" t="str">
        <f t="shared" si="301"/>
        <v>Functional</v>
      </c>
      <c r="J686" s="13" t="s">
        <v>29</v>
      </c>
      <c r="K686" s="13" t="s">
        <v>0</v>
      </c>
      <c r="L686" s="13" t="s">
        <v>0</v>
      </c>
      <c r="M686" s="13" t="s">
        <v>0</v>
      </c>
      <c r="N686" s="15" t="s">
        <v>0</v>
      </c>
      <c r="O686" s="13" t="s">
        <v>0</v>
      </c>
      <c r="P686" s="13" t="s">
        <v>0</v>
      </c>
      <c r="Q686" s="13" t="s">
        <v>0</v>
      </c>
      <c r="R686" s="15" t="s">
        <v>0</v>
      </c>
      <c r="S686" s="10" t="s">
        <v>1</v>
      </c>
      <c r="T686" s="10" t="s">
        <v>32</v>
      </c>
      <c r="U686" s="5" t="str">
        <f t="shared" si="288"/>
        <v>Propriedade destinada a endereçar: é.nome.do.logradouro</v>
      </c>
      <c r="V686" s="5" t="str">
        <f t="shared" si="289"/>
        <v>Dado para endereçar:  nome.do.logradouro  Deve ser formatado como (rdfs:Literal  or  xsd:string)</v>
      </c>
      <c r="W686" s="5" t="s">
        <v>5525</v>
      </c>
      <c r="X686" s="24" t="str">
        <f t="shared" si="290"/>
        <v>ender.116</v>
      </c>
      <c r="Y686" s="24" t="str">
        <f t="shared" si="291"/>
        <v>Ação de endereçar</v>
      </c>
      <c r="Z686" s="47" t="s">
        <v>1441</v>
      </c>
      <c r="AA686" s="25" t="str">
        <f t="shared" si="279"/>
        <v>null</v>
      </c>
      <c r="AB686" s="26" t="s">
        <v>0</v>
      </c>
      <c r="AC686" s="25" t="str">
        <f t="shared" si="280"/>
        <v>null</v>
      </c>
      <c r="AD686" s="26" t="s">
        <v>0</v>
      </c>
      <c r="AE686" s="25" t="str">
        <f t="shared" si="281"/>
        <v>propriedade</v>
      </c>
      <c r="AF686" s="26" t="s">
        <v>2407</v>
      </c>
      <c r="AG686" s="47" t="s">
        <v>2762</v>
      </c>
    </row>
    <row r="687" spans="1:33" ht="6.9" customHeight="1" x14ac:dyDescent="0.4">
      <c r="A687" s="4">
        <f>ROW()</f>
        <v>687</v>
      </c>
      <c r="B687" s="9" t="s">
        <v>27</v>
      </c>
      <c r="C687" s="55" t="str">
        <f t="shared" ref="C687:C751" si="302">SUBSTITUTE(F687,"d.","p.")</f>
        <v>p.endereçar</v>
      </c>
      <c r="D687" s="6" t="str">
        <f t="shared" si="293"/>
        <v>é.número.do.logradouro</v>
      </c>
      <c r="E687" s="8" t="s">
        <v>28</v>
      </c>
      <c r="F687" s="42" t="str">
        <f t="shared" si="300"/>
        <v>d.endereçar</v>
      </c>
      <c r="G687" s="18" t="s">
        <v>672</v>
      </c>
      <c r="H687" s="41" t="s">
        <v>2121</v>
      </c>
      <c r="I687" s="16" t="str">
        <f t="shared" si="301"/>
        <v>Functional</v>
      </c>
      <c r="J687" s="13" t="s">
        <v>29</v>
      </c>
      <c r="K687" s="13" t="s">
        <v>0</v>
      </c>
      <c r="L687" s="13" t="s">
        <v>0</v>
      </c>
      <c r="M687" s="13" t="s">
        <v>0</v>
      </c>
      <c r="N687" s="15" t="s">
        <v>0</v>
      </c>
      <c r="O687" s="13" t="s">
        <v>0</v>
      </c>
      <c r="P687" s="13" t="s">
        <v>0</v>
      </c>
      <c r="Q687" s="13" t="s">
        <v>0</v>
      </c>
      <c r="R687" s="15" t="s">
        <v>0</v>
      </c>
      <c r="S687" s="10" t="s">
        <v>1</v>
      </c>
      <c r="T687" s="10" t="s">
        <v>32</v>
      </c>
      <c r="U687" s="5" t="str">
        <f t="shared" si="288"/>
        <v>Propriedade destinada a endereçar: é.número.do.logradouro</v>
      </c>
      <c r="V687" s="5" t="str">
        <f t="shared" si="289"/>
        <v>Dado para endereçar:  número.do.logradouro  Deve ser formatado como (rdfs:Literal  or  xsd:string)</v>
      </c>
      <c r="W687" s="5" t="s">
        <v>5526</v>
      </c>
      <c r="X687" s="24" t="str">
        <f t="shared" si="290"/>
        <v>ender.117</v>
      </c>
      <c r="Y687" s="24" t="str">
        <f t="shared" si="291"/>
        <v>Ação de endereçar</v>
      </c>
      <c r="Z687" s="47" t="s">
        <v>1442</v>
      </c>
      <c r="AA687" s="25" t="str">
        <f t="shared" si="279"/>
        <v>null</v>
      </c>
      <c r="AB687" s="26" t="s">
        <v>0</v>
      </c>
      <c r="AC687" s="25" t="str">
        <f t="shared" si="280"/>
        <v>null</v>
      </c>
      <c r="AD687" s="26" t="s">
        <v>0</v>
      </c>
      <c r="AE687" s="25" t="str">
        <f t="shared" si="281"/>
        <v>propriedade</v>
      </c>
      <c r="AF687" s="26" t="s">
        <v>2408</v>
      </c>
      <c r="AG687" s="47" t="s">
        <v>2763</v>
      </c>
    </row>
    <row r="688" spans="1:33" ht="6.9" customHeight="1" x14ac:dyDescent="0.4">
      <c r="A688" s="4">
        <f>ROW()</f>
        <v>688</v>
      </c>
      <c r="B688" s="9" t="s">
        <v>27</v>
      </c>
      <c r="C688" s="55" t="str">
        <f t="shared" si="302"/>
        <v>p.endereçar</v>
      </c>
      <c r="D688" s="6" t="str">
        <f t="shared" si="293"/>
        <v>é.endereço</v>
      </c>
      <c r="E688" s="8" t="s">
        <v>28</v>
      </c>
      <c r="F688" s="42" t="str">
        <f t="shared" si="300"/>
        <v>d.endereçar</v>
      </c>
      <c r="G688" s="18" t="s">
        <v>121</v>
      </c>
      <c r="H688" s="41" t="s">
        <v>2121</v>
      </c>
      <c r="I688" s="16" t="str">
        <f t="shared" si="301"/>
        <v>Functional</v>
      </c>
      <c r="J688" s="13" t="s">
        <v>29</v>
      </c>
      <c r="K688" s="13" t="s">
        <v>0</v>
      </c>
      <c r="L688" s="13" t="s">
        <v>0</v>
      </c>
      <c r="M688" s="13" t="s">
        <v>0</v>
      </c>
      <c r="N688" s="15" t="s">
        <v>0</v>
      </c>
      <c r="O688" s="13" t="s">
        <v>0</v>
      </c>
      <c r="P688" s="13" t="s">
        <v>0</v>
      </c>
      <c r="Q688" s="13" t="s">
        <v>0</v>
      </c>
      <c r="R688" s="15" t="s">
        <v>0</v>
      </c>
      <c r="S688" s="10" t="s">
        <v>1</v>
      </c>
      <c r="T688" s="10" t="s">
        <v>32</v>
      </c>
      <c r="U688" s="5" t="str">
        <f t="shared" si="288"/>
        <v>Propriedade destinada a endereçar: é.endereço</v>
      </c>
      <c r="V688" s="5" t="str">
        <f t="shared" si="289"/>
        <v>Dado para endereçar:  endereço  Deve ser formatado como (rdfs:Literal  or  xsd:string)</v>
      </c>
      <c r="W688" s="5" t="s">
        <v>5527</v>
      </c>
      <c r="X688" s="24" t="str">
        <f t="shared" si="290"/>
        <v>ender.118</v>
      </c>
      <c r="Y688" s="24" t="str">
        <f t="shared" si="291"/>
        <v>Ação de endereçar</v>
      </c>
      <c r="Z688" s="47" t="s">
        <v>1443</v>
      </c>
      <c r="AA688" s="25" t="str">
        <f t="shared" ref="AA688:AA751" si="303">IF(AB688="null", "null", "categoria.revit")</f>
        <v>null</v>
      </c>
      <c r="AB688" s="26" t="s">
        <v>0</v>
      </c>
      <c r="AC688" s="25" t="str">
        <f t="shared" ref="AC688:AC751" si="304">IF(AD688="null", "null", "classe.ifc")</f>
        <v>null</v>
      </c>
      <c r="AD688" s="26" t="s">
        <v>0</v>
      </c>
      <c r="AE688" s="25" t="str">
        <f t="shared" si="281"/>
        <v>propriedade</v>
      </c>
      <c r="AF688" s="26" t="s">
        <v>2405</v>
      </c>
      <c r="AG688" s="47" t="s">
        <v>2764</v>
      </c>
    </row>
    <row r="689" spans="1:33" ht="6.9" customHeight="1" x14ac:dyDescent="0.4">
      <c r="A689" s="4">
        <f>ROW()</f>
        <v>689</v>
      </c>
      <c r="B689" s="9" t="s">
        <v>27</v>
      </c>
      <c r="C689" s="55" t="str">
        <f t="shared" si="302"/>
        <v>p.endereçar</v>
      </c>
      <c r="D689" s="6" t="str">
        <f t="shared" si="293"/>
        <v>é.cnj</v>
      </c>
      <c r="E689" s="8" t="s">
        <v>28</v>
      </c>
      <c r="F689" s="42" t="str">
        <f t="shared" si="300"/>
        <v>d.endereçar</v>
      </c>
      <c r="G689" s="18" t="s">
        <v>122</v>
      </c>
      <c r="H689" s="41" t="s">
        <v>2121</v>
      </c>
      <c r="I689" s="16" t="str">
        <f t="shared" si="301"/>
        <v>Functional</v>
      </c>
      <c r="J689" s="13" t="s">
        <v>29</v>
      </c>
      <c r="K689" s="13" t="s">
        <v>0</v>
      </c>
      <c r="L689" s="13" t="s">
        <v>0</v>
      </c>
      <c r="M689" s="13" t="s">
        <v>0</v>
      </c>
      <c r="N689" s="15" t="s">
        <v>0</v>
      </c>
      <c r="O689" s="13" t="s">
        <v>0</v>
      </c>
      <c r="P689" s="13" t="s">
        <v>0</v>
      </c>
      <c r="Q689" s="13" t="s">
        <v>0</v>
      </c>
      <c r="R689" s="15" t="s">
        <v>0</v>
      </c>
      <c r="S689" s="10" t="s">
        <v>1</v>
      </c>
      <c r="T689" s="10" t="s">
        <v>32</v>
      </c>
      <c r="U689" s="5" t="str">
        <f t="shared" si="288"/>
        <v>Propriedade destinada a endereçar: é.cnj</v>
      </c>
      <c r="V689" s="5" t="str">
        <f t="shared" si="289"/>
        <v>Dado para endereçar:  cnj  Deve ser formatado como (rdfs:Literal  or  xsd:string)</v>
      </c>
      <c r="W689" s="5" t="s">
        <v>5528</v>
      </c>
      <c r="X689" s="24" t="str">
        <f t="shared" si="290"/>
        <v>ender.119</v>
      </c>
      <c r="Y689" s="24" t="str">
        <f t="shared" si="291"/>
        <v>Ação de endereçar</v>
      </c>
      <c r="Z689" s="47" t="s">
        <v>1444</v>
      </c>
      <c r="AA689" s="25" t="str">
        <f t="shared" si="303"/>
        <v>null</v>
      </c>
      <c r="AB689" s="26" t="s">
        <v>0</v>
      </c>
      <c r="AC689" s="25" t="str">
        <f t="shared" si="304"/>
        <v>null</v>
      </c>
      <c r="AD689" s="26" t="s">
        <v>0</v>
      </c>
      <c r="AE689" s="25" t="str">
        <f t="shared" si="281"/>
        <v>null</v>
      </c>
      <c r="AF689" s="26" t="s">
        <v>0</v>
      </c>
      <c r="AG689" s="47" t="s">
        <v>2765</v>
      </c>
    </row>
    <row r="690" spans="1:33" ht="6.9" customHeight="1" x14ac:dyDescent="0.4">
      <c r="A690" s="4">
        <f>ROW()</f>
        <v>690</v>
      </c>
      <c r="B690" s="9" t="s">
        <v>27</v>
      </c>
      <c r="C690" s="55" t="str">
        <f t="shared" si="302"/>
        <v>p.endereçar</v>
      </c>
      <c r="D690" s="6" t="str">
        <f t="shared" si="293"/>
        <v>é.grp</v>
      </c>
      <c r="E690" s="8" t="s">
        <v>28</v>
      </c>
      <c r="F690" s="42" t="str">
        <f t="shared" si="300"/>
        <v>d.endereçar</v>
      </c>
      <c r="G690" s="18" t="s">
        <v>123</v>
      </c>
      <c r="H690" s="41" t="s">
        <v>2121</v>
      </c>
      <c r="I690" s="16" t="str">
        <f t="shared" si="301"/>
        <v>Functional</v>
      </c>
      <c r="J690" s="13" t="s">
        <v>29</v>
      </c>
      <c r="K690" s="13" t="s">
        <v>0</v>
      </c>
      <c r="L690" s="13" t="s">
        <v>0</v>
      </c>
      <c r="M690" s="13" t="s">
        <v>0</v>
      </c>
      <c r="N690" s="15" t="s">
        <v>0</v>
      </c>
      <c r="O690" s="13" t="s">
        <v>0</v>
      </c>
      <c r="P690" s="13" t="s">
        <v>0</v>
      </c>
      <c r="Q690" s="13" t="s">
        <v>0</v>
      </c>
      <c r="R690" s="15" t="s">
        <v>0</v>
      </c>
      <c r="S690" s="10" t="s">
        <v>1</v>
      </c>
      <c r="T690" s="10" t="s">
        <v>32</v>
      </c>
      <c r="U690" s="5" t="str">
        <f t="shared" si="288"/>
        <v>Propriedade destinada a endereçar: é.grp</v>
      </c>
      <c r="V690" s="5" t="str">
        <f t="shared" si="289"/>
        <v>Dado para endereçar:  grp  Deve ser formatado como (rdfs:Literal  or  xsd:string)</v>
      </c>
      <c r="W690" s="5" t="s">
        <v>5529</v>
      </c>
      <c r="X690" s="24" t="str">
        <f t="shared" si="290"/>
        <v>ender.120</v>
      </c>
      <c r="Y690" s="24" t="str">
        <f t="shared" si="291"/>
        <v>Ação de endereçar</v>
      </c>
      <c r="Z690" s="47" t="s">
        <v>1445</v>
      </c>
      <c r="AA690" s="25" t="str">
        <f t="shared" si="303"/>
        <v>null</v>
      </c>
      <c r="AB690" s="26" t="s">
        <v>0</v>
      </c>
      <c r="AC690" s="25" t="str">
        <f t="shared" si="304"/>
        <v>null</v>
      </c>
      <c r="AD690" s="26" t="s">
        <v>0</v>
      </c>
      <c r="AE690" s="25" t="str">
        <f t="shared" si="281"/>
        <v>propriedade</v>
      </c>
      <c r="AF690" s="26" t="s">
        <v>2409</v>
      </c>
      <c r="AG690" s="47" t="s">
        <v>2766</v>
      </c>
    </row>
    <row r="691" spans="1:33" ht="6.9" customHeight="1" x14ac:dyDescent="0.4">
      <c r="A691" s="4">
        <f>ROW()</f>
        <v>691</v>
      </c>
      <c r="B691" s="9" t="s">
        <v>27</v>
      </c>
      <c r="C691" s="55" t="str">
        <f t="shared" si="302"/>
        <v>p.endereçar</v>
      </c>
      <c r="D691" s="6" t="str">
        <f t="shared" si="293"/>
        <v>é.bloco</v>
      </c>
      <c r="E691" s="8" t="s">
        <v>28</v>
      </c>
      <c r="F691" s="42" t="str">
        <f t="shared" si="300"/>
        <v>d.endereçar</v>
      </c>
      <c r="G691" s="18" t="s">
        <v>124</v>
      </c>
      <c r="H691" s="41" t="s">
        <v>2121</v>
      </c>
      <c r="I691" s="16" t="str">
        <f t="shared" si="301"/>
        <v>Functional</v>
      </c>
      <c r="J691" s="13" t="s">
        <v>29</v>
      </c>
      <c r="K691" s="13" t="s">
        <v>0</v>
      </c>
      <c r="L691" s="13" t="s">
        <v>0</v>
      </c>
      <c r="M691" s="13" t="s">
        <v>0</v>
      </c>
      <c r="N691" s="15" t="s">
        <v>0</v>
      </c>
      <c r="O691" s="13" t="s">
        <v>0</v>
      </c>
      <c r="P691" s="13" t="s">
        <v>0</v>
      </c>
      <c r="Q691" s="13" t="s">
        <v>0</v>
      </c>
      <c r="R691" s="15" t="s">
        <v>0</v>
      </c>
      <c r="S691" s="10" t="s">
        <v>1</v>
      </c>
      <c r="T691" s="10" t="s">
        <v>32</v>
      </c>
      <c r="U691" s="5" t="str">
        <f t="shared" si="288"/>
        <v>Propriedade destinada a endereçar: é.bloco</v>
      </c>
      <c r="V691" s="5" t="str">
        <f t="shared" si="289"/>
        <v>Dado para endereçar:  bloco  Deve ser formatado como (rdfs:Literal  or  xsd:string)</v>
      </c>
      <c r="W691" s="5" t="s">
        <v>5530</v>
      </c>
      <c r="X691" s="24" t="str">
        <f t="shared" si="290"/>
        <v>ender.121</v>
      </c>
      <c r="Y691" s="24" t="str">
        <f t="shared" si="291"/>
        <v>Ação de endereçar</v>
      </c>
      <c r="Z691" s="47" t="s">
        <v>1446</v>
      </c>
      <c r="AA691" s="25" t="str">
        <f t="shared" si="303"/>
        <v>null</v>
      </c>
      <c r="AB691" s="26" t="s">
        <v>0</v>
      </c>
      <c r="AC691" s="25" t="str">
        <f t="shared" si="304"/>
        <v>null</v>
      </c>
      <c r="AD691" s="26" t="s">
        <v>0</v>
      </c>
      <c r="AE691" s="25" t="str">
        <f t="shared" ref="AE691:AE754" si="305">IF(AF691="null", "null", "propriedade")</f>
        <v>propriedade</v>
      </c>
      <c r="AF691" s="26" t="s">
        <v>2409</v>
      </c>
      <c r="AG691" s="47" t="s">
        <v>2767</v>
      </c>
    </row>
    <row r="692" spans="1:33" ht="6.9" customHeight="1" x14ac:dyDescent="0.4">
      <c r="A692" s="4">
        <f>ROW()</f>
        <v>692</v>
      </c>
      <c r="B692" s="9" t="s">
        <v>27</v>
      </c>
      <c r="C692" s="55" t="str">
        <f t="shared" si="302"/>
        <v>p.endereçar</v>
      </c>
      <c r="D692" s="6" t="str">
        <f t="shared" si="293"/>
        <v>é.andar</v>
      </c>
      <c r="E692" s="8" t="s">
        <v>28</v>
      </c>
      <c r="F692" s="42" t="str">
        <f t="shared" si="300"/>
        <v>d.endereçar</v>
      </c>
      <c r="G692" s="18" t="s">
        <v>125</v>
      </c>
      <c r="H692" s="41" t="s">
        <v>2121</v>
      </c>
      <c r="I692" s="16" t="str">
        <f t="shared" si="301"/>
        <v>Functional</v>
      </c>
      <c r="J692" s="13" t="s">
        <v>29</v>
      </c>
      <c r="K692" s="13" t="s">
        <v>0</v>
      </c>
      <c r="L692" s="13" t="s">
        <v>0</v>
      </c>
      <c r="M692" s="13" t="s">
        <v>0</v>
      </c>
      <c r="N692" s="15" t="s">
        <v>0</v>
      </c>
      <c r="O692" s="13" t="s">
        <v>0</v>
      </c>
      <c r="P692" s="13" t="s">
        <v>0</v>
      </c>
      <c r="Q692" s="13" t="s">
        <v>0</v>
      </c>
      <c r="R692" s="15" t="s">
        <v>0</v>
      </c>
      <c r="S692" s="10" t="s">
        <v>1</v>
      </c>
      <c r="T692" s="10" t="s">
        <v>32</v>
      </c>
      <c r="U692" s="5" t="str">
        <f t="shared" si="288"/>
        <v>Propriedade destinada a endereçar: é.andar</v>
      </c>
      <c r="V692" s="5" t="str">
        <f t="shared" si="289"/>
        <v>Dado para endereçar:  andar  Deve ser formatado como (rdfs:Literal  or  xsd:string)</v>
      </c>
      <c r="W692" s="5" t="s">
        <v>5531</v>
      </c>
      <c r="X692" s="24" t="str">
        <f t="shared" si="290"/>
        <v>ender.122</v>
      </c>
      <c r="Y692" s="24" t="str">
        <f t="shared" si="291"/>
        <v>Ação de endereçar</v>
      </c>
      <c r="Z692" s="47" t="s">
        <v>1447</v>
      </c>
      <c r="AA692" s="25" t="str">
        <f t="shared" si="303"/>
        <v>null</v>
      </c>
      <c r="AB692" s="26" t="s">
        <v>0</v>
      </c>
      <c r="AC692" s="25" t="str">
        <f t="shared" si="304"/>
        <v>null</v>
      </c>
      <c r="AD692" s="26" t="s">
        <v>0</v>
      </c>
      <c r="AE692" s="25" t="str">
        <f t="shared" si="305"/>
        <v>null</v>
      </c>
      <c r="AF692" s="26" t="s">
        <v>0</v>
      </c>
      <c r="AG692" s="47" t="s">
        <v>2768</v>
      </c>
    </row>
    <row r="693" spans="1:33" ht="6.9" customHeight="1" x14ac:dyDescent="0.4">
      <c r="A693" s="4">
        <f>ROW()</f>
        <v>693</v>
      </c>
      <c r="B693" s="9" t="s">
        <v>27</v>
      </c>
      <c r="C693" s="55" t="str">
        <f t="shared" si="302"/>
        <v>p.endereçar</v>
      </c>
      <c r="D693" s="6" t="str">
        <f t="shared" si="293"/>
        <v>é.cep</v>
      </c>
      <c r="E693" s="8" t="s">
        <v>28</v>
      </c>
      <c r="F693" s="42" t="str">
        <f t="shared" si="300"/>
        <v>d.endereçar</v>
      </c>
      <c r="G693" s="18" t="s">
        <v>126</v>
      </c>
      <c r="H693" s="41" t="s">
        <v>2121</v>
      </c>
      <c r="I693" s="16" t="str">
        <f t="shared" si="301"/>
        <v>Functional</v>
      </c>
      <c r="J693" s="13" t="s">
        <v>29</v>
      </c>
      <c r="K693" s="13" t="s">
        <v>0</v>
      </c>
      <c r="L693" s="13" t="s">
        <v>0</v>
      </c>
      <c r="M693" s="13" t="s">
        <v>0</v>
      </c>
      <c r="N693" s="15" t="s">
        <v>0</v>
      </c>
      <c r="O693" s="13" t="s">
        <v>0</v>
      </c>
      <c r="P693" s="13" t="s">
        <v>0</v>
      </c>
      <c r="Q693" s="13" t="s">
        <v>0</v>
      </c>
      <c r="R693" s="15" t="s">
        <v>0</v>
      </c>
      <c r="S693" s="10" t="s">
        <v>1</v>
      </c>
      <c r="T693" s="10" t="s">
        <v>32</v>
      </c>
      <c r="U693" s="5" t="str">
        <f t="shared" si="288"/>
        <v>Propriedade destinada a endereçar: é.cep</v>
      </c>
      <c r="V693" s="5" t="str">
        <f t="shared" si="289"/>
        <v>Dado para endereçar:  cep  Deve ser formatado como (rdfs:Literal  or  xsd:string)</v>
      </c>
      <c r="W693" s="5" t="s">
        <v>5532</v>
      </c>
      <c r="X693" s="24" t="str">
        <f t="shared" si="290"/>
        <v>ender.123</v>
      </c>
      <c r="Y693" s="24" t="str">
        <f t="shared" si="291"/>
        <v>Ação de endereçar</v>
      </c>
      <c r="Z693" s="47" t="s">
        <v>1448</v>
      </c>
      <c r="AA693" s="25" t="str">
        <f t="shared" si="303"/>
        <v>null</v>
      </c>
      <c r="AB693" s="26" t="s">
        <v>0</v>
      </c>
      <c r="AC693" s="25" t="str">
        <f t="shared" si="304"/>
        <v>null</v>
      </c>
      <c r="AD693" s="26" t="s">
        <v>0</v>
      </c>
      <c r="AE693" s="25" t="str">
        <f t="shared" si="305"/>
        <v>propriedade</v>
      </c>
      <c r="AF693" s="26" t="s">
        <v>2410</v>
      </c>
      <c r="AG693" s="47" t="s">
        <v>2769</v>
      </c>
    </row>
    <row r="694" spans="1:33" ht="6.9" customHeight="1" x14ac:dyDescent="0.4">
      <c r="A694" s="4">
        <f>ROW()</f>
        <v>694</v>
      </c>
      <c r="B694" s="9" t="s">
        <v>27</v>
      </c>
      <c r="C694" s="54" t="str">
        <f t="shared" si="302"/>
        <v>p.energizar</v>
      </c>
      <c r="D694" s="6" t="str">
        <f>_xlfn.CONCAT("é.",G694)</f>
        <v>é.absortância.radiação.solar</v>
      </c>
      <c r="E694" s="8" t="s">
        <v>28</v>
      </c>
      <c r="F694" s="50" t="s">
        <v>673</v>
      </c>
      <c r="G694" s="17" t="s">
        <v>1133</v>
      </c>
      <c r="H694" s="41" t="s">
        <v>36</v>
      </c>
      <c r="I694" s="16" t="str">
        <f>J694</f>
        <v>null</v>
      </c>
      <c r="J694" s="13" t="s">
        <v>0</v>
      </c>
      <c r="K694" s="13" t="s">
        <v>0</v>
      </c>
      <c r="L694" s="13" t="s">
        <v>0</v>
      </c>
      <c r="M694" s="13" t="s">
        <v>0</v>
      </c>
      <c r="N694" s="15" t="s">
        <v>0</v>
      </c>
      <c r="O694" s="13" t="s">
        <v>0</v>
      </c>
      <c r="P694" s="13" t="s">
        <v>0</v>
      </c>
      <c r="Q694" s="13" t="s">
        <v>0</v>
      </c>
      <c r="R694" s="15" t="s">
        <v>0</v>
      </c>
      <c r="S694" s="10" t="s">
        <v>1</v>
      </c>
      <c r="T694" s="10" t="s">
        <v>32</v>
      </c>
      <c r="U694" s="5" t="str">
        <f>_xlfn.CONCAT("Propriedade destinada a ",MID(C694,FIND("p.",C694,1)+2,100),": ",D694)</f>
        <v>Propriedade destinada a energizar: é.absortância.radiação.solar</v>
      </c>
      <c r="V694" s="5" t="str">
        <f>_xlfn.CONCAT("Dado para ",MID(F694,FIND("d.",F694,1)+2,100),":  ",G694, "  Deve ser formatado como (",H694, ")")</f>
        <v>Dado para energizar:  absortância.radiação.solar  Deve ser formatado como (xsd:double)</v>
      </c>
      <c r="W694" s="5" t="s">
        <v>8684</v>
      </c>
      <c r="X694" s="24" t="e">
        <f>IF(#REF!&lt;&gt;F694,_xlfn.CONCAT(RIGHT(LEFT(F694,7),5),".100"),_xlfn.CONCAT(RIGHT(LEFT(F694,7),5),".",SUM(VALUE(RIGHT(#REF!,3)),1)))</f>
        <v>#REF!</v>
      </c>
      <c r="Y694" s="24" t="str">
        <f>_xlfn.CONCAT("Ação de ", SUBSTITUTE(F694, "d.",  ""))</f>
        <v>Ação de energizar</v>
      </c>
      <c r="Z694" s="47" t="s">
        <v>8698</v>
      </c>
      <c r="AA694" s="25" t="str">
        <f>IF(AB694="null", "null", "categoria.revit")</f>
        <v>null</v>
      </c>
      <c r="AB694" s="26" t="s">
        <v>0</v>
      </c>
      <c r="AC694" s="25" t="str">
        <f>IF(AD694="null", "null", "classe.ifc")</f>
        <v>null</v>
      </c>
      <c r="AD694" s="26" t="s">
        <v>0</v>
      </c>
      <c r="AE694" s="25" t="str">
        <f>IF(AF694="null", "null", "propriedade")</f>
        <v>null</v>
      </c>
      <c r="AF694" s="26" t="s">
        <v>0</v>
      </c>
      <c r="AG694" s="47" t="s">
        <v>8710</v>
      </c>
    </row>
    <row r="695" spans="1:33" ht="6.9" customHeight="1" x14ac:dyDescent="0.4">
      <c r="A695" s="4">
        <f>ROW()</f>
        <v>695</v>
      </c>
      <c r="B695" s="9" t="s">
        <v>27</v>
      </c>
      <c r="C695" s="55" t="str">
        <f>SUBSTITUTE(F695,"d.","p.")</f>
        <v>p.energizar</v>
      </c>
      <c r="D695" s="6" t="str">
        <f>_xlfn.CONCAT("é.",G695)</f>
        <v>é.calor.específico</v>
      </c>
      <c r="E695" s="8" t="s">
        <v>28</v>
      </c>
      <c r="F695" s="42" t="str">
        <f>F694</f>
        <v>d.energizar</v>
      </c>
      <c r="G695" s="17" t="s">
        <v>677</v>
      </c>
      <c r="H695" s="41" t="s">
        <v>36</v>
      </c>
      <c r="I695" s="16" t="str">
        <f>J695</f>
        <v>null</v>
      </c>
      <c r="J695" s="13" t="s">
        <v>0</v>
      </c>
      <c r="K695" s="13" t="s">
        <v>0</v>
      </c>
      <c r="L695" s="13" t="s">
        <v>0</v>
      </c>
      <c r="M695" s="13" t="s">
        <v>0</v>
      </c>
      <c r="N695" s="15" t="s">
        <v>0</v>
      </c>
      <c r="O695" s="13" t="s">
        <v>0</v>
      </c>
      <c r="P695" s="13" t="s">
        <v>0</v>
      </c>
      <c r="Q695" s="13" t="s">
        <v>0</v>
      </c>
      <c r="R695" s="15" t="s">
        <v>0</v>
      </c>
      <c r="S695" s="10" t="s">
        <v>1</v>
      </c>
      <c r="T695" s="10" t="s">
        <v>32</v>
      </c>
      <c r="U695" s="5" t="str">
        <f>_xlfn.CONCAT("Propriedade destinada a ",MID(C695,FIND("p.",C695,1)+2,100),": ",D695)</f>
        <v>Propriedade destinada a energizar: é.calor.específico</v>
      </c>
      <c r="V695" s="5" t="str">
        <f>_xlfn.CONCAT("Dado para ",MID(F695,FIND("d.",F695,1)+2,100),":  ",G695, "  Deve ser formatado como (",H695, ")")</f>
        <v>Dado para energizar:  calor.específico  Deve ser formatado como (xsd:double)</v>
      </c>
      <c r="W695" s="5" t="s">
        <v>8685</v>
      </c>
      <c r="X695" s="24" t="e">
        <f>IF(#REF!&lt;&gt;F695,_xlfn.CONCAT(RIGHT(LEFT(F695,7),5),".100"),_xlfn.CONCAT(RIGHT(LEFT(F695,7),5),".",SUM(VALUE(RIGHT(#REF!,3)),1)))</f>
        <v>#REF!</v>
      </c>
      <c r="Y695" s="24" t="str">
        <f>_xlfn.CONCAT("Ação de ", SUBSTITUTE(F695, "d.",  ""))</f>
        <v>Ação de energizar</v>
      </c>
      <c r="Z695" s="47" t="s">
        <v>8699</v>
      </c>
      <c r="AA695" s="25" t="str">
        <f>IF(AB695="null", "null", "categoria.revit")</f>
        <v>null</v>
      </c>
      <c r="AB695" s="26" t="s">
        <v>0</v>
      </c>
      <c r="AC695" s="25" t="str">
        <f>IF(AD695="null", "null", "classe.ifc")</f>
        <v>null</v>
      </c>
      <c r="AD695" s="26" t="s">
        <v>0</v>
      </c>
      <c r="AE695" s="25" t="str">
        <f>IF(AF695="null", "null", "propriedade")</f>
        <v>null</v>
      </c>
      <c r="AF695" s="26" t="s">
        <v>0</v>
      </c>
      <c r="AG695" s="47" t="s">
        <v>8711</v>
      </c>
    </row>
    <row r="696" spans="1:33" ht="6.9" customHeight="1" x14ac:dyDescent="0.4">
      <c r="A696" s="4">
        <f>ROW()</f>
        <v>696</v>
      </c>
      <c r="B696" s="9" t="s">
        <v>27</v>
      </c>
      <c r="C696" s="55" t="str">
        <f t="shared" ref="C696:C710" si="306">SUBSTITUTE(F696,"d.","p.")</f>
        <v>p.energizar</v>
      </c>
      <c r="D696" s="6" t="str">
        <f>_xlfn.CONCAT("é.",G696)</f>
        <v>é.condutividade.térmica</v>
      </c>
      <c r="E696" s="8" t="s">
        <v>28</v>
      </c>
      <c r="F696" s="42" t="str">
        <f t="shared" ref="F696:F710" si="307">F695</f>
        <v>d.energizar</v>
      </c>
      <c r="G696" s="17" t="s">
        <v>676</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_xlfn.CONCAT("Propriedade destinada a ",MID(C696,FIND("p.",C696,1)+2,100),": ",D696)</f>
        <v>Propriedade destinada a energizar: é.condutividade.térmica</v>
      </c>
      <c r="V696" s="5" t="str">
        <f>_xlfn.CONCAT("Dado para ",MID(F696,FIND("d.",F696,1)+2,100),":  ",G696, "  Deve ser formatado como (",H696, ")")</f>
        <v>Dado para energizar:  condutividade.térmica  Deve ser formatado como (xsd:double)</v>
      </c>
      <c r="W696" s="5" t="s">
        <v>8686</v>
      </c>
      <c r="X696" s="24" t="e">
        <f>IF(#REF!&lt;&gt;F696,_xlfn.CONCAT(RIGHT(LEFT(F696,7),5),".100"),_xlfn.CONCAT(RIGHT(LEFT(F696,7),5),".",SUM(VALUE(RIGHT(#REF!,3)),1)))</f>
        <v>#REF!</v>
      </c>
      <c r="Y696" s="24" t="str">
        <f>_xlfn.CONCAT("Ação de ", SUBSTITUTE(F696, "d.",  ""))</f>
        <v>Ação de energizar</v>
      </c>
      <c r="Z696" s="47" t="s">
        <v>8700</v>
      </c>
      <c r="AA696" s="25" t="str">
        <f>IF(AB696="null", "null", "categoria.revit")</f>
        <v>null</v>
      </c>
      <c r="AB696" s="26" t="s">
        <v>0</v>
      </c>
      <c r="AC696" s="25" t="str">
        <f>IF(AD696="null", "null", "classe.ifc")</f>
        <v>null</v>
      </c>
      <c r="AD696" s="26" t="s">
        <v>0</v>
      </c>
      <c r="AE696" s="25" t="str">
        <f>IF(AF696="null", "null", "propriedade")</f>
        <v>null</v>
      </c>
      <c r="AF696" s="26" t="s">
        <v>0</v>
      </c>
      <c r="AG696" s="47" t="s">
        <v>8712</v>
      </c>
    </row>
    <row r="697" spans="1:33" ht="6.9" customHeight="1" x14ac:dyDescent="0.4">
      <c r="A697" s="4">
        <f>ROW()</f>
        <v>697</v>
      </c>
      <c r="B697" s="9" t="s">
        <v>27</v>
      </c>
      <c r="C697" s="55" t="str">
        <f t="shared" si="306"/>
        <v>p.energizar</v>
      </c>
      <c r="D697" s="6" t="str">
        <f t="shared" ref="D697" si="308">_xlfn.CONCAT("é.",G697)</f>
        <v>é.consumidor</v>
      </c>
      <c r="E697" s="8" t="s">
        <v>28</v>
      </c>
      <c r="F697" s="42" t="str">
        <f t="shared" si="307"/>
        <v>d.energizar</v>
      </c>
      <c r="G697" s="18" t="s">
        <v>4427</v>
      </c>
      <c r="H697" s="41" t="s">
        <v>2121</v>
      </c>
      <c r="I697" s="16" t="str">
        <f t="shared" ref="I697" si="309">J697</f>
        <v>null</v>
      </c>
      <c r="J697" s="13" t="s">
        <v>0</v>
      </c>
      <c r="K697" s="13" t="s">
        <v>0</v>
      </c>
      <c r="L697" s="13" t="s">
        <v>0</v>
      </c>
      <c r="M697" s="13" t="s">
        <v>0</v>
      </c>
      <c r="N697" s="15" t="s">
        <v>0</v>
      </c>
      <c r="O697" s="13" t="s">
        <v>0</v>
      </c>
      <c r="P697" s="13" t="s">
        <v>0</v>
      </c>
      <c r="Q697" s="13" t="s">
        <v>0</v>
      </c>
      <c r="R697" s="15" t="s">
        <v>0</v>
      </c>
      <c r="S697" s="10" t="s">
        <v>1</v>
      </c>
      <c r="T697" s="10" t="s">
        <v>32</v>
      </c>
      <c r="U697" s="5" t="str">
        <f t="shared" ref="U697" si="310">_xlfn.CONCAT("Propriedade destinada a ",MID(C697,FIND("p.",C697,1)+2,100),": ",D697)</f>
        <v>Propriedade destinada a energizar: é.consumidor</v>
      </c>
      <c r="V697" s="5" t="str">
        <f t="shared" ref="V697" si="311">_xlfn.CONCAT("Dado para ",MID(F697,FIND("d.",F697,1)+2,100),":  ",G697, "  Deve ser formatado como (",H697, ")")</f>
        <v>Dado para energizar:  consumidor  Deve ser formatado como (rdfs:Literal  or  xsd:string)</v>
      </c>
      <c r="W697" s="5" t="s">
        <v>8697</v>
      </c>
      <c r="X697" s="24" t="e">
        <f t="shared" ref="X697" si="312">IF(#REF!&lt;&gt;F697,_xlfn.CONCAT(RIGHT(LEFT(F697,7),5),".100"),_xlfn.CONCAT(RIGHT(LEFT(F697,7),5),".",SUM(VALUE(RIGHT(#REF!,3)),1)))</f>
        <v>#REF!</v>
      </c>
      <c r="Y697" s="24" t="str">
        <f t="shared" ref="Y697" si="313">_xlfn.CONCAT("Ação de ", SUBSTITUTE(F697, "d.",  ""))</f>
        <v>Ação de energizar</v>
      </c>
      <c r="Z697" s="47" t="s">
        <v>3966</v>
      </c>
      <c r="AA697" s="25" t="str">
        <f t="shared" ref="AA697" si="314">IF(AB697="null", "null", "categoria.revit")</f>
        <v>categoria.revit</v>
      </c>
      <c r="AB697" s="26" t="s">
        <v>3511</v>
      </c>
      <c r="AC697" s="25" t="str">
        <f t="shared" ref="AC697" si="315">IF(AD697="null", "null", "classe.ifc")</f>
        <v>null</v>
      </c>
      <c r="AD697" s="26" t="s">
        <v>0</v>
      </c>
      <c r="AE697" s="25" t="str">
        <f t="shared" ref="AE697" si="316">IF(AF697="null", "null", "propriedade")</f>
        <v>null</v>
      </c>
      <c r="AF697" s="26" t="s">
        <v>0</v>
      </c>
      <c r="AG697" s="47" t="s">
        <v>8722</v>
      </c>
    </row>
    <row r="698" spans="1:33" ht="6.9" customHeight="1" x14ac:dyDescent="0.4">
      <c r="A698" s="4">
        <f>ROW()</f>
        <v>698</v>
      </c>
      <c r="B698" s="9" t="s">
        <v>27</v>
      </c>
      <c r="C698" s="55" t="str">
        <f t="shared" si="306"/>
        <v>p.energizar</v>
      </c>
      <c r="D698" s="6" t="str">
        <f>_xlfn.CONCAT("é.",G698)</f>
        <v>é.densidade.de.massa.aparente</v>
      </c>
      <c r="E698" s="8" t="s">
        <v>28</v>
      </c>
      <c r="F698" s="42" t="str">
        <f t="shared" si="307"/>
        <v>d.energizar</v>
      </c>
      <c r="G698" s="17" t="s">
        <v>678</v>
      </c>
      <c r="H698" s="41" t="s">
        <v>36</v>
      </c>
      <c r="I698" s="16" t="str">
        <f>J698</f>
        <v>null</v>
      </c>
      <c r="J698" s="13" t="s">
        <v>0</v>
      </c>
      <c r="K698" s="13" t="s">
        <v>0</v>
      </c>
      <c r="L698" s="13" t="s">
        <v>0</v>
      </c>
      <c r="M698" s="13" t="s">
        <v>0</v>
      </c>
      <c r="N698" s="15" t="s">
        <v>0</v>
      </c>
      <c r="O698" s="13" t="s">
        <v>0</v>
      </c>
      <c r="P698" s="13" t="s">
        <v>0</v>
      </c>
      <c r="Q698" s="13" t="s">
        <v>0</v>
      </c>
      <c r="R698" s="15" t="s">
        <v>0</v>
      </c>
      <c r="S698" s="10" t="s">
        <v>1</v>
      </c>
      <c r="T698" s="10" t="s">
        <v>32</v>
      </c>
      <c r="U698" s="5" t="str">
        <f>_xlfn.CONCAT("Propriedade destinada a ",MID(C698,FIND("p.",C698,1)+2,100),": ",D698)</f>
        <v>Propriedade destinada a energizar: é.densidade.de.massa.aparente</v>
      </c>
      <c r="V698" s="5" t="str">
        <f>_xlfn.CONCAT("Dado para ",MID(F698,FIND("d.",F698,1)+2,100),":  ",G698, "  Deve ser formatado como (",H698, ")")</f>
        <v>Dado para energizar:  densidade.de.massa.aparente  Deve ser formatado como (xsd:double)</v>
      </c>
      <c r="W698" s="5" t="s">
        <v>8687</v>
      </c>
      <c r="X698" s="24" t="e">
        <f>IF(#REF!&lt;&gt;F698,_xlfn.CONCAT(RIGHT(LEFT(F698,7),5),".100"),_xlfn.CONCAT(RIGHT(LEFT(F698,7),5),".",SUM(VALUE(RIGHT(#REF!,3)),1)))</f>
        <v>#REF!</v>
      </c>
      <c r="Y698" s="24" t="str">
        <f>_xlfn.CONCAT("Ação de ", SUBSTITUTE(F698, "d.",  ""))</f>
        <v>Ação de energizar</v>
      </c>
      <c r="Z698" s="47" t="s">
        <v>8701</v>
      </c>
      <c r="AA698" s="25" t="str">
        <f>IF(AB698="null", "null", "categoria.revit")</f>
        <v>null</v>
      </c>
      <c r="AB698" s="26" t="s">
        <v>0</v>
      </c>
      <c r="AC698" s="25" t="str">
        <f>IF(AD698="null", "null", "classe.ifc")</f>
        <v>null</v>
      </c>
      <c r="AD698" s="26" t="s">
        <v>0</v>
      </c>
      <c r="AE698" s="25" t="str">
        <f>IF(AF698="null", "null", "propriedade")</f>
        <v>null</v>
      </c>
      <c r="AF698" s="26" t="s">
        <v>0</v>
      </c>
      <c r="AG698" s="47" t="s">
        <v>8713</v>
      </c>
    </row>
    <row r="699" spans="1:33" ht="6.9" customHeight="1" x14ac:dyDescent="0.4">
      <c r="A699" s="4">
        <f>ROW()</f>
        <v>699</v>
      </c>
      <c r="B699" s="9" t="s">
        <v>27</v>
      </c>
      <c r="C699" s="55" t="str">
        <f t="shared" si="306"/>
        <v>p.energizar</v>
      </c>
      <c r="D699" s="6" t="str">
        <f>_xlfn.CONCAT("é.",G699)</f>
        <v>é.emissividade</v>
      </c>
      <c r="E699" s="8" t="s">
        <v>28</v>
      </c>
      <c r="F699" s="42" t="str">
        <f t="shared" si="307"/>
        <v>d.energizar</v>
      </c>
      <c r="G699" s="17" t="s">
        <v>389</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_xlfn.CONCAT("Propriedade destinada a ",MID(C699,FIND("p.",C699,1)+2,100),": ",D699)</f>
        <v>Propriedade destinada a energizar: é.emissividade</v>
      </c>
      <c r="V699" s="5" t="str">
        <f>_xlfn.CONCAT("Dado para ",MID(F699,FIND("d.",F699,1)+2,100),":  ",G699, "  Deve ser formatado como (",H699, ")")</f>
        <v>Dado para energizar:  emissividade  Deve ser formatado como (xsd:double)</v>
      </c>
      <c r="W699" s="5" t="s">
        <v>8688</v>
      </c>
      <c r="X699" s="24" t="e">
        <f>IF(#REF!&lt;&gt;F699,_xlfn.CONCAT(RIGHT(LEFT(F699,7),5),".100"),_xlfn.CONCAT(RIGHT(LEFT(F699,7),5),".",SUM(VALUE(RIGHT(#REF!,3)),1)))</f>
        <v>#REF!</v>
      </c>
      <c r="Y699" s="24" t="str">
        <f>_xlfn.CONCAT("Ação de ", SUBSTITUTE(F699, "d.",  ""))</f>
        <v>Ação de energizar</v>
      </c>
      <c r="Z699" s="47" t="s">
        <v>8702</v>
      </c>
      <c r="AA699" s="25" t="str">
        <f>IF(AB699="null", "null", "categoria.revit")</f>
        <v>null</v>
      </c>
      <c r="AB699" s="26" t="s">
        <v>0</v>
      </c>
      <c r="AC699" s="25" t="str">
        <f>IF(AD699="null", "null", "classe.ifc")</f>
        <v>null</v>
      </c>
      <c r="AD699" s="26" t="s">
        <v>0</v>
      </c>
      <c r="AE699" s="25" t="str">
        <f>IF(AF699="null", "null", "propriedade")</f>
        <v>null</v>
      </c>
      <c r="AF699" s="26" t="s">
        <v>0</v>
      </c>
      <c r="AG699" s="47" t="s">
        <v>8714</v>
      </c>
    </row>
    <row r="700" spans="1:33" ht="6.9" customHeight="1" x14ac:dyDescent="0.4">
      <c r="A700" s="4">
        <f>ROW()</f>
        <v>700</v>
      </c>
      <c r="B700" s="9" t="s">
        <v>27</v>
      </c>
      <c r="C700" s="55" t="str">
        <f t="shared" si="306"/>
        <v>p.energizar</v>
      </c>
      <c r="D700" s="6" t="str">
        <f>_xlfn.CONCAT("é.",G700)</f>
        <v>é.energia.ativa</v>
      </c>
      <c r="E700" s="8" t="s">
        <v>28</v>
      </c>
      <c r="F700" s="42" t="str">
        <f t="shared" si="307"/>
        <v>d.energizar</v>
      </c>
      <c r="G700" s="18" t="s">
        <v>674</v>
      </c>
      <c r="H700" s="41" t="s">
        <v>2121</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_xlfn.CONCAT("Propriedade destinada a ",MID(C700,FIND("p.",C700,1)+2,100),": ",D700)</f>
        <v>Propriedade destinada a energizar: é.energia.ativa</v>
      </c>
      <c r="V700" s="5" t="str">
        <f>_xlfn.CONCAT("Dado para ",MID(F700,FIND("d.",F700,1)+2,100),":  ",G700, "  Deve ser formatado como (",H700, ")")</f>
        <v>Dado para energizar:  energia.ativa  Deve ser formatado como (rdfs:Literal  or  xsd:string)</v>
      </c>
      <c r="W700" s="5" t="s">
        <v>5534</v>
      </c>
      <c r="X700" s="24" t="e">
        <f>IF(#REF!&lt;&gt;F700,_xlfn.CONCAT(RIGHT(LEFT(F700,7),5),".100"),_xlfn.CONCAT(RIGHT(LEFT(F700,7),5),".",SUM(VALUE(RIGHT(#REF!,3)),1)))</f>
        <v>#REF!</v>
      </c>
      <c r="Y700" s="24" t="str">
        <f>_xlfn.CONCAT("Ação de ", SUBSTITUTE(F700, "d.",  ""))</f>
        <v>Ação de energizar</v>
      </c>
      <c r="Z700" s="47" t="s">
        <v>1449</v>
      </c>
      <c r="AA700" s="25" t="str">
        <f>IF(AB700="null", "null", "categoria.revit")</f>
        <v>null</v>
      </c>
      <c r="AB700" s="26" t="s">
        <v>0</v>
      </c>
      <c r="AC700" s="25" t="str">
        <f>IF(AD700="null", "null", "classe.ifc")</f>
        <v>null</v>
      </c>
      <c r="AD700" s="26" t="s">
        <v>0</v>
      </c>
      <c r="AE700" s="25" t="str">
        <f>IF(AF700="null", "null", "propriedade")</f>
        <v>null</v>
      </c>
      <c r="AF700" s="26" t="s">
        <v>0</v>
      </c>
      <c r="AG700" s="47" t="s">
        <v>4698</v>
      </c>
    </row>
    <row r="701" spans="1:33" ht="6.9" customHeight="1" x14ac:dyDescent="0.4">
      <c r="A701" s="4">
        <f>ROW()</f>
        <v>701</v>
      </c>
      <c r="B701" s="9" t="s">
        <v>27</v>
      </c>
      <c r="C701" s="55" t="str">
        <f t="shared" si="306"/>
        <v>p.energizar</v>
      </c>
      <c r="D701" s="6" t="str">
        <f>_xlfn.CONCAT("é.",G701)</f>
        <v>é.energia.consumida</v>
      </c>
      <c r="E701" s="8" t="s">
        <v>28</v>
      </c>
      <c r="F701" s="42" t="str">
        <f>F700</f>
        <v>d.energizar</v>
      </c>
      <c r="G701" s="18" t="s">
        <v>8683</v>
      </c>
      <c r="H701" s="41" t="s">
        <v>2121</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_xlfn.CONCAT("Propriedade destinada a ",MID(C701,FIND("p.",C701,1)+2,100),": ",D701)</f>
        <v>Propriedade destinada a energizar: é.energia.consumida</v>
      </c>
      <c r="V701" s="5" t="str">
        <f>_xlfn.CONCAT("Dado para ",MID(F701,FIND("d.",F701,1)+2,100),":  ",G701, "  Deve ser formatado como (",H701, ")")</f>
        <v>Dado para energizar:  energia.consumida  Deve ser formatado como (rdfs:Literal  or  xsd:string)</v>
      </c>
      <c r="W701" s="5" t="s">
        <v>8696</v>
      </c>
      <c r="X701" s="24" t="e">
        <f>IF(#REF!&lt;&gt;F701,_xlfn.CONCAT(RIGHT(LEFT(F701,7),5),".100"),_xlfn.CONCAT(RIGHT(LEFT(F701,7),5),".",SUM(VALUE(RIGHT(#REF!,3)),1)))</f>
        <v>#REF!</v>
      </c>
      <c r="Y701" s="24" t="str">
        <f>_xlfn.CONCAT("Ação de ", SUBSTITUTE(F701, "d.",  ""))</f>
        <v>Ação de energizar</v>
      </c>
      <c r="Z701" s="47" t="s">
        <v>8709</v>
      </c>
      <c r="AA701" s="25" t="str">
        <f>IF(AB701="null", "null", "categoria.revit")</f>
        <v>null</v>
      </c>
      <c r="AB701" s="26" t="s">
        <v>0</v>
      </c>
      <c r="AC701" s="25" t="str">
        <f>IF(AD701="null", "null", "classe.ifc")</f>
        <v>null</v>
      </c>
      <c r="AD701" s="26" t="s">
        <v>0</v>
      </c>
      <c r="AE701" s="25" t="str">
        <f>IF(AF701="null", "null", "propriedade")</f>
        <v>null</v>
      </c>
      <c r="AF701" s="26" t="s">
        <v>0</v>
      </c>
      <c r="AG701" s="47" t="s">
        <v>8719</v>
      </c>
    </row>
    <row r="702" spans="1:33" ht="6.9" customHeight="1" x14ac:dyDescent="0.4">
      <c r="A702" s="4">
        <f>ROW()</f>
        <v>702</v>
      </c>
      <c r="B702" s="9" t="s">
        <v>27</v>
      </c>
      <c r="C702" s="55" t="str">
        <f t="shared" si="306"/>
        <v>p.energizar</v>
      </c>
      <c r="D702" s="6" t="str">
        <f>_xlfn.CONCAT("é.",G702)</f>
        <v>é.energia.demandada</v>
      </c>
      <c r="E702" s="8" t="s">
        <v>28</v>
      </c>
      <c r="F702" s="42" t="str">
        <f t="shared" si="307"/>
        <v>d.energizar</v>
      </c>
      <c r="G702" s="18" t="s">
        <v>8682</v>
      </c>
      <c r="H702" s="41" t="s">
        <v>2121</v>
      </c>
      <c r="I702" s="16" t="str">
        <f>J702</f>
        <v>null</v>
      </c>
      <c r="J702" s="13" t="s">
        <v>0</v>
      </c>
      <c r="K702" s="13" t="s">
        <v>0</v>
      </c>
      <c r="L702" s="13" t="s">
        <v>0</v>
      </c>
      <c r="M702" s="13" t="s">
        <v>0</v>
      </c>
      <c r="N702" s="15" t="s">
        <v>0</v>
      </c>
      <c r="O702" s="13" t="s">
        <v>0</v>
      </c>
      <c r="P702" s="13" t="s">
        <v>0</v>
      </c>
      <c r="Q702" s="13" t="s">
        <v>0</v>
      </c>
      <c r="R702" s="15" t="s">
        <v>0</v>
      </c>
      <c r="S702" s="10" t="s">
        <v>1</v>
      </c>
      <c r="T702" s="10" t="s">
        <v>32</v>
      </c>
      <c r="U702" s="5" t="str">
        <f>_xlfn.CONCAT("Propriedade destinada a ",MID(C702,FIND("p.",C702,1)+2,100),": ",D702)</f>
        <v>Propriedade destinada a energizar: é.energia.demandada</v>
      </c>
      <c r="V702" s="5" t="str">
        <f>_xlfn.CONCAT("Dado para ",MID(F702,FIND("d.",F702,1)+2,100),":  ",G702, "  Deve ser formatado como (",H702, ")")</f>
        <v>Dado para energizar:  energia.demandada  Deve ser formatado como (rdfs:Literal  or  xsd:string)</v>
      </c>
      <c r="W702" s="5" t="s">
        <v>8695</v>
      </c>
      <c r="X702" s="24" t="e">
        <f>IF(#REF!&lt;&gt;F702,_xlfn.CONCAT(RIGHT(LEFT(F702,7),5),".100"),_xlfn.CONCAT(RIGHT(LEFT(F702,7),5),".",SUM(VALUE(RIGHT(#REF!,3)),1)))</f>
        <v>#REF!</v>
      </c>
      <c r="Y702" s="24" t="str">
        <f>_xlfn.CONCAT("Ação de ", SUBSTITUTE(F702, "d.",  ""))</f>
        <v>Ação de energizar</v>
      </c>
      <c r="Z702" s="47" t="s">
        <v>8708</v>
      </c>
      <c r="AA702" s="25" t="str">
        <f>IF(AB702="null", "null", "categoria.revit")</f>
        <v>null</v>
      </c>
      <c r="AB702" s="26" t="s">
        <v>0</v>
      </c>
      <c r="AC702" s="25" t="str">
        <f>IF(AD702="null", "null", "classe.ifc")</f>
        <v>null</v>
      </c>
      <c r="AD702" s="26" t="s">
        <v>0</v>
      </c>
      <c r="AE702" s="25" t="str">
        <f>IF(AF702="null", "null", "propriedade")</f>
        <v>null</v>
      </c>
      <c r="AF702" s="26" t="s">
        <v>0</v>
      </c>
      <c r="AG702" s="47" t="s">
        <v>8720</v>
      </c>
    </row>
    <row r="703" spans="1:33" ht="6.9" customHeight="1" x14ac:dyDescent="0.4">
      <c r="A703" s="4">
        <f>ROW()</f>
        <v>703</v>
      </c>
      <c r="B703" s="9" t="s">
        <v>27</v>
      </c>
      <c r="C703" s="55" t="str">
        <f t="shared" si="306"/>
        <v>p.energizar</v>
      </c>
      <c r="D703" s="6" t="str">
        <f>_xlfn.CONCAT("é.",G703)</f>
        <v>é.energia.reativa</v>
      </c>
      <c r="E703" s="8" t="s">
        <v>28</v>
      </c>
      <c r="F703" s="42" t="str">
        <f t="shared" si="307"/>
        <v>d.energizar</v>
      </c>
      <c r="G703" s="18" t="s">
        <v>675</v>
      </c>
      <c r="H703" s="41" t="s">
        <v>2121</v>
      </c>
      <c r="I703" s="16" t="str">
        <f>J703</f>
        <v>null</v>
      </c>
      <c r="J703" s="13" t="s">
        <v>0</v>
      </c>
      <c r="K703" s="13" t="s">
        <v>0</v>
      </c>
      <c r="L703" s="13" t="s">
        <v>0</v>
      </c>
      <c r="M703" s="13" t="s">
        <v>0</v>
      </c>
      <c r="N703" s="15" t="s">
        <v>0</v>
      </c>
      <c r="O703" s="13" t="s">
        <v>0</v>
      </c>
      <c r="P703" s="13" t="s">
        <v>0</v>
      </c>
      <c r="Q703" s="13" t="s">
        <v>0</v>
      </c>
      <c r="R703" s="15" t="s">
        <v>0</v>
      </c>
      <c r="S703" s="10" t="s">
        <v>1</v>
      </c>
      <c r="T703" s="10" t="s">
        <v>32</v>
      </c>
      <c r="U703" s="5" t="str">
        <f>_xlfn.CONCAT("Propriedade destinada a ",MID(C703,FIND("p.",C703,1)+2,100),": ",D703)</f>
        <v>Propriedade destinada a energizar: é.energia.reativa</v>
      </c>
      <c r="V703" s="5" t="str">
        <f>_xlfn.CONCAT("Dado para ",MID(F703,FIND("d.",F703,1)+2,100),":  ",G703, "  Deve ser formatado como (",H703, ")")</f>
        <v>Dado para energizar:  energia.reativa  Deve ser formatado como (rdfs:Literal  or  xsd:string)</v>
      </c>
      <c r="W703" s="5" t="s">
        <v>5535</v>
      </c>
      <c r="X703" s="24" t="e">
        <f>IF(#REF!&lt;&gt;F703,_xlfn.CONCAT(RIGHT(LEFT(F703,7),5),".100"),_xlfn.CONCAT(RIGHT(LEFT(F703,7),5),".",SUM(VALUE(RIGHT(#REF!,3)),1)))</f>
        <v>#REF!</v>
      </c>
      <c r="Y703" s="24" t="str">
        <f>_xlfn.CONCAT("Ação de ", SUBSTITUTE(F703, "d.",  ""))</f>
        <v>Ação de energizar</v>
      </c>
      <c r="Z703" s="47" t="s">
        <v>1450</v>
      </c>
      <c r="AA703" s="25" t="str">
        <f>IF(AB703="null", "null", "categoria.revit")</f>
        <v>null</v>
      </c>
      <c r="AB703" s="26" t="s">
        <v>0</v>
      </c>
      <c r="AC703" s="25" t="str">
        <f>IF(AD703="null", "null", "classe.ifc")</f>
        <v>null</v>
      </c>
      <c r="AD703" s="26" t="s">
        <v>0</v>
      </c>
      <c r="AE703" s="25" t="str">
        <f>IF(AF703="null", "null", "propriedade")</f>
        <v>null</v>
      </c>
      <c r="AF703" s="26" t="s">
        <v>0</v>
      </c>
      <c r="AG703" s="47" t="s">
        <v>2770</v>
      </c>
    </row>
    <row r="704" spans="1:33" ht="6.9" customHeight="1" x14ac:dyDescent="0.4">
      <c r="A704" s="4">
        <f>ROW()</f>
        <v>704</v>
      </c>
      <c r="B704" s="9" t="s">
        <v>27</v>
      </c>
      <c r="C704" s="55" t="str">
        <f t="shared" si="306"/>
        <v>p.energizar</v>
      </c>
      <c r="D704" s="6" t="str">
        <f>_xlfn.CONCAT("é.",G704)</f>
        <v>é.fator.fotoenergético</v>
      </c>
      <c r="E704" s="8" t="s">
        <v>28</v>
      </c>
      <c r="F704" s="42" t="str">
        <f t="shared" si="307"/>
        <v>d.energizar</v>
      </c>
      <c r="G704" s="17" t="s">
        <v>685</v>
      </c>
      <c r="H704" s="41" t="s">
        <v>36</v>
      </c>
      <c r="I704" s="16" t="str">
        <f>J704</f>
        <v>null</v>
      </c>
      <c r="J704" s="13" t="s">
        <v>0</v>
      </c>
      <c r="K704" s="13" t="s">
        <v>0</v>
      </c>
      <c r="L704" s="13" t="s">
        <v>0</v>
      </c>
      <c r="M704" s="13" t="s">
        <v>0</v>
      </c>
      <c r="N704" s="15" t="s">
        <v>0</v>
      </c>
      <c r="O704" s="13" t="s">
        <v>0</v>
      </c>
      <c r="P704" s="13" t="s">
        <v>0</v>
      </c>
      <c r="Q704" s="13" t="s">
        <v>0</v>
      </c>
      <c r="R704" s="15" t="s">
        <v>686</v>
      </c>
      <c r="S704" s="10" t="s">
        <v>1</v>
      </c>
      <c r="T704" s="10" t="s">
        <v>32</v>
      </c>
      <c r="U704" s="5" t="str">
        <f>_xlfn.CONCAT("Propriedade destinada a ",MID(C704,FIND("p.",C704,1)+2,100),": ",D704)</f>
        <v>Propriedade destinada a energizar: é.fator.fotoenergético</v>
      </c>
      <c r="V704" s="5" t="str">
        <f>_xlfn.CONCAT("Dado para ",MID(F704,FIND("d.",F704,1)+2,100),":  ",G704, "  Deve ser formatado como (",H704, ")")</f>
        <v>Dado para energizar:  fator.fotoenergético  Deve ser formatado como (xsd:double)</v>
      </c>
      <c r="W704" s="5" t="s">
        <v>8689</v>
      </c>
      <c r="X704" s="24" t="e">
        <f>IF(F703&lt;&gt;F704,_xlfn.CONCAT(RIGHT(LEFT(F704,7),5),".100"),_xlfn.CONCAT(RIGHT(LEFT(F704,7),5),".",SUM(VALUE(RIGHT(X703,3)),1)))</f>
        <v>#REF!</v>
      </c>
      <c r="Y704" s="24" t="str">
        <f>_xlfn.CONCAT("Ação de ", SUBSTITUTE(F704, "d.",  ""))</f>
        <v>Ação de energizar</v>
      </c>
      <c r="Z704" s="47" t="s">
        <v>8703</v>
      </c>
      <c r="AA704" s="25" t="str">
        <f>IF(AB704="null", "null", "categoria.revit")</f>
        <v>null</v>
      </c>
      <c r="AB704" s="26" t="s">
        <v>0</v>
      </c>
      <c r="AC704" s="25" t="str">
        <f>IF(AD704="null", "null", "classe.ifc")</f>
        <v>null</v>
      </c>
      <c r="AD704" s="26" t="s">
        <v>0</v>
      </c>
      <c r="AE704" s="25" t="str">
        <f>IF(AF704="null", "null", "propriedade")</f>
        <v>null</v>
      </c>
      <c r="AF704" s="26" t="s">
        <v>0</v>
      </c>
      <c r="AG704" s="47" t="s">
        <v>8715</v>
      </c>
    </row>
    <row r="705" spans="1:33" ht="6.9" customHeight="1" x14ac:dyDescent="0.4">
      <c r="A705" s="4">
        <f>ROW()</f>
        <v>705</v>
      </c>
      <c r="B705" s="9" t="s">
        <v>27</v>
      </c>
      <c r="C705" s="55" t="str">
        <f t="shared" si="306"/>
        <v>p.energizar</v>
      </c>
      <c r="D705" s="6" t="str">
        <f>_xlfn.CONCAT("é.",G705)</f>
        <v>é.fator.solar</v>
      </c>
      <c r="E705" s="8" t="s">
        <v>28</v>
      </c>
      <c r="F705" s="42" t="str">
        <f t="shared" si="307"/>
        <v>d.energizar</v>
      </c>
      <c r="G705" s="17" t="s">
        <v>683</v>
      </c>
      <c r="H705" s="41" t="s">
        <v>36</v>
      </c>
      <c r="I705" s="16" t="str">
        <f>J705</f>
        <v>null</v>
      </c>
      <c r="J705" s="13" t="s">
        <v>0</v>
      </c>
      <c r="K705" s="13" t="s">
        <v>0</v>
      </c>
      <c r="L705" s="13" t="s">
        <v>0</v>
      </c>
      <c r="M705" s="13" t="s">
        <v>0</v>
      </c>
      <c r="N705" s="15" t="s">
        <v>0</v>
      </c>
      <c r="O705" s="13" t="s">
        <v>0</v>
      </c>
      <c r="P705" s="13" t="s">
        <v>0</v>
      </c>
      <c r="Q705" s="13" t="s">
        <v>0</v>
      </c>
      <c r="R705" s="15" t="s">
        <v>684</v>
      </c>
      <c r="S705" s="10" t="s">
        <v>1</v>
      </c>
      <c r="T705" s="10" t="s">
        <v>32</v>
      </c>
      <c r="U705" s="5" t="str">
        <f>_xlfn.CONCAT("Propriedade destinada a ",MID(C705,FIND("p.",C705,1)+2,100),": ",D705)</f>
        <v>Propriedade destinada a energizar: é.fator.solar</v>
      </c>
      <c r="V705" s="5" t="str">
        <f>_xlfn.CONCAT("Dado para ",MID(F705,FIND("d.",F705,1)+2,100),":  ",G705, "  Deve ser formatado como (",H705, ")")</f>
        <v>Dado para energizar:  fator.solar  Deve ser formatado como (xsd:double)</v>
      </c>
      <c r="W705" s="5" t="s">
        <v>8690</v>
      </c>
      <c r="X705" s="24" t="e">
        <f>IF(F704&lt;&gt;F705,_xlfn.CONCAT(RIGHT(LEFT(F705,7),5),".100"),_xlfn.CONCAT(RIGHT(LEFT(F705,7),5),".",SUM(VALUE(RIGHT(X704,3)),1)))</f>
        <v>#REF!</v>
      </c>
      <c r="Y705" s="24" t="str">
        <f>_xlfn.CONCAT("Ação de ", SUBSTITUTE(F705, "d.",  ""))</f>
        <v>Ação de energizar</v>
      </c>
      <c r="Z705" s="47" t="s">
        <v>8704</v>
      </c>
      <c r="AA705" s="25" t="str">
        <f>IF(AB705="null", "null", "categoria.revit")</f>
        <v>null</v>
      </c>
      <c r="AB705" s="26" t="s">
        <v>0</v>
      </c>
      <c r="AC705" s="25" t="str">
        <f>IF(AD705="null", "null", "classe.ifc")</f>
        <v>null</v>
      </c>
      <c r="AD705" s="26" t="s">
        <v>0</v>
      </c>
      <c r="AE705" s="25" t="str">
        <f>IF(AF705="null", "null", "propriedade")</f>
        <v>null</v>
      </c>
      <c r="AF705" s="26" t="s">
        <v>0</v>
      </c>
      <c r="AG705" s="47" t="s">
        <v>8716</v>
      </c>
    </row>
    <row r="706" spans="1:33" ht="6.9" customHeight="1" x14ac:dyDescent="0.4">
      <c r="A706" s="4">
        <f>ROW()</f>
        <v>706</v>
      </c>
      <c r="B706" s="9" t="s">
        <v>27</v>
      </c>
      <c r="C706" s="55" t="str">
        <f t="shared" si="306"/>
        <v>p.energizar</v>
      </c>
      <c r="D706" s="6" t="str">
        <f>_xlfn.CONCAT("é.",G706)</f>
        <v>é.renovável</v>
      </c>
      <c r="E706" s="8" t="s">
        <v>28</v>
      </c>
      <c r="F706" s="42" t="str">
        <f t="shared" si="307"/>
        <v>d.energizar</v>
      </c>
      <c r="G706" s="18" t="s">
        <v>221</v>
      </c>
      <c r="H706" s="41" t="s">
        <v>2121</v>
      </c>
      <c r="I706" s="16" t="str">
        <f>J706</f>
        <v>null</v>
      </c>
      <c r="J706" s="13" t="s">
        <v>0</v>
      </c>
      <c r="K706" s="13" t="s">
        <v>0</v>
      </c>
      <c r="L706" s="13" t="s">
        <v>0</v>
      </c>
      <c r="M706" s="13" t="s">
        <v>0</v>
      </c>
      <c r="N706" s="15" t="s">
        <v>0</v>
      </c>
      <c r="O706" s="13" t="s">
        <v>0</v>
      </c>
      <c r="P706" s="13" t="s">
        <v>0</v>
      </c>
      <c r="Q706" s="13" t="s">
        <v>0</v>
      </c>
      <c r="R706" s="15" t="s">
        <v>0</v>
      </c>
      <c r="S706" s="10" t="s">
        <v>1</v>
      </c>
      <c r="T706" s="10" t="s">
        <v>32</v>
      </c>
      <c r="U706" s="5" t="str">
        <f>_xlfn.CONCAT("Propriedade destinada a ",MID(C706,FIND("p.",C706,1)+2,100),": ",D706)</f>
        <v>Propriedade destinada a energizar: é.renovável</v>
      </c>
      <c r="V706" s="5" t="str">
        <f>_xlfn.CONCAT("Dado para ",MID(F706,FIND("d.",F706,1)+2,100),":  ",G706, "  Deve ser formatado como (",H706, ")")</f>
        <v>Dado para energizar:  renovável  Deve ser formatado como (rdfs:Literal  or  xsd:string)</v>
      </c>
      <c r="W706" s="5" t="s">
        <v>8693</v>
      </c>
      <c r="X706" s="24" t="e">
        <f>IF(#REF!&lt;&gt;F706,_xlfn.CONCAT(RIGHT(LEFT(F706,7),5),".100"),_xlfn.CONCAT(RIGHT(LEFT(F706,7),5),".",SUM(VALUE(RIGHT(#REF!,3)),1)))</f>
        <v>#REF!</v>
      </c>
      <c r="Y706" s="24" t="str">
        <f>_xlfn.CONCAT("Ação de ", SUBSTITUTE(F706, "d.",  ""))</f>
        <v>Ação de energizar</v>
      </c>
      <c r="Z706" s="47" t="s">
        <v>1452</v>
      </c>
      <c r="AA706" s="25" t="str">
        <f>IF(AB706="null", "null", "categoria.revit")</f>
        <v>null</v>
      </c>
      <c r="AB706" s="26" t="s">
        <v>0</v>
      </c>
      <c r="AC706" s="25" t="str">
        <f>IF(AD706="null", "null", "classe.ifc")</f>
        <v>null</v>
      </c>
      <c r="AD706" s="26" t="s">
        <v>0</v>
      </c>
      <c r="AE706" s="25" t="str">
        <f>IF(AF706="null", "null", "propriedade")</f>
        <v>null</v>
      </c>
      <c r="AF706" s="26" t="s">
        <v>0</v>
      </c>
      <c r="AG706" s="47" t="s">
        <v>2772</v>
      </c>
    </row>
    <row r="707" spans="1:33" ht="6.9" customHeight="1" x14ac:dyDescent="0.4">
      <c r="A707" s="4">
        <f>ROW()</f>
        <v>707</v>
      </c>
      <c r="B707" s="9" t="s">
        <v>27</v>
      </c>
      <c r="C707" s="55" t="str">
        <f t="shared" si="306"/>
        <v>p.energizar</v>
      </c>
      <c r="D707" s="6" t="str">
        <f>_xlfn.CONCAT("é.",G707)</f>
        <v>é.reserva</v>
      </c>
      <c r="E707" s="8" t="s">
        <v>28</v>
      </c>
      <c r="F707" s="42" t="str">
        <f t="shared" si="307"/>
        <v>d.energizar</v>
      </c>
      <c r="G707" s="18" t="s">
        <v>219</v>
      </c>
      <c r="H707" s="41" t="s">
        <v>2121</v>
      </c>
      <c r="I707" s="16" t="str">
        <f>J707</f>
        <v>null</v>
      </c>
      <c r="J707" s="13" t="s">
        <v>0</v>
      </c>
      <c r="K707" s="13" t="s">
        <v>0</v>
      </c>
      <c r="L707" s="13" t="s">
        <v>0</v>
      </c>
      <c r="M707" s="13" t="s">
        <v>0</v>
      </c>
      <c r="N707" s="15" t="s">
        <v>0</v>
      </c>
      <c r="O707" s="13" t="s">
        <v>0</v>
      </c>
      <c r="P707" s="13" t="s">
        <v>0</v>
      </c>
      <c r="Q707" s="13" t="s">
        <v>0</v>
      </c>
      <c r="R707" s="15" t="s">
        <v>0</v>
      </c>
      <c r="S707" s="10" t="s">
        <v>1</v>
      </c>
      <c r="T707" s="10" t="s">
        <v>32</v>
      </c>
      <c r="U707" s="5" t="str">
        <f>_xlfn.CONCAT("Propriedade destinada a ",MID(C707,FIND("p.",C707,1)+2,100),": ",D707)</f>
        <v>Propriedade destinada a energizar: é.reserva</v>
      </c>
      <c r="V707" s="5" t="str">
        <f>_xlfn.CONCAT("Dado para ",MID(F707,FIND("d.",F707,1)+2,100),":  ",G707, "  Deve ser formatado como (",H707, ")")</f>
        <v>Dado para energizar:  reserva  Deve ser formatado como (rdfs:Literal  or  xsd:string)</v>
      </c>
      <c r="W707" s="5" t="s">
        <v>8694</v>
      </c>
      <c r="X707" s="24" t="e">
        <f>IF(#REF!&lt;&gt;F707,_xlfn.CONCAT(RIGHT(LEFT(F707,7),5),".100"),_xlfn.CONCAT(RIGHT(LEFT(F707,7),5),".",SUM(VALUE(RIGHT(#REF!,3)),1)))</f>
        <v>#REF!</v>
      </c>
      <c r="Y707" s="24" t="str">
        <f>_xlfn.CONCAT("Ação de ", SUBSTITUTE(F707, "d.",  ""))</f>
        <v>Ação de energizar</v>
      </c>
      <c r="Z707" s="47" t="s">
        <v>8707</v>
      </c>
      <c r="AA707" s="25" t="str">
        <f>IF(AB707="null", "null", "categoria.revit")</f>
        <v>null</v>
      </c>
      <c r="AB707" s="26" t="s">
        <v>0</v>
      </c>
      <c r="AC707" s="25" t="str">
        <f>IF(AD707="null", "null", "classe.ifc")</f>
        <v>null</v>
      </c>
      <c r="AD707" s="26" t="s">
        <v>0</v>
      </c>
      <c r="AE707" s="25" t="str">
        <f>IF(AF707="null", "null", "propriedade")</f>
        <v>null</v>
      </c>
      <c r="AF707" s="26" t="s">
        <v>0</v>
      </c>
      <c r="AG707" s="47" t="s">
        <v>8721</v>
      </c>
    </row>
    <row r="708" spans="1:33" ht="6.9" customHeight="1" x14ac:dyDescent="0.4">
      <c r="A708" s="4">
        <f>ROW()</f>
        <v>708</v>
      </c>
      <c r="B708" s="9" t="s">
        <v>27</v>
      </c>
      <c r="C708" s="55" t="str">
        <f t="shared" si="306"/>
        <v>p.energizar</v>
      </c>
      <c r="D708" s="6" t="str">
        <f>_xlfn.CONCAT("é.",G708)</f>
        <v>é.reservatório</v>
      </c>
      <c r="E708" s="8" t="s">
        <v>28</v>
      </c>
      <c r="F708" s="42" t="str">
        <f t="shared" si="307"/>
        <v>d.energizar</v>
      </c>
      <c r="G708" s="18" t="s">
        <v>220</v>
      </c>
      <c r="H708" s="41" t="s">
        <v>2121</v>
      </c>
      <c r="I708" s="16" t="str">
        <f>J708</f>
        <v>null</v>
      </c>
      <c r="J708" s="13" t="s">
        <v>0</v>
      </c>
      <c r="K708" s="13" t="s">
        <v>0</v>
      </c>
      <c r="L708" s="13" t="s">
        <v>0</v>
      </c>
      <c r="M708" s="13" t="s">
        <v>0</v>
      </c>
      <c r="N708" s="15" t="s">
        <v>0</v>
      </c>
      <c r="O708" s="13" t="s">
        <v>0</v>
      </c>
      <c r="P708" s="13" t="s">
        <v>0</v>
      </c>
      <c r="Q708" s="13" t="s">
        <v>0</v>
      </c>
      <c r="R708" s="15" t="s">
        <v>0</v>
      </c>
      <c r="S708" s="10" t="s">
        <v>1</v>
      </c>
      <c r="T708" s="10" t="s">
        <v>32</v>
      </c>
      <c r="U708" s="5" t="str">
        <f>_xlfn.CONCAT("Propriedade destinada a ",MID(C708,FIND("p.",C708,1)+2,100),": ",D708)</f>
        <v>Propriedade destinada a energizar: é.reservatório</v>
      </c>
      <c r="V708" s="5" t="str">
        <f>_xlfn.CONCAT("Dado para ",MID(F708,FIND("d.",F708,1)+2,100),":  ",G708, "  Deve ser formatado como (",H708, ")")</f>
        <v>Dado para energizar:  reservatório  Deve ser formatado como (rdfs:Literal  or  xsd:string)</v>
      </c>
      <c r="W708" s="5" t="s">
        <v>5536</v>
      </c>
      <c r="X708" s="24" t="e">
        <f>IF(#REF!&lt;&gt;F708,_xlfn.CONCAT(RIGHT(LEFT(F708,7),5),".100"),_xlfn.CONCAT(RIGHT(LEFT(F708,7),5),".",SUM(VALUE(RIGHT(#REF!,3)),1)))</f>
        <v>#REF!</v>
      </c>
      <c r="Y708" s="24" t="str">
        <f>_xlfn.CONCAT("Ação de ", SUBSTITUTE(F708, "d.",  ""))</f>
        <v>Ação de energizar</v>
      </c>
      <c r="Z708" s="47" t="s">
        <v>1451</v>
      </c>
      <c r="AA708" s="25" t="str">
        <f>IF(AB708="null", "null", "categoria.revit")</f>
        <v>null</v>
      </c>
      <c r="AB708" s="26" t="s">
        <v>0</v>
      </c>
      <c r="AC708" s="25" t="str">
        <f>IF(AD708="null", "null", "classe.ifc")</f>
        <v>null</v>
      </c>
      <c r="AD708" s="26" t="s">
        <v>0</v>
      </c>
      <c r="AE708" s="25" t="str">
        <f>IF(AF708="null", "null", "propriedade")</f>
        <v>null</v>
      </c>
      <c r="AF708" s="26" t="s">
        <v>0</v>
      </c>
      <c r="AG708" s="47" t="s">
        <v>2771</v>
      </c>
    </row>
    <row r="709" spans="1:33" ht="6.9" customHeight="1" x14ac:dyDescent="0.4">
      <c r="A709" s="4">
        <f>ROW()</f>
        <v>709</v>
      </c>
      <c r="B709" s="9" t="s">
        <v>27</v>
      </c>
      <c r="C709" s="55" t="str">
        <f t="shared" si="306"/>
        <v>p.energizar</v>
      </c>
      <c r="D709" s="6" t="str">
        <f>_xlfn.CONCAT("é.",G709)</f>
        <v>é.resistência.térmica</v>
      </c>
      <c r="E709" s="8" t="s">
        <v>28</v>
      </c>
      <c r="F709" s="42" t="str">
        <f t="shared" si="307"/>
        <v>d.energizar</v>
      </c>
      <c r="G709" s="17" t="s">
        <v>679</v>
      </c>
      <c r="H709" s="41" t="s">
        <v>36</v>
      </c>
      <c r="I709" s="16" t="str">
        <f>J709</f>
        <v>null</v>
      </c>
      <c r="J709" s="13" t="s">
        <v>0</v>
      </c>
      <c r="K709" s="13" t="s">
        <v>0</v>
      </c>
      <c r="L709" s="13" t="s">
        <v>0</v>
      </c>
      <c r="M709" s="13" t="s">
        <v>0</v>
      </c>
      <c r="N709" s="15" t="s">
        <v>0</v>
      </c>
      <c r="O709" s="13" t="s">
        <v>0</v>
      </c>
      <c r="P709" s="13" t="s">
        <v>0</v>
      </c>
      <c r="Q709" s="13" t="s">
        <v>680</v>
      </c>
      <c r="R709" s="15" t="s">
        <v>0</v>
      </c>
      <c r="S709" s="10" t="s">
        <v>1</v>
      </c>
      <c r="T709" s="10" t="s">
        <v>32</v>
      </c>
      <c r="U709" s="5" t="str">
        <f>_xlfn.CONCAT("Propriedade destinada a ",MID(C709,FIND("p.",C709,1)+2,100),": ",D709)</f>
        <v>Propriedade destinada a energizar: é.resistência.térmica</v>
      </c>
      <c r="V709" s="5" t="str">
        <f>_xlfn.CONCAT("Dado para ",MID(F709,FIND("d.",F709,1)+2,100),":  ",G709, "  Deve ser formatado como (",H709, ")")</f>
        <v>Dado para energizar:  resistência.térmica  Deve ser formatado como (xsd:double)</v>
      </c>
      <c r="W709" s="5" t="s">
        <v>8691</v>
      </c>
      <c r="X709" s="24" t="e">
        <f>IF(F708&lt;&gt;F709,_xlfn.CONCAT(RIGHT(LEFT(F709,7),5),".100"),_xlfn.CONCAT(RIGHT(LEFT(F709,7),5),".",SUM(VALUE(RIGHT(X708,3)),1)))</f>
        <v>#REF!</v>
      </c>
      <c r="Y709" s="24" t="str">
        <f>_xlfn.CONCAT("Ação de ", SUBSTITUTE(F709, "d.",  ""))</f>
        <v>Ação de energizar</v>
      </c>
      <c r="Z709" s="47" t="s">
        <v>8705</v>
      </c>
      <c r="AA709" s="25" t="str">
        <f>IF(AB709="null", "null", "categoria.revit")</f>
        <v>null</v>
      </c>
      <c r="AB709" s="26" t="s">
        <v>0</v>
      </c>
      <c r="AC709" s="25" t="str">
        <f>IF(AD709="null", "null", "classe.ifc")</f>
        <v>null</v>
      </c>
      <c r="AD709" s="26" t="s">
        <v>0</v>
      </c>
      <c r="AE709" s="25" t="str">
        <f>IF(AF709="null", "null", "propriedade")</f>
        <v>null</v>
      </c>
      <c r="AF709" s="26" t="s">
        <v>0</v>
      </c>
      <c r="AG709" s="47" t="s">
        <v>8717</v>
      </c>
    </row>
    <row r="710" spans="1:33" ht="6.9" customHeight="1" x14ac:dyDescent="0.4">
      <c r="A710" s="4">
        <f>ROW()</f>
        <v>710</v>
      </c>
      <c r="B710" s="9" t="s">
        <v>27</v>
      </c>
      <c r="C710" s="55" t="str">
        <f t="shared" si="306"/>
        <v>p.energizar</v>
      </c>
      <c r="D710" s="6" t="str">
        <f>_xlfn.CONCAT("é.",G710)</f>
        <v>é.transmitância.térmica</v>
      </c>
      <c r="E710" s="8" t="s">
        <v>28</v>
      </c>
      <c r="F710" s="42" t="str">
        <f t="shared" si="307"/>
        <v>d.energizar</v>
      </c>
      <c r="G710" s="17" t="s">
        <v>681</v>
      </c>
      <c r="H710" s="41" t="s">
        <v>36</v>
      </c>
      <c r="I710" s="16" t="str">
        <f>J710</f>
        <v>null</v>
      </c>
      <c r="J710" s="13" t="s">
        <v>0</v>
      </c>
      <c r="K710" s="13" t="s">
        <v>0</v>
      </c>
      <c r="L710" s="13" t="s">
        <v>0</v>
      </c>
      <c r="M710" s="13" t="s">
        <v>0</v>
      </c>
      <c r="N710" s="15" t="s">
        <v>0</v>
      </c>
      <c r="O710" s="13" t="s">
        <v>0</v>
      </c>
      <c r="P710" s="13" t="s">
        <v>0</v>
      </c>
      <c r="Q710" s="13" t="s">
        <v>682</v>
      </c>
      <c r="R710" s="15" t="s">
        <v>0</v>
      </c>
      <c r="S710" s="10" t="s">
        <v>1</v>
      </c>
      <c r="T710" s="10" t="s">
        <v>32</v>
      </c>
      <c r="U710" s="5" t="str">
        <f>_xlfn.CONCAT("Propriedade destinada a ",MID(C710,FIND("p.",C710,1)+2,100),": ",D710)</f>
        <v>Propriedade destinada a energizar: é.transmitância.térmica</v>
      </c>
      <c r="V710" s="5" t="str">
        <f>_xlfn.CONCAT("Dado para ",MID(F710,FIND("d.",F710,1)+2,100),":  ",G710, "  Deve ser formatado como (",H710, ")")</f>
        <v>Dado para energizar:  transmitância.térmica  Deve ser formatado como (xsd:double)</v>
      </c>
      <c r="W710" s="5" t="s">
        <v>8692</v>
      </c>
      <c r="X710" s="24" t="e">
        <f>IF(F709&lt;&gt;F710,_xlfn.CONCAT(RIGHT(LEFT(F710,7),5),".100"),_xlfn.CONCAT(RIGHT(LEFT(F710,7),5),".",SUM(VALUE(RIGHT(X709,3)),1)))</f>
        <v>#REF!</v>
      </c>
      <c r="Y710" s="24" t="str">
        <f>_xlfn.CONCAT("Ação de ", SUBSTITUTE(F710, "d.",  ""))</f>
        <v>Ação de energizar</v>
      </c>
      <c r="Z710" s="47" t="s">
        <v>8706</v>
      </c>
      <c r="AA710" s="25" t="str">
        <f>IF(AB710="null", "null", "categoria.revit")</f>
        <v>null</v>
      </c>
      <c r="AB710" s="26" t="s">
        <v>0</v>
      </c>
      <c r="AC710" s="25" t="str">
        <f>IF(AD710="null", "null", "classe.ifc")</f>
        <v>null</v>
      </c>
      <c r="AD710" s="26" t="s">
        <v>0</v>
      </c>
      <c r="AE710" s="25" t="str">
        <f>IF(AF710="null", "null", "propriedade")</f>
        <v>null</v>
      </c>
      <c r="AF710" s="26" t="s">
        <v>0</v>
      </c>
      <c r="AG710" s="47" t="s">
        <v>8718</v>
      </c>
    </row>
    <row r="711" spans="1:33" ht="6.9" customHeight="1" x14ac:dyDescent="0.4">
      <c r="A711" s="4">
        <f>ROW()</f>
        <v>711</v>
      </c>
      <c r="B711" s="9" t="s">
        <v>27</v>
      </c>
      <c r="C711" s="54" t="str">
        <f t="shared" si="302"/>
        <v>p.equipar</v>
      </c>
      <c r="D711" s="6" t="str">
        <f t="shared" si="293"/>
        <v>é.aparelho.geral</v>
      </c>
      <c r="E711" s="8" t="s">
        <v>28</v>
      </c>
      <c r="F711" s="51" t="s">
        <v>687</v>
      </c>
      <c r="G711" s="18" t="s">
        <v>2248</v>
      </c>
      <c r="H711" s="41" t="s">
        <v>2121</v>
      </c>
      <c r="I711" s="16" t="str">
        <f t="shared" si="301"/>
        <v>null</v>
      </c>
      <c r="J711" s="13" t="s">
        <v>0</v>
      </c>
      <c r="K711" s="13" t="s">
        <v>0</v>
      </c>
      <c r="L711" s="13" t="s">
        <v>0</v>
      </c>
      <c r="M711" s="13" t="s">
        <v>0</v>
      </c>
      <c r="N711" s="15" t="s">
        <v>0</v>
      </c>
      <c r="O711" s="13" t="s">
        <v>0</v>
      </c>
      <c r="P711" s="13" t="s">
        <v>0</v>
      </c>
      <c r="Q711" s="13" t="s">
        <v>0</v>
      </c>
      <c r="R711" s="15" t="s">
        <v>0</v>
      </c>
      <c r="S711" s="10" t="s">
        <v>1</v>
      </c>
      <c r="T711" s="10" t="s">
        <v>32</v>
      </c>
      <c r="U711" s="5" t="str">
        <f t="shared" ref="U706:U769" si="317">_xlfn.CONCAT("Propriedade destinada a ",MID(C711,FIND("p.",C711,1)+2,100),": ",D711)</f>
        <v>Propriedade destinada a equipar: é.aparelho.geral</v>
      </c>
      <c r="V711" s="5" t="str">
        <f t="shared" ref="V706:V769" si="318">_xlfn.CONCAT("Dado para ",MID(F711,FIND("d.",F711,1)+2,100),":  ",G711, "  Deve ser formatado como (",H711, ")")</f>
        <v>Dado para equipar:  aparelho.geral  Deve ser formatado como (rdfs:Literal  or  xsd:string)</v>
      </c>
      <c r="W711" s="5" t="s">
        <v>5537</v>
      </c>
      <c r="X711" s="24" t="str">
        <f t="shared" ref="X707:X770" si="319">IF(F710&lt;&gt;F711,_xlfn.CONCAT(RIGHT(LEFT(F711,7),5),".100"),_xlfn.CONCAT(RIGHT(LEFT(F711,7),5),".",SUM(VALUE(RIGHT(X710,3)),1)))</f>
        <v>equip.100</v>
      </c>
      <c r="Y711" s="24" t="str">
        <f t="shared" ref="Y707:Y770" si="320">_xlfn.CONCAT("Ação de ", SUBSTITUTE(F711, "d.",  ""))</f>
        <v>Ação de equipar</v>
      </c>
      <c r="Z711" s="47" t="s">
        <v>2236</v>
      </c>
      <c r="AA711" s="25" t="str">
        <f t="shared" si="303"/>
        <v>null</v>
      </c>
      <c r="AB711" s="26" t="s">
        <v>0</v>
      </c>
      <c r="AC711" s="25" t="str">
        <f t="shared" si="304"/>
        <v>null</v>
      </c>
      <c r="AD711" s="26" t="s">
        <v>0</v>
      </c>
      <c r="AE711" s="25" t="str">
        <f t="shared" si="305"/>
        <v>null</v>
      </c>
      <c r="AF711" s="26" t="s">
        <v>0</v>
      </c>
      <c r="AG711" s="47" t="s">
        <v>2773</v>
      </c>
    </row>
    <row r="712" spans="1:33" ht="6.9" customHeight="1" x14ac:dyDescent="0.4">
      <c r="A712" s="4">
        <f>ROW()</f>
        <v>712</v>
      </c>
      <c r="B712" s="9" t="s">
        <v>27</v>
      </c>
      <c r="C712" s="55" t="str">
        <f t="shared" si="302"/>
        <v>p.equipar</v>
      </c>
      <c r="D712" s="6" t="str">
        <f t="shared" si="293"/>
        <v>é.aparelho.médico</v>
      </c>
      <c r="E712" s="8" t="s">
        <v>28</v>
      </c>
      <c r="F712" s="42" t="str">
        <f t="shared" ref="F712:F726" si="321">F711</f>
        <v>d.equipar</v>
      </c>
      <c r="G712" s="18" t="s">
        <v>2234</v>
      </c>
      <c r="H712" s="41" t="s">
        <v>2121</v>
      </c>
      <c r="I712" s="16" t="str">
        <f t="shared" si="301"/>
        <v>null</v>
      </c>
      <c r="J712" s="13" t="s">
        <v>0</v>
      </c>
      <c r="K712" s="13" t="s">
        <v>0</v>
      </c>
      <c r="L712" s="13" t="s">
        <v>0</v>
      </c>
      <c r="M712" s="13" t="s">
        <v>0</v>
      </c>
      <c r="N712" s="15" t="s">
        <v>0</v>
      </c>
      <c r="O712" s="13" t="s">
        <v>0</v>
      </c>
      <c r="P712" s="13" t="s">
        <v>0</v>
      </c>
      <c r="Q712" s="13" t="s">
        <v>0</v>
      </c>
      <c r="R712" s="15" t="s">
        <v>0</v>
      </c>
      <c r="S712" s="10" t="s">
        <v>1</v>
      </c>
      <c r="T712" s="10" t="s">
        <v>32</v>
      </c>
      <c r="U712" s="5" t="str">
        <f t="shared" si="317"/>
        <v>Propriedade destinada a equipar: é.aparelho.médico</v>
      </c>
      <c r="V712" s="5" t="str">
        <f t="shared" si="318"/>
        <v>Dado para equipar:  aparelho.médico  Deve ser formatado como (rdfs:Literal  or  xsd:string)</v>
      </c>
      <c r="W712" s="5" t="s">
        <v>5538</v>
      </c>
      <c r="X712" s="24" t="str">
        <f t="shared" si="319"/>
        <v>equip.101</v>
      </c>
      <c r="Y712" s="24" t="str">
        <f t="shared" si="320"/>
        <v>Ação de equipar</v>
      </c>
      <c r="Z712" s="47" t="s">
        <v>2237</v>
      </c>
      <c r="AA712" s="25" t="str">
        <f t="shared" si="303"/>
        <v>null</v>
      </c>
      <c r="AB712" s="26" t="s">
        <v>0</v>
      </c>
      <c r="AC712" s="25" t="str">
        <f t="shared" si="304"/>
        <v>null</v>
      </c>
      <c r="AD712" s="26" t="s">
        <v>0</v>
      </c>
      <c r="AE712" s="25" t="str">
        <f t="shared" si="305"/>
        <v>null</v>
      </c>
      <c r="AF712" s="26" t="s">
        <v>0</v>
      </c>
      <c r="AG712" s="47" t="s">
        <v>2774</v>
      </c>
    </row>
    <row r="713" spans="1:33" ht="6.9" customHeight="1" x14ac:dyDescent="0.4">
      <c r="A713" s="4">
        <f>ROW()</f>
        <v>713</v>
      </c>
      <c r="B713" s="9" t="s">
        <v>27</v>
      </c>
      <c r="C713" s="55" t="str">
        <f t="shared" si="302"/>
        <v>p.equipar</v>
      </c>
      <c r="D713" s="6" t="str">
        <f t="shared" si="293"/>
        <v>é.aparelho.pessoal</v>
      </c>
      <c r="E713" s="8" t="s">
        <v>28</v>
      </c>
      <c r="F713" s="42" t="str">
        <f t="shared" si="321"/>
        <v>d.equipar</v>
      </c>
      <c r="G713" s="18" t="s">
        <v>2235</v>
      </c>
      <c r="H713" s="41" t="s">
        <v>2121</v>
      </c>
      <c r="I713" s="16" t="str">
        <f t="shared" si="301"/>
        <v>null</v>
      </c>
      <c r="J713" s="13" t="s">
        <v>0</v>
      </c>
      <c r="K713" s="13" t="s">
        <v>0</v>
      </c>
      <c r="L713" s="13" t="s">
        <v>0</v>
      </c>
      <c r="M713" s="13" t="s">
        <v>0</v>
      </c>
      <c r="N713" s="15" t="s">
        <v>0</v>
      </c>
      <c r="O713" s="13" t="s">
        <v>0</v>
      </c>
      <c r="P713" s="13" t="s">
        <v>0</v>
      </c>
      <c r="Q713" s="13" t="s">
        <v>0</v>
      </c>
      <c r="R713" s="15" t="s">
        <v>0</v>
      </c>
      <c r="S713" s="10" t="s">
        <v>1</v>
      </c>
      <c r="T713" s="10" t="s">
        <v>32</v>
      </c>
      <c r="U713" s="5" t="str">
        <f t="shared" si="317"/>
        <v>Propriedade destinada a equipar: é.aparelho.pessoal</v>
      </c>
      <c r="V713" s="5" t="str">
        <f t="shared" si="318"/>
        <v>Dado para equipar:  aparelho.pessoal  Deve ser formatado como (rdfs:Literal  or  xsd:string)</v>
      </c>
      <c r="W713" s="5" t="s">
        <v>5539</v>
      </c>
      <c r="X713" s="24" t="str">
        <f t="shared" si="319"/>
        <v>equip.102</v>
      </c>
      <c r="Y713" s="24" t="str">
        <f t="shared" si="320"/>
        <v>Ação de equipar</v>
      </c>
      <c r="Z713" s="47" t="s">
        <v>2238</v>
      </c>
      <c r="AA713" s="25" t="str">
        <f t="shared" si="303"/>
        <v>null</v>
      </c>
      <c r="AB713" s="26" t="s">
        <v>0</v>
      </c>
      <c r="AC713" s="25" t="str">
        <f t="shared" si="304"/>
        <v>null</v>
      </c>
      <c r="AD713" s="26" t="s">
        <v>0</v>
      </c>
      <c r="AE713" s="25" t="str">
        <f t="shared" si="305"/>
        <v>null</v>
      </c>
      <c r="AF713" s="26" t="s">
        <v>0</v>
      </c>
      <c r="AG713" s="47" t="s">
        <v>2775</v>
      </c>
    </row>
    <row r="714" spans="1:33" ht="6.9" customHeight="1" x14ac:dyDescent="0.4">
      <c r="A714" s="4">
        <f>ROW()</f>
        <v>714</v>
      </c>
      <c r="B714" s="9" t="s">
        <v>27</v>
      </c>
      <c r="C714" s="55" t="str">
        <f t="shared" si="302"/>
        <v>p.equipar</v>
      </c>
      <c r="D714" s="6" t="str">
        <f t="shared" si="293"/>
        <v>é.bancada</v>
      </c>
      <c r="E714" s="8" t="s">
        <v>28</v>
      </c>
      <c r="F714" s="42" t="str">
        <f t="shared" si="321"/>
        <v>d.equipar</v>
      </c>
      <c r="G714" s="18" t="s">
        <v>129</v>
      </c>
      <c r="H714" s="41" t="s">
        <v>2121</v>
      </c>
      <c r="I714" s="16" t="str">
        <f t="shared" si="301"/>
        <v>null</v>
      </c>
      <c r="J714" s="13" t="s">
        <v>0</v>
      </c>
      <c r="K714" s="13" t="s">
        <v>0</v>
      </c>
      <c r="L714" s="13" t="s">
        <v>0</v>
      </c>
      <c r="M714" s="13" t="s">
        <v>0</v>
      </c>
      <c r="N714" s="15" t="s">
        <v>0</v>
      </c>
      <c r="O714" s="13" t="s">
        <v>0</v>
      </c>
      <c r="P714" s="13" t="s">
        <v>0</v>
      </c>
      <c r="Q714" s="13" t="s">
        <v>0</v>
      </c>
      <c r="R714" s="15" t="s">
        <v>0</v>
      </c>
      <c r="S714" s="10" t="s">
        <v>1</v>
      </c>
      <c r="T714" s="10" t="s">
        <v>32</v>
      </c>
      <c r="U714" s="5" t="str">
        <f t="shared" si="317"/>
        <v>Propriedade destinada a equipar: é.bancada</v>
      </c>
      <c r="V714" s="5" t="str">
        <f t="shared" si="318"/>
        <v>Dado para equipar:  bancada  Deve ser formatado como (rdfs:Literal  or  xsd:string)</v>
      </c>
      <c r="W714" s="5" t="s">
        <v>5540</v>
      </c>
      <c r="X714" s="24" t="str">
        <f t="shared" si="319"/>
        <v>equip.103</v>
      </c>
      <c r="Y714" s="24" t="str">
        <f t="shared" si="320"/>
        <v>Ação de equipar</v>
      </c>
      <c r="Z714" s="47" t="s">
        <v>1453</v>
      </c>
      <c r="AA714" s="25" t="str">
        <f t="shared" si="303"/>
        <v>null</v>
      </c>
      <c r="AB714" s="26" t="s">
        <v>0</v>
      </c>
      <c r="AC714" s="25" t="str">
        <f t="shared" si="304"/>
        <v>null</v>
      </c>
      <c r="AD714" s="26" t="s">
        <v>0</v>
      </c>
      <c r="AE714" s="25" t="str">
        <f t="shared" si="305"/>
        <v>null</v>
      </c>
      <c r="AF714" s="26" t="s">
        <v>0</v>
      </c>
      <c r="AG714" s="47" t="s">
        <v>2776</v>
      </c>
    </row>
    <row r="715" spans="1:33" ht="6.9" customHeight="1" x14ac:dyDescent="0.4">
      <c r="A715" s="4">
        <f>ROW()</f>
        <v>715</v>
      </c>
      <c r="B715" s="9" t="s">
        <v>27</v>
      </c>
      <c r="C715" s="55" t="str">
        <f t="shared" si="302"/>
        <v>p.equipar</v>
      </c>
      <c r="D715" s="6" t="str">
        <f t="shared" si="293"/>
        <v>é.dispositivo.geral</v>
      </c>
      <c r="E715" s="8" t="s">
        <v>28</v>
      </c>
      <c r="F715" s="42" t="str">
        <f t="shared" si="321"/>
        <v>d.equipar</v>
      </c>
      <c r="G715" s="18" t="s">
        <v>2245</v>
      </c>
      <c r="H715" s="41" t="s">
        <v>2121</v>
      </c>
      <c r="I715" s="16" t="str">
        <f t="shared" si="301"/>
        <v>null</v>
      </c>
      <c r="J715" s="13" t="s">
        <v>0</v>
      </c>
      <c r="K715" s="13" t="s">
        <v>0</v>
      </c>
      <c r="L715" s="13" t="s">
        <v>0</v>
      </c>
      <c r="M715" s="13" t="s">
        <v>0</v>
      </c>
      <c r="N715" s="15" t="s">
        <v>0</v>
      </c>
      <c r="O715" s="13" t="s">
        <v>0</v>
      </c>
      <c r="P715" s="13" t="s">
        <v>0</v>
      </c>
      <c r="Q715" s="13" t="s">
        <v>0</v>
      </c>
      <c r="R715" s="15" t="s">
        <v>0</v>
      </c>
      <c r="S715" s="10" t="s">
        <v>1</v>
      </c>
      <c r="T715" s="10" t="s">
        <v>32</v>
      </c>
      <c r="U715" s="5" t="str">
        <f t="shared" si="317"/>
        <v>Propriedade destinada a equipar: é.dispositivo.geral</v>
      </c>
      <c r="V715" s="5" t="str">
        <f t="shared" si="318"/>
        <v>Dado para equipar:  dispositivo.geral  Deve ser formatado como (rdfs:Literal  or  xsd:string)</v>
      </c>
      <c r="W715" s="5" t="s">
        <v>5541</v>
      </c>
      <c r="X715" s="24" t="str">
        <f t="shared" si="319"/>
        <v>equip.104</v>
      </c>
      <c r="Y715" s="24" t="str">
        <f t="shared" si="320"/>
        <v>Ação de equipar</v>
      </c>
      <c r="Z715" s="47" t="s">
        <v>2239</v>
      </c>
      <c r="AA715" s="25" t="str">
        <f t="shared" si="303"/>
        <v>null</v>
      </c>
      <c r="AB715" s="26" t="s">
        <v>0</v>
      </c>
      <c r="AC715" s="25" t="str">
        <f t="shared" si="304"/>
        <v>null</v>
      </c>
      <c r="AD715" s="26" t="s">
        <v>0</v>
      </c>
      <c r="AE715" s="25" t="str">
        <f t="shared" si="305"/>
        <v>null</v>
      </c>
      <c r="AF715" s="26" t="s">
        <v>0</v>
      </c>
      <c r="AG715" s="47" t="s">
        <v>2777</v>
      </c>
    </row>
    <row r="716" spans="1:33" ht="6.9" customHeight="1" x14ac:dyDescent="0.4">
      <c r="A716" s="4">
        <f>ROW()</f>
        <v>716</v>
      </c>
      <c r="B716" s="9" t="s">
        <v>27</v>
      </c>
      <c r="C716" s="55" t="str">
        <f t="shared" si="302"/>
        <v>p.equipar</v>
      </c>
      <c r="D716" s="6" t="str">
        <f t="shared" si="293"/>
        <v>é.dispositivo.médico</v>
      </c>
      <c r="E716" s="8" t="s">
        <v>28</v>
      </c>
      <c r="F716" s="42" t="str">
        <f t="shared" si="321"/>
        <v>d.equipar</v>
      </c>
      <c r="G716" s="18" t="s">
        <v>2233</v>
      </c>
      <c r="H716" s="41" t="s">
        <v>2121</v>
      </c>
      <c r="I716" s="16" t="str">
        <f t="shared" si="301"/>
        <v>null</v>
      </c>
      <c r="J716" s="13" t="s">
        <v>0</v>
      </c>
      <c r="K716" s="13" t="s">
        <v>0</v>
      </c>
      <c r="L716" s="13" t="s">
        <v>0</v>
      </c>
      <c r="M716" s="13" t="s">
        <v>0</v>
      </c>
      <c r="N716" s="15" t="s">
        <v>0</v>
      </c>
      <c r="O716" s="13" t="s">
        <v>0</v>
      </c>
      <c r="P716" s="13" t="s">
        <v>0</v>
      </c>
      <c r="Q716" s="13" t="s">
        <v>0</v>
      </c>
      <c r="R716" s="15" t="s">
        <v>0</v>
      </c>
      <c r="S716" s="10" t="s">
        <v>1</v>
      </c>
      <c r="T716" s="10" t="s">
        <v>32</v>
      </c>
      <c r="U716" s="5" t="str">
        <f t="shared" si="317"/>
        <v>Propriedade destinada a equipar: é.dispositivo.médico</v>
      </c>
      <c r="V716" s="5" t="str">
        <f t="shared" si="318"/>
        <v>Dado para equipar:  dispositivo.médico  Deve ser formatado como (rdfs:Literal  or  xsd:string)</v>
      </c>
      <c r="W716" s="5" t="s">
        <v>5542</v>
      </c>
      <c r="X716" s="24" t="str">
        <f t="shared" si="319"/>
        <v>equip.105</v>
      </c>
      <c r="Y716" s="24" t="str">
        <f t="shared" si="320"/>
        <v>Ação de equipar</v>
      </c>
      <c r="Z716" s="47" t="s">
        <v>2237</v>
      </c>
      <c r="AA716" s="25" t="str">
        <f t="shared" si="303"/>
        <v>null</v>
      </c>
      <c r="AB716" s="26" t="s">
        <v>0</v>
      </c>
      <c r="AC716" s="25" t="str">
        <f t="shared" si="304"/>
        <v>null</v>
      </c>
      <c r="AD716" s="26" t="s">
        <v>0</v>
      </c>
      <c r="AE716" s="25" t="str">
        <f t="shared" si="305"/>
        <v>null</v>
      </c>
      <c r="AF716" s="26" t="s">
        <v>0</v>
      </c>
      <c r="AG716" s="47" t="s">
        <v>2774</v>
      </c>
    </row>
    <row r="717" spans="1:33" ht="6.9" customHeight="1" x14ac:dyDescent="0.4">
      <c r="A717" s="4">
        <f>ROW()</f>
        <v>717</v>
      </c>
      <c r="B717" s="9" t="s">
        <v>27</v>
      </c>
      <c r="C717" s="55" t="str">
        <f t="shared" si="302"/>
        <v>p.equipar</v>
      </c>
      <c r="D717" s="6" t="str">
        <f t="shared" si="293"/>
        <v>é.dispositivo.pessoal</v>
      </c>
      <c r="E717" s="8" t="s">
        <v>28</v>
      </c>
      <c r="F717" s="42" t="str">
        <f t="shared" si="321"/>
        <v>d.equipar</v>
      </c>
      <c r="G717" s="18" t="s">
        <v>2220</v>
      </c>
      <c r="H717" s="41" t="s">
        <v>2121</v>
      </c>
      <c r="I717" s="16" t="str">
        <f t="shared" si="301"/>
        <v>null</v>
      </c>
      <c r="J717" s="13" t="s">
        <v>0</v>
      </c>
      <c r="K717" s="13" t="s">
        <v>0</v>
      </c>
      <c r="L717" s="13" t="s">
        <v>0</v>
      </c>
      <c r="M717" s="13" t="s">
        <v>0</v>
      </c>
      <c r="N717" s="15" t="s">
        <v>0</v>
      </c>
      <c r="O717" s="13" t="s">
        <v>0</v>
      </c>
      <c r="P717" s="13" t="s">
        <v>0</v>
      </c>
      <c r="Q717" s="13" t="s">
        <v>0</v>
      </c>
      <c r="R717" s="15" t="s">
        <v>0</v>
      </c>
      <c r="S717" s="10" t="s">
        <v>1</v>
      </c>
      <c r="T717" s="10" t="s">
        <v>32</v>
      </c>
      <c r="U717" s="5" t="str">
        <f t="shared" si="317"/>
        <v>Propriedade destinada a equipar: é.dispositivo.pessoal</v>
      </c>
      <c r="V717" s="5" t="str">
        <f t="shared" si="318"/>
        <v>Dado para equipar:  dispositivo.pessoal  Deve ser formatado como (rdfs:Literal  or  xsd:string)</v>
      </c>
      <c r="W717" s="5" t="s">
        <v>5543</v>
      </c>
      <c r="X717" s="24" t="str">
        <f t="shared" si="319"/>
        <v>equip.106</v>
      </c>
      <c r="Y717" s="24" t="str">
        <f t="shared" si="320"/>
        <v>Ação de equipar</v>
      </c>
      <c r="Z717" s="47" t="s">
        <v>2238</v>
      </c>
      <c r="AA717" s="25" t="str">
        <f t="shared" si="303"/>
        <v>null</v>
      </c>
      <c r="AB717" s="26" t="s">
        <v>0</v>
      </c>
      <c r="AC717" s="25" t="str">
        <f t="shared" si="304"/>
        <v>null</v>
      </c>
      <c r="AD717" s="26" t="s">
        <v>0</v>
      </c>
      <c r="AE717" s="25" t="str">
        <f t="shared" si="305"/>
        <v>null</v>
      </c>
      <c r="AF717" s="26" t="s">
        <v>0</v>
      </c>
      <c r="AG717" s="47" t="s">
        <v>2775</v>
      </c>
    </row>
    <row r="718" spans="1:33" ht="6.9" customHeight="1" x14ac:dyDescent="0.4">
      <c r="A718" s="4">
        <f>ROW()</f>
        <v>718</v>
      </c>
      <c r="B718" s="9" t="s">
        <v>27</v>
      </c>
      <c r="C718" s="55" t="str">
        <f t="shared" si="302"/>
        <v>p.equipar</v>
      </c>
      <c r="D718" s="6" t="str">
        <f t="shared" si="293"/>
        <v>é.equipamento.geral</v>
      </c>
      <c r="E718" s="8" t="s">
        <v>28</v>
      </c>
      <c r="F718" s="42" t="str">
        <f t="shared" si="321"/>
        <v>d.equipar</v>
      </c>
      <c r="G718" s="18" t="s">
        <v>2244</v>
      </c>
      <c r="H718" s="42" t="s">
        <v>2121</v>
      </c>
      <c r="I718" s="16" t="str">
        <f t="shared" si="301"/>
        <v>null</v>
      </c>
      <c r="J718" s="15" t="s">
        <v>0</v>
      </c>
      <c r="K718" s="15" t="s">
        <v>0</v>
      </c>
      <c r="L718" s="15" t="s">
        <v>0</v>
      </c>
      <c r="M718" s="15" t="s">
        <v>0</v>
      </c>
      <c r="N718" s="15" t="s">
        <v>0</v>
      </c>
      <c r="O718" s="15" t="s">
        <v>0</v>
      </c>
      <c r="P718" s="15" t="s">
        <v>0</v>
      </c>
      <c r="Q718" s="15" t="s">
        <v>0</v>
      </c>
      <c r="R718" s="15" t="s">
        <v>0</v>
      </c>
      <c r="S718" s="10" t="s">
        <v>1</v>
      </c>
      <c r="T718" s="10" t="s">
        <v>32</v>
      </c>
      <c r="U718" s="5" t="str">
        <f t="shared" si="317"/>
        <v>Propriedade destinada a equipar: é.equipamento.geral</v>
      </c>
      <c r="V718" s="5" t="str">
        <f t="shared" si="318"/>
        <v>Dado para equipar:  equipamento.geral  Deve ser formatado como (rdfs:Literal  or  xsd:string)</v>
      </c>
      <c r="W718" s="5" t="s">
        <v>5544</v>
      </c>
      <c r="X718" s="24" t="str">
        <f t="shared" si="319"/>
        <v>equip.107</v>
      </c>
      <c r="Y718" s="24" t="str">
        <f t="shared" si="320"/>
        <v>Ação de equipar</v>
      </c>
      <c r="Z718" s="47" t="s">
        <v>2240</v>
      </c>
      <c r="AA718" s="25" t="str">
        <f t="shared" si="303"/>
        <v>null</v>
      </c>
      <c r="AB718" s="26" t="s">
        <v>0</v>
      </c>
      <c r="AC718" s="25" t="str">
        <f t="shared" si="304"/>
        <v>null</v>
      </c>
      <c r="AD718" s="26" t="s">
        <v>0</v>
      </c>
      <c r="AE718" s="25" t="str">
        <f t="shared" si="305"/>
        <v>null</v>
      </c>
      <c r="AF718" s="26" t="s">
        <v>0</v>
      </c>
      <c r="AG718" s="47" t="s">
        <v>2778</v>
      </c>
    </row>
    <row r="719" spans="1:33" ht="6.9" customHeight="1" x14ac:dyDescent="0.4">
      <c r="A719" s="4">
        <f>ROW()</f>
        <v>719</v>
      </c>
      <c r="B719" s="9" t="s">
        <v>27</v>
      </c>
      <c r="C719" s="55" t="str">
        <f t="shared" si="302"/>
        <v>p.equipar</v>
      </c>
      <c r="D719" s="6" t="str">
        <f t="shared" ref="D719:D782" si="322">_xlfn.CONCAT("é.",G719)</f>
        <v>é.equipamento.médico</v>
      </c>
      <c r="E719" s="8" t="s">
        <v>28</v>
      </c>
      <c r="F719" s="42" t="str">
        <f t="shared" si="321"/>
        <v>d.equipar</v>
      </c>
      <c r="G719" s="18" t="s">
        <v>2232</v>
      </c>
      <c r="H719" s="42" t="s">
        <v>2121</v>
      </c>
      <c r="I719" s="16" t="str">
        <f t="shared" si="301"/>
        <v>null</v>
      </c>
      <c r="J719" s="15" t="s">
        <v>0</v>
      </c>
      <c r="K719" s="15" t="s">
        <v>0</v>
      </c>
      <c r="L719" s="15" t="s">
        <v>0</v>
      </c>
      <c r="M719" s="15" t="s">
        <v>0</v>
      </c>
      <c r="N719" s="15" t="s">
        <v>0</v>
      </c>
      <c r="O719" s="15" t="s">
        <v>0</v>
      </c>
      <c r="P719" s="15" t="s">
        <v>0</v>
      </c>
      <c r="Q719" s="15" t="s">
        <v>0</v>
      </c>
      <c r="R719" s="15" t="s">
        <v>0</v>
      </c>
      <c r="S719" s="10" t="s">
        <v>1</v>
      </c>
      <c r="T719" s="10" t="s">
        <v>32</v>
      </c>
      <c r="U719" s="5" t="str">
        <f t="shared" si="317"/>
        <v>Propriedade destinada a equipar: é.equipamento.médico</v>
      </c>
      <c r="V719" s="5" t="str">
        <f t="shared" si="318"/>
        <v>Dado para equipar:  equipamento.médico  Deve ser formatado como (rdfs:Literal  or  xsd:string)</v>
      </c>
      <c r="W719" s="5" t="s">
        <v>5545</v>
      </c>
      <c r="X719" s="24" t="str">
        <f t="shared" si="319"/>
        <v>equip.108</v>
      </c>
      <c r="Y719" s="24" t="str">
        <f t="shared" si="320"/>
        <v>Ação de equipar</v>
      </c>
      <c r="Z719" s="47" t="s">
        <v>2241</v>
      </c>
      <c r="AA719" s="25" t="str">
        <f t="shared" si="303"/>
        <v>null</v>
      </c>
      <c r="AB719" s="26" t="s">
        <v>0</v>
      </c>
      <c r="AC719" s="25" t="str">
        <f t="shared" si="304"/>
        <v>null</v>
      </c>
      <c r="AD719" s="26" t="s">
        <v>0</v>
      </c>
      <c r="AE719" s="25" t="str">
        <f t="shared" si="305"/>
        <v>null</v>
      </c>
      <c r="AF719" s="26" t="s">
        <v>0</v>
      </c>
      <c r="AG719" s="47" t="s">
        <v>2779</v>
      </c>
    </row>
    <row r="720" spans="1:33" ht="6.9" customHeight="1" x14ac:dyDescent="0.4">
      <c r="A720" s="4">
        <f>ROW()</f>
        <v>720</v>
      </c>
      <c r="B720" s="9" t="s">
        <v>27</v>
      </c>
      <c r="C720" s="55" t="str">
        <f t="shared" si="302"/>
        <v>p.equipar</v>
      </c>
      <c r="D720" s="6" t="str">
        <f t="shared" si="322"/>
        <v>é.equipamento.energético</v>
      </c>
      <c r="E720" s="8" t="s">
        <v>28</v>
      </c>
      <c r="F720" s="42" t="str">
        <f t="shared" si="321"/>
        <v>d.equipar</v>
      </c>
      <c r="G720" s="18" t="s">
        <v>2231</v>
      </c>
      <c r="H720" s="42" t="s">
        <v>2121</v>
      </c>
      <c r="I720" s="16" t="str">
        <f t="shared" si="301"/>
        <v>null</v>
      </c>
      <c r="J720" s="15" t="s">
        <v>0</v>
      </c>
      <c r="K720" s="15" t="s">
        <v>0</v>
      </c>
      <c r="L720" s="15" t="s">
        <v>0</v>
      </c>
      <c r="M720" s="15" t="s">
        <v>0</v>
      </c>
      <c r="N720" s="15" t="s">
        <v>0</v>
      </c>
      <c r="O720" s="15" t="s">
        <v>0</v>
      </c>
      <c r="P720" s="15" t="s">
        <v>0</v>
      </c>
      <c r="Q720" s="15" t="s">
        <v>0</v>
      </c>
      <c r="R720" s="15" t="s">
        <v>0</v>
      </c>
      <c r="S720" s="10" t="s">
        <v>1</v>
      </c>
      <c r="T720" s="10" t="s">
        <v>32</v>
      </c>
      <c r="U720" s="5" t="str">
        <f t="shared" si="317"/>
        <v>Propriedade destinada a equipar: é.equipamento.energético</v>
      </c>
      <c r="V720" s="5" t="str">
        <f t="shared" si="318"/>
        <v>Dado para equipar:  equipamento.energético  Deve ser formatado como (rdfs:Literal  or  xsd:string)</v>
      </c>
      <c r="W720" s="5" t="s">
        <v>5546</v>
      </c>
      <c r="X720" s="24" t="str">
        <f t="shared" si="319"/>
        <v>equip.109</v>
      </c>
      <c r="Y720" s="24" t="str">
        <f t="shared" si="320"/>
        <v>Ação de equipar</v>
      </c>
      <c r="Z720" s="47" t="s">
        <v>2242</v>
      </c>
      <c r="AA720" s="25" t="str">
        <f t="shared" si="303"/>
        <v>null</v>
      </c>
      <c r="AB720" s="26" t="s">
        <v>0</v>
      </c>
      <c r="AC720" s="25" t="str">
        <f t="shared" si="304"/>
        <v>null</v>
      </c>
      <c r="AD720" s="26" t="s">
        <v>0</v>
      </c>
      <c r="AE720" s="25" t="str">
        <f t="shared" si="305"/>
        <v>null</v>
      </c>
      <c r="AF720" s="26" t="s">
        <v>0</v>
      </c>
      <c r="AG720" s="47" t="s">
        <v>2780</v>
      </c>
    </row>
    <row r="721" spans="1:33" ht="6.9" customHeight="1" x14ac:dyDescent="0.4">
      <c r="A721" s="4">
        <f>ROW()</f>
        <v>721</v>
      </c>
      <c r="B721" s="9" t="s">
        <v>27</v>
      </c>
      <c r="C721" s="55" t="str">
        <f t="shared" si="302"/>
        <v>p.equipar</v>
      </c>
      <c r="D721" s="6" t="str">
        <f t="shared" si="322"/>
        <v>é.instrumento.geral</v>
      </c>
      <c r="E721" s="8" t="s">
        <v>28</v>
      </c>
      <c r="F721" s="42" t="str">
        <f t="shared" si="321"/>
        <v>d.equipar</v>
      </c>
      <c r="G721" s="18" t="s">
        <v>2246</v>
      </c>
      <c r="H721" s="41" t="s">
        <v>2121</v>
      </c>
      <c r="I721" s="16" t="str">
        <f t="shared" si="301"/>
        <v>null</v>
      </c>
      <c r="J721" s="13" t="s">
        <v>0</v>
      </c>
      <c r="K721" s="13" t="s">
        <v>0</v>
      </c>
      <c r="L721" s="13" t="s">
        <v>0</v>
      </c>
      <c r="M721" s="13" t="s">
        <v>0</v>
      </c>
      <c r="N721" s="15" t="s">
        <v>0</v>
      </c>
      <c r="O721" s="13" t="s">
        <v>0</v>
      </c>
      <c r="P721" s="13" t="s">
        <v>0</v>
      </c>
      <c r="Q721" s="13" t="s">
        <v>0</v>
      </c>
      <c r="R721" s="15" t="s">
        <v>0</v>
      </c>
      <c r="S721" s="10" t="s">
        <v>1</v>
      </c>
      <c r="T721" s="10" t="s">
        <v>32</v>
      </c>
      <c r="U721" s="5" t="str">
        <f t="shared" si="317"/>
        <v>Propriedade destinada a equipar: é.instrumento.geral</v>
      </c>
      <c r="V721" s="5" t="str">
        <f t="shared" si="318"/>
        <v>Dado para equipar:  instrumento.geral  Deve ser formatado como (rdfs:Literal  or  xsd:string)</v>
      </c>
      <c r="W721" s="5" t="s">
        <v>5547</v>
      </c>
      <c r="X721" s="24" t="str">
        <f t="shared" si="319"/>
        <v>equip.110</v>
      </c>
      <c r="Y721" s="24" t="str">
        <f t="shared" si="320"/>
        <v>Ação de equipar</v>
      </c>
      <c r="Z721" s="47" t="s">
        <v>2223</v>
      </c>
      <c r="AA721" s="25" t="str">
        <f t="shared" si="303"/>
        <v>null</v>
      </c>
      <c r="AB721" s="26" t="s">
        <v>0</v>
      </c>
      <c r="AC721" s="25" t="str">
        <f t="shared" si="304"/>
        <v>null</v>
      </c>
      <c r="AD721" s="26" t="s">
        <v>0</v>
      </c>
      <c r="AE721" s="25" t="str">
        <f t="shared" si="305"/>
        <v>null</v>
      </c>
      <c r="AF721" s="26" t="s">
        <v>0</v>
      </c>
      <c r="AG721" s="47" t="s">
        <v>2781</v>
      </c>
    </row>
    <row r="722" spans="1:33" ht="6.9" customHeight="1" x14ac:dyDescent="0.4">
      <c r="A722" s="4">
        <f>ROW()</f>
        <v>722</v>
      </c>
      <c r="B722" s="9" t="s">
        <v>27</v>
      </c>
      <c r="C722" s="55" t="str">
        <f t="shared" si="302"/>
        <v>p.equipar</v>
      </c>
      <c r="D722" s="6" t="str">
        <f t="shared" si="322"/>
        <v>é.instrumento.médico</v>
      </c>
      <c r="E722" s="8" t="s">
        <v>28</v>
      </c>
      <c r="F722" s="42" t="str">
        <f t="shared" si="321"/>
        <v>d.equipar</v>
      </c>
      <c r="G722" s="18" t="s">
        <v>2221</v>
      </c>
      <c r="H722" s="41" t="s">
        <v>2121</v>
      </c>
      <c r="I722" s="16" t="str">
        <f t="shared" si="301"/>
        <v>null</v>
      </c>
      <c r="J722" s="13" t="s">
        <v>0</v>
      </c>
      <c r="K722" s="13" t="s">
        <v>0</v>
      </c>
      <c r="L722" s="13" t="s">
        <v>0</v>
      </c>
      <c r="M722" s="13" t="s">
        <v>0</v>
      </c>
      <c r="N722" s="15" t="s">
        <v>0</v>
      </c>
      <c r="O722" s="13" t="s">
        <v>0</v>
      </c>
      <c r="P722" s="13" t="s">
        <v>0</v>
      </c>
      <c r="Q722" s="13" t="s">
        <v>0</v>
      </c>
      <c r="R722" s="15" t="s">
        <v>0</v>
      </c>
      <c r="S722" s="10" t="s">
        <v>1</v>
      </c>
      <c r="T722" s="10" t="s">
        <v>32</v>
      </c>
      <c r="U722" s="5" t="str">
        <f t="shared" si="317"/>
        <v>Propriedade destinada a equipar: é.instrumento.médico</v>
      </c>
      <c r="V722" s="5" t="str">
        <f t="shared" si="318"/>
        <v>Dado para equipar:  instrumento.médico  Deve ser formatado como (rdfs:Literal  or  xsd:string)</v>
      </c>
      <c r="W722" s="5" t="s">
        <v>5548</v>
      </c>
      <c r="X722" s="24" t="str">
        <f t="shared" si="319"/>
        <v>equip.111</v>
      </c>
      <c r="Y722" s="24" t="str">
        <f t="shared" si="320"/>
        <v>Ação de equipar</v>
      </c>
      <c r="Z722" s="47" t="s">
        <v>2224</v>
      </c>
      <c r="AA722" s="25" t="str">
        <f t="shared" si="303"/>
        <v>null</v>
      </c>
      <c r="AB722" s="26" t="s">
        <v>0</v>
      </c>
      <c r="AC722" s="25" t="str">
        <f t="shared" si="304"/>
        <v>null</v>
      </c>
      <c r="AD722" s="26" t="s">
        <v>0</v>
      </c>
      <c r="AE722" s="25" t="str">
        <f t="shared" si="305"/>
        <v>null</v>
      </c>
      <c r="AF722" s="26" t="s">
        <v>0</v>
      </c>
      <c r="AG722" s="47" t="s">
        <v>2782</v>
      </c>
    </row>
    <row r="723" spans="1:33" ht="6.9" customHeight="1" x14ac:dyDescent="0.4">
      <c r="A723" s="4">
        <f>ROW()</f>
        <v>723</v>
      </c>
      <c r="B723" s="9" t="s">
        <v>27</v>
      </c>
      <c r="C723" s="55" t="str">
        <f t="shared" si="302"/>
        <v>p.equipar</v>
      </c>
      <c r="D723" s="6" t="str">
        <f t="shared" si="322"/>
        <v>é.máquina.geral</v>
      </c>
      <c r="E723" s="8" t="s">
        <v>28</v>
      </c>
      <c r="F723" s="42" t="str">
        <f t="shared" si="321"/>
        <v>d.equipar</v>
      </c>
      <c r="G723" s="18" t="s">
        <v>2247</v>
      </c>
      <c r="H723" s="41" t="s">
        <v>2121</v>
      </c>
      <c r="I723" s="16" t="str">
        <f t="shared" si="301"/>
        <v>null</v>
      </c>
      <c r="J723" s="13" t="s">
        <v>0</v>
      </c>
      <c r="K723" s="13" t="s">
        <v>0</v>
      </c>
      <c r="L723" s="13" t="s">
        <v>0</v>
      </c>
      <c r="M723" s="13" t="s">
        <v>0</v>
      </c>
      <c r="N723" s="15" t="s">
        <v>0</v>
      </c>
      <c r="O723" s="13" t="s">
        <v>0</v>
      </c>
      <c r="P723" s="13" t="s">
        <v>0</v>
      </c>
      <c r="Q723" s="13" t="s">
        <v>0</v>
      </c>
      <c r="R723" s="15" t="s">
        <v>0</v>
      </c>
      <c r="S723" s="10" t="s">
        <v>1</v>
      </c>
      <c r="T723" s="10" t="s">
        <v>32</v>
      </c>
      <c r="U723" s="5" t="str">
        <f t="shared" si="317"/>
        <v>Propriedade destinada a equipar: é.máquina.geral</v>
      </c>
      <c r="V723" s="5" t="str">
        <f t="shared" si="318"/>
        <v>Dado para equipar:  máquina.geral  Deve ser formatado como (rdfs:Literal  or  xsd:string)</v>
      </c>
      <c r="W723" s="5" t="s">
        <v>5549</v>
      </c>
      <c r="X723" s="24" t="str">
        <f t="shared" si="319"/>
        <v>equip.112</v>
      </c>
      <c r="Y723" s="24" t="str">
        <f t="shared" si="320"/>
        <v>Ação de equipar</v>
      </c>
      <c r="Z723" s="47" t="s">
        <v>2225</v>
      </c>
      <c r="AA723" s="25" t="str">
        <f t="shared" si="303"/>
        <v>null</v>
      </c>
      <c r="AB723" s="26" t="s">
        <v>0</v>
      </c>
      <c r="AC723" s="25" t="str">
        <f t="shared" si="304"/>
        <v>null</v>
      </c>
      <c r="AD723" s="26" t="s">
        <v>0</v>
      </c>
      <c r="AE723" s="25" t="str">
        <f t="shared" si="305"/>
        <v>null</v>
      </c>
      <c r="AF723" s="26" t="s">
        <v>0</v>
      </c>
      <c r="AG723" s="47" t="s">
        <v>2783</v>
      </c>
    </row>
    <row r="724" spans="1:33" ht="6.9" customHeight="1" x14ac:dyDescent="0.4">
      <c r="A724" s="4">
        <f>ROW()</f>
        <v>724</v>
      </c>
      <c r="B724" s="9" t="s">
        <v>27</v>
      </c>
      <c r="C724" s="55" t="str">
        <f t="shared" si="302"/>
        <v>p.equipar</v>
      </c>
      <c r="D724" s="6" t="str">
        <f t="shared" si="322"/>
        <v>é.máquina.isolada</v>
      </c>
      <c r="E724" s="8" t="s">
        <v>28</v>
      </c>
      <c r="F724" s="42" t="str">
        <f t="shared" si="321"/>
        <v>d.equipar</v>
      </c>
      <c r="G724" s="18" t="s">
        <v>2222</v>
      </c>
      <c r="H724" s="41" t="s">
        <v>2121</v>
      </c>
      <c r="I724" s="16" t="str">
        <f t="shared" si="301"/>
        <v>null</v>
      </c>
      <c r="J724" s="13" t="s">
        <v>0</v>
      </c>
      <c r="K724" s="13" t="s">
        <v>0</v>
      </c>
      <c r="L724" s="13" t="s">
        <v>0</v>
      </c>
      <c r="M724" s="13" t="s">
        <v>0</v>
      </c>
      <c r="N724" s="15" t="s">
        <v>0</v>
      </c>
      <c r="O724" s="13" t="s">
        <v>0</v>
      </c>
      <c r="P724" s="13" t="s">
        <v>0</v>
      </c>
      <c r="Q724" s="13" t="s">
        <v>0</v>
      </c>
      <c r="R724" s="15" t="s">
        <v>0</v>
      </c>
      <c r="S724" s="10" t="s">
        <v>1</v>
      </c>
      <c r="T724" s="10" t="s">
        <v>32</v>
      </c>
      <c r="U724" s="5" t="str">
        <f t="shared" si="317"/>
        <v>Propriedade destinada a equipar: é.máquina.isolada</v>
      </c>
      <c r="V724" s="5" t="str">
        <f t="shared" si="318"/>
        <v>Dado para equipar:  máquina.isolada  Deve ser formatado como (rdfs:Literal  or  xsd:string)</v>
      </c>
      <c r="W724" s="5" t="s">
        <v>5550</v>
      </c>
      <c r="X724" s="24" t="str">
        <f t="shared" si="319"/>
        <v>equip.113</v>
      </c>
      <c r="Y724" s="24" t="str">
        <f t="shared" si="320"/>
        <v>Ação de equipar</v>
      </c>
      <c r="Z724" s="47" t="s">
        <v>2243</v>
      </c>
      <c r="AA724" s="25" t="str">
        <f t="shared" si="303"/>
        <v>null</v>
      </c>
      <c r="AB724" s="26" t="s">
        <v>0</v>
      </c>
      <c r="AC724" s="25" t="str">
        <f t="shared" si="304"/>
        <v>null</v>
      </c>
      <c r="AD724" s="26" t="s">
        <v>0</v>
      </c>
      <c r="AE724" s="25" t="str">
        <f t="shared" si="305"/>
        <v>null</v>
      </c>
      <c r="AF724" s="26" t="s">
        <v>0</v>
      </c>
      <c r="AG724" s="47" t="s">
        <v>2784</v>
      </c>
    </row>
    <row r="725" spans="1:33" ht="6.9" customHeight="1" x14ac:dyDescent="0.4">
      <c r="A725" s="4">
        <f>ROW()</f>
        <v>725</v>
      </c>
      <c r="B725" s="9" t="s">
        <v>27</v>
      </c>
      <c r="C725" s="55" t="str">
        <f t="shared" si="302"/>
        <v>p.equipar</v>
      </c>
      <c r="D725" s="6" t="str">
        <f t="shared" si="322"/>
        <v>é.máquina.radiológica</v>
      </c>
      <c r="E725" s="8" t="s">
        <v>28</v>
      </c>
      <c r="F725" s="42" t="str">
        <f t="shared" si="321"/>
        <v>d.equipar</v>
      </c>
      <c r="G725" s="18" t="s">
        <v>2227</v>
      </c>
      <c r="H725" s="41" t="s">
        <v>2121</v>
      </c>
      <c r="I725" s="16" t="str">
        <f t="shared" si="301"/>
        <v>null</v>
      </c>
      <c r="J725" s="13" t="s">
        <v>0</v>
      </c>
      <c r="K725" s="13" t="s">
        <v>0</v>
      </c>
      <c r="L725" s="13" t="s">
        <v>0</v>
      </c>
      <c r="M725" s="13" t="s">
        <v>0</v>
      </c>
      <c r="N725" s="15" t="s">
        <v>0</v>
      </c>
      <c r="O725" s="13" t="s">
        <v>0</v>
      </c>
      <c r="P725" s="13" t="s">
        <v>0</v>
      </c>
      <c r="Q725" s="13" t="s">
        <v>0</v>
      </c>
      <c r="R725" s="15" t="s">
        <v>0</v>
      </c>
      <c r="S725" s="10" t="s">
        <v>1</v>
      </c>
      <c r="T725" s="10" t="s">
        <v>32</v>
      </c>
      <c r="U725" s="5" t="str">
        <f t="shared" si="317"/>
        <v>Propriedade destinada a equipar: é.máquina.radiológica</v>
      </c>
      <c r="V725" s="5" t="str">
        <f t="shared" si="318"/>
        <v>Dado para equipar:  máquina.radiológica  Deve ser formatado como (rdfs:Literal  or  xsd:string)</v>
      </c>
      <c r="W725" s="5" t="s">
        <v>5551</v>
      </c>
      <c r="X725" s="24" t="str">
        <f t="shared" si="319"/>
        <v>equip.114</v>
      </c>
      <c r="Y725" s="24" t="str">
        <f t="shared" si="320"/>
        <v>Ação de equipar</v>
      </c>
      <c r="Z725" s="47" t="s">
        <v>2228</v>
      </c>
      <c r="AA725" s="25" t="str">
        <f t="shared" si="303"/>
        <v>null</v>
      </c>
      <c r="AB725" s="26" t="s">
        <v>0</v>
      </c>
      <c r="AC725" s="25" t="str">
        <f t="shared" si="304"/>
        <v>null</v>
      </c>
      <c r="AD725" s="26" t="s">
        <v>0</v>
      </c>
      <c r="AE725" s="25" t="str">
        <f t="shared" si="305"/>
        <v>null</v>
      </c>
      <c r="AF725" s="26" t="s">
        <v>0</v>
      </c>
      <c r="AG725" s="47" t="s">
        <v>2785</v>
      </c>
    </row>
    <row r="726" spans="1:33" ht="6.9" customHeight="1" x14ac:dyDescent="0.4">
      <c r="A726" s="4">
        <f>ROW()</f>
        <v>726</v>
      </c>
      <c r="B726" s="9" t="s">
        <v>27</v>
      </c>
      <c r="C726" s="55" t="str">
        <f t="shared" si="302"/>
        <v>p.equipar</v>
      </c>
      <c r="D726" s="6" t="str">
        <f t="shared" si="322"/>
        <v>é.máquina.saúde</v>
      </c>
      <c r="E726" s="8" t="s">
        <v>28</v>
      </c>
      <c r="F726" s="42" t="str">
        <f t="shared" si="321"/>
        <v>d.equipar</v>
      </c>
      <c r="G726" s="18" t="s">
        <v>2219</v>
      </c>
      <c r="H726" s="41" t="s">
        <v>2121</v>
      </c>
      <c r="I726" s="16" t="str">
        <f t="shared" si="301"/>
        <v>null</v>
      </c>
      <c r="J726" s="13" t="s">
        <v>0</v>
      </c>
      <c r="K726" s="13" t="s">
        <v>0</v>
      </c>
      <c r="L726" s="13" t="s">
        <v>0</v>
      </c>
      <c r="M726" s="13" t="s">
        <v>0</v>
      </c>
      <c r="N726" s="15" t="s">
        <v>0</v>
      </c>
      <c r="O726" s="13" t="s">
        <v>0</v>
      </c>
      <c r="P726" s="13" t="s">
        <v>0</v>
      </c>
      <c r="Q726" s="13" t="s">
        <v>0</v>
      </c>
      <c r="R726" s="15" t="s">
        <v>0</v>
      </c>
      <c r="S726" s="10" t="s">
        <v>1</v>
      </c>
      <c r="T726" s="10" t="s">
        <v>32</v>
      </c>
      <c r="U726" s="5" t="str">
        <f t="shared" si="317"/>
        <v>Propriedade destinada a equipar: é.máquina.saúde</v>
      </c>
      <c r="V726" s="5" t="str">
        <f t="shared" si="318"/>
        <v>Dado para equipar:  máquina.saúde  Deve ser formatado como (rdfs:Literal  or  xsd:string)</v>
      </c>
      <c r="W726" s="5" t="s">
        <v>5552</v>
      </c>
      <c r="X726" s="24" t="str">
        <f t="shared" si="319"/>
        <v>equip.115</v>
      </c>
      <c r="Y726" s="24" t="str">
        <f t="shared" si="320"/>
        <v>Ação de equipar</v>
      </c>
      <c r="Z726" s="47" t="s">
        <v>2226</v>
      </c>
      <c r="AA726" s="25" t="str">
        <f t="shared" si="303"/>
        <v>null</v>
      </c>
      <c r="AB726" s="26" t="s">
        <v>0</v>
      </c>
      <c r="AC726" s="25" t="str">
        <f t="shared" si="304"/>
        <v>null</v>
      </c>
      <c r="AD726" s="26" t="s">
        <v>0</v>
      </c>
      <c r="AE726" s="25" t="str">
        <f t="shared" si="305"/>
        <v>null</v>
      </c>
      <c r="AF726" s="26" t="s">
        <v>0</v>
      </c>
      <c r="AG726" s="47" t="s">
        <v>2786</v>
      </c>
    </row>
    <row r="727" spans="1:33" ht="6.9" customHeight="1" x14ac:dyDescent="0.4">
      <c r="A727" s="4">
        <f>ROW()</f>
        <v>727</v>
      </c>
      <c r="B727" s="9" t="s">
        <v>27</v>
      </c>
      <c r="C727" s="55" t="str">
        <f t="shared" si="302"/>
        <v>p.equipar</v>
      </c>
      <c r="D727" s="6" t="str">
        <f t="shared" si="322"/>
        <v>é.mobiliário.médico</v>
      </c>
      <c r="E727" s="8" t="s">
        <v>28</v>
      </c>
      <c r="F727" s="42" t="str">
        <f>F724</f>
        <v>d.equipar</v>
      </c>
      <c r="G727" s="18" t="s">
        <v>2384</v>
      </c>
      <c r="H727" s="41" t="s">
        <v>2121</v>
      </c>
      <c r="I727" s="16" t="str">
        <f t="shared" si="301"/>
        <v>null</v>
      </c>
      <c r="J727" s="13" t="s">
        <v>0</v>
      </c>
      <c r="K727" s="13" t="s">
        <v>0</v>
      </c>
      <c r="L727" s="13" t="s">
        <v>0</v>
      </c>
      <c r="M727" s="13" t="s">
        <v>0</v>
      </c>
      <c r="N727" s="15" t="s">
        <v>0</v>
      </c>
      <c r="O727" s="13" t="s">
        <v>0</v>
      </c>
      <c r="P727" s="13" t="s">
        <v>0</v>
      </c>
      <c r="Q727" s="13" t="s">
        <v>0</v>
      </c>
      <c r="R727" s="15" t="s">
        <v>0</v>
      </c>
      <c r="S727" s="10" t="s">
        <v>1</v>
      </c>
      <c r="T727" s="10" t="s">
        <v>32</v>
      </c>
      <c r="U727" s="5" t="str">
        <f t="shared" si="317"/>
        <v>Propriedade destinada a equipar: é.mobiliário.médico</v>
      </c>
      <c r="V727" s="5" t="str">
        <f t="shared" si="318"/>
        <v>Dado para equipar:  mobiliário.médico  Deve ser formatado como (rdfs:Literal  or  xsd:string)</v>
      </c>
      <c r="W727" s="5" t="s">
        <v>5553</v>
      </c>
      <c r="X727" s="24" t="str">
        <f t="shared" si="319"/>
        <v>equip.116</v>
      </c>
      <c r="Y727" s="24" t="str">
        <f t="shared" si="320"/>
        <v>Ação de equipar</v>
      </c>
      <c r="Z727" s="47" t="s">
        <v>2385</v>
      </c>
      <c r="AA727" s="25" t="str">
        <f t="shared" si="303"/>
        <v>null</v>
      </c>
      <c r="AB727" s="26" t="s">
        <v>0</v>
      </c>
      <c r="AC727" s="25" t="str">
        <f t="shared" si="304"/>
        <v>null</v>
      </c>
      <c r="AD727" s="26" t="s">
        <v>0</v>
      </c>
      <c r="AE727" s="25" t="str">
        <f t="shared" si="305"/>
        <v>null</v>
      </c>
      <c r="AF727" s="26" t="s">
        <v>0</v>
      </c>
      <c r="AG727" s="47" t="s">
        <v>2787</v>
      </c>
    </row>
    <row r="728" spans="1:33" ht="6.9" customHeight="1" x14ac:dyDescent="0.4">
      <c r="A728" s="4">
        <f>ROW()</f>
        <v>728</v>
      </c>
      <c r="B728" s="9" t="s">
        <v>27</v>
      </c>
      <c r="C728" s="55" t="str">
        <f t="shared" si="302"/>
        <v>p.equipar</v>
      </c>
      <c r="D728" s="6" t="str">
        <f t="shared" si="322"/>
        <v>é.mobília</v>
      </c>
      <c r="E728" s="8" t="s">
        <v>28</v>
      </c>
      <c r="F728" s="42" t="str">
        <f>F725</f>
        <v>d.equipar</v>
      </c>
      <c r="G728" s="18" t="s">
        <v>2229</v>
      </c>
      <c r="H728" s="41" t="s">
        <v>2121</v>
      </c>
      <c r="I728" s="16" t="str">
        <f t="shared" si="301"/>
        <v>null</v>
      </c>
      <c r="J728" s="13" t="s">
        <v>0</v>
      </c>
      <c r="K728" s="13" t="s">
        <v>0</v>
      </c>
      <c r="L728" s="13" t="s">
        <v>0</v>
      </c>
      <c r="M728" s="13" t="s">
        <v>0</v>
      </c>
      <c r="N728" s="15" t="s">
        <v>0</v>
      </c>
      <c r="O728" s="13" t="s">
        <v>0</v>
      </c>
      <c r="P728" s="13" t="s">
        <v>0</v>
      </c>
      <c r="Q728" s="13" t="s">
        <v>0</v>
      </c>
      <c r="R728" s="15" t="s">
        <v>0</v>
      </c>
      <c r="S728" s="10" t="s">
        <v>1</v>
      </c>
      <c r="T728" s="10" t="s">
        <v>32</v>
      </c>
      <c r="U728" s="5" t="str">
        <f t="shared" si="317"/>
        <v>Propriedade destinada a equipar: é.mobília</v>
      </c>
      <c r="V728" s="5" t="str">
        <f t="shared" si="318"/>
        <v>Dado para equipar:  mobília  Deve ser formatado como (rdfs:Literal  or  xsd:string)</v>
      </c>
      <c r="W728" s="5" t="s">
        <v>5554</v>
      </c>
      <c r="X728" s="24" t="str">
        <f t="shared" si="319"/>
        <v>equip.117</v>
      </c>
      <c r="Y728" s="24" t="str">
        <f t="shared" si="320"/>
        <v>Ação de equipar</v>
      </c>
      <c r="Z728" s="47" t="s">
        <v>2230</v>
      </c>
      <c r="AA728" s="25" t="str">
        <f t="shared" si="303"/>
        <v>null</v>
      </c>
      <c r="AB728" s="26" t="s">
        <v>0</v>
      </c>
      <c r="AC728" s="25" t="str">
        <f t="shared" si="304"/>
        <v>null</v>
      </c>
      <c r="AD728" s="26" t="s">
        <v>0</v>
      </c>
      <c r="AE728" s="25" t="str">
        <f t="shared" si="305"/>
        <v>null</v>
      </c>
      <c r="AF728" s="26" t="s">
        <v>0</v>
      </c>
      <c r="AG728" s="47" t="s">
        <v>2788</v>
      </c>
    </row>
    <row r="729" spans="1:33" ht="6.9" customHeight="1" x14ac:dyDescent="0.4">
      <c r="A729" s="4">
        <f>ROW()</f>
        <v>729</v>
      </c>
      <c r="B729" s="9" t="s">
        <v>27</v>
      </c>
      <c r="C729" s="55" t="str">
        <f t="shared" si="302"/>
        <v>p.equipar</v>
      </c>
      <c r="D729" s="6" t="str">
        <f t="shared" si="322"/>
        <v>é.contaminado</v>
      </c>
      <c r="E729" s="8" t="s">
        <v>28</v>
      </c>
      <c r="F729" s="42" t="str">
        <f>F725</f>
        <v>d.equipar</v>
      </c>
      <c r="G729" s="18" t="s">
        <v>2253</v>
      </c>
      <c r="H729" s="41" t="s">
        <v>2121</v>
      </c>
      <c r="I729" s="16" t="str">
        <f t="shared" si="301"/>
        <v>null</v>
      </c>
      <c r="J729" s="13" t="s">
        <v>0</v>
      </c>
      <c r="K729" s="13" t="s">
        <v>0</v>
      </c>
      <c r="L729" s="13" t="s">
        <v>0</v>
      </c>
      <c r="M729" s="13" t="s">
        <v>0</v>
      </c>
      <c r="N729" s="15" t="s">
        <v>0</v>
      </c>
      <c r="O729" s="13" t="s">
        <v>0</v>
      </c>
      <c r="P729" s="13" t="s">
        <v>0</v>
      </c>
      <c r="Q729" s="13" t="s">
        <v>0</v>
      </c>
      <c r="R729" s="15" t="s">
        <v>0</v>
      </c>
      <c r="S729" s="10" t="s">
        <v>1</v>
      </c>
      <c r="T729" s="10" t="s">
        <v>32</v>
      </c>
      <c r="U729" s="5" t="str">
        <f t="shared" si="317"/>
        <v>Propriedade destinada a equipar: é.contaminado</v>
      </c>
      <c r="V729" s="5" t="str">
        <f t="shared" si="318"/>
        <v>Dado para equipar:  contaminado  Deve ser formatado como (rdfs:Literal  or  xsd:string)</v>
      </c>
      <c r="W729" s="5" t="s">
        <v>5555</v>
      </c>
      <c r="X729" s="24" t="str">
        <f t="shared" si="319"/>
        <v>equip.118</v>
      </c>
      <c r="Y729" s="24" t="str">
        <f t="shared" si="320"/>
        <v>Ação de equipar</v>
      </c>
      <c r="Z729" s="47" t="s">
        <v>2254</v>
      </c>
      <c r="AA729" s="25" t="str">
        <f t="shared" si="303"/>
        <v>null</v>
      </c>
      <c r="AB729" s="26" t="s">
        <v>0</v>
      </c>
      <c r="AC729" s="25" t="str">
        <f t="shared" si="304"/>
        <v>null</v>
      </c>
      <c r="AD729" s="26" t="s">
        <v>0</v>
      </c>
      <c r="AE729" s="25" t="str">
        <f t="shared" si="305"/>
        <v>null</v>
      </c>
      <c r="AF729" s="26" t="s">
        <v>0</v>
      </c>
      <c r="AG729" s="47" t="s">
        <v>2789</v>
      </c>
    </row>
    <row r="730" spans="1:33" ht="6.9" customHeight="1" x14ac:dyDescent="0.4">
      <c r="A730" s="4">
        <f>ROW()</f>
        <v>730</v>
      </c>
      <c r="B730" s="9" t="s">
        <v>27</v>
      </c>
      <c r="C730" s="55" t="str">
        <f t="shared" si="302"/>
        <v>p.equipar</v>
      </c>
      <c r="D730" s="6" t="str">
        <f t="shared" si="322"/>
        <v>é.limpo</v>
      </c>
      <c r="E730" s="8" t="s">
        <v>28</v>
      </c>
      <c r="F730" s="42" t="str">
        <f>F725</f>
        <v>d.equipar</v>
      </c>
      <c r="G730" s="18" t="s">
        <v>2255</v>
      </c>
      <c r="H730" s="41" t="s">
        <v>2121</v>
      </c>
      <c r="I730" s="16" t="str">
        <f t="shared" si="301"/>
        <v>null</v>
      </c>
      <c r="J730" s="13" t="s">
        <v>0</v>
      </c>
      <c r="K730" s="13" t="s">
        <v>0</v>
      </c>
      <c r="L730" s="13" t="s">
        <v>0</v>
      </c>
      <c r="M730" s="13" t="s">
        <v>0</v>
      </c>
      <c r="N730" s="15" t="s">
        <v>0</v>
      </c>
      <c r="O730" s="13" t="s">
        <v>0</v>
      </c>
      <c r="P730" s="13" t="s">
        <v>0</v>
      </c>
      <c r="Q730" s="13" t="s">
        <v>0</v>
      </c>
      <c r="R730" s="15" t="s">
        <v>0</v>
      </c>
      <c r="S730" s="10" t="s">
        <v>1</v>
      </c>
      <c r="T730" s="10" t="s">
        <v>32</v>
      </c>
      <c r="U730" s="5" t="str">
        <f t="shared" si="317"/>
        <v>Propriedade destinada a equipar: é.limpo</v>
      </c>
      <c r="V730" s="5" t="str">
        <f t="shared" si="318"/>
        <v>Dado para equipar:  limpo  Deve ser formatado como (rdfs:Literal  or  xsd:string)</v>
      </c>
      <c r="W730" s="5" t="s">
        <v>5556</v>
      </c>
      <c r="X730" s="24" t="str">
        <f t="shared" si="319"/>
        <v>equip.119</v>
      </c>
      <c r="Y730" s="24" t="str">
        <f t="shared" si="320"/>
        <v>Ação de equipar</v>
      </c>
      <c r="Z730" s="47" t="s">
        <v>2256</v>
      </c>
      <c r="AA730" s="25" t="str">
        <f t="shared" si="303"/>
        <v>null</v>
      </c>
      <c r="AB730" s="26" t="s">
        <v>0</v>
      </c>
      <c r="AC730" s="25" t="str">
        <f t="shared" si="304"/>
        <v>null</v>
      </c>
      <c r="AD730" s="26" t="s">
        <v>0</v>
      </c>
      <c r="AE730" s="25" t="str">
        <f t="shared" si="305"/>
        <v>null</v>
      </c>
      <c r="AF730" s="26" t="s">
        <v>0</v>
      </c>
      <c r="AG730" s="47" t="s">
        <v>2790</v>
      </c>
    </row>
    <row r="731" spans="1:33" ht="6.9" customHeight="1" x14ac:dyDescent="0.4">
      <c r="A731" s="4">
        <f>ROW()</f>
        <v>731</v>
      </c>
      <c r="B731" s="9" t="s">
        <v>27</v>
      </c>
      <c r="C731" s="55" t="str">
        <f t="shared" si="302"/>
        <v>p.equipar</v>
      </c>
      <c r="D731" s="6" t="str">
        <f t="shared" si="322"/>
        <v>é.função.hospitalar</v>
      </c>
      <c r="E731" s="8" t="s">
        <v>28</v>
      </c>
      <c r="F731" s="42" t="str">
        <f>F725</f>
        <v>d.equipar</v>
      </c>
      <c r="G731" s="18" t="s">
        <v>2257</v>
      </c>
      <c r="H731" s="41" t="s">
        <v>2121</v>
      </c>
      <c r="I731" s="16" t="str">
        <f t="shared" si="301"/>
        <v>null</v>
      </c>
      <c r="J731" s="13" t="s">
        <v>0</v>
      </c>
      <c r="K731" s="13" t="s">
        <v>0</v>
      </c>
      <c r="L731" s="13" t="s">
        <v>0</v>
      </c>
      <c r="M731" s="13" t="s">
        <v>0</v>
      </c>
      <c r="N731" s="15" t="s">
        <v>0</v>
      </c>
      <c r="O731" s="13" t="s">
        <v>0</v>
      </c>
      <c r="P731" s="13" t="s">
        <v>0</v>
      </c>
      <c r="Q731" s="13" t="s">
        <v>0</v>
      </c>
      <c r="R731" s="15" t="s">
        <v>0</v>
      </c>
      <c r="S731" s="10" t="s">
        <v>1</v>
      </c>
      <c r="T731" s="10" t="s">
        <v>32</v>
      </c>
      <c r="U731" s="5" t="str">
        <f t="shared" si="317"/>
        <v>Propriedade destinada a equipar: é.função.hospitalar</v>
      </c>
      <c r="V731" s="5" t="str">
        <f t="shared" si="318"/>
        <v>Dado para equipar:  função.hospitalar  Deve ser formatado como (rdfs:Literal  or  xsd:string)</v>
      </c>
      <c r="W731" s="5" t="s">
        <v>5557</v>
      </c>
      <c r="X731" s="24" t="str">
        <f t="shared" si="319"/>
        <v>equip.120</v>
      </c>
      <c r="Y731" s="24" t="str">
        <f t="shared" si="320"/>
        <v>Ação de equipar</v>
      </c>
      <c r="Z731" s="47" t="s">
        <v>2258</v>
      </c>
      <c r="AA731" s="25" t="str">
        <f t="shared" si="303"/>
        <v>null</v>
      </c>
      <c r="AB731" s="26" t="s">
        <v>0</v>
      </c>
      <c r="AC731" s="25" t="str">
        <f t="shared" si="304"/>
        <v>null</v>
      </c>
      <c r="AD731" s="26" t="s">
        <v>0</v>
      </c>
      <c r="AE731" s="25" t="str">
        <f t="shared" si="305"/>
        <v>null</v>
      </c>
      <c r="AF731" s="26" t="s">
        <v>0</v>
      </c>
      <c r="AG731" s="47" t="s">
        <v>2791</v>
      </c>
    </row>
    <row r="732" spans="1:33" ht="6.9" customHeight="1" x14ac:dyDescent="0.4">
      <c r="A732" s="4">
        <f>ROW()</f>
        <v>732</v>
      </c>
      <c r="B732" s="9" t="s">
        <v>27</v>
      </c>
      <c r="C732" s="55" t="str">
        <f t="shared" si="302"/>
        <v>p.equipar</v>
      </c>
      <c r="D732" s="6" t="str">
        <f t="shared" si="322"/>
        <v>é.local.hospitalar</v>
      </c>
      <c r="E732" s="8" t="s">
        <v>28</v>
      </c>
      <c r="F732" s="42" t="str">
        <f>F726</f>
        <v>d.equipar</v>
      </c>
      <c r="G732" s="18" t="s">
        <v>2260</v>
      </c>
      <c r="H732" s="41" t="s">
        <v>2121</v>
      </c>
      <c r="I732" s="16" t="str">
        <f t="shared" si="301"/>
        <v>null</v>
      </c>
      <c r="J732" s="13" t="s">
        <v>0</v>
      </c>
      <c r="K732" s="13" t="s">
        <v>0</v>
      </c>
      <c r="L732" s="13" t="s">
        <v>0</v>
      </c>
      <c r="M732" s="13" t="s">
        <v>0</v>
      </c>
      <c r="N732" s="15" t="s">
        <v>0</v>
      </c>
      <c r="O732" s="13" t="s">
        <v>0</v>
      </c>
      <c r="P732" s="13" t="s">
        <v>0</v>
      </c>
      <c r="Q732" s="13" t="s">
        <v>0</v>
      </c>
      <c r="R732" s="15" t="s">
        <v>0</v>
      </c>
      <c r="S732" s="10" t="s">
        <v>1</v>
      </c>
      <c r="T732" s="10" t="s">
        <v>32</v>
      </c>
      <c r="U732" s="5" t="str">
        <f t="shared" si="317"/>
        <v>Propriedade destinada a equipar: é.local.hospitalar</v>
      </c>
      <c r="V732" s="5" t="str">
        <f t="shared" si="318"/>
        <v>Dado para equipar:  local.hospitalar  Deve ser formatado como (rdfs:Literal  or  xsd:string)</v>
      </c>
      <c r="W732" s="5" t="s">
        <v>5558</v>
      </c>
      <c r="X732" s="24" t="str">
        <f t="shared" si="319"/>
        <v>equip.121</v>
      </c>
      <c r="Y732" s="24" t="str">
        <f t="shared" si="320"/>
        <v>Ação de equipar</v>
      </c>
      <c r="Z732" s="47" t="s">
        <v>2259</v>
      </c>
      <c r="AA732" s="25" t="str">
        <f t="shared" si="303"/>
        <v>null</v>
      </c>
      <c r="AB732" s="26" t="s">
        <v>0</v>
      </c>
      <c r="AC732" s="25" t="str">
        <f t="shared" si="304"/>
        <v>null</v>
      </c>
      <c r="AD732" s="26" t="s">
        <v>0</v>
      </c>
      <c r="AE732" s="25" t="str">
        <f t="shared" si="305"/>
        <v>null</v>
      </c>
      <c r="AF732" s="26" t="s">
        <v>0</v>
      </c>
      <c r="AG732" s="47" t="s">
        <v>2792</v>
      </c>
    </row>
    <row r="733" spans="1:33" ht="6.9" customHeight="1" x14ac:dyDescent="0.4">
      <c r="A733" s="4">
        <f>ROW()</f>
        <v>733</v>
      </c>
      <c r="B733" s="9" t="s">
        <v>27</v>
      </c>
      <c r="C733" s="54" t="str">
        <f t="shared" si="302"/>
        <v>p.esgotar</v>
      </c>
      <c r="D733" s="6" t="str">
        <f t="shared" si="322"/>
        <v>é.esgoto</v>
      </c>
      <c r="E733" s="8" t="s">
        <v>28</v>
      </c>
      <c r="F733" s="51" t="s">
        <v>688</v>
      </c>
      <c r="G733" s="17" t="s">
        <v>4428</v>
      </c>
      <c r="H733" s="42" t="s">
        <v>2121</v>
      </c>
      <c r="I733" s="16" t="str">
        <f t="shared" si="301"/>
        <v>null</v>
      </c>
      <c r="J733" s="15" t="s">
        <v>0</v>
      </c>
      <c r="K733" s="15" t="s">
        <v>0</v>
      </c>
      <c r="L733" s="15" t="s">
        <v>0</v>
      </c>
      <c r="M733" s="15" t="s">
        <v>0</v>
      </c>
      <c r="N733" s="15" t="s">
        <v>0</v>
      </c>
      <c r="O733" s="15" t="s">
        <v>0</v>
      </c>
      <c r="P733" s="15" t="s">
        <v>0</v>
      </c>
      <c r="Q733" s="15" t="s">
        <v>0</v>
      </c>
      <c r="R733" s="15" t="s">
        <v>0</v>
      </c>
      <c r="S733" s="10" t="s">
        <v>1</v>
      </c>
      <c r="T733" s="10" t="s">
        <v>32</v>
      </c>
      <c r="U733" s="5" t="str">
        <f t="shared" si="317"/>
        <v>Propriedade destinada a esgotar: é.esgoto</v>
      </c>
      <c r="V733" s="5" t="str">
        <f t="shared" si="318"/>
        <v>Dado para esgotar:  esgoto  Deve ser formatado como (rdfs:Literal  or  xsd:string)</v>
      </c>
      <c r="W733" s="5" t="s">
        <v>5559</v>
      </c>
      <c r="X733" s="24" t="str">
        <f t="shared" si="319"/>
        <v>esgot.100</v>
      </c>
      <c r="Y733" s="24" t="str">
        <f t="shared" si="320"/>
        <v>Ação de esgotar</v>
      </c>
      <c r="Z733" s="47" t="s">
        <v>3967</v>
      </c>
      <c r="AA733" s="25" t="str">
        <f t="shared" si="303"/>
        <v>categoria.revit</v>
      </c>
      <c r="AB733" s="26" t="s">
        <v>3491</v>
      </c>
      <c r="AC733" s="25" t="str">
        <f t="shared" si="304"/>
        <v>classe.ifc</v>
      </c>
      <c r="AD733" s="26" t="s">
        <v>3456</v>
      </c>
      <c r="AE733" s="25" t="str">
        <f t="shared" si="305"/>
        <v>null</v>
      </c>
      <c r="AF733" s="26" t="s">
        <v>0</v>
      </c>
      <c r="AG733" s="47" t="s">
        <v>4026</v>
      </c>
    </row>
    <row r="734" spans="1:33" ht="6.9" customHeight="1" x14ac:dyDescent="0.4">
      <c r="A734" s="4">
        <f>ROW()</f>
        <v>734</v>
      </c>
      <c r="B734" s="9" t="s">
        <v>27</v>
      </c>
      <c r="C734" s="55" t="str">
        <f t="shared" si="302"/>
        <v>p.esgotar</v>
      </c>
      <c r="D734" s="6" t="str">
        <f t="shared" si="322"/>
        <v>é.conexão.de.esgoto</v>
      </c>
      <c r="E734" s="8" t="s">
        <v>28</v>
      </c>
      <c r="F734" s="42" t="str">
        <f t="shared" ref="F734:F744" si="323">F733</f>
        <v>d.esgotar</v>
      </c>
      <c r="G734" s="17" t="s">
        <v>689</v>
      </c>
      <c r="H734" s="42" t="s">
        <v>2121</v>
      </c>
      <c r="I734" s="16" t="str">
        <f t="shared" si="301"/>
        <v>null</v>
      </c>
      <c r="J734" s="15" t="s">
        <v>0</v>
      </c>
      <c r="K734" s="15" t="s">
        <v>0</v>
      </c>
      <c r="L734" s="15" t="s">
        <v>0</v>
      </c>
      <c r="M734" s="15" t="s">
        <v>0</v>
      </c>
      <c r="N734" s="15" t="s">
        <v>0</v>
      </c>
      <c r="O734" s="15" t="s">
        <v>0</v>
      </c>
      <c r="P734" s="15" t="s">
        <v>0</v>
      </c>
      <c r="Q734" s="15" t="s">
        <v>0</v>
      </c>
      <c r="R734" s="15" t="s">
        <v>0</v>
      </c>
      <c r="S734" s="10" t="s">
        <v>1</v>
      </c>
      <c r="T734" s="10" t="s">
        <v>32</v>
      </c>
      <c r="U734" s="5" t="str">
        <f t="shared" si="317"/>
        <v>Propriedade destinada a esgotar: é.conexão.de.esgoto</v>
      </c>
      <c r="V734" s="5" t="str">
        <f t="shared" si="318"/>
        <v>Dado para esgotar:  conexão.de.esgoto  Deve ser formatado como (rdfs:Literal  or  xsd:string)</v>
      </c>
      <c r="W734" s="5" t="s">
        <v>5560</v>
      </c>
      <c r="X734" s="24" t="str">
        <f t="shared" si="319"/>
        <v>esgot.101</v>
      </c>
      <c r="Y734" s="24" t="str">
        <f t="shared" si="320"/>
        <v>Ação de esgotar</v>
      </c>
      <c r="Z734" s="47" t="s">
        <v>1454</v>
      </c>
      <c r="AA734" s="25" t="str">
        <f t="shared" si="303"/>
        <v>categoria.revit</v>
      </c>
      <c r="AB734" s="26" t="s">
        <v>3491</v>
      </c>
      <c r="AC734" s="25" t="str">
        <f t="shared" si="304"/>
        <v>classe.ifc</v>
      </c>
      <c r="AD734" s="26" t="s">
        <v>3456</v>
      </c>
      <c r="AE734" s="25" t="str">
        <f t="shared" si="305"/>
        <v>null</v>
      </c>
      <c r="AF734" s="26" t="s">
        <v>0</v>
      </c>
      <c r="AG734" s="47" t="s">
        <v>2793</v>
      </c>
    </row>
    <row r="735" spans="1:33" ht="6.9" customHeight="1" x14ac:dyDescent="0.4">
      <c r="A735" s="4">
        <f>ROW()</f>
        <v>735</v>
      </c>
      <c r="B735" s="9" t="s">
        <v>27</v>
      </c>
      <c r="C735" s="55" t="str">
        <f t="shared" si="302"/>
        <v>p.esgotar</v>
      </c>
      <c r="D735" s="6" t="str">
        <f t="shared" si="322"/>
        <v>é.primário</v>
      </c>
      <c r="E735" s="8" t="s">
        <v>28</v>
      </c>
      <c r="F735" s="42" t="str">
        <f t="shared" si="323"/>
        <v>d.esgotar</v>
      </c>
      <c r="G735" s="17" t="s">
        <v>307</v>
      </c>
      <c r="H735" s="41" t="s">
        <v>37</v>
      </c>
      <c r="I735" s="16" t="str">
        <f t="shared" si="301"/>
        <v>null</v>
      </c>
      <c r="J735" s="15" t="s">
        <v>0</v>
      </c>
      <c r="K735" s="15" t="s">
        <v>0</v>
      </c>
      <c r="L735" s="15" t="s">
        <v>0</v>
      </c>
      <c r="M735" s="15" t="s">
        <v>0</v>
      </c>
      <c r="N735" s="15" t="s">
        <v>0</v>
      </c>
      <c r="O735" s="15" t="s">
        <v>0</v>
      </c>
      <c r="P735" s="15" t="s">
        <v>0</v>
      </c>
      <c r="Q735" s="15" t="s">
        <v>0</v>
      </c>
      <c r="R735" s="15" t="s">
        <v>0</v>
      </c>
      <c r="S735" s="10" t="s">
        <v>1</v>
      </c>
      <c r="T735" s="10" t="s">
        <v>32</v>
      </c>
      <c r="U735" s="5" t="str">
        <f t="shared" si="317"/>
        <v>Propriedade destinada a esgotar: é.primário</v>
      </c>
      <c r="V735" s="5" t="str">
        <f t="shared" si="318"/>
        <v>Dado para esgotar:  primário  Deve ser formatado como (xsd:boolean)</v>
      </c>
      <c r="W735" s="5" t="s">
        <v>5561</v>
      </c>
      <c r="X735" s="24" t="str">
        <f t="shared" si="319"/>
        <v>esgot.102</v>
      </c>
      <c r="Y735" s="24" t="str">
        <f t="shared" si="320"/>
        <v>Ação de esgotar</v>
      </c>
      <c r="Z735" s="47" t="s">
        <v>1455</v>
      </c>
      <c r="AA735" s="25" t="str">
        <f t="shared" si="303"/>
        <v>categoria.revit</v>
      </c>
      <c r="AB735" s="26" t="s">
        <v>3507</v>
      </c>
      <c r="AC735" s="25" t="str">
        <f t="shared" si="304"/>
        <v>classe.ifc</v>
      </c>
      <c r="AD735" s="26" t="s">
        <v>3457</v>
      </c>
      <c r="AE735" s="25" t="str">
        <f t="shared" si="305"/>
        <v>null</v>
      </c>
      <c r="AF735" s="26" t="s">
        <v>0</v>
      </c>
      <c r="AG735" s="47" t="s">
        <v>2794</v>
      </c>
    </row>
    <row r="736" spans="1:33" ht="6.9" customHeight="1" x14ac:dyDescent="0.4">
      <c r="A736" s="4">
        <f>ROW()</f>
        <v>736</v>
      </c>
      <c r="B736" s="9" t="s">
        <v>27</v>
      </c>
      <c r="C736" s="55" t="str">
        <f t="shared" si="302"/>
        <v>p.esgotar</v>
      </c>
      <c r="D736" s="6" t="str">
        <f t="shared" si="322"/>
        <v>é.secundário</v>
      </c>
      <c r="E736" s="8" t="s">
        <v>28</v>
      </c>
      <c r="F736" s="42" t="str">
        <f t="shared" si="323"/>
        <v>d.esgotar</v>
      </c>
      <c r="G736" s="17" t="s">
        <v>308</v>
      </c>
      <c r="H736" s="41" t="s">
        <v>37</v>
      </c>
      <c r="I736" s="16" t="str">
        <f t="shared" si="301"/>
        <v>null</v>
      </c>
      <c r="J736" s="15" t="s">
        <v>0</v>
      </c>
      <c r="K736" s="15" t="s">
        <v>0</v>
      </c>
      <c r="L736" s="15" t="s">
        <v>0</v>
      </c>
      <c r="M736" s="15" t="s">
        <v>0</v>
      </c>
      <c r="N736" s="15" t="s">
        <v>0</v>
      </c>
      <c r="O736" s="15" t="s">
        <v>0</v>
      </c>
      <c r="P736" s="15" t="s">
        <v>0</v>
      </c>
      <c r="Q736" s="15" t="s">
        <v>0</v>
      </c>
      <c r="R736" s="15" t="s">
        <v>0</v>
      </c>
      <c r="S736" s="10" t="s">
        <v>1</v>
      </c>
      <c r="T736" s="10" t="s">
        <v>32</v>
      </c>
      <c r="U736" s="5" t="str">
        <f t="shared" si="317"/>
        <v>Propriedade destinada a esgotar: é.secundário</v>
      </c>
      <c r="V736" s="5" t="str">
        <f t="shared" si="318"/>
        <v>Dado para esgotar:  secundário  Deve ser formatado como (xsd:boolean)</v>
      </c>
      <c r="W736" s="5" t="s">
        <v>5562</v>
      </c>
      <c r="X736" s="24" t="str">
        <f t="shared" si="319"/>
        <v>esgot.103</v>
      </c>
      <c r="Y736" s="24" t="str">
        <f t="shared" si="320"/>
        <v>Ação de esgotar</v>
      </c>
      <c r="Z736" s="47" t="s">
        <v>1456</v>
      </c>
      <c r="AA736" s="25" t="str">
        <f t="shared" si="303"/>
        <v>categoria.revit</v>
      </c>
      <c r="AB736" s="26" t="s">
        <v>3491</v>
      </c>
      <c r="AC736" s="25" t="str">
        <f t="shared" si="304"/>
        <v>classe.ifc</v>
      </c>
      <c r="AD736" s="26" t="s">
        <v>3456</v>
      </c>
      <c r="AE736" s="25" t="str">
        <f t="shared" si="305"/>
        <v>null</v>
      </c>
      <c r="AF736" s="26" t="s">
        <v>0</v>
      </c>
      <c r="AG736" s="47" t="s">
        <v>2795</v>
      </c>
    </row>
    <row r="737" spans="1:33" ht="6.9" customHeight="1" x14ac:dyDescent="0.4">
      <c r="A737" s="4">
        <f>ROW()</f>
        <v>737</v>
      </c>
      <c r="B737" s="9" t="s">
        <v>27</v>
      </c>
      <c r="C737" s="55" t="str">
        <f t="shared" si="302"/>
        <v>p.esgotar</v>
      </c>
      <c r="D737" s="6" t="str">
        <f t="shared" si="322"/>
        <v>é.gordura</v>
      </c>
      <c r="E737" s="8" t="s">
        <v>28</v>
      </c>
      <c r="F737" s="42" t="str">
        <f t="shared" si="323"/>
        <v>d.esgotar</v>
      </c>
      <c r="G737" s="17" t="s">
        <v>309</v>
      </c>
      <c r="H737" s="41" t="s">
        <v>37</v>
      </c>
      <c r="I737" s="16" t="str">
        <f t="shared" si="301"/>
        <v>null</v>
      </c>
      <c r="J737" s="15" t="s">
        <v>0</v>
      </c>
      <c r="K737" s="15" t="s">
        <v>0</v>
      </c>
      <c r="L737" s="15" t="s">
        <v>0</v>
      </c>
      <c r="M737" s="15" t="s">
        <v>0</v>
      </c>
      <c r="N737" s="15" t="s">
        <v>0</v>
      </c>
      <c r="O737" s="15" t="s">
        <v>0</v>
      </c>
      <c r="P737" s="15" t="s">
        <v>0</v>
      </c>
      <c r="Q737" s="15" t="s">
        <v>0</v>
      </c>
      <c r="R737" s="15" t="s">
        <v>0</v>
      </c>
      <c r="S737" s="10" t="s">
        <v>1</v>
      </c>
      <c r="T737" s="10" t="s">
        <v>32</v>
      </c>
      <c r="U737" s="5" t="str">
        <f t="shared" si="317"/>
        <v>Propriedade destinada a esgotar: é.gordura</v>
      </c>
      <c r="V737" s="5" t="str">
        <f t="shared" si="318"/>
        <v>Dado para esgotar:  gordura  Deve ser formatado como (xsd:boolean)</v>
      </c>
      <c r="W737" s="5" t="s">
        <v>5563</v>
      </c>
      <c r="X737" s="24" t="str">
        <f t="shared" si="319"/>
        <v>esgot.104</v>
      </c>
      <c r="Y737" s="24" t="str">
        <f t="shared" si="320"/>
        <v>Ação de esgotar</v>
      </c>
      <c r="Z737" s="47" t="s">
        <v>1457</v>
      </c>
      <c r="AA737" s="25" t="str">
        <f t="shared" si="303"/>
        <v>categoria.revit</v>
      </c>
      <c r="AB737" s="26" t="s">
        <v>3491</v>
      </c>
      <c r="AC737" s="25" t="str">
        <f t="shared" si="304"/>
        <v>classe.ifc</v>
      </c>
      <c r="AD737" s="26" t="s">
        <v>3456</v>
      </c>
      <c r="AE737" s="25" t="str">
        <f t="shared" si="305"/>
        <v>null</v>
      </c>
      <c r="AF737" s="26" t="s">
        <v>0</v>
      </c>
      <c r="AG737" s="47" t="s">
        <v>2796</v>
      </c>
    </row>
    <row r="738" spans="1:33" ht="6.9" customHeight="1" x14ac:dyDescent="0.4">
      <c r="A738" s="4">
        <f>ROW()</f>
        <v>738</v>
      </c>
      <c r="B738" s="9" t="s">
        <v>27</v>
      </c>
      <c r="C738" s="55" t="str">
        <f t="shared" si="302"/>
        <v>p.esgotar</v>
      </c>
      <c r="D738" s="6" t="str">
        <f t="shared" si="322"/>
        <v>é.respiro</v>
      </c>
      <c r="E738" s="8" t="s">
        <v>28</v>
      </c>
      <c r="F738" s="42" t="str">
        <f t="shared" si="323"/>
        <v>d.esgotar</v>
      </c>
      <c r="G738" s="17" t="s">
        <v>368</v>
      </c>
      <c r="H738" s="41" t="s">
        <v>37</v>
      </c>
      <c r="I738" s="16" t="str">
        <f t="shared" si="301"/>
        <v>null</v>
      </c>
      <c r="J738" s="15" t="s">
        <v>0</v>
      </c>
      <c r="K738" s="15" t="s">
        <v>0</v>
      </c>
      <c r="L738" s="15" t="s">
        <v>0</v>
      </c>
      <c r="M738" s="15" t="s">
        <v>0</v>
      </c>
      <c r="N738" s="15" t="s">
        <v>0</v>
      </c>
      <c r="O738" s="15" t="s">
        <v>0</v>
      </c>
      <c r="P738" s="15" t="s">
        <v>0</v>
      </c>
      <c r="Q738" s="15" t="s">
        <v>0</v>
      </c>
      <c r="R738" s="15" t="s">
        <v>0</v>
      </c>
      <c r="S738" s="10" t="s">
        <v>1</v>
      </c>
      <c r="T738" s="10" t="s">
        <v>32</v>
      </c>
      <c r="U738" s="5" t="str">
        <f t="shared" si="317"/>
        <v>Propriedade destinada a esgotar: é.respiro</v>
      </c>
      <c r="V738" s="5" t="str">
        <f t="shared" si="318"/>
        <v>Dado para esgotar:  respiro  Deve ser formatado como (xsd:boolean)</v>
      </c>
      <c r="W738" s="5" t="s">
        <v>5564</v>
      </c>
      <c r="X738" s="24" t="str">
        <f t="shared" si="319"/>
        <v>esgot.105</v>
      </c>
      <c r="Y738" s="24" t="str">
        <f t="shared" si="320"/>
        <v>Ação de esgotar</v>
      </c>
      <c r="Z738" s="47" t="s">
        <v>1458</v>
      </c>
      <c r="AA738" s="25" t="str">
        <f t="shared" si="303"/>
        <v>categoria.revit</v>
      </c>
      <c r="AB738" s="26" t="s">
        <v>3491</v>
      </c>
      <c r="AC738" s="25" t="str">
        <f t="shared" si="304"/>
        <v>classe.ifc</v>
      </c>
      <c r="AD738" s="26" t="s">
        <v>3456</v>
      </c>
      <c r="AE738" s="25" t="str">
        <f t="shared" si="305"/>
        <v>null</v>
      </c>
      <c r="AF738" s="26" t="s">
        <v>0</v>
      </c>
      <c r="AG738" s="47" t="s">
        <v>2797</v>
      </c>
    </row>
    <row r="739" spans="1:33" ht="6.9" customHeight="1" x14ac:dyDescent="0.4">
      <c r="A739" s="4">
        <f>ROW()</f>
        <v>739</v>
      </c>
      <c r="B739" s="9" t="s">
        <v>27</v>
      </c>
      <c r="C739" s="55" t="str">
        <f t="shared" si="302"/>
        <v>p.esgotar</v>
      </c>
      <c r="D739" s="6" t="str">
        <f t="shared" si="322"/>
        <v>é.pluvial</v>
      </c>
      <c r="E739" s="8" t="s">
        <v>28</v>
      </c>
      <c r="F739" s="42" t="str">
        <f t="shared" si="323"/>
        <v>d.esgotar</v>
      </c>
      <c r="G739" s="17" t="s">
        <v>273</v>
      </c>
      <c r="H739" s="41" t="s">
        <v>37</v>
      </c>
      <c r="I739" s="16" t="str">
        <f t="shared" si="301"/>
        <v>null</v>
      </c>
      <c r="J739" s="15" t="s">
        <v>0</v>
      </c>
      <c r="K739" s="15" t="s">
        <v>0</v>
      </c>
      <c r="L739" s="15" t="s">
        <v>0</v>
      </c>
      <c r="M739" s="15" t="s">
        <v>0</v>
      </c>
      <c r="N739" s="15" t="s">
        <v>0</v>
      </c>
      <c r="O739" s="15" t="s">
        <v>0</v>
      </c>
      <c r="P739" s="15" t="s">
        <v>0</v>
      </c>
      <c r="Q739" s="15" t="s">
        <v>0</v>
      </c>
      <c r="R739" s="15" t="s">
        <v>0</v>
      </c>
      <c r="S739" s="10" t="s">
        <v>1</v>
      </c>
      <c r="T739" s="10" t="s">
        <v>32</v>
      </c>
      <c r="U739" s="5" t="str">
        <f t="shared" si="317"/>
        <v>Propriedade destinada a esgotar: é.pluvial</v>
      </c>
      <c r="V739" s="5" t="str">
        <f t="shared" si="318"/>
        <v>Dado para esgotar:  pluvial  Deve ser formatado como (xsd:boolean)</v>
      </c>
      <c r="W739" s="5" t="s">
        <v>5565</v>
      </c>
      <c r="X739" s="24" t="str">
        <f t="shared" si="319"/>
        <v>esgot.106</v>
      </c>
      <c r="Y739" s="24" t="str">
        <f t="shared" si="320"/>
        <v>Ação de esgotar</v>
      </c>
      <c r="Z739" s="47" t="s">
        <v>1459</v>
      </c>
      <c r="AA739" s="25" t="str">
        <f t="shared" si="303"/>
        <v>categoria.revit</v>
      </c>
      <c r="AB739" s="26" t="s">
        <v>3491</v>
      </c>
      <c r="AC739" s="25" t="str">
        <f t="shared" si="304"/>
        <v>classe.ifc</v>
      </c>
      <c r="AD739" s="26" t="s">
        <v>3456</v>
      </c>
      <c r="AE739" s="25" t="str">
        <f t="shared" si="305"/>
        <v>null</v>
      </c>
      <c r="AF739" s="26" t="s">
        <v>0</v>
      </c>
      <c r="AG739" s="47" t="s">
        <v>2798</v>
      </c>
    </row>
    <row r="740" spans="1:33" ht="6.9" customHeight="1" x14ac:dyDescent="0.4">
      <c r="A740" s="4">
        <f>ROW()</f>
        <v>740</v>
      </c>
      <c r="B740" s="9" t="s">
        <v>27</v>
      </c>
      <c r="C740" s="55" t="str">
        <f t="shared" si="302"/>
        <v>p.esgotar</v>
      </c>
      <c r="D740" s="6" t="str">
        <f t="shared" si="322"/>
        <v>é.químico</v>
      </c>
      <c r="E740" s="8" t="s">
        <v>28</v>
      </c>
      <c r="F740" s="42" t="str">
        <f t="shared" si="323"/>
        <v>d.esgotar</v>
      </c>
      <c r="G740" s="17" t="s">
        <v>305</v>
      </c>
      <c r="H740" s="41" t="s">
        <v>37</v>
      </c>
      <c r="I740" s="16" t="str">
        <f t="shared" si="301"/>
        <v>null</v>
      </c>
      <c r="J740" s="15" t="s">
        <v>0</v>
      </c>
      <c r="K740" s="15" t="s">
        <v>0</v>
      </c>
      <c r="L740" s="15" t="s">
        <v>0</v>
      </c>
      <c r="M740" s="15" t="s">
        <v>0</v>
      </c>
      <c r="N740" s="15" t="s">
        <v>0</v>
      </c>
      <c r="O740" s="15" t="s">
        <v>0</v>
      </c>
      <c r="P740" s="15" t="s">
        <v>0</v>
      </c>
      <c r="Q740" s="15" t="s">
        <v>0</v>
      </c>
      <c r="R740" s="15" t="s">
        <v>0</v>
      </c>
      <c r="S740" s="10" t="s">
        <v>1</v>
      </c>
      <c r="T740" s="10" t="s">
        <v>32</v>
      </c>
      <c r="U740" s="5" t="str">
        <f t="shared" si="317"/>
        <v>Propriedade destinada a esgotar: é.químico</v>
      </c>
      <c r="V740" s="5" t="str">
        <f t="shared" si="318"/>
        <v>Dado para esgotar:  químico  Deve ser formatado como (xsd:boolean)</v>
      </c>
      <c r="W740" s="5" t="s">
        <v>5566</v>
      </c>
      <c r="X740" s="24" t="str">
        <f t="shared" si="319"/>
        <v>esgot.107</v>
      </c>
      <c r="Y740" s="24" t="str">
        <f t="shared" si="320"/>
        <v>Ação de esgotar</v>
      </c>
      <c r="Z740" s="47" t="s">
        <v>1460</v>
      </c>
      <c r="AA740" s="25" t="str">
        <f t="shared" si="303"/>
        <v>categoria.revit</v>
      </c>
      <c r="AB740" s="26" t="s">
        <v>3491</v>
      </c>
      <c r="AC740" s="25" t="str">
        <f t="shared" si="304"/>
        <v>classe.ifc</v>
      </c>
      <c r="AD740" s="26" t="s">
        <v>3456</v>
      </c>
      <c r="AE740" s="25" t="str">
        <f t="shared" si="305"/>
        <v>null</v>
      </c>
      <c r="AF740" s="26" t="s">
        <v>0</v>
      </c>
      <c r="AG740" s="47" t="s">
        <v>2799</v>
      </c>
    </row>
    <row r="741" spans="1:33" ht="6.9" customHeight="1" x14ac:dyDescent="0.4">
      <c r="A741" s="4">
        <f>ROW()</f>
        <v>741</v>
      </c>
      <c r="B741" s="9" t="s">
        <v>27</v>
      </c>
      <c r="C741" s="55" t="str">
        <f t="shared" si="302"/>
        <v>p.esgotar</v>
      </c>
      <c r="D741" s="6" t="str">
        <f t="shared" si="322"/>
        <v>é.tóxico</v>
      </c>
      <c r="E741" s="8" t="s">
        <v>28</v>
      </c>
      <c r="F741" s="42" t="str">
        <f t="shared" si="323"/>
        <v>d.esgotar</v>
      </c>
      <c r="G741" s="17" t="s">
        <v>306</v>
      </c>
      <c r="H741" s="41" t="s">
        <v>37</v>
      </c>
      <c r="I741" s="16" t="str">
        <f t="shared" si="301"/>
        <v>null</v>
      </c>
      <c r="J741" s="15" t="s">
        <v>0</v>
      </c>
      <c r="K741" s="15" t="s">
        <v>0</v>
      </c>
      <c r="L741" s="15" t="s">
        <v>0</v>
      </c>
      <c r="M741" s="15" t="s">
        <v>0</v>
      </c>
      <c r="N741" s="15" t="s">
        <v>0</v>
      </c>
      <c r="O741" s="15" t="s">
        <v>0</v>
      </c>
      <c r="P741" s="15" t="s">
        <v>0</v>
      </c>
      <c r="Q741" s="15" t="s">
        <v>0</v>
      </c>
      <c r="R741" s="15" t="s">
        <v>0</v>
      </c>
      <c r="S741" s="10" t="s">
        <v>1</v>
      </c>
      <c r="T741" s="10" t="s">
        <v>32</v>
      </c>
      <c r="U741" s="5" t="str">
        <f t="shared" si="317"/>
        <v>Propriedade destinada a esgotar: é.tóxico</v>
      </c>
      <c r="V741" s="5" t="str">
        <f t="shared" si="318"/>
        <v>Dado para esgotar:  tóxico  Deve ser formatado como (xsd:boolean)</v>
      </c>
      <c r="W741" s="5" t="s">
        <v>5567</v>
      </c>
      <c r="X741" s="24" t="str">
        <f t="shared" si="319"/>
        <v>esgot.108</v>
      </c>
      <c r="Y741" s="24" t="str">
        <f t="shared" si="320"/>
        <v>Ação de esgotar</v>
      </c>
      <c r="Z741" s="47" t="s">
        <v>1461</v>
      </c>
      <c r="AA741" s="25" t="str">
        <f t="shared" si="303"/>
        <v>categoria.revit</v>
      </c>
      <c r="AB741" s="26" t="s">
        <v>3491</v>
      </c>
      <c r="AC741" s="25" t="str">
        <f t="shared" si="304"/>
        <v>classe.ifc</v>
      </c>
      <c r="AD741" s="26" t="s">
        <v>3456</v>
      </c>
      <c r="AE741" s="25" t="str">
        <f t="shared" si="305"/>
        <v>null</v>
      </c>
      <c r="AF741" s="26" t="s">
        <v>0</v>
      </c>
      <c r="AG741" s="47" t="s">
        <v>2800</v>
      </c>
    </row>
    <row r="742" spans="1:33" ht="6.9" customHeight="1" x14ac:dyDescent="0.4">
      <c r="A742" s="4">
        <f>ROW()</f>
        <v>742</v>
      </c>
      <c r="B742" s="9" t="s">
        <v>27</v>
      </c>
      <c r="C742" s="55" t="str">
        <f t="shared" si="302"/>
        <v>p.esgotar</v>
      </c>
      <c r="D742" s="6" t="str">
        <f t="shared" si="322"/>
        <v>é.rede.urbana.esgoto</v>
      </c>
      <c r="E742" s="8" t="s">
        <v>28</v>
      </c>
      <c r="F742" s="42" t="str">
        <f t="shared" si="323"/>
        <v>d.esgotar</v>
      </c>
      <c r="G742" s="17" t="s">
        <v>690</v>
      </c>
      <c r="H742" s="41" t="s">
        <v>37</v>
      </c>
      <c r="I742" s="16" t="str">
        <f t="shared" si="301"/>
        <v>null</v>
      </c>
      <c r="J742" s="15" t="s">
        <v>0</v>
      </c>
      <c r="K742" s="15" t="s">
        <v>0</v>
      </c>
      <c r="L742" s="15" t="s">
        <v>0</v>
      </c>
      <c r="M742" s="15" t="s">
        <v>0</v>
      </c>
      <c r="N742" s="15" t="s">
        <v>0</v>
      </c>
      <c r="O742" s="15" t="s">
        <v>0</v>
      </c>
      <c r="P742" s="15" t="s">
        <v>0</v>
      </c>
      <c r="Q742" s="15" t="s">
        <v>0</v>
      </c>
      <c r="R742" s="15" t="s">
        <v>0</v>
      </c>
      <c r="S742" s="10" t="s">
        <v>1</v>
      </c>
      <c r="T742" s="10" t="s">
        <v>32</v>
      </c>
      <c r="U742" s="5" t="str">
        <f t="shared" si="317"/>
        <v>Propriedade destinada a esgotar: é.rede.urbana.esgoto</v>
      </c>
      <c r="V742" s="5" t="str">
        <f t="shared" si="318"/>
        <v>Dado para esgotar:  rede.urbana.esgoto  Deve ser formatado como (xsd:boolean)</v>
      </c>
      <c r="W742" s="5" t="s">
        <v>5568</v>
      </c>
      <c r="X742" s="24" t="str">
        <f t="shared" si="319"/>
        <v>esgot.109</v>
      </c>
      <c r="Y742" s="24" t="str">
        <f t="shared" si="320"/>
        <v>Ação de esgotar</v>
      </c>
      <c r="Z742" s="47" t="s">
        <v>1462</v>
      </c>
      <c r="AA742" s="25" t="str">
        <f t="shared" si="303"/>
        <v>categoria.revit</v>
      </c>
      <c r="AB742" s="26" t="s">
        <v>3491</v>
      </c>
      <c r="AC742" s="25" t="str">
        <f t="shared" si="304"/>
        <v>classe.ifc</v>
      </c>
      <c r="AD742" s="26" t="s">
        <v>3456</v>
      </c>
      <c r="AE742" s="25" t="str">
        <f t="shared" si="305"/>
        <v>null</v>
      </c>
      <c r="AF742" s="26" t="s">
        <v>0</v>
      </c>
      <c r="AG742" s="47" t="s">
        <v>2801</v>
      </c>
    </row>
    <row r="743" spans="1:33" ht="6.9" customHeight="1" x14ac:dyDescent="0.4">
      <c r="A743" s="4">
        <f>ROW()</f>
        <v>743</v>
      </c>
      <c r="B743" s="9" t="s">
        <v>27</v>
      </c>
      <c r="C743" s="55" t="str">
        <f t="shared" si="302"/>
        <v>p.esgotar</v>
      </c>
      <c r="D743" s="6" t="str">
        <f t="shared" si="322"/>
        <v>é.rede.urbana.coletora</v>
      </c>
      <c r="E743" s="8" t="s">
        <v>28</v>
      </c>
      <c r="F743" s="42" t="str">
        <f t="shared" si="323"/>
        <v>d.esgotar</v>
      </c>
      <c r="G743" s="17" t="s">
        <v>691</v>
      </c>
      <c r="H743" s="41" t="s">
        <v>37</v>
      </c>
      <c r="I743" s="16" t="str">
        <f t="shared" si="301"/>
        <v>null</v>
      </c>
      <c r="J743" s="15" t="s">
        <v>0</v>
      </c>
      <c r="K743" s="15" t="s">
        <v>0</v>
      </c>
      <c r="L743" s="15" t="s">
        <v>0</v>
      </c>
      <c r="M743" s="15" t="s">
        <v>0</v>
      </c>
      <c r="N743" s="15" t="s">
        <v>0</v>
      </c>
      <c r="O743" s="15" t="s">
        <v>0</v>
      </c>
      <c r="P743" s="15" t="s">
        <v>0</v>
      </c>
      <c r="Q743" s="15" t="s">
        <v>0</v>
      </c>
      <c r="R743" s="15" t="s">
        <v>0</v>
      </c>
      <c r="S743" s="10" t="s">
        <v>1</v>
      </c>
      <c r="T743" s="10" t="s">
        <v>32</v>
      </c>
      <c r="U743" s="5" t="str">
        <f t="shared" si="317"/>
        <v>Propriedade destinada a esgotar: é.rede.urbana.coletora</v>
      </c>
      <c r="V743" s="5" t="str">
        <f t="shared" si="318"/>
        <v>Dado para esgotar:  rede.urbana.coletora  Deve ser formatado como (xsd:boolean)</v>
      </c>
      <c r="W743" s="5" t="s">
        <v>5569</v>
      </c>
      <c r="X743" s="24" t="str">
        <f t="shared" si="319"/>
        <v>esgot.110</v>
      </c>
      <c r="Y743" s="24" t="str">
        <f t="shared" si="320"/>
        <v>Ação de esgotar</v>
      </c>
      <c r="Z743" s="47" t="s">
        <v>1463</v>
      </c>
      <c r="AA743" s="25" t="str">
        <f t="shared" si="303"/>
        <v>categoria.revit</v>
      </c>
      <c r="AB743" s="26" t="s">
        <v>3491</v>
      </c>
      <c r="AC743" s="25" t="str">
        <f t="shared" si="304"/>
        <v>classe.ifc</v>
      </c>
      <c r="AD743" s="26" t="s">
        <v>3456</v>
      </c>
      <c r="AE743" s="25" t="str">
        <f t="shared" si="305"/>
        <v>null</v>
      </c>
      <c r="AF743" s="26" t="s">
        <v>0</v>
      </c>
      <c r="AG743" s="47" t="s">
        <v>2802</v>
      </c>
    </row>
    <row r="744" spans="1:33" ht="6.9" customHeight="1" x14ac:dyDescent="0.4">
      <c r="A744" s="4">
        <f>ROW()</f>
        <v>744</v>
      </c>
      <c r="B744" s="9" t="s">
        <v>27</v>
      </c>
      <c r="C744" s="55" t="str">
        <f t="shared" si="302"/>
        <v>p.esgotar</v>
      </c>
      <c r="D744" s="6" t="str">
        <f t="shared" si="322"/>
        <v>é.rede.urbana.emissário</v>
      </c>
      <c r="E744" s="8" t="s">
        <v>28</v>
      </c>
      <c r="F744" s="42" t="str">
        <f t="shared" si="323"/>
        <v>d.esgotar</v>
      </c>
      <c r="G744" s="17" t="s">
        <v>692</v>
      </c>
      <c r="H744" s="41" t="s">
        <v>37</v>
      </c>
      <c r="I744" s="16" t="str">
        <f t="shared" si="301"/>
        <v>null</v>
      </c>
      <c r="J744" s="15" t="s">
        <v>0</v>
      </c>
      <c r="K744" s="15" t="s">
        <v>0</v>
      </c>
      <c r="L744" s="15" t="s">
        <v>0</v>
      </c>
      <c r="M744" s="15" t="s">
        <v>0</v>
      </c>
      <c r="N744" s="15" t="s">
        <v>0</v>
      </c>
      <c r="O744" s="15" t="s">
        <v>0</v>
      </c>
      <c r="P744" s="15" t="s">
        <v>0</v>
      </c>
      <c r="Q744" s="15" t="s">
        <v>0</v>
      </c>
      <c r="R744" s="15" t="s">
        <v>0</v>
      </c>
      <c r="S744" s="10" t="s">
        <v>1</v>
      </c>
      <c r="T744" s="10" t="s">
        <v>32</v>
      </c>
      <c r="U744" s="5" t="str">
        <f t="shared" si="317"/>
        <v>Propriedade destinada a esgotar: é.rede.urbana.emissário</v>
      </c>
      <c r="V744" s="5" t="str">
        <f t="shared" si="318"/>
        <v>Dado para esgotar:  rede.urbana.emissário  Deve ser formatado como (xsd:boolean)</v>
      </c>
      <c r="W744" s="5" t="s">
        <v>5570</v>
      </c>
      <c r="X744" s="24" t="str">
        <f t="shared" si="319"/>
        <v>esgot.111</v>
      </c>
      <c r="Y744" s="24" t="str">
        <f t="shared" si="320"/>
        <v>Ação de esgotar</v>
      </c>
      <c r="Z744" s="47" t="s">
        <v>1464</v>
      </c>
      <c r="AA744" s="25" t="str">
        <f t="shared" si="303"/>
        <v>categoria.revit</v>
      </c>
      <c r="AB744" s="26" t="s">
        <v>3491</v>
      </c>
      <c r="AC744" s="25" t="str">
        <f t="shared" si="304"/>
        <v>classe.ifc</v>
      </c>
      <c r="AD744" s="26" t="s">
        <v>3456</v>
      </c>
      <c r="AE744" s="25" t="str">
        <f t="shared" si="305"/>
        <v>null</v>
      </c>
      <c r="AF744" s="26" t="s">
        <v>0</v>
      </c>
      <c r="AG744" s="47" t="s">
        <v>2803</v>
      </c>
    </row>
    <row r="745" spans="1:33" ht="6.9" customHeight="1" x14ac:dyDescent="0.4">
      <c r="A745" s="4">
        <f>ROW()</f>
        <v>745</v>
      </c>
      <c r="B745" s="9" t="s">
        <v>27</v>
      </c>
      <c r="C745" s="55" t="str">
        <f t="shared" si="302"/>
        <v>p.esgotar</v>
      </c>
      <c r="D745" s="6" t="str">
        <f t="shared" si="322"/>
        <v>é.rede.urbana.pluvial</v>
      </c>
      <c r="E745" s="8" t="s">
        <v>28</v>
      </c>
      <c r="F745" s="42" t="str">
        <f>F743</f>
        <v>d.esgotar</v>
      </c>
      <c r="G745" s="17" t="s">
        <v>693</v>
      </c>
      <c r="H745" s="41" t="s">
        <v>37</v>
      </c>
      <c r="I745" s="16" t="str">
        <f t="shared" si="301"/>
        <v>null</v>
      </c>
      <c r="J745" s="15" t="s">
        <v>0</v>
      </c>
      <c r="K745" s="15" t="s">
        <v>0</v>
      </c>
      <c r="L745" s="15" t="s">
        <v>0</v>
      </c>
      <c r="M745" s="15" t="s">
        <v>0</v>
      </c>
      <c r="N745" s="15" t="s">
        <v>0</v>
      </c>
      <c r="O745" s="15" t="s">
        <v>0</v>
      </c>
      <c r="P745" s="15" t="s">
        <v>0</v>
      </c>
      <c r="Q745" s="15" t="s">
        <v>0</v>
      </c>
      <c r="R745" s="15" t="s">
        <v>0</v>
      </c>
      <c r="S745" s="10" t="s">
        <v>1</v>
      </c>
      <c r="T745" s="10" t="s">
        <v>32</v>
      </c>
      <c r="U745" s="5" t="str">
        <f t="shared" si="317"/>
        <v>Propriedade destinada a esgotar: é.rede.urbana.pluvial</v>
      </c>
      <c r="V745" s="5" t="str">
        <f t="shared" si="318"/>
        <v>Dado para esgotar:  rede.urbana.pluvial  Deve ser formatado como (xsd:boolean)</v>
      </c>
      <c r="W745" s="5" t="s">
        <v>5571</v>
      </c>
      <c r="X745" s="24" t="str">
        <f t="shared" si="319"/>
        <v>esgot.112</v>
      </c>
      <c r="Y745" s="24" t="str">
        <f t="shared" si="320"/>
        <v>Ação de esgotar</v>
      </c>
      <c r="Z745" s="47" t="s">
        <v>1465</v>
      </c>
      <c r="AA745" s="25" t="str">
        <f t="shared" si="303"/>
        <v>categoria.revit</v>
      </c>
      <c r="AB745" s="26" t="s">
        <v>3491</v>
      </c>
      <c r="AC745" s="25" t="str">
        <f t="shared" si="304"/>
        <v>classe.ifc</v>
      </c>
      <c r="AD745" s="26" t="s">
        <v>3456</v>
      </c>
      <c r="AE745" s="25" t="str">
        <f t="shared" si="305"/>
        <v>null</v>
      </c>
      <c r="AF745" s="26" t="s">
        <v>0</v>
      </c>
      <c r="AG745" s="47" t="s">
        <v>2804</v>
      </c>
    </row>
    <row r="746" spans="1:33" ht="6.9" customHeight="1" x14ac:dyDescent="0.4">
      <c r="A746" s="4">
        <f>ROW()</f>
        <v>746</v>
      </c>
      <c r="B746" s="9" t="s">
        <v>27</v>
      </c>
      <c r="C746" s="55" t="str">
        <f t="shared" si="302"/>
        <v>p.esgotar</v>
      </c>
      <c r="D746" s="6" t="str">
        <f t="shared" si="322"/>
        <v>é.a.jusante.de</v>
      </c>
      <c r="E746" s="8" t="s">
        <v>28</v>
      </c>
      <c r="F746" s="42" t="str">
        <f>F743</f>
        <v>d.esgotar</v>
      </c>
      <c r="G746" s="17" t="s">
        <v>2054</v>
      </c>
      <c r="H746" s="42" t="s">
        <v>2121</v>
      </c>
      <c r="I746" s="16" t="str">
        <f t="shared" si="301"/>
        <v>null</v>
      </c>
      <c r="J746" s="15" t="s">
        <v>0</v>
      </c>
      <c r="K746" s="15" t="s">
        <v>0</v>
      </c>
      <c r="L746" s="15" t="s">
        <v>31</v>
      </c>
      <c r="M746" s="15" t="s">
        <v>0</v>
      </c>
      <c r="N746" s="13" t="s">
        <v>270</v>
      </c>
      <c r="O746" s="15" t="s">
        <v>0</v>
      </c>
      <c r="P746" s="15" t="s">
        <v>0</v>
      </c>
      <c r="Q746" s="15" t="s">
        <v>2059</v>
      </c>
      <c r="R746" s="15" t="s">
        <v>0</v>
      </c>
      <c r="S746" s="10" t="s">
        <v>1</v>
      </c>
      <c r="T746" s="10" t="s">
        <v>32</v>
      </c>
      <c r="U746" s="5" t="str">
        <f t="shared" si="317"/>
        <v>Propriedade destinada a esgotar: é.a.jusante.de</v>
      </c>
      <c r="V746" s="5" t="str">
        <f t="shared" si="318"/>
        <v>Dado para esgotar:  a.jusante.de  Deve ser formatado como (rdfs:Literal  or  xsd:string)</v>
      </c>
      <c r="W746" s="5" t="s">
        <v>5572</v>
      </c>
      <c r="X746" s="24" t="str">
        <f t="shared" si="319"/>
        <v>esgot.113</v>
      </c>
      <c r="Y746" s="24" t="str">
        <f t="shared" si="320"/>
        <v>Ação de esgotar</v>
      </c>
      <c r="Z746" s="47" t="s">
        <v>2056</v>
      </c>
      <c r="AA746" s="25" t="str">
        <f t="shared" si="303"/>
        <v>null</v>
      </c>
      <c r="AB746" s="26" t="s">
        <v>0</v>
      </c>
      <c r="AC746" s="25" t="str">
        <f t="shared" si="304"/>
        <v>null</v>
      </c>
      <c r="AD746" s="26" t="s">
        <v>0</v>
      </c>
      <c r="AE746" s="25" t="str">
        <f t="shared" si="305"/>
        <v>null</v>
      </c>
      <c r="AF746" s="26" t="s">
        <v>0</v>
      </c>
      <c r="AG746" s="47" t="s">
        <v>2805</v>
      </c>
    </row>
    <row r="747" spans="1:33" ht="6.9" customHeight="1" x14ac:dyDescent="0.4">
      <c r="A747" s="4">
        <f>ROW()</f>
        <v>747</v>
      </c>
      <c r="B747" s="9" t="s">
        <v>27</v>
      </c>
      <c r="C747" s="55" t="str">
        <f t="shared" si="302"/>
        <v>p.esgotar</v>
      </c>
      <c r="D747" s="6" t="str">
        <f t="shared" si="322"/>
        <v>é.a.montante.de</v>
      </c>
      <c r="E747" s="8" t="s">
        <v>28</v>
      </c>
      <c r="F747" s="42" t="str">
        <f>F744</f>
        <v>d.esgotar</v>
      </c>
      <c r="G747" s="17" t="s">
        <v>2055</v>
      </c>
      <c r="H747" s="42" t="s">
        <v>2121</v>
      </c>
      <c r="I747" s="16" t="str">
        <f t="shared" ref="I747:I813" si="324">J747</f>
        <v>null</v>
      </c>
      <c r="J747" s="15" t="s">
        <v>0</v>
      </c>
      <c r="K747" s="15" t="s">
        <v>0</v>
      </c>
      <c r="L747" s="15" t="s">
        <v>31</v>
      </c>
      <c r="M747" s="15" t="s">
        <v>0</v>
      </c>
      <c r="N747" s="13" t="s">
        <v>270</v>
      </c>
      <c r="O747" s="15" t="s">
        <v>0</v>
      </c>
      <c r="P747" s="15" t="s">
        <v>0</v>
      </c>
      <c r="Q747" s="15" t="s">
        <v>2058</v>
      </c>
      <c r="R747" s="15" t="s">
        <v>0</v>
      </c>
      <c r="S747" s="10" t="s">
        <v>1</v>
      </c>
      <c r="T747" s="10" t="s">
        <v>32</v>
      </c>
      <c r="U747" s="5" t="str">
        <f t="shared" si="317"/>
        <v>Propriedade destinada a esgotar: é.a.montante.de</v>
      </c>
      <c r="V747" s="5" t="str">
        <f t="shared" si="318"/>
        <v>Dado para esgotar:  a.montante.de  Deve ser formatado como (rdfs:Literal  or  xsd:string)</v>
      </c>
      <c r="W747" s="5" t="s">
        <v>5573</v>
      </c>
      <c r="X747" s="24" t="str">
        <f t="shared" si="319"/>
        <v>esgot.114</v>
      </c>
      <c r="Y747" s="24" t="str">
        <f t="shared" si="320"/>
        <v>Ação de esgotar</v>
      </c>
      <c r="Z747" s="47" t="s">
        <v>2057</v>
      </c>
      <c r="AA747" s="25" t="str">
        <f t="shared" si="303"/>
        <v>null</v>
      </c>
      <c r="AB747" s="26" t="s">
        <v>0</v>
      </c>
      <c r="AC747" s="25" t="str">
        <f t="shared" si="304"/>
        <v>null</v>
      </c>
      <c r="AD747" s="26" t="s">
        <v>0</v>
      </c>
      <c r="AE747" s="25" t="str">
        <f t="shared" si="305"/>
        <v>null</v>
      </c>
      <c r="AF747" s="26" t="s">
        <v>0</v>
      </c>
      <c r="AG747" s="47" t="s">
        <v>2806</v>
      </c>
    </row>
    <row r="748" spans="1:33" ht="6.9" customHeight="1" x14ac:dyDescent="0.4">
      <c r="A748" s="4">
        <f>ROW()</f>
        <v>748</v>
      </c>
      <c r="B748" s="9" t="s">
        <v>27</v>
      </c>
      <c r="C748" s="54" t="str">
        <f t="shared" si="302"/>
        <v>p.estimar</v>
      </c>
      <c r="D748" s="6" t="str">
        <f t="shared" si="322"/>
        <v>é.quantidade.de.sanitários</v>
      </c>
      <c r="E748" s="8" t="s">
        <v>28</v>
      </c>
      <c r="F748" s="51" t="s">
        <v>6914</v>
      </c>
      <c r="G748" s="17" t="s">
        <v>6920</v>
      </c>
      <c r="H748" s="42" t="s">
        <v>2121</v>
      </c>
      <c r="I748" s="16" t="str">
        <f t="shared" ref="I748:I751" si="325">J748</f>
        <v>null</v>
      </c>
      <c r="J748" s="15" t="s">
        <v>0</v>
      </c>
      <c r="K748" s="15" t="s">
        <v>0</v>
      </c>
      <c r="L748" s="15" t="s">
        <v>0</v>
      </c>
      <c r="M748" s="15" t="s">
        <v>0</v>
      </c>
      <c r="N748" s="15" t="s">
        <v>0</v>
      </c>
      <c r="O748" s="15" t="s">
        <v>0</v>
      </c>
      <c r="P748" s="15" t="s">
        <v>0</v>
      </c>
      <c r="Q748" s="15" t="s">
        <v>0</v>
      </c>
      <c r="R748" s="15" t="s">
        <v>0</v>
      </c>
      <c r="S748" s="10" t="s">
        <v>1</v>
      </c>
      <c r="T748" s="10" t="s">
        <v>32</v>
      </c>
      <c r="U748" s="5" t="str">
        <f t="shared" si="317"/>
        <v>Propriedade destinada a estimar: é.quantidade.de.sanitários</v>
      </c>
      <c r="V748" s="5" t="str">
        <f t="shared" si="318"/>
        <v>Dado para estimar:  quantidade.de.sanitários  Deve ser formatado como (rdfs:Literal  or  xsd:string)</v>
      </c>
      <c r="W748" s="5" t="s">
        <v>6916</v>
      </c>
      <c r="X748" s="24" t="str">
        <f t="shared" si="319"/>
        <v>estim.100</v>
      </c>
      <c r="Y748" s="24" t="str">
        <f t="shared" si="320"/>
        <v>Ação de estimar</v>
      </c>
      <c r="Z748" s="47" t="s">
        <v>6919</v>
      </c>
      <c r="AA748" s="25" t="str">
        <f t="shared" si="303"/>
        <v>null</v>
      </c>
      <c r="AB748" s="26" t="s">
        <v>0</v>
      </c>
      <c r="AC748" s="25" t="str">
        <f t="shared" si="304"/>
        <v>null</v>
      </c>
      <c r="AD748" s="26" t="s">
        <v>0</v>
      </c>
      <c r="AE748" s="25" t="str">
        <f t="shared" si="305"/>
        <v>null</v>
      </c>
      <c r="AF748" s="26" t="s">
        <v>0</v>
      </c>
      <c r="AG748" s="47" t="s">
        <v>6927</v>
      </c>
    </row>
    <row r="749" spans="1:33" ht="6.9" customHeight="1" x14ac:dyDescent="0.4">
      <c r="A749" s="4">
        <f>ROW()</f>
        <v>749</v>
      </c>
      <c r="B749" s="9" t="s">
        <v>27</v>
      </c>
      <c r="C749" s="55" t="str">
        <f t="shared" ref="C749:C750" si="326">SUBSTITUTE(F749,"d.","p.")</f>
        <v>p.estimar</v>
      </c>
      <c r="D749" s="6" t="str">
        <f t="shared" si="322"/>
        <v>é.quantidade.de.vagas</v>
      </c>
      <c r="E749" s="8" t="s">
        <v>28</v>
      </c>
      <c r="F749" s="42" t="str">
        <f>F748</f>
        <v>d.estimar</v>
      </c>
      <c r="G749" s="17" t="s">
        <v>6915</v>
      </c>
      <c r="H749" s="42" t="s">
        <v>2121</v>
      </c>
      <c r="I749" s="16" t="str">
        <f t="shared" ref="I749:I750" si="327">J749</f>
        <v>null</v>
      </c>
      <c r="J749" s="15" t="s">
        <v>0</v>
      </c>
      <c r="K749" s="15" t="s">
        <v>0</v>
      </c>
      <c r="L749" s="15" t="s">
        <v>0</v>
      </c>
      <c r="M749" s="15" t="s">
        <v>0</v>
      </c>
      <c r="N749" s="15" t="s">
        <v>0</v>
      </c>
      <c r="O749" s="15" t="s">
        <v>0</v>
      </c>
      <c r="P749" s="15" t="s">
        <v>0</v>
      </c>
      <c r="Q749" s="15" t="s">
        <v>0</v>
      </c>
      <c r="R749" s="15" t="s">
        <v>0</v>
      </c>
      <c r="S749" s="10" t="s">
        <v>1</v>
      </c>
      <c r="T749" s="10" t="s">
        <v>32</v>
      </c>
      <c r="U749" s="5" t="str">
        <f t="shared" si="317"/>
        <v>Propriedade destinada a estimar: é.quantidade.de.vagas</v>
      </c>
      <c r="V749" s="5" t="str">
        <f t="shared" si="318"/>
        <v>Dado para estimar:  quantidade.de.vagas  Deve ser formatado como (rdfs:Literal  or  xsd:string)</v>
      </c>
      <c r="W749" s="5" t="s">
        <v>6917</v>
      </c>
      <c r="X749" s="24" t="str">
        <f t="shared" si="319"/>
        <v>estim.101</v>
      </c>
      <c r="Y749" s="24" t="str">
        <f t="shared" si="320"/>
        <v>Ação de estimar</v>
      </c>
      <c r="Z749" s="47" t="s">
        <v>6918</v>
      </c>
      <c r="AA749" s="25" t="str">
        <f t="shared" ref="AA749:AA750" si="328">IF(AB749="null", "null", "categoria.revit")</f>
        <v>null</v>
      </c>
      <c r="AB749" s="26" t="s">
        <v>0</v>
      </c>
      <c r="AC749" s="25" t="str">
        <f t="shared" ref="AC749:AC750" si="329">IF(AD749="null", "null", "classe.ifc")</f>
        <v>null</v>
      </c>
      <c r="AD749" s="26" t="s">
        <v>0</v>
      </c>
      <c r="AE749" s="25" t="str">
        <f t="shared" si="305"/>
        <v>null</v>
      </c>
      <c r="AF749" s="26" t="s">
        <v>0</v>
      </c>
      <c r="AG749" s="47" t="s">
        <v>6928</v>
      </c>
    </row>
    <row r="750" spans="1:33" ht="6.9" customHeight="1" x14ac:dyDescent="0.4">
      <c r="A750" s="4">
        <f>ROW()</f>
        <v>750</v>
      </c>
      <c r="B750" s="9" t="s">
        <v>27</v>
      </c>
      <c r="C750" s="55" t="str">
        <f t="shared" si="326"/>
        <v>p.estimar</v>
      </c>
      <c r="D750" s="6" t="str">
        <f t="shared" si="322"/>
        <v>é.quantidade.de.cadeiras</v>
      </c>
      <c r="E750" s="8" t="s">
        <v>28</v>
      </c>
      <c r="F750" s="42" t="str">
        <f t="shared" ref="F750:F751" si="330">F749</f>
        <v>d.estimar</v>
      </c>
      <c r="G750" s="17" t="s">
        <v>6922</v>
      </c>
      <c r="H750" s="42" t="s">
        <v>2121</v>
      </c>
      <c r="I750" s="16" t="str">
        <f t="shared" si="327"/>
        <v>null</v>
      </c>
      <c r="J750" s="15" t="s">
        <v>0</v>
      </c>
      <c r="K750" s="15" t="s">
        <v>0</v>
      </c>
      <c r="L750" s="15" t="s">
        <v>0</v>
      </c>
      <c r="M750" s="15" t="s">
        <v>0</v>
      </c>
      <c r="N750" s="15" t="s">
        <v>0</v>
      </c>
      <c r="O750" s="15" t="s">
        <v>0</v>
      </c>
      <c r="P750" s="15" t="s">
        <v>0</v>
      </c>
      <c r="Q750" s="15" t="s">
        <v>0</v>
      </c>
      <c r="R750" s="15" t="s">
        <v>0</v>
      </c>
      <c r="S750" s="10" t="s">
        <v>1</v>
      </c>
      <c r="T750" s="10" t="s">
        <v>32</v>
      </c>
      <c r="U750" s="5" t="str">
        <f t="shared" si="317"/>
        <v>Propriedade destinada a estimar: é.quantidade.de.cadeiras</v>
      </c>
      <c r="V750" s="5" t="str">
        <f t="shared" si="318"/>
        <v>Dado para estimar:  quantidade.de.cadeiras  Deve ser formatado como (rdfs:Literal  or  xsd:string)</v>
      </c>
      <c r="W750" s="5" t="s">
        <v>6924</v>
      </c>
      <c r="X750" s="24" t="str">
        <f t="shared" si="319"/>
        <v>estim.102</v>
      </c>
      <c r="Y750" s="24" t="str">
        <f t="shared" si="320"/>
        <v>Ação de estimar</v>
      </c>
      <c r="Z750" s="47" t="s">
        <v>6926</v>
      </c>
      <c r="AA750" s="25" t="str">
        <f t="shared" si="328"/>
        <v>null</v>
      </c>
      <c r="AB750" s="26" t="s">
        <v>0</v>
      </c>
      <c r="AC750" s="25" t="str">
        <f t="shared" si="329"/>
        <v>null</v>
      </c>
      <c r="AD750" s="26" t="s">
        <v>0</v>
      </c>
      <c r="AE750" s="25" t="str">
        <f t="shared" si="305"/>
        <v>null</v>
      </c>
      <c r="AF750" s="26" t="s">
        <v>0</v>
      </c>
      <c r="AG750" s="47" t="s">
        <v>6929</v>
      </c>
    </row>
    <row r="751" spans="1:33" ht="6.9" customHeight="1" x14ac:dyDescent="0.4">
      <c r="A751" s="4">
        <f>ROW()</f>
        <v>751</v>
      </c>
      <c r="B751" s="9" t="s">
        <v>27</v>
      </c>
      <c r="C751" s="55" t="str">
        <f t="shared" si="302"/>
        <v>p.estimar</v>
      </c>
      <c r="D751" s="6" t="str">
        <f t="shared" si="322"/>
        <v>é.quantidade.de.leitos</v>
      </c>
      <c r="E751" s="8" t="s">
        <v>28</v>
      </c>
      <c r="F751" s="42" t="str">
        <f t="shared" si="330"/>
        <v>d.estimar</v>
      </c>
      <c r="G751" s="17" t="s">
        <v>6921</v>
      </c>
      <c r="H751" s="42" t="s">
        <v>2121</v>
      </c>
      <c r="I751" s="16" t="str">
        <f t="shared" si="325"/>
        <v>null</v>
      </c>
      <c r="J751" s="15" t="s">
        <v>0</v>
      </c>
      <c r="K751" s="15" t="s">
        <v>0</v>
      </c>
      <c r="L751" s="15" t="s">
        <v>0</v>
      </c>
      <c r="M751" s="15" t="s">
        <v>0</v>
      </c>
      <c r="N751" s="15" t="s">
        <v>0</v>
      </c>
      <c r="O751" s="15" t="s">
        <v>0</v>
      </c>
      <c r="P751" s="15" t="s">
        <v>0</v>
      </c>
      <c r="Q751" s="15" t="s">
        <v>0</v>
      </c>
      <c r="R751" s="15" t="s">
        <v>0</v>
      </c>
      <c r="S751" s="10" t="s">
        <v>1</v>
      </c>
      <c r="T751" s="10" t="s">
        <v>32</v>
      </c>
      <c r="U751" s="5" t="str">
        <f t="shared" si="317"/>
        <v>Propriedade destinada a estimar: é.quantidade.de.leitos</v>
      </c>
      <c r="V751" s="5" t="str">
        <f t="shared" si="318"/>
        <v>Dado para estimar:  quantidade.de.leitos  Deve ser formatado como (rdfs:Literal  or  xsd:string)</v>
      </c>
      <c r="W751" s="5" t="s">
        <v>6923</v>
      </c>
      <c r="X751" s="24" t="str">
        <f t="shared" si="319"/>
        <v>estim.103</v>
      </c>
      <c r="Y751" s="24" t="str">
        <f t="shared" si="320"/>
        <v>Ação de estimar</v>
      </c>
      <c r="Z751" s="47" t="s">
        <v>6925</v>
      </c>
      <c r="AA751" s="25" t="str">
        <f t="shared" si="303"/>
        <v>null</v>
      </c>
      <c r="AB751" s="26" t="s">
        <v>0</v>
      </c>
      <c r="AC751" s="25" t="str">
        <f t="shared" si="304"/>
        <v>null</v>
      </c>
      <c r="AD751" s="26" t="s">
        <v>0</v>
      </c>
      <c r="AE751" s="25" t="str">
        <f t="shared" si="305"/>
        <v>null</v>
      </c>
      <c r="AF751" s="26" t="s">
        <v>0</v>
      </c>
      <c r="AG751" s="47" t="s">
        <v>6930</v>
      </c>
    </row>
    <row r="752" spans="1:33" ht="6.9" customHeight="1" x14ac:dyDescent="0.4">
      <c r="A752" s="4">
        <f>ROW()</f>
        <v>752</v>
      </c>
      <c r="B752" s="9" t="s">
        <v>27</v>
      </c>
      <c r="C752" s="54" t="str">
        <f t="shared" ref="C752:C825" si="331">SUBSTITUTE(F752,"d.","p.")</f>
        <v>p.executar</v>
      </c>
      <c r="D752" s="6" t="str">
        <f t="shared" si="322"/>
        <v>é.função.lisp</v>
      </c>
      <c r="E752" s="8" t="s">
        <v>28</v>
      </c>
      <c r="F752" s="51" t="s">
        <v>714</v>
      </c>
      <c r="G752" s="17" t="s">
        <v>715</v>
      </c>
      <c r="H752" s="42" t="s">
        <v>2121</v>
      </c>
      <c r="I752" s="16" t="str">
        <f t="shared" si="324"/>
        <v>null</v>
      </c>
      <c r="J752" s="15" t="s">
        <v>0</v>
      </c>
      <c r="K752" s="15" t="s">
        <v>0</v>
      </c>
      <c r="L752" s="15" t="s">
        <v>0</v>
      </c>
      <c r="M752" s="15" t="s">
        <v>0</v>
      </c>
      <c r="N752" s="15" t="s">
        <v>0</v>
      </c>
      <c r="O752" s="15" t="s">
        <v>0</v>
      </c>
      <c r="P752" s="15" t="s">
        <v>0</v>
      </c>
      <c r="Q752" s="15" t="s">
        <v>0</v>
      </c>
      <c r="R752" s="15" t="s">
        <v>0</v>
      </c>
      <c r="S752" s="10" t="s">
        <v>1</v>
      </c>
      <c r="T752" s="10" t="s">
        <v>32</v>
      </c>
      <c r="U752" s="5" t="str">
        <f t="shared" si="317"/>
        <v>Propriedade destinada a executar: é.função.lisp</v>
      </c>
      <c r="V752" s="5" t="str">
        <f t="shared" si="318"/>
        <v>Dado para executar:  função.lisp  Deve ser formatado como (rdfs:Literal  or  xsd:string)</v>
      </c>
      <c r="W752" s="5" t="s">
        <v>5574</v>
      </c>
      <c r="X752" s="24" t="str">
        <f t="shared" si="319"/>
        <v>execu.100</v>
      </c>
      <c r="Y752" s="24" t="str">
        <f t="shared" si="320"/>
        <v>Ação de executar</v>
      </c>
      <c r="Z752" s="47" t="s">
        <v>1478</v>
      </c>
      <c r="AA752" s="25" t="str">
        <f t="shared" ref="AA752:AA835" si="332">IF(AB752="null", "null", "categoria.revit")</f>
        <v>null</v>
      </c>
      <c r="AB752" s="26" t="s">
        <v>0</v>
      </c>
      <c r="AC752" s="25" t="str">
        <f t="shared" ref="AC752:AC835" si="333">IF(AD752="null", "null", "classe.ifc")</f>
        <v>null</v>
      </c>
      <c r="AD752" s="26" t="s">
        <v>0</v>
      </c>
      <c r="AE752" s="25" t="str">
        <f t="shared" si="305"/>
        <v>null</v>
      </c>
      <c r="AF752" s="26" t="s">
        <v>0</v>
      </c>
      <c r="AG752" s="47" t="s">
        <v>2808</v>
      </c>
    </row>
    <row r="753" spans="1:33" ht="6.9" customHeight="1" x14ac:dyDescent="0.4">
      <c r="A753" s="4">
        <f>ROW()</f>
        <v>753</v>
      </c>
      <c r="B753" s="9" t="s">
        <v>27</v>
      </c>
      <c r="C753" s="55" t="str">
        <f t="shared" si="331"/>
        <v>p.executar</v>
      </c>
      <c r="D753" s="6" t="str">
        <f t="shared" si="322"/>
        <v>é.método.lisp</v>
      </c>
      <c r="E753" s="8" t="s">
        <v>28</v>
      </c>
      <c r="F753" s="42" t="str">
        <f t="shared" ref="F753:F763" si="334">F752</f>
        <v>d.executar</v>
      </c>
      <c r="G753" s="17" t="s">
        <v>716</v>
      </c>
      <c r="H753" s="42" t="s">
        <v>2121</v>
      </c>
      <c r="I753" s="16" t="str">
        <f t="shared" si="324"/>
        <v>null</v>
      </c>
      <c r="J753" s="15" t="s">
        <v>0</v>
      </c>
      <c r="K753" s="15" t="s">
        <v>0</v>
      </c>
      <c r="L753" s="15" t="s">
        <v>0</v>
      </c>
      <c r="M753" s="15" t="s">
        <v>0</v>
      </c>
      <c r="N753" s="15" t="s">
        <v>0</v>
      </c>
      <c r="O753" s="15" t="s">
        <v>0</v>
      </c>
      <c r="P753" s="15" t="s">
        <v>0</v>
      </c>
      <c r="Q753" s="15" t="s">
        <v>0</v>
      </c>
      <c r="R753" s="15" t="s">
        <v>0</v>
      </c>
      <c r="S753" s="10" t="s">
        <v>1</v>
      </c>
      <c r="T753" s="10" t="s">
        <v>32</v>
      </c>
      <c r="U753" s="5" t="str">
        <f t="shared" si="317"/>
        <v>Propriedade destinada a executar: é.método.lisp</v>
      </c>
      <c r="V753" s="5" t="str">
        <f t="shared" si="318"/>
        <v>Dado para executar:  método.lisp  Deve ser formatado como (rdfs:Literal  or  xsd:string)</v>
      </c>
      <c r="W753" s="5" t="s">
        <v>5575</v>
      </c>
      <c r="X753" s="24" t="str">
        <f t="shared" si="319"/>
        <v>execu.101</v>
      </c>
      <c r="Y753" s="24" t="str">
        <f t="shared" si="320"/>
        <v>Ação de executar</v>
      </c>
      <c r="Z753" s="47" t="s">
        <v>1479</v>
      </c>
      <c r="AA753" s="25" t="str">
        <f t="shared" si="332"/>
        <v>null</v>
      </c>
      <c r="AB753" s="26" t="s">
        <v>0</v>
      </c>
      <c r="AC753" s="25" t="str">
        <f t="shared" si="333"/>
        <v>null</v>
      </c>
      <c r="AD753" s="26" t="s">
        <v>0</v>
      </c>
      <c r="AE753" s="25" t="str">
        <f t="shared" si="305"/>
        <v>null</v>
      </c>
      <c r="AF753" s="26" t="s">
        <v>0</v>
      </c>
      <c r="AG753" s="47" t="s">
        <v>2809</v>
      </c>
    </row>
    <row r="754" spans="1:33" ht="6.9" customHeight="1" x14ac:dyDescent="0.4">
      <c r="A754" s="4">
        <f>ROW()</f>
        <v>754</v>
      </c>
      <c r="B754" s="9" t="s">
        <v>27</v>
      </c>
      <c r="C754" s="55" t="str">
        <f t="shared" si="331"/>
        <v>p.executar</v>
      </c>
      <c r="D754" s="6" t="str">
        <f t="shared" si="322"/>
        <v>é.método</v>
      </c>
      <c r="E754" s="8" t="s">
        <v>28</v>
      </c>
      <c r="F754" s="42" t="str">
        <f t="shared" si="334"/>
        <v>d.executar</v>
      </c>
      <c r="G754" s="17" t="s">
        <v>413</v>
      </c>
      <c r="H754" s="42" t="s">
        <v>2121</v>
      </c>
      <c r="I754" s="16" t="str">
        <f t="shared" si="324"/>
        <v>null</v>
      </c>
      <c r="J754" s="15" t="s">
        <v>0</v>
      </c>
      <c r="K754" s="15" t="s">
        <v>0</v>
      </c>
      <c r="L754" s="15" t="s">
        <v>0</v>
      </c>
      <c r="M754" s="15" t="s">
        <v>0</v>
      </c>
      <c r="N754" s="15" t="s">
        <v>0</v>
      </c>
      <c r="O754" s="15" t="s">
        <v>0</v>
      </c>
      <c r="P754" s="15" t="s">
        <v>0</v>
      </c>
      <c r="Q754" s="15" t="s">
        <v>0</v>
      </c>
      <c r="R754" s="15" t="s">
        <v>0</v>
      </c>
      <c r="S754" s="10" t="s">
        <v>1</v>
      </c>
      <c r="T754" s="10" t="s">
        <v>32</v>
      </c>
      <c r="U754" s="5" t="str">
        <f t="shared" si="317"/>
        <v>Propriedade destinada a executar: é.método</v>
      </c>
      <c r="V754" s="5" t="str">
        <f t="shared" si="318"/>
        <v>Dado para executar:  método  Deve ser formatado como (rdfs:Literal  or  xsd:string)</v>
      </c>
      <c r="W754" s="5" t="s">
        <v>5576</v>
      </c>
      <c r="X754" s="24" t="str">
        <f t="shared" si="319"/>
        <v>execu.102</v>
      </c>
      <c r="Y754" s="24" t="str">
        <f t="shared" si="320"/>
        <v>Ação de executar</v>
      </c>
      <c r="Z754" s="47" t="s">
        <v>1480</v>
      </c>
      <c r="AA754" s="25" t="str">
        <f t="shared" si="332"/>
        <v>null</v>
      </c>
      <c r="AB754" s="26" t="s">
        <v>0</v>
      </c>
      <c r="AC754" s="25" t="str">
        <f t="shared" si="333"/>
        <v>null</v>
      </c>
      <c r="AD754" s="26" t="s">
        <v>0</v>
      </c>
      <c r="AE754" s="25" t="str">
        <f t="shared" si="305"/>
        <v>null</v>
      </c>
      <c r="AF754" s="26" t="s">
        <v>0</v>
      </c>
      <c r="AG754" s="47" t="s">
        <v>2810</v>
      </c>
    </row>
    <row r="755" spans="1:33" ht="6.9" customHeight="1" x14ac:dyDescent="0.4">
      <c r="A755" s="4">
        <f>ROW()</f>
        <v>755</v>
      </c>
      <c r="B755" s="9" t="s">
        <v>27</v>
      </c>
      <c r="C755" s="55" t="str">
        <f t="shared" si="331"/>
        <v>p.executar</v>
      </c>
      <c r="D755" s="6" t="str">
        <f t="shared" si="322"/>
        <v>é.método.estático</v>
      </c>
      <c r="E755" s="8" t="s">
        <v>28</v>
      </c>
      <c r="F755" s="42" t="str">
        <f t="shared" si="334"/>
        <v>d.executar</v>
      </c>
      <c r="G755" s="17" t="s">
        <v>717</v>
      </c>
      <c r="H755" s="42" t="s">
        <v>2121</v>
      </c>
      <c r="I755" s="16" t="str">
        <f t="shared" si="324"/>
        <v>null</v>
      </c>
      <c r="J755" s="15" t="s">
        <v>0</v>
      </c>
      <c r="K755" s="15" t="s">
        <v>0</v>
      </c>
      <c r="L755" s="15" t="s">
        <v>0</v>
      </c>
      <c r="M755" s="15" t="s">
        <v>0</v>
      </c>
      <c r="N755" s="15" t="s">
        <v>0</v>
      </c>
      <c r="O755" s="15" t="s">
        <v>0</v>
      </c>
      <c r="P755" s="15" t="s">
        <v>0</v>
      </c>
      <c r="Q755" s="15" t="s">
        <v>0</v>
      </c>
      <c r="R755" s="15" t="s">
        <v>0</v>
      </c>
      <c r="S755" s="10" t="s">
        <v>1</v>
      </c>
      <c r="T755" s="10" t="s">
        <v>32</v>
      </c>
      <c r="U755" s="5" t="str">
        <f t="shared" si="317"/>
        <v>Propriedade destinada a executar: é.método.estático</v>
      </c>
      <c r="V755" s="5" t="str">
        <f t="shared" si="318"/>
        <v>Dado para executar:  método.estático  Deve ser formatado como (rdfs:Literal  or  xsd:string)</v>
      </c>
      <c r="W755" s="5" t="s">
        <v>5577</v>
      </c>
      <c r="X755" s="24" t="str">
        <f t="shared" si="319"/>
        <v>execu.103</v>
      </c>
      <c r="Y755" s="24" t="str">
        <f t="shared" si="320"/>
        <v>Ação de executar</v>
      </c>
      <c r="Z755" s="47" t="s">
        <v>1481</v>
      </c>
      <c r="AA755" s="25" t="str">
        <f t="shared" si="332"/>
        <v>null</v>
      </c>
      <c r="AB755" s="26" t="s">
        <v>0</v>
      </c>
      <c r="AC755" s="25" t="str">
        <f t="shared" si="333"/>
        <v>null</v>
      </c>
      <c r="AD755" s="26" t="s">
        <v>0</v>
      </c>
      <c r="AE755" s="25" t="str">
        <f t="shared" ref="AE755:AE838" si="335">IF(AF755="null", "null", "propriedade")</f>
        <v>null</v>
      </c>
      <c r="AF755" s="26" t="s">
        <v>0</v>
      </c>
      <c r="AG755" s="47" t="s">
        <v>2811</v>
      </c>
    </row>
    <row r="756" spans="1:33" ht="6.9" customHeight="1" x14ac:dyDescent="0.4">
      <c r="A756" s="4">
        <f>ROW()</f>
        <v>756</v>
      </c>
      <c r="B756" s="9" t="s">
        <v>27</v>
      </c>
      <c r="C756" s="55" t="str">
        <f t="shared" si="331"/>
        <v>p.executar</v>
      </c>
      <c r="D756" s="6" t="str">
        <f t="shared" si="322"/>
        <v>é.macro</v>
      </c>
      <c r="E756" s="8" t="s">
        <v>28</v>
      </c>
      <c r="F756" s="42" t="str">
        <f t="shared" si="334"/>
        <v>d.executar</v>
      </c>
      <c r="G756" s="17" t="s">
        <v>416</v>
      </c>
      <c r="H756" s="42" t="s">
        <v>2121</v>
      </c>
      <c r="I756" s="16" t="str">
        <f t="shared" si="324"/>
        <v>null</v>
      </c>
      <c r="J756" s="15" t="s">
        <v>0</v>
      </c>
      <c r="K756" s="15" t="s">
        <v>0</v>
      </c>
      <c r="L756" s="15" t="s">
        <v>0</v>
      </c>
      <c r="M756" s="15" t="s">
        <v>0</v>
      </c>
      <c r="N756" s="15" t="s">
        <v>0</v>
      </c>
      <c r="O756" s="15" t="s">
        <v>0</v>
      </c>
      <c r="P756" s="15" t="s">
        <v>0</v>
      </c>
      <c r="Q756" s="15" t="s">
        <v>0</v>
      </c>
      <c r="R756" s="15" t="s">
        <v>0</v>
      </c>
      <c r="S756" s="10" t="s">
        <v>1</v>
      </c>
      <c r="T756" s="10" t="s">
        <v>32</v>
      </c>
      <c r="U756" s="5" t="str">
        <f t="shared" si="317"/>
        <v>Propriedade destinada a executar: é.macro</v>
      </c>
      <c r="V756" s="5" t="str">
        <f t="shared" si="318"/>
        <v>Dado para executar:  macro  Deve ser formatado como (rdfs:Literal  or  xsd:string)</v>
      </c>
      <c r="W756" s="5" t="s">
        <v>5578</v>
      </c>
      <c r="X756" s="24" t="str">
        <f t="shared" si="319"/>
        <v>execu.104</v>
      </c>
      <c r="Y756" s="24" t="str">
        <f t="shared" si="320"/>
        <v>Ação de executar</v>
      </c>
      <c r="Z756" s="47" t="s">
        <v>1482</v>
      </c>
      <c r="AA756" s="25" t="str">
        <f t="shared" si="332"/>
        <v>null</v>
      </c>
      <c r="AB756" s="26" t="s">
        <v>0</v>
      </c>
      <c r="AC756" s="25" t="str">
        <f t="shared" si="333"/>
        <v>null</v>
      </c>
      <c r="AD756" s="26" t="s">
        <v>0</v>
      </c>
      <c r="AE756" s="25" t="str">
        <f t="shared" si="335"/>
        <v>null</v>
      </c>
      <c r="AF756" s="26" t="s">
        <v>0</v>
      </c>
      <c r="AG756" s="47" t="s">
        <v>2812</v>
      </c>
    </row>
    <row r="757" spans="1:33" ht="6.9" customHeight="1" x14ac:dyDescent="0.4">
      <c r="A757" s="4">
        <f>ROW()</f>
        <v>757</v>
      </c>
      <c r="B757" s="9" t="s">
        <v>27</v>
      </c>
      <c r="C757" s="55" t="str">
        <f t="shared" si="331"/>
        <v>p.executar</v>
      </c>
      <c r="D757" s="6" t="str">
        <f t="shared" si="322"/>
        <v>é.script</v>
      </c>
      <c r="E757" s="8" t="s">
        <v>28</v>
      </c>
      <c r="F757" s="42" t="str">
        <f t="shared" si="334"/>
        <v>d.executar</v>
      </c>
      <c r="G757" s="17" t="s">
        <v>417</v>
      </c>
      <c r="H757" s="42" t="s">
        <v>2121</v>
      </c>
      <c r="I757" s="16" t="str">
        <f t="shared" si="324"/>
        <v>null</v>
      </c>
      <c r="J757" s="15" t="s">
        <v>0</v>
      </c>
      <c r="K757" s="15" t="s">
        <v>0</v>
      </c>
      <c r="L757" s="15" t="s">
        <v>0</v>
      </c>
      <c r="M757" s="15" t="s">
        <v>0</v>
      </c>
      <c r="N757" s="15" t="s">
        <v>0</v>
      </c>
      <c r="O757" s="15" t="s">
        <v>0</v>
      </c>
      <c r="P757" s="15" t="s">
        <v>0</v>
      </c>
      <c r="Q757" s="15" t="s">
        <v>0</v>
      </c>
      <c r="R757" s="15" t="s">
        <v>0</v>
      </c>
      <c r="S757" s="10" t="s">
        <v>1</v>
      </c>
      <c r="T757" s="10" t="s">
        <v>32</v>
      </c>
      <c r="U757" s="5" t="str">
        <f t="shared" si="317"/>
        <v>Propriedade destinada a executar: é.script</v>
      </c>
      <c r="V757" s="5" t="str">
        <f t="shared" si="318"/>
        <v>Dado para executar:  script  Deve ser formatado como (rdfs:Literal  or  xsd:string)</v>
      </c>
      <c r="W757" s="5" t="s">
        <v>5579</v>
      </c>
      <c r="X757" s="24" t="str">
        <f t="shared" si="319"/>
        <v>execu.105</v>
      </c>
      <c r="Y757" s="24" t="str">
        <f t="shared" si="320"/>
        <v>Ação de executar</v>
      </c>
      <c r="Z757" s="47" t="s">
        <v>1483</v>
      </c>
      <c r="AA757" s="25" t="str">
        <f t="shared" si="332"/>
        <v>null</v>
      </c>
      <c r="AB757" s="26" t="s">
        <v>0</v>
      </c>
      <c r="AC757" s="25" t="str">
        <f t="shared" si="333"/>
        <v>null</v>
      </c>
      <c r="AD757" s="26" t="s">
        <v>0</v>
      </c>
      <c r="AE757" s="25" t="str">
        <f t="shared" si="335"/>
        <v>null</v>
      </c>
      <c r="AF757" s="26" t="s">
        <v>0</v>
      </c>
      <c r="AG757" s="47" t="s">
        <v>2813</v>
      </c>
    </row>
    <row r="758" spans="1:33" ht="6.9" customHeight="1" x14ac:dyDescent="0.4">
      <c r="A758" s="4">
        <f>ROW()</f>
        <v>758</v>
      </c>
      <c r="B758" s="9" t="s">
        <v>27</v>
      </c>
      <c r="C758" s="55" t="str">
        <f t="shared" si="331"/>
        <v>p.executar</v>
      </c>
      <c r="D758" s="6" t="str">
        <f t="shared" si="322"/>
        <v>é.locução</v>
      </c>
      <c r="E758" s="8" t="s">
        <v>28</v>
      </c>
      <c r="F758" s="42" t="str">
        <f t="shared" si="334"/>
        <v>d.executar</v>
      </c>
      <c r="G758" s="17" t="s">
        <v>418</v>
      </c>
      <c r="H758" s="42" t="s">
        <v>2121</v>
      </c>
      <c r="I758" s="16" t="str">
        <f t="shared" si="324"/>
        <v>null</v>
      </c>
      <c r="J758" s="15" t="s">
        <v>0</v>
      </c>
      <c r="K758" s="15" t="s">
        <v>0</v>
      </c>
      <c r="L758" s="15" t="s">
        <v>0</v>
      </c>
      <c r="M758" s="15" t="s">
        <v>0</v>
      </c>
      <c r="N758" s="15" t="s">
        <v>0</v>
      </c>
      <c r="O758" s="15" t="s">
        <v>0</v>
      </c>
      <c r="P758" s="15" t="s">
        <v>0</v>
      </c>
      <c r="Q758" s="15" t="s">
        <v>0</v>
      </c>
      <c r="R758" s="15" t="s">
        <v>0</v>
      </c>
      <c r="S758" s="10" t="s">
        <v>1</v>
      </c>
      <c r="T758" s="10" t="s">
        <v>32</v>
      </c>
      <c r="U758" s="5" t="str">
        <f t="shared" si="317"/>
        <v>Propriedade destinada a executar: é.locução</v>
      </c>
      <c r="V758" s="5" t="str">
        <f t="shared" si="318"/>
        <v>Dado para executar:  locução  Deve ser formatado como (rdfs:Literal  or  xsd:string)</v>
      </c>
      <c r="W758" s="5" t="s">
        <v>5580</v>
      </c>
      <c r="X758" s="24" t="str">
        <f t="shared" si="319"/>
        <v>execu.106</v>
      </c>
      <c r="Y758" s="24" t="str">
        <f t="shared" si="320"/>
        <v>Ação de executar</v>
      </c>
      <c r="Z758" s="47" t="s">
        <v>1484</v>
      </c>
      <c r="AA758" s="25" t="str">
        <f t="shared" si="332"/>
        <v>null</v>
      </c>
      <c r="AB758" s="26" t="s">
        <v>0</v>
      </c>
      <c r="AC758" s="25" t="str">
        <f t="shared" si="333"/>
        <v>null</v>
      </c>
      <c r="AD758" s="26" t="s">
        <v>0</v>
      </c>
      <c r="AE758" s="25" t="str">
        <f t="shared" si="335"/>
        <v>null</v>
      </c>
      <c r="AF758" s="26" t="s">
        <v>0</v>
      </c>
      <c r="AG758" s="47" t="s">
        <v>4834</v>
      </c>
    </row>
    <row r="759" spans="1:33" ht="6.9" customHeight="1" x14ac:dyDescent="0.4">
      <c r="A759" s="4">
        <f>ROW()</f>
        <v>759</v>
      </c>
      <c r="B759" s="9" t="s">
        <v>27</v>
      </c>
      <c r="C759" s="55" t="str">
        <f t="shared" si="331"/>
        <v>p.executar</v>
      </c>
      <c r="D759" s="6" t="str">
        <f t="shared" si="322"/>
        <v>é.voz</v>
      </c>
      <c r="E759" s="8" t="s">
        <v>28</v>
      </c>
      <c r="F759" s="42" t="str">
        <f t="shared" si="334"/>
        <v>d.executar</v>
      </c>
      <c r="G759" s="17" t="s">
        <v>419</v>
      </c>
      <c r="H759" s="42" t="s">
        <v>2121</v>
      </c>
      <c r="I759" s="16" t="str">
        <f t="shared" si="324"/>
        <v>null</v>
      </c>
      <c r="J759" s="15" t="s">
        <v>0</v>
      </c>
      <c r="K759" s="15" t="s">
        <v>0</v>
      </c>
      <c r="L759" s="15" t="s">
        <v>0</v>
      </c>
      <c r="M759" s="15" t="s">
        <v>0</v>
      </c>
      <c r="N759" s="15" t="s">
        <v>0</v>
      </c>
      <c r="O759" s="15" t="s">
        <v>0</v>
      </c>
      <c r="P759" s="15" t="s">
        <v>0</v>
      </c>
      <c r="Q759" s="15" t="s">
        <v>0</v>
      </c>
      <c r="R759" s="15" t="s">
        <v>0</v>
      </c>
      <c r="S759" s="10" t="s">
        <v>1</v>
      </c>
      <c r="T759" s="10" t="s">
        <v>32</v>
      </c>
      <c r="U759" s="5" t="str">
        <f t="shared" si="317"/>
        <v>Propriedade destinada a executar: é.voz</v>
      </c>
      <c r="V759" s="5" t="str">
        <f t="shared" si="318"/>
        <v>Dado para executar:  voz  Deve ser formatado como (rdfs:Literal  or  xsd:string)</v>
      </c>
      <c r="W759" s="5" t="s">
        <v>5581</v>
      </c>
      <c r="X759" s="24" t="str">
        <f t="shared" si="319"/>
        <v>execu.107</v>
      </c>
      <c r="Y759" s="24" t="str">
        <f t="shared" si="320"/>
        <v>Ação de executar</v>
      </c>
      <c r="Z759" s="47" t="s">
        <v>1485</v>
      </c>
      <c r="AA759" s="25" t="str">
        <f t="shared" si="332"/>
        <v>null</v>
      </c>
      <c r="AB759" s="26" t="s">
        <v>0</v>
      </c>
      <c r="AC759" s="25" t="str">
        <f t="shared" si="333"/>
        <v>null</v>
      </c>
      <c r="AD759" s="26" t="s">
        <v>0</v>
      </c>
      <c r="AE759" s="25" t="str">
        <f t="shared" si="335"/>
        <v>null</v>
      </c>
      <c r="AF759" s="26" t="s">
        <v>0</v>
      </c>
      <c r="AG759" s="47" t="s">
        <v>2814</v>
      </c>
    </row>
    <row r="760" spans="1:33" ht="6.9" customHeight="1" x14ac:dyDescent="0.4">
      <c r="A760" s="4">
        <f>ROW()</f>
        <v>760</v>
      </c>
      <c r="B760" s="9" t="s">
        <v>27</v>
      </c>
      <c r="C760" s="55" t="str">
        <f t="shared" si="331"/>
        <v>p.executar</v>
      </c>
      <c r="D760" s="6" t="str">
        <f t="shared" si="322"/>
        <v>é.idioma</v>
      </c>
      <c r="E760" s="8" t="s">
        <v>28</v>
      </c>
      <c r="F760" s="42" t="str">
        <f t="shared" si="334"/>
        <v>d.executar</v>
      </c>
      <c r="G760" s="17" t="s">
        <v>420</v>
      </c>
      <c r="H760" s="42" t="s">
        <v>2121</v>
      </c>
      <c r="I760" s="16" t="str">
        <f t="shared" si="324"/>
        <v>null</v>
      </c>
      <c r="J760" s="15" t="s">
        <v>0</v>
      </c>
      <c r="K760" s="15" t="s">
        <v>0</v>
      </c>
      <c r="L760" s="15" t="s">
        <v>0</v>
      </c>
      <c r="M760" s="15" t="s">
        <v>0</v>
      </c>
      <c r="N760" s="15" t="s">
        <v>0</v>
      </c>
      <c r="O760" s="15" t="s">
        <v>0</v>
      </c>
      <c r="P760" s="15" t="s">
        <v>0</v>
      </c>
      <c r="Q760" s="15" t="s">
        <v>0</v>
      </c>
      <c r="R760" s="15" t="s">
        <v>0</v>
      </c>
      <c r="S760" s="10" t="s">
        <v>1</v>
      </c>
      <c r="T760" s="10" t="s">
        <v>32</v>
      </c>
      <c r="U760" s="5" t="str">
        <f t="shared" si="317"/>
        <v>Propriedade destinada a executar: é.idioma</v>
      </c>
      <c r="V760" s="5" t="str">
        <f t="shared" si="318"/>
        <v>Dado para executar:  idioma  Deve ser formatado como (rdfs:Literal  or  xsd:string)</v>
      </c>
      <c r="W760" s="5" t="s">
        <v>5582</v>
      </c>
      <c r="X760" s="24" t="str">
        <f t="shared" si="319"/>
        <v>execu.108</v>
      </c>
      <c r="Y760" s="24" t="str">
        <f t="shared" si="320"/>
        <v>Ação de executar</v>
      </c>
      <c r="Z760" s="47" t="s">
        <v>1486</v>
      </c>
      <c r="AA760" s="25" t="str">
        <f t="shared" si="332"/>
        <v>null</v>
      </c>
      <c r="AB760" s="26" t="s">
        <v>0</v>
      </c>
      <c r="AC760" s="25" t="str">
        <f t="shared" si="333"/>
        <v>null</v>
      </c>
      <c r="AD760" s="26" t="s">
        <v>0</v>
      </c>
      <c r="AE760" s="25" t="str">
        <f t="shared" si="335"/>
        <v>null</v>
      </c>
      <c r="AF760" s="26" t="s">
        <v>0</v>
      </c>
      <c r="AG760" s="47" t="s">
        <v>2815</v>
      </c>
    </row>
    <row r="761" spans="1:33" ht="6.9" customHeight="1" x14ac:dyDescent="0.4">
      <c r="A761" s="4">
        <f>ROW()</f>
        <v>761</v>
      </c>
      <c r="B761" s="9" t="s">
        <v>27</v>
      </c>
      <c r="C761" s="55" t="str">
        <f t="shared" si="331"/>
        <v>p.executar</v>
      </c>
      <c r="D761" s="6" t="str">
        <f t="shared" si="322"/>
        <v>é.resultado.textual</v>
      </c>
      <c r="E761" s="8" t="s">
        <v>28</v>
      </c>
      <c r="F761" s="42" t="str">
        <f t="shared" si="334"/>
        <v>d.executar</v>
      </c>
      <c r="G761" s="17" t="s">
        <v>718</v>
      </c>
      <c r="H761" s="42" t="s">
        <v>2121</v>
      </c>
      <c r="I761" s="16" t="str">
        <f t="shared" si="324"/>
        <v>null</v>
      </c>
      <c r="J761" s="15" t="s">
        <v>0</v>
      </c>
      <c r="K761" s="15" t="s">
        <v>0</v>
      </c>
      <c r="L761" s="15" t="s">
        <v>0</v>
      </c>
      <c r="M761" s="15" t="s">
        <v>0</v>
      </c>
      <c r="N761" s="15" t="s">
        <v>0</v>
      </c>
      <c r="O761" s="15" t="s">
        <v>0</v>
      </c>
      <c r="P761" s="15" t="s">
        <v>0</v>
      </c>
      <c r="Q761" s="15" t="s">
        <v>0</v>
      </c>
      <c r="R761" s="15" t="s">
        <v>0</v>
      </c>
      <c r="S761" s="10" t="s">
        <v>1</v>
      </c>
      <c r="T761" s="10" t="s">
        <v>32</v>
      </c>
      <c r="U761" s="5" t="str">
        <f t="shared" si="317"/>
        <v>Propriedade destinada a executar: é.resultado.textual</v>
      </c>
      <c r="V761" s="5" t="str">
        <f t="shared" si="318"/>
        <v>Dado para executar:  resultado.textual  Deve ser formatado como (rdfs:Literal  or  xsd:string)</v>
      </c>
      <c r="W761" s="5" t="s">
        <v>5583</v>
      </c>
      <c r="X761" s="24" t="str">
        <f t="shared" si="319"/>
        <v>execu.109</v>
      </c>
      <c r="Y761" s="24" t="str">
        <f t="shared" si="320"/>
        <v>Ação de executar</v>
      </c>
      <c r="Z761" s="47" t="s">
        <v>1487</v>
      </c>
      <c r="AA761" s="25" t="str">
        <f t="shared" si="332"/>
        <v>null</v>
      </c>
      <c r="AB761" s="26" t="s">
        <v>0</v>
      </c>
      <c r="AC761" s="25" t="str">
        <f t="shared" si="333"/>
        <v>null</v>
      </c>
      <c r="AD761" s="26" t="s">
        <v>0</v>
      </c>
      <c r="AE761" s="25" t="str">
        <f t="shared" si="335"/>
        <v>null</v>
      </c>
      <c r="AF761" s="26" t="s">
        <v>0</v>
      </c>
      <c r="AG761" s="47" t="s">
        <v>2816</v>
      </c>
    </row>
    <row r="762" spans="1:33" ht="6.9" customHeight="1" x14ac:dyDescent="0.4">
      <c r="A762" s="4">
        <f>ROW()</f>
        <v>762</v>
      </c>
      <c r="B762" s="9" t="s">
        <v>27</v>
      </c>
      <c r="C762" s="55" t="str">
        <f t="shared" si="331"/>
        <v>p.executar</v>
      </c>
      <c r="D762" s="6" t="str">
        <f t="shared" si="322"/>
        <v>é.resultado.número.inteiro</v>
      </c>
      <c r="E762" s="8" t="s">
        <v>28</v>
      </c>
      <c r="F762" s="42" t="str">
        <f t="shared" si="334"/>
        <v>d.executar</v>
      </c>
      <c r="G762" s="17" t="s">
        <v>719</v>
      </c>
      <c r="H762" s="42" t="s">
        <v>33</v>
      </c>
      <c r="I762" s="16" t="str">
        <f t="shared" si="324"/>
        <v>null</v>
      </c>
      <c r="J762" s="15" t="s">
        <v>0</v>
      </c>
      <c r="K762" s="15" t="s">
        <v>0</v>
      </c>
      <c r="L762" s="15" t="s">
        <v>0</v>
      </c>
      <c r="M762" s="15" t="s">
        <v>0</v>
      </c>
      <c r="N762" s="15" t="s">
        <v>0</v>
      </c>
      <c r="O762" s="15" t="s">
        <v>0</v>
      </c>
      <c r="P762" s="15" t="s">
        <v>0</v>
      </c>
      <c r="Q762" s="15" t="s">
        <v>0</v>
      </c>
      <c r="R762" s="15" t="s">
        <v>0</v>
      </c>
      <c r="S762" s="10" t="s">
        <v>1</v>
      </c>
      <c r="T762" s="10" t="s">
        <v>32</v>
      </c>
      <c r="U762" s="5" t="str">
        <f t="shared" si="317"/>
        <v>Propriedade destinada a executar: é.resultado.número.inteiro</v>
      </c>
      <c r="V762" s="5" t="str">
        <f t="shared" si="318"/>
        <v>Dado para executar:  resultado.número.inteiro  Deve ser formatado como (xsd:integer)</v>
      </c>
      <c r="W762" s="5" t="s">
        <v>5584</v>
      </c>
      <c r="X762" s="24" t="str">
        <f t="shared" si="319"/>
        <v>execu.110</v>
      </c>
      <c r="Y762" s="24" t="str">
        <f t="shared" si="320"/>
        <v>Ação de executar</v>
      </c>
      <c r="Z762" s="47" t="s">
        <v>1488</v>
      </c>
      <c r="AA762" s="25" t="str">
        <f t="shared" si="332"/>
        <v>null</v>
      </c>
      <c r="AB762" s="26" t="s">
        <v>0</v>
      </c>
      <c r="AC762" s="25" t="str">
        <f t="shared" si="333"/>
        <v>null</v>
      </c>
      <c r="AD762" s="26" t="s">
        <v>0</v>
      </c>
      <c r="AE762" s="25" t="str">
        <f t="shared" si="335"/>
        <v>null</v>
      </c>
      <c r="AF762" s="26" t="s">
        <v>0</v>
      </c>
      <c r="AG762" s="47" t="s">
        <v>2817</v>
      </c>
    </row>
    <row r="763" spans="1:33" ht="6.9" customHeight="1" x14ac:dyDescent="0.4">
      <c r="A763" s="4">
        <f>ROW()</f>
        <v>763</v>
      </c>
      <c r="B763" s="9" t="s">
        <v>27</v>
      </c>
      <c r="C763" s="55" t="str">
        <f t="shared" si="331"/>
        <v>p.executar</v>
      </c>
      <c r="D763" s="6" t="str">
        <f t="shared" si="322"/>
        <v>é.resultado.número.real</v>
      </c>
      <c r="E763" s="8" t="s">
        <v>28</v>
      </c>
      <c r="F763" s="42" t="str">
        <f t="shared" si="334"/>
        <v>d.executar</v>
      </c>
      <c r="G763" s="17" t="s">
        <v>720</v>
      </c>
      <c r="H763" s="42" t="s">
        <v>36</v>
      </c>
      <c r="I763" s="16" t="str">
        <f t="shared" si="324"/>
        <v>null</v>
      </c>
      <c r="J763" s="15" t="s">
        <v>0</v>
      </c>
      <c r="K763" s="15" t="s">
        <v>0</v>
      </c>
      <c r="L763" s="15" t="s">
        <v>0</v>
      </c>
      <c r="M763" s="15" t="s">
        <v>0</v>
      </c>
      <c r="N763" s="15" t="s">
        <v>0</v>
      </c>
      <c r="O763" s="15" t="s">
        <v>0</v>
      </c>
      <c r="P763" s="15" t="s">
        <v>0</v>
      </c>
      <c r="Q763" s="15" t="s">
        <v>0</v>
      </c>
      <c r="R763" s="15" t="s">
        <v>0</v>
      </c>
      <c r="S763" s="10" t="s">
        <v>1</v>
      </c>
      <c r="T763" s="10" t="s">
        <v>32</v>
      </c>
      <c r="U763" s="5" t="str">
        <f t="shared" si="317"/>
        <v>Propriedade destinada a executar: é.resultado.número.real</v>
      </c>
      <c r="V763" s="5" t="str">
        <f t="shared" si="318"/>
        <v>Dado para executar:  resultado.número.real  Deve ser formatado como (xsd:double)</v>
      </c>
      <c r="W763" s="5" t="s">
        <v>5585</v>
      </c>
      <c r="X763" s="24" t="str">
        <f t="shared" si="319"/>
        <v>execu.111</v>
      </c>
      <c r="Y763" s="24" t="str">
        <f t="shared" si="320"/>
        <v>Ação de executar</v>
      </c>
      <c r="Z763" s="47" t="s">
        <v>1489</v>
      </c>
      <c r="AA763" s="25" t="str">
        <f t="shared" si="332"/>
        <v>null</v>
      </c>
      <c r="AB763" s="26" t="s">
        <v>0</v>
      </c>
      <c r="AC763" s="25" t="str">
        <f t="shared" si="333"/>
        <v>null</v>
      </c>
      <c r="AD763" s="26" t="s">
        <v>0</v>
      </c>
      <c r="AE763" s="25" t="str">
        <f t="shared" si="335"/>
        <v>null</v>
      </c>
      <c r="AF763" s="26" t="s">
        <v>0</v>
      </c>
      <c r="AG763" s="47" t="s">
        <v>2818</v>
      </c>
    </row>
    <row r="764" spans="1:33" ht="6.9" customHeight="1" x14ac:dyDescent="0.4">
      <c r="A764" s="4">
        <f>ROW()</f>
        <v>764</v>
      </c>
      <c r="B764" s="9" t="s">
        <v>27</v>
      </c>
      <c r="C764" s="54" t="str">
        <f t="shared" si="331"/>
        <v>p.extinguir</v>
      </c>
      <c r="D764" s="6" t="str">
        <f t="shared" si="322"/>
        <v>é.classe.de.fogo</v>
      </c>
      <c r="E764" s="8" t="s">
        <v>28</v>
      </c>
      <c r="F764" s="51" t="s">
        <v>721</v>
      </c>
      <c r="G764" s="17" t="s">
        <v>722</v>
      </c>
      <c r="H764" s="42" t="s">
        <v>2121</v>
      </c>
      <c r="I764" s="16" t="str">
        <f t="shared" si="324"/>
        <v>null</v>
      </c>
      <c r="J764" s="15" t="s">
        <v>0</v>
      </c>
      <c r="K764" s="15" t="s">
        <v>0</v>
      </c>
      <c r="L764" s="15" t="s">
        <v>0</v>
      </c>
      <c r="M764" s="15" t="s">
        <v>0</v>
      </c>
      <c r="N764" s="15" t="s">
        <v>0</v>
      </c>
      <c r="O764" s="15" t="s">
        <v>0</v>
      </c>
      <c r="P764" s="15" t="s">
        <v>0</v>
      </c>
      <c r="Q764" s="15" t="s">
        <v>0</v>
      </c>
      <c r="R764" s="15" t="s">
        <v>0</v>
      </c>
      <c r="S764" s="10" t="s">
        <v>1</v>
      </c>
      <c r="T764" s="10" t="s">
        <v>32</v>
      </c>
      <c r="U764" s="5" t="str">
        <f t="shared" si="317"/>
        <v>Propriedade destinada a extinguir: é.classe.de.fogo</v>
      </c>
      <c r="V764" s="5" t="str">
        <f t="shared" si="318"/>
        <v>Dado para extinguir:  classe.de.fogo  Deve ser formatado como (rdfs:Literal  or  xsd:string)</v>
      </c>
      <c r="W764" s="5" t="s">
        <v>5586</v>
      </c>
      <c r="X764" s="24" t="str">
        <f t="shared" si="319"/>
        <v>extin.100</v>
      </c>
      <c r="Y764" s="24" t="str">
        <f t="shared" si="320"/>
        <v>Ação de extinguir</v>
      </c>
      <c r="Z764" s="47" t="s">
        <v>1490</v>
      </c>
      <c r="AA764" s="25" t="str">
        <f t="shared" si="332"/>
        <v>null</v>
      </c>
      <c r="AB764" s="26" t="s">
        <v>0</v>
      </c>
      <c r="AC764" s="25" t="str">
        <f t="shared" si="333"/>
        <v>null</v>
      </c>
      <c r="AD764" s="26" t="s">
        <v>0</v>
      </c>
      <c r="AE764" s="25" t="str">
        <f t="shared" si="335"/>
        <v>null</v>
      </c>
      <c r="AF764" s="26" t="s">
        <v>0</v>
      </c>
      <c r="AG764" s="47" t="s">
        <v>2819</v>
      </c>
    </row>
    <row r="765" spans="1:33" ht="6.9" customHeight="1" x14ac:dyDescent="0.4">
      <c r="A765" s="4">
        <f>ROW()</f>
        <v>765</v>
      </c>
      <c r="B765" s="9" t="s">
        <v>27</v>
      </c>
      <c r="C765" s="55" t="str">
        <f t="shared" si="331"/>
        <v>p.extinguir</v>
      </c>
      <c r="D765" s="6" t="str">
        <f t="shared" si="322"/>
        <v>é.sprinkler</v>
      </c>
      <c r="E765" s="8" t="s">
        <v>28</v>
      </c>
      <c r="F765" s="42" t="str">
        <f>F764</f>
        <v>d.extinguir</v>
      </c>
      <c r="G765" s="17" t="s">
        <v>4429</v>
      </c>
      <c r="H765" s="42" t="s">
        <v>2121</v>
      </c>
      <c r="I765" s="16" t="str">
        <f t="shared" si="324"/>
        <v>null</v>
      </c>
      <c r="J765" s="15" t="s">
        <v>0</v>
      </c>
      <c r="K765" s="15" t="s">
        <v>0</v>
      </c>
      <c r="L765" s="15" t="s">
        <v>0</v>
      </c>
      <c r="M765" s="15" t="s">
        <v>0</v>
      </c>
      <c r="N765" s="15" t="s">
        <v>0</v>
      </c>
      <c r="O765" s="15" t="s">
        <v>0</v>
      </c>
      <c r="P765" s="15" t="s">
        <v>0</v>
      </c>
      <c r="Q765" s="15" t="s">
        <v>0</v>
      </c>
      <c r="R765" s="15" t="s">
        <v>0</v>
      </c>
      <c r="S765" s="10" t="s">
        <v>1</v>
      </c>
      <c r="T765" s="10" t="s">
        <v>32</v>
      </c>
      <c r="U765" s="5" t="str">
        <f t="shared" si="317"/>
        <v>Propriedade destinada a extinguir: é.sprinkler</v>
      </c>
      <c r="V765" s="5" t="str">
        <f t="shared" si="318"/>
        <v>Dado para extinguir:  sprinkler  Deve ser formatado como (rdfs:Literal  or  xsd:string)</v>
      </c>
      <c r="W765" s="5" t="s">
        <v>5587</v>
      </c>
      <c r="X765" s="24" t="str">
        <f t="shared" si="319"/>
        <v>extin.101</v>
      </c>
      <c r="Y765" s="24" t="str">
        <f t="shared" si="320"/>
        <v>Ação de extinguir</v>
      </c>
      <c r="Z765" s="47" t="s">
        <v>1491</v>
      </c>
      <c r="AA765" s="25" t="str">
        <f t="shared" si="332"/>
        <v>categoria.revit</v>
      </c>
      <c r="AB765" s="26" t="s">
        <v>3519</v>
      </c>
      <c r="AC765" s="25" t="str">
        <f t="shared" si="333"/>
        <v>classe.ifc</v>
      </c>
      <c r="AD765" s="26" t="s">
        <v>3470</v>
      </c>
      <c r="AE765" s="25" t="str">
        <f t="shared" si="335"/>
        <v>null</v>
      </c>
      <c r="AF765" s="26" t="s">
        <v>0</v>
      </c>
      <c r="AG765" s="47" t="s">
        <v>2820</v>
      </c>
    </row>
    <row r="766" spans="1:33" ht="6.9" customHeight="1" x14ac:dyDescent="0.4">
      <c r="A766" s="4">
        <f>ROW()</f>
        <v>766</v>
      </c>
      <c r="B766" s="9" t="s">
        <v>27</v>
      </c>
      <c r="C766" s="55" t="str">
        <f t="shared" si="331"/>
        <v>p.extinguir</v>
      </c>
      <c r="D766" s="6" t="str">
        <f t="shared" si="322"/>
        <v>é.visibilidade.da.placa</v>
      </c>
      <c r="E766" s="8" t="s">
        <v>28</v>
      </c>
      <c r="F766" s="42" t="str">
        <f>F765</f>
        <v>d.extinguir</v>
      </c>
      <c r="G766" s="17" t="s">
        <v>723</v>
      </c>
      <c r="H766" s="42" t="s">
        <v>2121</v>
      </c>
      <c r="I766" s="16" t="str">
        <f t="shared" si="324"/>
        <v>null</v>
      </c>
      <c r="J766" s="15" t="s">
        <v>0</v>
      </c>
      <c r="K766" s="15" t="s">
        <v>0</v>
      </c>
      <c r="L766" s="15" t="s">
        <v>0</v>
      </c>
      <c r="M766" s="15" t="s">
        <v>0</v>
      </c>
      <c r="N766" s="15" t="s">
        <v>0</v>
      </c>
      <c r="O766" s="15" t="s">
        <v>0</v>
      </c>
      <c r="P766" s="15" t="s">
        <v>0</v>
      </c>
      <c r="Q766" s="15" t="s">
        <v>0</v>
      </c>
      <c r="R766" s="15" t="s">
        <v>0</v>
      </c>
      <c r="S766" s="10" t="s">
        <v>1</v>
      </c>
      <c r="T766" s="10" t="s">
        <v>32</v>
      </c>
      <c r="U766" s="5" t="str">
        <f t="shared" si="317"/>
        <v>Propriedade destinada a extinguir: é.visibilidade.da.placa</v>
      </c>
      <c r="V766" s="5" t="str">
        <f t="shared" si="318"/>
        <v>Dado para extinguir:  visibilidade.da.placa  Deve ser formatado como (rdfs:Literal  or  xsd:string)</v>
      </c>
      <c r="W766" s="5" t="s">
        <v>5588</v>
      </c>
      <c r="X766" s="24" t="str">
        <f t="shared" si="319"/>
        <v>extin.102</v>
      </c>
      <c r="Y766" s="24" t="str">
        <f t="shared" si="320"/>
        <v>Ação de extinguir</v>
      </c>
      <c r="Z766" s="47" t="s">
        <v>1492</v>
      </c>
      <c r="AA766" s="25" t="str">
        <f t="shared" si="332"/>
        <v>null</v>
      </c>
      <c r="AB766" s="26" t="s">
        <v>0</v>
      </c>
      <c r="AC766" s="25" t="str">
        <f t="shared" si="333"/>
        <v>null</v>
      </c>
      <c r="AD766" s="26" t="s">
        <v>0</v>
      </c>
      <c r="AE766" s="25" t="str">
        <f t="shared" si="335"/>
        <v>null</v>
      </c>
      <c r="AF766" s="26" t="s">
        <v>0</v>
      </c>
      <c r="AG766" s="47" t="s">
        <v>2821</v>
      </c>
    </row>
    <row r="767" spans="1:33" ht="6.9" customHeight="1" x14ac:dyDescent="0.4">
      <c r="A767" s="4">
        <f>ROW()</f>
        <v>767</v>
      </c>
      <c r="B767" s="9" t="s">
        <v>27</v>
      </c>
      <c r="C767" s="55" t="str">
        <f t="shared" si="331"/>
        <v>p.extinguir</v>
      </c>
      <c r="D767" s="6" t="str">
        <f t="shared" si="322"/>
        <v>é.agente.extintor</v>
      </c>
      <c r="E767" s="8" t="s">
        <v>28</v>
      </c>
      <c r="F767" s="42" t="str">
        <f>F766</f>
        <v>d.extinguir</v>
      </c>
      <c r="G767" s="17" t="s">
        <v>724</v>
      </c>
      <c r="H767" s="42" t="s">
        <v>2121</v>
      </c>
      <c r="I767" s="16" t="str">
        <f t="shared" si="324"/>
        <v>null</v>
      </c>
      <c r="J767" s="15" t="s">
        <v>0</v>
      </c>
      <c r="K767" s="15" t="s">
        <v>0</v>
      </c>
      <c r="L767" s="15" t="s">
        <v>0</v>
      </c>
      <c r="M767" s="15" t="s">
        <v>0</v>
      </c>
      <c r="N767" s="15" t="s">
        <v>0</v>
      </c>
      <c r="O767" s="15" t="s">
        <v>0</v>
      </c>
      <c r="P767" s="15" t="s">
        <v>0</v>
      </c>
      <c r="Q767" s="15" t="s">
        <v>0</v>
      </c>
      <c r="R767" s="15" t="s">
        <v>0</v>
      </c>
      <c r="S767" s="10" t="s">
        <v>1</v>
      </c>
      <c r="T767" s="10" t="s">
        <v>32</v>
      </c>
      <c r="U767" s="5" t="str">
        <f t="shared" si="317"/>
        <v>Propriedade destinada a extinguir: é.agente.extintor</v>
      </c>
      <c r="V767" s="5" t="str">
        <f t="shared" si="318"/>
        <v>Dado para extinguir:  agente.extintor  Deve ser formatado como (rdfs:Literal  or  xsd:string)</v>
      </c>
      <c r="W767" s="5" t="s">
        <v>5589</v>
      </c>
      <c r="X767" s="24" t="str">
        <f t="shared" si="319"/>
        <v>extin.103</v>
      </c>
      <c r="Y767" s="24" t="str">
        <f t="shared" si="320"/>
        <v>Ação de extinguir</v>
      </c>
      <c r="Z767" s="47" t="s">
        <v>1493</v>
      </c>
      <c r="AA767" s="25" t="str">
        <f t="shared" si="332"/>
        <v>null</v>
      </c>
      <c r="AB767" s="26" t="s">
        <v>0</v>
      </c>
      <c r="AC767" s="25" t="str">
        <f t="shared" si="333"/>
        <v>null</v>
      </c>
      <c r="AD767" s="26" t="s">
        <v>0</v>
      </c>
      <c r="AE767" s="25" t="str">
        <f t="shared" si="335"/>
        <v>null</v>
      </c>
      <c r="AF767" s="26" t="s">
        <v>0</v>
      </c>
      <c r="AG767" s="47" t="s">
        <v>2822</v>
      </c>
    </row>
    <row r="768" spans="1:33" ht="6.9" customHeight="1" x14ac:dyDescent="0.4">
      <c r="A768" s="4">
        <f>ROW()</f>
        <v>768</v>
      </c>
      <c r="B768" s="9" t="s">
        <v>27</v>
      </c>
      <c r="C768" s="55" t="str">
        <f t="shared" si="331"/>
        <v>p.extinguir</v>
      </c>
      <c r="D768" s="6" t="str">
        <f t="shared" si="322"/>
        <v>é.tipo.de.extintor</v>
      </c>
      <c r="E768" s="8" t="s">
        <v>28</v>
      </c>
      <c r="F768" s="42" t="str">
        <f>F767</f>
        <v>d.extinguir</v>
      </c>
      <c r="G768" s="17" t="s">
        <v>725</v>
      </c>
      <c r="H768" s="42" t="s">
        <v>2121</v>
      </c>
      <c r="I768" s="16" t="str">
        <f t="shared" si="324"/>
        <v>null</v>
      </c>
      <c r="J768" s="15" t="s">
        <v>0</v>
      </c>
      <c r="K768" s="15" t="s">
        <v>0</v>
      </c>
      <c r="L768" s="15" t="s">
        <v>0</v>
      </c>
      <c r="M768" s="15" t="s">
        <v>0</v>
      </c>
      <c r="N768" s="15" t="s">
        <v>0</v>
      </c>
      <c r="O768" s="15" t="s">
        <v>0</v>
      </c>
      <c r="P768" s="15" t="s">
        <v>0</v>
      </c>
      <c r="Q768" s="15" t="s">
        <v>0</v>
      </c>
      <c r="R768" s="15" t="s">
        <v>0</v>
      </c>
      <c r="S768" s="10" t="s">
        <v>1</v>
      </c>
      <c r="T768" s="10" t="s">
        <v>32</v>
      </c>
      <c r="U768" s="5" t="str">
        <f t="shared" si="317"/>
        <v>Propriedade destinada a extinguir: é.tipo.de.extintor</v>
      </c>
      <c r="V768" s="5" t="str">
        <f t="shared" si="318"/>
        <v>Dado para extinguir:  tipo.de.extintor  Deve ser formatado como (rdfs:Literal  or  xsd:string)</v>
      </c>
      <c r="W768" s="5" t="s">
        <v>5590</v>
      </c>
      <c r="X768" s="24" t="str">
        <f t="shared" si="319"/>
        <v>extin.104</v>
      </c>
      <c r="Y768" s="24" t="str">
        <f t="shared" si="320"/>
        <v>Ação de extinguir</v>
      </c>
      <c r="Z768" s="47" t="s">
        <v>1494</v>
      </c>
      <c r="AA768" s="25" t="str">
        <f t="shared" si="332"/>
        <v>null</v>
      </c>
      <c r="AB768" s="26" t="s">
        <v>0</v>
      </c>
      <c r="AC768" s="25" t="str">
        <f t="shared" si="333"/>
        <v>null</v>
      </c>
      <c r="AD768" s="26" t="s">
        <v>0</v>
      </c>
      <c r="AE768" s="25" t="str">
        <f t="shared" si="335"/>
        <v>null</v>
      </c>
      <c r="AF768" s="26" t="s">
        <v>0</v>
      </c>
      <c r="AG768" s="47" t="s">
        <v>2823</v>
      </c>
    </row>
    <row r="769" spans="1:33" ht="6.9" customHeight="1" x14ac:dyDescent="0.4">
      <c r="A769" s="4">
        <f>ROW()</f>
        <v>769</v>
      </c>
      <c r="B769" s="9" t="s">
        <v>27</v>
      </c>
      <c r="C769" s="55" t="str">
        <f t="shared" si="331"/>
        <v>p.extinguir</v>
      </c>
      <c r="D769" s="6" t="str">
        <f t="shared" si="322"/>
        <v>é.carga.do.extintor</v>
      </c>
      <c r="E769" s="8" t="s">
        <v>28</v>
      </c>
      <c r="F769" s="42" t="str">
        <f>F768</f>
        <v>d.extinguir</v>
      </c>
      <c r="G769" s="17" t="s">
        <v>726</v>
      </c>
      <c r="H769" s="42" t="s">
        <v>2121</v>
      </c>
      <c r="I769" s="16" t="str">
        <f t="shared" si="324"/>
        <v>null</v>
      </c>
      <c r="J769" s="15" t="s">
        <v>0</v>
      </c>
      <c r="K769" s="15" t="s">
        <v>0</v>
      </c>
      <c r="L769" s="15" t="s">
        <v>0</v>
      </c>
      <c r="M769" s="15" t="s">
        <v>0</v>
      </c>
      <c r="N769" s="15" t="s">
        <v>0</v>
      </c>
      <c r="O769" s="15" t="s">
        <v>0</v>
      </c>
      <c r="P769" s="15" t="s">
        <v>0</v>
      </c>
      <c r="Q769" s="15" t="s">
        <v>0</v>
      </c>
      <c r="R769" s="15" t="s">
        <v>0</v>
      </c>
      <c r="S769" s="10" t="s">
        <v>1</v>
      </c>
      <c r="T769" s="10" t="s">
        <v>32</v>
      </c>
      <c r="U769" s="5" t="str">
        <f t="shared" si="317"/>
        <v>Propriedade destinada a extinguir: é.carga.do.extintor</v>
      </c>
      <c r="V769" s="5" t="str">
        <f t="shared" si="318"/>
        <v>Dado para extinguir:  carga.do.extintor  Deve ser formatado como (rdfs:Literal  or  xsd:string)</v>
      </c>
      <c r="W769" s="5" t="s">
        <v>5591</v>
      </c>
      <c r="X769" s="24" t="str">
        <f t="shared" si="319"/>
        <v>extin.105</v>
      </c>
      <c r="Y769" s="24" t="str">
        <f t="shared" si="320"/>
        <v>Ação de extinguir</v>
      </c>
      <c r="Z769" s="47" t="s">
        <v>1495</v>
      </c>
      <c r="AA769" s="25" t="str">
        <f t="shared" si="332"/>
        <v>null</v>
      </c>
      <c r="AB769" s="26" t="s">
        <v>0</v>
      </c>
      <c r="AC769" s="25" t="str">
        <f t="shared" si="333"/>
        <v>null</v>
      </c>
      <c r="AD769" s="26" t="s">
        <v>0</v>
      </c>
      <c r="AE769" s="25" t="str">
        <f t="shared" si="335"/>
        <v>null</v>
      </c>
      <c r="AF769" s="26" t="s">
        <v>0</v>
      </c>
      <c r="AG769" s="47" t="s">
        <v>2824</v>
      </c>
    </row>
    <row r="770" spans="1:33" ht="6.9" customHeight="1" x14ac:dyDescent="0.4">
      <c r="A770" s="4">
        <f>ROW()</f>
        <v>770</v>
      </c>
      <c r="B770" s="9" t="s">
        <v>27</v>
      </c>
      <c r="C770" s="55" t="str">
        <f t="shared" si="331"/>
        <v>p.extinguir</v>
      </c>
      <c r="D770" s="6" t="str">
        <f t="shared" si="322"/>
        <v>é.código.de.sinalização</v>
      </c>
      <c r="E770" s="8" t="s">
        <v>28</v>
      </c>
      <c r="F770" s="42" t="str">
        <f>F768</f>
        <v>d.extinguir</v>
      </c>
      <c r="G770" s="17" t="s">
        <v>727</v>
      </c>
      <c r="H770" s="42" t="s">
        <v>2121</v>
      </c>
      <c r="I770" s="16" t="str">
        <f t="shared" si="324"/>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36">_xlfn.CONCAT("Propriedade destinada a ",MID(C770,FIND("p.",C770,1)+2,100),": ",D770)</f>
        <v>Propriedade destinada a extinguir: é.código.de.sinalização</v>
      </c>
      <c r="V770" s="5" t="str">
        <f t="shared" ref="V770:V833" si="337">_xlfn.CONCAT("Dado para ",MID(F770,FIND("d.",F770,1)+2,100),":  ",G770, "  Deve ser formatado como (",H770, ")")</f>
        <v>Dado para extinguir:  código.de.sinalização  Deve ser formatado como (rdfs:Literal  or  xsd:string)</v>
      </c>
      <c r="W770" s="5" t="s">
        <v>5592</v>
      </c>
      <c r="X770" s="24" t="str">
        <f t="shared" si="319"/>
        <v>extin.106</v>
      </c>
      <c r="Y770" s="24" t="str">
        <f t="shared" si="320"/>
        <v>Ação de extinguir</v>
      </c>
      <c r="Z770" s="47" t="s">
        <v>1496</v>
      </c>
      <c r="AA770" s="25" t="str">
        <f t="shared" si="332"/>
        <v>null</v>
      </c>
      <c r="AB770" s="26" t="s">
        <v>0</v>
      </c>
      <c r="AC770" s="25" t="str">
        <f t="shared" si="333"/>
        <v>null</v>
      </c>
      <c r="AD770" s="26" t="s">
        <v>0</v>
      </c>
      <c r="AE770" s="25" t="str">
        <f t="shared" si="335"/>
        <v>null</v>
      </c>
      <c r="AF770" s="26" t="s">
        <v>0</v>
      </c>
      <c r="AG770" s="47" t="s">
        <v>2825</v>
      </c>
    </row>
    <row r="771" spans="1:33" ht="6.9" customHeight="1" x14ac:dyDescent="0.4">
      <c r="A771" s="4">
        <f>ROW()</f>
        <v>771</v>
      </c>
      <c r="B771" s="9" t="s">
        <v>27</v>
      </c>
      <c r="C771" s="54" t="str">
        <f t="shared" si="331"/>
        <v>p.fechar</v>
      </c>
      <c r="D771" s="6" t="str">
        <f t="shared" si="322"/>
        <v>é.cadeado</v>
      </c>
      <c r="E771" s="8" t="s">
        <v>28</v>
      </c>
      <c r="F771" s="51" t="s">
        <v>7952</v>
      </c>
      <c r="G771" s="23" t="s">
        <v>7282</v>
      </c>
      <c r="H771" s="41" t="s">
        <v>2121</v>
      </c>
      <c r="I771" s="16" t="str">
        <f t="shared" si="324"/>
        <v>null</v>
      </c>
      <c r="J771" s="15" t="s">
        <v>0</v>
      </c>
      <c r="K771" s="13" t="s">
        <v>0</v>
      </c>
      <c r="L771" s="13" t="s">
        <v>0</v>
      </c>
      <c r="M771" s="13" t="s">
        <v>0</v>
      </c>
      <c r="N771" s="13" t="s">
        <v>0</v>
      </c>
      <c r="O771" s="13" t="s">
        <v>0</v>
      </c>
      <c r="P771" s="13" t="s">
        <v>0</v>
      </c>
      <c r="Q771" s="13" t="s">
        <v>0</v>
      </c>
      <c r="R771" s="15" t="s">
        <v>0</v>
      </c>
      <c r="S771" s="10" t="s">
        <v>1</v>
      </c>
      <c r="T771" s="10" t="s">
        <v>32</v>
      </c>
      <c r="U771" s="5" t="str">
        <f t="shared" si="336"/>
        <v>Propriedade destinada a fechar: é.cadeado</v>
      </c>
      <c r="V771" s="5" t="str">
        <f t="shared" si="337"/>
        <v>Dado para fechar:  cadeado  Deve ser formatado como (rdfs:Literal  or  xsd:string)</v>
      </c>
      <c r="W771" s="5" t="s">
        <v>7297</v>
      </c>
      <c r="X771" s="24" t="str">
        <f t="shared" ref="X771:X834" si="338">IF(F770&lt;&gt;F771,_xlfn.CONCAT(RIGHT(LEFT(F771,7),5),".100"),_xlfn.CONCAT(RIGHT(LEFT(F771,7),5),".",SUM(VALUE(RIGHT(X770,3)),1)))</f>
        <v>fecha.100</v>
      </c>
      <c r="Y771" s="24" t="str">
        <f t="shared" ref="Y771:Y834" si="339">_xlfn.CONCAT("Ação de ", SUBSTITUTE(F771, "d.",  ""))</f>
        <v>Ação de fechar</v>
      </c>
      <c r="Z771" s="47" t="s">
        <v>7390</v>
      </c>
      <c r="AA771" s="25" t="str">
        <f t="shared" si="332"/>
        <v>categoria.revit</v>
      </c>
      <c r="AB771" s="26" t="s">
        <v>7315</v>
      </c>
      <c r="AC771" s="25" t="str">
        <f t="shared" si="333"/>
        <v>classe.ifc</v>
      </c>
      <c r="AD771" s="26" t="s">
        <v>7316</v>
      </c>
      <c r="AE771" s="25" t="str">
        <f t="shared" si="335"/>
        <v>null</v>
      </c>
      <c r="AF771" s="26" t="s">
        <v>0</v>
      </c>
      <c r="AG771" s="47" t="s">
        <v>7424</v>
      </c>
    </row>
    <row r="772" spans="1:33" ht="6.9" customHeight="1" x14ac:dyDescent="0.4">
      <c r="A772" s="4">
        <f>ROW()</f>
        <v>772</v>
      </c>
      <c r="B772" s="9" t="s">
        <v>27</v>
      </c>
      <c r="C772" s="55" t="str">
        <f t="shared" si="331"/>
        <v>p.fechar</v>
      </c>
      <c r="D772" s="6" t="str">
        <f t="shared" si="322"/>
        <v>é.cremona</v>
      </c>
      <c r="E772" s="8" t="s">
        <v>28</v>
      </c>
      <c r="F772" s="42" t="str">
        <f t="shared" ref="F772:F790" si="340">F771</f>
        <v>d.fechar</v>
      </c>
      <c r="G772" s="23" t="s">
        <v>7283</v>
      </c>
      <c r="H772" s="41" t="s">
        <v>2121</v>
      </c>
      <c r="I772" s="16" t="str">
        <f t="shared" si="324"/>
        <v>null</v>
      </c>
      <c r="J772" s="15" t="s">
        <v>0</v>
      </c>
      <c r="K772" s="13" t="s">
        <v>0</v>
      </c>
      <c r="L772" s="13" t="s">
        <v>0</v>
      </c>
      <c r="M772" s="13" t="s">
        <v>0</v>
      </c>
      <c r="N772" s="13" t="s">
        <v>0</v>
      </c>
      <c r="O772" s="13" t="s">
        <v>0</v>
      </c>
      <c r="P772" s="13" t="s">
        <v>0</v>
      </c>
      <c r="Q772" s="13" t="s">
        <v>0</v>
      </c>
      <c r="R772" s="15" t="s">
        <v>0</v>
      </c>
      <c r="S772" s="10" t="s">
        <v>1</v>
      </c>
      <c r="T772" s="10" t="s">
        <v>32</v>
      </c>
      <c r="U772" s="5" t="str">
        <f t="shared" si="336"/>
        <v>Propriedade destinada a fechar: é.cremona</v>
      </c>
      <c r="V772" s="5" t="str">
        <f t="shared" si="337"/>
        <v>Dado para fechar:  cremona  Deve ser formatado como (rdfs:Literal  or  xsd:string)</v>
      </c>
      <c r="W772" s="5" t="s">
        <v>7296</v>
      </c>
      <c r="X772" s="24" t="str">
        <f t="shared" si="338"/>
        <v>fecha.101</v>
      </c>
      <c r="Y772" s="24" t="str">
        <f t="shared" si="339"/>
        <v>Ação de fechar</v>
      </c>
      <c r="Z772" s="47" t="s">
        <v>7391</v>
      </c>
      <c r="AA772" s="25" t="str">
        <f t="shared" si="332"/>
        <v>categoria.revit</v>
      </c>
      <c r="AB772" s="26" t="s">
        <v>7315</v>
      </c>
      <c r="AC772" s="25" t="str">
        <f t="shared" si="333"/>
        <v>classe.ifc</v>
      </c>
      <c r="AD772" s="26" t="s">
        <v>7316</v>
      </c>
      <c r="AE772" s="25" t="str">
        <f t="shared" si="335"/>
        <v>null</v>
      </c>
      <c r="AF772" s="26" t="s">
        <v>0</v>
      </c>
      <c r="AG772" s="47" t="s">
        <v>7425</v>
      </c>
    </row>
    <row r="773" spans="1:33" ht="6.9" customHeight="1" x14ac:dyDescent="0.4">
      <c r="A773" s="4">
        <f>ROW()</f>
        <v>773</v>
      </c>
      <c r="B773" s="9" t="s">
        <v>27</v>
      </c>
      <c r="C773" s="55" t="str">
        <f t="shared" si="331"/>
        <v>p.fechar</v>
      </c>
      <c r="D773" s="6" t="str">
        <f t="shared" si="322"/>
        <v>é.distância.de.broca</v>
      </c>
      <c r="E773" s="8" t="s">
        <v>28</v>
      </c>
      <c r="F773" s="42" t="str">
        <f t="shared" si="340"/>
        <v>d.fechar</v>
      </c>
      <c r="G773" s="23" t="s">
        <v>7299</v>
      </c>
      <c r="H773" s="41" t="s">
        <v>36</v>
      </c>
      <c r="I773" s="16" t="str">
        <f t="shared" si="324"/>
        <v>null</v>
      </c>
      <c r="J773" s="15" t="s">
        <v>0</v>
      </c>
      <c r="K773" s="13" t="s">
        <v>0</v>
      </c>
      <c r="L773" s="13" t="s">
        <v>0</v>
      </c>
      <c r="M773" s="13" t="s">
        <v>0</v>
      </c>
      <c r="N773" s="13" t="s">
        <v>0</v>
      </c>
      <c r="O773" s="13" t="s">
        <v>0</v>
      </c>
      <c r="P773" s="13" t="s">
        <v>0</v>
      </c>
      <c r="Q773" s="13" t="s">
        <v>0</v>
      </c>
      <c r="R773" s="15" t="s">
        <v>0</v>
      </c>
      <c r="S773" s="10" t="s">
        <v>1</v>
      </c>
      <c r="T773" s="10" t="s">
        <v>32</v>
      </c>
      <c r="U773" s="5" t="str">
        <f t="shared" si="336"/>
        <v>Propriedade destinada a fechar: é.distância.de.broca</v>
      </c>
      <c r="V773" s="5" t="str">
        <f t="shared" si="337"/>
        <v>Dado para fechar:  distância.de.broca  Deve ser formatado como (xsd:double)</v>
      </c>
      <c r="W773" s="5" t="s">
        <v>7302</v>
      </c>
      <c r="X773" s="24" t="str">
        <f t="shared" si="338"/>
        <v>fecha.102</v>
      </c>
      <c r="Y773" s="24" t="str">
        <f t="shared" si="339"/>
        <v>Ação de fechar</v>
      </c>
      <c r="Z773" s="47" t="s">
        <v>7392</v>
      </c>
      <c r="AA773" s="25" t="str">
        <f t="shared" si="332"/>
        <v>categoria.revit</v>
      </c>
      <c r="AB773" s="26" t="s">
        <v>7315</v>
      </c>
      <c r="AC773" s="25" t="str">
        <f t="shared" si="333"/>
        <v>classe.ifc</v>
      </c>
      <c r="AD773" s="26" t="s">
        <v>7316</v>
      </c>
      <c r="AE773" s="25" t="str">
        <f t="shared" si="335"/>
        <v>null</v>
      </c>
      <c r="AF773" s="26" t="s">
        <v>0</v>
      </c>
      <c r="AG773" s="47" t="s">
        <v>7426</v>
      </c>
    </row>
    <row r="774" spans="1:33" ht="6.9" customHeight="1" x14ac:dyDescent="0.4">
      <c r="A774" s="4">
        <f>ROW()</f>
        <v>774</v>
      </c>
      <c r="B774" s="9" t="s">
        <v>27</v>
      </c>
      <c r="C774" s="55" t="str">
        <f t="shared" si="331"/>
        <v>p.fechar</v>
      </c>
      <c r="D774" s="6" t="str">
        <f t="shared" si="322"/>
        <v>é.distância.entre.furos</v>
      </c>
      <c r="E774" s="8" t="s">
        <v>28</v>
      </c>
      <c r="F774" s="42" t="str">
        <f t="shared" si="340"/>
        <v>d.fechar</v>
      </c>
      <c r="G774" s="23" t="s">
        <v>7300</v>
      </c>
      <c r="H774" s="41" t="s">
        <v>36</v>
      </c>
      <c r="I774" s="16" t="str">
        <f t="shared" si="324"/>
        <v>null</v>
      </c>
      <c r="J774" s="15" t="s">
        <v>0</v>
      </c>
      <c r="K774" s="13" t="s">
        <v>0</v>
      </c>
      <c r="L774" s="13" t="s">
        <v>0</v>
      </c>
      <c r="M774" s="13" t="s">
        <v>0</v>
      </c>
      <c r="N774" s="13" t="s">
        <v>0</v>
      </c>
      <c r="O774" s="13" t="s">
        <v>0</v>
      </c>
      <c r="P774" s="13" t="s">
        <v>0</v>
      </c>
      <c r="Q774" s="13" t="s">
        <v>0</v>
      </c>
      <c r="R774" s="15" t="s">
        <v>0</v>
      </c>
      <c r="S774" s="10" t="s">
        <v>1</v>
      </c>
      <c r="T774" s="10" t="s">
        <v>32</v>
      </c>
      <c r="U774" s="5" t="str">
        <f t="shared" si="336"/>
        <v>Propriedade destinada a fechar: é.distância.entre.furos</v>
      </c>
      <c r="V774" s="5" t="str">
        <f t="shared" si="337"/>
        <v>Dado para fechar:  distância.entre.furos  Deve ser formatado como (xsd:double)</v>
      </c>
      <c r="W774" s="5" t="s">
        <v>7301</v>
      </c>
      <c r="X774" s="24" t="str">
        <f t="shared" si="338"/>
        <v>fecha.103</v>
      </c>
      <c r="Y774" s="24" t="str">
        <f t="shared" si="339"/>
        <v>Ação de fechar</v>
      </c>
      <c r="Z774" s="47" t="s">
        <v>7393</v>
      </c>
      <c r="AA774" s="25" t="str">
        <f t="shared" si="332"/>
        <v>categoria.revit</v>
      </c>
      <c r="AB774" s="26" t="s">
        <v>7315</v>
      </c>
      <c r="AC774" s="25" t="str">
        <f t="shared" si="333"/>
        <v>classe.ifc</v>
      </c>
      <c r="AD774" s="26" t="s">
        <v>7316</v>
      </c>
      <c r="AE774" s="25" t="str">
        <f t="shared" si="335"/>
        <v>null</v>
      </c>
      <c r="AF774" s="26" t="s">
        <v>0</v>
      </c>
      <c r="AG774" s="47" t="s">
        <v>7427</v>
      </c>
    </row>
    <row r="775" spans="1:33" ht="6.9" customHeight="1" x14ac:dyDescent="0.4">
      <c r="A775" s="4">
        <f>ROW()</f>
        <v>775</v>
      </c>
      <c r="B775" s="9" t="s">
        <v>27</v>
      </c>
      <c r="C775" s="55" t="str">
        <f t="shared" si="331"/>
        <v>p.fechar</v>
      </c>
      <c r="D775" s="6" t="str">
        <f t="shared" si="322"/>
        <v>é.fechadura</v>
      </c>
      <c r="E775" s="8" t="s">
        <v>28</v>
      </c>
      <c r="F775" s="42" t="str">
        <f t="shared" si="340"/>
        <v>d.fechar</v>
      </c>
      <c r="G775" s="23" t="s">
        <v>7277</v>
      </c>
      <c r="H775" s="41" t="s">
        <v>2121</v>
      </c>
      <c r="I775" s="16" t="str">
        <f t="shared" si="324"/>
        <v>null</v>
      </c>
      <c r="J775" s="15" t="s">
        <v>0</v>
      </c>
      <c r="K775" s="13" t="s">
        <v>0</v>
      </c>
      <c r="L775" s="13" t="s">
        <v>0</v>
      </c>
      <c r="M775" s="13" t="s">
        <v>0</v>
      </c>
      <c r="N775" s="13" t="s">
        <v>0</v>
      </c>
      <c r="O775" s="13" t="s">
        <v>0</v>
      </c>
      <c r="P775" s="13" t="s">
        <v>0</v>
      </c>
      <c r="Q775" s="13" t="s">
        <v>0</v>
      </c>
      <c r="R775" s="15" t="s">
        <v>0</v>
      </c>
      <c r="S775" s="10" t="s">
        <v>1</v>
      </c>
      <c r="T775" s="10" t="s">
        <v>32</v>
      </c>
      <c r="U775" s="5" t="str">
        <f t="shared" si="336"/>
        <v>Propriedade destinada a fechar: é.fechadura</v>
      </c>
      <c r="V775" s="5" t="str">
        <f t="shared" si="337"/>
        <v>Dado para fechar:  fechadura  Deve ser formatado como (rdfs:Literal  or  xsd:string)</v>
      </c>
      <c r="W775" s="5" t="s">
        <v>7295</v>
      </c>
      <c r="X775" s="24" t="str">
        <f t="shared" si="338"/>
        <v>fecha.104</v>
      </c>
      <c r="Y775" s="24" t="str">
        <f t="shared" si="339"/>
        <v>Ação de fechar</v>
      </c>
      <c r="Z775" s="47" t="s">
        <v>7394</v>
      </c>
      <c r="AA775" s="25" t="str">
        <f t="shared" si="332"/>
        <v>categoria.revit</v>
      </c>
      <c r="AB775" s="26" t="s">
        <v>7315</v>
      </c>
      <c r="AC775" s="25" t="str">
        <f t="shared" si="333"/>
        <v>classe.ifc</v>
      </c>
      <c r="AD775" s="26" t="s">
        <v>7316</v>
      </c>
      <c r="AE775" s="25" t="str">
        <f t="shared" si="335"/>
        <v>null</v>
      </c>
      <c r="AF775" s="26" t="s">
        <v>0</v>
      </c>
      <c r="AG775" s="47" t="s">
        <v>7428</v>
      </c>
    </row>
    <row r="776" spans="1:33" ht="6.9" customHeight="1" x14ac:dyDescent="0.4">
      <c r="A776" s="4">
        <f>ROW()</f>
        <v>776</v>
      </c>
      <c r="B776" s="9" t="s">
        <v>27</v>
      </c>
      <c r="C776" s="55" t="str">
        <f t="shared" si="331"/>
        <v>p.fechar</v>
      </c>
      <c r="D776" s="6" t="str">
        <f t="shared" si="322"/>
        <v>é.fechadura.altura.caixa</v>
      </c>
      <c r="E776" s="8" t="s">
        <v>28</v>
      </c>
      <c r="F776" s="42" t="str">
        <f t="shared" si="340"/>
        <v>d.fechar</v>
      </c>
      <c r="G776" s="23" t="s">
        <v>7312</v>
      </c>
      <c r="H776" s="41" t="s">
        <v>36</v>
      </c>
      <c r="I776" s="16" t="str">
        <f t="shared" si="324"/>
        <v>null</v>
      </c>
      <c r="J776" s="15" t="s">
        <v>0</v>
      </c>
      <c r="K776" s="13" t="s">
        <v>0</v>
      </c>
      <c r="L776" s="13" t="s">
        <v>0</v>
      </c>
      <c r="M776" s="13" t="s">
        <v>0</v>
      </c>
      <c r="N776" s="13" t="s">
        <v>0</v>
      </c>
      <c r="O776" s="13" t="s">
        <v>0</v>
      </c>
      <c r="P776" s="13" t="s">
        <v>0</v>
      </c>
      <c r="Q776" s="13" t="s">
        <v>0</v>
      </c>
      <c r="R776" s="15" t="s">
        <v>0</v>
      </c>
      <c r="S776" s="10" t="s">
        <v>1</v>
      </c>
      <c r="T776" s="10" t="s">
        <v>32</v>
      </c>
      <c r="U776" s="5" t="str">
        <f t="shared" si="336"/>
        <v>Propriedade destinada a fechar: é.fechadura.altura.caixa</v>
      </c>
      <c r="V776" s="5" t="str">
        <f t="shared" si="337"/>
        <v>Dado para fechar:  fechadura.altura.caixa  Deve ser formatado como (xsd:double)</v>
      </c>
      <c r="W776" s="5" t="s">
        <v>7304</v>
      </c>
      <c r="X776" s="24" t="str">
        <f t="shared" si="338"/>
        <v>fecha.105</v>
      </c>
      <c r="Y776" s="24" t="str">
        <f t="shared" si="339"/>
        <v>Ação de fechar</v>
      </c>
      <c r="Z776" s="47" t="s">
        <v>7395</v>
      </c>
      <c r="AA776" s="25" t="str">
        <f t="shared" si="332"/>
        <v>categoria.revit</v>
      </c>
      <c r="AB776" s="26" t="s">
        <v>7315</v>
      </c>
      <c r="AC776" s="25" t="str">
        <f t="shared" si="333"/>
        <v>classe.ifc</v>
      </c>
      <c r="AD776" s="26" t="s">
        <v>7316</v>
      </c>
      <c r="AE776" s="25" t="str">
        <f t="shared" si="335"/>
        <v>null</v>
      </c>
      <c r="AF776" s="26" t="s">
        <v>0</v>
      </c>
      <c r="AG776" s="47" t="s">
        <v>7429</v>
      </c>
    </row>
    <row r="777" spans="1:33" ht="6.9" customHeight="1" x14ac:dyDescent="0.4">
      <c r="A777" s="4">
        <f>ROW()</f>
        <v>777</v>
      </c>
      <c r="B777" s="9" t="s">
        <v>27</v>
      </c>
      <c r="C777" s="55" t="str">
        <f t="shared" si="331"/>
        <v>p.fechar</v>
      </c>
      <c r="D777" s="6" t="str">
        <f t="shared" si="322"/>
        <v>é.fechadura.altura.testa</v>
      </c>
      <c r="E777" s="8" t="s">
        <v>28</v>
      </c>
      <c r="F777" s="42" t="str">
        <f t="shared" si="340"/>
        <v>d.fechar</v>
      </c>
      <c r="G777" s="23" t="s">
        <v>7313</v>
      </c>
      <c r="H777" s="41" t="s">
        <v>36</v>
      </c>
      <c r="I777" s="16" t="str">
        <f t="shared" si="324"/>
        <v>null</v>
      </c>
      <c r="J777" s="15" t="s">
        <v>0</v>
      </c>
      <c r="K777" s="13" t="s">
        <v>0</v>
      </c>
      <c r="L777" s="13" t="s">
        <v>0</v>
      </c>
      <c r="M777" s="13" t="s">
        <v>0</v>
      </c>
      <c r="N777" s="13" t="s">
        <v>0</v>
      </c>
      <c r="O777" s="13" t="s">
        <v>0</v>
      </c>
      <c r="P777" s="13" t="s">
        <v>0</v>
      </c>
      <c r="Q777" s="13" t="s">
        <v>0</v>
      </c>
      <c r="R777" s="15" t="s">
        <v>0</v>
      </c>
      <c r="S777" s="10" t="s">
        <v>1</v>
      </c>
      <c r="T777" s="10" t="s">
        <v>32</v>
      </c>
      <c r="U777" s="5" t="str">
        <f t="shared" si="336"/>
        <v>Propriedade destinada a fechar: é.fechadura.altura.testa</v>
      </c>
      <c r="V777" s="5" t="str">
        <f t="shared" si="337"/>
        <v>Dado para fechar:  fechadura.altura.testa  Deve ser formatado como (xsd:double)</v>
      </c>
      <c r="W777" s="5" t="s">
        <v>7306</v>
      </c>
      <c r="X777" s="24" t="str">
        <f t="shared" si="338"/>
        <v>fecha.106</v>
      </c>
      <c r="Y777" s="24" t="str">
        <f t="shared" si="339"/>
        <v>Ação de fechar</v>
      </c>
      <c r="Z777" s="47" t="s">
        <v>7396</v>
      </c>
      <c r="AA777" s="25" t="str">
        <f t="shared" si="332"/>
        <v>categoria.revit</v>
      </c>
      <c r="AB777" s="26" t="s">
        <v>7315</v>
      </c>
      <c r="AC777" s="25" t="str">
        <f t="shared" si="333"/>
        <v>classe.ifc</v>
      </c>
      <c r="AD777" s="26" t="s">
        <v>7316</v>
      </c>
      <c r="AE777" s="25" t="str">
        <f t="shared" si="335"/>
        <v>null</v>
      </c>
      <c r="AF777" s="26" t="s">
        <v>0</v>
      </c>
      <c r="AG777" s="47" t="s">
        <v>7430</v>
      </c>
    </row>
    <row r="778" spans="1:33" ht="6.9" customHeight="1" x14ac:dyDescent="0.4">
      <c r="A778" s="4">
        <f>ROW()</f>
        <v>778</v>
      </c>
      <c r="B778" s="9" t="s">
        <v>27</v>
      </c>
      <c r="C778" s="55" t="str">
        <f t="shared" si="331"/>
        <v>p.fechar</v>
      </c>
      <c r="D778" s="6" t="str">
        <f t="shared" si="322"/>
        <v>é.fechadura.com espelho</v>
      </c>
      <c r="E778" s="8" t="s">
        <v>28</v>
      </c>
      <c r="F778" s="42" t="str">
        <f t="shared" si="340"/>
        <v>d.fechar</v>
      </c>
      <c r="G778" s="23" t="s">
        <v>7310</v>
      </c>
      <c r="H778" s="41" t="s">
        <v>2121</v>
      </c>
      <c r="I778" s="16" t="str">
        <f t="shared" si="324"/>
        <v>null</v>
      </c>
      <c r="J778" s="15" t="s">
        <v>0</v>
      </c>
      <c r="K778" s="13" t="s">
        <v>0</v>
      </c>
      <c r="L778" s="13" t="s">
        <v>0</v>
      </c>
      <c r="M778" s="13" t="s">
        <v>0</v>
      </c>
      <c r="N778" s="13" t="s">
        <v>0</v>
      </c>
      <c r="O778" s="13" t="s">
        <v>0</v>
      </c>
      <c r="P778" s="13" t="s">
        <v>0</v>
      </c>
      <c r="Q778" s="13" t="s">
        <v>0</v>
      </c>
      <c r="R778" s="15" t="s">
        <v>0</v>
      </c>
      <c r="S778" s="10" t="s">
        <v>1</v>
      </c>
      <c r="T778" s="10" t="s">
        <v>32</v>
      </c>
      <c r="U778" s="5" t="str">
        <f t="shared" si="336"/>
        <v>Propriedade destinada a fechar: é.fechadura.com espelho</v>
      </c>
      <c r="V778" s="5" t="str">
        <f t="shared" si="337"/>
        <v>Dado para fechar:  fechadura.com espelho  Deve ser formatado como (rdfs:Literal  or  xsd:string)</v>
      </c>
      <c r="W778" s="5" t="s">
        <v>7309</v>
      </c>
      <c r="X778" s="24" t="str">
        <f t="shared" si="338"/>
        <v>fecha.107</v>
      </c>
      <c r="Y778" s="24" t="str">
        <f t="shared" si="339"/>
        <v>Ação de fechar</v>
      </c>
      <c r="Z778" s="47" t="s">
        <v>7397</v>
      </c>
      <c r="AA778" s="25" t="str">
        <f t="shared" si="332"/>
        <v>categoria.revit</v>
      </c>
      <c r="AB778" s="26" t="s">
        <v>7315</v>
      </c>
      <c r="AC778" s="25" t="str">
        <f t="shared" si="333"/>
        <v>classe.ifc</v>
      </c>
      <c r="AD778" s="26" t="s">
        <v>7316</v>
      </c>
      <c r="AE778" s="25" t="str">
        <f t="shared" si="335"/>
        <v>null</v>
      </c>
      <c r="AF778" s="26" t="s">
        <v>0</v>
      </c>
      <c r="AG778" s="47" t="s">
        <v>7431</v>
      </c>
    </row>
    <row r="779" spans="1:33" ht="6.9" customHeight="1" x14ac:dyDescent="0.4">
      <c r="A779" s="4">
        <f>ROW()</f>
        <v>779</v>
      </c>
      <c r="B779" s="9" t="s">
        <v>27</v>
      </c>
      <c r="C779" s="55" t="str">
        <f t="shared" si="331"/>
        <v>p.fechar</v>
      </c>
      <c r="D779" s="6" t="str">
        <f t="shared" si="322"/>
        <v>é.fechadura.com roseta</v>
      </c>
      <c r="E779" s="8" t="s">
        <v>28</v>
      </c>
      <c r="F779" s="42" t="str">
        <f t="shared" si="340"/>
        <v>d.fechar</v>
      </c>
      <c r="G779" s="23" t="s">
        <v>7307</v>
      </c>
      <c r="H779" s="41" t="s">
        <v>2121</v>
      </c>
      <c r="I779" s="16" t="str">
        <f t="shared" si="324"/>
        <v>null</v>
      </c>
      <c r="J779" s="15" t="s">
        <v>0</v>
      </c>
      <c r="K779" s="13" t="s">
        <v>0</v>
      </c>
      <c r="L779" s="13" t="s">
        <v>0</v>
      </c>
      <c r="M779" s="13" t="s">
        <v>0</v>
      </c>
      <c r="N779" s="13" t="s">
        <v>0</v>
      </c>
      <c r="O779" s="13" t="s">
        <v>0</v>
      </c>
      <c r="P779" s="13" t="s">
        <v>0</v>
      </c>
      <c r="Q779" s="13" t="s">
        <v>0</v>
      </c>
      <c r="R779" s="15" t="s">
        <v>0</v>
      </c>
      <c r="S779" s="10" t="s">
        <v>1</v>
      </c>
      <c r="T779" s="10" t="s">
        <v>32</v>
      </c>
      <c r="U779" s="5" t="str">
        <f t="shared" si="336"/>
        <v>Propriedade destinada a fechar: é.fechadura.com roseta</v>
      </c>
      <c r="V779" s="5" t="str">
        <f t="shared" si="337"/>
        <v>Dado para fechar:  fechadura.com roseta  Deve ser formatado como (rdfs:Literal  or  xsd:string)</v>
      </c>
      <c r="W779" s="5" t="s">
        <v>7308</v>
      </c>
      <c r="X779" s="24" t="str">
        <f t="shared" si="338"/>
        <v>fecha.108</v>
      </c>
      <c r="Y779" s="24" t="str">
        <f t="shared" si="339"/>
        <v>Ação de fechar</v>
      </c>
      <c r="Z779" s="47" t="s">
        <v>7398</v>
      </c>
      <c r="AA779" s="25" t="str">
        <f t="shared" si="332"/>
        <v>categoria.revit</v>
      </c>
      <c r="AB779" s="26" t="s">
        <v>7315</v>
      </c>
      <c r="AC779" s="25" t="str">
        <f t="shared" si="333"/>
        <v>classe.ifc</v>
      </c>
      <c r="AD779" s="26" t="s">
        <v>7316</v>
      </c>
      <c r="AE779" s="25" t="str">
        <f t="shared" si="335"/>
        <v>null</v>
      </c>
      <c r="AF779" s="26" t="s">
        <v>0</v>
      </c>
      <c r="AG779" s="47" t="s">
        <v>7432</v>
      </c>
    </row>
    <row r="780" spans="1:33" ht="6.9" customHeight="1" x14ac:dyDescent="0.4">
      <c r="A780" s="4">
        <f>ROW()</f>
        <v>780</v>
      </c>
      <c r="B780" s="9" t="s">
        <v>27</v>
      </c>
      <c r="C780" s="55" t="str">
        <f t="shared" si="331"/>
        <v>p.fechar</v>
      </c>
      <c r="D780" s="6" t="str">
        <f t="shared" si="322"/>
        <v>é.fechadura.digital</v>
      </c>
      <c r="E780" s="8" t="s">
        <v>28</v>
      </c>
      <c r="F780" s="42" t="str">
        <f t="shared" si="340"/>
        <v>d.fechar</v>
      </c>
      <c r="G780" s="23" t="s">
        <v>7285</v>
      </c>
      <c r="H780" s="41" t="s">
        <v>2121</v>
      </c>
      <c r="I780" s="16" t="str">
        <f t="shared" si="324"/>
        <v>null</v>
      </c>
      <c r="J780" s="15" t="s">
        <v>0</v>
      </c>
      <c r="K780" s="13" t="s">
        <v>0</v>
      </c>
      <c r="L780" s="13" t="s">
        <v>0</v>
      </c>
      <c r="M780" s="13" t="s">
        <v>0</v>
      </c>
      <c r="N780" s="13" t="s">
        <v>0</v>
      </c>
      <c r="O780" s="13" t="s">
        <v>0</v>
      </c>
      <c r="P780" s="13" t="s">
        <v>0</v>
      </c>
      <c r="Q780" s="13" t="s">
        <v>0</v>
      </c>
      <c r="R780" s="15" t="s">
        <v>0</v>
      </c>
      <c r="S780" s="10" t="s">
        <v>1</v>
      </c>
      <c r="T780" s="10" t="s">
        <v>32</v>
      </c>
      <c r="U780" s="5" t="str">
        <f t="shared" si="336"/>
        <v>Propriedade destinada a fechar: é.fechadura.digital</v>
      </c>
      <c r="V780" s="5" t="str">
        <f t="shared" si="337"/>
        <v>Dado para fechar:  fechadura.digital  Deve ser formatado como (rdfs:Literal  or  xsd:string)</v>
      </c>
      <c r="W780" s="5" t="s">
        <v>7287</v>
      </c>
      <c r="X780" s="24" t="str">
        <f t="shared" si="338"/>
        <v>fecha.109</v>
      </c>
      <c r="Y780" s="24" t="str">
        <f t="shared" si="339"/>
        <v>Ação de fechar</v>
      </c>
      <c r="Z780" s="47" t="s">
        <v>7399</v>
      </c>
      <c r="AA780" s="25" t="str">
        <f t="shared" si="332"/>
        <v>categoria.revit</v>
      </c>
      <c r="AB780" s="26" t="s">
        <v>7315</v>
      </c>
      <c r="AC780" s="25" t="str">
        <f t="shared" si="333"/>
        <v>classe.ifc</v>
      </c>
      <c r="AD780" s="26" t="s">
        <v>7316</v>
      </c>
      <c r="AE780" s="25" t="str">
        <f t="shared" si="335"/>
        <v>null</v>
      </c>
      <c r="AF780" s="26" t="s">
        <v>0</v>
      </c>
      <c r="AG780" s="47" t="s">
        <v>7433</v>
      </c>
    </row>
    <row r="781" spans="1:33" ht="6.9" customHeight="1" x14ac:dyDescent="0.4">
      <c r="A781" s="4">
        <f>ROW()</f>
        <v>781</v>
      </c>
      <c r="B781" s="9" t="s">
        <v>27</v>
      </c>
      <c r="C781" s="55" t="str">
        <f t="shared" si="331"/>
        <v>p.fechar</v>
      </c>
      <c r="D781" s="6" t="str">
        <f t="shared" si="322"/>
        <v>é.fechadura.elétrica</v>
      </c>
      <c r="E781" s="8" t="s">
        <v>28</v>
      </c>
      <c r="F781" s="42" t="str">
        <f t="shared" si="340"/>
        <v>d.fechar</v>
      </c>
      <c r="G781" s="23" t="s">
        <v>7288</v>
      </c>
      <c r="H781" s="41" t="s">
        <v>2121</v>
      </c>
      <c r="I781" s="16" t="str">
        <f t="shared" si="324"/>
        <v>null</v>
      </c>
      <c r="J781" s="15" t="s">
        <v>0</v>
      </c>
      <c r="K781" s="13" t="s">
        <v>0</v>
      </c>
      <c r="L781" s="13" t="s">
        <v>0</v>
      </c>
      <c r="M781" s="13" t="s">
        <v>0</v>
      </c>
      <c r="N781" s="13" t="s">
        <v>0</v>
      </c>
      <c r="O781" s="13" t="s">
        <v>0</v>
      </c>
      <c r="P781" s="13" t="s">
        <v>0</v>
      </c>
      <c r="Q781" s="13" t="s">
        <v>0</v>
      </c>
      <c r="R781" s="15" t="s">
        <v>0</v>
      </c>
      <c r="S781" s="10" t="s">
        <v>1</v>
      </c>
      <c r="T781" s="10" t="s">
        <v>32</v>
      </c>
      <c r="U781" s="5" t="str">
        <f t="shared" si="336"/>
        <v>Propriedade destinada a fechar: é.fechadura.elétrica</v>
      </c>
      <c r="V781" s="5" t="str">
        <f t="shared" si="337"/>
        <v>Dado para fechar:  fechadura.elétrica  Deve ser formatado como (rdfs:Literal  or  xsd:string)</v>
      </c>
      <c r="W781" s="5" t="s">
        <v>7292</v>
      </c>
      <c r="X781" s="24" t="str">
        <f t="shared" si="338"/>
        <v>fecha.110</v>
      </c>
      <c r="Y781" s="24" t="str">
        <f t="shared" si="339"/>
        <v>Ação de fechar</v>
      </c>
      <c r="Z781" s="47" t="s">
        <v>7400</v>
      </c>
      <c r="AA781" s="25" t="str">
        <f t="shared" si="332"/>
        <v>categoria.revit</v>
      </c>
      <c r="AB781" s="26" t="s">
        <v>7315</v>
      </c>
      <c r="AC781" s="25" t="str">
        <f t="shared" si="333"/>
        <v>classe.ifc</v>
      </c>
      <c r="AD781" s="26" t="s">
        <v>7316</v>
      </c>
      <c r="AE781" s="25" t="str">
        <f t="shared" si="335"/>
        <v>null</v>
      </c>
      <c r="AF781" s="26" t="s">
        <v>0</v>
      </c>
      <c r="AG781" s="47" t="s">
        <v>7434</v>
      </c>
    </row>
    <row r="782" spans="1:33" ht="6.9" customHeight="1" x14ac:dyDescent="0.4">
      <c r="A782" s="4">
        <f>ROW()</f>
        <v>782</v>
      </c>
      <c r="B782" s="9" t="s">
        <v>27</v>
      </c>
      <c r="C782" s="55" t="str">
        <f t="shared" si="331"/>
        <v>p.fechar</v>
      </c>
      <c r="D782" s="6" t="str">
        <f t="shared" si="322"/>
        <v>é.fechadura.eletroímã</v>
      </c>
      <c r="E782" s="8" t="s">
        <v>28</v>
      </c>
      <c r="F782" s="42" t="str">
        <f t="shared" si="340"/>
        <v>d.fechar</v>
      </c>
      <c r="G782" s="23" t="s">
        <v>7289</v>
      </c>
      <c r="H782" s="41" t="s">
        <v>2121</v>
      </c>
      <c r="I782" s="16" t="str">
        <f t="shared" si="324"/>
        <v>null</v>
      </c>
      <c r="J782" s="15" t="s">
        <v>0</v>
      </c>
      <c r="K782" s="13" t="s">
        <v>0</v>
      </c>
      <c r="L782" s="13" t="s">
        <v>0</v>
      </c>
      <c r="M782" s="13" t="s">
        <v>0</v>
      </c>
      <c r="N782" s="13" t="s">
        <v>0</v>
      </c>
      <c r="O782" s="13" t="s">
        <v>0</v>
      </c>
      <c r="P782" s="13" t="s">
        <v>0</v>
      </c>
      <c r="Q782" s="13" t="s">
        <v>0</v>
      </c>
      <c r="R782" s="15" t="s">
        <v>0</v>
      </c>
      <c r="S782" s="10" t="s">
        <v>1</v>
      </c>
      <c r="T782" s="10" t="s">
        <v>32</v>
      </c>
      <c r="U782" s="5" t="str">
        <f t="shared" si="336"/>
        <v>Propriedade destinada a fechar: é.fechadura.eletroímã</v>
      </c>
      <c r="V782" s="5" t="str">
        <f t="shared" si="337"/>
        <v>Dado para fechar:  fechadura.eletroímã  Deve ser formatado como (rdfs:Literal  or  xsd:string)</v>
      </c>
      <c r="W782" s="5" t="s">
        <v>7290</v>
      </c>
      <c r="X782" s="24" t="str">
        <f t="shared" si="338"/>
        <v>fecha.111</v>
      </c>
      <c r="Y782" s="24" t="str">
        <f t="shared" si="339"/>
        <v>Ação de fechar</v>
      </c>
      <c r="Z782" s="47" t="s">
        <v>7401</v>
      </c>
      <c r="AA782" s="25" t="str">
        <f t="shared" si="332"/>
        <v>categoria.revit</v>
      </c>
      <c r="AB782" s="26" t="s">
        <v>7315</v>
      </c>
      <c r="AC782" s="25" t="str">
        <f t="shared" si="333"/>
        <v>classe.ifc</v>
      </c>
      <c r="AD782" s="26" t="s">
        <v>7316</v>
      </c>
      <c r="AE782" s="25" t="str">
        <f t="shared" si="335"/>
        <v>null</v>
      </c>
      <c r="AF782" s="26" t="s">
        <v>0</v>
      </c>
      <c r="AG782" s="47" t="s">
        <v>7435</v>
      </c>
    </row>
    <row r="783" spans="1:33" ht="6.9" customHeight="1" x14ac:dyDescent="0.4">
      <c r="A783" s="4">
        <f>ROW()</f>
        <v>783</v>
      </c>
      <c r="B783" s="9" t="s">
        <v>27</v>
      </c>
      <c r="C783" s="55" t="str">
        <f t="shared" si="331"/>
        <v>p.fechar</v>
      </c>
      <c r="D783" s="6" t="str">
        <f t="shared" ref="D783:D846" si="341">_xlfn.CONCAT("é.",G783)</f>
        <v>é.fechadura.largura.caixa</v>
      </c>
      <c r="E783" s="8" t="s">
        <v>28</v>
      </c>
      <c r="F783" s="42" t="str">
        <f t="shared" si="340"/>
        <v>d.fechar</v>
      </c>
      <c r="G783" s="23" t="s">
        <v>7311</v>
      </c>
      <c r="H783" s="41" t="s">
        <v>36</v>
      </c>
      <c r="I783" s="16" t="str">
        <f t="shared" si="324"/>
        <v>null</v>
      </c>
      <c r="J783" s="15" t="s">
        <v>0</v>
      </c>
      <c r="K783" s="13" t="s">
        <v>0</v>
      </c>
      <c r="L783" s="13" t="s">
        <v>0</v>
      </c>
      <c r="M783" s="13" t="s">
        <v>0</v>
      </c>
      <c r="N783" s="13" t="s">
        <v>0</v>
      </c>
      <c r="O783" s="13" t="s">
        <v>0</v>
      </c>
      <c r="P783" s="13" t="s">
        <v>0</v>
      </c>
      <c r="Q783" s="13" t="s">
        <v>0</v>
      </c>
      <c r="R783" s="15" t="s">
        <v>0</v>
      </c>
      <c r="S783" s="10" t="s">
        <v>1</v>
      </c>
      <c r="T783" s="10" t="s">
        <v>32</v>
      </c>
      <c r="U783" s="5" t="str">
        <f t="shared" si="336"/>
        <v>Propriedade destinada a fechar: é.fechadura.largura.caixa</v>
      </c>
      <c r="V783" s="5" t="str">
        <f t="shared" si="337"/>
        <v>Dado para fechar:  fechadura.largura.caixa  Deve ser formatado como (xsd:double)</v>
      </c>
      <c r="W783" s="5" t="s">
        <v>7303</v>
      </c>
      <c r="X783" s="24" t="str">
        <f t="shared" si="338"/>
        <v>fecha.112</v>
      </c>
      <c r="Y783" s="24" t="str">
        <f t="shared" si="339"/>
        <v>Ação de fechar</v>
      </c>
      <c r="Z783" s="47" t="s">
        <v>7402</v>
      </c>
      <c r="AA783" s="25" t="str">
        <f t="shared" si="332"/>
        <v>categoria.revit</v>
      </c>
      <c r="AB783" s="26" t="s">
        <v>7315</v>
      </c>
      <c r="AC783" s="25" t="str">
        <f t="shared" si="333"/>
        <v>classe.ifc</v>
      </c>
      <c r="AD783" s="26" t="s">
        <v>7316</v>
      </c>
      <c r="AE783" s="25" t="str">
        <f t="shared" si="335"/>
        <v>null</v>
      </c>
      <c r="AF783" s="26" t="s">
        <v>0</v>
      </c>
      <c r="AG783" s="47" t="s">
        <v>7436</v>
      </c>
    </row>
    <row r="784" spans="1:33" ht="6.9" customHeight="1" x14ac:dyDescent="0.4">
      <c r="A784" s="4">
        <f>ROW()</f>
        <v>784</v>
      </c>
      <c r="B784" s="9" t="s">
        <v>27</v>
      </c>
      <c r="C784" s="55" t="str">
        <f t="shared" si="331"/>
        <v>p.fechar</v>
      </c>
      <c r="D784" s="6" t="str">
        <f t="shared" si="341"/>
        <v>é.fechadura.largura.testa</v>
      </c>
      <c r="E784" s="8" t="s">
        <v>28</v>
      </c>
      <c r="F784" s="42" t="str">
        <f t="shared" si="340"/>
        <v>d.fechar</v>
      </c>
      <c r="G784" s="23" t="s">
        <v>7314</v>
      </c>
      <c r="H784" s="41" t="s">
        <v>36</v>
      </c>
      <c r="I784" s="16" t="str">
        <f t="shared" si="324"/>
        <v>null</v>
      </c>
      <c r="J784" s="15" t="s">
        <v>0</v>
      </c>
      <c r="K784" s="13" t="s">
        <v>0</v>
      </c>
      <c r="L784" s="13" t="s">
        <v>0</v>
      </c>
      <c r="M784" s="13" t="s">
        <v>0</v>
      </c>
      <c r="N784" s="13" t="s">
        <v>0</v>
      </c>
      <c r="O784" s="13" t="s">
        <v>0</v>
      </c>
      <c r="P784" s="13" t="s">
        <v>0</v>
      </c>
      <c r="Q784" s="13" t="s">
        <v>0</v>
      </c>
      <c r="R784" s="15" t="s">
        <v>0</v>
      </c>
      <c r="S784" s="10" t="s">
        <v>1</v>
      </c>
      <c r="T784" s="10" t="s">
        <v>32</v>
      </c>
      <c r="U784" s="5" t="str">
        <f t="shared" si="336"/>
        <v>Propriedade destinada a fechar: é.fechadura.largura.testa</v>
      </c>
      <c r="V784" s="5" t="str">
        <f t="shared" si="337"/>
        <v>Dado para fechar:  fechadura.largura.testa  Deve ser formatado como (xsd:double)</v>
      </c>
      <c r="W784" s="5" t="s">
        <v>7305</v>
      </c>
      <c r="X784" s="24" t="str">
        <f t="shared" si="338"/>
        <v>fecha.113</v>
      </c>
      <c r="Y784" s="24" t="str">
        <f t="shared" si="339"/>
        <v>Ação de fechar</v>
      </c>
      <c r="Z784" s="47" t="s">
        <v>7403</v>
      </c>
      <c r="AA784" s="25" t="str">
        <f t="shared" si="332"/>
        <v>categoria.revit</v>
      </c>
      <c r="AB784" s="26" t="s">
        <v>7315</v>
      </c>
      <c r="AC784" s="25" t="str">
        <f t="shared" si="333"/>
        <v>classe.ifc</v>
      </c>
      <c r="AD784" s="26" t="s">
        <v>7316</v>
      </c>
      <c r="AE784" s="25" t="str">
        <f t="shared" si="335"/>
        <v>null</v>
      </c>
      <c r="AF784" s="26" t="s">
        <v>0</v>
      </c>
      <c r="AG784" s="47" t="s">
        <v>7437</v>
      </c>
    </row>
    <row r="785" spans="1:33" ht="6.9" customHeight="1" x14ac:dyDescent="0.4">
      <c r="A785" s="4">
        <f>ROW()</f>
        <v>785</v>
      </c>
      <c r="B785" s="9" t="s">
        <v>27</v>
      </c>
      <c r="C785" s="55" t="str">
        <f t="shared" si="331"/>
        <v>p.fechar</v>
      </c>
      <c r="D785" s="6" t="str">
        <f t="shared" si="341"/>
        <v>é.fechadura.solenóide</v>
      </c>
      <c r="E785" s="8" t="s">
        <v>28</v>
      </c>
      <c r="F785" s="42" t="str">
        <f t="shared" si="340"/>
        <v>d.fechar</v>
      </c>
      <c r="G785" s="23" t="s">
        <v>7286</v>
      </c>
      <c r="H785" s="41" t="s">
        <v>2121</v>
      </c>
      <c r="I785" s="16" t="str">
        <f t="shared" si="324"/>
        <v>null</v>
      </c>
      <c r="J785" s="15" t="s">
        <v>0</v>
      </c>
      <c r="K785" s="13" t="s">
        <v>0</v>
      </c>
      <c r="L785" s="13" t="s">
        <v>0</v>
      </c>
      <c r="M785" s="13" t="s">
        <v>0</v>
      </c>
      <c r="N785" s="13" t="s">
        <v>0</v>
      </c>
      <c r="O785" s="13" t="s">
        <v>0</v>
      </c>
      <c r="P785" s="13" t="s">
        <v>0</v>
      </c>
      <c r="Q785" s="13" t="s">
        <v>0</v>
      </c>
      <c r="R785" s="15" t="s">
        <v>0</v>
      </c>
      <c r="S785" s="10" t="s">
        <v>1</v>
      </c>
      <c r="T785" s="10" t="s">
        <v>32</v>
      </c>
      <c r="U785" s="5" t="str">
        <f t="shared" si="336"/>
        <v>Propriedade destinada a fechar: é.fechadura.solenóide</v>
      </c>
      <c r="V785" s="5" t="str">
        <f t="shared" si="337"/>
        <v>Dado para fechar:  fechadura.solenóide  Deve ser formatado como (rdfs:Literal  or  xsd:string)</v>
      </c>
      <c r="W785" s="5" t="s">
        <v>7291</v>
      </c>
      <c r="X785" s="24" t="str">
        <f t="shared" si="338"/>
        <v>fecha.114</v>
      </c>
      <c r="Y785" s="24" t="str">
        <f t="shared" si="339"/>
        <v>Ação de fechar</v>
      </c>
      <c r="Z785" s="47" t="s">
        <v>7404</v>
      </c>
      <c r="AA785" s="25" t="str">
        <f t="shared" si="332"/>
        <v>categoria.revit</v>
      </c>
      <c r="AB785" s="26" t="s">
        <v>7315</v>
      </c>
      <c r="AC785" s="25" t="str">
        <f t="shared" si="333"/>
        <v>classe.ifc</v>
      </c>
      <c r="AD785" s="26" t="s">
        <v>7316</v>
      </c>
      <c r="AE785" s="25" t="str">
        <f t="shared" si="335"/>
        <v>null</v>
      </c>
      <c r="AF785" s="26" t="s">
        <v>0</v>
      </c>
      <c r="AG785" s="47" t="s">
        <v>7438</v>
      </c>
    </row>
    <row r="786" spans="1:33" ht="6.9" customHeight="1" x14ac:dyDescent="0.4">
      <c r="A786" s="4">
        <f>ROW()</f>
        <v>786</v>
      </c>
      <c r="B786" s="9" t="s">
        <v>27</v>
      </c>
      <c r="C786" s="55" t="str">
        <f t="shared" si="331"/>
        <v>p.fechar</v>
      </c>
      <c r="D786" s="6" t="str">
        <f t="shared" si="341"/>
        <v>é.fecho</v>
      </c>
      <c r="E786" s="8" t="s">
        <v>28</v>
      </c>
      <c r="F786" s="42" t="str">
        <f t="shared" si="340"/>
        <v>d.fechar</v>
      </c>
      <c r="G786" s="23" t="s">
        <v>7279</v>
      </c>
      <c r="H786" s="41" t="s">
        <v>2121</v>
      </c>
      <c r="I786" s="16" t="str">
        <f t="shared" si="324"/>
        <v>null</v>
      </c>
      <c r="J786" s="15" t="s">
        <v>0</v>
      </c>
      <c r="K786" s="13" t="s">
        <v>0</v>
      </c>
      <c r="L786" s="13" t="s">
        <v>0</v>
      </c>
      <c r="M786" s="13" t="s">
        <v>0</v>
      </c>
      <c r="N786" s="13" t="s">
        <v>0</v>
      </c>
      <c r="O786" s="13" t="s">
        <v>0</v>
      </c>
      <c r="P786" s="13" t="s">
        <v>0</v>
      </c>
      <c r="Q786" s="13" t="s">
        <v>0</v>
      </c>
      <c r="R786" s="15" t="s">
        <v>0</v>
      </c>
      <c r="S786" s="10" t="s">
        <v>1</v>
      </c>
      <c r="T786" s="10" t="s">
        <v>32</v>
      </c>
      <c r="U786" s="5" t="str">
        <f t="shared" si="336"/>
        <v>Propriedade destinada a fechar: é.fecho</v>
      </c>
      <c r="V786" s="5" t="str">
        <f t="shared" si="337"/>
        <v>Dado para fechar:  fecho  Deve ser formatado como (rdfs:Literal  or  xsd:string)</v>
      </c>
      <c r="W786" s="5" t="s">
        <v>7294</v>
      </c>
      <c r="X786" s="24" t="str">
        <f t="shared" si="338"/>
        <v>fecha.115</v>
      </c>
      <c r="Y786" s="24" t="str">
        <f t="shared" si="339"/>
        <v>Ação de fechar</v>
      </c>
      <c r="Z786" s="47" t="s">
        <v>7405</v>
      </c>
      <c r="AA786" s="25" t="str">
        <f t="shared" si="332"/>
        <v>categoria.revit</v>
      </c>
      <c r="AB786" s="26" t="s">
        <v>7315</v>
      </c>
      <c r="AC786" s="25" t="str">
        <f t="shared" si="333"/>
        <v>classe.ifc</v>
      </c>
      <c r="AD786" s="26" t="s">
        <v>7316</v>
      </c>
      <c r="AE786" s="25" t="str">
        <f t="shared" si="335"/>
        <v>null</v>
      </c>
      <c r="AF786" s="26" t="s">
        <v>0</v>
      </c>
      <c r="AG786" s="47" t="s">
        <v>7439</v>
      </c>
    </row>
    <row r="787" spans="1:33" ht="6.9" customHeight="1" x14ac:dyDescent="0.4">
      <c r="A787" s="4">
        <f>ROW()</f>
        <v>787</v>
      </c>
      <c r="B787" s="9" t="s">
        <v>27</v>
      </c>
      <c r="C787" s="55" t="str">
        <f t="shared" si="331"/>
        <v>p.fechar</v>
      </c>
      <c r="D787" s="6" t="str">
        <f t="shared" si="341"/>
        <v>é.maçaneta</v>
      </c>
      <c r="E787" s="8" t="s">
        <v>28</v>
      </c>
      <c r="F787" s="42" t="str">
        <f t="shared" si="340"/>
        <v>d.fechar</v>
      </c>
      <c r="G787" s="23" t="s">
        <v>7284</v>
      </c>
      <c r="H787" s="41" t="s">
        <v>2121</v>
      </c>
      <c r="I787" s="16" t="str">
        <f t="shared" si="324"/>
        <v>null</v>
      </c>
      <c r="J787" s="15" t="s">
        <v>0</v>
      </c>
      <c r="K787" s="13" t="s">
        <v>0</v>
      </c>
      <c r="L787" s="13" t="s">
        <v>0</v>
      </c>
      <c r="M787" s="13" t="s">
        <v>0</v>
      </c>
      <c r="N787" s="13" t="s">
        <v>0</v>
      </c>
      <c r="O787" s="13" t="s">
        <v>0</v>
      </c>
      <c r="P787" s="13" t="s">
        <v>0</v>
      </c>
      <c r="Q787" s="13" t="s">
        <v>0</v>
      </c>
      <c r="R787" s="15" t="s">
        <v>0</v>
      </c>
      <c r="S787" s="10" t="s">
        <v>1</v>
      </c>
      <c r="T787" s="10" t="s">
        <v>32</v>
      </c>
      <c r="U787" s="5" t="str">
        <f t="shared" si="336"/>
        <v>Propriedade destinada a fechar: é.maçaneta</v>
      </c>
      <c r="V787" s="5" t="str">
        <f t="shared" si="337"/>
        <v>Dado para fechar:  maçaneta  Deve ser formatado como (rdfs:Literal  or  xsd:string)</v>
      </c>
      <c r="W787" s="5" t="s">
        <v>7298</v>
      </c>
      <c r="X787" s="24" t="str">
        <f t="shared" si="338"/>
        <v>fecha.116</v>
      </c>
      <c r="Y787" s="24" t="str">
        <f t="shared" si="339"/>
        <v>Ação de fechar</v>
      </c>
      <c r="Z787" s="47" t="s">
        <v>7406</v>
      </c>
      <c r="AA787" s="25" t="str">
        <f t="shared" si="332"/>
        <v>categoria.revit</v>
      </c>
      <c r="AB787" s="26" t="s">
        <v>7315</v>
      </c>
      <c r="AC787" s="25" t="str">
        <f t="shared" si="333"/>
        <v>classe.ifc</v>
      </c>
      <c r="AD787" s="26" t="s">
        <v>7316</v>
      </c>
      <c r="AE787" s="25" t="str">
        <f t="shared" si="335"/>
        <v>null</v>
      </c>
      <c r="AF787" s="26" t="s">
        <v>0</v>
      </c>
      <c r="AG787" s="47" t="s">
        <v>7440</v>
      </c>
    </row>
    <row r="788" spans="1:33" ht="6.9" customHeight="1" x14ac:dyDescent="0.4">
      <c r="A788" s="4">
        <f>ROW()</f>
        <v>788</v>
      </c>
      <c r="B788" s="9" t="s">
        <v>27</v>
      </c>
      <c r="C788" s="55" t="str">
        <f t="shared" si="331"/>
        <v>p.fechar</v>
      </c>
      <c r="D788" s="6" t="str">
        <f t="shared" si="341"/>
        <v>é.trava</v>
      </c>
      <c r="E788" s="8" t="s">
        <v>28</v>
      </c>
      <c r="F788" s="42" t="str">
        <f t="shared" si="340"/>
        <v>d.fechar</v>
      </c>
      <c r="G788" s="23" t="s">
        <v>7280</v>
      </c>
      <c r="H788" s="41" t="s">
        <v>2121</v>
      </c>
      <c r="I788" s="16" t="str">
        <f t="shared" si="324"/>
        <v>null</v>
      </c>
      <c r="J788" s="15" t="s">
        <v>0</v>
      </c>
      <c r="K788" s="13" t="s">
        <v>0</v>
      </c>
      <c r="L788" s="13" t="s">
        <v>0</v>
      </c>
      <c r="M788" s="13" t="s">
        <v>0</v>
      </c>
      <c r="N788" s="13" t="s">
        <v>0</v>
      </c>
      <c r="O788" s="13" t="s">
        <v>0</v>
      </c>
      <c r="P788" s="13" t="s">
        <v>0</v>
      </c>
      <c r="Q788" s="13" t="s">
        <v>0</v>
      </c>
      <c r="R788" s="15" t="s">
        <v>0</v>
      </c>
      <c r="S788" s="10" t="s">
        <v>1</v>
      </c>
      <c r="T788" s="10" t="s">
        <v>32</v>
      </c>
      <c r="U788" s="5" t="str">
        <f t="shared" si="336"/>
        <v>Propriedade destinada a fechar: é.trava</v>
      </c>
      <c r="V788" s="5" t="str">
        <f t="shared" si="337"/>
        <v>Dado para fechar:  trava  Deve ser formatado como (rdfs:Literal  or  xsd:string)</v>
      </c>
      <c r="W788" s="5" t="s">
        <v>7294</v>
      </c>
      <c r="X788" s="24" t="str">
        <f t="shared" si="338"/>
        <v>fecha.117</v>
      </c>
      <c r="Y788" s="24" t="str">
        <f t="shared" si="339"/>
        <v>Ação de fechar</v>
      </c>
      <c r="Z788" s="47" t="s">
        <v>7405</v>
      </c>
      <c r="AA788" s="25" t="str">
        <f t="shared" si="332"/>
        <v>categoria.revit</v>
      </c>
      <c r="AB788" s="26" t="s">
        <v>7315</v>
      </c>
      <c r="AC788" s="25" t="str">
        <f t="shared" si="333"/>
        <v>classe.ifc</v>
      </c>
      <c r="AD788" s="26" t="s">
        <v>7316</v>
      </c>
      <c r="AE788" s="25" t="str">
        <f t="shared" si="335"/>
        <v>null</v>
      </c>
      <c r="AF788" s="26" t="s">
        <v>0</v>
      </c>
      <c r="AG788" s="47" t="s">
        <v>7439</v>
      </c>
    </row>
    <row r="789" spans="1:33" ht="6.9" customHeight="1" x14ac:dyDescent="0.4">
      <c r="A789" s="4">
        <f>ROW()</f>
        <v>789</v>
      </c>
      <c r="B789" s="9" t="s">
        <v>27</v>
      </c>
      <c r="C789" s="55" t="str">
        <f t="shared" si="331"/>
        <v>p.fechar</v>
      </c>
      <c r="D789" s="6" t="str">
        <f t="shared" si="341"/>
        <v>é.trava.de.segurança</v>
      </c>
      <c r="E789" s="8" t="s">
        <v>28</v>
      </c>
      <c r="F789" s="42" t="str">
        <f t="shared" si="340"/>
        <v>d.fechar</v>
      </c>
      <c r="G789" s="23" t="s">
        <v>7278</v>
      </c>
      <c r="H789" s="41" t="s">
        <v>2121</v>
      </c>
      <c r="I789" s="16" t="str">
        <f t="shared" si="324"/>
        <v>null</v>
      </c>
      <c r="J789" s="15" t="s">
        <v>0</v>
      </c>
      <c r="K789" s="13" t="s">
        <v>0</v>
      </c>
      <c r="L789" s="13" t="s">
        <v>0</v>
      </c>
      <c r="M789" s="13" t="s">
        <v>0</v>
      </c>
      <c r="N789" s="13" t="s">
        <v>0</v>
      </c>
      <c r="O789" s="13" t="s">
        <v>0</v>
      </c>
      <c r="P789" s="13" t="s">
        <v>0</v>
      </c>
      <c r="Q789" s="13" t="s">
        <v>0</v>
      </c>
      <c r="R789" s="15" t="s">
        <v>0</v>
      </c>
      <c r="S789" s="10" t="s">
        <v>1</v>
      </c>
      <c r="T789" s="10" t="s">
        <v>32</v>
      </c>
      <c r="U789" s="5" t="str">
        <f t="shared" si="336"/>
        <v>Propriedade destinada a fechar: é.trava.de.segurança</v>
      </c>
      <c r="V789" s="5" t="str">
        <f t="shared" si="337"/>
        <v>Dado para fechar:  trava.de.segurança  Deve ser formatado como (rdfs:Literal  or  xsd:string)</v>
      </c>
      <c r="W789" s="5" t="s">
        <v>7294</v>
      </c>
      <c r="X789" s="24" t="str">
        <f t="shared" si="338"/>
        <v>fecha.118</v>
      </c>
      <c r="Y789" s="24" t="str">
        <f t="shared" si="339"/>
        <v>Ação de fechar</v>
      </c>
      <c r="Z789" s="47" t="s">
        <v>7405</v>
      </c>
      <c r="AA789" s="25" t="str">
        <f t="shared" si="332"/>
        <v>categoria.revit</v>
      </c>
      <c r="AB789" s="26" t="s">
        <v>7315</v>
      </c>
      <c r="AC789" s="25" t="str">
        <f t="shared" si="333"/>
        <v>classe.ifc</v>
      </c>
      <c r="AD789" s="26" t="s">
        <v>7316</v>
      </c>
      <c r="AE789" s="25" t="str">
        <f t="shared" si="335"/>
        <v>null</v>
      </c>
      <c r="AF789" s="26" t="s">
        <v>0</v>
      </c>
      <c r="AG789" s="47" t="s">
        <v>7439</v>
      </c>
    </row>
    <row r="790" spans="1:33" ht="6.9" customHeight="1" x14ac:dyDescent="0.4">
      <c r="A790" s="4">
        <f>ROW()</f>
        <v>790</v>
      </c>
      <c r="B790" s="9" t="s">
        <v>27</v>
      </c>
      <c r="C790" s="55" t="str">
        <f t="shared" si="331"/>
        <v>p.fechar</v>
      </c>
      <c r="D790" s="6" t="str">
        <f t="shared" si="341"/>
        <v>é.trinco</v>
      </c>
      <c r="E790" s="8" t="s">
        <v>28</v>
      </c>
      <c r="F790" s="42" t="str">
        <f t="shared" si="340"/>
        <v>d.fechar</v>
      </c>
      <c r="G790" s="23" t="s">
        <v>7281</v>
      </c>
      <c r="H790" s="41" t="s">
        <v>2121</v>
      </c>
      <c r="I790" s="16" t="str">
        <f t="shared" si="324"/>
        <v>null</v>
      </c>
      <c r="J790" s="15" t="s">
        <v>0</v>
      </c>
      <c r="K790" s="13" t="s">
        <v>0</v>
      </c>
      <c r="L790" s="13" t="s">
        <v>0</v>
      </c>
      <c r="M790" s="13" t="s">
        <v>0</v>
      </c>
      <c r="N790" s="13" t="s">
        <v>0</v>
      </c>
      <c r="O790" s="13" t="s">
        <v>0</v>
      </c>
      <c r="P790" s="13" t="s">
        <v>0</v>
      </c>
      <c r="Q790" s="13" t="s">
        <v>0</v>
      </c>
      <c r="R790" s="15" t="s">
        <v>0</v>
      </c>
      <c r="S790" s="10" t="s">
        <v>1</v>
      </c>
      <c r="T790" s="10" t="s">
        <v>32</v>
      </c>
      <c r="U790" s="5" t="str">
        <f t="shared" si="336"/>
        <v>Propriedade destinada a fechar: é.trinco</v>
      </c>
      <c r="V790" s="5" t="str">
        <f t="shared" si="337"/>
        <v>Dado para fechar:  trinco  Deve ser formatado como (rdfs:Literal  or  xsd:string)</v>
      </c>
      <c r="W790" s="5" t="s">
        <v>7293</v>
      </c>
      <c r="X790" s="24" t="str">
        <f t="shared" si="338"/>
        <v>fecha.119</v>
      </c>
      <c r="Y790" s="24" t="str">
        <f t="shared" si="339"/>
        <v>Ação de fechar</v>
      </c>
      <c r="Z790" s="47" t="s">
        <v>7407</v>
      </c>
      <c r="AA790" s="25" t="str">
        <f t="shared" si="332"/>
        <v>categoria.revit</v>
      </c>
      <c r="AB790" s="26" t="s">
        <v>7315</v>
      </c>
      <c r="AC790" s="25" t="str">
        <f t="shared" si="333"/>
        <v>classe.ifc</v>
      </c>
      <c r="AD790" s="26" t="s">
        <v>7316</v>
      </c>
      <c r="AE790" s="25" t="str">
        <f t="shared" si="335"/>
        <v>null</v>
      </c>
      <c r="AF790" s="26" t="s">
        <v>0</v>
      </c>
      <c r="AG790" s="47" t="s">
        <v>7441</v>
      </c>
    </row>
    <row r="791" spans="1:33" ht="6.9" customHeight="1" x14ac:dyDescent="0.4">
      <c r="A791" s="4">
        <f>ROW()</f>
        <v>791</v>
      </c>
      <c r="B791" s="9" t="s">
        <v>27</v>
      </c>
      <c r="C791" s="54" t="str">
        <f t="shared" ref="C791:C794" si="342">SUBSTITUTE(F791,"d.","p.")</f>
        <v>p.federar</v>
      </c>
      <c r="D791" s="6" t="str">
        <f t="shared" si="341"/>
        <v>é.disciplina</v>
      </c>
      <c r="E791" s="8" t="s">
        <v>28</v>
      </c>
      <c r="F791" s="51" t="s">
        <v>5004</v>
      </c>
      <c r="G791" s="17" t="s">
        <v>5005</v>
      </c>
      <c r="H791" s="42" t="s">
        <v>2121</v>
      </c>
      <c r="I791" s="16" t="str">
        <f t="shared" ref="I791:I794" si="343">J791</f>
        <v>Functional</v>
      </c>
      <c r="J791" s="15" t="s">
        <v>29</v>
      </c>
      <c r="K791" s="15" t="s">
        <v>0</v>
      </c>
      <c r="L791" s="15" t="s">
        <v>0</v>
      </c>
      <c r="M791" s="15" t="s">
        <v>0</v>
      </c>
      <c r="N791" s="15" t="s">
        <v>0</v>
      </c>
      <c r="O791" s="15" t="s">
        <v>0</v>
      </c>
      <c r="P791" s="15" t="s">
        <v>0</v>
      </c>
      <c r="Q791" s="15" t="s">
        <v>0</v>
      </c>
      <c r="R791" s="15" t="s">
        <v>0</v>
      </c>
      <c r="S791" s="10" t="s">
        <v>1</v>
      </c>
      <c r="T791" s="10" t="s">
        <v>32</v>
      </c>
      <c r="U791" s="5" t="str">
        <f t="shared" si="336"/>
        <v>Propriedade destinada a federar: é.disciplina</v>
      </c>
      <c r="V791" s="5" t="str">
        <f t="shared" si="337"/>
        <v>Dado para federar:  disciplina  Deve ser formatado como (rdfs:Literal  or  xsd:string)</v>
      </c>
      <c r="W791" s="5" t="s">
        <v>5593</v>
      </c>
      <c r="X791" s="24" t="str">
        <f t="shared" si="338"/>
        <v>feder.100</v>
      </c>
      <c r="Y791" s="24" t="str">
        <f t="shared" si="339"/>
        <v>Ação de federar</v>
      </c>
      <c r="Z791" s="47" t="s">
        <v>6609</v>
      </c>
      <c r="AA791" s="25" t="str">
        <f t="shared" ref="AA791:AA794" si="344">IF(AB791="null", "null", "categoria.revit")</f>
        <v>null</v>
      </c>
      <c r="AB791" s="26" t="s">
        <v>0</v>
      </c>
      <c r="AC791" s="25" t="str">
        <f t="shared" ref="AC791:AC794" si="345">IF(AD791="null", "null", "classe.ifc")</f>
        <v>null</v>
      </c>
      <c r="AD791" s="26" t="s">
        <v>0</v>
      </c>
      <c r="AE791" s="25" t="str">
        <f t="shared" si="335"/>
        <v>null</v>
      </c>
      <c r="AF791" s="26" t="s">
        <v>0</v>
      </c>
      <c r="AG791" s="47" t="s">
        <v>6663</v>
      </c>
    </row>
    <row r="792" spans="1:33" ht="6.9" customHeight="1" x14ac:dyDescent="0.4">
      <c r="A792" s="4">
        <f>ROW()</f>
        <v>792</v>
      </c>
      <c r="B792" s="9" t="s">
        <v>27</v>
      </c>
      <c r="C792" s="55" t="str">
        <f t="shared" si="342"/>
        <v>p.federar</v>
      </c>
      <c r="D792" s="6" t="str">
        <f t="shared" si="341"/>
        <v>é.nome.da.empresa</v>
      </c>
      <c r="E792" s="8" t="s">
        <v>28</v>
      </c>
      <c r="F792" s="42" t="str">
        <f>F791</f>
        <v>d.federar</v>
      </c>
      <c r="G792" s="17" t="s">
        <v>6948</v>
      </c>
      <c r="H792" s="42" t="s">
        <v>2121</v>
      </c>
      <c r="I792" s="16" t="str">
        <f t="shared" si="343"/>
        <v>Functional</v>
      </c>
      <c r="J792" s="15" t="s">
        <v>29</v>
      </c>
      <c r="K792" s="15" t="s">
        <v>0</v>
      </c>
      <c r="L792" s="15" t="s">
        <v>0</v>
      </c>
      <c r="M792" s="15" t="s">
        <v>0</v>
      </c>
      <c r="N792" s="15" t="s">
        <v>0</v>
      </c>
      <c r="O792" s="15" t="s">
        <v>0</v>
      </c>
      <c r="P792" s="15" t="s">
        <v>0</v>
      </c>
      <c r="Q792" s="15" t="s">
        <v>0</v>
      </c>
      <c r="R792" s="15" t="s">
        <v>0</v>
      </c>
      <c r="S792" s="10" t="s">
        <v>1</v>
      </c>
      <c r="T792" s="10" t="s">
        <v>32</v>
      </c>
      <c r="U792" s="5" t="str">
        <f t="shared" si="336"/>
        <v>Propriedade destinada a federar: é.nome.da.empresa</v>
      </c>
      <c r="V792" s="5" t="str">
        <f t="shared" si="337"/>
        <v>Dado para federar:  nome.da.empresa  Deve ser formatado como (rdfs:Literal  or  xsd:string)</v>
      </c>
      <c r="W792" s="5" t="s">
        <v>5594</v>
      </c>
      <c r="X792" s="24" t="str">
        <f t="shared" si="338"/>
        <v>feder.101</v>
      </c>
      <c r="Y792" s="24" t="str">
        <f t="shared" si="339"/>
        <v>Ação de federar</v>
      </c>
      <c r="Z792" s="47" t="s">
        <v>6610</v>
      </c>
      <c r="AA792" s="25" t="str">
        <f t="shared" si="344"/>
        <v>null</v>
      </c>
      <c r="AB792" s="26" t="s">
        <v>0</v>
      </c>
      <c r="AC792" s="25" t="str">
        <f t="shared" si="345"/>
        <v>null</v>
      </c>
      <c r="AD792" s="26" t="s">
        <v>0</v>
      </c>
      <c r="AE792" s="25" t="str">
        <f t="shared" si="335"/>
        <v>null</v>
      </c>
      <c r="AF792" s="26" t="s">
        <v>0</v>
      </c>
      <c r="AG792" s="47" t="s">
        <v>6664</v>
      </c>
    </row>
    <row r="793" spans="1:33" ht="6.9" customHeight="1" x14ac:dyDescent="0.4">
      <c r="A793" s="4">
        <f>ROW()</f>
        <v>793</v>
      </c>
      <c r="B793" s="9" t="s">
        <v>27</v>
      </c>
      <c r="C793" s="55" t="str">
        <f t="shared" ref="C793" si="346">SUBSTITUTE(F793,"d.","p.")</f>
        <v>p.federar</v>
      </c>
      <c r="D793" s="6" t="str">
        <f t="shared" si="341"/>
        <v>é.origem.comum</v>
      </c>
      <c r="E793" s="8" t="s">
        <v>28</v>
      </c>
      <c r="F793" s="42" t="str">
        <f>F791</f>
        <v>d.federar</v>
      </c>
      <c r="G793" s="17" t="s">
        <v>5006</v>
      </c>
      <c r="H793" s="42" t="s">
        <v>36</v>
      </c>
      <c r="I793" s="16" t="str">
        <f t="shared" ref="I793" si="347">J793</f>
        <v>Functional</v>
      </c>
      <c r="J793" s="15" t="s">
        <v>29</v>
      </c>
      <c r="K793" s="15" t="s">
        <v>0</v>
      </c>
      <c r="L793" s="15" t="s">
        <v>0</v>
      </c>
      <c r="M793" s="15" t="s">
        <v>0</v>
      </c>
      <c r="N793" s="15" t="s">
        <v>0</v>
      </c>
      <c r="O793" s="15" t="s">
        <v>0</v>
      </c>
      <c r="P793" s="15" t="s">
        <v>0</v>
      </c>
      <c r="Q793" s="15" t="s">
        <v>0</v>
      </c>
      <c r="R793" s="15" t="s">
        <v>0</v>
      </c>
      <c r="S793" s="10" t="s">
        <v>1</v>
      </c>
      <c r="T793" s="10" t="s">
        <v>32</v>
      </c>
      <c r="U793" s="5" t="str">
        <f t="shared" si="336"/>
        <v>Propriedade destinada a federar: é.origem.comum</v>
      </c>
      <c r="V793" s="5" t="str">
        <f t="shared" si="337"/>
        <v>Dado para federar:  origem.comum  Deve ser formatado como (xsd:double)</v>
      </c>
      <c r="W793" s="5" t="s">
        <v>5595</v>
      </c>
      <c r="X793" s="24" t="str">
        <f t="shared" si="338"/>
        <v>feder.102</v>
      </c>
      <c r="Y793" s="24" t="str">
        <f t="shared" si="339"/>
        <v>Ação de federar</v>
      </c>
      <c r="Z793" s="47" t="s">
        <v>6611</v>
      </c>
      <c r="AA793" s="25" t="str">
        <f t="shared" ref="AA793" si="348">IF(AB793="null", "null", "categoria.revit")</f>
        <v>null</v>
      </c>
      <c r="AB793" s="26" t="s">
        <v>0</v>
      </c>
      <c r="AC793" s="25" t="str">
        <f t="shared" ref="AC793" si="349">IF(AD793="null", "null", "classe.ifc")</f>
        <v>null</v>
      </c>
      <c r="AD793" s="26" t="s">
        <v>0</v>
      </c>
      <c r="AE793" s="25" t="str">
        <f t="shared" si="335"/>
        <v>null</v>
      </c>
      <c r="AF793" s="26" t="s">
        <v>0</v>
      </c>
      <c r="AG793" s="47" t="s">
        <v>6665</v>
      </c>
    </row>
    <row r="794" spans="1:33" ht="6.9" customHeight="1" x14ac:dyDescent="0.4">
      <c r="A794" s="4">
        <f>ROW()</f>
        <v>794</v>
      </c>
      <c r="B794" s="9" t="s">
        <v>27</v>
      </c>
      <c r="C794" s="55" t="str">
        <f t="shared" si="342"/>
        <v>p.federar</v>
      </c>
      <c r="D794" s="6" t="str">
        <f t="shared" si="341"/>
        <v>é.ângulo.comum</v>
      </c>
      <c r="E794" s="8" t="s">
        <v>28</v>
      </c>
      <c r="F794" s="42" t="str">
        <f>F792</f>
        <v>d.federar</v>
      </c>
      <c r="G794" s="17" t="s">
        <v>5007</v>
      </c>
      <c r="H794" s="42" t="s">
        <v>36</v>
      </c>
      <c r="I794" s="16" t="str">
        <f t="shared" si="343"/>
        <v>Functional</v>
      </c>
      <c r="J794" s="15" t="s">
        <v>29</v>
      </c>
      <c r="K794" s="15" t="s">
        <v>0</v>
      </c>
      <c r="L794" s="15" t="s">
        <v>0</v>
      </c>
      <c r="M794" s="15" t="s">
        <v>0</v>
      </c>
      <c r="N794" s="15" t="s">
        <v>0</v>
      </c>
      <c r="O794" s="15" t="s">
        <v>0</v>
      </c>
      <c r="P794" s="15" t="s">
        <v>0</v>
      </c>
      <c r="Q794" s="15" t="s">
        <v>0</v>
      </c>
      <c r="R794" s="15" t="s">
        <v>0</v>
      </c>
      <c r="S794" s="10" t="s">
        <v>1</v>
      </c>
      <c r="T794" s="10" t="s">
        <v>32</v>
      </c>
      <c r="U794" s="5" t="str">
        <f t="shared" si="336"/>
        <v>Propriedade destinada a federar: é.ângulo.comum</v>
      </c>
      <c r="V794" s="5" t="str">
        <f t="shared" si="337"/>
        <v>Dado para federar:  ângulo.comum  Deve ser formatado como (xsd:double)</v>
      </c>
      <c r="W794" s="5" t="s">
        <v>5596</v>
      </c>
      <c r="X794" s="24" t="str">
        <f t="shared" si="338"/>
        <v>feder.103</v>
      </c>
      <c r="Y794" s="24" t="str">
        <f t="shared" si="339"/>
        <v>Ação de federar</v>
      </c>
      <c r="Z794" s="47" t="s">
        <v>6612</v>
      </c>
      <c r="AA794" s="25" t="str">
        <f t="shared" si="344"/>
        <v>null</v>
      </c>
      <c r="AB794" s="26" t="s">
        <v>0</v>
      </c>
      <c r="AC794" s="25" t="str">
        <f t="shared" si="345"/>
        <v>null</v>
      </c>
      <c r="AD794" s="26" t="s">
        <v>0</v>
      </c>
      <c r="AE794" s="25" t="str">
        <f t="shared" si="335"/>
        <v>null</v>
      </c>
      <c r="AF794" s="26" t="s">
        <v>0</v>
      </c>
      <c r="AG794" s="47" t="s">
        <v>6666</v>
      </c>
    </row>
    <row r="795" spans="1:33" ht="6.9" customHeight="1" x14ac:dyDescent="0.4">
      <c r="A795" s="4">
        <f>ROW()</f>
        <v>795</v>
      </c>
      <c r="B795" s="9" t="s">
        <v>27</v>
      </c>
      <c r="C795" s="54" t="str">
        <f t="shared" si="331"/>
        <v>p.fluir</v>
      </c>
      <c r="D795" s="6" t="str">
        <f t="shared" si="341"/>
        <v>é.viscosidade</v>
      </c>
      <c r="E795" s="8" t="s">
        <v>28</v>
      </c>
      <c r="F795" s="51" t="s">
        <v>1172</v>
      </c>
      <c r="G795" s="17" t="s">
        <v>1173</v>
      </c>
      <c r="H795" s="42" t="s">
        <v>36</v>
      </c>
      <c r="I795" s="16" t="str">
        <f t="shared" si="324"/>
        <v>null</v>
      </c>
      <c r="J795" s="15" t="s">
        <v>0</v>
      </c>
      <c r="K795" s="15" t="s">
        <v>0</v>
      </c>
      <c r="L795" s="15" t="s">
        <v>0</v>
      </c>
      <c r="M795" s="15" t="s">
        <v>0</v>
      </c>
      <c r="N795" s="15" t="s">
        <v>0</v>
      </c>
      <c r="O795" s="15" t="s">
        <v>0</v>
      </c>
      <c r="P795" s="15" t="s">
        <v>0</v>
      </c>
      <c r="Q795" s="15" t="s">
        <v>0</v>
      </c>
      <c r="R795" s="15" t="s">
        <v>0</v>
      </c>
      <c r="S795" s="10" t="s">
        <v>1</v>
      </c>
      <c r="T795" s="10" t="s">
        <v>32</v>
      </c>
      <c r="U795" s="5" t="str">
        <f t="shared" si="336"/>
        <v>Propriedade destinada a fluir: é.viscosidade</v>
      </c>
      <c r="V795" s="5" t="str">
        <f t="shared" si="337"/>
        <v>Dado para fluir:  viscosidade  Deve ser formatado como (xsd:double)</v>
      </c>
      <c r="W795" s="5" t="s">
        <v>5597</v>
      </c>
      <c r="X795" s="24" t="str">
        <f t="shared" si="338"/>
        <v>fluir.100</v>
      </c>
      <c r="Y795" s="24" t="str">
        <f t="shared" si="339"/>
        <v>Ação de fluir</v>
      </c>
      <c r="Z795" s="47" t="s">
        <v>4594</v>
      </c>
      <c r="AA795" s="25" t="str">
        <f t="shared" si="332"/>
        <v>null</v>
      </c>
      <c r="AB795" s="26" t="s">
        <v>0</v>
      </c>
      <c r="AC795" s="25" t="str">
        <f t="shared" si="333"/>
        <v>null</v>
      </c>
      <c r="AD795" s="26" t="s">
        <v>0</v>
      </c>
      <c r="AE795" s="25" t="str">
        <f t="shared" si="335"/>
        <v>null</v>
      </c>
      <c r="AF795" s="26" t="s">
        <v>0</v>
      </c>
      <c r="AG795" s="47" t="s">
        <v>4783</v>
      </c>
    </row>
    <row r="796" spans="1:33" ht="6.9" customHeight="1" x14ac:dyDescent="0.4">
      <c r="A796" s="4">
        <f>ROW()</f>
        <v>796</v>
      </c>
      <c r="B796" s="9" t="s">
        <v>27</v>
      </c>
      <c r="C796" s="55" t="str">
        <f t="shared" si="331"/>
        <v>p.fluir</v>
      </c>
      <c r="D796" s="6" t="str">
        <f t="shared" si="341"/>
        <v>é.escoamento.laminar</v>
      </c>
      <c r="E796" s="8" t="s">
        <v>28</v>
      </c>
      <c r="F796" s="42" t="str">
        <f>F795</f>
        <v>d.fluir</v>
      </c>
      <c r="G796" s="17" t="s">
        <v>1174</v>
      </c>
      <c r="H796" s="42" t="s">
        <v>36</v>
      </c>
      <c r="I796" s="16" t="str">
        <f t="shared" si="324"/>
        <v>null</v>
      </c>
      <c r="J796" s="15" t="s">
        <v>0</v>
      </c>
      <c r="K796" s="15" t="s">
        <v>0</v>
      </c>
      <c r="L796" s="15" t="s">
        <v>0</v>
      </c>
      <c r="M796" s="15" t="s">
        <v>0</v>
      </c>
      <c r="N796" s="15" t="s">
        <v>0</v>
      </c>
      <c r="O796" s="15" t="s">
        <v>0</v>
      </c>
      <c r="P796" s="15" t="s">
        <v>0</v>
      </c>
      <c r="Q796" s="15" t="s">
        <v>0</v>
      </c>
      <c r="R796" s="15" t="s">
        <v>0</v>
      </c>
      <c r="S796" s="10" t="s">
        <v>1</v>
      </c>
      <c r="T796" s="10" t="s">
        <v>32</v>
      </c>
      <c r="U796" s="5" t="str">
        <f t="shared" si="336"/>
        <v>Propriedade destinada a fluir: é.escoamento.laminar</v>
      </c>
      <c r="V796" s="5" t="str">
        <f t="shared" si="337"/>
        <v>Dado para fluir:  escoamento.laminar  Deve ser formatado como (xsd:double)</v>
      </c>
      <c r="W796" s="5" t="s">
        <v>5598</v>
      </c>
      <c r="X796" s="24" t="str">
        <f t="shared" si="338"/>
        <v>fluir.101</v>
      </c>
      <c r="Y796" s="24" t="str">
        <f t="shared" si="339"/>
        <v>Ação de fluir</v>
      </c>
      <c r="Z796" s="47" t="s">
        <v>4595</v>
      </c>
      <c r="AA796" s="25" t="str">
        <f t="shared" si="332"/>
        <v>categoria.revit</v>
      </c>
      <c r="AB796" s="26" t="s">
        <v>3519</v>
      </c>
      <c r="AC796" s="25" t="str">
        <f t="shared" si="333"/>
        <v>classe.ifc</v>
      </c>
      <c r="AD796" s="26" t="s">
        <v>3470</v>
      </c>
      <c r="AE796" s="25" t="str">
        <f t="shared" si="335"/>
        <v>null</v>
      </c>
      <c r="AF796" s="26" t="s">
        <v>0</v>
      </c>
      <c r="AG796" s="47" t="s">
        <v>4784</v>
      </c>
    </row>
    <row r="797" spans="1:33" ht="6.9" customHeight="1" x14ac:dyDescent="0.4">
      <c r="A797" s="4">
        <f>ROW()</f>
        <v>797</v>
      </c>
      <c r="B797" s="9" t="s">
        <v>27</v>
      </c>
      <c r="C797" s="55" t="str">
        <f t="shared" si="331"/>
        <v>p.fluir</v>
      </c>
      <c r="D797" s="6" t="str">
        <f t="shared" si="341"/>
        <v>é.escoamento.turbulento</v>
      </c>
      <c r="E797" s="8" t="s">
        <v>28</v>
      </c>
      <c r="F797" s="42" t="str">
        <f>F796</f>
        <v>d.fluir</v>
      </c>
      <c r="G797" s="17" t="s">
        <v>2089</v>
      </c>
      <c r="H797" s="42" t="s">
        <v>36</v>
      </c>
      <c r="I797" s="16" t="str">
        <f t="shared" si="324"/>
        <v>null</v>
      </c>
      <c r="J797" s="15" t="s">
        <v>0</v>
      </c>
      <c r="K797" s="15" t="s">
        <v>0</v>
      </c>
      <c r="L797" s="15" t="s">
        <v>0</v>
      </c>
      <c r="M797" s="15" t="s">
        <v>0</v>
      </c>
      <c r="N797" s="15" t="s">
        <v>0</v>
      </c>
      <c r="O797" s="15" t="s">
        <v>0</v>
      </c>
      <c r="P797" s="15" t="s">
        <v>0</v>
      </c>
      <c r="Q797" s="15" t="s">
        <v>0</v>
      </c>
      <c r="R797" s="15" t="s">
        <v>0</v>
      </c>
      <c r="S797" s="10" t="s">
        <v>1</v>
      </c>
      <c r="T797" s="10" t="s">
        <v>32</v>
      </c>
      <c r="U797" s="5" t="str">
        <f t="shared" si="336"/>
        <v>Propriedade destinada a fluir: é.escoamento.turbulento</v>
      </c>
      <c r="V797" s="5" t="str">
        <f t="shared" si="337"/>
        <v>Dado para fluir:  escoamento.turbulento  Deve ser formatado como (xsd:double)</v>
      </c>
      <c r="W797" s="5" t="s">
        <v>5599</v>
      </c>
      <c r="X797" s="24" t="str">
        <f t="shared" si="338"/>
        <v>fluir.102</v>
      </c>
      <c r="Y797" s="24" t="str">
        <f t="shared" si="339"/>
        <v>Ação de fluir</v>
      </c>
      <c r="Z797" s="47" t="s">
        <v>4596</v>
      </c>
      <c r="AA797" s="25" t="str">
        <f t="shared" si="332"/>
        <v>null</v>
      </c>
      <c r="AB797" s="26" t="s">
        <v>0</v>
      </c>
      <c r="AC797" s="25" t="str">
        <f t="shared" si="333"/>
        <v>null</v>
      </c>
      <c r="AD797" s="26" t="s">
        <v>0</v>
      </c>
      <c r="AE797" s="25" t="str">
        <f t="shared" si="335"/>
        <v>null</v>
      </c>
      <c r="AF797" s="26" t="s">
        <v>0</v>
      </c>
      <c r="AG797" s="47" t="s">
        <v>4785</v>
      </c>
    </row>
    <row r="798" spans="1:33" ht="6.9" customHeight="1" x14ac:dyDescent="0.4">
      <c r="A798" s="4">
        <f>ROW()</f>
        <v>798</v>
      </c>
      <c r="B798" s="9" t="s">
        <v>27</v>
      </c>
      <c r="C798" s="55" t="str">
        <f t="shared" si="331"/>
        <v>p.fluir</v>
      </c>
      <c r="D798" s="6" t="str">
        <f t="shared" si="341"/>
        <v>é.vetor.de.velocidade</v>
      </c>
      <c r="E798" s="8" t="s">
        <v>28</v>
      </c>
      <c r="F798" s="42" t="str">
        <f>F797</f>
        <v>d.fluir</v>
      </c>
      <c r="G798" s="17" t="s">
        <v>2481</v>
      </c>
      <c r="H798" s="42" t="s">
        <v>36</v>
      </c>
      <c r="I798" s="16" t="str">
        <f t="shared" si="324"/>
        <v>null</v>
      </c>
      <c r="J798" s="15" t="s">
        <v>0</v>
      </c>
      <c r="K798" s="15" t="s">
        <v>0</v>
      </c>
      <c r="L798" s="15" t="s">
        <v>0</v>
      </c>
      <c r="M798" s="15" t="s">
        <v>0</v>
      </c>
      <c r="N798" s="15" t="s">
        <v>0</v>
      </c>
      <c r="O798" s="15" t="s">
        <v>0</v>
      </c>
      <c r="P798" s="15" t="s">
        <v>0</v>
      </c>
      <c r="Q798" s="15" t="s">
        <v>0</v>
      </c>
      <c r="R798" s="15" t="s">
        <v>0</v>
      </c>
      <c r="S798" s="10" t="s">
        <v>1</v>
      </c>
      <c r="T798" s="10" t="s">
        <v>32</v>
      </c>
      <c r="U798" s="5" t="str">
        <f t="shared" si="336"/>
        <v>Propriedade destinada a fluir: é.vetor.de.velocidade</v>
      </c>
      <c r="V798" s="5" t="str">
        <f t="shared" si="337"/>
        <v>Dado para fluir:  vetor.de.velocidade  Deve ser formatado como (xsd:double)</v>
      </c>
      <c r="W798" s="5" t="s">
        <v>5600</v>
      </c>
      <c r="X798" s="24" t="str">
        <f t="shared" si="338"/>
        <v>fluir.103</v>
      </c>
      <c r="Y798" s="24" t="str">
        <f t="shared" si="339"/>
        <v>Ação de fluir</v>
      </c>
      <c r="Z798" s="47" t="s">
        <v>4597</v>
      </c>
      <c r="AA798" s="25" t="str">
        <f t="shared" si="332"/>
        <v>null</v>
      </c>
      <c r="AB798" s="26" t="s">
        <v>0</v>
      </c>
      <c r="AC798" s="25" t="str">
        <f t="shared" si="333"/>
        <v>null</v>
      </c>
      <c r="AD798" s="26" t="s">
        <v>0</v>
      </c>
      <c r="AE798" s="25" t="str">
        <f t="shared" si="335"/>
        <v>propriedade</v>
      </c>
      <c r="AF798" s="26" t="s">
        <v>2482</v>
      </c>
      <c r="AG798" s="47" t="s">
        <v>4786</v>
      </c>
    </row>
    <row r="799" spans="1:33" ht="6.9" customHeight="1" x14ac:dyDescent="0.4">
      <c r="A799" s="4">
        <f>ROW()</f>
        <v>799</v>
      </c>
      <c r="B799" s="9" t="s">
        <v>27</v>
      </c>
      <c r="C799" s="55" t="str">
        <f t="shared" si="331"/>
        <v>p.fluir</v>
      </c>
      <c r="D799" s="6" t="str">
        <f t="shared" si="341"/>
        <v>é.compressibilidade</v>
      </c>
      <c r="E799" s="8" t="s">
        <v>28</v>
      </c>
      <c r="F799" s="42" t="str">
        <f>F798</f>
        <v>d.fluir</v>
      </c>
      <c r="G799" s="17" t="s">
        <v>1175</v>
      </c>
      <c r="H799" s="42" t="s">
        <v>36</v>
      </c>
      <c r="I799" s="16" t="str">
        <f t="shared" si="324"/>
        <v>null</v>
      </c>
      <c r="J799" s="15" t="s">
        <v>0</v>
      </c>
      <c r="K799" s="15" t="s">
        <v>0</v>
      </c>
      <c r="L799" s="15" t="s">
        <v>0</v>
      </c>
      <c r="M799" s="15" t="s">
        <v>0</v>
      </c>
      <c r="N799" s="15" t="s">
        <v>0</v>
      </c>
      <c r="O799" s="15" t="s">
        <v>0</v>
      </c>
      <c r="P799" s="15" t="s">
        <v>0</v>
      </c>
      <c r="Q799" s="15" t="s">
        <v>0</v>
      </c>
      <c r="R799" s="15" t="s">
        <v>0</v>
      </c>
      <c r="S799" s="10" t="s">
        <v>1</v>
      </c>
      <c r="T799" s="10" t="s">
        <v>32</v>
      </c>
      <c r="U799" s="5" t="str">
        <f t="shared" si="336"/>
        <v>Propriedade destinada a fluir: é.compressibilidade</v>
      </c>
      <c r="V799" s="5" t="str">
        <f t="shared" si="337"/>
        <v>Dado para fluir:  compressibilidade  Deve ser formatado como (xsd:double)</v>
      </c>
      <c r="W799" s="5" t="s">
        <v>5601</v>
      </c>
      <c r="X799" s="24" t="str">
        <f t="shared" si="338"/>
        <v>fluir.104</v>
      </c>
      <c r="Y799" s="24" t="str">
        <f t="shared" si="339"/>
        <v>Ação de fluir</v>
      </c>
      <c r="Z799" s="47" t="s">
        <v>1497</v>
      </c>
      <c r="AA799" s="25" t="str">
        <f t="shared" si="332"/>
        <v>null</v>
      </c>
      <c r="AB799" s="26" t="s">
        <v>0</v>
      </c>
      <c r="AC799" s="25" t="str">
        <f t="shared" si="333"/>
        <v>null</v>
      </c>
      <c r="AD799" s="26" t="s">
        <v>0</v>
      </c>
      <c r="AE799" s="25" t="str">
        <f t="shared" si="335"/>
        <v>null</v>
      </c>
      <c r="AF799" s="26" t="s">
        <v>0</v>
      </c>
      <c r="AG799" s="47" t="s">
        <v>2826</v>
      </c>
    </row>
    <row r="800" spans="1:33" ht="6.9" customHeight="1" x14ac:dyDescent="0.4">
      <c r="A800" s="4">
        <f>ROW()</f>
        <v>800</v>
      </c>
      <c r="B800" s="9" t="s">
        <v>27</v>
      </c>
      <c r="C800" s="55" t="str">
        <f t="shared" si="331"/>
        <v>p.fluir</v>
      </c>
      <c r="D800" s="6" t="str">
        <f t="shared" si="341"/>
        <v>é.tensão.de.cisalhamento</v>
      </c>
      <c r="E800" s="8" t="s">
        <v>28</v>
      </c>
      <c r="F800" s="42" t="str">
        <f>F799</f>
        <v>d.fluir</v>
      </c>
      <c r="G800" s="17" t="s">
        <v>1176</v>
      </c>
      <c r="H800" s="42" t="s">
        <v>36</v>
      </c>
      <c r="I800" s="16" t="str">
        <f t="shared" si="324"/>
        <v>null</v>
      </c>
      <c r="J800" s="15" t="s">
        <v>0</v>
      </c>
      <c r="K800" s="15" t="s">
        <v>0</v>
      </c>
      <c r="L800" s="15" t="s">
        <v>0</v>
      </c>
      <c r="M800" s="15" t="s">
        <v>0</v>
      </c>
      <c r="N800" s="15" t="s">
        <v>0</v>
      </c>
      <c r="O800" s="15" t="s">
        <v>0</v>
      </c>
      <c r="P800" s="15" t="s">
        <v>0</v>
      </c>
      <c r="Q800" s="15" t="s">
        <v>0</v>
      </c>
      <c r="R800" s="15" t="s">
        <v>0</v>
      </c>
      <c r="S800" s="10" t="s">
        <v>1</v>
      </c>
      <c r="T800" s="10" t="s">
        <v>32</v>
      </c>
      <c r="U800" s="5" t="str">
        <f t="shared" si="336"/>
        <v>Propriedade destinada a fluir: é.tensão.de.cisalhamento</v>
      </c>
      <c r="V800" s="5" t="str">
        <f t="shared" si="337"/>
        <v>Dado para fluir:  tensão.de.cisalhamento  Deve ser formatado como (xsd:double)</v>
      </c>
      <c r="W800" s="5" t="s">
        <v>5602</v>
      </c>
      <c r="X800" s="24" t="str">
        <f t="shared" si="338"/>
        <v>fluir.105</v>
      </c>
      <c r="Y800" s="24" t="str">
        <f t="shared" si="339"/>
        <v>Ação de fluir</v>
      </c>
      <c r="Z800" s="47" t="s">
        <v>4598</v>
      </c>
      <c r="AA800" s="25" t="str">
        <f t="shared" si="332"/>
        <v>null</v>
      </c>
      <c r="AB800" s="26" t="s">
        <v>0</v>
      </c>
      <c r="AC800" s="25" t="str">
        <f t="shared" si="333"/>
        <v>null</v>
      </c>
      <c r="AD800" s="26" t="s">
        <v>0</v>
      </c>
      <c r="AE800" s="25" t="str">
        <f t="shared" si="335"/>
        <v>null</v>
      </c>
      <c r="AF800" s="26" t="s">
        <v>0</v>
      </c>
      <c r="AG800" s="47" t="s">
        <v>4787</v>
      </c>
    </row>
    <row r="801" spans="1:33" ht="6.9" customHeight="1" x14ac:dyDescent="0.4">
      <c r="A801" s="4">
        <f>ROW()</f>
        <v>801</v>
      </c>
      <c r="B801" s="9" t="s">
        <v>27</v>
      </c>
      <c r="C801" s="55" t="str">
        <f t="shared" si="331"/>
        <v>p.fluir</v>
      </c>
      <c r="D801" s="6" t="str">
        <f t="shared" si="341"/>
        <v>é.pressão</v>
      </c>
      <c r="E801" s="8" t="s">
        <v>28</v>
      </c>
      <c r="F801" s="42" t="str">
        <f>F799</f>
        <v>d.fluir</v>
      </c>
      <c r="G801" s="17" t="s">
        <v>1177</v>
      </c>
      <c r="H801" s="42" t="s">
        <v>36</v>
      </c>
      <c r="I801" s="16" t="str">
        <f t="shared" si="324"/>
        <v>null</v>
      </c>
      <c r="J801" s="15" t="s">
        <v>0</v>
      </c>
      <c r="K801" s="15" t="s">
        <v>0</v>
      </c>
      <c r="L801" s="15" t="s">
        <v>0</v>
      </c>
      <c r="M801" s="15" t="s">
        <v>0</v>
      </c>
      <c r="N801" s="15" t="s">
        <v>0</v>
      </c>
      <c r="O801" s="15" t="s">
        <v>0</v>
      </c>
      <c r="P801" s="15" t="s">
        <v>0</v>
      </c>
      <c r="Q801" s="15" t="s">
        <v>0</v>
      </c>
      <c r="R801" s="15" t="s">
        <v>0</v>
      </c>
      <c r="S801" s="10" t="s">
        <v>1</v>
      </c>
      <c r="T801" s="10" t="s">
        <v>32</v>
      </c>
      <c r="U801" s="5" t="str">
        <f t="shared" si="336"/>
        <v>Propriedade destinada a fluir: é.pressão</v>
      </c>
      <c r="V801" s="5" t="str">
        <f t="shared" si="337"/>
        <v>Dado para fluir:  pressão  Deve ser formatado como (xsd:double)</v>
      </c>
      <c r="W801" s="5" t="s">
        <v>5603</v>
      </c>
      <c r="X801" s="24" t="str">
        <f t="shared" si="338"/>
        <v>fluir.106</v>
      </c>
      <c r="Y801" s="24" t="str">
        <f t="shared" si="339"/>
        <v>Ação de fluir</v>
      </c>
      <c r="Z801" s="47" t="s">
        <v>4599</v>
      </c>
      <c r="AA801" s="25" t="str">
        <f t="shared" si="332"/>
        <v>null</v>
      </c>
      <c r="AB801" s="26" t="s">
        <v>0</v>
      </c>
      <c r="AC801" s="25" t="str">
        <f t="shared" si="333"/>
        <v>null</v>
      </c>
      <c r="AD801" s="26" t="s">
        <v>0</v>
      </c>
      <c r="AE801" s="25" t="str">
        <f t="shared" si="335"/>
        <v>null</v>
      </c>
      <c r="AF801" s="26" t="s">
        <v>0</v>
      </c>
      <c r="AG801" s="47" t="s">
        <v>4788</v>
      </c>
    </row>
    <row r="802" spans="1:33" ht="6.9" customHeight="1" x14ac:dyDescent="0.4">
      <c r="A802" s="4">
        <f>ROW()</f>
        <v>802</v>
      </c>
      <c r="B802" s="9" t="s">
        <v>27</v>
      </c>
      <c r="C802" s="55" t="str">
        <f t="shared" si="331"/>
        <v>p.fluir</v>
      </c>
      <c r="D802" s="6" t="str">
        <f t="shared" si="341"/>
        <v>é.voltas.do.fecho</v>
      </c>
      <c r="E802" s="8" t="s">
        <v>28</v>
      </c>
      <c r="F802" s="42" t="str">
        <f>F800</f>
        <v>d.fluir</v>
      </c>
      <c r="G802" s="17" t="s">
        <v>1226</v>
      </c>
      <c r="H802" s="42" t="s">
        <v>36</v>
      </c>
      <c r="I802" s="16" t="str">
        <f t="shared" si="324"/>
        <v>null</v>
      </c>
      <c r="J802" s="15" t="s">
        <v>0</v>
      </c>
      <c r="K802" s="15" t="s">
        <v>0</v>
      </c>
      <c r="L802" s="15" t="s">
        <v>0</v>
      </c>
      <c r="M802" s="15" t="s">
        <v>0</v>
      </c>
      <c r="N802" s="15" t="s">
        <v>0</v>
      </c>
      <c r="O802" s="15" t="s">
        <v>0</v>
      </c>
      <c r="P802" s="15" t="s">
        <v>0</v>
      </c>
      <c r="Q802" s="15" t="s">
        <v>0</v>
      </c>
      <c r="R802" s="15" t="s">
        <v>0</v>
      </c>
      <c r="S802" s="10" t="s">
        <v>1</v>
      </c>
      <c r="T802" s="10" t="s">
        <v>32</v>
      </c>
      <c r="U802" s="5" t="str">
        <f t="shared" si="336"/>
        <v>Propriedade destinada a fluir: é.voltas.do.fecho</v>
      </c>
      <c r="V802" s="5" t="str">
        <f t="shared" si="337"/>
        <v>Dado para fluir:  voltas.do.fecho  Deve ser formatado como (xsd:double)</v>
      </c>
      <c r="W802" s="5" t="s">
        <v>5604</v>
      </c>
      <c r="X802" s="24" t="str">
        <f t="shared" si="338"/>
        <v>fluir.107</v>
      </c>
      <c r="Y802" s="24" t="str">
        <f t="shared" si="339"/>
        <v>Ação de fluir</v>
      </c>
      <c r="Z802" s="47" t="s">
        <v>1498</v>
      </c>
      <c r="AA802" s="25" t="str">
        <f t="shared" si="332"/>
        <v>null</v>
      </c>
      <c r="AB802" s="26" t="s">
        <v>0</v>
      </c>
      <c r="AC802" s="25" t="str">
        <f t="shared" si="333"/>
        <v>null</v>
      </c>
      <c r="AD802" s="26" t="s">
        <v>0</v>
      </c>
      <c r="AE802" s="25" t="str">
        <f t="shared" si="335"/>
        <v>null</v>
      </c>
      <c r="AF802" s="26" t="s">
        <v>0</v>
      </c>
      <c r="AG802" s="47" t="s">
        <v>2827</v>
      </c>
    </row>
    <row r="803" spans="1:33" ht="6.9" customHeight="1" x14ac:dyDescent="0.4">
      <c r="A803" s="4">
        <f>ROW()</f>
        <v>803</v>
      </c>
      <c r="B803" s="9" t="s">
        <v>27</v>
      </c>
      <c r="C803" s="54" t="str">
        <f t="shared" si="331"/>
        <v>p.formar</v>
      </c>
      <c r="D803" s="6" t="str">
        <f t="shared" si="341"/>
        <v>é.código.ontogenético</v>
      </c>
      <c r="E803" s="8" t="s">
        <v>28</v>
      </c>
      <c r="F803" s="51" t="s">
        <v>2494</v>
      </c>
      <c r="G803" s="17" t="s">
        <v>2501</v>
      </c>
      <c r="H803" s="41" t="s">
        <v>2121</v>
      </c>
      <c r="I803" s="16" t="str">
        <f t="shared" si="324"/>
        <v>null</v>
      </c>
      <c r="J803" s="15" t="s">
        <v>0</v>
      </c>
      <c r="K803" s="15" t="s">
        <v>0</v>
      </c>
      <c r="L803" s="15" t="s">
        <v>0</v>
      </c>
      <c r="M803" s="15" t="s">
        <v>0</v>
      </c>
      <c r="N803" s="15" t="s">
        <v>0</v>
      </c>
      <c r="O803" s="15" t="s">
        <v>0</v>
      </c>
      <c r="P803" s="15" t="s">
        <v>0</v>
      </c>
      <c r="Q803" s="15" t="s">
        <v>0</v>
      </c>
      <c r="R803" s="15" t="s">
        <v>0</v>
      </c>
      <c r="S803" s="10" t="s">
        <v>1</v>
      </c>
      <c r="T803" s="10" t="s">
        <v>32</v>
      </c>
      <c r="U803" s="5" t="str">
        <f t="shared" si="336"/>
        <v>Propriedade destinada a formar: é.código.ontogenético</v>
      </c>
      <c r="V803" s="5" t="str">
        <f t="shared" si="337"/>
        <v>Dado para formar:  código.ontogenético  Deve ser formatado como (rdfs:Literal  or  xsd:string)</v>
      </c>
      <c r="W803" s="5" t="s">
        <v>5605</v>
      </c>
      <c r="X803" s="24" t="str">
        <f t="shared" si="338"/>
        <v>forma.100</v>
      </c>
      <c r="Y803" s="24" t="str">
        <f t="shared" si="339"/>
        <v>Ação de formar</v>
      </c>
      <c r="Z803" s="47" t="s">
        <v>4600</v>
      </c>
      <c r="AA803" s="25" t="str">
        <f t="shared" si="332"/>
        <v>null</v>
      </c>
      <c r="AB803" s="26" t="s">
        <v>0</v>
      </c>
      <c r="AC803" s="25" t="str">
        <f t="shared" si="333"/>
        <v>null</v>
      </c>
      <c r="AD803" s="26" t="s">
        <v>0</v>
      </c>
      <c r="AE803" s="25" t="str">
        <f t="shared" si="335"/>
        <v>null</v>
      </c>
      <c r="AF803" s="26" t="s">
        <v>0</v>
      </c>
      <c r="AG803" s="47" t="s">
        <v>4789</v>
      </c>
    </row>
    <row r="804" spans="1:33" ht="6.9" customHeight="1" x14ac:dyDescent="0.4">
      <c r="A804" s="4">
        <f>ROW()</f>
        <v>804</v>
      </c>
      <c r="B804" s="9" t="s">
        <v>27</v>
      </c>
      <c r="C804" s="55" t="str">
        <f t="shared" si="331"/>
        <v>p.formar</v>
      </c>
      <c r="D804" s="6" t="str">
        <f t="shared" si="341"/>
        <v>é.translação</v>
      </c>
      <c r="E804" s="8" t="s">
        <v>28</v>
      </c>
      <c r="F804" s="42" t="str">
        <f>F803</f>
        <v>d.formar</v>
      </c>
      <c r="G804" s="17" t="s">
        <v>2495</v>
      </c>
      <c r="H804" s="41" t="s">
        <v>2121</v>
      </c>
      <c r="I804" s="16" t="str">
        <f t="shared" si="324"/>
        <v>null</v>
      </c>
      <c r="J804" s="15" t="s">
        <v>0</v>
      </c>
      <c r="K804" s="15" t="s">
        <v>0</v>
      </c>
      <c r="L804" s="15" t="s">
        <v>0</v>
      </c>
      <c r="M804" s="15" t="s">
        <v>0</v>
      </c>
      <c r="N804" s="15" t="s">
        <v>0</v>
      </c>
      <c r="O804" s="15" t="s">
        <v>0</v>
      </c>
      <c r="P804" s="15" t="s">
        <v>0</v>
      </c>
      <c r="Q804" s="15" t="s">
        <v>0</v>
      </c>
      <c r="R804" s="15" t="s">
        <v>0</v>
      </c>
      <c r="S804" s="10" t="s">
        <v>1</v>
      </c>
      <c r="T804" s="10" t="s">
        <v>32</v>
      </c>
      <c r="U804" s="5" t="str">
        <f t="shared" si="336"/>
        <v>Propriedade destinada a formar: é.translação</v>
      </c>
      <c r="V804" s="5" t="str">
        <f t="shared" si="337"/>
        <v>Dado para formar:  translação  Deve ser formatado como (rdfs:Literal  or  xsd:string)</v>
      </c>
      <c r="W804" s="5" t="s">
        <v>5606</v>
      </c>
      <c r="X804" s="24" t="str">
        <f t="shared" si="338"/>
        <v>forma.101</v>
      </c>
      <c r="Y804" s="24" t="str">
        <f t="shared" si="339"/>
        <v>Ação de formar</v>
      </c>
      <c r="Z804" s="47" t="s">
        <v>2525</v>
      </c>
      <c r="AA804" s="25" t="str">
        <f t="shared" si="332"/>
        <v>categoria.revit</v>
      </c>
      <c r="AB804" s="26" t="s">
        <v>4398</v>
      </c>
      <c r="AC804" s="25" t="str">
        <f t="shared" si="333"/>
        <v>null</v>
      </c>
      <c r="AD804" s="26" t="s">
        <v>0</v>
      </c>
      <c r="AE804" s="25" t="str">
        <f t="shared" si="335"/>
        <v>null</v>
      </c>
      <c r="AF804" s="26" t="s">
        <v>0</v>
      </c>
      <c r="AG804" s="47" t="s">
        <v>2828</v>
      </c>
    </row>
    <row r="805" spans="1:33" ht="6.9" customHeight="1" x14ac:dyDescent="0.4">
      <c r="A805" s="4">
        <f>ROW()</f>
        <v>805</v>
      </c>
      <c r="B805" s="9" t="s">
        <v>27</v>
      </c>
      <c r="C805" s="55" t="str">
        <f t="shared" si="331"/>
        <v>p.formar</v>
      </c>
      <c r="D805" s="6" t="str">
        <f t="shared" si="341"/>
        <v>é.giro</v>
      </c>
      <c r="E805" s="8" t="s">
        <v>28</v>
      </c>
      <c r="F805" s="42" t="str">
        <f t="shared" ref="F805:F825" si="350">F804</f>
        <v>d.formar</v>
      </c>
      <c r="G805" s="17" t="s">
        <v>2503</v>
      </c>
      <c r="H805" s="41" t="s">
        <v>2121</v>
      </c>
      <c r="I805" s="16" t="str">
        <f t="shared" si="324"/>
        <v>null</v>
      </c>
      <c r="J805" s="15" t="s">
        <v>0</v>
      </c>
      <c r="K805" s="15" t="s">
        <v>0</v>
      </c>
      <c r="L805" s="15" t="s">
        <v>0</v>
      </c>
      <c r="M805" s="15" t="s">
        <v>0</v>
      </c>
      <c r="N805" s="15" t="s">
        <v>0</v>
      </c>
      <c r="O805" s="15" t="s">
        <v>0</v>
      </c>
      <c r="P805" s="15" t="s">
        <v>0</v>
      </c>
      <c r="Q805" s="15" t="s">
        <v>0</v>
      </c>
      <c r="R805" s="15" t="s">
        <v>0</v>
      </c>
      <c r="S805" s="10" t="s">
        <v>1</v>
      </c>
      <c r="T805" s="10" t="s">
        <v>32</v>
      </c>
      <c r="U805" s="5" t="str">
        <f t="shared" si="336"/>
        <v>Propriedade destinada a formar: é.giro</v>
      </c>
      <c r="V805" s="5" t="str">
        <f t="shared" si="337"/>
        <v>Dado para formar:  giro  Deve ser formatado como (rdfs:Literal  or  xsd:string)</v>
      </c>
      <c r="W805" s="5" t="s">
        <v>5607</v>
      </c>
      <c r="X805" s="24" t="str">
        <f t="shared" si="338"/>
        <v>forma.102</v>
      </c>
      <c r="Y805" s="24" t="str">
        <f t="shared" si="339"/>
        <v>Ação de formar</v>
      </c>
      <c r="Z805" s="47" t="s">
        <v>2526</v>
      </c>
      <c r="AA805" s="25" t="str">
        <f t="shared" si="332"/>
        <v>categoria.revit</v>
      </c>
      <c r="AB805" s="26" t="s">
        <v>4399</v>
      </c>
      <c r="AC805" s="25" t="str">
        <f t="shared" si="333"/>
        <v>null</v>
      </c>
      <c r="AD805" s="26" t="s">
        <v>0</v>
      </c>
      <c r="AE805" s="25" t="str">
        <f t="shared" si="335"/>
        <v>null</v>
      </c>
      <c r="AF805" s="26" t="s">
        <v>0</v>
      </c>
      <c r="AG805" s="47" t="s">
        <v>2829</v>
      </c>
    </row>
    <row r="806" spans="1:33" ht="6.9" customHeight="1" x14ac:dyDescent="0.4">
      <c r="A806" s="4">
        <f>ROW()</f>
        <v>806</v>
      </c>
      <c r="B806" s="9" t="s">
        <v>27</v>
      </c>
      <c r="C806" s="55" t="str">
        <f t="shared" si="331"/>
        <v>p.formar</v>
      </c>
      <c r="D806" s="6" t="str">
        <f t="shared" si="341"/>
        <v>é.escalar</v>
      </c>
      <c r="E806" s="8" t="s">
        <v>28</v>
      </c>
      <c r="F806" s="42" t="str">
        <f t="shared" si="350"/>
        <v>d.formar</v>
      </c>
      <c r="G806" s="17" t="s">
        <v>2496</v>
      </c>
      <c r="H806" s="41" t="s">
        <v>2121</v>
      </c>
      <c r="I806" s="16" t="str">
        <f t="shared" si="324"/>
        <v>null</v>
      </c>
      <c r="J806" s="15" t="s">
        <v>0</v>
      </c>
      <c r="K806" s="15" t="s">
        <v>0</v>
      </c>
      <c r="L806" s="15" t="s">
        <v>0</v>
      </c>
      <c r="M806" s="15" t="s">
        <v>0</v>
      </c>
      <c r="N806" s="15" t="s">
        <v>0</v>
      </c>
      <c r="O806" s="15" t="s">
        <v>0</v>
      </c>
      <c r="P806" s="15" t="s">
        <v>0</v>
      </c>
      <c r="Q806" s="15" t="s">
        <v>0</v>
      </c>
      <c r="R806" s="15" t="s">
        <v>0</v>
      </c>
      <c r="S806" s="10" t="s">
        <v>1</v>
      </c>
      <c r="T806" s="10" t="s">
        <v>32</v>
      </c>
      <c r="U806" s="5" t="str">
        <f t="shared" si="336"/>
        <v>Propriedade destinada a formar: é.escalar</v>
      </c>
      <c r="V806" s="5" t="str">
        <f t="shared" si="337"/>
        <v>Dado para formar:  escalar  Deve ser formatado como (rdfs:Literal  or  xsd:string)</v>
      </c>
      <c r="W806" s="5" t="s">
        <v>5608</v>
      </c>
      <c r="X806" s="24" t="str">
        <f t="shared" si="338"/>
        <v>forma.103</v>
      </c>
      <c r="Y806" s="24" t="str">
        <f t="shared" si="339"/>
        <v>Ação de formar</v>
      </c>
      <c r="Z806" s="47" t="s">
        <v>2527</v>
      </c>
      <c r="AA806" s="25" t="str">
        <f t="shared" si="332"/>
        <v>categoria.revit</v>
      </c>
      <c r="AB806" s="26" t="s">
        <v>4400</v>
      </c>
      <c r="AC806" s="25" t="str">
        <f t="shared" si="333"/>
        <v>null</v>
      </c>
      <c r="AD806" s="26" t="s">
        <v>0</v>
      </c>
      <c r="AE806" s="25" t="str">
        <f t="shared" si="335"/>
        <v>null</v>
      </c>
      <c r="AF806" s="26" t="s">
        <v>0</v>
      </c>
      <c r="AG806" s="47" t="s">
        <v>2830</v>
      </c>
    </row>
    <row r="807" spans="1:33" ht="6.9" customHeight="1" x14ac:dyDescent="0.4">
      <c r="A807" s="4">
        <f>ROW()</f>
        <v>807</v>
      </c>
      <c r="B807" s="9" t="s">
        <v>27</v>
      </c>
      <c r="C807" s="55" t="str">
        <f t="shared" si="331"/>
        <v>p.formar</v>
      </c>
      <c r="D807" s="6" t="str">
        <f t="shared" si="341"/>
        <v>é.reflexão</v>
      </c>
      <c r="E807" s="8" t="s">
        <v>28</v>
      </c>
      <c r="F807" s="42" t="str">
        <f t="shared" si="350"/>
        <v>d.formar</v>
      </c>
      <c r="G807" s="17" t="s">
        <v>2504</v>
      </c>
      <c r="H807" s="41" t="s">
        <v>2121</v>
      </c>
      <c r="I807" s="16" t="str">
        <f t="shared" si="324"/>
        <v>null</v>
      </c>
      <c r="J807" s="15" t="s">
        <v>0</v>
      </c>
      <c r="K807" s="15" t="s">
        <v>0</v>
      </c>
      <c r="L807" s="15" t="s">
        <v>0</v>
      </c>
      <c r="M807" s="15" t="s">
        <v>0</v>
      </c>
      <c r="N807" s="15" t="s">
        <v>0</v>
      </c>
      <c r="O807" s="15" t="s">
        <v>0</v>
      </c>
      <c r="P807" s="15" t="s">
        <v>0</v>
      </c>
      <c r="Q807" s="15" t="s">
        <v>0</v>
      </c>
      <c r="R807" s="15" t="s">
        <v>0</v>
      </c>
      <c r="S807" s="10" t="s">
        <v>1</v>
      </c>
      <c r="T807" s="10" t="s">
        <v>32</v>
      </c>
      <c r="U807" s="5" t="str">
        <f t="shared" si="336"/>
        <v>Propriedade destinada a formar: é.reflexão</v>
      </c>
      <c r="V807" s="5" t="str">
        <f t="shared" si="337"/>
        <v>Dado para formar:  reflexão  Deve ser formatado como (rdfs:Literal  or  xsd:string)</v>
      </c>
      <c r="W807" s="5" t="s">
        <v>5609</v>
      </c>
      <c r="X807" s="24" t="str">
        <f t="shared" si="338"/>
        <v>forma.104</v>
      </c>
      <c r="Y807" s="24" t="str">
        <f t="shared" si="339"/>
        <v>Ação de formar</v>
      </c>
      <c r="Z807" s="47" t="s">
        <v>2528</v>
      </c>
      <c r="AA807" s="25" t="str">
        <f t="shared" si="332"/>
        <v>categoria.revit</v>
      </c>
      <c r="AB807" s="26" t="s">
        <v>4401</v>
      </c>
      <c r="AC807" s="25" t="str">
        <f t="shared" si="333"/>
        <v>null</v>
      </c>
      <c r="AD807" s="26" t="s">
        <v>0</v>
      </c>
      <c r="AE807" s="25" t="str">
        <f t="shared" si="335"/>
        <v>null</v>
      </c>
      <c r="AF807" s="26" t="s">
        <v>0</v>
      </c>
      <c r="AG807" s="47" t="s">
        <v>2831</v>
      </c>
    </row>
    <row r="808" spans="1:33" ht="6.9" customHeight="1" x14ac:dyDescent="0.4">
      <c r="A808" s="4">
        <f>ROW()</f>
        <v>808</v>
      </c>
      <c r="B808" s="9" t="s">
        <v>27</v>
      </c>
      <c r="C808" s="55" t="str">
        <f t="shared" si="331"/>
        <v>p.formar</v>
      </c>
      <c r="D808" s="6" t="str">
        <f t="shared" si="341"/>
        <v>é.eixo.x</v>
      </c>
      <c r="E808" s="8" t="s">
        <v>28</v>
      </c>
      <c r="F808" s="42" t="str">
        <f t="shared" si="350"/>
        <v>d.formar</v>
      </c>
      <c r="G808" s="17" t="s">
        <v>2497</v>
      </c>
      <c r="H808" s="41" t="s">
        <v>2121</v>
      </c>
      <c r="I808" s="16" t="str">
        <f t="shared" si="324"/>
        <v>null</v>
      </c>
      <c r="J808" s="15" t="s">
        <v>0</v>
      </c>
      <c r="K808" s="15" t="s">
        <v>0</v>
      </c>
      <c r="L808" s="15" t="s">
        <v>0</v>
      </c>
      <c r="M808" s="15" t="s">
        <v>0</v>
      </c>
      <c r="N808" s="15" t="s">
        <v>0</v>
      </c>
      <c r="O808" s="15" t="s">
        <v>0</v>
      </c>
      <c r="P808" s="15" t="s">
        <v>0</v>
      </c>
      <c r="Q808" s="15" t="s">
        <v>0</v>
      </c>
      <c r="R808" s="15" t="s">
        <v>0</v>
      </c>
      <c r="S808" s="10" t="s">
        <v>1</v>
      </c>
      <c r="T808" s="10" t="s">
        <v>32</v>
      </c>
      <c r="U808" s="5" t="str">
        <f t="shared" si="336"/>
        <v>Propriedade destinada a formar: é.eixo.x</v>
      </c>
      <c r="V808" s="5" t="str">
        <f t="shared" si="337"/>
        <v>Dado para formar:  eixo.x  Deve ser formatado como (rdfs:Literal  or  xsd:string)</v>
      </c>
      <c r="W808" s="5" t="s">
        <v>5610</v>
      </c>
      <c r="X808" s="24" t="str">
        <f t="shared" si="338"/>
        <v>forma.105</v>
      </c>
      <c r="Y808" s="24" t="str">
        <f t="shared" si="339"/>
        <v>Ação de formar</v>
      </c>
      <c r="Z808" s="47" t="s">
        <v>2529</v>
      </c>
      <c r="AA808" s="25" t="str">
        <f t="shared" si="332"/>
        <v>null</v>
      </c>
      <c r="AB808" s="26" t="s">
        <v>0</v>
      </c>
      <c r="AC808" s="25" t="str">
        <f t="shared" si="333"/>
        <v>null</v>
      </c>
      <c r="AD808" s="26" t="s">
        <v>0</v>
      </c>
      <c r="AE808" s="25" t="str">
        <f t="shared" si="335"/>
        <v>null</v>
      </c>
      <c r="AF808" s="26" t="s">
        <v>0</v>
      </c>
      <c r="AG808" s="47" t="s">
        <v>2832</v>
      </c>
    </row>
    <row r="809" spans="1:33" ht="6.9" customHeight="1" x14ac:dyDescent="0.4">
      <c r="A809" s="4">
        <f>ROW()</f>
        <v>809</v>
      </c>
      <c r="B809" s="9" t="s">
        <v>27</v>
      </c>
      <c r="C809" s="55" t="str">
        <f t="shared" si="331"/>
        <v>p.formar</v>
      </c>
      <c r="D809" s="6" t="str">
        <f t="shared" si="341"/>
        <v>é.eixo.y</v>
      </c>
      <c r="E809" s="8" t="s">
        <v>28</v>
      </c>
      <c r="F809" s="42" t="str">
        <f t="shared" si="350"/>
        <v>d.formar</v>
      </c>
      <c r="G809" s="17" t="s">
        <v>2498</v>
      </c>
      <c r="H809" s="41" t="s">
        <v>2121</v>
      </c>
      <c r="I809" s="16" t="str">
        <f t="shared" si="324"/>
        <v>null</v>
      </c>
      <c r="J809" s="15" t="s">
        <v>0</v>
      </c>
      <c r="K809" s="15" t="s">
        <v>0</v>
      </c>
      <c r="L809" s="15" t="s">
        <v>0</v>
      </c>
      <c r="M809" s="15" t="s">
        <v>0</v>
      </c>
      <c r="N809" s="15" t="s">
        <v>0</v>
      </c>
      <c r="O809" s="15" t="s">
        <v>0</v>
      </c>
      <c r="P809" s="15" t="s">
        <v>0</v>
      </c>
      <c r="Q809" s="15" t="s">
        <v>0</v>
      </c>
      <c r="R809" s="15" t="s">
        <v>0</v>
      </c>
      <c r="S809" s="10" t="s">
        <v>1</v>
      </c>
      <c r="T809" s="10" t="s">
        <v>32</v>
      </c>
      <c r="U809" s="5" t="str">
        <f t="shared" si="336"/>
        <v>Propriedade destinada a formar: é.eixo.y</v>
      </c>
      <c r="V809" s="5" t="str">
        <f t="shared" si="337"/>
        <v>Dado para formar:  eixo.y  Deve ser formatado como (rdfs:Literal  or  xsd:string)</v>
      </c>
      <c r="W809" s="5" t="s">
        <v>5611</v>
      </c>
      <c r="X809" s="24" t="str">
        <f t="shared" si="338"/>
        <v>forma.106</v>
      </c>
      <c r="Y809" s="24" t="str">
        <f t="shared" si="339"/>
        <v>Ação de formar</v>
      </c>
      <c r="Z809" s="47" t="s">
        <v>2530</v>
      </c>
      <c r="AA809" s="25" t="str">
        <f t="shared" si="332"/>
        <v>null</v>
      </c>
      <c r="AB809" s="26" t="s">
        <v>0</v>
      </c>
      <c r="AC809" s="25" t="str">
        <f t="shared" si="333"/>
        <v>null</v>
      </c>
      <c r="AD809" s="26" t="s">
        <v>0</v>
      </c>
      <c r="AE809" s="25" t="str">
        <f t="shared" si="335"/>
        <v>null</v>
      </c>
      <c r="AF809" s="26" t="s">
        <v>0</v>
      </c>
      <c r="AG809" s="47" t="s">
        <v>2833</v>
      </c>
    </row>
    <row r="810" spans="1:33" ht="6.9" customHeight="1" x14ac:dyDescent="0.4">
      <c r="A810" s="4">
        <f>ROW()</f>
        <v>810</v>
      </c>
      <c r="B810" s="9" t="s">
        <v>27</v>
      </c>
      <c r="C810" s="55" t="str">
        <f t="shared" si="331"/>
        <v>p.formar</v>
      </c>
      <c r="D810" s="6" t="str">
        <f t="shared" si="341"/>
        <v>é.eixo.z</v>
      </c>
      <c r="E810" s="8" t="s">
        <v>28</v>
      </c>
      <c r="F810" s="42" t="str">
        <f t="shared" si="350"/>
        <v>d.formar</v>
      </c>
      <c r="G810" s="17" t="s">
        <v>2499</v>
      </c>
      <c r="H810" s="41" t="s">
        <v>2121</v>
      </c>
      <c r="I810" s="16" t="str">
        <f t="shared" si="324"/>
        <v>null</v>
      </c>
      <c r="J810" s="15" t="s">
        <v>0</v>
      </c>
      <c r="K810" s="15" t="s">
        <v>0</v>
      </c>
      <c r="L810" s="15" t="s">
        <v>0</v>
      </c>
      <c r="M810" s="15" t="s">
        <v>0</v>
      </c>
      <c r="N810" s="15" t="s">
        <v>0</v>
      </c>
      <c r="O810" s="15" t="s">
        <v>0</v>
      </c>
      <c r="P810" s="15" t="s">
        <v>0</v>
      </c>
      <c r="Q810" s="15" t="s">
        <v>0</v>
      </c>
      <c r="R810" s="15" t="s">
        <v>0</v>
      </c>
      <c r="S810" s="10" t="s">
        <v>1</v>
      </c>
      <c r="T810" s="10" t="s">
        <v>32</v>
      </c>
      <c r="U810" s="5" t="str">
        <f t="shared" si="336"/>
        <v>Propriedade destinada a formar: é.eixo.z</v>
      </c>
      <c r="V810" s="5" t="str">
        <f t="shared" si="337"/>
        <v>Dado para formar:  eixo.z  Deve ser formatado como (rdfs:Literal  or  xsd:string)</v>
      </c>
      <c r="W810" s="5" t="s">
        <v>5612</v>
      </c>
      <c r="X810" s="24" t="str">
        <f t="shared" si="338"/>
        <v>forma.107</v>
      </c>
      <c r="Y810" s="24" t="str">
        <f t="shared" si="339"/>
        <v>Ação de formar</v>
      </c>
      <c r="Z810" s="47" t="s">
        <v>2531</v>
      </c>
      <c r="AA810" s="25" t="str">
        <f t="shared" si="332"/>
        <v>null</v>
      </c>
      <c r="AB810" s="26" t="s">
        <v>0</v>
      </c>
      <c r="AC810" s="25" t="str">
        <f t="shared" si="333"/>
        <v>null</v>
      </c>
      <c r="AD810" s="26" t="s">
        <v>0</v>
      </c>
      <c r="AE810" s="25" t="str">
        <f t="shared" si="335"/>
        <v>null</v>
      </c>
      <c r="AF810" s="26" t="s">
        <v>0</v>
      </c>
      <c r="AG810" s="47" t="s">
        <v>2834</v>
      </c>
    </row>
    <row r="811" spans="1:33" ht="6.9" customHeight="1" x14ac:dyDescent="0.4">
      <c r="A811" s="4">
        <f>ROW()</f>
        <v>811</v>
      </c>
      <c r="B811" s="9" t="s">
        <v>27</v>
      </c>
      <c r="C811" s="55" t="str">
        <f t="shared" si="331"/>
        <v>p.formar</v>
      </c>
      <c r="D811" s="6" t="str">
        <f t="shared" si="341"/>
        <v>é.base.x</v>
      </c>
      <c r="E811" s="8" t="s">
        <v>28</v>
      </c>
      <c r="F811" s="42" t="str">
        <f t="shared" si="350"/>
        <v>d.formar</v>
      </c>
      <c r="G811" s="17" t="s">
        <v>3559</v>
      </c>
      <c r="H811" s="42" t="s">
        <v>36</v>
      </c>
      <c r="I811" s="16" t="str">
        <f t="shared" si="324"/>
        <v>null</v>
      </c>
      <c r="J811" s="15" t="s">
        <v>0</v>
      </c>
      <c r="K811" s="15" t="s">
        <v>0</v>
      </c>
      <c r="L811" s="15" t="s">
        <v>0</v>
      </c>
      <c r="M811" s="15" t="s">
        <v>0</v>
      </c>
      <c r="N811" s="15" t="s">
        <v>0</v>
      </c>
      <c r="O811" s="15" t="s">
        <v>0</v>
      </c>
      <c r="P811" s="15" t="s">
        <v>0</v>
      </c>
      <c r="Q811" s="15" t="s">
        <v>0</v>
      </c>
      <c r="R811" s="21" t="s">
        <v>3916</v>
      </c>
      <c r="S811" s="10" t="s">
        <v>1</v>
      </c>
      <c r="T811" s="10" t="s">
        <v>32</v>
      </c>
      <c r="U811" s="5" t="str">
        <f t="shared" si="336"/>
        <v>Propriedade destinada a formar: é.base.x</v>
      </c>
      <c r="V811" s="5" t="str">
        <f t="shared" si="337"/>
        <v>Dado para formar:  base.x  Deve ser formatado como (xsd:double)</v>
      </c>
      <c r="W811" s="5" t="s">
        <v>5613</v>
      </c>
      <c r="X811" s="24" t="str">
        <f t="shared" si="338"/>
        <v>forma.108</v>
      </c>
      <c r="Y811" s="24" t="str">
        <f t="shared" si="339"/>
        <v>Ação de formar</v>
      </c>
      <c r="Z811" s="47" t="s">
        <v>3571</v>
      </c>
      <c r="AA811" s="25" t="str">
        <f t="shared" si="332"/>
        <v>null</v>
      </c>
      <c r="AB811" s="26" t="s">
        <v>0</v>
      </c>
      <c r="AC811" s="25" t="str">
        <f t="shared" si="333"/>
        <v>null</v>
      </c>
      <c r="AD811" s="26" t="s">
        <v>0</v>
      </c>
      <c r="AE811" s="25" t="str">
        <f t="shared" si="335"/>
        <v>null</v>
      </c>
      <c r="AF811" s="26" t="s">
        <v>0</v>
      </c>
      <c r="AG811" s="47" t="s">
        <v>3565</v>
      </c>
    </row>
    <row r="812" spans="1:33" ht="6.9" customHeight="1" x14ac:dyDescent="0.4">
      <c r="A812" s="4">
        <f>ROW()</f>
        <v>812</v>
      </c>
      <c r="B812" s="9" t="s">
        <v>27</v>
      </c>
      <c r="C812" s="55" t="str">
        <f t="shared" si="331"/>
        <v>p.formar</v>
      </c>
      <c r="D812" s="6" t="str">
        <f t="shared" si="341"/>
        <v>é.base.y</v>
      </c>
      <c r="E812" s="8" t="s">
        <v>28</v>
      </c>
      <c r="F812" s="42" t="str">
        <f t="shared" si="350"/>
        <v>d.formar</v>
      </c>
      <c r="G812" s="17" t="s">
        <v>3560</v>
      </c>
      <c r="H812" s="42" t="s">
        <v>36</v>
      </c>
      <c r="I812" s="16" t="str">
        <f t="shared" si="324"/>
        <v>null</v>
      </c>
      <c r="J812" s="15" t="s">
        <v>0</v>
      </c>
      <c r="K812" s="15" t="s">
        <v>0</v>
      </c>
      <c r="L812" s="15" t="s">
        <v>0</v>
      </c>
      <c r="M812" s="15" t="s">
        <v>0</v>
      </c>
      <c r="N812" s="15" t="s">
        <v>0</v>
      </c>
      <c r="O812" s="15" t="s">
        <v>0</v>
      </c>
      <c r="P812" s="15" t="s">
        <v>0</v>
      </c>
      <c r="Q812" s="15" t="s">
        <v>0</v>
      </c>
      <c r="R812" s="21" t="s">
        <v>3917</v>
      </c>
      <c r="S812" s="10" t="s">
        <v>1</v>
      </c>
      <c r="T812" s="10" t="s">
        <v>32</v>
      </c>
      <c r="U812" s="5" t="str">
        <f t="shared" si="336"/>
        <v>Propriedade destinada a formar: é.base.y</v>
      </c>
      <c r="V812" s="5" t="str">
        <f t="shared" si="337"/>
        <v>Dado para formar:  base.y  Deve ser formatado como (xsd:double)</v>
      </c>
      <c r="W812" s="5" t="s">
        <v>5614</v>
      </c>
      <c r="X812" s="24" t="str">
        <f t="shared" si="338"/>
        <v>forma.109</v>
      </c>
      <c r="Y812" s="24" t="str">
        <f t="shared" si="339"/>
        <v>Ação de formar</v>
      </c>
      <c r="Z812" s="47" t="s">
        <v>3576</v>
      </c>
      <c r="AA812" s="25" t="str">
        <f t="shared" si="332"/>
        <v>null</v>
      </c>
      <c r="AB812" s="26" t="s">
        <v>0</v>
      </c>
      <c r="AC812" s="25" t="str">
        <f t="shared" si="333"/>
        <v>null</v>
      </c>
      <c r="AD812" s="26" t="s">
        <v>0</v>
      </c>
      <c r="AE812" s="25" t="str">
        <f t="shared" si="335"/>
        <v>null</v>
      </c>
      <c r="AF812" s="26" t="s">
        <v>0</v>
      </c>
      <c r="AG812" s="47" t="s">
        <v>3566</v>
      </c>
    </row>
    <row r="813" spans="1:33" ht="6.9" customHeight="1" x14ac:dyDescent="0.4">
      <c r="A813" s="4">
        <f>ROW()</f>
        <v>813</v>
      </c>
      <c r="B813" s="9" t="s">
        <v>27</v>
      </c>
      <c r="C813" s="55" t="str">
        <f t="shared" si="331"/>
        <v>p.formar</v>
      </c>
      <c r="D813" s="6" t="str">
        <f t="shared" si="341"/>
        <v>é.base.z</v>
      </c>
      <c r="E813" s="8" t="s">
        <v>28</v>
      </c>
      <c r="F813" s="42" t="str">
        <f t="shared" si="350"/>
        <v>d.formar</v>
      </c>
      <c r="G813" s="17" t="s">
        <v>3561</v>
      </c>
      <c r="H813" s="42" t="s">
        <v>36</v>
      </c>
      <c r="I813" s="16" t="str">
        <f t="shared" si="324"/>
        <v>null</v>
      </c>
      <c r="J813" s="15" t="s">
        <v>0</v>
      </c>
      <c r="K813" s="15" t="s">
        <v>0</v>
      </c>
      <c r="L813" s="15" t="s">
        <v>0</v>
      </c>
      <c r="M813" s="15" t="s">
        <v>0</v>
      </c>
      <c r="N813" s="15" t="s">
        <v>0</v>
      </c>
      <c r="O813" s="15" t="s">
        <v>0</v>
      </c>
      <c r="P813" s="15" t="s">
        <v>0</v>
      </c>
      <c r="Q813" s="15" t="s">
        <v>0</v>
      </c>
      <c r="R813" s="21" t="s">
        <v>3918</v>
      </c>
      <c r="S813" s="10" t="s">
        <v>1</v>
      </c>
      <c r="T813" s="10" t="s">
        <v>32</v>
      </c>
      <c r="U813" s="5" t="str">
        <f t="shared" si="336"/>
        <v>Propriedade destinada a formar: é.base.z</v>
      </c>
      <c r="V813" s="5" t="str">
        <f t="shared" si="337"/>
        <v>Dado para formar:  base.z  Deve ser formatado como (xsd:double)</v>
      </c>
      <c r="W813" s="5" t="s">
        <v>5615</v>
      </c>
      <c r="X813" s="24" t="str">
        <f t="shared" si="338"/>
        <v>forma.110</v>
      </c>
      <c r="Y813" s="24" t="str">
        <f t="shared" si="339"/>
        <v>Ação de formar</v>
      </c>
      <c r="Z813" s="47" t="s">
        <v>3572</v>
      </c>
      <c r="AA813" s="25" t="str">
        <f t="shared" si="332"/>
        <v>null</v>
      </c>
      <c r="AB813" s="26" t="s">
        <v>0</v>
      </c>
      <c r="AC813" s="25" t="str">
        <f t="shared" si="333"/>
        <v>null</v>
      </c>
      <c r="AD813" s="26" t="s">
        <v>0</v>
      </c>
      <c r="AE813" s="25" t="str">
        <f t="shared" si="335"/>
        <v>null</v>
      </c>
      <c r="AF813" s="26" t="s">
        <v>0</v>
      </c>
      <c r="AG813" s="47" t="s">
        <v>3567</v>
      </c>
    </row>
    <row r="814" spans="1:33" ht="6.9" customHeight="1" x14ac:dyDescent="0.4">
      <c r="A814" s="4">
        <f>ROW()</f>
        <v>814</v>
      </c>
      <c r="B814" s="9" t="s">
        <v>27</v>
      </c>
      <c r="C814" s="55" t="str">
        <f t="shared" si="331"/>
        <v>p.formar</v>
      </c>
      <c r="D814" s="6" t="str">
        <f t="shared" si="341"/>
        <v>é.base.xx</v>
      </c>
      <c r="E814" s="8" t="s">
        <v>28</v>
      </c>
      <c r="F814" s="42" t="str">
        <f t="shared" si="350"/>
        <v>d.formar</v>
      </c>
      <c r="G814" s="17" t="s">
        <v>3562</v>
      </c>
      <c r="H814" s="42" t="s">
        <v>36</v>
      </c>
      <c r="I814" s="16" t="str">
        <f t="shared" ref="I814:I839" si="351">J814</f>
        <v>null</v>
      </c>
      <c r="J814" s="15" t="s">
        <v>0</v>
      </c>
      <c r="K814" s="15" t="s">
        <v>0</v>
      </c>
      <c r="L814" s="15" t="s">
        <v>0</v>
      </c>
      <c r="M814" s="15" t="s">
        <v>0</v>
      </c>
      <c r="N814" s="15" t="s">
        <v>0</v>
      </c>
      <c r="O814" s="15" t="s">
        <v>0</v>
      </c>
      <c r="P814" s="15" t="s">
        <v>0</v>
      </c>
      <c r="Q814" s="15" t="s">
        <v>0</v>
      </c>
      <c r="R814" s="21" t="s">
        <v>3916</v>
      </c>
      <c r="S814" s="10" t="s">
        <v>1</v>
      </c>
      <c r="T814" s="10" t="s">
        <v>32</v>
      </c>
      <c r="U814" s="5" t="str">
        <f t="shared" si="336"/>
        <v>Propriedade destinada a formar: é.base.xx</v>
      </c>
      <c r="V814" s="5" t="str">
        <f t="shared" si="337"/>
        <v>Dado para formar:  base.xx  Deve ser formatado como (xsd:double)</v>
      </c>
      <c r="W814" s="5" t="s">
        <v>5616</v>
      </c>
      <c r="X814" s="24" t="str">
        <f t="shared" si="338"/>
        <v>forma.111</v>
      </c>
      <c r="Y814" s="24" t="str">
        <f t="shared" si="339"/>
        <v>Ação de formar</v>
      </c>
      <c r="Z814" s="47" t="s">
        <v>3573</v>
      </c>
      <c r="AA814" s="25" t="str">
        <f t="shared" si="332"/>
        <v>null</v>
      </c>
      <c r="AB814" s="26" t="s">
        <v>0</v>
      </c>
      <c r="AC814" s="25" t="str">
        <f t="shared" si="333"/>
        <v>null</v>
      </c>
      <c r="AD814" s="26" t="s">
        <v>0</v>
      </c>
      <c r="AE814" s="25" t="str">
        <f t="shared" si="335"/>
        <v>null</v>
      </c>
      <c r="AF814" s="26" t="s">
        <v>0</v>
      </c>
      <c r="AG814" s="47" t="s">
        <v>3568</v>
      </c>
    </row>
    <row r="815" spans="1:33" ht="6.9" customHeight="1" x14ac:dyDescent="0.4">
      <c r="A815" s="4">
        <f>ROW()</f>
        <v>815</v>
      </c>
      <c r="B815" s="9" t="s">
        <v>27</v>
      </c>
      <c r="C815" s="55" t="str">
        <f t="shared" si="331"/>
        <v>p.formar</v>
      </c>
      <c r="D815" s="6" t="str">
        <f t="shared" si="341"/>
        <v>é.base.yy</v>
      </c>
      <c r="E815" s="8" t="s">
        <v>28</v>
      </c>
      <c r="F815" s="42" t="str">
        <f t="shared" si="350"/>
        <v>d.formar</v>
      </c>
      <c r="G815" s="17" t="s">
        <v>3563</v>
      </c>
      <c r="H815" s="42" t="s">
        <v>36</v>
      </c>
      <c r="I815" s="16" t="str">
        <f t="shared" si="351"/>
        <v>null</v>
      </c>
      <c r="J815" s="15" t="s">
        <v>0</v>
      </c>
      <c r="K815" s="15" t="s">
        <v>0</v>
      </c>
      <c r="L815" s="15" t="s">
        <v>0</v>
      </c>
      <c r="M815" s="15" t="s">
        <v>0</v>
      </c>
      <c r="N815" s="15" t="s">
        <v>0</v>
      </c>
      <c r="O815" s="15" t="s">
        <v>0</v>
      </c>
      <c r="P815" s="15" t="s">
        <v>0</v>
      </c>
      <c r="Q815" s="15" t="s">
        <v>0</v>
      </c>
      <c r="R815" s="21" t="s">
        <v>3917</v>
      </c>
      <c r="S815" s="10" t="s">
        <v>1</v>
      </c>
      <c r="T815" s="10" t="s">
        <v>32</v>
      </c>
      <c r="U815" s="5" t="str">
        <f t="shared" si="336"/>
        <v>Propriedade destinada a formar: é.base.yy</v>
      </c>
      <c r="V815" s="5" t="str">
        <f t="shared" si="337"/>
        <v>Dado para formar:  base.yy  Deve ser formatado como (xsd:double)</v>
      </c>
      <c r="W815" s="5" t="s">
        <v>5617</v>
      </c>
      <c r="X815" s="24" t="str">
        <f t="shared" si="338"/>
        <v>forma.112</v>
      </c>
      <c r="Y815" s="24" t="str">
        <f t="shared" si="339"/>
        <v>Ação de formar</v>
      </c>
      <c r="Z815" s="47" t="s">
        <v>3574</v>
      </c>
      <c r="AA815" s="25" t="str">
        <f t="shared" si="332"/>
        <v>null</v>
      </c>
      <c r="AB815" s="26" t="s">
        <v>0</v>
      </c>
      <c r="AC815" s="25" t="str">
        <f t="shared" si="333"/>
        <v>null</v>
      </c>
      <c r="AD815" s="26" t="s">
        <v>0</v>
      </c>
      <c r="AE815" s="25" t="str">
        <f t="shared" si="335"/>
        <v>null</v>
      </c>
      <c r="AF815" s="26" t="s">
        <v>0</v>
      </c>
      <c r="AG815" s="47" t="s">
        <v>3569</v>
      </c>
    </row>
    <row r="816" spans="1:33" ht="6.9" customHeight="1" x14ac:dyDescent="0.4">
      <c r="A816" s="4">
        <f>ROW()</f>
        <v>816</v>
      </c>
      <c r="B816" s="9" t="s">
        <v>27</v>
      </c>
      <c r="C816" s="55" t="str">
        <f t="shared" si="331"/>
        <v>p.formar</v>
      </c>
      <c r="D816" s="6" t="str">
        <f t="shared" si="341"/>
        <v>é.base.zz</v>
      </c>
      <c r="E816" s="8" t="s">
        <v>28</v>
      </c>
      <c r="F816" s="42" t="str">
        <f t="shared" si="350"/>
        <v>d.formar</v>
      </c>
      <c r="G816" s="17" t="s">
        <v>3564</v>
      </c>
      <c r="H816" s="42" t="s">
        <v>36</v>
      </c>
      <c r="I816" s="16" t="str">
        <f t="shared" si="351"/>
        <v>null</v>
      </c>
      <c r="J816" s="15" t="s">
        <v>0</v>
      </c>
      <c r="K816" s="15" t="s">
        <v>0</v>
      </c>
      <c r="L816" s="15" t="s">
        <v>0</v>
      </c>
      <c r="M816" s="15" t="s">
        <v>0</v>
      </c>
      <c r="N816" s="15" t="s">
        <v>0</v>
      </c>
      <c r="O816" s="15" t="s">
        <v>0</v>
      </c>
      <c r="P816" s="15" t="s">
        <v>0</v>
      </c>
      <c r="Q816" s="15" t="s">
        <v>0</v>
      </c>
      <c r="R816" s="21" t="s">
        <v>3918</v>
      </c>
      <c r="S816" s="10" t="s">
        <v>1</v>
      </c>
      <c r="T816" s="10" t="s">
        <v>32</v>
      </c>
      <c r="U816" s="5" t="str">
        <f t="shared" si="336"/>
        <v>Propriedade destinada a formar: é.base.zz</v>
      </c>
      <c r="V816" s="5" t="str">
        <f t="shared" si="337"/>
        <v>Dado para formar:  base.zz  Deve ser formatado como (xsd:double)</v>
      </c>
      <c r="W816" s="5" t="s">
        <v>5618</v>
      </c>
      <c r="X816" s="24" t="str">
        <f t="shared" si="338"/>
        <v>forma.113</v>
      </c>
      <c r="Y816" s="24" t="str">
        <f t="shared" si="339"/>
        <v>Ação de formar</v>
      </c>
      <c r="Z816" s="47" t="s">
        <v>3575</v>
      </c>
      <c r="AA816" s="25" t="str">
        <f t="shared" si="332"/>
        <v>null</v>
      </c>
      <c r="AB816" s="26" t="s">
        <v>0</v>
      </c>
      <c r="AC816" s="25" t="str">
        <f t="shared" si="333"/>
        <v>null</v>
      </c>
      <c r="AD816" s="26" t="s">
        <v>0</v>
      </c>
      <c r="AE816" s="25" t="str">
        <f t="shared" si="335"/>
        <v>null</v>
      </c>
      <c r="AF816" s="26" t="s">
        <v>0</v>
      </c>
      <c r="AG816" s="47" t="s">
        <v>3570</v>
      </c>
    </row>
    <row r="817" spans="1:33" ht="6.9" customHeight="1" x14ac:dyDescent="0.4">
      <c r="A817" s="4">
        <f>ROW()</f>
        <v>817</v>
      </c>
      <c r="B817" s="9" t="s">
        <v>27</v>
      </c>
      <c r="C817" s="55" t="str">
        <f t="shared" si="331"/>
        <v>p.formar</v>
      </c>
      <c r="D817" s="6" t="str">
        <f t="shared" si="341"/>
        <v>é.coordenada.x</v>
      </c>
      <c r="E817" s="8" t="s">
        <v>28</v>
      </c>
      <c r="F817" s="42" t="str">
        <f t="shared" si="350"/>
        <v>d.formar</v>
      </c>
      <c r="G817" s="17" t="s">
        <v>2505</v>
      </c>
      <c r="H817" s="42" t="s">
        <v>36</v>
      </c>
      <c r="I817" s="16" t="str">
        <f t="shared" si="351"/>
        <v>null</v>
      </c>
      <c r="J817" s="15" t="s">
        <v>0</v>
      </c>
      <c r="K817" s="15" t="s">
        <v>0</v>
      </c>
      <c r="L817" s="15" t="s">
        <v>0</v>
      </c>
      <c r="M817" s="15" t="s">
        <v>0</v>
      </c>
      <c r="N817" s="15" t="s">
        <v>0</v>
      </c>
      <c r="O817" s="15" t="s">
        <v>0</v>
      </c>
      <c r="P817" s="15" t="s">
        <v>0</v>
      </c>
      <c r="Q817" s="15" t="s">
        <v>0</v>
      </c>
      <c r="R817" s="15" t="s">
        <v>0</v>
      </c>
      <c r="S817" s="10" t="s">
        <v>1</v>
      </c>
      <c r="T817" s="10" t="s">
        <v>32</v>
      </c>
      <c r="U817" s="5" t="str">
        <f t="shared" si="336"/>
        <v>Propriedade destinada a formar: é.coordenada.x</v>
      </c>
      <c r="V817" s="5" t="str">
        <f t="shared" si="337"/>
        <v>Dado para formar:  coordenada.x  Deve ser formatado como (xsd:double)</v>
      </c>
      <c r="W817" s="5" t="s">
        <v>5619</v>
      </c>
      <c r="X817" s="24" t="str">
        <f t="shared" si="338"/>
        <v>forma.114</v>
      </c>
      <c r="Y817" s="24" t="str">
        <f t="shared" si="339"/>
        <v>Ação de formar</v>
      </c>
      <c r="Z817" s="47" t="s">
        <v>2532</v>
      </c>
      <c r="AA817" s="25" t="str">
        <f t="shared" si="332"/>
        <v>null</v>
      </c>
      <c r="AB817" s="26" t="s">
        <v>0</v>
      </c>
      <c r="AC817" s="25" t="str">
        <f t="shared" si="333"/>
        <v>null</v>
      </c>
      <c r="AD817" s="26" t="s">
        <v>0</v>
      </c>
      <c r="AE817" s="25" t="str">
        <f t="shared" si="335"/>
        <v>null</v>
      </c>
      <c r="AF817" s="26" t="s">
        <v>0</v>
      </c>
      <c r="AG817" s="47" t="s">
        <v>2835</v>
      </c>
    </row>
    <row r="818" spans="1:33" ht="6.9" customHeight="1" x14ac:dyDescent="0.4">
      <c r="A818" s="4">
        <f>ROW()</f>
        <v>818</v>
      </c>
      <c r="B818" s="9" t="s">
        <v>27</v>
      </c>
      <c r="C818" s="55" t="str">
        <f t="shared" si="331"/>
        <v>p.formar</v>
      </c>
      <c r="D818" s="6" t="str">
        <f t="shared" si="341"/>
        <v>é.coordenada.y</v>
      </c>
      <c r="E818" s="8" t="s">
        <v>28</v>
      </c>
      <c r="F818" s="42" t="str">
        <f t="shared" si="350"/>
        <v>d.formar</v>
      </c>
      <c r="G818" s="17" t="s">
        <v>2506</v>
      </c>
      <c r="H818" s="42" t="s">
        <v>36</v>
      </c>
      <c r="I818" s="16" t="str">
        <f t="shared" si="351"/>
        <v>null</v>
      </c>
      <c r="J818" s="15" t="s">
        <v>0</v>
      </c>
      <c r="K818" s="15" t="s">
        <v>0</v>
      </c>
      <c r="L818" s="15" t="s">
        <v>0</v>
      </c>
      <c r="M818" s="15" t="s">
        <v>0</v>
      </c>
      <c r="N818" s="15" t="s">
        <v>0</v>
      </c>
      <c r="O818" s="15" t="s">
        <v>0</v>
      </c>
      <c r="P818" s="15" t="s">
        <v>0</v>
      </c>
      <c r="Q818" s="15" t="s">
        <v>0</v>
      </c>
      <c r="R818" s="15" t="s">
        <v>0</v>
      </c>
      <c r="S818" s="10" t="s">
        <v>1</v>
      </c>
      <c r="T818" s="10" t="s">
        <v>32</v>
      </c>
      <c r="U818" s="5" t="str">
        <f t="shared" si="336"/>
        <v>Propriedade destinada a formar: é.coordenada.y</v>
      </c>
      <c r="V818" s="5" t="str">
        <f t="shared" si="337"/>
        <v>Dado para formar:  coordenada.y  Deve ser formatado como (xsd:double)</v>
      </c>
      <c r="W818" s="5" t="s">
        <v>5620</v>
      </c>
      <c r="X818" s="24" t="str">
        <f t="shared" si="338"/>
        <v>forma.115</v>
      </c>
      <c r="Y818" s="24" t="str">
        <f t="shared" si="339"/>
        <v>Ação de formar</v>
      </c>
      <c r="Z818" s="47" t="s">
        <v>2533</v>
      </c>
      <c r="AA818" s="25" t="str">
        <f t="shared" si="332"/>
        <v>null</v>
      </c>
      <c r="AB818" s="26" t="s">
        <v>0</v>
      </c>
      <c r="AC818" s="25" t="str">
        <f t="shared" si="333"/>
        <v>null</v>
      </c>
      <c r="AD818" s="26" t="s">
        <v>0</v>
      </c>
      <c r="AE818" s="25" t="str">
        <f t="shared" si="335"/>
        <v>null</v>
      </c>
      <c r="AF818" s="26" t="s">
        <v>0</v>
      </c>
      <c r="AG818" s="47" t="s">
        <v>2836</v>
      </c>
    </row>
    <row r="819" spans="1:33" ht="6.9" customHeight="1" x14ac:dyDescent="0.4">
      <c r="A819" s="4">
        <f>ROW()</f>
        <v>819</v>
      </c>
      <c r="B819" s="9" t="s">
        <v>27</v>
      </c>
      <c r="C819" s="55" t="str">
        <f t="shared" si="331"/>
        <v>p.formar</v>
      </c>
      <c r="D819" s="6" t="str">
        <f t="shared" si="341"/>
        <v>é.coordenada.z</v>
      </c>
      <c r="E819" s="8" t="s">
        <v>28</v>
      </c>
      <c r="F819" s="42" t="str">
        <f t="shared" si="350"/>
        <v>d.formar</v>
      </c>
      <c r="G819" s="17" t="s">
        <v>2507</v>
      </c>
      <c r="H819" s="42" t="s">
        <v>36</v>
      </c>
      <c r="I819" s="16" t="str">
        <f t="shared" si="351"/>
        <v>null</v>
      </c>
      <c r="J819" s="15" t="s">
        <v>0</v>
      </c>
      <c r="K819" s="15" t="s">
        <v>0</v>
      </c>
      <c r="L819" s="15" t="s">
        <v>0</v>
      </c>
      <c r="M819" s="15" t="s">
        <v>0</v>
      </c>
      <c r="N819" s="15" t="s">
        <v>0</v>
      </c>
      <c r="O819" s="15" t="s">
        <v>0</v>
      </c>
      <c r="P819" s="15" t="s">
        <v>0</v>
      </c>
      <c r="Q819" s="15" t="s">
        <v>0</v>
      </c>
      <c r="R819" s="15" t="s">
        <v>0</v>
      </c>
      <c r="S819" s="10" t="s">
        <v>1</v>
      </c>
      <c r="T819" s="10" t="s">
        <v>32</v>
      </c>
      <c r="U819" s="5" t="str">
        <f t="shared" si="336"/>
        <v>Propriedade destinada a formar: é.coordenada.z</v>
      </c>
      <c r="V819" s="5" t="str">
        <f t="shared" si="337"/>
        <v>Dado para formar:  coordenada.z  Deve ser formatado como (xsd:double)</v>
      </c>
      <c r="W819" s="5" t="s">
        <v>5621</v>
      </c>
      <c r="X819" s="24" t="str">
        <f t="shared" si="338"/>
        <v>forma.116</v>
      </c>
      <c r="Y819" s="24" t="str">
        <f t="shared" si="339"/>
        <v>Ação de formar</v>
      </c>
      <c r="Z819" s="47" t="s">
        <v>2534</v>
      </c>
      <c r="AA819" s="25" t="str">
        <f t="shared" si="332"/>
        <v>null</v>
      </c>
      <c r="AB819" s="26" t="s">
        <v>0</v>
      </c>
      <c r="AC819" s="25" t="str">
        <f t="shared" si="333"/>
        <v>null</v>
      </c>
      <c r="AD819" s="26" t="s">
        <v>0</v>
      </c>
      <c r="AE819" s="25" t="str">
        <f t="shared" si="335"/>
        <v>null</v>
      </c>
      <c r="AF819" s="26" t="s">
        <v>0</v>
      </c>
      <c r="AG819" s="47" t="s">
        <v>2837</v>
      </c>
    </row>
    <row r="820" spans="1:33" ht="6.9" customHeight="1" x14ac:dyDescent="0.4">
      <c r="A820" s="4">
        <f>ROW()</f>
        <v>820</v>
      </c>
      <c r="B820" s="9" t="s">
        <v>27</v>
      </c>
      <c r="C820" s="55" t="str">
        <f t="shared" si="331"/>
        <v>p.formar</v>
      </c>
      <c r="D820" s="6" t="str">
        <f t="shared" si="341"/>
        <v>é.coordenadas.xy</v>
      </c>
      <c r="E820" s="8" t="s">
        <v>28</v>
      </c>
      <c r="F820" s="42" t="str">
        <f>F817</f>
        <v>d.formar</v>
      </c>
      <c r="G820" s="17" t="s">
        <v>803</v>
      </c>
      <c r="H820" s="41" t="s">
        <v>2121</v>
      </c>
      <c r="I820" s="16" t="str">
        <f t="shared" si="351"/>
        <v>null</v>
      </c>
      <c r="J820" s="15" t="s">
        <v>0</v>
      </c>
      <c r="K820" s="15" t="s">
        <v>0</v>
      </c>
      <c r="L820" s="15" t="s">
        <v>0</v>
      </c>
      <c r="M820" s="15" t="s">
        <v>0</v>
      </c>
      <c r="N820" s="15" t="s">
        <v>0</v>
      </c>
      <c r="O820" s="15" t="s">
        <v>0</v>
      </c>
      <c r="P820" s="15" t="s">
        <v>0</v>
      </c>
      <c r="Q820" s="15" t="s">
        <v>0</v>
      </c>
      <c r="R820" s="21" t="s">
        <v>4090</v>
      </c>
      <c r="S820" s="10" t="s">
        <v>1</v>
      </c>
      <c r="T820" s="10" t="s">
        <v>32</v>
      </c>
      <c r="U820" s="5" t="str">
        <f t="shared" si="336"/>
        <v>Propriedade destinada a formar: é.coordenadas.xy</v>
      </c>
      <c r="V820" s="5" t="str">
        <f t="shared" si="337"/>
        <v>Dado para formar:  coordenadas.xy  Deve ser formatado como (rdfs:Literal  or  xsd:string)</v>
      </c>
      <c r="W820" s="5" t="s">
        <v>5622</v>
      </c>
      <c r="X820" s="24" t="str">
        <f t="shared" si="338"/>
        <v>forma.117</v>
      </c>
      <c r="Y820" s="24" t="str">
        <f t="shared" si="339"/>
        <v>Ação de formar</v>
      </c>
      <c r="Z820" s="47" t="s">
        <v>1648</v>
      </c>
      <c r="AA820" s="25" t="str">
        <f t="shared" si="332"/>
        <v>null</v>
      </c>
      <c r="AB820" s="26" t="s">
        <v>0</v>
      </c>
      <c r="AC820" s="25" t="str">
        <f t="shared" si="333"/>
        <v>null</v>
      </c>
      <c r="AD820" s="26" t="s">
        <v>0</v>
      </c>
      <c r="AE820" s="25" t="str">
        <f t="shared" si="335"/>
        <v>null</v>
      </c>
      <c r="AF820" s="26" t="s">
        <v>0</v>
      </c>
      <c r="AG820" s="47" t="s">
        <v>3023</v>
      </c>
    </row>
    <row r="821" spans="1:33" ht="6.9" customHeight="1" x14ac:dyDescent="0.4">
      <c r="A821" s="4">
        <f>ROW()</f>
        <v>821</v>
      </c>
      <c r="B821" s="9" t="s">
        <v>27</v>
      </c>
      <c r="C821" s="55" t="str">
        <f t="shared" si="331"/>
        <v>p.formar</v>
      </c>
      <c r="D821" s="6" t="str">
        <f t="shared" si="341"/>
        <v>é.coordenadas.xyz</v>
      </c>
      <c r="E821" s="8" t="s">
        <v>28</v>
      </c>
      <c r="F821" s="42" t="str">
        <f>F818</f>
        <v>d.formar</v>
      </c>
      <c r="G821" s="17" t="s">
        <v>804</v>
      </c>
      <c r="H821" s="41" t="s">
        <v>2121</v>
      </c>
      <c r="I821" s="16" t="str">
        <f t="shared" si="351"/>
        <v>null</v>
      </c>
      <c r="J821" s="15" t="s">
        <v>0</v>
      </c>
      <c r="K821" s="15" t="s">
        <v>0</v>
      </c>
      <c r="L821" s="15" t="s">
        <v>0</v>
      </c>
      <c r="M821" s="15" t="s">
        <v>0</v>
      </c>
      <c r="N821" s="15" t="s">
        <v>0</v>
      </c>
      <c r="O821" s="15" t="s">
        <v>0</v>
      </c>
      <c r="P821" s="15" t="s">
        <v>0</v>
      </c>
      <c r="Q821" s="15" t="s">
        <v>0</v>
      </c>
      <c r="R821" s="21" t="s">
        <v>4091</v>
      </c>
      <c r="S821" s="10" t="s">
        <v>1</v>
      </c>
      <c r="T821" s="10" t="s">
        <v>32</v>
      </c>
      <c r="U821" s="5" t="str">
        <f t="shared" si="336"/>
        <v>Propriedade destinada a formar: é.coordenadas.xyz</v>
      </c>
      <c r="V821" s="5" t="str">
        <f t="shared" si="337"/>
        <v>Dado para formar:  coordenadas.xyz  Deve ser formatado como (rdfs:Literal  or  xsd:string)</v>
      </c>
      <c r="W821" s="5" t="s">
        <v>5623</v>
      </c>
      <c r="X821" s="24" t="str">
        <f t="shared" si="338"/>
        <v>forma.118</v>
      </c>
      <c r="Y821" s="24" t="str">
        <f t="shared" si="339"/>
        <v>Ação de formar</v>
      </c>
      <c r="Z821" s="47" t="s">
        <v>1649</v>
      </c>
      <c r="AA821" s="25" t="str">
        <f t="shared" si="332"/>
        <v>null</v>
      </c>
      <c r="AB821" s="26" t="s">
        <v>0</v>
      </c>
      <c r="AC821" s="25" t="str">
        <f t="shared" si="333"/>
        <v>null</v>
      </c>
      <c r="AD821" s="26" t="s">
        <v>0</v>
      </c>
      <c r="AE821" s="25" t="str">
        <f t="shared" si="335"/>
        <v>null</v>
      </c>
      <c r="AF821" s="26" t="s">
        <v>0</v>
      </c>
      <c r="AG821" s="47" t="s">
        <v>3024</v>
      </c>
    </row>
    <row r="822" spans="1:33" ht="6.9" customHeight="1" x14ac:dyDescent="0.4">
      <c r="A822" s="4">
        <f>ROW()</f>
        <v>822</v>
      </c>
      <c r="B822" s="9" t="s">
        <v>27</v>
      </c>
      <c r="C822" s="55" t="str">
        <f t="shared" si="331"/>
        <v>p.formar</v>
      </c>
      <c r="D822" s="6" t="str">
        <f t="shared" si="341"/>
        <v>é.vetor.translação</v>
      </c>
      <c r="E822" s="8" t="s">
        <v>28</v>
      </c>
      <c r="F822" s="42" t="str">
        <f>F819</f>
        <v>d.formar</v>
      </c>
      <c r="G822" s="17" t="s">
        <v>3542</v>
      </c>
      <c r="H822" s="41" t="s">
        <v>2121</v>
      </c>
      <c r="I822" s="16" t="str">
        <f t="shared" si="351"/>
        <v>null</v>
      </c>
      <c r="J822" s="15" t="s">
        <v>0</v>
      </c>
      <c r="K822" s="15" t="s">
        <v>0</v>
      </c>
      <c r="L822" s="15" t="s">
        <v>0</v>
      </c>
      <c r="M822" s="15" t="s">
        <v>0</v>
      </c>
      <c r="N822" s="15" t="s">
        <v>0</v>
      </c>
      <c r="O822" s="15" t="s">
        <v>0</v>
      </c>
      <c r="P822" s="15" t="s">
        <v>0</v>
      </c>
      <c r="Q822" s="15" t="s">
        <v>0</v>
      </c>
      <c r="R822" s="65" t="s">
        <v>4146</v>
      </c>
      <c r="S822" s="10" t="s">
        <v>1</v>
      </c>
      <c r="T822" s="10" t="s">
        <v>32</v>
      </c>
      <c r="U822" s="5" t="str">
        <f t="shared" si="336"/>
        <v>Propriedade destinada a formar: é.vetor.translação</v>
      </c>
      <c r="V822" s="5" t="str">
        <f t="shared" si="337"/>
        <v>Dado para formar:  vetor.translação  Deve ser formatado como (rdfs:Literal  or  xsd:string)</v>
      </c>
      <c r="W822" s="5" t="s">
        <v>5624</v>
      </c>
      <c r="X822" s="24" t="str">
        <f t="shared" si="338"/>
        <v>forma.119</v>
      </c>
      <c r="Y822" s="24" t="str">
        <f t="shared" si="339"/>
        <v>Ação de formar</v>
      </c>
      <c r="Z822" s="47" t="s">
        <v>4149</v>
      </c>
      <c r="AA822" s="25" t="str">
        <f t="shared" si="332"/>
        <v>null</v>
      </c>
      <c r="AB822" s="26" t="s">
        <v>0</v>
      </c>
      <c r="AC822" s="25" t="str">
        <f t="shared" si="333"/>
        <v>null</v>
      </c>
      <c r="AD822" s="26" t="s">
        <v>0</v>
      </c>
      <c r="AE822" s="25" t="str">
        <f t="shared" si="335"/>
        <v>null</v>
      </c>
      <c r="AF822" s="26" t="s">
        <v>0</v>
      </c>
      <c r="AG822" s="47" t="s">
        <v>4148</v>
      </c>
    </row>
    <row r="823" spans="1:33" ht="6.9" customHeight="1" x14ac:dyDescent="0.4">
      <c r="A823" s="4">
        <f>ROW()</f>
        <v>823</v>
      </c>
      <c r="B823" s="9" t="s">
        <v>27</v>
      </c>
      <c r="C823" s="55" t="str">
        <f t="shared" si="331"/>
        <v>p.formar</v>
      </c>
      <c r="D823" s="6" t="str">
        <f t="shared" si="341"/>
        <v>é.valor.distância</v>
      </c>
      <c r="E823" s="8" t="s">
        <v>28</v>
      </c>
      <c r="F823" s="42" t="str">
        <f t="shared" si="350"/>
        <v>d.formar</v>
      </c>
      <c r="G823" s="17" t="s">
        <v>3577</v>
      </c>
      <c r="H823" s="42" t="s">
        <v>36</v>
      </c>
      <c r="I823" s="16" t="str">
        <f t="shared" si="351"/>
        <v>null</v>
      </c>
      <c r="J823" s="15" t="s">
        <v>0</v>
      </c>
      <c r="K823" s="15" t="s">
        <v>0</v>
      </c>
      <c r="L823" s="15" t="s">
        <v>0</v>
      </c>
      <c r="M823" s="15" t="s">
        <v>0</v>
      </c>
      <c r="N823" s="15" t="s">
        <v>0</v>
      </c>
      <c r="O823" s="15" t="s">
        <v>0</v>
      </c>
      <c r="P823" s="15" t="s">
        <v>0</v>
      </c>
      <c r="Q823" s="15" t="s">
        <v>0</v>
      </c>
      <c r="R823" s="65" t="s">
        <v>0</v>
      </c>
      <c r="S823" s="10" t="s">
        <v>1</v>
      </c>
      <c r="T823" s="10" t="s">
        <v>32</v>
      </c>
      <c r="U823" s="5" t="str">
        <f t="shared" si="336"/>
        <v>Propriedade destinada a formar: é.valor.distância</v>
      </c>
      <c r="V823" s="5" t="str">
        <f t="shared" si="337"/>
        <v>Dado para formar:  valor.distância  Deve ser formatado como (xsd:double)</v>
      </c>
      <c r="W823" s="5" t="s">
        <v>5625</v>
      </c>
      <c r="X823" s="24" t="str">
        <f t="shared" si="338"/>
        <v>forma.120</v>
      </c>
      <c r="Y823" s="24" t="str">
        <f t="shared" si="339"/>
        <v>Ação de formar</v>
      </c>
      <c r="Z823" s="47" t="s">
        <v>3578</v>
      </c>
      <c r="AA823" s="25" t="str">
        <f t="shared" si="332"/>
        <v>null</v>
      </c>
      <c r="AB823" s="26" t="s">
        <v>0</v>
      </c>
      <c r="AC823" s="25" t="str">
        <f t="shared" si="333"/>
        <v>null</v>
      </c>
      <c r="AD823" s="26" t="s">
        <v>0</v>
      </c>
      <c r="AE823" s="25" t="str">
        <f t="shared" si="335"/>
        <v>null</v>
      </c>
      <c r="AF823" s="26" t="s">
        <v>0</v>
      </c>
      <c r="AG823" s="47" t="s">
        <v>3579</v>
      </c>
    </row>
    <row r="824" spans="1:33" ht="6.9" customHeight="1" x14ac:dyDescent="0.4">
      <c r="A824" s="4">
        <f>ROW()</f>
        <v>824</v>
      </c>
      <c r="B824" s="9" t="s">
        <v>27</v>
      </c>
      <c r="C824" s="55" t="str">
        <f t="shared" si="331"/>
        <v>p.formar</v>
      </c>
      <c r="D824" s="6" t="str">
        <f t="shared" si="341"/>
        <v>é.valor.angular</v>
      </c>
      <c r="E824" s="8" t="s">
        <v>28</v>
      </c>
      <c r="F824" s="42" t="str">
        <f t="shared" si="350"/>
        <v>d.formar</v>
      </c>
      <c r="G824" s="17" t="s">
        <v>2508</v>
      </c>
      <c r="H824" s="42" t="s">
        <v>36</v>
      </c>
      <c r="I824" s="16" t="str">
        <f t="shared" si="351"/>
        <v>null</v>
      </c>
      <c r="J824" s="15" t="s">
        <v>0</v>
      </c>
      <c r="K824" s="15" t="s">
        <v>0</v>
      </c>
      <c r="L824" s="15" t="s">
        <v>0</v>
      </c>
      <c r="M824" s="15" t="s">
        <v>0</v>
      </c>
      <c r="N824" s="15" t="s">
        <v>0</v>
      </c>
      <c r="O824" s="15" t="s">
        <v>0</v>
      </c>
      <c r="P824" s="15" t="s">
        <v>0</v>
      </c>
      <c r="Q824" s="15" t="s">
        <v>0</v>
      </c>
      <c r="R824" s="65" t="s">
        <v>0</v>
      </c>
      <c r="S824" s="10" t="s">
        <v>1</v>
      </c>
      <c r="T824" s="10" t="s">
        <v>32</v>
      </c>
      <c r="U824" s="5" t="str">
        <f t="shared" si="336"/>
        <v>Propriedade destinada a formar: é.valor.angular</v>
      </c>
      <c r="V824" s="5" t="str">
        <f t="shared" si="337"/>
        <v>Dado para formar:  valor.angular  Deve ser formatado como (xsd:double)</v>
      </c>
      <c r="W824" s="5" t="s">
        <v>5626</v>
      </c>
      <c r="X824" s="24" t="str">
        <f t="shared" si="338"/>
        <v>forma.121</v>
      </c>
      <c r="Y824" s="24" t="str">
        <f t="shared" si="339"/>
        <v>Ação de formar</v>
      </c>
      <c r="Z824" s="47" t="s">
        <v>2535</v>
      </c>
      <c r="AA824" s="25" t="str">
        <f t="shared" si="332"/>
        <v>null</v>
      </c>
      <c r="AB824" s="26" t="s">
        <v>0</v>
      </c>
      <c r="AC824" s="25" t="str">
        <f t="shared" si="333"/>
        <v>null</v>
      </c>
      <c r="AD824" s="26" t="s">
        <v>0</v>
      </c>
      <c r="AE824" s="25" t="str">
        <f t="shared" si="335"/>
        <v>null</v>
      </c>
      <c r="AF824" s="26" t="s">
        <v>0</v>
      </c>
      <c r="AG824" s="47" t="s">
        <v>3580</v>
      </c>
    </row>
    <row r="825" spans="1:33" ht="6.9" customHeight="1" x14ac:dyDescent="0.4">
      <c r="A825" s="4">
        <f>ROW()</f>
        <v>825</v>
      </c>
      <c r="B825" s="9" t="s">
        <v>27</v>
      </c>
      <c r="C825" s="55" t="str">
        <f t="shared" si="331"/>
        <v>p.formar</v>
      </c>
      <c r="D825" s="6" t="str">
        <f t="shared" si="341"/>
        <v>é.valor.escalar</v>
      </c>
      <c r="E825" s="8" t="s">
        <v>28</v>
      </c>
      <c r="F825" s="42" t="str">
        <f t="shared" si="350"/>
        <v>d.formar</v>
      </c>
      <c r="G825" s="17" t="s">
        <v>2509</v>
      </c>
      <c r="H825" s="42" t="s">
        <v>36</v>
      </c>
      <c r="I825" s="16" t="str">
        <f t="shared" si="351"/>
        <v>null</v>
      </c>
      <c r="J825" s="15" t="s">
        <v>0</v>
      </c>
      <c r="K825" s="15" t="s">
        <v>0</v>
      </c>
      <c r="L825" s="15" t="s">
        <v>0</v>
      </c>
      <c r="M825" s="15" t="s">
        <v>0</v>
      </c>
      <c r="N825" s="15" t="s">
        <v>0</v>
      </c>
      <c r="O825" s="15" t="s">
        <v>0</v>
      </c>
      <c r="P825" s="15" t="s">
        <v>0</v>
      </c>
      <c r="Q825" s="15" t="s">
        <v>0</v>
      </c>
      <c r="R825" s="65" t="s">
        <v>0</v>
      </c>
      <c r="S825" s="10" t="s">
        <v>1</v>
      </c>
      <c r="T825" s="10" t="s">
        <v>32</v>
      </c>
      <c r="U825" s="5" t="str">
        <f t="shared" si="336"/>
        <v>Propriedade destinada a formar: é.valor.escalar</v>
      </c>
      <c r="V825" s="5" t="str">
        <f t="shared" si="337"/>
        <v>Dado para formar:  valor.escalar  Deve ser formatado como (xsd:double)</v>
      </c>
      <c r="W825" s="5" t="s">
        <v>5627</v>
      </c>
      <c r="X825" s="24" t="str">
        <f t="shared" si="338"/>
        <v>forma.122</v>
      </c>
      <c r="Y825" s="24" t="str">
        <f t="shared" si="339"/>
        <v>Ação de formar</v>
      </c>
      <c r="Z825" s="47" t="s">
        <v>2536</v>
      </c>
      <c r="AA825" s="25" t="str">
        <f t="shared" si="332"/>
        <v>null</v>
      </c>
      <c r="AB825" s="26" t="s">
        <v>0</v>
      </c>
      <c r="AC825" s="25" t="str">
        <f t="shared" si="333"/>
        <v>null</v>
      </c>
      <c r="AD825" s="26" t="s">
        <v>0</v>
      </c>
      <c r="AE825" s="25" t="str">
        <f t="shared" si="335"/>
        <v>null</v>
      </c>
      <c r="AF825" s="26" t="s">
        <v>0</v>
      </c>
      <c r="AG825" s="47" t="s">
        <v>2838</v>
      </c>
    </row>
    <row r="826" spans="1:33" ht="6.9" customHeight="1" x14ac:dyDescent="0.4">
      <c r="A826" s="4">
        <f>ROW()</f>
        <v>826</v>
      </c>
      <c r="B826" s="9" t="s">
        <v>27</v>
      </c>
      <c r="C826" s="55" t="str">
        <f t="shared" ref="C826" si="352">SUBSTITUTE(F826,"d.","p.")</f>
        <v>p.formar</v>
      </c>
      <c r="D826" s="6" t="str">
        <f t="shared" si="341"/>
        <v>é.ponto.u</v>
      </c>
      <c r="E826" s="8" t="s">
        <v>28</v>
      </c>
      <c r="F826" s="42" t="str">
        <f>F822</f>
        <v>d.formar</v>
      </c>
      <c r="G826" s="17" t="s">
        <v>4402</v>
      </c>
      <c r="H826" s="42" t="s">
        <v>36</v>
      </c>
      <c r="I826" s="16" t="str">
        <f t="shared" ref="I826" si="353">J826</f>
        <v>null</v>
      </c>
      <c r="J826" s="15" t="s">
        <v>0</v>
      </c>
      <c r="K826" s="15" t="s">
        <v>0</v>
      </c>
      <c r="L826" s="15" t="s">
        <v>0</v>
      </c>
      <c r="M826" s="15" t="s">
        <v>0</v>
      </c>
      <c r="N826" s="15" t="s">
        <v>0</v>
      </c>
      <c r="O826" s="15" t="s">
        <v>0</v>
      </c>
      <c r="P826" s="15" t="s">
        <v>0</v>
      </c>
      <c r="Q826" s="15" t="s">
        <v>0</v>
      </c>
      <c r="R826" s="65" t="s">
        <v>0</v>
      </c>
      <c r="S826" s="10" t="s">
        <v>1</v>
      </c>
      <c r="T826" s="10" t="s">
        <v>32</v>
      </c>
      <c r="U826" s="5" t="str">
        <f t="shared" si="336"/>
        <v>Propriedade destinada a formar: é.ponto.u</v>
      </c>
      <c r="V826" s="5" t="str">
        <f t="shared" si="337"/>
        <v>Dado para formar:  ponto.u  Deve ser formatado como (xsd:double)</v>
      </c>
      <c r="W826" s="5" t="s">
        <v>5628</v>
      </c>
      <c r="X826" s="24" t="str">
        <f t="shared" si="338"/>
        <v>forma.123</v>
      </c>
      <c r="Y826" s="24" t="str">
        <f t="shared" si="339"/>
        <v>Ação de formar</v>
      </c>
      <c r="Z826" s="62" t="s">
        <v>4385</v>
      </c>
      <c r="AA826" s="25" t="str">
        <f t="shared" ref="AA826" si="354">IF(AB826="null", "null", "categoria.revit")</f>
        <v>null</v>
      </c>
      <c r="AB826" s="26" t="s">
        <v>0</v>
      </c>
      <c r="AC826" s="25" t="str">
        <f t="shared" ref="AC826" si="355">IF(AD826="null", "null", "classe.ifc")</f>
        <v>null</v>
      </c>
      <c r="AD826" s="26" t="s">
        <v>0</v>
      </c>
      <c r="AE826" s="25" t="str">
        <f t="shared" si="335"/>
        <v>null</v>
      </c>
      <c r="AF826" s="26" t="s">
        <v>0</v>
      </c>
      <c r="AG826" s="62" t="s">
        <v>4386</v>
      </c>
    </row>
    <row r="827" spans="1:33" ht="6.9" customHeight="1" x14ac:dyDescent="0.4">
      <c r="A827" s="4">
        <f>ROW()</f>
        <v>827</v>
      </c>
      <c r="B827" s="9" t="s">
        <v>27</v>
      </c>
      <c r="C827" s="55" t="str">
        <f t="shared" ref="C827:C840" si="356">SUBSTITUTE(F827,"d.","p.")</f>
        <v>p.formar</v>
      </c>
      <c r="D827" s="6" t="str">
        <f t="shared" si="341"/>
        <v>é.ponto.uv</v>
      </c>
      <c r="E827" s="8" t="s">
        <v>28</v>
      </c>
      <c r="F827" s="42" t="str">
        <f>F823</f>
        <v>d.formar</v>
      </c>
      <c r="G827" s="17" t="s">
        <v>4403</v>
      </c>
      <c r="H827" s="41" t="s">
        <v>2121</v>
      </c>
      <c r="I827" s="16" t="str">
        <f t="shared" si="351"/>
        <v>null</v>
      </c>
      <c r="J827" s="15" t="s">
        <v>0</v>
      </c>
      <c r="K827" s="15" t="s">
        <v>0</v>
      </c>
      <c r="L827" s="15" t="s">
        <v>0</v>
      </c>
      <c r="M827" s="15" t="s">
        <v>0</v>
      </c>
      <c r="N827" s="15" t="s">
        <v>0</v>
      </c>
      <c r="O827" s="15" t="s">
        <v>0</v>
      </c>
      <c r="P827" s="15" t="s">
        <v>0</v>
      </c>
      <c r="Q827" s="15" t="s">
        <v>0</v>
      </c>
      <c r="R827" s="65" t="s">
        <v>4161</v>
      </c>
      <c r="S827" s="10" t="s">
        <v>1</v>
      </c>
      <c r="T827" s="10" t="s">
        <v>32</v>
      </c>
      <c r="U827" s="5" t="str">
        <f t="shared" si="336"/>
        <v>Propriedade destinada a formar: é.ponto.uv</v>
      </c>
      <c r="V827" s="5" t="str">
        <f t="shared" si="337"/>
        <v>Dado para formar:  ponto.uv  Deve ser formatado como (rdfs:Literal  or  xsd:string)</v>
      </c>
      <c r="W827" s="5" t="s">
        <v>5629</v>
      </c>
      <c r="X827" s="24" t="str">
        <f t="shared" si="338"/>
        <v>forma.124</v>
      </c>
      <c r="Y827" s="24" t="str">
        <f t="shared" si="339"/>
        <v>Ação de formar</v>
      </c>
      <c r="Z827" s="62" t="s">
        <v>3944</v>
      </c>
      <c r="AA827" s="25" t="str">
        <f t="shared" si="332"/>
        <v>null</v>
      </c>
      <c r="AB827" s="26" t="s">
        <v>0</v>
      </c>
      <c r="AC827" s="25" t="str">
        <f t="shared" si="333"/>
        <v>null</v>
      </c>
      <c r="AD827" s="26" t="s">
        <v>0</v>
      </c>
      <c r="AE827" s="25" t="str">
        <f t="shared" si="335"/>
        <v>null</v>
      </c>
      <c r="AF827" s="26" t="s">
        <v>0</v>
      </c>
      <c r="AG827" s="62" t="s">
        <v>3943</v>
      </c>
    </row>
    <row r="828" spans="1:33" ht="6.9" customHeight="1" x14ac:dyDescent="0.4">
      <c r="A828" s="4">
        <f>ROW()</f>
        <v>828</v>
      </c>
      <c r="B828" s="9" t="s">
        <v>27</v>
      </c>
      <c r="C828" s="55" t="str">
        <f t="shared" si="356"/>
        <v>p.formar</v>
      </c>
      <c r="D828" s="6" t="str">
        <f t="shared" si="341"/>
        <v>é.ponto.xy</v>
      </c>
      <c r="E828" s="8" t="s">
        <v>28</v>
      </c>
      <c r="F828" s="42" t="str">
        <f>F823</f>
        <v>d.formar</v>
      </c>
      <c r="G828" s="17" t="s">
        <v>3920</v>
      </c>
      <c r="H828" s="41" t="s">
        <v>2121</v>
      </c>
      <c r="I828" s="16" t="str">
        <f t="shared" si="351"/>
        <v>null</v>
      </c>
      <c r="J828" s="15" t="s">
        <v>0</v>
      </c>
      <c r="K828" s="15" t="s">
        <v>0</v>
      </c>
      <c r="L828" s="15" t="s">
        <v>0</v>
      </c>
      <c r="M828" s="15" t="s">
        <v>0</v>
      </c>
      <c r="N828" s="15" t="s">
        <v>0</v>
      </c>
      <c r="O828" s="15" t="s">
        <v>0</v>
      </c>
      <c r="P828" s="15" t="s">
        <v>0</v>
      </c>
      <c r="Q828" s="15" t="s">
        <v>0</v>
      </c>
      <c r="R828" s="65" t="s">
        <v>4111</v>
      </c>
      <c r="S828" s="10" t="s">
        <v>1</v>
      </c>
      <c r="T828" s="10" t="s">
        <v>32</v>
      </c>
      <c r="U828" s="5" t="str">
        <f t="shared" si="336"/>
        <v>Propriedade destinada a formar: é.ponto.xy</v>
      </c>
      <c r="V828" s="5" t="str">
        <f t="shared" si="337"/>
        <v>Dado para formar:  ponto.xy  Deve ser formatado como (rdfs:Literal  or  xsd:string)</v>
      </c>
      <c r="W828" s="5" t="s">
        <v>5630</v>
      </c>
      <c r="X828" s="24" t="str">
        <f t="shared" si="338"/>
        <v>forma.125</v>
      </c>
      <c r="Y828" s="24" t="str">
        <f t="shared" si="339"/>
        <v>Ação de formar</v>
      </c>
      <c r="Z828" s="62" t="s">
        <v>3942</v>
      </c>
      <c r="AA828" s="25" t="str">
        <f t="shared" si="332"/>
        <v>null</v>
      </c>
      <c r="AB828" s="26" t="s">
        <v>0</v>
      </c>
      <c r="AC828" s="25" t="str">
        <f t="shared" si="333"/>
        <v>null</v>
      </c>
      <c r="AD828" s="26" t="s">
        <v>0</v>
      </c>
      <c r="AE828" s="25" t="str">
        <f t="shared" si="335"/>
        <v>null</v>
      </c>
      <c r="AF828" s="26" t="s">
        <v>0</v>
      </c>
      <c r="AG828" s="62" t="s">
        <v>3921</v>
      </c>
    </row>
    <row r="829" spans="1:33" ht="6.9" customHeight="1" x14ac:dyDescent="0.4">
      <c r="A829" s="4">
        <f>ROW()</f>
        <v>829</v>
      </c>
      <c r="B829" s="9" t="s">
        <v>27</v>
      </c>
      <c r="C829" s="55" t="str">
        <f t="shared" si="356"/>
        <v>p.formar</v>
      </c>
      <c r="D829" s="6" t="str">
        <f t="shared" si="341"/>
        <v>é.ponto.xyz</v>
      </c>
      <c r="E829" s="8" t="s">
        <v>28</v>
      </c>
      <c r="F829" s="42" t="str">
        <f>F823</f>
        <v>d.formar</v>
      </c>
      <c r="G829" s="17" t="s">
        <v>3915</v>
      </c>
      <c r="H829" s="41" t="s">
        <v>2121</v>
      </c>
      <c r="I829" s="16" t="str">
        <f t="shared" si="351"/>
        <v>null</v>
      </c>
      <c r="J829" s="15" t="s">
        <v>0</v>
      </c>
      <c r="K829" s="15" t="s">
        <v>0</v>
      </c>
      <c r="L829" s="15" t="s">
        <v>0</v>
      </c>
      <c r="M829" s="15" t="s">
        <v>0</v>
      </c>
      <c r="N829" s="15" t="s">
        <v>0</v>
      </c>
      <c r="O829" s="15" t="s">
        <v>0</v>
      </c>
      <c r="P829" s="15" t="s">
        <v>0</v>
      </c>
      <c r="Q829" s="15" t="s">
        <v>0</v>
      </c>
      <c r="R829" s="65" t="s">
        <v>4112</v>
      </c>
      <c r="S829" s="10" t="s">
        <v>1</v>
      </c>
      <c r="T829" s="10" t="s">
        <v>32</v>
      </c>
      <c r="U829" s="5" t="str">
        <f t="shared" si="336"/>
        <v>Propriedade destinada a formar: é.ponto.xyz</v>
      </c>
      <c r="V829" s="5" t="str">
        <f t="shared" si="337"/>
        <v>Dado para formar:  ponto.xyz  Deve ser formatado como (rdfs:Literal  or  xsd:string)</v>
      </c>
      <c r="W829" s="5" t="s">
        <v>5631</v>
      </c>
      <c r="X829" s="24" t="str">
        <f t="shared" si="338"/>
        <v>forma.126</v>
      </c>
      <c r="Y829" s="24" t="str">
        <f t="shared" si="339"/>
        <v>Ação de formar</v>
      </c>
      <c r="Z829" s="62" t="s">
        <v>3941</v>
      </c>
      <c r="AA829" s="25" t="str">
        <f t="shared" si="332"/>
        <v>null</v>
      </c>
      <c r="AB829" s="26" t="s">
        <v>0</v>
      </c>
      <c r="AC829" s="25" t="str">
        <f t="shared" si="333"/>
        <v>null</v>
      </c>
      <c r="AD829" s="26" t="s">
        <v>0</v>
      </c>
      <c r="AE829" s="25" t="str">
        <f t="shared" si="335"/>
        <v>null</v>
      </c>
      <c r="AF829" s="26" t="s">
        <v>0</v>
      </c>
      <c r="AG829" s="62" t="s">
        <v>3919</v>
      </c>
    </row>
    <row r="830" spans="1:33" ht="6.9" customHeight="1" x14ac:dyDescent="0.4">
      <c r="A830" s="4">
        <f>ROW()</f>
        <v>830</v>
      </c>
      <c r="B830" s="9" t="s">
        <v>27</v>
      </c>
      <c r="C830" s="55" t="str">
        <f t="shared" si="356"/>
        <v>p.formar</v>
      </c>
      <c r="D830" s="6" t="str">
        <f t="shared" si="341"/>
        <v>é.ponto.xyzi</v>
      </c>
      <c r="E830" s="8" t="s">
        <v>28</v>
      </c>
      <c r="F830" s="42" t="str">
        <f>F824</f>
        <v>d.formar</v>
      </c>
      <c r="G830" s="17" t="s">
        <v>3946</v>
      </c>
      <c r="H830" s="41" t="s">
        <v>2121</v>
      </c>
      <c r="I830" s="16" t="str">
        <f t="shared" si="351"/>
        <v>null</v>
      </c>
      <c r="J830" s="15" t="s">
        <v>0</v>
      </c>
      <c r="K830" s="15" t="s">
        <v>0</v>
      </c>
      <c r="L830" s="15" t="s">
        <v>0</v>
      </c>
      <c r="M830" s="15" t="s">
        <v>0</v>
      </c>
      <c r="N830" s="15" t="s">
        <v>0</v>
      </c>
      <c r="O830" s="15" t="s">
        <v>0</v>
      </c>
      <c r="P830" s="15" t="s">
        <v>0</v>
      </c>
      <c r="Q830" s="15" t="s">
        <v>0</v>
      </c>
      <c r="R830" s="15" t="s">
        <v>0</v>
      </c>
      <c r="S830" s="10" t="s">
        <v>1</v>
      </c>
      <c r="T830" s="10" t="s">
        <v>32</v>
      </c>
      <c r="U830" s="5" t="str">
        <f t="shared" si="336"/>
        <v>Propriedade destinada a formar: é.ponto.xyzi</v>
      </c>
      <c r="V830" s="5" t="str">
        <f t="shared" si="337"/>
        <v>Dado para formar:  ponto.xyzi  Deve ser formatado como (rdfs:Literal  or  xsd:string)</v>
      </c>
      <c r="W830" s="5" t="s">
        <v>5632</v>
      </c>
      <c r="X830" s="24" t="str">
        <f t="shared" si="338"/>
        <v>forma.127</v>
      </c>
      <c r="Y830" s="24" t="str">
        <f t="shared" si="339"/>
        <v>Ação de formar</v>
      </c>
      <c r="Z830" s="62" t="s">
        <v>3939</v>
      </c>
      <c r="AA830" s="25" t="str">
        <f t="shared" si="332"/>
        <v>null</v>
      </c>
      <c r="AB830" s="26" t="s">
        <v>0</v>
      </c>
      <c r="AC830" s="25" t="str">
        <f t="shared" si="333"/>
        <v>null</v>
      </c>
      <c r="AD830" s="26" t="s">
        <v>0</v>
      </c>
      <c r="AE830" s="25" t="str">
        <f t="shared" si="335"/>
        <v>null</v>
      </c>
      <c r="AF830" s="26" t="s">
        <v>0</v>
      </c>
      <c r="AG830" s="62" t="s">
        <v>3925</v>
      </c>
    </row>
    <row r="831" spans="1:33" ht="6.9" customHeight="1" x14ac:dyDescent="0.4">
      <c r="A831" s="4">
        <f>ROW()</f>
        <v>831</v>
      </c>
      <c r="B831" s="9" t="s">
        <v>27</v>
      </c>
      <c r="C831" s="55" t="str">
        <f t="shared" si="356"/>
        <v>p.formar</v>
      </c>
      <c r="D831" s="6" t="str">
        <f t="shared" si="341"/>
        <v>é.ponto.base</v>
      </c>
      <c r="E831" s="8" t="s">
        <v>28</v>
      </c>
      <c r="F831" s="42" t="str">
        <f>F825</f>
        <v>d.formar</v>
      </c>
      <c r="G831" s="17" t="s">
        <v>3541</v>
      </c>
      <c r="H831" s="41" t="s">
        <v>2121</v>
      </c>
      <c r="I831" s="16" t="str">
        <f t="shared" si="351"/>
        <v>Functional</v>
      </c>
      <c r="J831" s="15" t="s">
        <v>29</v>
      </c>
      <c r="K831" s="15" t="s">
        <v>0</v>
      </c>
      <c r="L831" s="15" t="s">
        <v>0</v>
      </c>
      <c r="M831" s="15" t="s">
        <v>0</v>
      </c>
      <c r="N831" s="15" t="s">
        <v>0</v>
      </c>
      <c r="O831" s="15" t="s">
        <v>0</v>
      </c>
      <c r="P831" s="15" t="s">
        <v>0</v>
      </c>
      <c r="Q831" s="15" t="s">
        <v>0</v>
      </c>
      <c r="R831" s="15" t="s">
        <v>0</v>
      </c>
      <c r="S831" s="10" t="s">
        <v>1</v>
      </c>
      <c r="T831" s="10" t="s">
        <v>32</v>
      </c>
      <c r="U831" s="5" t="str">
        <f t="shared" si="336"/>
        <v>Propriedade destinada a formar: é.ponto.base</v>
      </c>
      <c r="V831" s="5" t="str">
        <f t="shared" si="337"/>
        <v>Dado para formar:  ponto.base  Deve ser formatado como (rdfs:Literal  or  xsd:string)</v>
      </c>
      <c r="W831" s="5" t="s">
        <v>5633</v>
      </c>
      <c r="X831" s="24" t="str">
        <f t="shared" si="338"/>
        <v>forma.128</v>
      </c>
      <c r="Y831" s="24" t="str">
        <f t="shared" si="339"/>
        <v>Ação de formar</v>
      </c>
      <c r="Z831" s="62" t="s">
        <v>4088</v>
      </c>
      <c r="AA831" s="25" t="str">
        <f t="shared" si="332"/>
        <v>null</v>
      </c>
      <c r="AB831" s="26" t="s">
        <v>0</v>
      </c>
      <c r="AC831" s="25" t="str">
        <f t="shared" si="333"/>
        <v>null</v>
      </c>
      <c r="AD831" s="26" t="s">
        <v>0</v>
      </c>
      <c r="AE831" s="25" t="str">
        <f t="shared" si="335"/>
        <v>null</v>
      </c>
      <c r="AF831" s="26" t="s">
        <v>0</v>
      </c>
      <c r="AG831" s="62" t="s">
        <v>4087</v>
      </c>
    </row>
    <row r="832" spans="1:33" ht="6.9" customHeight="1" x14ac:dyDescent="0.4">
      <c r="A832" s="4">
        <f>ROW()</f>
        <v>832</v>
      </c>
      <c r="B832" s="9" t="s">
        <v>27</v>
      </c>
      <c r="C832" s="55" t="str">
        <f t="shared" si="356"/>
        <v>p.formar</v>
      </c>
      <c r="D832" s="6" t="str">
        <f t="shared" si="341"/>
        <v>é.ponto.de.inserção</v>
      </c>
      <c r="E832" s="8" t="s">
        <v>28</v>
      </c>
      <c r="F832" s="42" t="str">
        <f t="shared" ref="F832:F839" si="357">F830</f>
        <v>d.formar</v>
      </c>
      <c r="G832" s="17" t="s">
        <v>3909</v>
      </c>
      <c r="H832" s="41" t="s">
        <v>2121</v>
      </c>
      <c r="I832" s="16" t="str">
        <f t="shared" si="351"/>
        <v>Functional</v>
      </c>
      <c r="J832" s="15" t="s">
        <v>29</v>
      </c>
      <c r="K832" s="15" t="s">
        <v>0</v>
      </c>
      <c r="L832" s="15" t="s">
        <v>0</v>
      </c>
      <c r="M832" s="15" t="s">
        <v>0</v>
      </c>
      <c r="N832" s="15" t="s">
        <v>0</v>
      </c>
      <c r="O832" s="15" t="s">
        <v>0</v>
      </c>
      <c r="P832" s="15" t="s">
        <v>0</v>
      </c>
      <c r="Q832" s="15" t="s">
        <v>0</v>
      </c>
      <c r="R832" s="15" t="s">
        <v>0</v>
      </c>
      <c r="S832" s="10" t="s">
        <v>1</v>
      </c>
      <c r="T832" s="10" t="s">
        <v>32</v>
      </c>
      <c r="U832" s="5" t="str">
        <f t="shared" si="336"/>
        <v>Propriedade destinada a formar: é.ponto.de.inserção</v>
      </c>
      <c r="V832" s="5" t="str">
        <f t="shared" si="337"/>
        <v>Dado para formar:  ponto.de.inserção  Deve ser formatado como (rdfs:Literal  or  xsd:string)</v>
      </c>
      <c r="W832" s="5" t="s">
        <v>5634</v>
      </c>
      <c r="X832" s="24" t="str">
        <f t="shared" si="338"/>
        <v>forma.129</v>
      </c>
      <c r="Y832" s="24" t="str">
        <f t="shared" si="339"/>
        <v>Ação de formar</v>
      </c>
      <c r="Z832" s="62" t="s">
        <v>3940</v>
      </c>
      <c r="AA832" s="25" t="str">
        <f t="shared" si="332"/>
        <v>null</v>
      </c>
      <c r="AB832" s="26" t="s">
        <v>0</v>
      </c>
      <c r="AC832" s="25" t="str">
        <f t="shared" si="333"/>
        <v>null</v>
      </c>
      <c r="AD832" s="26" t="s">
        <v>0</v>
      </c>
      <c r="AE832" s="25" t="str">
        <f t="shared" si="335"/>
        <v>null</v>
      </c>
      <c r="AF832" s="26" t="s">
        <v>0</v>
      </c>
      <c r="AG832" s="62" t="s">
        <v>3910</v>
      </c>
    </row>
    <row r="833" spans="1:33" ht="6.9" customHeight="1" x14ac:dyDescent="0.4">
      <c r="A833" s="4">
        <f>ROW()</f>
        <v>833</v>
      </c>
      <c r="B833" s="9" t="s">
        <v>27</v>
      </c>
      <c r="C833" s="55" t="str">
        <f t="shared" si="356"/>
        <v>p.formar</v>
      </c>
      <c r="D833" s="6" t="str">
        <f t="shared" si="341"/>
        <v>é.ponto.analítico</v>
      </c>
      <c r="E833" s="8" t="s">
        <v>28</v>
      </c>
      <c r="F833" s="42" t="str">
        <f t="shared" si="357"/>
        <v>d.formar</v>
      </c>
      <c r="G833" s="17" t="s">
        <v>4150</v>
      </c>
      <c r="H833" s="41" t="s">
        <v>2121</v>
      </c>
      <c r="I833" s="16" t="str">
        <f t="shared" si="351"/>
        <v>null</v>
      </c>
      <c r="J833" s="15" t="s">
        <v>0</v>
      </c>
      <c r="K833" s="15" t="s">
        <v>0</v>
      </c>
      <c r="L833" s="15" t="s">
        <v>0</v>
      </c>
      <c r="M833" s="15" t="s">
        <v>0</v>
      </c>
      <c r="N833" s="15" t="s">
        <v>0</v>
      </c>
      <c r="O833" s="15" t="s">
        <v>0</v>
      </c>
      <c r="P833" s="15" t="s">
        <v>0</v>
      </c>
      <c r="Q833" s="15" t="s">
        <v>0</v>
      </c>
      <c r="R833" s="15" t="s">
        <v>3922</v>
      </c>
      <c r="S833" s="10" t="s">
        <v>1</v>
      </c>
      <c r="T833" s="10" t="s">
        <v>32</v>
      </c>
      <c r="U833" s="5" t="str">
        <f t="shared" si="336"/>
        <v>Propriedade destinada a formar: é.ponto.analítico</v>
      </c>
      <c r="V833" s="5" t="str">
        <f t="shared" si="337"/>
        <v>Dado para formar:  ponto.analítico  Deve ser formatado como (rdfs:Literal  or  xsd:string)</v>
      </c>
      <c r="W833" s="5" t="s">
        <v>5635</v>
      </c>
      <c r="X833" s="24" t="str">
        <f t="shared" si="338"/>
        <v>forma.130</v>
      </c>
      <c r="Y833" s="24" t="str">
        <f t="shared" si="339"/>
        <v>Ação de formar</v>
      </c>
      <c r="Z833" s="62" t="s">
        <v>3923</v>
      </c>
      <c r="AA833" s="25" t="str">
        <f t="shared" si="332"/>
        <v>null</v>
      </c>
      <c r="AB833" s="26" t="s">
        <v>0</v>
      </c>
      <c r="AC833" s="25" t="str">
        <f t="shared" si="333"/>
        <v>null</v>
      </c>
      <c r="AD833" s="26" t="s">
        <v>0</v>
      </c>
      <c r="AE833" s="25" t="str">
        <f t="shared" si="335"/>
        <v>null</v>
      </c>
      <c r="AF833" s="26" t="s">
        <v>0</v>
      </c>
      <c r="AG833" s="64" t="s">
        <v>3924</v>
      </c>
    </row>
    <row r="834" spans="1:33" ht="6.9" customHeight="1" x14ac:dyDescent="0.4">
      <c r="A834" s="4">
        <f>ROW()</f>
        <v>834</v>
      </c>
      <c r="B834" s="9" t="s">
        <v>27</v>
      </c>
      <c r="C834" s="55" t="str">
        <f t="shared" si="356"/>
        <v>p.formar</v>
      </c>
      <c r="D834" s="6" t="str">
        <f t="shared" si="341"/>
        <v>é.pontos.analíticos</v>
      </c>
      <c r="E834" s="8" t="s">
        <v>28</v>
      </c>
      <c r="F834" s="42" t="str">
        <f t="shared" si="357"/>
        <v>d.formar</v>
      </c>
      <c r="G834" s="17" t="s">
        <v>4151</v>
      </c>
      <c r="H834" s="42" t="s">
        <v>2121</v>
      </c>
      <c r="I834" s="16" t="str">
        <f t="shared" si="351"/>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58">_xlfn.CONCAT("Propriedade destinada a ",MID(C834,FIND("p.",C834,1)+2,100),": ",D834)</f>
        <v>Propriedade destinada a formar: é.pontos.analíticos</v>
      </c>
      <c r="V834" s="5" t="str">
        <f t="shared" ref="V834:V897" si="359">_xlfn.CONCAT("Dado para ",MID(F834,FIND("d.",F834,1)+2,100),":  ",G834, "  Deve ser formatado como (",H834, ")")</f>
        <v>Dado para formar:  pontos.analíticos  Deve ser formatado como (rdfs:Literal  or  xsd:string)</v>
      </c>
      <c r="W834" s="5" t="s">
        <v>5636</v>
      </c>
      <c r="X834" s="24" t="str">
        <f t="shared" si="338"/>
        <v>forma.131</v>
      </c>
      <c r="Y834" s="24" t="str">
        <f t="shared" si="339"/>
        <v>Ação de formar</v>
      </c>
      <c r="Z834" s="47" t="s">
        <v>3911</v>
      </c>
      <c r="AA834" s="25" t="str">
        <f t="shared" si="332"/>
        <v>null</v>
      </c>
      <c r="AB834" s="26" t="s">
        <v>0</v>
      </c>
      <c r="AC834" s="25" t="str">
        <f t="shared" si="333"/>
        <v>null</v>
      </c>
      <c r="AD834" s="26" t="s">
        <v>0</v>
      </c>
      <c r="AE834" s="25" t="str">
        <f t="shared" si="335"/>
        <v>null</v>
      </c>
      <c r="AF834" s="26" t="s">
        <v>0</v>
      </c>
      <c r="AG834" s="47" t="s">
        <v>3912</v>
      </c>
    </row>
    <row r="835" spans="1:33" ht="6.9" customHeight="1" x14ac:dyDescent="0.4">
      <c r="A835" s="4">
        <f>ROW()</f>
        <v>835</v>
      </c>
      <c r="B835" s="9" t="s">
        <v>27</v>
      </c>
      <c r="C835" s="55" t="str">
        <f t="shared" si="356"/>
        <v>p.formar</v>
      </c>
      <c r="D835" s="6" t="str">
        <f t="shared" si="341"/>
        <v>é.plano.da.transformação</v>
      </c>
      <c r="E835" s="8" t="s">
        <v>28</v>
      </c>
      <c r="F835" s="42" t="str">
        <f t="shared" si="357"/>
        <v>d.formar</v>
      </c>
      <c r="G835" s="17" t="s">
        <v>2502</v>
      </c>
      <c r="H835" s="41" t="s">
        <v>2121</v>
      </c>
      <c r="I835" s="16" t="str">
        <f t="shared" si="351"/>
        <v>null</v>
      </c>
      <c r="J835" s="15" t="s">
        <v>0</v>
      </c>
      <c r="K835" s="15" t="s">
        <v>0</v>
      </c>
      <c r="L835" s="15" t="s">
        <v>0</v>
      </c>
      <c r="M835" s="15" t="s">
        <v>0</v>
      </c>
      <c r="N835" s="15" t="s">
        <v>0</v>
      </c>
      <c r="O835" s="15" t="s">
        <v>0</v>
      </c>
      <c r="P835" s="15" t="s">
        <v>0</v>
      </c>
      <c r="Q835" s="15" t="s">
        <v>0</v>
      </c>
      <c r="R835" s="15" t="s">
        <v>0</v>
      </c>
      <c r="S835" s="10" t="s">
        <v>1</v>
      </c>
      <c r="T835" s="10" t="s">
        <v>32</v>
      </c>
      <c r="U835" s="5" t="str">
        <f t="shared" si="358"/>
        <v>Propriedade destinada a formar: é.plano.da.transformação</v>
      </c>
      <c r="V835" s="5" t="str">
        <f t="shared" si="359"/>
        <v>Dado para formar:  plano.da.transformação  Deve ser formatado como (rdfs:Literal  or  xsd:string)</v>
      </c>
      <c r="W835" s="5" t="s">
        <v>5637</v>
      </c>
      <c r="X835" s="24" t="str">
        <f t="shared" ref="X835:X898" si="360">IF(F834&lt;&gt;F835,_xlfn.CONCAT(RIGHT(LEFT(F835,7),5),".100"),_xlfn.CONCAT(RIGHT(LEFT(F835,7),5),".",SUM(VALUE(RIGHT(X834,3)),1)))</f>
        <v>forma.132</v>
      </c>
      <c r="Y835" s="24" t="str">
        <f t="shared" ref="Y835:Y898" si="361">_xlfn.CONCAT("Ação de ", SUBSTITUTE(F835, "d.",  ""))</f>
        <v>Ação de formar</v>
      </c>
      <c r="Z835" s="47" t="s">
        <v>2537</v>
      </c>
      <c r="AA835" s="25" t="str">
        <f t="shared" si="332"/>
        <v>null</v>
      </c>
      <c r="AB835" s="26" t="s">
        <v>0</v>
      </c>
      <c r="AC835" s="25" t="str">
        <f t="shared" si="333"/>
        <v>null</v>
      </c>
      <c r="AD835" s="26" t="s">
        <v>0</v>
      </c>
      <c r="AE835" s="25" t="str">
        <f t="shared" si="335"/>
        <v>null</v>
      </c>
      <c r="AF835" s="26" t="s">
        <v>0</v>
      </c>
      <c r="AG835" s="47" t="s">
        <v>2839</v>
      </c>
    </row>
    <row r="836" spans="1:33" ht="6.9" customHeight="1" x14ac:dyDescent="0.4">
      <c r="A836" s="4">
        <f>ROW()</f>
        <v>836</v>
      </c>
      <c r="B836" s="9" t="s">
        <v>27</v>
      </c>
      <c r="C836" s="55" t="str">
        <f t="shared" si="356"/>
        <v>p.formar</v>
      </c>
      <c r="D836" s="6" t="str">
        <f t="shared" si="341"/>
        <v>é.forma.geométrica</v>
      </c>
      <c r="E836" s="8" t="s">
        <v>28</v>
      </c>
      <c r="F836" s="42" t="str">
        <f t="shared" si="357"/>
        <v>d.formar</v>
      </c>
      <c r="G836" s="17" t="s">
        <v>2500</v>
      </c>
      <c r="H836" s="41" t="s">
        <v>2121</v>
      </c>
      <c r="I836" s="16" t="str">
        <f t="shared" si="351"/>
        <v>null</v>
      </c>
      <c r="J836" s="15" t="s">
        <v>0</v>
      </c>
      <c r="K836" s="15" t="s">
        <v>0</v>
      </c>
      <c r="L836" s="15" t="s">
        <v>0</v>
      </c>
      <c r="M836" s="15" t="s">
        <v>0</v>
      </c>
      <c r="N836" s="15" t="s">
        <v>0</v>
      </c>
      <c r="O836" s="15" t="s">
        <v>0</v>
      </c>
      <c r="P836" s="15" t="s">
        <v>0</v>
      </c>
      <c r="Q836" s="15" t="s">
        <v>0</v>
      </c>
      <c r="R836" s="15" t="s">
        <v>0</v>
      </c>
      <c r="S836" s="10" t="s">
        <v>1</v>
      </c>
      <c r="T836" s="10" t="s">
        <v>32</v>
      </c>
      <c r="U836" s="5" t="str">
        <f t="shared" si="358"/>
        <v>Propriedade destinada a formar: é.forma.geométrica</v>
      </c>
      <c r="V836" s="5" t="str">
        <f t="shared" si="359"/>
        <v>Dado para formar:  forma.geométrica  Deve ser formatado como (rdfs:Literal  or  xsd:string)</v>
      </c>
      <c r="W836" s="5" t="s">
        <v>5638</v>
      </c>
      <c r="X836" s="24" t="str">
        <f t="shared" si="360"/>
        <v>forma.133</v>
      </c>
      <c r="Y836" s="24" t="str">
        <f t="shared" si="361"/>
        <v>Ação de formar</v>
      </c>
      <c r="Z836" s="47" t="s">
        <v>2538</v>
      </c>
      <c r="AA836" s="25" t="str">
        <f t="shared" ref="AA836:AA840" si="362">IF(AB836="null", "null", "categoria.revit")</f>
        <v>null</v>
      </c>
      <c r="AB836" s="26" t="s">
        <v>0</v>
      </c>
      <c r="AC836" s="25" t="str">
        <f t="shared" ref="AC836:AC840" si="363">IF(AD836="null", "null", "classe.ifc")</f>
        <v>null</v>
      </c>
      <c r="AD836" s="26" t="s">
        <v>0</v>
      </c>
      <c r="AE836" s="25" t="str">
        <f t="shared" si="335"/>
        <v>null</v>
      </c>
      <c r="AF836" s="26" t="s">
        <v>0</v>
      </c>
      <c r="AG836" s="47" t="s">
        <v>2840</v>
      </c>
    </row>
    <row r="837" spans="1:33" ht="6.9" customHeight="1" x14ac:dyDescent="0.4">
      <c r="A837" s="4">
        <f>ROW()</f>
        <v>837</v>
      </c>
      <c r="B837" s="9" t="s">
        <v>27</v>
      </c>
      <c r="C837" s="55" t="str">
        <f t="shared" si="356"/>
        <v>p.formar</v>
      </c>
      <c r="D837" s="6" t="str">
        <f t="shared" si="341"/>
        <v>é.transformação.geométrica</v>
      </c>
      <c r="E837" s="8" t="s">
        <v>28</v>
      </c>
      <c r="F837" s="42" t="str">
        <f t="shared" si="357"/>
        <v>d.formar</v>
      </c>
      <c r="G837" s="17" t="s">
        <v>3540</v>
      </c>
      <c r="H837" s="41" t="s">
        <v>4160</v>
      </c>
      <c r="I837" s="16" t="str">
        <f t="shared" si="351"/>
        <v>null</v>
      </c>
      <c r="J837" s="15" t="s">
        <v>0</v>
      </c>
      <c r="K837" s="15" t="s">
        <v>0</v>
      </c>
      <c r="L837" s="15" t="s">
        <v>0</v>
      </c>
      <c r="M837" s="15" t="s">
        <v>0</v>
      </c>
      <c r="N837" s="15" t="s">
        <v>0</v>
      </c>
      <c r="O837" s="15" t="s">
        <v>0</v>
      </c>
      <c r="P837" s="15" t="s">
        <v>0</v>
      </c>
      <c r="Q837" s="15" t="s">
        <v>0</v>
      </c>
      <c r="R837" s="15" t="s">
        <v>0</v>
      </c>
      <c r="S837" s="10" t="s">
        <v>1</v>
      </c>
      <c r="T837" s="10" t="s">
        <v>32</v>
      </c>
      <c r="U837" s="5" t="str">
        <f t="shared" si="358"/>
        <v>Propriedade destinada a formar: é.transformação.geométrica</v>
      </c>
      <c r="V837" s="5" t="str">
        <f t="shared" si="359"/>
        <v>Dado para formar:  transformação.geométrica  Deve ser formatado como (rdfs:Literal)</v>
      </c>
      <c r="W837" s="5" t="s">
        <v>5639</v>
      </c>
      <c r="X837" s="24" t="str">
        <f t="shared" si="360"/>
        <v>forma.134</v>
      </c>
      <c r="Y837" s="24" t="str">
        <f t="shared" si="361"/>
        <v>Ação de formar</v>
      </c>
      <c r="Z837" s="47" t="s">
        <v>4154</v>
      </c>
      <c r="AA837" s="25" t="str">
        <f t="shared" si="362"/>
        <v>null</v>
      </c>
      <c r="AB837" s="26" t="s">
        <v>0</v>
      </c>
      <c r="AC837" s="25" t="str">
        <f t="shared" si="363"/>
        <v>null</v>
      </c>
      <c r="AD837" s="26" t="s">
        <v>0</v>
      </c>
      <c r="AE837" s="25" t="str">
        <f t="shared" si="335"/>
        <v>null</v>
      </c>
      <c r="AF837" s="26" t="s">
        <v>0</v>
      </c>
      <c r="AG837" s="47" t="s">
        <v>4157</v>
      </c>
    </row>
    <row r="838" spans="1:33" ht="6.9" customHeight="1" x14ac:dyDescent="0.4">
      <c r="A838" s="4">
        <f>ROW()</f>
        <v>838</v>
      </c>
      <c r="B838" s="9" t="s">
        <v>27</v>
      </c>
      <c r="C838" s="55" t="str">
        <f t="shared" si="356"/>
        <v>p.formar</v>
      </c>
      <c r="D838" s="6" t="str">
        <f t="shared" si="341"/>
        <v>é.transformação.geométrica.código</v>
      </c>
      <c r="E838" s="8" t="s">
        <v>28</v>
      </c>
      <c r="F838" s="42" t="str">
        <f t="shared" si="357"/>
        <v>d.formar</v>
      </c>
      <c r="G838" s="17" t="s">
        <v>4152</v>
      </c>
      <c r="H838" s="41" t="s">
        <v>4160</v>
      </c>
      <c r="I838" s="16" t="str">
        <f t="shared" si="351"/>
        <v>null</v>
      </c>
      <c r="J838" s="15" t="s">
        <v>0</v>
      </c>
      <c r="K838" s="15" t="s">
        <v>0</v>
      </c>
      <c r="L838" s="15" t="s">
        <v>0</v>
      </c>
      <c r="M838" s="15" t="s">
        <v>0</v>
      </c>
      <c r="N838" s="15" t="s">
        <v>0</v>
      </c>
      <c r="O838" s="15" t="s">
        <v>0</v>
      </c>
      <c r="P838" s="15" t="s">
        <v>0</v>
      </c>
      <c r="Q838" s="15" t="s">
        <v>0</v>
      </c>
      <c r="R838" s="15" t="s">
        <v>0</v>
      </c>
      <c r="S838" s="10" t="s">
        <v>1</v>
      </c>
      <c r="T838" s="10" t="s">
        <v>32</v>
      </c>
      <c r="U838" s="5" t="str">
        <f t="shared" si="358"/>
        <v>Propriedade destinada a formar: é.transformação.geométrica.código</v>
      </c>
      <c r="V838" s="5" t="str">
        <f t="shared" si="359"/>
        <v>Dado para formar:  transformação.geométrica.código  Deve ser formatado como (rdfs:Literal)</v>
      </c>
      <c r="W838" s="5" t="s">
        <v>5640</v>
      </c>
      <c r="X838" s="24" t="str">
        <f t="shared" si="360"/>
        <v>forma.135</v>
      </c>
      <c r="Y838" s="24" t="str">
        <f t="shared" si="361"/>
        <v>Ação de formar</v>
      </c>
      <c r="Z838" s="47" t="s">
        <v>4155</v>
      </c>
      <c r="AA838" s="25" t="str">
        <f t="shared" si="362"/>
        <v>null</v>
      </c>
      <c r="AB838" s="26" t="s">
        <v>0</v>
      </c>
      <c r="AC838" s="25" t="str">
        <f t="shared" si="363"/>
        <v>null</v>
      </c>
      <c r="AD838" s="26" t="s">
        <v>0</v>
      </c>
      <c r="AE838" s="25" t="str">
        <f t="shared" si="335"/>
        <v>null</v>
      </c>
      <c r="AF838" s="26" t="s">
        <v>0</v>
      </c>
      <c r="AG838" s="47" t="s">
        <v>4158</v>
      </c>
    </row>
    <row r="839" spans="1:33" ht="6.9" customHeight="1" x14ac:dyDescent="0.4">
      <c r="A839" s="4">
        <f>ROW()</f>
        <v>839</v>
      </c>
      <c r="B839" s="9" t="s">
        <v>27</v>
      </c>
      <c r="C839" s="55" t="str">
        <f t="shared" si="356"/>
        <v>p.formar</v>
      </c>
      <c r="D839" s="6" t="str">
        <f t="shared" si="341"/>
        <v>é.transformação.geométrica.valor</v>
      </c>
      <c r="E839" s="8" t="s">
        <v>28</v>
      </c>
      <c r="F839" s="42" t="str">
        <f t="shared" si="357"/>
        <v>d.formar</v>
      </c>
      <c r="G839" s="17" t="s">
        <v>4153</v>
      </c>
      <c r="H839" s="42" t="s">
        <v>4160</v>
      </c>
      <c r="I839" s="16" t="str">
        <f t="shared" si="351"/>
        <v>null</v>
      </c>
      <c r="J839" s="15" t="s">
        <v>0</v>
      </c>
      <c r="K839" s="15" t="s">
        <v>0</v>
      </c>
      <c r="L839" s="15" t="s">
        <v>0</v>
      </c>
      <c r="M839" s="15" t="s">
        <v>0</v>
      </c>
      <c r="N839" s="15" t="s">
        <v>0</v>
      </c>
      <c r="O839" s="15" t="s">
        <v>0</v>
      </c>
      <c r="P839" s="15" t="s">
        <v>0</v>
      </c>
      <c r="Q839" s="15" t="s">
        <v>0</v>
      </c>
      <c r="R839" s="15" t="s">
        <v>0</v>
      </c>
      <c r="S839" s="10" t="s">
        <v>1</v>
      </c>
      <c r="T839" s="10" t="s">
        <v>32</v>
      </c>
      <c r="U839" s="5" t="str">
        <f t="shared" si="358"/>
        <v>Propriedade destinada a formar: é.transformação.geométrica.valor</v>
      </c>
      <c r="V839" s="5" t="str">
        <f t="shared" si="359"/>
        <v>Dado para formar:  transformação.geométrica.valor  Deve ser formatado como (rdfs:Literal)</v>
      </c>
      <c r="W839" s="5" t="s">
        <v>5641</v>
      </c>
      <c r="X839" s="24" t="str">
        <f t="shared" si="360"/>
        <v>forma.136</v>
      </c>
      <c r="Y839" s="24" t="str">
        <f t="shared" si="361"/>
        <v>Ação de formar</v>
      </c>
      <c r="Z839" s="47" t="s">
        <v>4156</v>
      </c>
      <c r="AA839" s="25" t="str">
        <f t="shared" si="362"/>
        <v>null</v>
      </c>
      <c r="AB839" s="26" t="s">
        <v>0</v>
      </c>
      <c r="AC839" s="25" t="str">
        <f t="shared" si="363"/>
        <v>null</v>
      </c>
      <c r="AD839" s="26" t="s">
        <v>0</v>
      </c>
      <c r="AE839" s="25" t="str">
        <f t="shared" ref="AE839:AE903" si="364">IF(AF839="null", "null", "propriedade")</f>
        <v>null</v>
      </c>
      <c r="AF839" s="26" t="s">
        <v>0</v>
      </c>
      <c r="AG839" s="47" t="s">
        <v>4159</v>
      </c>
    </row>
    <row r="840" spans="1:33" ht="6.9" customHeight="1" x14ac:dyDescent="0.4">
      <c r="A840" s="4">
        <f>ROW()</f>
        <v>840</v>
      </c>
      <c r="B840" s="9" t="s">
        <v>27</v>
      </c>
      <c r="C840" s="54" t="str">
        <f t="shared" si="356"/>
        <v>p.funcionar</v>
      </c>
      <c r="D840" s="6" t="str">
        <f t="shared" si="341"/>
        <v>é.ambiente.id</v>
      </c>
      <c r="E840" s="8" t="s">
        <v>28</v>
      </c>
      <c r="F840" s="51" t="s">
        <v>3581</v>
      </c>
      <c r="G840" s="17" t="s">
        <v>7957</v>
      </c>
      <c r="H840" s="42" t="s">
        <v>2121</v>
      </c>
      <c r="I840" s="16" t="str">
        <f t="shared" ref="I840:I872" si="365">J840</f>
        <v>null</v>
      </c>
      <c r="J840" s="15" t="s">
        <v>0</v>
      </c>
      <c r="K840" s="15" t="s">
        <v>281</v>
      </c>
      <c r="L840" s="15" t="s">
        <v>0</v>
      </c>
      <c r="M840" s="15" t="s">
        <v>0</v>
      </c>
      <c r="N840" s="15" t="s">
        <v>0</v>
      </c>
      <c r="O840" s="15" t="s">
        <v>0</v>
      </c>
      <c r="P840" s="15" t="s">
        <v>0</v>
      </c>
      <c r="Q840" s="15" t="s">
        <v>0</v>
      </c>
      <c r="R840" s="15" t="s">
        <v>0</v>
      </c>
      <c r="S840" s="10" t="s">
        <v>1</v>
      </c>
      <c r="T840" s="10" t="s">
        <v>32</v>
      </c>
      <c r="U840" s="5" t="str">
        <f t="shared" si="358"/>
        <v>Propriedade destinada a funcionar: é.ambiente.id</v>
      </c>
      <c r="V840" s="5" t="str">
        <f t="shared" si="359"/>
        <v>Dado para funcionar:  ambiente.id  Deve ser formatado como (rdfs:Literal  or  xsd:string)</v>
      </c>
      <c r="W840" s="5" t="s">
        <v>5642</v>
      </c>
      <c r="X840" s="24" t="str">
        <f t="shared" si="360"/>
        <v>funci.100</v>
      </c>
      <c r="Y840" s="24" t="str">
        <f t="shared" si="361"/>
        <v>Ação de funcionar</v>
      </c>
      <c r="Z840" s="47" t="s">
        <v>3968</v>
      </c>
      <c r="AA840" s="25" t="str">
        <f t="shared" si="362"/>
        <v>categoria.revit</v>
      </c>
      <c r="AB840" s="26" t="s">
        <v>3518</v>
      </c>
      <c r="AC840" s="25" t="str">
        <f t="shared" si="363"/>
        <v>classe.ifc</v>
      </c>
      <c r="AD840" s="26" t="s">
        <v>3469</v>
      </c>
      <c r="AE840" s="25" t="str">
        <f t="shared" si="364"/>
        <v>propriedade</v>
      </c>
      <c r="AF840" s="26" t="s">
        <v>2452</v>
      </c>
      <c r="AG840" s="47" t="s">
        <v>4027</v>
      </c>
    </row>
    <row r="841" spans="1:33" ht="6.9" customHeight="1" x14ac:dyDescent="0.4">
      <c r="A841" s="4">
        <f>ROW()</f>
        <v>841</v>
      </c>
      <c r="B841" s="9" t="s">
        <v>27</v>
      </c>
      <c r="C841" s="55" t="str">
        <f>SUBSTITUTE(F841,"d.","p.")</f>
        <v>p.funcionar</v>
      </c>
      <c r="D841" s="6" t="str">
        <f t="shared" si="341"/>
        <v>é.ambiente.código</v>
      </c>
      <c r="E841" s="8" t="s">
        <v>28</v>
      </c>
      <c r="F841" s="42" t="str">
        <f>F840</f>
        <v>d.funcionar</v>
      </c>
      <c r="G841" s="17" t="s">
        <v>7955</v>
      </c>
      <c r="H841" s="42" t="s">
        <v>2121</v>
      </c>
      <c r="I841" s="16" t="str">
        <f t="shared" si="365"/>
        <v>Functional</v>
      </c>
      <c r="J841" s="15" t="s">
        <v>29</v>
      </c>
      <c r="K841" s="15" t="s">
        <v>0</v>
      </c>
      <c r="L841" s="15" t="s">
        <v>0</v>
      </c>
      <c r="M841" s="15" t="s">
        <v>0</v>
      </c>
      <c r="N841" s="15" t="s">
        <v>0</v>
      </c>
      <c r="O841" s="15" t="s">
        <v>0</v>
      </c>
      <c r="P841" s="15" t="s">
        <v>0</v>
      </c>
      <c r="Q841" s="15" t="s">
        <v>0</v>
      </c>
      <c r="R841" s="15" t="s">
        <v>0</v>
      </c>
      <c r="S841" s="10" t="s">
        <v>1</v>
      </c>
      <c r="T841" s="10" t="s">
        <v>32</v>
      </c>
      <c r="U841" s="5" t="str">
        <f t="shared" si="358"/>
        <v>Propriedade destinada a funcionar: é.ambiente.código</v>
      </c>
      <c r="V841" s="5" t="str">
        <f t="shared" si="359"/>
        <v>Dado para funcionar:  ambiente.código  Deve ser formatado como (rdfs:Literal  or  xsd:string)</v>
      </c>
      <c r="W841" s="5" t="s">
        <v>7977</v>
      </c>
      <c r="X841" s="24" t="str">
        <f t="shared" si="360"/>
        <v>funci.101</v>
      </c>
      <c r="Y841" s="24" t="str">
        <f t="shared" si="361"/>
        <v>Ação de funcionar</v>
      </c>
      <c r="Z841" s="47" t="s">
        <v>7984</v>
      </c>
      <c r="AA841" s="25" t="str">
        <f t="shared" ref="AA841:AA872" si="366">IF(AB841="null", "null", "categoria.revit")</f>
        <v>categoria.revit</v>
      </c>
      <c r="AB841" s="26" t="s">
        <v>3518</v>
      </c>
      <c r="AC841" s="25" t="str">
        <f t="shared" ref="AC841:AC872" si="367">IF(AD841="null", "null", "classe.ifc")</f>
        <v>classe.ifc</v>
      </c>
      <c r="AD841" s="26" t="s">
        <v>3469</v>
      </c>
      <c r="AE841" s="25" t="str">
        <f t="shared" ref="AE841:AE872" si="368">IF(AF841="null", "null", "propriedade")</f>
        <v>propriedade</v>
      </c>
      <c r="AF841" s="60" t="s">
        <v>2453</v>
      </c>
      <c r="AG841" s="47" t="s">
        <v>7980</v>
      </c>
    </row>
    <row r="842" spans="1:33" ht="6.9" customHeight="1" x14ac:dyDescent="0.4">
      <c r="A842" s="4">
        <f>ROW()</f>
        <v>842</v>
      </c>
      <c r="B842" s="9" t="s">
        <v>27</v>
      </c>
      <c r="C842" s="55" t="str">
        <f t="shared" ref="C842:C872" si="369">SUBSTITUTE(F842,"d.","p.")</f>
        <v>p.funcionar</v>
      </c>
      <c r="D842" s="6" t="str">
        <f t="shared" si="341"/>
        <v>é.ambiente.nome</v>
      </c>
      <c r="E842" s="8" t="s">
        <v>28</v>
      </c>
      <c r="F842" s="42" t="str">
        <f t="shared" ref="F842:F872" si="370">F841</f>
        <v>d.funcionar</v>
      </c>
      <c r="G842" s="17" t="s">
        <v>7954</v>
      </c>
      <c r="H842" s="42" t="s">
        <v>2121</v>
      </c>
      <c r="I842" s="16" t="str">
        <f t="shared" si="365"/>
        <v>null</v>
      </c>
      <c r="J842" s="15" t="s">
        <v>0</v>
      </c>
      <c r="K842" s="15" t="s">
        <v>0</v>
      </c>
      <c r="L842" s="15" t="s">
        <v>0</v>
      </c>
      <c r="M842" s="15" t="s">
        <v>0</v>
      </c>
      <c r="N842" s="15" t="s">
        <v>0</v>
      </c>
      <c r="O842" s="15" t="s">
        <v>0</v>
      </c>
      <c r="P842" s="15" t="s">
        <v>0</v>
      </c>
      <c r="Q842" s="15" t="s">
        <v>0</v>
      </c>
      <c r="R842" s="15" t="s">
        <v>0</v>
      </c>
      <c r="S842" s="10" t="s">
        <v>1</v>
      </c>
      <c r="T842" s="10" t="s">
        <v>32</v>
      </c>
      <c r="U842" s="5" t="str">
        <f t="shared" si="358"/>
        <v>Propriedade destinada a funcionar: é.ambiente.nome</v>
      </c>
      <c r="V842" s="5" t="str">
        <f t="shared" si="359"/>
        <v>Dado para funcionar:  ambiente.nome  Deve ser formatado como (rdfs:Literal  or  xsd:string)</v>
      </c>
      <c r="W842" s="5" t="s">
        <v>7976</v>
      </c>
      <c r="X842" s="24" t="str">
        <f t="shared" si="360"/>
        <v>funci.102</v>
      </c>
      <c r="Y842" s="24" t="str">
        <f t="shared" si="361"/>
        <v>Ação de funcionar</v>
      </c>
      <c r="Z842" s="47" t="s">
        <v>7982</v>
      </c>
      <c r="AA842" s="25" t="str">
        <f t="shared" si="366"/>
        <v>categoria.revit</v>
      </c>
      <c r="AB842" s="26" t="s">
        <v>3518</v>
      </c>
      <c r="AC842" s="25" t="str">
        <f t="shared" si="367"/>
        <v>classe.ifc</v>
      </c>
      <c r="AD842" s="26" t="s">
        <v>3469</v>
      </c>
      <c r="AE842" s="25" t="str">
        <f t="shared" si="368"/>
        <v>propriedade</v>
      </c>
      <c r="AF842" s="60" t="s">
        <v>2456</v>
      </c>
      <c r="AG842" s="47" t="s">
        <v>7978</v>
      </c>
    </row>
    <row r="843" spans="1:33" ht="6.9" customHeight="1" x14ac:dyDescent="0.4">
      <c r="A843" s="4">
        <f>ROW()</f>
        <v>843</v>
      </c>
      <c r="B843" s="9" t="s">
        <v>27</v>
      </c>
      <c r="C843" s="55" t="str">
        <f t="shared" si="369"/>
        <v>p.funcionar</v>
      </c>
      <c r="D843" s="6" t="str">
        <f t="shared" si="341"/>
        <v>é.ambiente.número</v>
      </c>
      <c r="E843" s="8" t="s">
        <v>28</v>
      </c>
      <c r="F843" s="42" t="str">
        <f>F841</f>
        <v>d.funcionar</v>
      </c>
      <c r="G843" s="17" t="s">
        <v>7956</v>
      </c>
      <c r="H843" s="42" t="s">
        <v>2121</v>
      </c>
      <c r="I843" s="16" t="str">
        <f t="shared" si="365"/>
        <v>Functional</v>
      </c>
      <c r="J843" s="15" t="s">
        <v>29</v>
      </c>
      <c r="K843" s="15" t="s">
        <v>0</v>
      </c>
      <c r="L843" s="15" t="s">
        <v>0</v>
      </c>
      <c r="M843" s="15" t="s">
        <v>0</v>
      </c>
      <c r="N843" s="15" t="s">
        <v>0</v>
      </c>
      <c r="O843" s="15" t="s">
        <v>0</v>
      </c>
      <c r="P843" s="15" t="s">
        <v>0</v>
      </c>
      <c r="Q843" s="15" t="s">
        <v>0</v>
      </c>
      <c r="R843" s="15" t="s">
        <v>0</v>
      </c>
      <c r="S843" s="10" t="s">
        <v>1</v>
      </c>
      <c r="T843" s="10" t="s">
        <v>32</v>
      </c>
      <c r="U843" s="5" t="str">
        <f t="shared" si="358"/>
        <v>Propriedade destinada a funcionar: é.ambiente.número</v>
      </c>
      <c r="V843" s="5" t="str">
        <f t="shared" si="359"/>
        <v>Dado para funcionar:  ambiente.número  Deve ser formatado como (rdfs:Literal  or  xsd:string)</v>
      </c>
      <c r="W843" s="5" t="s">
        <v>5643</v>
      </c>
      <c r="X843" s="24" t="str">
        <f t="shared" si="360"/>
        <v>funci.103</v>
      </c>
      <c r="Y843" s="24" t="str">
        <f t="shared" si="361"/>
        <v>Ação de funcionar</v>
      </c>
      <c r="Z843" s="47" t="s">
        <v>7981</v>
      </c>
      <c r="AA843" s="25" t="str">
        <f t="shared" si="366"/>
        <v>categoria.revit</v>
      </c>
      <c r="AB843" s="26" t="s">
        <v>3518</v>
      </c>
      <c r="AC843" s="25" t="str">
        <f t="shared" si="367"/>
        <v>classe.ifc</v>
      </c>
      <c r="AD843" s="26" t="s">
        <v>3469</v>
      </c>
      <c r="AE843" s="25" t="str">
        <f t="shared" si="368"/>
        <v>propriedade</v>
      </c>
      <c r="AF843" s="60" t="s">
        <v>2455</v>
      </c>
      <c r="AG843" s="47" t="s">
        <v>7979</v>
      </c>
    </row>
    <row r="844" spans="1:33" ht="6.9" customHeight="1" x14ac:dyDescent="0.4">
      <c r="A844" s="4">
        <f>ROW()</f>
        <v>844</v>
      </c>
      <c r="B844" s="9" t="s">
        <v>27</v>
      </c>
      <c r="C844" s="55" t="str">
        <f t="shared" si="369"/>
        <v>p.funcionar</v>
      </c>
      <c r="D844" s="6" t="str">
        <f t="shared" si="341"/>
        <v>é.ambiente.zona</v>
      </c>
      <c r="E844" s="8" t="s">
        <v>28</v>
      </c>
      <c r="F844" s="42" t="str">
        <f>F842</f>
        <v>d.funcionar</v>
      </c>
      <c r="G844" s="17" t="s">
        <v>7974</v>
      </c>
      <c r="H844" s="42" t="s">
        <v>2121</v>
      </c>
      <c r="I844" s="16" t="str">
        <f t="shared" si="365"/>
        <v>null</v>
      </c>
      <c r="J844" s="15" t="s">
        <v>0</v>
      </c>
      <c r="K844" s="15" t="s">
        <v>0</v>
      </c>
      <c r="L844" s="15" t="s">
        <v>0</v>
      </c>
      <c r="M844" s="15" t="s">
        <v>0</v>
      </c>
      <c r="N844" s="15" t="s">
        <v>0</v>
      </c>
      <c r="O844" s="15" t="s">
        <v>0</v>
      </c>
      <c r="P844" s="15" t="s">
        <v>0</v>
      </c>
      <c r="Q844" s="15" t="s">
        <v>0</v>
      </c>
      <c r="R844" s="15" t="s">
        <v>0</v>
      </c>
      <c r="S844" s="10" t="s">
        <v>1</v>
      </c>
      <c r="T844" s="10" t="s">
        <v>32</v>
      </c>
      <c r="U844" s="5" t="str">
        <f t="shared" si="358"/>
        <v>Propriedade destinada a funcionar: é.ambiente.zona</v>
      </c>
      <c r="V844" s="5" t="str">
        <f t="shared" si="359"/>
        <v>Dado para funcionar:  ambiente.zona  Deve ser formatado como (rdfs:Literal  or  xsd:string)</v>
      </c>
      <c r="W844" s="5" t="s">
        <v>7975</v>
      </c>
      <c r="X844" s="24" t="str">
        <f t="shared" si="360"/>
        <v>funci.104</v>
      </c>
      <c r="Y844" s="24" t="str">
        <f t="shared" si="361"/>
        <v>Ação de funcionar</v>
      </c>
      <c r="Z844" s="47" t="s">
        <v>7983</v>
      </c>
      <c r="AA844" s="25" t="str">
        <f t="shared" si="366"/>
        <v>categoria.revit</v>
      </c>
      <c r="AB844" s="26" t="s">
        <v>3518</v>
      </c>
      <c r="AC844" s="25" t="str">
        <f t="shared" si="367"/>
        <v>classe.ifc</v>
      </c>
      <c r="AD844" s="26" t="s">
        <v>3469</v>
      </c>
      <c r="AE844" s="25" t="str">
        <f t="shared" si="368"/>
        <v>propriedade</v>
      </c>
      <c r="AF844" s="60" t="s">
        <v>2455</v>
      </c>
      <c r="AG844" s="47" t="s">
        <v>8105</v>
      </c>
    </row>
    <row r="845" spans="1:33" ht="6.9" customHeight="1" x14ac:dyDescent="0.4">
      <c r="A845" s="4">
        <f>ROW()</f>
        <v>845</v>
      </c>
      <c r="B845" s="9" t="s">
        <v>27</v>
      </c>
      <c r="C845" s="55" t="str">
        <f t="shared" si="369"/>
        <v>p.funcionar</v>
      </c>
      <c r="D845" s="6" t="str">
        <f t="shared" si="341"/>
        <v>é.de.apoio</v>
      </c>
      <c r="E845" s="8" t="s">
        <v>28</v>
      </c>
      <c r="F845" s="42" t="str">
        <f t="shared" si="370"/>
        <v>d.funcionar</v>
      </c>
      <c r="G845" s="17" t="s">
        <v>7985</v>
      </c>
      <c r="H845" s="42" t="s">
        <v>37</v>
      </c>
      <c r="I845" s="16" t="str">
        <f t="shared" si="365"/>
        <v>null</v>
      </c>
      <c r="J845" s="15" t="s">
        <v>0</v>
      </c>
      <c r="K845" s="15" t="s">
        <v>0</v>
      </c>
      <c r="L845" s="15" t="s">
        <v>0</v>
      </c>
      <c r="M845" s="15" t="s">
        <v>0</v>
      </c>
      <c r="N845" s="15" t="s">
        <v>0</v>
      </c>
      <c r="O845" s="15" t="s">
        <v>0</v>
      </c>
      <c r="P845" s="15" t="s">
        <v>0</v>
      </c>
      <c r="Q845" s="15" t="s">
        <v>0</v>
      </c>
      <c r="R845" s="15" t="s">
        <v>0</v>
      </c>
      <c r="S845" s="10" t="s">
        <v>1</v>
      </c>
      <c r="T845" s="10" t="s">
        <v>32</v>
      </c>
      <c r="U845" s="5" t="str">
        <f t="shared" si="358"/>
        <v>Propriedade destinada a funcionar: é.de.apoio</v>
      </c>
      <c r="V845" s="5" t="str">
        <f t="shared" si="359"/>
        <v>Dado para funcionar:  de.apoio  Deve ser formatado como (xsd:boolean)</v>
      </c>
      <c r="W845" s="5" t="s">
        <v>5659</v>
      </c>
      <c r="X845" s="24" t="str">
        <f t="shared" si="360"/>
        <v>funci.105</v>
      </c>
      <c r="Y845" s="24" t="str">
        <f t="shared" si="361"/>
        <v>Ação de funcionar</v>
      </c>
      <c r="Z845" s="47" t="s">
        <v>4603</v>
      </c>
      <c r="AA845" s="25" t="str">
        <f t="shared" si="366"/>
        <v>categoria.revit</v>
      </c>
      <c r="AB845" s="26" t="s">
        <v>3518</v>
      </c>
      <c r="AC845" s="25" t="str">
        <f t="shared" si="367"/>
        <v>classe.ifc</v>
      </c>
      <c r="AD845" s="26" t="s">
        <v>3469</v>
      </c>
      <c r="AE845" s="25" t="str">
        <f t="shared" si="368"/>
        <v>propriedade</v>
      </c>
      <c r="AF845" s="26" t="s">
        <v>2452</v>
      </c>
      <c r="AG845" s="47" t="s">
        <v>4794</v>
      </c>
    </row>
    <row r="846" spans="1:33" ht="6.9" customHeight="1" x14ac:dyDescent="0.4">
      <c r="A846" s="4">
        <f>ROW()</f>
        <v>846</v>
      </c>
      <c r="B846" s="9" t="s">
        <v>27</v>
      </c>
      <c r="C846" s="55" t="str">
        <f t="shared" si="369"/>
        <v>p.funcionar</v>
      </c>
      <c r="D846" s="6" t="str">
        <f t="shared" si="341"/>
        <v>é.de.comércio</v>
      </c>
      <c r="E846" s="8" t="s">
        <v>28</v>
      </c>
      <c r="F846" s="42" t="str">
        <f t="shared" si="370"/>
        <v>d.funcionar</v>
      </c>
      <c r="G846" s="17" t="s">
        <v>711</v>
      </c>
      <c r="H846" s="42" t="s">
        <v>37</v>
      </c>
      <c r="I846" s="16" t="str">
        <f t="shared" si="365"/>
        <v>null</v>
      </c>
      <c r="J846" s="15" t="s">
        <v>0</v>
      </c>
      <c r="K846" s="15" t="s">
        <v>0</v>
      </c>
      <c r="L846" s="15" t="s">
        <v>0</v>
      </c>
      <c r="M846" s="15" t="s">
        <v>0</v>
      </c>
      <c r="N846" s="15" t="s">
        <v>0</v>
      </c>
      <c r="O846" s="15" t="s">
        <v>0</v>
      </c>
      <c r="P846" s="15" t="s">
        <v>0</v>
      </c>
      <c r="Q846" s="15" t="s">
        <v>0</v>
      </c>
      <c r="R846" s="15" t="s">
        <v>0</v>
      </c>
      <c r="S846" s="10" t="s">
        <v>1</v>
      </c>
      <c r="T846" s="10" t="s">
        <v>32</v>
      </c>
      <c r="U846" s="5" t="str">
        <f t="shared" si="358"/>
        <v>Propriedade destinada a funcionar: é.de.comércio</v>
      </c>
      <c r="V846" s="5" t="str">
        <f t="shared" si="359"/>
        <v>Dado para funcionar:  de.comércio  Deve ser formatado como (xsd:boolean)</v>
      </c>
      <c r="W846" s="5" t="s">
        <v>5663</v>
      </c>
      <c r="X846" s="24" t="str">
        <f t="shared" si="360"/>
        <v>funci.106</v>
      </c>
      <c r="Y846" s="24" t="str">
        <f t="shared" si="361"/>
        <v>Ação de funcionar</v>
      </c>
      <c r="Z846" s="47" t="s">
        <v>1476</v>
      </c>
      <c r="AA846" s="25" t="str">
        <f t="shared" si="366"/>
        <v>categoria.revit</v>
      </c>
      <c r="AB846" s="26" t="s">
        <v>3518</v>
      </c>
      <c r="AC846" s="25" t="str">
        <f t="shared" si="367"/>
        <v>classe.ifc</v>
      </c>
      <c r="AD846" s="26" t="s">
        <v>3469</v>
      </c>
      <c r="AE846" s="25" t="str">
        <f t="shared" si="368"/>
        <v>propriedade</v>
      </c>
      <c r="AF846" s="26" t="s">
        <v>2452</v>
      </c>
      <c r="AG846" s="47" t="s">
        <v>4713</v>
      </c>
    </row>
    <row r="847" spans="1:33" ht="6.9" customHeight="1" x14ac:dyDescent="0.4">
      <c r="A847" s="4">
        <f>ROW()</f>
        <v>847</v>
      </c>
      <c r="B847" s="9" t="s">
        <v>27</v>
      </c>
      <c r="C847" s="55" t="str">
        <f t="shared" si="369"/>
        <v>p.funcionar</v>
      </c>
      <c r="D847" s="6" t="str">
        <f t="shared" ref="D847:D910" si="371">_xlfn.CONCAT("é.",G847)</f>
        <v>é.de.contemplação</v>
      </c>
      <c r="E847" s="8" t="s">
        <v>28</v>
      </c>
      <c r="F847" s="42" t="str">
        <f t="shared" si="370"/>
        <v>d.funcionar</v>
      </c>
      <c r="G847" s="17" t="s">
        <v>703</v>
      </c>
      <c r="H847" s="42" t="s">
        <v>37</v>
      </c>
      <c r="I847" s="16" t="str">
        <f t="shared" si="365"/>
        <v>null</v>
      </c>
      <c r="J847" s="15" t="s">
        <v>0</v>
      </c>
      <c r="K847" s="15" t="s">
        <v>0</v>
      </c>
      <c r="L847" s="15" t="s">
        <v>0</v>
      </c>
      <c r="M847" s="15" t="s">
        <v>0</v>
      </c>
      <c r="N847" s="15" t="s">
        <v>0</v>
      </c>
      <c r="O847" s="15" t="s">
        <v>0</v>
      </c>
      <c r="P847" s="15" t="s">
        <v>0</v>
      </c>
      <c r="Q847" s="15" t="s">
        <v>0</v>
      </c>
      <c r="R847" s="15" t="s">
        <v>0</v>
      </c>
      <c r="S847" s="10" t="s">
        <v>1</v>
      </c>
      <c r="T847" s="10" t="s">
        <v>32</v>
      </c>
      <c r="U847" s="5" t="str">
        <f t="shared" si="358"/>
        <v>Propriedade destinada a funcionar: é.de.contemplação</v>
      </c>
      <c r="V847" s="5" t="str">
        <f t="shared" si="359"/>
        <v>Dado para funcionar:  de.contemplação  Deve ser formatado como (xsd:boolean)</v>
      </c>
      <c r="W847" s="5" t="s">
        <v>5655</v>
      </c>
      <c r="X847" s="24" t="str">
        <f t="shared" si="360"/>
        <v>funci.107</v>
      </c>
      <c r="Y847" s="24" t="str">
        <f t="shared" si="361"/>
        <v>Ação de funcionar</v>
      </c>
      <c r="Z847" s="47" t="s">
        <v>1472</v>
      </c>
      <c r="AA847" s="25" t="str">
        <f t="shared" si="366"/>
        <v>categoria.revit</v>
      </c>
      <c r="AB847" s="26" t="s">
        <v>3518</v>
      </c>
      <c r="AC847" s="25" t="str">
        <f t="shared" si="367"/>
        <v>classe.ifc</v>
      </c>
      <c r="AD847" s="26" t="s">
        <v>3469</v>
      </c>
      <c r="AE847" s="25" t="str">
        <f t="shared" si="368"/>
        <v>propriedade</v>
      </c>
      <c r="AF847" s="26" t="s">
        <v>2452</v>
      </c>
      <c r="AG847" s="47" t="s">
        <v>7971</v>
      </c>
    </row>
    <row r="848" spans="1:33" ht="6.9" customHeight="1" x14ac:dyDescent="0.4">
      <c r="A848" s="4">
        <f>ROW()</f>
        <v>848</v>
      </c>
      <c r="B848" s="9" t="s">
        <v>27</v>
      </c>
      <c r="C848" s="55" t="str">
        <f t="shared" si="369"/>
        <v>p.funcionar</v>
      </c>
      <c r="D848" s="6" t="str">
        <f t="shared" si="371"/>
        <v>é.de.cuidado</v>
      </c>
      <c r="E848" s="8" t="s">
        <v>28</v>
      </c>
      <c r="F848" s="42" t="str">
        <f t="shared" si="370"/>
        <v>d.funcionar</v>
      </c>
      <c r="G848" s="17" t="s">
        <v>706</v>
      </c>
      <c r="H848" s="42" t="s">
        <v>37</v>
      </c>
      <c r="I848" s="16" t="str">
        <f t="shared" si="365"/>
        <v>null</v>
      </c>
      <c r="J848" s="15" t="s">
        <v>0</v>
      </c>
      <c r="K848" s="15" t="s">
        <v>0</v>
      </c>
      <c r="L848" s="15" t="s">
        <v>0</v>
      </c>
      <c r="M848" s="15" t="s">
        <v>0</v>
      </c>
      <c r="N848" s="15" t="s">
        <v>0</v>
      </c>
      <c r="O848" s="15" t="s">
        <v>0</v>
      </c>
      <c r="P848" s="15" t="s">
        <v>0</v>
      </c>
      <c r="Q848" s="15" t="s">
        <v>0</v>
      </c>
      <c r="R848" s="15" t="s">
        <v>0</v>
      </c>
      <c r="S848" s="10" t="s">
        <v>1</v>
      </c>
      <c r="T848" s="10" t="s">
        <v>32</v>
      </c>
      <c r="U848" s="5" t="str">
        <f t="shared" si="358"/>
        <v>Propriedade destinada a funcionar: é.de.cuidado</v>
      </c>
      <c r="V848" s="5" t="str">
        <f t="shared" si="359"/>
        <v>Dado para funcionar:  de.cuidado  Deve ser formatado como (xsd:boolean)</v>
      </c>
      <c r="W848" s="5" t="s">
        <v>5658</v>
      </c>
      <c r="X848" s="24" t="str">
        <f t="shared" si="360"/>
        <v>funci.108</v>
      </c>
      <c r="Y848" s="24" t="str">
        <f t="shared" si="361"/>
        <v>Ação de funcionar</v>
      </c>
      <c r="Z848" s="47" t="s">
        <v>7966</v>
      </c>
      <c r="AA848" s="25" t="str">
        <f t="shared" si="366"/>
        <v>categoria.revit</v>
      </c>
      <c r="AB848" s="26" t="s">
        <v>3518</v>
      </c>
      <c r="AC848" s="25" t="str">
        <f t="shared" si="367"/>
        <v>classe.ifc</v>
      </c>
      <c r="AD848" s="26" t="s">
        <v>3469</v>
      </c>
      <c r="AE848" s="25" t="str">
        <f t="shared" si="368"/>
        <v>propriedade</v>
      </c>
      <c r="AF848" s="26" t="s">
        <v>2452</v>
      </c>
      <c r="AG848" s="47" t="s">
        <v>4793</v>
      </c>
    </row>
    <row r="849" spans="1:33" ht="6.9" customHeight="1" x14ac:dyDescent="0.4">
      <c r="A849" s="4">
        <f>ROW()</f>
        <v>849</v>
      </c>
      <c r="B849" s="9" t="s">
        <v>27</v>
      </c>
      <c r="C849" s="55" t="str">
        <f t="shared" si="369"/>
        <v>p.funcionar</v>
      </c>
      <c r="D849" s="6" t="str">
        <f t="shared" si="371"/>
        <v>é.de.ensino</v>
      </c>
      <c r="E849" s="8" t="s">
        <v>28</v>
      </c>
      <c r="F849" s="42" t="str">
        <f t="shared" si="370"/>
        <v>d.funcionar</v>
      </c>
      <c r="G849" s="17" t="s">
        <v>704</v>
      </c>
      <c r="H849" s="42" t="s">
        <v>37</v>
      </c>
      <c r="I849" s="16" t="str">
        <f t="shared" si="365"/>
        <v>null</v>
      </c>
      <c r="J849" s="15" t="s">
        <v>0</v>
      </c>
      <c r="K849" s="15" t="s">
        <v>0</v>
      </c>
      <c r="L849" s="15" t="s">
        <v>0</v>
      </c>
      <c r="M849" s="15" t="s">
        <v>0</v>
      </c>
      <c r="N849" s="15" t="s">
        <v>0</v>
      </c>
      <c r="O849" s="15" t="s">
        <v>0</v>
      </c>
      <c r="P849" s="15" t="s">
        <v>0</v>
      </c>
      <c r="Q849" s="15" t="s">
        <v>0</v>
      </c>
      <c r="R849" s="15" t="s">
        <v>0</v>
      </c>
      <c r="S849" s="10" t="s">
        <v>1</v>
      </c>
      <c r="T849" s="10" t="s">
        <v>32</v>
      </c>
      <c r="U849" s="5" t="str">
        <f t="shared" si="358"/>
        <v>Propriedade destinada a funcionar: é.de.ensino</v>
      </c>
      <c r="V849" s="5" t="str">
        <f t="shared" si="359"/>
        <v>Dado para funcionar:  de.ensino  Deve ser formatado como (xsd:boolean)</v>
      </c>
      <c r="W849" s="5" t="s">
        <v>5656</v>
      </c>
      <c r="X849" s="24" t="str">
        <f t="shared" si="360"/>
        <v>funci.109</v>
      </c>
      <c r="Y849" s="24" t="str">
        <f t="shared" si="361"/>
        <v>Ação de funcionar</v>
      </c>
      <c r="Z849" s="47" t="s">
        <v>4602</v>
      </c>
      <c r="AA849" s="25" t="str">
        <f t="shared" si="366"/>
        <v>categoria.revit</v>
      </c>
      <c r="AB849" s="26" t="s">
        <v>3518</v>
      </c>
      <c r="AC849" s="25" t="str">
        <f t="shared" si="367"/>
        <v>classe.ifc</v>
      </c>
      <c r="AD849" s="26" t="s">
        <v>3469</v>
      </c>
      <c r="AE849" s="25" t="str">
        <f t="shared" si="368"/>
        <v>propriedade</v>
      </c>
      <c r="AF849" s="26" t="s">
        <v>2452</v>
      </c>
      <c r="AG849" s="47" t="s">
        <v>4791</v>
      </c>
    </row>
    <row r="850" spans="1:33" ht="6.9" customHeight="1" x14ac:dyDescent="0.4">
      <c r="A850" s="4">
        <f>ROW()</f>
        <v>850</v>
      </c>
      <c r="B850" s="9" t="s">
        <v>27</v>
      </c>
      <c r="C850" s="55" t="str">
        <f t="shared" si="369"/>
        <v>p.funcionar</v>
      </c>
      <c r="D850" s="6" t="str">
        <f t="shared" si="371"/>
        <v>é.de.espera</v>
      </c>
      <c r="E850" s="8" t="s">
        <v>28</v>
      </c>
      <c r="F850" s="42" t="str">
        <f t="shared" si="370"/>
        <v>d.funcionar</v>
      </c>
      <c r="G850" s="17" t="s">
        <v>701</v>
      </c>
      <c r="H850" s="42" t="s">
        <v>37</v>
      </c>
      <c r="I850" s="16" t="str">
        <f t="shared" si="365"/>
        <v>null</v>
      </c>
      <c r="J850" s="15" t="s">
        <v>0</v>
      </c>
      <c r="K850" s="15" t="s">
        <v>0</v>
      </c>
      <c r="L850" s="15" t="s">
        <v>0</v>
      </c>
      <c r="M850" s="15" t="s">
        <v>0</v>
      </c>
      <c r="N850" s="15" t="s">
        <v>0</v>
      </c>
      <c r="O850" s="15" t="s">
        <v>0</v>
      </c>
      <c r="P850" s="15" t="s">
        <v>0</v>
      </c>
      <c r="Q850" s="15" t="s">
        <v>0</v>
      </c>
      <c r="R850" s="15" t="s">
        <v>0</v>
      </c>
      <c r="S850" s="10" t="s">
        <v>1</v>
      </c>
      <c r="T850" s="10" t="s">
        <v>32</v>
      </c>
      <c r="U850" s="5" t="str">
        <f t="shared" si="358"/>
        <v>Propriedade destinada a funcionar: é.de.espera</v>
      </c>
      <c r="V850" s="5" t="str">
        <f t="shared" si="359"/>
        <v>Dado para funcionar:  de.espera  Deve ser formatado como (xsd:boolean)</v>
      </c>
      <c r="W850" s="5" t="s">
        <v>5653</v>
      </c>
      <c r="X850" s="24" t="str">
        <f t="shared" si="360"/>
        <v>funci.110</v>
      </c>
      <c r="Y850" s="24" t="str">
        <f t="shared" si="361"/>
        <v>Ação de funcionar</v>
      </c>
      <c r="Z850" s="47" t="s">
        <v>1470</v>
      </c>
      <c r="AA850" s="25" t="str">
        <f t="shared" si="366"/>
        <v>categoria.revit</v>
      </c>
      <c r="AB850" s="26" t="s">
        <v>3518</v>
      </c>
      <c r="AC850" s="25" t="str">
        <f t="shared" si="367"/>
        <v>classe.ifc</v>
      </c>
      <c r="AD850" s="26" t="s">
        <v>3469</v>
      </c>
      <c r="AE850" s="25" t="str">
        <f t="shared" si="368"/>
        <v>propriedade</v>
      </c>
      <c r="AF850" s="26" t="s">
        <v>2452</v>
      </c>
      <c r="AG850" s="47" t="s">
        <v>2807</v>
      </c>
    </row>
    <row r="851" spans="1:33" ht="6.9" customHeight="1" x14ac:dyDescent="0.4">
      <c r="A851" s="4">
        <f>ROW()</f>
        <v>851</v>
      </c>
      <c r="B851" s="9" t="s">
        <v>27</v>
      </c>
      <c r="C851" s="55" t="str">
        <f t="shared" si="369"/>
        <v>p.funcionar</v>
      </c>
      <c r="D851" s="6" t="str">
        <f t="shared" si="371"/>
        <v>é.de.espetáculo</v>
      </c>
      <c r="E851" s="8" t="s">
        <v>28</v>
      </c>
      <c r="F851" s="42" t="str">
        <f t="shared" si="370"/>
        <v>d.funcionar</v>
      </c>
      <c r="G851" s="17" t="s">
        <v>707</v>
      </c>
      <c r="H851" s="42" t="s">
        <v>37</v>
      </c>
      <c r="I851" s="16" t="str">
        <f t="shared" si="365"/>
        <v>null</v>
      </c>
      <c r="J851" s="15" t="s">
        <v>0</v>
      </c>
      <c r="K851" s="15" t="s">
        <v>0</v>
      </c>
      <c r="L851" s="15" t="s">
        <v>0</v>
      </c>
      <c r="M851" s="15" t="s">
        <v>0</v>
      </c>
      <c r="N851" s="15" t="s">
        <v>0</v>
      </c>
      <c r="O851" s="15" t="s">
        <v>0</v>
      </c>
      <c r="P851" s="15" t="s">
        <v>0</v>
      </c>
      <c r="Q851" s="15" t="s">
        <v>0</v>
      </c>
      <c r="R851" s="15" t="s">
        <v>0</v>
      </c>
      <c r="S851" s="10" t="s">
        <v>1</v>
      </c>
      <c r="T851" s="10" t="s">
        <v>32</v>
      </c>
      <c r="U851" s="5" t="str">
        <f t="shared" si="358"/>
        <v>Propriedade destinada a funcionar: é.de.espetáculo</v>
      </c>
      <c r="V851" s="5" t="str">
        <f t="shared" si="359"/>
        <v>Dado para funcionar:  de.espetáculo  Deve ser formatado como (xsd:boolean)</v>
      </c>
      <c r="W851" s="5" t="s">
        <v>5660</v>
      </c>
      <c r="X851" s="24" t="str">
        <f t="shared" si="360"/>
        <v>funci.111</v>
      </c>
      <c r="Y851" s="24" t="str">
        <f t="shared" si="361"/>
        <v>Ação de funcionar</v>
      </c>
      <c r="Z851" s="47" t="s">
        <v>1473</v>
      </c>
      <c r="AA851" s="25" t="str">
        <f t="shared" si="366"/>
        <v>categoria.revit</v>
      </c>
      <c r="AB851" s="26" t="s">
        <v>3518</v>
      </c>
      <c r="AC851" s="25" t="str">
        <f t="shared" si="367"/>
        <v>classe.ifc</v>
      </c>
      <c r="AD851" s="26" t="s">
        <v>3469</v>
      </c>
      <c r="AE851" s="25" t="str">
        <f t="shared" si="368"/>
        <v>propriedade</v>
      </c>
      <c r="AF851" s="26" t="s">
        <v>2452</v>
      </c>
      <c r="AG851" s="47" t="s">
        <v>4710</v>
      </c>
    </row>
    <row r="852" spans="1:33" ht="6.9" customHeight="1" x14ac:dyDescent="0.4">
      <c r="A852" s="4">
        <f>ROW()</f>
        <v>852</v>
      </c>
      <c r="B852" s="9" t="s">
        <v>27</v>
      </c>
      <c r="C852" s="55" t="str">
        <f t="shared" si="369"/>
        <v>p.funcionar</v>
      </c>
      <c r="D852" s="6" t="str">
        <f t="shared" si="371"/>
        <v>é.de.estudo</v>
      </c>
      <c r="E852" s="8" t="s">
        <v>28</v>
      </c>
      <c r="F852" s="42" t="str">
        <f t="shared" si="370"/>
        <v>d.funcionar</v>
      </c>
      <c r="G852" s="17" t="s">
        <v>705</v>
      </c>
      <c r="H852" s="42" t="s">
        <v>37</v>
      </c>
      <c r="I852" s="16" t="str">
        <f t="shared" si="365"/>
        <v>null</v>
      </c>
      <c r="J852" s="15" t="s">
        <v>0</v>
      </c>
      <c r="K852" s="15" t="s">
        <v>0</v>
      </c>
      <c r="L852" s="15" t="s">
        <v>0</v>
      </c>
      <c r="M852" s="15" t="s">
        <v>0</v>
      </c>
      <c r="N852" s="15" t="s">
        <v>0</v>
      </c>
      <c r="O852" s="15" t="s">
        <v>0</v>
      </c>
      <c r="P852" s="15" t="s">
        <v>0</v>
      </c>
      <c r="Q852" s="15" t="s">
        <v>0</v>
      </c>
      <c r="R852" s="15" t="s">
        <v>0</v>
      </c>
      <c r="S852" s="10" t="s">
        <v>1</v>
      </c>
      <c r="T852" s="10" t="s">
        <v>32</v>
      </c>
      <c r="U852" s="5" t="str">
        <f t="shared" si="358"/>
        <v>Propriedade destinada a funcionar: é.de.estudo</v>
      </c>
      <c r="V852" s="5" t="str">
        <f t="shared" si="359"/>
        <v>Dado para funcionar:  de.estudo  Deve ser formatado como (xsd:boolean)</v>
      </c>
      <c r="W852" s="5" t="s">
        <v>5657</v>
      </c>
      <c r="X852" s="24" t="str">
        <f t="shared" si="360"/>
        <v>funci.112</v>
      </c>
      <c r="Y852" s="24" t="str">
        <f t="shared" si="361"/>
        <v>Ação de funcionar</v>
      </c>
      <c r="Z852" s="47" t="s">
        <v>7967</v>
      </c>
      <c r="AA852" s="25" t="str">
        <f t="shared" si="366"/>
        <v>categoria.revit</v>
      </c>
      <c r="AB852" s="26" t="s">
        <v>3518</v>
      </c>
      <c r="AC852" s="25" t="str">
        <f t="shared" si="367"/>
        <v>classe.ifc</v>
      </c>
      <c r="AD852" s="26" t="s">
        <v>3469</v>
      </c>
      <c r="AE852" s="25" t="str">
        <f t="shared" si="368"/>
        <v>propriedade</v>
      </c>
      <c r="AF852" s="26" t="s">
        <v>2452</v>
      </c>
      <c r="AG852" s="47" t="s">
        <v>4792</v>
      </c>
    </row>
    <row r="853" spans="1:33" ht="6.9" customHeight="1" x14ac:dyDescent="0.4">
      <c r="A853" s="4">
        <f>ROW()</f>
        <v>853</v>
      </c>
      <c r="B853" s="9" t="s">
        <v>27</v>
      </c>
      <c r="C853" s="55" t="str">
        <f t="shared" si="369"/>
        <v>p.funcionar</v>
      </c>
      <c r="D853" s="6" t="str">
        <f t="shared" si="371"/>
        <v>é.de.exposição</v>
      </c>
      <c r="E853" s="8" t="s">
        <v>28</v>
      </c>
      <c r="F853" s="42" t="str">
        <f t="shared" si="370"/>
        <v>d.funcionar</v>
      </c>
      <c r="G853" s="17" t="s">
        <v>710</v>
      </c>
      <c r="H853" s="42" t="s">
        <v>37</v>
      </c>
      <c r="I853" s="16" t="str">
        <f t="shared" si="365"/>
        <v>null</v>
      </c>
      <c r="J853" s="15" t="s">
        <v>0</v>
      </c>
      <c r="K853" s="15" t="s">
        <v>0</v>
      </c>
      <c r="L853" s="15" t="s">
        <v>0</v>
      </c>
      <c r="M853" s="15" t="s">
        <v>0</v>
      </c>
      <c r="N853" s="15" t="s">
        <v>0</v>
      </c>
      <c r="O853" s="15" t="s">
        <v>0</v>
      </c>
      <c r="P853" s="15" t="s">
        <v>0</v>
      </c>
      <c r="Q853" s="15" t="s">
        <v>0</v>
      </c>
      <c r="R853" s="15" t="s">
        <v>0</v>
      </c>
      <c r="S853" s="10" t="s">
        <v>1</v>
      </c>
      <c r="T853" s="10" t="s">
        <v>32</v>
      </c>
      <c r="U853" s="5" t="str">
        <f t="shared" si="358"/>
        <v>Propriedade destinada a funcionar: é.de.exposição</v>
      </c>
      <c r="V853" s="5" t="str">
        <f t="shared" si="359"/>
        <v>Dado para funcionar:  de.exposição  Deve ser formatado como (xsd:boolean)</v>
      </c>
      <c r="W853" s="5" t="s">
        <v>5662</v>
      </c>
      <c r="X853" s="24" t="str">
        <f t="shared" si="360"/>
        <v>funci.113</v>
      </c>
      <c r="Y853" s="24" t="str">
        <f t="shared" si="361"/>
        <v>Ação de funcionar</v>
      </c>
      <c r="Z853" s="47" t="s">
        <v>7968</v>
      </c>
      <c r="AA853" s="25" t="str">
        <f t="shared" si="366"/>
        <v>categoria.revit</v>
      </c>
      <c r="AB853" s="26" t="s">
        <v>3518</v>
      </c>
      <c r="AC853" s="25" t="str">
        <f t="shared" si="367"/>
        <v>classe.ifc</v>
      </c>
      <c r="AD853" s="26" t="s">
        <v>3469</v>
      </c>
      <c r="AE853" s="25" t="str">
        <f t="shared" si="368"/>
        <v>propriedade</v>
      </c>
      <c r="AF853" s="26" t="s">
        <v>2452</v>
      </c>
      <c r="AG853" s="47" t="s">
        <v>4795</v>
      </c>
    </row>
    <row r="854" spans="1:33" ht="6.9" customHeight="1" x14ac:dyDescent="0.4">
      <c r="A854" s="4">
        <f>ROW()</f>
        <v>854</v>
      </c>
      <c r="B854" s="9" t="s">
        <v>27</v>
      </c>
      <c r="C854" s="55" t="str">
        <f t="shared" si="369"/>
        <v>p.funcionar</v>
      </c>
      <c r="D854" s="6" t="str">
        <f t="shared" si="371"/>
        <v>é.de.fabricação</v>
      </c>
      <c r="E854" s="8" t="s">
        <v>28</v>
      </c>
      <c r="F854" s="42" t="str">
        <f t="shared" si="370"/>
        <v>d.funcionar</v>
      </c>
      <c r="G854" s="17" t="s">
        <v>712</v>
      </c>
      <c r="H854" s="42" t="s">
        <v>37</v>
      </c>
      <c r="I854" s="16" t="str">
        <f t="shared" si="365"/>
        <v>null</v>
      </c>
      <c r="J854" s="15" t="s">
        <v>0</v>
      </c>
      <c r="K854" s="15" t="s">
        <v>0</v>
      </c>
      <c r="L854" s="15" t="s">
        <v>0</v>
      </c>
      <c r="M854" s="15" t="s">
        <v>0</v>
      </c>
      <c r="N854" s="15" t="s">
        <v>0</v>
      </c>
      <c r="O854" s="15" t="s">
        <v>0</v>
      </c>
      <c r="P854" s="15" t="s">
        <v>0</v>
      </c>
      <c r="Q854" s="15" t="s">
        <v>0</v>
      </c>
      <c r="R854" s="15" t="s">
        <v>0</v>
      </c>
      <c r="S854" s="10" t="s">
        <v>1</v>
      </c>
      <c r="T854" s="10" t="s">
        <v>32</v>
      </c>
      <c r="U854" s="5" t="str">
        <f t="shared" si="358"/>
        <v>Propriedade destinada a funcionar: é.de.fabricação</v>
      </c>
      <c r="V854" s="5" t="str">
        <f t="shared" si="359"/>
        <v>Dado para funcionar:  de.fabricação  Deve ser formatado como (xsd:boolean)</v>
      </c>
      <c r="W854" s="5" t="s">
        <v>5664</v>
      </c>
      <c r="X854" s="24" t="str">
        <f t="shared" si="360"/>
        <v>funci.114</v>
      </c>
      <c r="Y854" s="24" t="str">
        <f t="shared" si="361"/>
        <v>Ação de funcionar</v>
      </c>
      <c r="Z854" s="47" t="s">
        <v>1477</v>
      </c>
      <c r="AA854" s="25" t="str">
        <f t="shared" si="366"/>
        <v>categoria.revit</v>
      </c>
      <c r="AB854" s="26" t="s">
        <v>3518</v>
      </c>
      <c r="AC854" s="25" t="str">
        <f t="shared" si="367"/>
        <v>classe.ifc</v>
      </c>
      <c r="AD854" s="26" t="s">
        <v>3469</v>
      </c>
      <c r="AE854" s="25" t="str">
        <f t="shared" si="368"/>
        <v>propriedade</v>
      </c>
      <c r="AF854" s="26" t="s">
        <v>2452</v>
      </c>
      <c r="AG854" s="47" t="s">
        <v>4714</v>
      </c>
    </row>
    <row r="855" spans="1:33" ht="6.9" customHeight="1" x14ac:dyDescent="0.4">
      <c r="A855" s="4">
        <f>ROW()</f>
        <v>855</v>
      </c>
      <c r="B855" s="9" t="s">
        <v>27</v>
      </c>
      <c r="C855" s="55" t="str">
        <f t="shared" si="369"/>
        <v>p.funcionar</v>
      </c>
      <c r="D855" s="6" t="str">
        <f t="shared" si="371"/>
        <v>é.de.guarda</v>
      </c>
      <c r="E855" s="8" t="s">
        <v>28</v>
      </c>
      <c r="F855" s="42" t="str">
        <f t="shared" si="370"/>
        <v>d.funcionar</v>
      </c>
      <c r="G855" s="17" t="s">
        <v>698</v>
      </c>
      <c r="H855" s="42" t="s">
        <v>37</v>
      </c>
      <c r="I855" s="16" t="str">
        <f t="shared" si="365"/>
        <v>null</v>
      </c>
      <c r="J855" s="15" t="s">
        <v>0</v>
      </c>
      <c r="K855" s="15" t="s">
        <v>0</v>
      </c>
      <c r="L855" s="15" t="s">
        <v>0</v>
      </c>
      <c r="M855" s="15" t="s">
        <v>0</v>
      </c>
      <c r="N855" s="15" t="s">
        <v>0</v>
      </c>
      <c r="O855" s="15" t="s">
        <v>0</v>
      </c>
      <c r="P855" s="15" t="s">
        <v>0</v>
      </c>
      <c r="Q855" s="15" t="s">
        <v>0</v>
      </c>
      <c r="R855" s="15" t="s">
        <v>0</v>
      </c>
      <c r="S855" s="10" t="s">
        <v>1</v>
      </c>
      <c r="T855" s="10" t="s">
        <v>32</v>
      </c>
      <c r="U855" s="5" t="str">
        <f t="shared" si="358"/>
        <v>Propriedade destinada a funcionar: é.de.guarda</v>
      </c>
      <c r="V855" s="5" t="str">
        <f t="shared" si="359"/>
        <v>Dado para funcionar:  de.guarda  Deve ser formatado como (xsd:boolean)</v>
      </c>
      <c r="W855" s="5" t="s">
        <v>5650</v>
      </c>
      <c r="X855" s="24" t="str">
        <f t="shared" si="360"/>
        <v>funci.115</v>
      </c>
      <c r="Y855" s="24" t="str">
        <f t="shared" si="361"/>
        <v>Ação de funcionar</v>
      </c>
      <c r="Z855" s="47" t="s">
        <v>4601</v>
      </c>
      <c r="AA855" s="25" t="str">
        <f t="shared" si="366"/>
        <v>categoria.revit</v>
      </c>
      <c r="AB855" s="26" t="s">
        <v>3518</v>
      </c>
      <c r="AC855" s="25" t="str">
        <f t="shared" si="367"/>
        <v>classe.ifc</v>
      </c>
      <c r="AD855" s="26" t="s">
        <v>3469</v>
      </c>
      <c r="AE855" s="25" t="str">
        <f t="shared" si="368"/>
        <v>propriedade</v>
      </c>
      <c r="AF855" s="26" t="s">
        <v>2452</v>
      </c>
      <c r="AG855" s="47" t="s">
        <v>4790</v>
      </c>
    </row>
    <row r="856" spans="1:33" ht="6.9" customHeight="1" x14ac:dyDescent="0.4">
      <c r="A856" s="4">
        <f>ROW()</f>
        <v>856</v>
      </c>
      <c r="B856" s="9" t="s">
        <v>27</v>
      </c>
      <c r="C856" s="55" t="str">
        <f t="shared" si="369"/>
        <v>p.funcionar</v>
      </c>
      <c r="D856" s="6" t="str">
        <f t="shared" si="371"/>
        <v>é.de.habitação</v>
      </c>
      <c r="E856" s="8" t="s">
        <v>28</v>
      </c>
      <c r="F856" s="42" t="str">
        <f t="shared" si="370"/>
        <v>d.funcionar</v>
      </c>
      <c r="G856" s="17" t="s">
        <v>700</v>
      </c>
      <c r="H856" s="42" t="s">
        <v>37</v>
      </c>
      <c r="I856" s="16" t="str">
        <f t="shared" si="365"/>
        <v>null</v>
      </c>
      <c r="J856" s="15" t="s">
        <v>0</v>
      </c>
      <c r="K856" s="15" t="s">
        <v>0</v>
      </c>
      <c r="L856" s="15" t="s">
        <v>0</v>
      </c>
      <c r="M856" s="15" t="s">
        <v>0</v>
      </c>
      <c r="N856" s="15" t="s">
        <v>0</v>
      </c>
      <c r="O856" s="15" t="s">
        <v>0</v>
      </c>
      <c r="P856" s="15" t="s">
        <v>0</v>
      </c>
      <c r="Q856" s="15" t="s">
        <v>0</v>
      </c>
      <c r="R856" s="15" t="s">
        <v>0</v>
      </c>
      <c r="S856" s="10" t="s">
        <v>1</v>
      </c>
      <c r="T856" s="10" t="s">
        <v>32</v>
      </c>
      <c r="U856" s="5" t="str">
        <f t="shared" si="358"/>
        <v>Propriedade destinada a funcionar: é.de.habitação</v>
      </c>
      <c r="V856" s="5" t="str">
        <f t="shared" si="359"/>
        <v>Dado para funcionar:  de.habitação  Deve ser formatado como (xsd:boolean)</v>
      </c>
      <c r="W856" s="5" t="s">
        <v>5652</v>
      </c>
      <c r="X856" s="24" t="str">
        <f t="shared" si="360"/>
        <v>funci.116</v>
      </c>
      <c r="Y856" s="24" t="str">
        <f t="shared" si="361"/>
        <v>Ação de funcionar</v>
      </c>
      <c r="Z856" s="47" t="s">
        <v>1469</v>
      </c>
      <c r="AA856" s="25" t="str">
        <f t="shared" si="366"/>
        <v>categoria.revit</v>
      </c>
      <c r="AB856" s="26" t="s">
        <v>3518</v>
      </c>
      <c r="AC856" s="25" t="str">
        <f t="shared" si="367"/>
        <v>classe.ifc</v>
      </c>
      <c r="AD856" s="26" t="s">
        <v>3469</v>
      </c>
      <c r="AE856" s="25" t="str">
        <f t="shared" si="368"/>
        <v>propriedade</v>
      </c>
      <c r="AF856" s="26" t="s">
        <v>2452</v>
      </c>
      <c r="AG856" s="47" t="s">
        <v>4708</v>
      </c>
    </row>
    <row r="857" spans="1:33" ht="6.9" customHeight="1" x14ac:dyDescent="0.4">
      <c r="A857" s="4">
        <f>ROW()</f>
        <v>857</v>
      </c>
      <c r="B857" s="9" t="s">
        <v>27</v>
      </c>
      <c r="C857" s="55" t="str">
        <f t="shared" si="369"/>
        <v>p.funcionar</v>
      </c>
      <c r="D857" s="6" t="str">
        <f t="shared" si="371"/>
        <v>é.de.higiene</v>
      </c>
      <c r="E857" s="8" t="s">
        <v>28</v>
      </c>
      <c r="F857" s="42" t="str">
        <f t="shared" si="370"/>
        <v>d.funcionar</v>
      </c>
      <c r="G857" s="17" t="s">
        <v>699</v>
      </c>
      <c r="H857" s="42" t="s">
        <v>37</v>
      </c>
      <c r="I857" s="16" t="str">
        <f t="shared" si="365"/>
        <v>null</v>
      </c>
      <c r="J857" s="15" t="s">
        <v>0</v>
      </c>
      <c r="K857" s="15" t="s">
        <v>0</v>
      </c>
      <c r="L857" s="15" t="s">
        <v>0</v>
      </c>
      <c r="M857" s="15" t="s">
        <v>0</v>
      </c>
      <c r="N857" s="15" t="s">
        <v>0</v>
      </c>
      <c r="O857" s="15" t="s">
        <v>0</v>
      </c>
      <c r="P857" s="15" t="s">
        <v>0</v>
      </c>
      <c r="Q857" s="15" t="s">
        <v>0</v>
      </c>
      <c r="R857" s="15" t="s">
        <v>0</v>
      </c>
      <c r="S857" s="10" t="s">
        <v>1</v>
      </c>
      <c r="T857" s="10" t="s">
        <v>32</v>
      </c>
      <c r="U857" s="5" t="str">
        <f t="shared" si="358"/>
        <v>Propriedade destinada a funcionar: é.de.higiene</v>
      </c>
      <c r="V857" s="5" t="str">
        <f t="shared" si="359"/>
        <v>Dado para funcionar:  de.higiene  Deve ser formatado como (xsd:boolean)</v>
      </c>
      <c r="W857" s="5" t="s">
        <v>5651</v>
      </c>
      <c r="X857" s="24" t="str">
        <f t="shared" si="360"/>
        <v>funci.117</v>
      </c>
      <c r="Y857" s="24" t="str">
        <f t="shared" si="361"/>
        <v>Ação de funcionar</v>
      </c>
      <c r="Z857" s="47" t="s">
        <v>1468</v>
      </c>
      <c r="AA857" s="25" t="str">
        <f t="shared" si="366"/>
        <v>categoria.revit</v>
      </c>
      <c r="AB857" s="26" t="s">
        <v>3518</v>
      </c>
      <c r="AC857" s="25" t="str">
        <f t="shared" si="367"/>
        <v>classe.ifc</v>
      </c>
      <c r="AD857" s="26" t="s">
        <v>3469</v>
      </c>
      <c r="AE857" s="25" t="str">
        <f t="shared" si="368"/>
        <v>propriedade</v>
      </c>
      <c r="AF857" s="26" t="s">
        <v>2452</v>
      </c>
      <c r="AG857" s="47" t="s">
        <v>4707</v>
      </c>
    </row>
    <row r="858" spans="1:33" ht="6.9" customHeight="1" x14ac:dyDescent="0.4">
      <c r="A858" s="4">
        <f>ROW()</f>
        <v>858</v>
      </c>
      <c r="B858" s="9" t="s">
        <v>27</v>
      </c>
      <c r="C858" s="55" t="str">
        <f t="shared" si="369"/>
        <v>p.funcionar</v>
      </c>
      <c r="D858" s="6" t="str">
        <f t="shared" si="371"/>
        <v>é.de.lazer</v>
      </c>
      <c r="E858" s="8" t="s">
        <v>28</v>
      </c>
      <c r="F858" s="42" t="str">
        <f t="shared" si="370"/>
        <v>d.funcionar</v>
      </c>
      <c r="G858" s="17" t="s">
        <v>702</v>
      </c>
      <c r="H858" s="42" t="s">
        <v>37</v>
      </c>
      <c r="I858" s="16" t="str">
        <f t="shared" si="365"/>
        <v>null</v>
      </c>
      <c r="J858" s="15" t="s">
        <v>0</v>
      </c>
      <c r="K858" s="15" t="s">
        <v>0</v>
      </c>
      <c r="L858" s="15" t="s">
        <v>0</v>
      </c>
      <c r="M858" s="15" t="s">
        <v>0</v>
      </c>
      <c r="N858" s="15" t="s">
        <v>0</v>
      </c>
      <c r="O858" s="15" t="s">
        <v>0</v>
      </c>
      <c r="P858" s="15" t="s">
        <v>0</v>
      </c>
      <c r="Q858" s="15" t="s">
        <v>0</v>
      </c>
      <c r="R858" s="15" t="s">
        <v>0</v>
      </c>
      <c r="S858" s="10" t="s">
        <v>1</v>
      </c>
      <c r="T858" s="10" t="s">
        <v>32</v>
      </c>
      <c r="U858" s="5" t="str">
        <f t="shared" si="358"/>
        <v>Propriedade destinada a funcionar: é.de.lazer</v>
      </c>
      <c r="V858" s="5" t="str">
        <f t="shared" si="359"/>
        <v>Dado para funcionar:  de.lazer  Deve ser formatado como (xsd:boolean)</v>
      </c>
      <c r="W858" s="5" t="s">
        <v>5654</v>
      </c>
      <c r="X858" s="24" t="str">
        <f t="shared" si="360"/>
        <v>funci.118</v>
      </c>
      <c r="Y858" s="24" t="str">
        <f t="shared" si="361"/>
        <v>Ação de funcionar</v>
      </c>
      <c r="Z858" s="47" t="s">
        <v>1471</v>
      </c>
      <c r="AA858" s="25" t="str">
        <f t="shared" si="366"/>
        <v>categoria.revit</v>
      </c>
      <c r="AB858" s="26" t="s">
        <v>3518</v>
      </c>
      <c r="AC858" s="25" t="str">
        <f t="shared" si="367"/>
        <v>classe.ifc</v>
      </c>
      <c r="AD858" s="26" t="s">
        <v>3469</v>
      </c>
      <c r="AE858" s="25" t="str">
        <f t="shared" si="368"/>
        <v>propriedade</v>
      </c>
      <c r="AF858" s="26" t="s">
        <v>2452</v>
      </c>
      <c r="AG858" s="47" t="s">
        <v>4709</v>
      </c>
    </row>
    <row r="859" spans="1:33" ht="6.9" customHeight="1" x14ac:dyDescent="0.4">
      <c r="A859" s="4">
        <f>ROW()</f>
        <v>859</v>
      </c>
      <c r="B859" s="9" t="s">
        <v>27</v>
      </c>
      <c r="C859" s="55" t="str">
        <f t="shared" si="369"/>
        <v>p.funcionar</v>
      </c>
      <c r="D859" s="6" t="str">
        <f t="shared" si="371"/>
        <v>é.de.permanência.prolongada</v>
      </c>
      <c r="E859" s="8" t="s">
        <v>28</v>
      </c>
      <c r="F859" s="42" t="str">
        <f t="shared" si="370"/>
        <v>d.funcionar</v>
      </c>
      <c r="G859" s="17" t="s">
        <v>696</v>
      </c>
      <c r="H859" s="42" t="s">
        <v>37</v>
      </c>
      <c r="I859" s="16" t="str">
        <f t="shared" si="365"/>
        <v>null</v>
      </c>
      <c r="J859" s="15" t="s">
        <v>0</v>
      </c>
      <c r="K859" s="15" t="s">
        <v>0</v>
      </c>
      <c r="L859" s="15" t="s">
        <v>0</v>
      </c>
      <c r="M859" s="15" t="s">
        <v>0</v>
      </c>
      <c r="N859" s="15" t="s">
        <v>0</v>
      </c>
      <c r="O859" s="15" t="s">
        <v>0</v>
      </c>
      <c r="P859" s="15" t="s">
        <v>0</v>
      </c>
      <c r="Q859" s="15" t="s">
        <v>0</v>
      </c>
      <c r="R859" s="15" t="s">
        <v>0</v>
      </c>
      <c r="S859" s="10" t="s">
        <v>1</v>
      </c>
      <c r="T859" s="10" t="s">
        <v>32</v>
      </c>
      <c r="U859" s="5" t="str">
        <f t="shared" si="358"/>
        <v>Propriedade destinada a funcionar: é.de.permanência.prolongada</v>
      </c>
      <c r="V859" s="5" t="str">
        <f t="shared" si="359"/>
        <v>Dado para funcionar:  de.permanência.prolongada  Deve ser formatado como (xsd:boolean)</v>
      </c>
      <c r="W859" s="5" t="s">
        <v>7962</v>
      </c>
      <c r="X859" s="24" t="str">
        <f t="shared" si="360"/>
        <v>funci.119</v>
      </c>
      <c r="Y859" s="24" t="str">
        <f t="shared" si="361"/>
        <v>Ação de funcionar</v>
      </c>
      <c r="Z859" s="47" t="s">
        <v>7963</v>
      </c>
      <c r="AA859" s="25" t="str">
        <f t="shared" si="366"/>
        <v>categoria.revit</v>
      </c>
      <c r="AB859" s="26" t="s">
        <v>3518</v>
      </c>
      <c r="AC859" s="25" t="str">
        <f t="shared" si="367"/>
        <v>classe.ifc</v>
      </c>
      <c r="AD859" s="26" t="s">
        <v>3469</v>
      </c>
      <c r="AE859" s="25" t="str">
        <f t="shared" si="368"/>
        <v>propriedade</v>
      </c>
      <c r="AF859" s="26" t="s">
        <v>2452</v>
      </c>
      <c r="AG859" s="47" t="s">
        <v>7969</v>
      </c>
    </row>
    <row r="860" spans="1:33" ht="6.9" customHeight="1" x14ac:dyDescent="0.4">
      <c r="A860" s="4">
        <f>ROW()</f>
        <v>860</v>
      </c>
      <c r="B860" s="9" t="s">
        <v>27</v>
      </c>
      <c r="C860" s="55" t="str">
        <f t="shared" si="369"/>
        <v>p.funcionar</v>
      </c>
      <c r="D860" s="6" t="str">
        <f t="shared" si="371"/>
        <v>é.de.permanência.transitória</v>
      </c>
      <c r="E860" s="8" t="s">
        <v>28</v>
      </c>
      <c r="F860" s="42" t="str">
        <f t="shared" si="370"/>
        <v>d.funcionar</v>
      </c>
      <c r="G860" s="17" t="s">
        <v>697</v>
      </c>
      <c r="H860" s="42" t="s">
        <v>37</v>
      </c>
      <c r="I860" s="16" t="str">
        <f t="shared" si="365"/>
        <v>null</v>
      </c>
      <c r="J860" s="15" t="s">
        <v>0</v>
      </c>
      <c r="K860" s="15" t="s">
        <v>0</v>
      </c>
      <c r="L860" s="15" t="s">
        <v>0</v>
      </c>
      <c r="M860" s="15" t="s">
        <v>0</v>
      </c>
      <c r="N860" s="15" t="s">
        <v>0</v>
      </c>
      <c r="O860" s="15" t="s">
        <v>0</v>
      </c>
      <c r="P860" s="15" t="s">
        <v>0</v>
      </c>
      <c r="Q860" s="15" t="s">
        <v>0</v>
      </c>
      <c r="R860" s="15" t="s">
        <v>0</v>
      </c>
      <c r="S860" s="10" t="s">
        <v>1</v>
      </c>
      <c r="T860" s="10" t="s">
        <v>32</v>
      </c>
      <c r="U860" s="5" t="str">
        <f t="shared" si="358"/>
        <v>Propriedade destinada a funcionar: é.de.permanência.transitória</v>
      </c>
      <c r="V860" s="5" t="str">
        <f t="shared" si="359"/>
        <v>Dado para funcionar:  de.permanência.transitória  Deve ser formatado como (xsd:boolean)</v>
      </c>
      <c r="W860" s="5" t="s">
        <v>7961</v>
      </c>
      <c r="X860" s="24" t="str">
        <f t="shared" si="360"/>
        <v>funci.120</v>
      </c>
      <c r="Y860" s="24" t="str">
        <f t="shared" si="361"/>
        <v>Ação de funcionar</v>
      </c>
      <c r="Z860" s="47" t="s">
        <v>7964</v>
      </c>
      <c r="AA860" s="25" t="str">
        <f t="shared" si="366"/>
        <v>categoria.revit</v>
      </c>
      <c r="AB860" s="26" t="s">
        <v>3518</v>
      </c>
      <c r="AC860" s="25" t="str">
        <f t="shared" si="367"/>
        <v>classe.ifc</v>
      </c>
      <c r="AD860" s="26" t="s">
        <v>3469</v>
      </c>
      <c r="AE860" s="25" t="str">
        <f t="shared" si="368"/>
        <v>propriedade</v>
      </c>
      <c r="AF860" s="26" t="s">
        <v>2452</v>
      </c>
      <c r="AG860" s="47" t="s">
        <v>7970</v>
      </c>
    </row>
    <row r="861" spans="1:33" ht="6.9" customHeight="1" x14ac:dyDescent="0.4">
      <c r="A861" s="4">
        <f>ROW()</f>
        <v>861</v>
      </c>
      <c r="B861" s="9" t="s">
        <v>27</v>
      </c>
      <c r="C861" s="55" t="str">
        <f t="shared" si="369"/>
        <v>p.funcionar</v>
      </c>
      <c r="D861" s="6" t="str">
        <f t="shared" si="371"/>
        <v>é.de.pesquisa</v>
      </c>
      <c r="E861" s="8" t="s">
        <v>28</v>
      </c>
      <c r="F861" s="42" t="str">
        <f t="shared" si="370"/>
        <v>d.funcionar</v>
      </c>
      <c r="G861" s="17" t="s">
        <v>709</v>
      </c>
      <c r="H861" s="42" t="s">
        <v>37</v>
      </c>
      <c r="I861" s="16" t="str">
        <f t="shared" si="365"/>
        <v>null</v>
      </c>
      <c r="J861" s="15" t="s">
        <v>0</v>
      </c>
      <c r="K861" s="15" t="s">
        <v>0</v>
      </c>
      <c r="L861" s="15" t="s">
        <v>0</v>
      </c>
      <c r="M861" s="15" t="s">
        <v>0</v>
      </c>
      <c r="N861" s="15" t="s">
        <v>0</v>
      </c>
      <c r="O861" s="15" t="s">
        <v>0</v>
      </c>
      <c r="P861" s="15" t="s">
        <v>0</v>
      </c>
      <c r="Q861" s="15" t="s">
        <v>0</v>
      </c>
      <c r="R861" s="15" t="s">
        <v>0</v>
      </c>
      <c r="S861" s="10" t="s">
        <v>1</v>
      </c>
      <c r="T861" s="10" t="s">
        <v>32</v>
      </c>
      <c r="U861" s="5" t="str">
        <f t="shared" si="358"/>
        <v>Propriedade destinada a funcionar: é.de.pesquisa</v>
      </c>
      <c r="V861" s="5" t="str">
        <f t="shared" si="359"/>
        <v>Dado para funcionar:  de.pesquisa  Deve ser formatado como (xsd:boolean)</v>
      </c>
      <c r="W861" s="5" t="s">
        <v>7953</v>
      </c>
      <c r="X861" s="24" t="str">
        <f t="shared" si="360"/>
        <v>funci.121</v>
      </c>
      <c r="Y861" s="24" t="str">
        <f t="shared" si="361"/>
        <v>Ação de funcionar</v>
      </c>
      <c r="Z861" s="47" t="s">
        <v>1475</v>
      </c>
      <c r="AA861" s="25" t="str">
        <f t="shared" si="366"/>
        <v>categoria.revit</v>
      </c>
      <c r="AB861" s="26" t="s">
        <v>3518</v>
      </c>
      <c r="AC861" s="25" t="str">
        <f t="shared" si="367"/>
        <v>classe.ifc</v>
      </c>
      <c r="AD861" s="26" t="s">
        <v>3469</v>
      </c>
      <c r="AE861" s="25" t="str">
        <f t="shared" si="368"/>
        <v>propriedade</v>
      </c>
      <c r="AF861" s="26" t="s">
        <v>2452</v>
      </c>
      <c r="AG861" s="47" t="s">
        <v>4712</v>
      </c>
    </row>
    <row r="862" spans="1:33" ht="6.9" customHeight="1" x14ac:dyDescent="0.4">
      <c r="A862" s="4">
        <f>ROW()</f>
        <v>862</v>
      </c>
      <c r="B862" s="9" t="s">
        <v>27</v>
      </c>
      <c r="C862" s="55" t="str">
        <f t="shared" si="369"/>
        <v>p.funcionar</v>
      </c>
      <c r="D862" s="6" t="str">
        <f t="shared" si="371"/>
        <v>é.de.recepção</v>
      </c>
      <c r="E862" s="8" t="s">
        <v>28</v>
      </c>
      <c r="F862" s="42" t="str">
        <f t="shared" si="370"/>
        <v>d.funcionar</v>
      </c>
      <c r="G862" s="17" t="s">
        <v>694</v>
      </c>
      <c r="H862" s="42" t="s">
        <v>37</v>
      </c>
      <c r="I862" s="16" t="str">
        <f t="shared" si="365"/>
        <v>null</v>
      </c>
      <c r="J862" s="15" t="s">
        <v>0</v>
      </c>
      <c r="K862" s="15" t="s">
        <v>0</v>
      </c>
      <c r="L862" s="15" t="s">
        <v>0</v>
      </c>
      <c r="M862" s="15" t="s">
        <v>0</v>
      </c>
      <c r="N862" s="15" t="s">
        <v>0</v>
      </c>
      <c r="O862" s="15" t="s">
        <v>0</v>
      </c>
      <c r="P862" s="15" t="s">
        <v>0</v>
      </c>
      <c r="Q862" s="15" t="s">
        <v>0</v>
      </c>
      <c r="R862" s="15" t="s">
        <v>0</v>
      </c>
      <c r="S862" s="10" t="s">
        <v>1</v>
      </c>
      <c r="T862" s="10" t="s">
        <v>32</v>
      </c>
      <c r="U862" s="5" t="str">
        <f t="shared" si="358"/>
        <v>Propriedade destinada a funcionar: é.de.recepção</v>
      </c>
      <c r="V862" s="5" t="str">
        <f t="shared" si="359"/>
        <v>Dado para funcionar:  de.recepção  Deve ser formatado como (xsd:boolean)</v>
      </c>
      <c r="W862" s="5" t="s">
        <v>5648</v>
      </c>
      <c r="X862" s="24" t="str">
        <f t="shared" si="360"/>
        <v>funci.122</v>
      </c>
      <c r="Y862" s="24" t="str">
        <f t="shared" si="361"/>
        <v>Ação de funcionar</v>
      </c>
      <c r="Z862" s="47" t="s">
        <v>1466</v>
      </c>
      <c r="AA862" s="25" t="str">
        <f t="shared" si="366"/>
        <v>categoria.revit</v>
      </c>
      <c r="AB862" s="26" t="s">
        <v>3518</v>
      </c>
      <c r="AC862" s="25" t="str">
        <f t="shared" si="367"/>
        <v>classe.ifc</v>
      </c>
      <c r="AD862" s="26" t="s">
        <v>3469</v>
      </c>
      <c r="AE862" s="25" t="str">
        <f t="shared" si="368"/>
        <v>propriedade</v>
      </c>
      <c r="AF862" s="26" t="s">
        <v>2452</v>
      </c>
      <c r="AG862" s="47" t="s">
        <v>4705</v>
      </c>
    </row>
    <row r="863" spans="1:33" ht="6.9" customHeight="1" x14ac:dyDescent="0.4">
      <c r="A863" s="4">
        <f>ROW()</f>
        <v>863</v>
      </c>
      <c r="B863" s="9" t="s">
        <v>27</v>
      </c>
      <c r="C863" s="55" t="str">
        <f t="shared" si="369"/>
        <v>p.funcionar</v>
      </c>
      <c r="D863" s="6" t="str">
        <f t="shared" si="371"/>
        <v>é.de.serviço</v>
      </c>
      <c r="E863" s="8" t="s">
        <v>28</v>
      </c>
      <c r="F863" s="42" t="str">
        <f t="shared" si="370"/>
        <v>d.funcionar</v>
      </c>
      <c r="G863" s="17" t="s">
        <v>695</v>
      </c>
      <c r="H863" s="42" t="s">
        <v>37</v>
      </c>
      <c r="I863" s="16" t="str">
        <f t="shared" si="365"/>
        <v>null</v>
      </c>
      <c r="J863" s="15" t="s">
        <v>0</v>
      </c>
      <c r="K863" s="15" t="s">
        <v>0</v>
      </c>
      <c r="L863" s="15" t="s">
        <v>0</v>
      </c>
      <c r="M863" s="15" t="s">
        <v>0</v>
      </c>
      <c r="N863" s="15" t="s">
        <v>0</v>
      </c>
      <c r="O863" s="15" t="s">
        <v>0</v>
      </c>
      <c r="P863" s="15" t="s">
        <v>0</v>
      </c>
      <c r="Q863" s="15" t="s">
        <v>0</v>
      </c>
      <c r="R863" s="15" t="s">
        <v>0</v>
      </c>
      <c r="S863" s="10" t="s">
        <v>1</v>
      </c>
      <c r="T863" s="10" t="s">
        <v>32</v>
      </c>
      <c r="U863" s="5" t="str">
        <f t="shared" si="358"/>
        <v>Propriedade destinada a funcionar: é.de.serviço</v>
      </c>
      <c r="V863" s="5" t="str">
        <f t="shared" si="359"/>
        <v>Dado para funcionar:  de.serviço  Deve ser formatado como (xsd:boolean)</v>
      </c>
      <c r="W863" s="5" t="s">
        <v>5649</v>
      </c>
      <c r="X863" s="24" t="str">
        <f t="shared" si="360"/>
        <v>funci.123</v>
      </c>
      <c r="Y863" s="24" t="str">
        <f t="shared" si="361"/>
        <v>Ação de funcionar</v>
      </c>
      <c r="Z863" s="47" t="s">
        <v>1467</v>
      </c>
      <c r="AA863" s="25" t="str">
        <f t="shared" si="366"/>
        <v>categoria.revit</v>
      </c>
      <c r="AB863" s="26" t="s">
        <v>3518</v>
      </c>
      <c r="AC863" s="25" t="str">
        <f t="shared" si="367"/>
        <v>classe.ifc</v>
      </c>
      <c r="AD863" s="26" t="s">
        <v>3469</v>
      </c>
      <c r="AE863" s="25" t="str">
        <f t="shared" si="368"/>
        <v>propriedade</v>
      </c>
      <c r="AF863" s="26" t="s">
        <v>2452</v>
      </c>
      <c r="AG863" s="47" t="s">
        <v>4706</v>
      </c>
    </row>
    <row r="864" spans="1:33" ht="6.9" customHeight="1" x14ac:dyDescent="0.4">
      <c r="A864" s="4">
        <f>ROW()</f>
        <v>864</v>
      </c>
      <c r="B864" s="9" t="s">
        <v>27</v>
      </c>
      <c r="C864" s="55" t="str">
        <f t="shared" si="369"/>
        <v>p.funcionar</v>
      </c>
      <c r="D864" s="6" t="str">
        <f t="shared" si="371"/>
        <v>é.de.trabalho</v>
      </c>
      <c r="E864" s="8" t="s">
        <v>28</v>
      </c>
      <c r="F864" s="42" t="str">
        <f t="shared" si="370"/>
        <v>d.funcionar</v>
      </c>
      <c r="G864" s="17" t="s">
        <v>708</v>
      </c>
      <c r="H864" s="42" t="s">
        <v>37</v>
      </c>
      <c r="I864" s="16" t="str">
        <f t="shared" si="365"/>
        <v>null</v>
      </c>
      <c r="J864" s="15" t="s">
        <v>0</v>
      </c>
      <c r="K864" s="15" t="s">
        <v>0</v>
      </c>
      <c r="L864" s="15" t="s">
        <v>0</v>
      </c>
      <c r="M864" s="15" t="s">
        <v>0</v>
      </c>
      <c r="N864" s="15" t="s">
        <v>0</v>
      </c>
      <c r="O864" s="15" t="s">
        <v>0</v>
      </c>
      <c r="P864" s="15" t="s">
        <v>0</v>
      </c>
      <c r="Q864" s="15" t="s">
        <v>0</v>
      </c>
      <c r="R864" s="15" t="s">
        <v>0</v>
      </c>
      <c r="S864" s="10" t="s">
        <v>1</v>
      </c>
      <c r="T864" s="10" t="s">
        <v>32</v>
      </c>
      <c r="U864" s="5" t="str">
        <f t="shared" si="358"/>
        <v>Propriedade destinada a funcionar: é.de.trabalho</v>
      </c>
      <c r="V864" s="5" t="str">
        <f t="shared" si="359"/>
        <v>Dado para funcionar:  de.trabalho  Deve ser formatado como (xsd:boolean)</v>
      </c>
      <c r="W864" s="5" t="s">
        <v>5661</v>
      </c>
      <c r="X864" s="24" t="str">
        <f t="shared" si="360"/>
        <v>funci.124</v>
      </c>
      <c r="Y864" s="24" t="str">
        <f t="shared" si="361"/>
        <v>Ação de funcionar</v>
      </c>
      <c r="Z864" s="47" t="s">
        <v>1474</v>
      </c>
      <c r="AA864" s="25" t="str">
        <f t="shared" si="366"/>
        <v>categoria.revit</v>
      </c>
      <c r="AB864" s="26" t="s">
        <v>3518</v>
      </c>
      <c r="AC864" s="25" t="str">
        <f t="shared" si="367"/>
        <v>classe.ifc</v>
      </c>
      <c r="AD864" s="26" t="s">
        <v>3469</v>
      </c>
      <c r="AE864" s="25" t="str">
        <f t="shared" si="368"/>
        <v>propriedade</v>
      </c>
      <c r="AF864" s="26" t="s">
        <v>2452</v>
      </c>
      <c r="AG864" s="47" t="s">
        <v>4711</v>
      </c>
    </row>
    <row r="865" spans="1:33" ht="6.9" customHeight="1" x14ac:dyDescent="0.4">
      <c r="A865" s="4">
        <f>ROW()</f>
        <v>865</v>
      </c>
      <c r="B865" s="9" t="s">
        <v>27</v>
      </c>
      <c r="C865" s="55" t="str">
        <f t="shared" si="369"/>
        <v>p.funcionar</v>
      </c>
      <c r="D865" s="6" t="str">
        <f t="shared" si="371"/>
        <v>é.funcionamento</v>
      </c>
      <c r="E865" s="8" t="s">
        <v>28</v>
      </c>
      <c r="F865" s="42" t="str">
        <f t="shared" si="370"/>
        <v>d.funcionar</v>
      </c>
      <c r="G865" s="17" t="s">
        <v>1265</v>
      </c>
      <c r="H865" s="41" t="s">
        <v>2121</v>
      </c>
      <c r="I865" s="16" t="str">
        <f t="shared" si="365"/>
        <v>null</v>
      </c>
      <c r="J865" s="15" t="s">
        <v>0</v>
      </c>
      <c r="K865" s="15" t="s">
        <v>0</v>
      </c>
      <c r="L865" s="15" t="s">
        <v>0</v>
      </c>
      <c r="M865" s="15" t="s">
        <v>0</v>
      </c>
      <c r="N865" s="15" t="s">
        <v>0</v>
      </c>
      <c r="O865" s="15" t="s">
        <v>0</v>
      </c>
      <c r="P865" s="15" t="s">
        <v>0</v>
      </c>
      <c r="Q865" s="15" t="s">
        <v>0</v>
      </c>
      <c r="R865" s="15" t="s">
        <v>3899</v>
      </c>
      <c r="S865" s="10" t="s">
        <v>1</v>
      </c>
      <c r="T865" s="10" t="s">
        <v>32</v>
      </c>
      <c r="U865" s="5" t="str">
        <f t="shared" si="358"/>
        <v>Propriedade destinada a funcionar: é.funcionamento</v>
      </c>
      <c r="V865" s="5" t="str">
        <f t="shared" si="359"/>
        <v>Dado para funcionar:  funcionamento  Deve ser formatado como (rdfs:Literal  or  xsd:string)</v>
      </c>
      <c r="W865" s="5" t="s">
        <v>5644</v>
      </c>
      <c r="X865" s="24" t="str">
        <f t="shared" si="360"/>
        <v>funci.125</v>
      </c>
      <c r="Y865" s="24" t="str">
        <f t="shared" si="361"/>
        <v>Ação de funcionar</v>
      </c>
      <c r="Z865" s="47" t="s">
        <v>3904</v>
      </c>
      <c r="AA865" s="25" t="str">
        <f t="shared" si="366"/>
        <v>null</v>
      </c>
      <c r="AB865" s="26" t="s">
        <v>0</v>
      </c>
      <c r="AC865" s="25" t="str">
        <f t="shared" si="367"/>
        <v>null</v>
      </c>
      <c r="AD865" s="26" t="s">
        <v>0</v>
      </c>
      <c r="AE865" s="25" t="str">
        <f t="shared" si="368"/>
        <v>null</v>
      </c>
      <c r="AF865" s="26" t="s">
        <v>0</v>
      </c>
      <c r="AG865" s="47" t="s">
        <v>4699</v>
      </c>
    </row>
    <row r="866" spans="1:33" ht="6.9" customHeight="1" x14ac:dyDescent="0.4">
      <c r="A866" s="4">
        <f>ROW()</f>
        <v>866</v>
      </c>
      <c r="B866" s="9" t="s">
        <v>27</v>
      </c>
      <c r="C866" s="55" t="str">
        <f t="shared" si="369"/>
        <v>p.funcionar</v>
      </c>
      <c r="D866" s="6" t="str">
        <f t="shared" si="371"/>
        <v>é.locatário</v>
      </c>
      <c r="E866" s="8" t="s">
        <v>28</v>
      </c>
      <c r="F866" s="42" t="str">
        <f t="shared" si="370"/>
        <v>d.funcionar</v>
      </c>
      <c r="G866" s="18" t="s">
        <v>3901</v>
      </c>
      <c r="H866" s="41" t="s">
        <v>2121</v>
      </c>
      <c r="I866" s="16" t="str">
        <f t="shared" si="365"/>
        <v>null</v>
      </c>
      <c r="J866" s="13" t="s">
        <v>0</v>
      </c>
      <c r="K866" s="13" t="s">
        <v>0</v>
      </c>
      <c r="L866" s="13" t="s">
        <v>0</v>
      </c>
      <c r="M866" s="13" t="s">
        <v>0</v>
      </c>
      <c r="N866" s="15" t="s">
        <v>0</v>
      </c>
      <c r="O866" s="13" t="s">
        <v>0</v>
      </c>
      <c r="P866" s="13" t="s">
        <v>0</v>
      </c>
      <c r="Q866" s="13" t="s">
        <v>0</v>
      </c>
      <c r="R866" s="15" t="s">
        <v>3899</v>
      </c>
      <c r="S866" s="10" t="s">
        <v>1</v>
      </c>
      <c r="T866" s="10" t="s">
        <v>32</v>
      </c>
      <c r="U866" s="5" t="str">
        <f t="shared" si="358"/>
        <v>Propriedade destinada a funcionar: é.locatário</v>
      </c>
      <c r="V866" s="5" t="str">
        <f t="shared" si="359"/>
        <v>Dado para funcionar:  locatário  Deve ser formatado como (rdfs:Literal  or  xsd:string)</v>
      </c>
      <c r="W866" s="5" t="s">
        <v>5645</v>
      </c>
      <c r="X866" s="24" t="str">
        <f t="shared" si="360"/>
        <v>funci.126</v>
      </c>
      <c r="Y866" s="24" t="str">
        <f t="shared" si="361"/>
        <v>Ação de funcionar</v>
      </c>
      <c r="Z866" s="47" t="s">
        <v>3905</v>
      </c>
      <c r="AA866" s="25" t="str">
        <f t="shared" si="366"/>
        <v>null</v>
      </c>
      <c r="AB866" s="26" t="s">
        <v>0</v>
      </c>
      <c r="AC866" s="25" t="str">
        <f t="shared" si="367"/>
        <v>null</v>
      </c>
      <c r="AD866" s="26" t="s">
        <v>0</v>
      </c>
      <c r="AE866" s="25" t="str">
        <f t="shared" si="368"/>
        <v>null</v>
      </c>
      <c r="AF866" s="26" t="s">
        <v>0</v>
      </c>
      <c r="AG866" s="47" t="s">
        <v>4700</v>
      </c>
    </row>
    <row r="867" spans="1:33" ht="6.9" customHeight="1" x14ac:dyDescent="0.4">
      <c r="A867" s="4">
        <f>ROW()</f>
        <v>867</v>
      </c>
      <c r="B867" s="9" t="s">
        <v>27</v>
      </c>
      <c r="C867" s="55" t="str">
        <f t="shared" si="369"/>
        <v>p.funcionar</v>
      </c>
      <c r="D867" s="6" t="str">
        <f t="shared" si="371"/>
        <v>é.morador</v>
      </c>
      <c r="E867" s="8" t="s">
        <v>28</v>
      </c>
      <c r="F867" s="42" t="str">
        <f t="shared" si="370"/>
        <v>d.funcionar</v>
      </c>
      <c r="G867" s="18" t="s">
        <v>3902</v>
      </c>
      <c r="H867" s="41" t="s">
        <v>2121</v>
      </c>
      <c r="I867" s="16" t="str">
        <f t="shared" si="365"/>
        <v>null</v>
      </c>
      <c r="J867" s="13" t="s">
        <v>0</v>
      </c>
      <c r="K867" s="13" t="s">
        <v>0</v>
      </c>
      <c r="L867" s="13" t="s">
        <v>0</v>
      </c>
      <c r="M867" s="13" t="s">
        <v>0</v>
      </c>
      <c r="N867" s="15" t="s">
        <v>0</v>
      </c>
      <c r="O867" s="13" t="s">
        <v>0</v>
      </c>
      <c r="P867" s="13" t="s">
        <v>0</v>
      </c>
      <c r="Q867" s="13" t="s">
        <v>0</v>
      </c>
      <c r="R867" s="15" t="s">
        <v>3899</v>
      </c>
      <c r="S867" s="10" t="s">
        <v>1</v>
      </c>
      <c r="T867" s="10" t="s">
        <v>32</v>
      </c>
      <c r="U867" s="5" t="str">
        <f t="shared" si="358"/>
        <v>Propriedade destinada a funcionar: é.morador</v>
      </c>
      <c r="V867" s="5" t="str">
        <f t="shared" si="359"/>
        <v>Dado para funcionar:  morador  Deve ser formatado como (rdfs:Literal  or  xsd:string)</v>
      </c>
      <c r="W867" s="5" t="s">
        <v>5646</v>
      </c>
      <c r="X867" s="24" t="str">
        <f t="shared" si="360"/>
        <v>funci.127</v>
      </c>
      <c r="Y867" s="24" t="str">
        <f t="shared" si="361"/>
        <v>Ação de funcionar</v>
      </c>
      <c r="Z867" s="47" t="s">
        <v>3906</v>
      </c>
      <c r="AA867" s="25" t="str">
        <f t="shared" si="366"/>
        <v>null</v>
      </c>
      <c r="AB867" s="26" t="s">
        <v>0</v>
      </c>
      <c r="AC867" s="25" t="str">
        <f t="shared" si="367"/>
        <v>null</v>
      </c>
      <c r="AD867" s="26" t="s">
        <v>0</v>
      </c>
      <c r="AE867" s="25" t="str">
        <f t="shared" si="368"/>
        <v>null</v>
      </c>
      <c r="AF867" s="26" t="s">
        <v>0</v>
      </c>
      <c r="AG867" s="47" t="s">
        <v>4701</v>
      </c>
    </row>
    <row r="868" spans="1:33" ht="6.9" customHeight="1" x14ac:dyDescent="0.4">
      <c r="A868" s="4">
        <f>ROW()</f>
        <v>868</v>
      </c>
      <c r="B868" s="9" t="s">
        <v>27</v>
      </c>
      <c r="C868" s="55" t="str">
        <f t="shared" si="369"/>
        <v>p.funcionar</v>
      </c>
      <c r="D868" s="6" t="str">
        <f t="shared" si="371"/>
        <v>é.ocupante</v>
      </c>
      <c r="E868" s="8" t="s">
        <v>28</v>
      </c>
      <c r="F868" s="42" t="str">
        <f t="shared" si="370"/>
        <v>d.funcionar</v>
      </c>
      <c r="G868" s="18" t="s">
        <v>140</v>
      </c>
      <c r="H868" s="41" t="s">
        <v>2121</v>
      </c>
      <c r="I868" s="16" t="str">
        <f t="shared" si="365"/>
        <v>null</v>
      </c>
      <c r="J868" s="13" t="s">
        <v>0</v>
      </c>
      <c r="K868" s="13" t="s">
        <v>0</v>
      </c>
      <c r="L868" s="13" t="s">
        <v>0</v>
      </c>
      <c r="M868" s="13" t="s">
        <v>0</v>
      </c>
      <c r="N868" s="15" t="s">
        <v>0</v>
      </c>
      <c r="O868" s="13" t="s">
        <v>0</v>
      </c>
      <c r="P868" s="13" t="s">
        <v>0</v>
      </c>
      <c r="Q868" s="13" t="s">
        <v>0</v>
      </c>
      <c r="R868" s="15" t="s">
        <v>3899</v>
      </c>
      <c r="S868" s="10" t="s">
        <v>1</v>
      </c>
      <c r="T868" s="10" t="s">
        <v>32</v>
      </c>
      <c r="U868" s="5" t="str">
        <f t="shared" si="358"/>
        <v>Propriedade destinada a funcionar: é.ocupante</v>
      </c>
      <c r="V868" s="5" t="str">
        <f t="shared" si="359"/>
        <v>Dado para funcionar:  ocupante  Deve ser formatado como (rdfs:Literal  or  xsd:string)</v>
      </c>
      <c r="W868" s="5" t="s">
        <v>5647</v>
      </c>
      <c r="X868" s="24" t="str">
        <f t="shared" si="360"/>
        <v>funci.128</v>
      </c>
      <c r="Y868" s="24" t="str">
        <f t="shared" si="361"/>
        <v>Ação de funcionar</v>
      </c>
      <c r="Z868" s="47" t="s">
        <v>3886</v>
      </c>
      <c r="AA868" s="25" t="str">
        <f t="shared" si="366"/>
        <v>null</v>
      </c>
      <c r="AB868" s="26" t="s">
        <v>0</v>
      </c>
      <c r="AC868" s="25" t="str">
        <f t="shared" si="367"/>
        <v>null</v>
      </c>
      <c r="AD868" s="26" t="s">
        <v>0</v>
      </c>
      <c r="AE868" s="25" t="str">
        <f t="shared" si="368"/>
        <v>null</v>
      </c>
      <c r="AF868" s="26" t="s">
        <v>0</v>
      </c>
      <c r="AG868" s="47" t="s">
        <v>4702</v>
      </c>
    </row>
    <row r="869" spans="1:33" ht="6.9" customHeight="1" x14ac:dyDescent="0.4">
      <c r="A869" s="4">
        <f>ROW()</f>
        <v>869</v>
      </c>
      <c r="B869" s="9" t="s">
        <v>27</v>
      </c>
      <c r="C869" s="55" t="str">
        <f t="shared" si="369"/>
        <v>p.funcionar</v>
      </c>
      <c r="D869" s="6" t="str">
        <f t="shared" si="371"/>
        <v>é.permissionário</v>
      </c>
      <c r="E869" s="8" t="s">
        <v>28</v>
      </c>
      <c r="F869" s="42" t="str">
        <f t="shared" si="370"/>
        <v>d.funcionar</v>
      </c>
      <c r="G869" s="18" t="s">
        <v>6949</v>
      </c>
      <c r="H869" s="41" t="s">
        <v>2121</v>
      </c>
      <c r="I869" s="16" t="str">
        <f t="shared" si="365"/>
        <v>null</v>
      </c>
      <c r="J869" s="13" t="s">
        <v>0</v>
      </c>
      <c r="K869" s="13" t="s">
        <v>0</v>
      </c>
      <c r="L869" s="13" t="s">
        <v>0</v>
      </c>
      <c r="M869" s="13" t="s">
        <v>0</v>
      </c>
      <c r="N869" s="15" t="s">
        <v>0</v>
      </c>
      <c r="O869" s="13" t="s">
        <v>0</v>
      </c>
      <c r="P869" s="13" t="s">
        <v>0</v>
      </c>
      <c r="Q869" s="13" t="s">
        <v>0</v>
      </c>
      <c r="R869" s="15" t="s">
        <v>3899</v>
      </c>
      <c r="S869" s="10" t="s">
        <v>1</v>
      </c>
      <c r="T869" s="10" t="s">
        <v>32</v>
      </c>
      <c r="U869" s="5" t="str">
        <f t="shared" si="358"/>
        <v>Propriedade destinada a funcionar: é.permissionário</v>
      </c>
      <c r="V869" s="5" t="str">
        <f t="shared" si="359"/>
        <v>Dado para funcionar:  permissionário  Deve ser formatado como (rdfs:Literal  or  xsd:string)</v>
      </c>
      <c r="W869" s="5" t="s">
        <v>6950</v>
      </c>
      <c r="X869" s="24" t="str">
        <f t="shared" si="360"/>
        <v>funci.129</v>
      </c>
      <c r="Y869" s="24" t="str">
        <f t="shared" si="361"/>
        <v>Ação de funcionar</v>
      </c>
      <c r="Z869" s="47" t="s">
        <v>3907</v>
      </c>
      <c r="AA869" s="25" t="str">
        <f t="shared" si="366"/>
        <v>null</v>
      </c>
      <c r="AB869" s="26" t="s">
        <v>0</v>
      </c>
      <c r="AC869" s="25" t="str">
        <f t="shared" si="367"/>
        <v>null</v>
      </c>
      <c r="AD869" s="26" t="s">
        <v>0</v>
      </c>
      <c r="AE869" s="25" t="str">
        <f t="shared" si="368"/>
        <v>null</v>
      </c>
      <c r="AF869" s="26" t="s">
        <v>0</v>
      </c>
      <c r="AG869" s="47" t="s">
        <v>4703</v>
      </c>
    </row>
    <row r="870" spans="1:33" ht="6.9" customHeight="1" x14ac:dyDescent="0.4">
      <c r="A870" s="4">
        <f>ROW()</f>
        <v>870</v>
      </c>
      <c r="B870" s="9" t="s">
        <v>27</v>
      </c>
      <c r="C870" s="55" t="str">
        <f t="shared" si="369"/>
        <v>p.funcionar</v>
      </c>
      <c r="D870" s="6" t="str">
        <f t="shared" si="371"/>
        <v>é.taxa.metabólica</v>
      </c>
      <c r="E870" s="8" t="s">
        <v>28</v>
      </c>
      <c r="F870" s="42" t="str">
        <f t="shared" si="370"/>
        <v>d.funcionar</v>
      </c>
      <c r="G870" s="17" t="s">
        <v>713</v>
      </c>
      <c r="H870" s="42" t="s">
        <v>36</v>
      </c>
      <c r="I870" s="16" t="str">
        <f t="shared" si="365"/>
        <v>null</v>
      </c>
      <c r="J870" s="15" t="s">
        <v>0</v>
      </c>
      <c r="K870" s="15" t="s">
        <v>0</v>
      </c>
      <c r="L870" s="15" t="s">
        <v>0</v>
      </c>
      <c r="M870" s="15" t="s">
        <v>0</v>
      </c>
      <c r="N870" s="15" t="s">
        <v>0</v>
      </c>
      <c r="O870" s="15" t="s">
        <v>0</v>
      </c>
      <c r="P870" s="15" t="s">
        <v>0</v>
      </c>
      <c r="Q870" s="15" t="s">
        <v>0</v>
      </c>
      <c r="R870" s="15" t="s">
        <v>0</v>
      </c>
      <c r="S870" s="10" t="s">
        <v>1</v>
      </c>
      <c r="T870" s="10" t="s">
        <v>32</v>
      </c>
      <c r="U870" s="5" t="str">
        <f t="shared" si="358"/>
        <v>Propriedade destinada a funcionar: é.taxa.metabólica</v>
      </c>
      <c r="V870" s="5" t="str">
        <f t="shared" si="359"/>
        <v>Dado para funcionar:  taxa.metabólica  Deve ser formatado como (xsd:double)</v>
      </c>
      <c r="W870" s="5" t="s">
        <v>7960</v>
      </c>
      <c r="X870" s="24" t="str">
        <f t="shared" si="360"/>
        <v>funci.130</v>
      </c>
      <c r="Y870" s="24" t="str">
        <f t="shared" si="361"/>
        <v>Ação de funcionar</v>
      </c>
      <c r="Z870" s="47" t="s">
        <v>7965</v>
      </c>
      <c r="AA870" s="25" t="str">
        <f t="shared" si="366"/>
        <v>categoria.revit</v>
      </c>
      <c r="AB870" s="26" t="s">
        <v>3518</v>
      </c>
      <c r="AC870" s="25" t="str">
        <f t="shared" si="367"/>
        <v>classe.ifc</v>
      </c>
      <c r="AD870" s="26" t="s">
        <v>3469</v>
      </c>
      <c r="AE870" s="25" t="str">
        <f t="shared" si="368"/>
        <v>propriedade</v>
      </c>
      <c r="AF870" s="26" t="s">
        <v>2452</v>
      </c>
      <c r="AG870" s="47" t="s">
        <v>7972</v>
      </c>
    </row>
    <row r="871" spans="1:33" ht="6.9" customHeight="1" x14ac:dyDescent="0.4">
      <c r="A871" s="4">
        <f>ROW()</f>
        <v>871</v>
      </c>
      <c r="B871" s="9" t="s">
        <v>27</v>
      </c>
      <c r="C871" s="55" t="str">
        <f t="shared" si="369"/>
        <v>p.funcionar</v>
      </c>
      <c r="D871" s="6" t="str">
        <f t="shared" si="371"/>
        <v>é.uso</v>
      </c>
      <c r="E871" s="8" t="s">
        <v>28</v>
      </c>
      <c r="F871" s="42" t="str">
        <f t="shared" si="370"/>
        <v>d.funcionar</v>
      </c>
      <c r="G871" s="17" t="s">
        <v>1264</v>
      </c>
      <c r="H871" s="41" t="s">
        <v>2121</v>
      </c>
      <c r="I871" s="16" t="str">
        <f t="shared" si="365"/>
        <v>null</v>
      </c>
      <c r="J871" s="15" t="s">
        <v>0</v>
      </c>
      <c r="K871" s="15" t="s">
        <v>0</v>
      </c>
      <c r="L871" s="15" t="s">
        <v>0</v>
      </c>
      <c r="M871" s="15" t="s">
        <v>0</v>
      </c>
      <c r="N871" s="15" t="s">
        <v>0</v>
      </c>
      <c r="O871" s="15" t="s">
        <v>0</v>
      </c>
      <c r="P871" s="15" t="s">
        <v>0</v>
      </c>
      <c r="Q871" s="15" t="s">
        <v>0</v>
      </c>
      <c r="R871" s="15" t="s">
        <v>3900</v>
      </c>
      <c r="S871" s="10" t="s">
        <v>1</v>
      </c>
      <c r="T871" s="10" t="s">
        <v>32</v>
      </c>
      <c r="U871" s="5" t="str">
        <f t="shared" si="358"/>
        <v>Propriedade destinada a funcionar: é.uso</v>
      </c>
      <c r="V871" s="5" t="str">
        <f t="shared" si="359"/>
        <v>Dado para funcionar:  uso  Deve ser formatado como (rdfs:Literal  or  xsd:string)</v>
      </c>
      <c r="W871" s="5" t="s">
        <v>7959</v>
      </c>
      <c r="X871" s="24" t="str">
        <f t="shared" si="360"/>
        <v>funci.131</v>
      </c>
      <c r="Y871" s="24" t="str">
        <f t="shared" si="361"/>
        <v>Ação de funcionar</v>
      </c>
      <c r="Z871" s="47" t="s">
        <v>3903</v>
      </c>
      <c r="AA871" s="25" t="str">
        <f t="shared" si="366"/>
        <v>null</v>
      </c>
      <c r="AB871" s="26" t="s">
        <v>0</v>
      </c>
      <c r="AC871" s="25" t="str">
        <f t="shared" si="367"/>
        <v>null</v>
      </c>
      <c r="AD871" s="26" t="s">
        <v>0</v>
      </c>
      <c r="AE871" s="25" t="str">
        <f t="shared" si="368"/>
        <v>null</v>
      </c>
      <c r="AF871" s="26" t="s">
        <v>0</v>
      </c>
      <c r="AG871" s="47" t="s">
        <v>7973</v>
      </c>
    </row>
    <row r="872" spans="1:33" ht="6.9" customHeight="1" x14ac:dyDescent="0.4">
      <c r="A872" s="4">
        <f>ROW()</f>
        <v>872</v>
      </c>
      <c r="B872" s="9" t="s">
        <v>27</v>
      </c>
      <c r="C872" s="55" t="str">
        <f t="shared" si="369"/>
        <v>p.funcionar</v>
      </c>
      <c r="D872" s="6" t="str">
        <f t="shared" si="371"/>
        <v>é.usuário</v>
      </c>
      <c r="E872" s="8" t="s">
        <v>28</v>
      </c>
      <c r="F872" s="42" t="str">
        <f t="shared" si="370"/>
        <v>d.funcionar</v>
      </c>
      <c r="G872" s="18" t="s">
        <v>141</v>
      </c>
      <c r="H872" s="41" t="s">
        <v>2121</v>
      </c>
      <c r="I872" s="16" t="str">
        <f t="shared" si="365"/>
        <v>null</v>
      </c>
      <c r="J872" s="13" t="s">
        <v>0</v>
      </c>
      <c r="K872" s="13" t="s">
        <v>0</v>
      </c>
      <c r="L872" s="13" t="s">
        <v>0</v>
      </c>
      <c r="M872" s="13" t="s">
        <v>0</v>
      </c>
      <c r="N872" s="15" t="s">
        <v>0</v>
      </c>
      <c r="O872" s="13" t="s">
        <v>0</v>
      </c>
      <c r="P872" s="13" t="s">
        <v>0</v>
      </c>
      <c r="Q872" s="13" t="s">
        <v>0</v>
      </c>
      <c r="R872" s="15" t="s">
        <v>3899</v>
      </c>
      <c r="S872" s="10" t="s">
        <v>1</v>
      </c>
      <c r="T872" s="10" t="s">
        <v>32</v>
      </c>
      <c r="U872" s="5" t="str">
        <f t="shared" si="358"/>
        <v>Propriedade destinada a funcionar: é.usuário</v>
      </c>
      <c r="V872" s="5" t="str">
        <f t="shared" si="359"/>
        <v>Dado para funcionar:  usuário  Deve ser formatado como (rdfs:Literal  or  xsd:string)</v>
      </c>
      <c r="W872" s="5" t="s">
        <v>7958</v>
      </c>
      <c r="X872" s="24" t="str">
        <f t="shared" si="360"/>
        <v>funci.132</v>
      </c>
      <c r="Y872" s="24" t="str">
        <f t="shared" si="361"/>
        <v>Ação de funcionar</v>
      </c>
      <c r="Z872" s="47" t="s">
        <v>3908</v>
      </c>
      <c r="AA872" s="25" t="str">
        <f t="shared" si="366"/>
        <v>null</v>
      </c>
      <c r="AB872" s="26" t="s">
        <v>0</v>
      </c>
      <c r="AC872" s="25" t="str">
        <f t="shared" si="367"/>
        <v>null</v>
      </c>
      <c r="AD872" s="26" t="s">
        <v>0</v>
      </c>
      <c r="AE872" s="25" t="str">
        <f t="shared" si="368"/>
        <v>null</v>
      </c>
      <c r="AF872" s="26" t="s">
        <v>0</v>
      </c>
      <c r="AG872" s="47" t="s">
        <v>4704</v>
      </c>
    </row>
    <row r="873" spans="1:33" ht="6.9" customHeight="1" x14ac:dyDescent="0.4">
      <c r="A873" s="4">
        <f>ROW()</f>
        <v>873</v>
      </c>
      <c r="B873" s="9" t="s">
        <v>27</v>
      </c>
      <c r="C873" s="54" t="str">
        <f t="shared" ref="C873:C943" si="372">SUBSTITUTE(F873,"d.","p.")</f>
        <v>p.geolocalizar</v>
      </c>
      <c r="D873" s="6" t="str">
        <f t="shared" si="371"/>
        <v>é.datum</v>
      </c>
      <c r="E873" s="8" t="s">
        <v>28</v>
      </c>
      <c r="F873" s="51" t="s">
        <v>3582</v>
      </c>
      <c r="G873" s="18" t="s">
        <v>209</v>
      </c>
      <c r="H873" s="41" t="s">
        <v>2121</v>
      </c>
      <c r="I873" s="16" t="str">
        <f t="shared" ref="I873:I905" si="373">J873</f>
        <v>null</v>
      </c>
      <c r="J873" s="13" t="s">
        <v>0</v>
      </c>
      <c r="K873" s="13" t="s">
        <v>0</v>
      </c>
      <c r="L873" s="13" t="s">
        <v>0</v>
      </c>
      <c r="M873" s="13" t="s">
        <v>0</v>
      </c>
      <c r="N873" s="15" t="s">
        <v>0</v>
      </c>
      <c r="O873" s="13" t="s">
        <v>0</v>
      </c>
      <c r="P873" s="13" t="s">
        <v>0</v>
      </c>
      <c r="Q873" s="13" t="s">
        <v>0</v>
      </c>
      <c r="R873" s="15" t="s">
        <v>0</v>
      </c>
      <c r="S873" s="10" t="s">
        <v>1</v>
      </c>
      <c r="T873" s="10" t="s">
        <v>32</v>
      </c>
      <c r="U873" s="5" t="str">
        <f t="shared" si="358"/>
        <v>Propriedade destinada a geolocalizar: é.datum</v>
      </c>
      <c r="V873" s="5" t="str">
        <f t="shared" si="359"/>
        <v>Dado para geolocalizar:  datum  Deve ser formatado como (rdfs:Literal  or  xsd:string)</v>
      </c>
      <c r="W873" s="5" t="s">
        <v>5665</v>
      </c>
      <c r="X873" s="24" t="str">
        <f t="shared" si="360"/>
        <v>geolo.100</v>
      </c>
      <c r="Y873" s="24" t="str">
        <f t="shared" si="361"/>
        <v>Ação de geolocalizar</v>
      </c>
      <c r="Z873" s="47" t="s">
        <v>1499</v>
      </c>
      <c r="AA873" s="25" t="str">
        <f t="shared" ref="AA873:AA943" si="374">IF(AB873="null", "null", "categoria.revit")</f>
        <v>null</v>
      </c>
      <c r="AB873" s="26" t="s">
        <v>0</v>
      </c>
      <c r="AC873" s="25" t="str">
        <f t="shared" ref="AC873:AC943" si="375">IF(AD873="null", "null", "classe.ifc")</f>
        <v>null</v>
      </c>
      <c r="AD873" s="26" t="s">
        <v>0</v>
      </c>
      <c r="AE873" s="25" t="str">
        <f t="shared" si="364"/>
        <v>propriedade</v>
      </c>
      <c r="AF873" s="26" t="s">
        <v>2448</v>
      </c>
      <c r="AG873" s="47" t="s">
        <v>4715</v>
      </c>
    </row>
    <row r="874" spans="1:33" ht="6.9" customHeight="1" x14ac:dyDescent="0.4">
      <c r="A874" s="4">
        <f>ROW()</f>
        <v>874</v>
      </c>
      <c r="B874" s="9" t="s">
        <v>27</v>
      </c>
      <c r="C874" s="55" t="str">
        <f t="shared" si="372"/>
        <v>p.geolocalizar</v>
      </c>
      <c r="D874" s="6" t="str">
        <f t="shared" si="371"/>
        <v>é.elipsoide</v>
      </c>
      <c r="E874" s="8" t="s">
        <v>28</v>
      </c>
      <c r="F874" s="42" t="str">
        <f t="shared" ref="F874:F888" si="376">F873</f>
        <v>d.geolocalizar</v>
      </c>
      <c r="G874" s="18" t="s">
        <v>6951</v>
      </c>
      <c r="H874" s="41" t="s">
        <v>2121</v>
      </c>
      <c r="I874" s="16" t="str">
        <f t="shared" si="373"/>
        <v>null</v>
      </c>
      <c r="J874" s="13" t="s">
        <v>0</v>
      </c>
      <c r="K874" s="13" t="s">
        <v>0</v>
      </c>
      <c r="L874" s="13" t="s">
        <v>0</v>
      </c>
      <c r="M874" s="13" t="s">
        <v>0</v>
      </c>
      <c r="N874" s="15" t="s">
        <v>0</v>
      </c>
      <c r="O874" s="13" t="s">
        <v>0</v>
      </c>
      <c r="P874" s="13" t="s">
        <v>0</v>
      </c>
      <c r="Q874" s="13" t="s">
        <v>0</v>
      </c>
      <c r="R874" s="15" t="s">
        <v>0</v>
      </c>
      <c r="S874" s="10" t="s">
        <v>1</v>
      </c>
      <c r="T874" s="10" t="s">
        <v>32</v>
      </c>
      <c r="U874" s="5" t="str">
        <f t="shared" si="358"/>
        <v>Propriedade destinada a geolocalizar: é.elipsoide</v>
      </c>
      <c r="V874" s="5" t="str">
        <f t="shared" si="359"/>
        <v>Dado para geolocalizar:  elipsoide  Deve ser formatado como (rdfs:Literal  or  xsd:string)</v>
      </c>
      <c r="W874" s="5" t="s">
        <v>5666</v>
      </c>
      <c r="X874" s="24" t="str">
        <f t="shared" si="360"/>
        <v>geolo.101</v>
      </c>
      <c r="Y874" s="24" t="str">
        <f t="shared" si="361"/>
        <v>Ação de geolocalizar</v>
      </c>
      <c r="Z874" s="47" t="s">
        <v>1500</v>
      </c>
      <c r="AA874" s="25" t="str">
        <f t="shared" si="374"/>
        <v>null</v>
      </c>
      <c r="AB874" s="26" t="s">
        <v>0</v>
      </c>
      <c r="AC874" s="25" t="str">
        <f t="shared" si="375"/>
        <v>null</v>
      </c>
      <c r="AD874" s="26" t="s">
        <v>0</v>
      </c>
      <c r="AE874" s="25" t="str">
        <f t="shared" si="364"/>
        <v>propriedade</v>
      </c>
      <c r="AF874" s="26" t="s">
        <v>2448</v>
      </c>
      <c r="AG874" s="47" t="s">
        <v>2841</v>
      </c>
    </row>
    <row r="875" spans="1:33" ht="6.9" customHeight="1" x14ac:dyDescent="0.4">
      <c r="A875" s="4">
        <f>ROW()</f>
        <v>875</v>
      </c>
      <c r="B875" s="9" t="s">
        <v>27</v>
      </c>
      <c r="C875" s="55" t="str">
        <f t="shared" si="372"/>
        <v>p.geolocalizar</v>
      </c>
      <c r="D875" s="6" t="str">
        <f t="shared" si="371"/>
        <v>é.elipsoide.wgs84</v>
      </c>
      <c r="E875" s="8" t="s">
        <v>28</v>
      </c>
      <c r="F875" s="42" t="str">
        <f t="shared" si="376"/>
        <v>d.geolocalizar</v>
      </c>
      <c r="G875" s="18" t="s">
        <v>6952</v>
      </c>
      <c r="H875" s="41" t="s">
        <v>2121</v>
      </c>
      <c r="I875" s="16" t="str">
        <f t="shared" si="373"/>
        <v>null</v>
      </c>
      <c r="J875" s="13" t="s">
        <v>0</v>
      </c>
      <c r="K875" s="13" t="s">
        <v>0</v>
      </c>
      <c r="L875" s="13" t="s">
        <v>0</v>
      </c>
      <c r="M875" s="13" t="s">
        <v>0</v>
      </c>
      <c r="N875" s="15" t="s">
        <v>0</v>
      </c>
      <c r="O875" s="13" t="s">
        <v>0</v>
      </c>
      <c r="P875" s="13" t="s">
        <v>0</v>
      </c>
      <c r="Q875" s="13" t="s">
        <v>0</v>
      </c>
      <c r="R875" s="15" t="s">
        <v>0</v>
      </c>
      <c r="S875" s="10" t="s">
        <v>1</v>
      </c>
      <c r="T875" s="10" t="s">
        <v>32</v>
      </c>
      <c r="U875" s="5" t="str">
        <f t="shared" si="358"/>
        <v>Propriedade destinada a geolocalizar: é.elipsoide.wgs84</v>
      </c>
      <c r="V875" s="5" t="str">
        <f t="shared" si="359"/>
        <v>Dado para geolocalizar:  elipsoide.wgs84  Deve ser formatado como (rdfs:Literal  or  xsd:string)</v>
      </c>
      <c r="W875" s="5" t="s">
        <v>5667</v>
      </c>
      <c r="X875" s="24" t="str">
        <f t="shared" si="360"/>
        <v>geolo.102</v>
      </c>
      <c r="Y875" s="24" t="str">
        <f t="shared" si="361"/>
        <v>Ação de geolocalizar</v>
      </c>
      <c r="Z875" s="47" t="s">
        <v>2450</v>
      </c>
      <c r="AA875" s="25" t="str">
        <f t="shared" si="374"/>
        <v>null</v>
      </c>
      <c r="AB875" s="26" t="s">
        <v>0</v>
      </c>
      <c r="AC875" s="25" t="str">
        <f t="shared" si="375"/>
        <v>null</v>
      </c>
      <c r="AD875" s="26" t="s">
        <v>0</v>
      </c>
      <c r="AE875" s="25" t="str">
        <f t="shared" si="364"/>
        <v>propriedade</v>
      </c>
      <c r="AF875" s="26" t="s">
        <v>2449</v>
      </c>
      <c r="AG875" s="47" t="s">
        <v>4796</v>
      </c>
    </row>
    <row r="876" spans="1:33" ht="6.9" customHeight="1" x14ac:dyDescent="0.4">
      <c r="A876" s="4">
        <f>ROW()</f>
        <v>876</v>
      </c>
      <c r="B876" s="9" t="s">
        <v>27</v>
      </c>
      <c r="C876" s="55" t="str">
        <f t="shared" si="372"/>
        <v>p.geolocalizar</v>
      </c>
      <c r="D876" s="6" t="str">
        <f t="shared" si="371"/>
        <v>é.elipsoide.sirgas.2000</v>
      </c>
      <c r="E876" s="8" t="s">
        <v>28</v>
      </c>
      <c r="F876" s="42" t="str">
        <f t="shared" si="376"/>
        <v>d.geolocalizar</v>
      </c>
      <c r="G876" s="18" t="s">
        <v>6953</v>
      </c>
      <c r="H876" s="41" t="s">
        <v>2121</v>
      </c>
      <c r="I876" s="16" t="str">
        <f t="shared" si="373"/>
        <v>null</v>
      </c>
      <c r="J876" s="13" t="s">
        <v>0</v>
      </c>
      <c r="K876" s="13" t="s">
        <v>0</v>
      </c>
      <c r="L876" s="13" t="s">
        <v>0</v>
      </c>
      <c r="M876" s="13" t="s">
        <v>0</v>
      </c>
      <c r="N876" s="15" t="s">
        <v>0</v>
      </c>
      <c r="O876" s="13" t="s">
        <v>0</v>
      </c>
      <c r="P876" s="13" t="s">
        <v>0</v>
      </c>
      <c r="Q876" s="13" t="s">
        <v>0</v>
      </c>
      <c r="R876" s="15" t="s">
        <v>0</v>
      </c>
      <c r="S876" s="10" t="s">
        <v>1</v>
      </c>
      <c r="T876" s="10" t="s">
        <v>32</v>
      </c>
      <c r="U876" s="5" t="str">
        <f t="shared" si="358"/>
        <v>Propriedade destinada a geolocalizar: é.elipsoide.sirgas.2000</v>
      </c>
      <c r="V876" s="5" t="str">
        <f t="shared" si="359"/>
        <v>Dado para geolocalizar:  elipsoide.sirgas.2000  Deve ser formatado como (rdfs:Literal  or  xsd:string)</v>
      </c>
      <c r="W876" s="5" t="s">
        <v>5668</v>
      </c>
      <c r="X876" s="24" t="str">
        <f t="shared" si="360"/>
        <v>geolo.103</v>
      </c>
      <c r="Y876" s="24" t="str">
        <f t="shared" si="361"/>
        <v>Ação de geolocalizar</v>
      </c>
      <c r="Z876" s="47" t="s">
        <v>2451</v>
      </c>
      <c r="AA876" s="25" t="str">
        <f t="shared" si="374"/>
        <v>null</v>
      </c>
      <c r="AB876" s="26" t="s">
        <v>0</v>
      </c>
      <c r="AC876" s="25" t="str">
        <f t="shared" si="375"/>
        <v>null</v>
      </c>
      <c r="AD876" s="26" t="s">
        <v>0</v>
      </c>
      <c r="AE876" s="25" t="str">
        <f t="shared" si="364"/>
        <v>propriedade</v>
      </c>
      <c r="AF876" s="26" t="s">
        <v>2448</v>
      </c>
      <c r="AG876" s="47" t="s">
        <v>4797</v>
      </c>
    </row>
    <row r="877" spans="1:33" ht="6.9" customHeight="1" x14ac:dyDescent="0.4">
      <c r="A877" s="4">
        <f>ROW()</f>
        <v>877</v>
      </c>
      <c r="B877" s="9" t="s">
        <v>27</v>
      </c>
      <c r="C877" s="55" t="str">
        <f t="shared" si="372"/>
        <v>p.geolocalizar</v>
      </c>
      <c r="D877" s="6" t="str">
        <f t="shared" si="371"/>
        <v>é.latitude</v>
      </c>
      <c r="E877" s="8" t="s">
        <v>28</v>
      </c>
      <c r="F877" s="42" t="str">
        <f t="shared" si="376"/>
        <v>d.geolocalizar</v>
      </c>
      <c r="G877" s="18" t="s">
        <v>130</v>
      </c>
      <c r="H877" s="41" t="s">
        <v>2121</v>
      </c>
      <c r="I877" s="16" t="str">
        <f t="shared" si="373"/>
        <v>null</v>
      </c>
      <c r="J877" s="13" t="s">
        <v>0</v>
      </c>
      <c r="K877" s="13" t="s">
        <v>0</v>
      </c>
      <c r="L877" s="13" t="s">
        <v>0</v>
      </c>
      <c r="M877" s="13" t="s">
        <v>0</v>
      </c>
      <c r="N877" s="15" t="s">
        <v>0</v>
      </c>
      <c r="O877" s="13" t="s">
        <v>0</v>
      </c>
      <c r="P877" s="13" t="s">
        <v>0</v>
      </c>
      <c r="Q877" s="13" t="s">
        <v>0</v>
      </c>
      <c r="R877" s="15" t="s">
        <v>0</v>
      </c>
      <c r="S877" s="10" t="s">
        <v>1</v>
      </c>
      <c r="T877" s="10" t="s">
        <v>32</v>
      </c>
      <c r="U877" s="5" t="str">
        <f t="shared" si="358"/>
        <v>Propriedade destinada a geolocalizar: é.latitude</v>
      </c>
      <c r="V877" s="5" t="str">
        <f t="shared" si="359"/>
        <v>Dado para geolocalizar:  latitude  Deve ser formatado como (rdfs:Literal  or  xsd:string)</v>
      </c>
      <c r="W877" s="5" t="s">
        <v>5669</v>
      </c>
      <c r="X877" s="24" t="str">
        <f t="shared" si="360"/>
        <v>geolo.104</v>
      </c>
      <c r="Y877" s="24" t="str">
        <f t="shared" si="361"/>
        <v>Ação de geolocalizar</v>
      </c>
      <c r="Z877" s="47" t="s">
        <v>3887</v>
      </c>
      <c r="AA877" s="25" t="str">
        <f t="shared" si="374"/>
        <v>null</v>
      </c>
      <c r="AB877" s="26" t="s">
        <v>0</v>
      </c>
      <c r="AC877" s="25" t="str">
        <f t="shared" si="375"/>
        <v>null</v>
      </c>
      <c r="AD877" s="26" t="s">
        <v>0</v>
      </c>
      <c r="AE877" s="25" t="str">
        <f t="shared" si="364"/>
        <v>propriedade</v>
      </c>
      <c r="AF877" s="60" t="s">
        <v>2445</v>
      </c>
      <c r="AG877" s="47" t="s">
        <v>2842</v>
      </c>
    </row>
    <row r="878" spans="1:33" ht="6.9" customHeight="1" x14ac:dyDescent="0.4">
      <c r="A878" s="4">
        <f>ROW()</f>
        <v>878</v>
      </c>
      <c r="B878" s="9" t="s">
        <v>27</v>
      </c>
      <c r="C878" s="55" t="str">
        <f t="shared" si="372"/>
        <v>p.geolocalizar</v>
      </c>
      <c r="D878" s="6" t="str">
        <f t="shared" si="371"/>
        <v>é.longitude</v>
      </c>
      <c r="E878" s="8" t="s">
        <v>28</v>
      </c>
      <c r="F878" s="42" t="str">
        <f t="shared" si="376"/>
        <v>d.geolocalizar</v>
      </c>
      <c r="G878" s="18" t="s">
        <v>131</v>
      </c>
      <c r="H878" s="41" t="s">
        <v>2121</v>
      </c>
      <c r="I878" s="16" t="str">
        <f t="shared" si="373"/>
        <v>null</v>
      </c>
      <c r="J878" s="13" t="s">
        <v>0</v>
      </c>
      <c r="K878" s="13" t="s">
        <v>0</v>
      </c>
      <c r="L878" s="13" t="s">
        <v>0</v>
      </c>
      <c r="M878" s="13" t="s">
        <v>0</v>
      </c>
      <c r="N878" s="15" t="s">
        <v>0</v>
      </c>
      <c r="O878" s="13" t="s">
        <v>0</v>
      </c>
      <c r="P878" s="13" t="s">
        <v>0</v>
      </c>
      <c r="Q878" s="13" t="s">
        <v>0</v>
      </c>
      <c r="R878" s="15" t="s">
        <v>0</v>
      </c>
      <c r="S878" s="10" t="s">
        <v>1</v>
      </c>
      <c r="T878" s="10" t="s">
        <v>32</v>
      </c>
      <c r="U878" s="5" t="str">
        <f t="shared" si="358"/>
        <v>Propriedade destinada a geolocalizar: é.longitude</v>
      </c>
      <c r="V878" s="5" t="str">
        <f t="shared" si="359"/>
        <v>Dado para geolocalizar:  longitude  Deve ser formatado como (rdfs:Literal  or  xsd:string)</v>
      </c>
      <c r="W878" s="5" t="s">
        <v>5670</v>
      </c>
      <c r="X878" s="24" t="str">
        <f t="shared" si="360"/>
        <v>geolo.105</v>
      </c>
      <c r="Y878" s="24" t="str">
        <f t="shared" si="361"/>
        <v>Ação de geolocalizar</v>
      </c>
      <c r="Z878" s="47" t="s">
        <v>3888</v>
      </c>
      <c r="AA878" s="25" t="str">
        <f t="shared" si="374"/>
        <v>null</v>
      </c>
      <c r="AB878" s="26" t="s">
        <v>0</v>
      </c>
      <c r="AC878" s="25" t="str">
        <f t="shared" si="375"/>
        <v>null</v>
      </c>
      <c r="AD878" s="26" t="s">
        <v>0</v>
      </c>
      <c r="AE878" s="25" t="str">
        <f t="shared" si="364"/>
        <v>propriedade</v>
      </c>
      <c r="AF878" s="60" t="s">
        <v>2446</v>
      </c>
      <c r="AG878" s="47" t="s">
        <v>2843</v>
      </c>
    </row>
    <row r="879" spans="1:33" ht="6.9" customHeight="1" x14ac:dyDescent="0.4">
      <c r="A879" s="4">
        <f>ROW()</f>
        <v>879</v>
      </c>
      <c r="B879" s="9" t="s">
        <v>27</v>
      </c>
      <c r="C879" s="55" t="str">
        <f t="shared" si="372"/>
        <v>p.geolocalizar</v>
      </c>
      <c r="D879" s="6" t="str">
        <f t="shared" si="371"/>
        <v>é.altitude</v>
      </c>
      <c r="E879" s="8" t="s">
        <v>28</v>
      </c>
      <c r="F879" s="42" t="str">
        <f t="shared" si="376"/>
        <v>d.geolocalizar</v>
      </c>
      <c r="G879" s="18" t="s">
        <v>132</v>
      </c>
      <c r="H879" s="41" t="s">
        <v>2121</v>
      </c>
      <c r="I879" s="16" t="str">
        <f t="shared" si="373"/>
        <v>null</v>
      </c>
      <c r="J879" s="13" t="s">
        <v>0</v>
      </c>
      <c r="K879" s="13" t="s">
        <v>0</v>
      </c>
      <c r="L879" s="13" t="s">
        <v>0</v>
      </c>
      <c r="M879" s="13" t="s">
        <v>0</v>
      </c>
      <c r="N879" s="15" t="s">
        <v>0</v>
      </c>
      <c r="O879" s="13" t="s">
        <v>0</v>
      </c>
      <c r="P879" s="13" t="s">
        <v>0</v>
      </c>
      <c r="Q879" s="13" t="s">
        <v>0</v>
      </c>
      <c r="R879" s="15" t="s">
        <v>0</v>
      </c>
      <c r="S879" s="10" t="s">
        <v>1</v>
      </c>
      <c r="T879" s="10" t="s">
        <v>32</v>
      </c>
      <c r="U879" s="5" t="str">
        <f t="shared" si="358"/>
        <v>Propriedade destinada a geolocalizar: é.altitude</v>
      </c>
      <c r="V879" s="5" t="str">
        <f t="shared" si="359"/>
        <v>Dado para geolocalizar:  altitude  Deve ser formatado como (rdfs:Literal  or  xsd:string)</v>
      </c>
      <c r="W879" s="5" t="s">
        <v>5671</v>
      </c>
      <c r="X879" s="24" t="str">
        <f t="shared" si="360"/>
        <v>geolo.106</v>
      </c>
      <c r="Y879" s="24" t="str">
        <f t="shared" si="361"/>
        <v>Ação de geolocalizar</v>
      </c>
      <c r="Z879" s="47" t="s">
        <v>3889</v>
      </c>
      <c r="AA879" s="25" t="str">
        <f t="shared" si="374"/>
        <v>null</v>
      </c>
      <c r="AB879" s="26" t="s">
        <v>0</v>
      </c>
      <c r="AC879" s="25" t="str">
        <f t="shared" si="375"/>
        <v>null</v>
      </c>
      <c r="AD879" s="26" t="s">
        <v>0</v>
      </c>
      <c r="AE879" s="25" t="str">
        <f t="shared" si="364"/>
        <v>propriedade</v>
      </c>
      <c r="AF879" s="60" t="s">
        <v>2447</v>
      </c>
      <c r="AG879" s="47" t="s">
        <v>2844</v>
      </c>
    </row>
    <row r="880" spans="1:33" ht="6.9" customHeight="1" x14ac:dyDescent="0.4">
      <c r="A880" s="4">
        <f>ROW()</f>
        <v>880</v>
      </c>
      <c r="B880" s="9" t="s">
        <v>27</v>
      </c>
      <c r="C880" s="55" t="str">
        <f t="shared" si="372"/>
        <v>p.geolocalizar</v>
      </c>
      <c r="D880" s="6" t="str">
        <f t="shared" si="371"/>
        <v>é.geocode</v>
      </c>
      <c r="E880" s="8" t="s">
        <v>28</v>
      </c>
      <c r="F880" s="42" t="str">
        <f t="shared" si="376"/>
        <v>d.geolocalizar</v>
      </c>
      <c r="G880" s="18" t="s">
        <v>133</v>
      </c>
      <c r="H880" s="41" t="s">
        <v>2121</v>
      </c>
      <c r="I880" s="16" t="str">
        <f t="shared" si="373"/>
        <v>null</v>
      </c>
      <c r="J880" s="13" t="s">
        <v>0</v>
      </c>
      <c r="K880" s="13" t="s">
        <v>0</v>
      </c>
      <c r="L880" s="13" t="s">
        <v>0</v>
      </c>
      <c r="M880" s="13" t="s">
        <v>0</v>
      </c>
      <c r="N880" s="15" t="s">
        <v>0</v>
      </c>
      <c r="O880" s="13" t="s">
        <v>0</v>
      </c>
      <c r="P880" s="13" t="s">
        <v>0</v>
      </c>
      <c r="Q880" s="13" t="s">
        <v>0</v>
      </c>
      <c r="R880" s="15" t="s">
        <v>0</v>
      </c>
      <c r="S880" s="10" t="s">
        <v>1</v>
      </c>
      <c r="T880" s="10" t="s">
        <v>32</v>
      </c>
      <c r="U880" s="5" t="str">
        <f t="shared" si="358"/>
        <v>Propriedade destinada a geolocalizar: é.geocode</v>
      </c>
      <c r="V880" s="5" t="str">
        <f t="shared" si="359"/>
        <v>Dado para geolocalizar:  geocode  Deve ser formatado como (rdfs:Literal  or  xsd:string)</v>
      </c>
      <c r="W880" s="5" t="s">
        <v>5672</v>
      </c>
      <c r="X880" s="24" t="str">
        <f t="shared" si="360"/>
        <v>geolo.107</v>
      </c>
      <c r="Y880" s="24" t="str">
        <f t="shared" si="361"/>
        <v>Ação de geolocalizar</v>
      </c>
      <c r="Z880" s="47" t="s">
        <v>3890</v>
      </c>
      <c r="AA880" s="25" t="str">
        <f t="shared" si="374"/>
        <v>null</v>
      </c>
      <c r="AB880" s="26" t="s">
        <v>0</v>
      </c>
      <c r="AC880" s="25" t="str">
        <f t="shared" si="375"/>
        <v>null</v>
      </c>
      <c r="AD880" s="26" t="s">
        <v>0</v>
      </c>
      <c r="AE880" s="25" t="str">
        <f t="shared" si="364"/>
        <v>propriedade</v>
      </c>
      <c r="AF880" s="26" t="s">
        <v>2448</v>
      </c>
      <c r="AG880" s="47" t="s">
        <v>3891</v>
      </c>
    </row>
    <row r="881" spans="1:33" ht="6.9" customHeight="1" x14ac:dyDescent="0.4">
      <c r="A881" s="4">
        <f>ROW()</f>
        <v>881</v>
      </c>
      <c r="B881" s="9" t="s">
        <v>27</v>
      </c>
      <c r="C881" s="55" t="str">
        <f t="shared" si="372"/>
        <v>p.geolocalizar</v>
      </c>
      <c r="D881" s="6" t="str">
        <f t="shared" si="371"/>
        <v>é.hemisfério</v>
      </c>
      <c r="E881" s="8" t="s">
        <v>28</v>
      </c>
      <c r="F881" s="42" t="str">
        <f t="shared" si="376"/>
        <v>d.geolocalizar</v>
      </c>
      <c r="G881" s="18" t="s">
        <v>134</v>
      </c>
      <c r="H881" s="41" t="s">
        <v>2121</v>
      </c>
      <c r="I881" s="16" t="str">
        <f t="shared" si="373"/>
        <v>null</v>
      </c>
      <c r="J881" s="13" t="s">
        <v>0</v>
      </c>
      <c r="K881" s="13" t="s">
        <v>0</v>
      </c>
      <c r="L881" s="13" t="s">
        <v>0</v>
      </c>
      <c r="M881" s="13" t="s">
        <v>0</v>
      </c>
      <c r="N881" s="15" t="s">
        <v>0</v>
      </c>
      <c r="O881" s="13" t="s">
        <v>0</v>
      </c>
      <c r="P881" s="13" t="s">
        <v>0</v>
      </c>
      <c r="Q881" s="13" t="s">
        <v>0</v>
      </c>
      <c r="R881" s="15" t="s">
        <v>0</v>
      </c>
      <c r="S881" s="10" t="s">
        <v>1</v>
      </c>
      <c r="T881" s="10" t="s">
        <v>32</v>
      </c>
      <c r="U881" s="5" t="str">
        <f t="shared" si="358"/>
        <v>Propriedade destinada a geolocalizar: é.hemisfério</v>
      </c>
      <c r="V881" s="5" t="str">
        <f t="shared" si="359"/>
        <v>Dado para geolocalizar:  hemisfério  Deve ser formatado como (rdfs:Literal  or  xsd:string)</v>
      </c>
      <c r="W881" s="5" t="s">
        <v>5673</v>
      </c>
      <c r="X881" s="24" t="str">
        <f t="shared" si="360"/>
        <v>geolo.108</v>
      </c>
      <c r="Y881" s="24" t="str">
        <f t="shared" si="361"/>
        <v>Ação de geolocalizar</v>
      </c>
      <c r="Z881" s="47" t="s">
        <v>4100</v>
      </c>
      <c r="AA881" s="25" t="str">
        <f t="shared" si="374"/>
        <v>null</v>
      </c>
      <c r="AB881" s="26" t="s">
        <v>0</v>
      </c>
      <c r="AC881" s="25" t="str">
        <f t="shared" si="375"/>
        <v>null</v>
      </c>
      <c r="AD881" s="26" t="s">
        <v>0</v>
      </c>
      <c r="AE881" s="25" t="str">
        <f t="shared" si="364"/>
        <v>null</v>
      </c>
      <c r="AF881" s="26" t="s">
        <v>0</v>
      </c>
      <c r="AG881" s="47" t="s">
        <v>4101</v>
      </c>
    </row>
    <row r="882" spans="1:33" ht="6.9" customHeight="1" x14ac:dyDescent="0.4">
      <c r="A882" s="4">
        <f>ROW()</f>
        <v>882</v>
      </c>
      <c r="B882" s="9" t="s">
        <v>27</v>
      </c>
      <c r="C882" s="55" t="str">
        <f t="shared" si="372"/>
        <v>p.geolocalizar</v>
      </c>
      <c r="D882" s="6" t="str">
        <f t="shared" si="371"/>
        <v>é.zona.utm</v>
      </c>
      <c r="E882" s="8" t="s">
        <v>28</v>
      </c>
      <c r="F882" s="42" t="str">
        <f t="shared" si="376"/>
        <v>d.geolocalizar</v>
      </c>
      <c r="G882" s="18" t="s">
        <v>728</v>
      </c>
      <c r="H882" s="41" t="s">
        <v>2121</v>
      </c>
      <c r="I882" s="16" t="str">
        <f t="shared" si="373"/>
        <v>null</v>
      </c>
      <c r="J882" s="13" t="s">
        <v>0</v>
      </c>
      <c r="K882" s="13" t="s">
        <v>0</v>
      </c>
      <c r="L882" s="13" t="s">
        <v>0</v>
      </c>
      <c r="M882" s="13" t="s">
        <v>0</v>
      </c>
      <c r="N882" s="15" t="s">
        <v>0</v>
      </c>
      <c r="O882" s="13" t="s">
        <v>0</v>
      </c>
      <c r="P882" s="13" t="s">
        <v>0</v>
      </c>
      <c r="Q882" s="13" t="s">
        <v>0</v>
      </c>
      <c r="R882" s="15" t="s">
        <v>0</v>
      </c>
      <c r="S882" s="10" t="s">
        <v>1</v>
      </c>
      <c r="T882" s="10" t="s">
        <v>32</v>
      </c>
      <c r="U882" s="5" t="str">
        <f t="shared" si="358"/>
        <v>Propriedade destinada a geolocalizar: é.zona.utm</v>
      </c>
      <c r="V882" s="5" t="str">
        <f t="shared" si="359"/>
        <v>Dado para geolocalizar:  zona.utm  Deve ser formatado como (rdfs:Literal  or  xsd:string)</v>
      </c>
      <c r="W882" s="5" t="s">
        <v>5674</v>
      </c>
      <c r="X882" s="24" t="str">
        <f t="shared" si="360"/>
        <v>geolo.109</v>
      </c>
      <c r="Y882" s="24" t="str">
        <f t="shared" si="361"/>
        <v>Ação de geolocalizar</v>
      </c>
      <c r="Z882" s="47" t="s">
        <v>1501</v>
      </c>
      <c r="AA882" s="25" t="str">
        <f t="shared" si="374"/>
        <v>null</v>
      </c>
      <c r="AB882" s="26" t="s">
        <v>0</v>
      </c>
      <c r="AC882" s="25" t="str">
        <f t="shared" si="375"/>
        <v>null</v>
      </c>
      <c r="AD882" s="26" t="s">
        <v>0</v>
      </c>
      <c r="AE882" s="25" t="str">
        <f t="shared" si="364"/>
        <v>null</v>
      </c>
      <c r="AF882" s="26" t="s">
        <v>0</v>
      </c>
      <c r="AG882" s="47" t="s">
        <v>2845</v>
      </c>
    </row>
    <row r="883" spans="1:33" ht="6.9" customHeight="1" x14ac:dyDescent="0.4">
      <c r="A883" s="4">
        <f>ROW()</f>
        <v>883</v>
      </c>
      <c r="B883" s="9" t="s">
        <v>27</v>
      </c>
      <c r="C883" s="55" t="str">
        <f t="shared" si="372"/>
        <v>p.geolocalizar</v>
      </c>
      <c r="D883" s="6" t="str">
        <f t="shared" si="371"/>
        <v>é.coordenada.utm</v>
      </c>
      <c r="E883" s="8" t="s">
        <v>28</v>
      </c>
      <c r="F883" s="42" t="str">
        <f t="shared" si="376"/>
        <v>d.geolocalizar</v>
      </c>
      <c r="G883" s="18" t="s">
        <v>729</v>
      </c>
      <c r="H883" s="41" t="s">
        <v>2121</v>
      </c>
      <c r="I883" s="16" t="str">
        <f t="shared" si="373"/>
        <v>null</v>
      </c>
      <c r="J883" s="13" t="s">
        <v>0</v>
      </c>
      <c r="K883" s="13" t="s">
        <v>0</v>
      </c>
      <c r="L883" s="13" t="s">
        <v>0</v>
      </c>
      <c r="M883" s="13" t="s">
        <v>0</v>
      </c>
      <c r="N883" s="15" t="s">
        <v>0</v>
      </c>
      <c r="O883" s="13" t="s">
        <v>0</v>
      </c>
      <c r="P883" s="13" t="s">
        <v>0</v>
      </c>
      <c r="Q883" s="13" t="s">
        <v>0</v>
      </c>
      <c r="R883" s="15" t="s">
        <v>0</v>
      </c>
      <c r="S883" s="10" t="s">
        <v>1</v>
      </c>
      <c r="T883" s="10" t="s">
        <v>32</v>
      </c>
      <c r="U883" s="5" t="str">
        <f t="shared" si="358"/>
        <v>Propriedade destinada a geolocalizar: é.coordenada.utm</v>
      </c>
      <c r="V883" s="5" t="str">
        <f t="shared" si="359"/>
        <v>Dado para geolocalizar:  coordenada.utm  Deve ser formatado como (rdfs:Literal  or  xsd:string)</v>
      </c>
      <c r="W883" s="5" t="s">
        <v>5675</v>
      </c>
      <c r="X883" s="24" t="str">
        <f t="shared" si="360"/>
        <v>geolo.110</v>
      </c>
      <c r="Y883" s="24" t="str">
        <f t="shared" si="361"/>
        <v>Ação de geolocalizar</v>
      </c>
      <c r="Z883" s="47" t="s">
        <v>1502</v>
      </c>
      <c r="AA883" s="25" t="str">
        <f t="shared" si="374"/>
        <v>null</v>
      </c>
      <c r="AB883" s="26" t="s">
        <v>0</v>
      </c>
      <c r="AC883" s="25" t="str">
        <f t="shared" si="375"/>
        <v>null</v>
      </c>
      <c r="AD883" s="26" t="s">
        <v>0</v>
      </c>
      <c r="AE883" s="25" t="str">
        <f t="shared" si="364"/>
        <v>null</v>
      </c>
      <c r="AF883" s="26" t="s">
        <v>0</v>
      </c>
      <c r="AG883" s="47" t="s">
        <v>2846</v>
      </c>
    </row>
    <row r="884" spans="1:33" ht="6.9" customHeight="1" x14ac:dyDescent="0.4">
      <c r="A884" s="4">
        <f>ROW()</f>
        <v>884</v>
      </c>
      <c r="B884" s="9" t="s">
        <v>27</v>
      </c>
      <c r="C884" s="55" t="str">
        <f t="shared" si="372"/>
        <v>p.geolocalizar</v>
      </c>
      <c r="D884" s="6" t="str">
        <f t="shared" si="371"/>
        <v>é.região.geográfica</v>
      </c>
      <c r="E884" s="8" t="s">
        <v>28</v>
      </c>
      <c r="F884" s="42" t="str">
        <f t="shared" si="376"/>
        <v>d.geolocalizar</v>
      </c>
      <c r="G884" s="18" t="s">
        <v>730</v>
      </c>
      <c r="H884" s="41" t="s">
        <v>2121</v>
      </c>
      <c r="I884" s="16" t="str">
        <f t="shared" si="373"/>
        <v>null</v>
      </c>
      <c r="J884" s="13" t="s">
        <v>0</v>
      </c>
      <c r="K884" s="13" t="s">
        <v>0</v>
      </c>
      <c r="L884" s="13" t="s">
        <v>0</v>
      </c>
      <c r="M884" s="13" t="s">
        <v>0</v>
      </c>
      <c r="N884" s="15" t="s">
        <v>0</v>
      </c>
      <c r="O884" s="13" t="s">
        <v>0</v>
      </c>
      <c r="P884" s="13" t="s">
        <v>0</v>
      </c>
      <c r="Q884" s="13" t="s">
        <v>0</v>
      </c>
      <c r="R884" s="15" t="s">
        <v>0</v>
      </c>
      <c r="S884" s="10" t="s">
        <v>1</v>
      </c>
      <c r="T884" s="10" t="s">
        <v>32</v>
      </c>
      <c r="U884" s="5" t="str">
        <f t="shared" si="358"/>
        <v>Propriedade destinada a geolocalizar: é.região.geográfica</v>
      </c>
      <c r="V884" s="5" t="str">
        <f t="shared" si="359"/>
        <v>Dado para geolocalizar:  região.geográfica  Deve ser formatado como (rdfs:Literal  or  xsd:string)</v>
      </c>
      <c r="W884" s="5" t="s">
        <v>5676</v>
      </c>
      <c r="X884" s="24" t="str">
        <f t="shared" si="360"/>
        <v>geolo.111</v>
      </c>
      <c r="Y884" s="24" t="str">
        <f t="shared" si="361"/>
        <v>Ação de geolocalizar</v>
      </c>
      <c r="Z884" s="47" t="s">
        <v>1503</v>
      </c>
      <c r="AA884" s="25" t="str">
        <f t="shared" si="374"/>
        <v>null</v>
      </c>
      <c r="AB884" s="26" t="s">
        <v>0</v>
      </c>
      <c r="AC884" s="25" t="str">
        <f t="shared" si="375"/>
        <v>null</v>
      </c>
      <c r="AD884" s="26" t="s">
        <v>0</v>
      </c>
      <c r="AE884" s="25" t="str">
        <f t="shared" si="364"/>
        <v>null</v>
      </c>
      <c r="AF884" s="26" t="s">
        <v>0</v>
      </c>
      <c r="AG884" s="47" t="s">
        <v>2847</v>
      </c>
    </row>
    <row r="885" spans="1:33" ht="6.9" customHeight="1" x14ac:dyDescent="0.4">
      <c r="A885" s="4">
        <f>ROW()</f>
        <v>885</v>
      </c>
      <c r="B885" s="9" t="s">
        <v>27</v>
      </c>
      <c r="C885" s="55" t="str">
        <f t="shared" si="372"/>
        <v>p.geolocalizar</v>
      </c>
      <c r="D885" s="6" t="str">
        <f t="shared" si="371"/>
        <v>é.região.geográfica.imediata</v>
      </c>
      <c r="E885" s="8" t="s">
        <v>28</v>
      </c>
      <c r="F885" s="42" t="str">
        <f t="shared" si="376"/>
        <v>d.geolocalizar</v>
      </c>
      <c r="G885" s="18" t="s">
        <v>731</v>
      </c>
      <c r="H885" s="41" t="s">
        <v>2121</v>
      </c>
      <c r="I885" s="16" t="str">
        <f t="shared" si="373"/>
        <v>null</v>
      </c>
      <c r="J885" s="13" t="s">
        <v>0</v>
      </c>
      <c r="K885" s="13" t="s">
        <v>0</v>
      </c>
      <c r="L885" s="13" t="s">
        <v>0</v>
      </c>
      <c r="M885" s="13" t="s">
        <v>0</v>
      </c>
      <c r="N885" s="15" t="s">
        <v>0</v>
      </c>
      <c r="O885" s="13" t="s">
        <v>0</v>
      </c>
      <c r="P885" s="13" t="s">
        <v>0</v>
      </c>
      <c r="Q885" s="13" t="s">
        <v>0</v>
      </c>
      <c r="R885" s="15" t="s">
        <v>0</v>
      </c>
      <c r="S885" s="10" t="s">
        <v>1</v>
      </c>
      <c r="T885" s="10" t="s">
        <v>32</v>
      </c>
      <c r="U885" s="5" t="str">
        <f t="shared" si="358"/>
        <v>Propriedade destinada a geolocalizar: é.região.geográfica.imediata</v>
      </c>
      <c r="V885" s="5" t="str">
        <f t="shared" si="359"/>
        <v>Dado para geolocalizar:  região.geográfica.imediata  Deve ser formatado como (rdfs:Literal  or  xsd:string)</v>
      </c>
      <c r="W885" s="5" t="s">
        <v>5677</v>
      </c>
      <c r="X885" s="24" t="str">
        <f t="shared" si="360"/>
        <v>geolo.112</v>
      </c>
      <c r="Y885" s="24" t="str">
        <f t="shared" si="361"/>
        <v>Ação de geolocalizar</v>
      </c>
      <c r="Z885" s="47" t="s">
        <v>1504</v>
      </c>
      <c r="AA885" s="25" t="str">
        <f t="shared" si="374"/>
        <v>null</v>
      </c>
      <c r="AB885" s="26" t="s">
        <v>0</v>
      </c>
      <c r="AC885" s="25" t="str">
        <f t="shared" si="375"/>
        <v>null</v>
      </c>
      <c r="AD885" s="26" t="s">
        <v>0</v>
      </c>
      <c r="AE885" s="25" t="str">
        <f t="shared" si="364"/>
        <v>null</v>
      </c>
      <c r="AF885" s="26" t="s">
        <v>0</v>
      </c>
      <c r="AG885" s="47" t="s">
        <v>2848</v>
      </c>
    </row>
    <row r="886" spans="1:33" ht="6.9" customHeight="1" x14ac:dyDescent="0.4">
      <c r="A886" s="4">
        <f>ROW()</f>
        <v>886</v>
      </c>
      <c r="B886" s="9" t="s">
        <v>27</v>
      </c>
      <c r="C886" s="55" t="str">
        <f t="shared" si="372"/>
        <v>p.geolocalizar</v>
      </c>
      <c r="D886" s="6" t="str">
        <f t="shared" si="371"/>
        <v>é.região.geográfica.intermediária</v>
      </c>
      <c r="E886" s="8" t="s">
        <v>28</v>
      </c>
      <c r="F886" s="42" t="str">
        <f t="shared" si="376"/>
        <v>d.geolocalizar</v>
      </c>
      <c r="G886" s="18" t="s">
        <v>732</v>
      </c>
      <c r="H886" s="41" t="s">
        <v>2121</v>
      </c>
      <c r="I886" s="16" t="str">
        <f t="shared" si="373"/>
        <v>null</v>
      </c>
      <c r="J886" s="13" t="s">
        <v>0</v>
      </c>
      <c r="K886" s="13" t="s">
        <v>0</v>
      </c>
      <c r="L886" s="13" t="s">
        <v>0</v>
      </c>
      <c r="M886" s="13" t="s">
        <v>0</v>
      </c>
      <c r="N886" s="15" t="s">
        <v>0</v>
      </c>
      <c r="O886" s="13" t="s">
        <v>0</v>
      </c>
      <c r="P886" s="13" t="s">
        <v>0</v>
      </c>
      <c r="Q886" s="13" t="s">
        <v>0</v>
      </c>
      <c r="R886" s="15" t="s">
        <v>0</v>
      </c>
      <c r="S886" s="10" t="s">
        <v>1</v>
      </c>
      <c r="T886" s="10" t="s">
        <v>32</v>
      </c>
      <c r="U886" s="5" t="str">
        <f t="shared" si="358"/>
        <v>Propriedade destinada a geolocalizar: é.região.geográfica.intermediária</v>
      </c>
      <c r="V886" s="5" t="str">
        <f t="shared" si="359"/>
        <v>Dado para geolocalizar:  região.geográfica.intermediária  Deve ser formatado como (rdfs:Literal  or  xsd:string)</v>
      </c>
      <c r="W886" s="5" t="s">
        <v>5678</v>
      </c>
      <c r="X886" s="24" t="str">
        <f t="shared" si="360"/>
        <v>geolo.113</v>
      </c>
      <c r="Y886" s="24" t="str">
        <f t="shared" si="361"/>
        <v>Ação de geolocalizar</v>
      </c>
      <c r="Z886" s="47" t="s">
        <v>1505</v>
      </c>
      <c r="AA886" s="25" t="str">
        <f t="shared" si="374"/>
        <v>null</v>
      </c>
      <c r="AB886" s="26" t="s">
        <v>0</v>
      </c>
      <c r="AC886" s="25" t="str">
        <f t="shared" si="375"/>
        <v>null</v>
      </c>
      <c r="AD886" s="26" t="s">
        <v>0</v>
      </c>
      <c r="AE886" s="25" t="str">
        <f t="shared" si="364"/>
        <v>null</v>
      </c>
      <c r="AF886" s="26" t="s">
        <v>0</v>
      </c>
      <c r="AG886" s="47" t="s">
        <v>2849</v>
      </c>
    </row>
    <row r="887" spans="1:33" ht="6.9" customHeight="1" x14ac:dyDescent="0.4">
      <c r="A887" s="4">
        <f>ROW()</f>
        <v>887</v>
      </c>
      <c r="B887" s="9" t="s">
        <v>27</v>
      </c>
      <c r="C887" s="55" t="str">
        <f t="shared" si="372"/>
        <v>p.geolocalizar</v>
      </c>
      <c r="D887" s="6" t="str">
        <f t="shared" si="371"/>
        <v>é.código.de.município</v>
      </c>
      <c r="E887" s="8" t="s">
        <v>28</v>
      </c>
      <c r="F887" s="42" t="str">
        <f t="shared" si="376"/>
        <v>d.geolocalizar</v>
      </c>
      <c r="G887" s="18" t="s">
        <v>733</v>
      </c>
      <c r="H887" s="41" t="s">
        <v>2121</v>
      </c>
      <c r="I887" s="16" t="str">
        <f t="shared" si="373"/>
        <v>null</v>
      </c>
      <c r="J887" s="13" t="s">
        <v>0</v>
      </c>
      <c r="K887" s="13" t="s">
        <v>0</v>
      </c>
      <c r="L887" s="13" t="s">
        <v>0</v>
      </c>
      <c r="M887" s="13" t="s">
        <v>0</v>
      </c>
      <c r="N887" s="15" t="s">
        <v>0</v>
      </c>
      <c r="O887" s="13" t="s">
        <v>0</v>
      </c>
      <c r="P887" s="13" t="s">
        <v>0</v>
      </c>
      <c r="Q887" s="13" t="s">
        <v>0</v>
      </c>
      <c r="R887" s="15" t="s">
        <v>0</v>
      </c>
      <c r="S887" s="10" t="s">
        <v>1</v>
      </c>
      <c r="T887" s="10" t="s">
        <v>32</v>
      </c>
      <c r="U887" s="5" t="str">
        <f t="shared" si="358"/>
        <v>Propriedade destinada a geolocalizar: é.código.de.município</v>
      </c>
      <c r="V887" s="5" t="str">
        <f t="shared" si="359"/>
        <v>Dado para geolocalizar:  código.de.município  Deve ser formatado como (rdfs:Literal  or  xsd:string)</v>
      </c>
      <c r="W887" s="5" t="s">
        <v>5679</v>
      </c>
      <c r="X887" s="24" t="str">
        <f t="shared" si="360"/>
        <v>geolo.114</v>
      </c>
      <c r="Y887" s="24" t="str">
        <f t="shared" si="361"/>
        <v>Ação de geolocalizar</v>
      </c>
      <c r="Z887" s="47" t="s">
        <v>1506</v>
      </c>
      <c r="AA887" s="25" t="str">
        <f t="shared" si="374"/>
        <v>null</v>
      </c>
      <c r="AB887" s="26" t="s">
        <v>0</v>
      </c>
      <c r="AC887" s="25" t="str">
        <f t="shared" si="375"/>
        <v>null</v>
      </c>
      <c r="AD887" s="26" t="s">
        <v>0</v>
      </c>
      <c r="AE887" s="25" t="str">
        <f t="shared" si="364"/>
        <v>propriedade</v>
      </c>
      <c r="AF887" s="26" t="s">
        <v>2491</v>
      </c>
      <c r="AG887" s="47" t="s">
        <v>2850</v>
      </c>
    </row>
    <row r="888" spans="1:33" ht="6.9" customHeight="1" x14ac:dyDescent="0.4">
      <c r="A888" s="4">
        <f>ROW()</f>
        <v>888</v>
      </c>
      <c r="B888" s="9" t="s">
        <v>27</v>
      </c>
      <c r="C888" s="55" t="str">
        <f t="shared" si="372"/>
        <v>p.geolocalizar</v>
      </c>
      <c r="D888" s="6" t="str">
        <f t="shared" si="371"/>
        <v>é.código.de.município.completo</v>
      </c>
      <c r="E888" s="8" t="s">
        <v>28</v>
      </c>
      <c r="F888" s="42" t="str">
        <f t="shared" si="376"/>
        <v>d.geolocalizar</v>
      </c>
      <c r="G888" s="18" t="s">
        <v>734</v>
      </c>
      <c r="H888" s="41" t="s">
        <v>2121</v>
      </c>
      <c r="I888" s="16" t="str">
        <f t="shared" si="373"/>
        <v>null</v>
      </c>
      <c r="J888" s="13" t="s">
        <v>0</v>
      </c>
      <c r="K888" s="13" t="s">
        <v>0</v>
      </c>
      <c r="L888" s="13" t="s">
        <v>0</v>
      </c>
      <c r="M888" s="13" t="s">
        <v>0</v>
      </c>
      <c r="N888" s="15" t="s">
        <v>0</v>
      </c>
      <c r="O888" s="13" t="s">
        <v>0</v>
      </c>
      <c r="P888" s="13" t="s">
        <v>0</v>
      </c>
      <c r="Q888" s="13" t="s">
        <v>0</v>
      </c>
      <c r="R888" s="15" t="s">
        <v>0</v>
      </c>
      <c r="S888" s="10" t="s">
        <v>1</v>
      </c>
      <c r="T888" s="10" t="s">
        <v>32</v>
      </c>
      <c r="U888" s="5" t="str">
        <f t="shared" si="358"/>
        <v>Propriedade destinada a geolocalizar: é.código.de.município.completo</v>
      </c>
      <c r="V888" s="5" t="str">
        <f t="shared" si="359"/>
        <v>Dado para geolocalizar:  código.de.município.completo  Deve ser formatado como (rdfs:Literal  or  xsd:string)</v>
      </c>
      <c r="W888" s="5" t="s">
        <v>5680</v>
      </c>
      <c r="X888" s="24" t="str">
        <f t="shared" si="360"/>
        <v>geolo.115</v>
      </c>
      <c r="Y888" s="24" t="str">
        <f t="shared" si="361"/>
        <v>Ação de geolocalizar</v>
      </c>
      <c r="Z888" s="47" t="s">
        <v>1507</v>
      </c>
      <c r="AA888" s="25" t="str">
        <f t="shared" si="374"/>
        <v>null</v>
      </c>
      <c r="AB888" s="26" t="s">
        <v>0</v>
      </c>
      <c r="AC888" s="25" t="str">
        <f t="shared" si="375"/>
        <v>null</v>
      </c>
      <c r="AD888" s="26" t="s">
        <v>0</v>
      </c>
      <c r="AE888" s="25" t="str">
        <f t="shared" si="364"/>
        <v>propriedade</v>
      </c>
      <c r="AF888" s="26" t="s">
        <v>2491</v>
      </c>
      <c r="AG888" s="47" t="s">
        <v>2851</v>
      </c>
    </row>
    <row r="889" spans="1:33" ht="6.9" customHeight="1" x14ac:dyDescent="0.4">
      <c r="A889" s="4">
        <f>ROW()</f>
        <v>889</v>
      </c>
      <c r="B889" s="9" t="s">
        <v>27</v>
      </c>
      <c r="C889" s="55" t="str">
        <f t="shared" si="372"/>
        <v>p.geolocalizar</v>
      </c>
      <c r="D889" s="6" t="str">
        <f t="shared" si="371"/>
        <v>é.litoral</v>
      </c>
      <c r="E889" s="8" t="s">
        <v>28</v>
      </c>
      <c r="F889" s="42" t="str">
        <f>F887</f>
        <v>d.geolocalizar</v>
      </c>
      <c r="G889" s="18" t="s">
        <v>440</v>
      </c>
      <c r="H889" s="41" t="s">
        <v>2121</v>
      </c>
      <c r="I889" s="16" t="str">
        <f t="shared" si="373"/>
        <v>null</v>
      </c>
      <c r="J889" s="13" t="s">
        <v>0</v>
      </c>
      <c r="K889" s="13" t="s">
        <v>0</v>
      </c>
      <c r="L889" s="13" t="s">
        <v>0</v>
      </c>
      <c r="M889" s="13" t="s">
        <v>0</v>
      </c>
      <c r="N889" s="15" t="s">
        <v>0</v>
      </c>
      <c r="O889" s="13" t="s">
        <v>0</v>
      </c>
      <c r="P889" s="13" t="s">
        <v>0</v>
      </c>
      <c r="Q889" s="13" t="s">
        <v>0</v>
      </c>
      <c r="R889" s="15" t="s">
        <v>0</v>
      </c>
      <c r="S889" s="10" t="s">
        <v>1</v>
      </c>
      <c r="T889" s="10" t="s">
        <v>32</v>
      </c>
      <c r="U889" s="5" t="str">
        <f t="shared" si="358"/>
        <v>Propriedade destinada a geolocalizar: é.litoral</v>
      </c>
      <c r="V889" s="5" t="str">
        <f t="shared" si="359"/>
        <v>Dado para geolocalizar:  litoral  Deve ser formatado como (rdfs:Literal  or  xsd:string)</v>
      </c>
      <c r="W889" s="5" t="s">
        <v>5681</v>
      </c>
      <c r="X889" s="24" t="str">
        <f t="shared" si="360"/>
        <v>geolo.116</v>
      </c>
      <c r="Y889" s="24" t="str">
        <f t="shared" si="361"/>
        <v>Ação de geolocalizar</v>
      </c>
      <c r="Z889" s="47" t="s">
        <v>3894</v>
      </c>
      <c r="AA889" s="25" t="str">
        <f t="shared" si="374"/>
        <v>null</v>
      </c>
      <c r="AB889" s="26" t="s">
        <v>0</v>
      </c>
      <c r="AC889" s="25" t="str">
        <f t="shared" si="375"/>
        <v>null</v>
      </c>
      <c r="AD889" s="26" t="s">
        <v>0</v>
      </c>
      <c r="AE889" s="25" t="str">
        <f t="shared" si="364"/>
        <v>null</v>
      </c>
      <c r="AF889" s="26" t="s">
        <v>0</v>
      </c>
      <c r="AG889" s="47" t="s">
        <v>4716</v>
      </c>
    </row>
    <row r="890" spans="1:33" ht="6.9" customHeight="1" x14ac:dyDescent="0.4">
      <c r="A890" s="4">
        <f>ROW()</f>
        <v>890</v>
      </c>
      <c r="B890" s="9" t="s">
        <v>27</v>
      </c>
      <c r="C890" s="55" t="str">
        <f t="shared" si="372"/>
        <v>p.geolocalizar</v>
      </c>
      <c r="D890" s="6" t="str">
        <f t="shared" si="371"/>
        <v>é.ribeirinha</v>
      </c>
      <c r="E890" s="8" t="s">
        <v>28</v>
      </c>
      <c r="F890" s="42" t="str">
        <f>F887</f>
        <v>d.geolocalizar</v>
      </c>
      <c r="G890" s="18" t="s">
        <v>3892</v>
      </c>
      <c r="H890" s="41" t="s">
        <v>2121</v>
      </c>
      <c r="I890" s="16" t="str">
        <f t="shared" si="373"/>
        <v>null</v>
      </c>
      <c r="J890" s="13" t="s">
        <v>0</v>
      </c>
      <c r="K890" s="13" t="s">
        <v>0</v>
      </c>
      <c r="L890" s="13" t="s">
        <v>0</v>
      </c>
      <c r="M890" s="13" t="s">
        <v>0</v>
      </c>
      <c r="N890" s="15" t="s">
        <v>0</v>
      </c>
      <c r="O890" s="13" t="s">
        <v>0</v>
      </c>
      <c r="P890" s="13" t="s">
        <v>0</v>
      </c>
      <c r="Q890" s="13" t="s">
        <v>0</v>
      </c>
      <c r="R890" s="15" t="s">
        <v>0</v>
      </c>
      <c r="S890" s="10" t="s">
        <v>1</v>
      </c>
      <c r="T890" s="10" t="s">
        <v>32</v>
      </c>
      <c r="U890" s="5" t="str">
        <f t="shared" si="358"/>
        <v>Propriedade destinada a geolocalizar: é.ribeirinha</v>
      </c>
      <c r="V890" s="5" t="str">
        <f t="shared" si="359"/>
        <v>Dado para geolocalizar:  ribeirinha  Deve ser formatado como (rdfs:Literal  or  xsd:string)</v>
      </c>
      <c r="W890" s="5" t="s">
        <v>5682</v>
      </c>
      <c r="X890" s="24" t="str">
        <f t="shared" si="360"/>
        <v>geolo.117</v>
      </c>
      <c r="Y890" s="24" t="str">
        <f t="shared" si="361"/>
        <v>Ação de geolocalizar</v>
      </c>
      <c r="Z890" s="47" t="s">
        <v>3896</v>
      </c>
      <c r="AA890" s="25" t="str">
        <f t="shared" si="374"/>
        <v>null</v>
      </c>
      <c r="AB890" s="26" t="s">
        <v>0</v>
      </c>
      <c r="AC890" s="25" t="str">
        <f t="shared" si="375"/>
        <v>null</v>
      </c>
      <c r="AD890" s="26" t="s">
        <v>0</v>
      </c>
      <c r="AE890" s="25" t="str">
        <f t="shared" si="364"/>
        <v>null</v>
      </c>
      <c r="AF890" s="26" t="s">
        <v>0</v>
      </c>
      <c r="AG890" s="47" t="s">
        <v>4717</v>
      </c>
    </row>
    <row r="891" spans="1:33" ht="6.9" customHeight="1" x14ac:dyDescent="0.4">
      <c r="A891" s="4">
        <f>ROW()</f>
        <v>891</v>
      </c>
      <c r="B891" s="9" t="s">
        <v>27</v>
      </c>
      <c r="C891" s="55" t="str">
        <f t="shared" si="372"/>
        <v>p.geolocalizar</v>
      </c>
      <c r="D891" s="6" t="str">
        <f t="shared" si="371"/>
        <v>é.lacustre</v>
      </c>
      <c r="E891" s="8" t="s">
        <v>28</v>
      </c>
      <c r="F891" s="42" t="str">
        <f>F888</f>
        <v>d.geolocalizar</v>
      </c>
      <c r="G891" s="18" t="s">
        <v>3893</v>
      </c>
      <c r="H891" s="41" t="s">
        <v>2121</v>
      </c>
      <c r="I891" s="16" t="str">
        <f t="shared" si="373"/>
        <v>null</v>
      </c>
      <c r="J891" s="13" t="s">
        <v>0</v>
      </c>
      <c r="K891" s="13" t="s">
        <v>0</v>
      </c>
      <c r="L891" s="13" t="s">
        <v>0</v>
      </c>
      <c r="M891" s="13" t="s">
        <v>0</v>
      </c>
      <c r="N891" s="15" t="s">
        <v>0</v>
      </c>
      <c r="O891" s="13" t="s">
        <v>0</v>
      </c>
      <c r="P891" s="13" t="s">
        <v>0</v>
      </c>
      <c r="Q891" s="13" t="s">
        <v>0</v>
      </c>
      <c r="R891" s="15" t="s">
        <v>0</v>
      </c>
      <c r="S891" s="10" t="s">
        <v>1</v>
      </c>
      <c r="T891" s="10" t="s">
        <v>32</v>
      </c>
      <c r="U891" s="5" t="str">
        <f t="shared" si="358"/>
        <v>Propriedade destinada a geolocalizar: é.lacustre</v>
      </c>
      <c r="V891" s="5" t="str">
        <f t="shared" si="359"/>
        <v>Dado para geolocalizar:  lacustre  Deve ser formatado como (rdfs:Literal  or  xsd:string)</v>
      </c>
      <c r="W891" s="5" t="s">
        <v>5683</v>
      </c>
      <c r="X891" s="24" t="str">
        <f t="shared" si="360"/>
        <v>geolo.118</v>
      </c>
      <c r="Y891" s="24" t="str">
        <f t="shared" si="361"/>
        <v>Ação de geolocalizar</v>
      </c>
      <c r="Z891" s="47" t="s">
        <v>3895</v>
      </c>
      <c r="AA891" s="25" t="str">
        <f t="shared" si="374"/>
        <v>null</v>
      </c>
      <c r="AB891" s="26" t="s">
        <v>0</v>
      </c>
      <c r="AC891" s="25" t="str">
        <f t="shared" si="375"/>
        <v>null</v>
      </c>
      <c r="AD891" s="26" t="s">
        <v>0</v>
      </c>
      <c r="AE891" s="25" t="str">
        <f t="shared" si="364"/>
        <v>null</v>
      </c>
      <c r="AF891" s="26" t="s">
        <v>0</v>
      </c>
      <c r="AG891" s="47" t="s">
        <v>4718</v>
      </c>
    </row>
    <row r="892" spans="1:33" ht="6.9" customHeight="1" x14ac:dyDescent="0.4">
      <c r="A892" s="4">
        <f>ROW()</f>
        <v>892</v>
      </c>
      <c r="B892" s="9" t="s">
        <v>27</v>
      </c>
      <c r="C892" s="54" t="str">
        <f t="shared" si="372"/>
        <v>p.gerar</v>
      </c>
      <c r="D892" s="6" t="str">
        <f t="shared" si="371"/>
        <v>é.gerador</v>
      </c>
      <c r="E892" s="8" t="s">
        <v>28</v>
      </c>
      <c r="F892" s="51" t="s">
        <v>3583</v>
      </c>
      <c r="G892" s="18" t="s">
        <v>4426</v>
      </c>
      <c r="H892" s="41" t="s">
        <v>2121</v>
      </c>
      <c r="I892" s="16" t="str">
        <f t="shared" si="373"/>
        <v>null</v>
      </c>
      <c r="J892" s="13" t="s">
        <v>0</v>
      </c>
      <c r="K892" s="13" t="s">
        <v>0</v>
      </c>
      <c r="L892" s="13" t="s">
        <v>0</v>
      </c>
      <c r="M892" s="13" t="s">
        <v>0</v>
      </c>
      <c r="N892" s="15" t="s">
        <v>0</v>
      </c>
      <c r="O892" s="13" t="s">
        <v>0</v>
      </c>
      <c r="P892" s="13" t="s">
        <v>0</v>
      </c>
      <c r="Q892" s="13" t="s">
        <v>0</v>
      </c>
      <c r="R892" s="15" t="s">
        <v>7212</v>
      </c>
      <c r="S892" s="10" t="s">
        <v>1</v>
      </c>
      <c r="T892" s="10" t="s">
        <v>32</v>
      </c>
      <c r="U892" s="5" t="str">
        <f t="shared" si="358"/>
        <v>Propriedade destinada a gerar: é.gerador</v>
      </c>
      <c r="V892" s="5" t="str">
        <f t="shared" si="359"/>
        <v>Dado para gerar:  gerador  Deve ser formatado como (rdfs:Literal  or  xsd:string)</v>
      </c>
      <c r="W892" s="5" t="s">
        <v>5533</v>
      </c>
      <c r="X892" s="24" t="str">
        <f t="shared" si="360"/>
        <v>gerar.100</v>
      </c>
      <c r="Y892" s="24" t="str">
        <f t="shared" si="361"/>
        <v>Ação de gerar</v>
      </c>
      <c r="Z892" s="47" t="s">
        <v>3965</v>
      </c>
      <c r="AA892" s="25" t="str">
        <f t="shared" si="374"/>
        <v>categoria.revit</v>
      </c>
      <c r="AB892" s="26" t="s">
        <v>3511</v>
      </c>
      <c r="AC892" s="25" t="str">
        <f t="shared" si="375"/>
        <v>null</v>
      </c>
      <c r="AD892" s="26" t="s">
        <v>0</v>
      </c>
      <c r="AE892" s="25" t="str">
        <f t="shared" si="364"/>
        <v>null</v>
      </c>
      <c r="AF892" s="26" t="s">
        <v>0</v>
      </c>
      <c r="AG892" s="47" t="s">
        <v>4025</v>
      </c>
    </row>
    <row r="893" spans="1:33" ht="6.9" customHeight="1" x14ac:dyDescent="0.4">
      <c r="A893" s="4">
        <f>ROW()</f>
        <v>893</v>
      </c>
      <c r="B893" s="9" t="s">
        <v>27</v>
      </c>
      <c r="C893" s="55" t="str">
        <f t="shared" si="372"/>
        <v>p.gerar</v>
      </c>
      <c r="D893" s="6" t="str">
        <f t="shared" si="371"/>
        <v>é.inversor.on.grid</v>
      </c>
      <c r="E893" s="8" t="s">
        <v>28</v>
      </c>
      <c r="F893" s="42" t="str">
        <f>F892</f>
        <v>d.gerar</v>
      </c>
      <c r="G893" s="17" t="s">
        <v>4430</v>
      </c>
      <c r="H893" s="42" t="s">
        <v>2121</v>
      </c>
      <c r="I893" s="16" t="str">
        <f t="shared" si="373"/>
        <v>null</v>
      </c>
      <c r="J893" s="15" t="s">
        <v>0</v>
      </c>
      <c r="K893" s="15" t="s">
        <v>0</v>
      </c>
      <c r="L893" s="15" t="s">
        <v>0</v>
      </c>
      <c r="M893" s="15" t="s">
        <v>0</v>
      </c>
      <c r="N893" s="15" t="s">
        <v>0</v>
      </c>
      <c r="O893" s="15" t="s">
        <v>0</v>
      </c>
      <c r="P893" s="15" t="s">
        <v>0</v>
      </c>
      <c r="Q893" s="15" t="s">
        <v>0</v>
      </c>
      <c r="R893" s="15" t="s">
        <v>0</v>
      </c>
      <c r="S893" s="10" t="s">
        <v>1</v>
      </c>
      <c r="T893" s="10" t="s">
        <v>32</v>
      </c>
      <c r="U893" s="5" t="str">
        <f t="shared" si="358"/>
        <v>Propriedade destinada a gerar: é.inversor.on.grid</v>
      </c>
      <c r="V893" s="5" t="str">
        <f t="shared" si="359"/>
        <v>Dado para gerar:  inversor.on.grid  Deve ser formatado como (rdfs:Literal  or  xsd:string)</v>
      </c>
      <c r="W893" s="5" t="s">
        <v>5684</v>
      </c>
      <c r="X893" s="24" t="str">
        <f t="shared" si="360"/>
        <v>gerar.101</v>
      </c>
      <c r="Y893" s="24" t="str">
        <f t="shared" si="361"/>
        <v>Ação de gerar</v>
      </c>
      <c r="Z893" s="47" t="s">
        <v>3969</v>
      </c>
      <c r="AA893" s="25" t="str">
        <f t="shared" si="374"/>
        <v>categoria.revit</v>
      </c>
      <c r="AB893" s="26" t="s">
        <v>3511</v>
      </c>
      <c r="AC893" s="25" t="str">
        <f t="shared" si="375"/>
        <v>classe.ifc</v>
      </c>
      <c r="AD893" s="26" t="s">
        <v>3471</v>
      </c>
      <c r="AE893" s="25" t="str">
        <f t="shared" si="364"/>
        <v>null</v>
      </c>
      <c r="AF893" s="26" t="s">
        <v>0</v>
      </c>
      <c r="AG893" s="47" t="s">
        <v>4028</v>
      </c>
    </row>
    <row r="894" spans="1:33" ht="6.9" customHeight="1" x14ac:dyDescent="0.4">
      <c r="A894" s="4">
        <f>ROW()</f>
        <v>894</v>
      </c>
      <c r="B894" s="9" t="s">
        <v>27</v>
      </c>
      <c r="C894" s="55" t="str">
        <f t="shared" si="372"/>
        <v>p.gerar</v>
      </c>
      <c r="D894" s="6" t="str">
        <f t="shared" si="371"/>
        <v>é.inversor.off.grid</v>
      </c>
      <c r="E894" s="8" t="s">
        <v>28</v>
      </c>
      <c r="F894" s="42" t="str">
        <f>F893</f>
        <v>d.gerar</v>
      </c>
      <c r="G894" s="17" t="s">
        <v>4431</v>
      </c>
      <c r="H894" s="42" t="s">
        <v>2121</v>
      </c>
      <c r="I894" s="16" t="str">
        <f t="shared" si="373"/>
        <v>null</v>
      </c>
      <c r="J894" s="15" t="s">
        <v>0</v>
      </c>
      <c r="K894" s="15" t="s">
        <v>0</v>
      </c>
      <c r="L894" s="15" t="s">
        <v>0</v>
      </c>
      <c r="M894" s="15" t="s">
        <v>0</v>
      </c>
      <c r="N894" s="15" t="s">
        <v>0</v>
      </c>
      <c r="O894" s="15" t="s">
        <v>0</v>
      </c>
      <c r="P894" s="15" t="s">
        <v>0</v>
      </c>
      <c r="Q894" s="15" t="s">
        <v>0</v>
      </c>
      <c r="R894" s="15" t="s">
        <v>0</v>
      </c>
      <c r="S894" s="10" t="s">
        <v>1</v>
      </c>
      <c r="T894" s="10" t="s">
        <v>32</v>
      </c>
      <c r="U894" s="5" t="str">
        <f t="shared" si="358"/>
        <v>Propriedade destinada a gerar: é.inversor.off.grid</v>
      </c>
      <c r="V894" s="5" t="str">
        <f t="shared" si="359"/>
        <v>Dado para gerar:  inversor.off.grid  Deve ser formatado como (rdfs:Literal  or  xsd:string)</v>
      </c>
      <c r="W894" s="5" t="s">
        <v>5685</v>
      </c>
      <c r="X894" s="24" t="str">
        <f t="shared" si="360"/>
        <v>gerar.102</v>
      </c>
      <c r="Y894" s="24" t="str">
        <f t="shared" si="361"/>
        <v>Ação de gerar</v>
      </c>
      <c r="Z894" s="47" t="s">
        <v>3970</v>
      </c>
      <c r="AA894" s="25" t="str">
        <f t="shared" si="374"/>
        <v>categoria.revit</v>
      </c>
      <c r="AB894" s="26" t="s">
        <v>3511</v>
      </c>
      <c r="AC894" s="25" t="str">
        <f t="shared" si="375"/>
        <v>classe.ifc</v>
      </c>
      <c r="AD894" s="26" t="s">
        <v>3471</v>
      </c>
      <c r="AE894" s="25" t="str">
        <f t="shared" si="364"/>
        <v>null</v>
      </c>
      <c r="AF894" s="26" t="s">
        <v>0</v>
      </c>
      <c r="AG894" s="47" t="s">
        <v>4029</v>
      </c>
    </row>
    <row r="895" spans="1:33" ht="6.9" customHeight="1" x14ac:dyDescent="0.4">
      <c r="A895" s="4">
        <f>ROW()</f>
        <v>895</v>
      </c>
      <c r="B895" s="9" t="s">
        <v>27</v>
      </c>
      <c r="C895" s="55" t="str">
        <f t="shared" si="372"/>
        <v>p.gerar</v>
      </c>
      <c r="D895" s="6" t="str">
        <f t="shared" si="371"/>
        <v>é.microinversor</v>
      </c>
      <c r="E895" s="8" t="s">
        <v>28</v>
      </c>
      <c r="F895" s="42" t="str">
        <f>F894</f>
        <v>d.gerar</v>
      </c>
      <c r="G895" s="17" t="s">
        <v>4432</v>
      </c>
      <c r="H895" s="42" t="s">
        <v>2121</v>
      </c>
      <c r="I895" s="16" t="str">
        <f t="shared" si="373"/>
        <v>null</v>
      </c>
      <c r="J895" s="15" t="s">
        <v>0</v>
      </c>
      <c r="K895" s="15" t="s">
        <v>0</v>
      </c>
      <c r="L895" s="15" t="s">
        <v>0</v>
      </c>
      <c r="M895" s="15" t="s">
        <v>0</v>
      </c>
      <c r="N895" s="15" t="s">
        <v>0</v>
      </c>
      <c r="O895" s="15" t="s">
        <v>0</v>
      </c>
      <c r="P895" s="15" t="s">
        <v>0</v>
      </c>
      <c r="Q895" s="15" t="s">
        <v>0</v>
      </c>
      <c r="R895" s="15" t="s">
        <v>0</v>
      </c>
      <c r="S895" s="10" t="s">
        <v>1</v>
      </c>
      <c r="T895" s="10" t="s">
        <v>32</v>
      </c>
      <c r="U895" s="5" t="str">
        <f t="shared" si="358"/>
        <v>Propriedade destinada a gerar: é.microinversor</v>
      </c>
      <c r="V895" s="5" t="str">
        <f t="shared" si="359"/>
        <v>Dado para gerar:  microinversor  Deve ser formatado como (rdfs:Literal  or  xsd:string)</v>
      </c>
      <c r="W895" s="5" t="s">
        <v>5685</v>
      </c>
      <c r="X895" s="24" t="str">
        <f t="shared" si="360"/>
        <v>gerar.103</v>
      </c>
      <c r="Y895" s="24" t="str">
        <f t="shared" si="361"/>
        <v>Ação de gerar</v>
      </c>
      <c r="Z895" s="47" t="s">
        <v>3970</v>
      </c>
      <c r="AA895" s="25" t="str">
        <f t="shared" si="374"/>
        <v>categoria.revit</v>
      </c>
      <c r="AB895" s="26" t="s">
        <v>3511</v>
      </c>
      <c r="AC895" s="25" t="str">
        <f t="shared" si="375"/>
        <v>classe.ifc</v>
      </c>
      <c r="AD895" s="26" t="s">
        <v>3471</v>
      </c>
      <c r="AE895" s="25" t="str">
        <f t="shared" si="364"/>
        <v>null</v>
      </c>
      <c r="AF895" s="26" t="s">
        <v>0</v>
      </c>
      <c r="AG895" s="47" t="s">
        <v>4029</v>
      </c>
    </row>
    <row r="896" spans="1:33" ht="6.9" customHeight="1" x14ac:dyDescent="0.4">
      <c r="A896" s="4">
        <f>ROW()</f>
        <v>896</v>
      </c>
      <c r="B896" s="9" t="s">
        <v>27</v>
      </c>
      <c r="C896" s="55" t="str">
        <f t="shared" si="372"/>
        <v>p.gerar</v>
      </c>
      <c r="D896" s="6" t="str">
        <f t="shared" si="371"/>
        <v>é.módulo.fotovoltaico</v>
      </c>
      <c r="E896" s="8" t="s">
        <v>28</v>
      </c>
      <c r="F896" s="42" t="str">
        <f>F895</f>
        <v>d.gerar</v>
      </c>
      <c r="G896" s="17" t="s">
        <v>6954</v>
      </c>
      <c r="H896" s="42" t="s">
        <v>2121</v>
      </c>
      <c r="I896" s="16" t="str">
        <f t="shared" si="373"/>
        <v>null</v>
      </c>
      <c r="J896" s="15" t="s">
        <v>0</v>
      </c>
      <c r="K896" s="15" t="s">
        <v>0</v>
      </c>
      <c r="L896" s="15" t="s">
        <v>0</v>
      </c>
      <c r="M896" s="15" t="s">
        <v>0</v>
      </c>
      <c r="N896" s="15" t="s">
        <v>0</v>
      </c>
      <c r="O896" s="15" t="s">
        <v>0</v>
      </c>
      <c r="P896" s="15" t="s">
        <v>0</v>
      </c>
      <c r="Q896" s="15" t="s">
        <v>0</v>
      </c>
      <c r="R896" s="15" t="s">
        <v>7213</v>
      </c>
      <c r="S896" s="10" t="s">
        <v>1</v>
      </c>
      <c r="T896" s="10" t="s">
        <v>32</v>
      </c>
      <c r="U896" s="5" t="str">
        <f t="shared" si="358"/>
        <v>Propriedade destinada a gerar: é.módulo.fotovoltaico</v>
      </c>
      <c r="V896" s="5" t="str">
        <f t="shared" si="359"/>
        <v>Dado para gerar:  módulo.fotovoltaico  Deve ser formatado como (rdfs:Literal  or  xsd:string)</v>
      </c>
      <c r="W896" s="5" t="s">
        <v>5686</v>
      </c>
      <c r="X896" s="24" t="str">
        <f t="shared" si="360"/>
        <v>gerar.104</v>
      </c>
      <c r="Y896" s="24" t="str">
        <f t="shared" si="361"/>
        <v>Ação de gerar</v>
      </c>
      <c r="Z896" s="47" t="s">
        <v>3971</v>
      </c>
      <c r="AA896" s="25" t="str">
        <f t="shared" si="374"/>
        <v>categoria.revit</v>
      </c>
      <c r="AB896" s="26" t="s">
        <v>3511</v>
      </c>
      <c r="AC896" s="25" t="str">
        <f t="shared" si="375"/>
        <v>classe.ifc</v>
      </c>
      <c r="AD896" s="26" t="s">
        <v>3471</v>
      </c>
      <c r="AE896" s="25" t="str">
        <f t="shared" si="364"/>
        <v>null</v>
      </c>
      <c r="AF896" s="26" t="s">
        <v>0</v>
      </c>
      <c r="AG896" s="47" t="s">
        <v>4030</v>
      </c>
    </row>
    <row r="897" spans="1:33" ht="6.9" customHeight="1" x14ac:dyDescent="0.4">
      <c r="A897" s="4">
        <f>ROW()</f>
        <v>897</v>
      </c>
      <c r="B897" s="9" t="s">
        <v>27</v>
      </c>
      <c r="C897" s="54" t="str">
        <f t="shared" si="372"/>
        <v>p.gestionar</v>
      </c>
      <c r="D897" s="6" t="str">
        <f t="shared" si="371"/>
        <v>é.art</v>
      </c>
      <c r="E897" s="8" t="s">
        <v>28</v>
      </c>
      <c r="F897" s="51" t="s">
        <v>3584</v>
      </c>
      <c r="G897" s="18" t="s">
        <v>95</v>
      </c>
      <c r="H897" s="41" t="s">
        <v>2121</v>
      </c>
      <c r="I897" s="16" t="str">
        <f t="shared" si="373"/>
        <v>null</v>
      </c>
      <c r="J897" s="13" t="s">
        <v>0</v>
      </c>
      <c r="K897" s="13" t="s">
        <v>0</v>
      </c>
      <c r="L897" s="13" t="s">
        <v>0</v>
      </c>
      <c r="M897" s="13" t="s">
        <v>0</v>
      </c>
      <c r="N897" s="15" t="s">
        <v>0</v>
      </c>
      <c r="O897" s="13" t="s">
        <v>0</v>
      </c>
      <c r="P897" s="13" t="s">
        <v>0</v>
      </c>
      <c r="Q897" s="13" t="s">
        <v>0</v>
      </c>
      <c r="R897" s="15" t="s">
        <v>0</v>
      </c>
      <c r="S897" s="10" t="s">
        <v>1</v>
      </c>
      <c r="T897" s="10" t="s">
        <v>32</v>
      </c>
      <c r="U897" s="5" t="str">
        <f t="shared" si="358"/>
        <v>Propriedade destinada a gestionar: é.art</v>
      </c>
      <c r="V897" s="5" t="str">
        <f t="shared" si="359"/>
        <v>Dado para gestionar:  art  Deve ser formatado como (rdfs:Literal  or  xsd:string)</v>
      </c>
      <c r="W897" s="5" t="s">
        <v>5687</v>
      </c>
      <c r="X897" s="24" t="str">
        <f t="shared" si="360"/>
        <v>gesti.100</v>
      </c>
      <c r="Y897" s="24" t="str">
        <f t="shared" si="361"/>
        <v>Ação de gestionar</v>
      </c>
      <c r="Z897" s="47" t="s">
        <v>3836</v>
      </c>
      <c r="AA897" s="25" t="str">
        <f t="shared" si="374"/>
        <v>null</v>
      </c>
      <c r="AB897" s="26" t="s">
        <v>0</v>
      </c>
      <c r="AC897" s="25" t="str">
        <f t="shared" si="375"/>
        <v>null</v>
      </c>
      <c r="AD897" s="26" t="s">
        <v>0</v>
      </c>
      <c r="AE897" s="25" t="str">
        <f t="shared" si="364"/>
        <v>null</v>
      </c>
      <c r="AF897" s="26" t="s">
        <v>0</v>
      </c>
      <c r="AG897" s="47" t="s">
        <v>4719</v>
      </c>
    </row>
    <row r="898" spans="1:33" ht="6.9" customHeight="1" x14ac:dyDescent="0.4">
      <c r="A898" s="4">
        <f>ROW()</f>
        <v>898</v>
      </c>
      <c r="B898" s="9" t="s">
        <v>27</v>
      </c>
      <c r="C898" s="55" t="str">
        <f t="shared" si="372"/>
        <v>p.gestionar</v>
      </c>
      <c r="D898" s="6" t="str">
        <f t="shared" si="371"/>
        <v>é.ativo</v>
      </c>
      <c r="E898" s="8" t="s">
        <v>28</v>
      </c>
      <c r="F898" s="42" t="str">
        <f t="shared" ref="F898:F943" si="377">F897</f>
        <v>d.gestionar</v>
      </c>
      <c r="G898" s="17" t="s">
        <v>1053</v>
      </c>
      <c r="H898" s="42" t="s">
        <v>2121</v>
      </c>
      <c r="I898" s="16" t="str">
        <f t="shared" si="373"/>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78">_xlfn.CONCAT("Propriedade destinada a ",MID(C898,FIND("p.",C898,1)+2,100),": ",D898)</f>
        <v>Propriedade destinada a gestionar: é.ativo</v>
      </c>
      <c r="V898" s="5" t="str">
        <f t="shared" ref="V898:V961" si="379">_xlfn.CONCAT("Dado para ",MID(F898,FIND("d.",F898,1)+2,100),":  ",G898, "  Deve ser formatado como (",H898, ")")</f>
        <v>Dado para gestionar:  ativo  Deve ser formatado como (rdfs:Literal  or  xsd:string)</v>
      </c>
      <c r="W898" s="5" t="s">
        <v>5688</v>
      </c>
      <c r="X898" s="24" t="str">
        <f t="shared" si="360"/>
        <v>gesti.101</v>
      </c>
      <c r="Y898" s="24" t="str">
        <f t="shared" si="361"/>
        <v>Ação de gestionar</v>
      </c>
      <c r="Z898" s="47" t="s">
        <v>3837</v>
      </c>
      <c r="AA898" s="25" t="str">
        <f t="shared" si="374"/>
        <v>null</v>
      </c>
      <c r="AB898" s="26" t="s">
        <v>0</v>
      </c>
      <c r="AC898" s="25" t="str">
        <f t="shared" si="375"/>
        <v>null</v>
      </c>
      <c r="AD898" s="26" t="s">
        <v>0</v>
      </c>
      <c r="AE898" s="25" t="str">
        <f t="shared" si="364"/>
        <v>null</v>
      </c>
      <c r="AF898" s="26" t="s">
        <v>0</v>
      </c>
      <c r="AG898" s="47" t="s">
        <v>3883</v>
      </c>
    </row>
    <row r="899" spans="1:33" ht="6.9" customHeight="1" x14ac:dyDescent="0.4">
      <c r="A899" s="4">
        <f>ROW()</f>
        <v>899</v>
      </c>
      <c r="B899" s="9" t="s">
        <v>27</v>
      </c>
      <c r="C899" s="55" t="str">
        <f t="shared" si="372"/>
        <v>p.gestionar</v>
      </c>
      <c r="D899" s="6" t="str">
        <f t="shared" si="371"/>
        <v>é.ator</v>
      </c>
      <c r="E899" s="8" t="s">
        <v>28</v>
      </c>
      <c r="F899" s="42" t="str">
        <f t="shared" si="377"/>
        <v>d.gestionar</v>
      </c>
      <c r="G899" s="17" t="s">
        <v>1064</v>
      </c>
      <c r="H899" s="42" t="s">
        <v>2121</v>
      </c>
      <c r="I899" s="16" t="str">
        <f t="shared" si="373"/>
        <v>null</v>
      </c>
      <c r="J899" s="15" t="s">
        <v>0</v>
      </c>
      <c r="K899" s="15" t="s">
        <v>0</v>
      </c>
      <c r="L899" s="15" t="s">
        <v>0</v>
      </c>
      <c r="M899" s="15" t="s">
        <v>0</v>
      </c>
      <c r="N899" s="15" t="s">
        <v>0</v>
      </c>
      <c r="O899" s="15" t="s">
        <v>0</v>
      </c>
      <c r="P899" s="15" t="s">
        <v>0</v>
      </c>
      <c r="Q899" s="15" t="s">
        <v>0</v>
      </c>
      <c r="R899" s="15" t="s">
        <v>0</v>
      </c>
      <c r="S899" s="10" t="s">
        <v>1</v>
      </c>
      <c r="T899" s="10" t="s">
        <v>32</v>
      </c>
      <c r="U899" s="5" t="str">
        <f t="shared" si="378"/>
        <v>Propriedade destinada a gestionar: é.ator</v>
      </c>
      <c r="V899" s="5" t="str">
        <f t="shared" si="379"/>
        <v>Dado para gestionar:  ator  Deve ser formatado como (rdfs:Literal  or  xsd:string)</v>
      </c>
      <c r="W899" s="5" t="s">
        <v>5689</v>
      </c>
      <c r="X899" s="24" t="str">
        <f t="shared" ref="X899:X962" si="380">IF(F898&lt;&gt;F899,_xlfn.CONCAT(RIGHT(LEFT(F899,7),5),".100"),_xlfn.CONCAT(RIGHT(LEFT(F899,7),5),".",SUM(VALUE(RIGHT(X898,3)),1)))</f>
        <v>gesti.102</v>
      </c>
      <c r="Y899" s="24" t="str">
        <f t="shared" ref="Y899:Y962" si="381">_xlfn.CONCAT("Ação de ", SUBSTITUTE(F899, "d.",  ""))</f>
        <v>Ação de gestionar</v>
      </c>
      <c r="Z899" s="47" t="s">
        <v>3803</v>
      </c>
      <c r="AA899" s="25" t="str">
        <f t="shared" si="374"/>
        <v>null</v>
      </c>
      <c r="AB899" s="26" t="s">
        <v>0</v>
      </c>
      <c r="AC899" s="25" t="str">
        <f t="shared" si="375"/>
        <v>null</v>
      </c>
      <c r="AD899" s="26" t="s">
        <v>0</v>
      </c>
      <c r="AE899" s="25" t="str">
        <f t="shared" si="364"/>
        <v>null</v>
      </c>
      <c r="AF899" s="26" t="s">
        <v>0</v>
      </c>
      <c r="AG899" s="47" t="s">
        <v>3851</v>
      </c>
    </row>
    <row r="900" spans="1:33" ht="6.9" customHeight="1" x14ac:dyDescent="0.4">
      <c r="A900" s="4">
        <f>ROW()</f>
        <v>900</v>
      </c>
      <c r="B900" s="9" t="s">
        <v>27</v>
      </c>
      <c r="C900" s="55" t="str">
        <f t="shared" si="372"/>
        <v>p.gestionar</v>
      </c>
      <c r="D900" s="6" t="str">
        <f t="shared" si="371"/>
        <v>é.bep</v>
      </c>
      <c r="E900" s="8" t="s">
        <v>28</v>
      </c>
      <c r="F900" s="42" t="str">
        <f t="shared" si="377"/>
        <v>d.gestionar</v>
      </c>
      <c r="G900" s="17" t="s">
        <v>1112</v>
      </c>
      <c r="H900" s="42" t="s">
        <v>2121</v>
      </c>
      <c r="I900" s="16" t="str">
        <f t="shared" si="373"/>
        <v>null</v>
      </c>
      <c r="J900" s="15" t="s">
        <v>0</v>
      </c>
      <c r="K900" s="15" t="s">
        <v>0</v>
      </c>
      <c r="L900" s="15" t="s">
        <v>0</v>
      </c>
      <c r="M900" s="15" t="s">
        <v>0</v>
      </c>
      <c r="N900" s="15" t="s">
        <v>0</v>
      </c>
      <c r="O900" s="15" t="s">
        <v>0</v>
      </c>
      <c r="P900" s="15" t="s">
        <v>0</v>
      </c>
      <c r="Q900" s="15" t="s">
        <v>0</v>
      </c>
      <c r="R900" s="15" t="s">
        <v>0</v>
      </c>
      <c r="S900" s="10" t="s">
        <v>1</v>
      </c>
      <c r="T900" s="10" t="s">
        <v>32</v>
      </c>
      <c r="U900" s="5" t="str">
        <f t="shared" si="378"/>
        <v>Propriedade destinada a gestionar: é.bep</v>
      </c>
      <c r="V900" s="5" t="str">
        <f t="shared" si="379"/>
        <v>Dado para gestionar:  bep  Deve ser formatado como (rdfs:Literal  or  xsd:string)</v>
      </c>
      <c r="W900" s="5" t="s">
        <v>5690</v>
      </c>
      <c r="X900" s="24" t="str">
        <f t="shared" si="380"/>
        <v>gesti.103</v>
      </c>
      <c r="Y900" s="24" t="str">
        <f t="shared" si="381"/>
        <v>Ação de gestionar</v>
      </c>
      <c r="Z900" s="47" t="s">
        <v>3804</v>
      </c>
      <c r="AA900" s="25" t="str">
        <f t="shared" si="374"/>
        <v>null</v>
      </c>
      <c r="AB900" s="26" t="s">
        <v>0</v>
      </c>
      <c r="AC900" s="25" t="str">
        <f t="shared" si="375"/>
        <v>null</v>
      </c>
      <c r="AD900" s="26" t="s">
        <v>0</v>
      </c>
      <c r="AE900" s="25" t="str">
        <f t="shared" si="364"/>
        <v>null</v>
      </c>
      <c r="AF900" s="26" t="s">
        <v>0</v>
      </c>
      <c r="AG900" s="47" t="s">
        <v>3852</v>
      </c>
    </row>
    <row r="901" spans="1:33" ht="6.9" customHeight="1" x14ac:dyDescent="0.4">
      <c r="A901" s="4">
        <f>ROW()</f>
        <v>901</v>
      </c>
      <c r="B901" s="9" t="s">
        <v>27</v>
      </c>
      <c r="C901" s="55" t="str">
        <f t="shared" si="372"/>
        <v>p.gestionar</v>
      </c>
      <c r="D901" s="6" t="str">
        <f t="shared" si="371"/>
        <v>é.bim</v>
      </c>
      <c r="E901" s="8" t="s">
        <v>28</v>
      </c>
      <c r="F901" s="42" t="str">
        <f t="shared" si="377"/>
        <v>d.gestionar</v>
      </c>
      <c r="G901" s="17" t="s">
        <v>1070</v>
      </c>
      <c r="H901" s="42" t="s">
        <v>2121</v>
      </c>
      <c r="I901" s="16" t="str">
        <f t="shared" si="373"/>
        <v>null</v>
      </c>
      <c r="J901" s="15" t="s">
        <v>0</v>
      </c>
      <c r="K901" s="15" t="s">
        <v>0</v>
      </c>
      <c r="L901" s="15" t="s">
        <v>0</v>
      </c>
      <c r="M901" s="15" t="s">
        <v>0</v>
      </c>
      <c r="N901" s="15" t="s">
        <v>0</v>
      </c>
      <c r="O901" s="15" t="s">
        <v>0</v>
      </c>
      <c r="P901" s="15" t="s">
        <v>0</v>
      </c>
      <c r="Q901" s="15" t="s">
        <v>0</v>
      </c>
      <c r="R901" s="15" t="s">
        <v>0</v>
      </c>
      <c r="S901" s="10" t="s">
        <v>1</v>
      </c>
      <c r="T901" s="10" t="s">
        <v>32</v>
      </c>
      <c r="U901" s="5" t="str">
        <f t="shared" si="378"/>
        <v>Propriedade destinada a gestionar: é.bim</v>
      </c>
      <c r="V901" s="5" t="str">
        <f t="shared" si="379"/>
        <v>Dado para gestionar:  bim  Deve ser formatado como (rdfs:Literal  or  xsd:string)</v>
      </c>
      <c r="W901" s="5" t="s">
        <v>5691</v>
      </c>
      <c r="X901" s="24" t="str">
        <f t="shared" si="380"/>
        <v>gesti.104</v>
      </c>
      <c r="Y901" s="24" t="str">
        <f t="shared" si="381"/>
        <v>Ação de gestionar</v>
      </c>
      <c r="Z901" s="47" t="s">
        <v>3805</v>
      </c>
      <c r="AA901" s="25" t="str">
        <f t="shared" si="374"/>
        <v>null</v>
      </c>
      <c r="AB901" s="26" t="s">
        <v>0</v>
      </c>
      <c r="AC901" s="25" t="str">
        <f t="shared" si="375"/>
        <v>null</v>
      </c>
      <c r="AD901" s="26" t="s">
        <v>0</v>
      </c>
      <c r="AE901" s="25" t="str">
        <f t="shared" si="364"/>
        <v>null</v>
      </c>
      <c r="AF901" s="26" t="s">
        <v>0</v>
      </c>
      <c r="AG901" s="47" t="s">
        <v>3853</v>
      </c>
    </row>
    <row r="902" spans="1:33" ht="6.9" customHeight="1" x14ac:dyDescent="0.4">
      <c r="A902" s="4">
        <f>ROW()</f>
        <v>902</v>
      </c>
      <c r="B902" s="9" t="s">
        <v>27</v>
      </c>
      <c r="C902" s="55" t="str">
        <f t="shared" si="372"/>
        <v>p.gestionar</v>
      </c>
      <c r="D902" s="6" t="str">
        <f t="shared" si="371"/>
        <v>é.capacidade</v>
      </c>
      <c r="E902" s="8" t="s">
        <v>28</v>
      </c>
      <c r="F902" s="42" t="str">
        <f t="shared" si="377"/>
        <v>d.gestionar</v>
      </c>
      <c r="G902" s="17" t="s">
        <v>278</v>
      </c>
      <c r="H902" s="42" t="s">
        <v>2121</v>
      </c>
      <c r="I902" s="16" t="str">
        <f t="shared" si="373"/>
        <v>null</v>
      </c>
      <c r="J902" s="15" t="s">
        <v>0</v>
      </c>
      <c r="K902" s="15" t="s">
        <v>0</v>
      </c>
      <c r="L902" s="15" t="s">
        <v>0</v>
      </c>
      <c r="M902" s="15" t="s">
        <v>0</v>
      </c>
      <c r="N902" s="15" t="s">
        <v>0</v>
      </c>
      <c r="O902" s="15" t="s">
        <v>0</v>
      </c>
      <c r="P902" s="15" t="s">
        <v>0</v>
      </c>
      <c r="Q902" s="15" t="s">
        <v>0</v>
      </c>
      <c r="R902" s="15" t="s">
        <v>0</v>
      </c>
      <c r="S902" s="10" t="s">
        <v>1</v>
      </c>
      <c r="T902" s="10" t="s">
        <v>32</v>
      </c>
      <c r="U902" s="5" t="str">
        <f t="shared" si="378"/>
        <v>Propriedade destinada a gestionar: é.capacidade</v>
      </c>
      <c r="V902" s="5" t="str">
        <f t="shared" si="379"/>
        <v>Dado para gestionar:  capacidade  Deve ser formatado como (rdfs:Literal  or  xsd:string)</v>
      </c>
      <c r="W902" s="5" t="s">
        <v>5692</v>
      </c>
      <c r="X902" s="24" t="str">
        <f t="shared" si="380"/>
        <v>gesti.105</v>
      </c>
      <c r="Y902" s="24" t="str">
        <f t="shared" si="381"/>
        <v>Ação de gestionar</v>
      </c>
      <c r="Z902" s="47" t="s">
        <v>3806</v>
      </c>
      <c r="AA902" s="25" t="str">
        <f t="shared" si="374"/>
        <v>null</v>
      </c>
      <c r="AB902" s="26" t="s">
        <v>0</v>
      </c>
      <c r="AC902" s="25" t="str">
        <f t="shared" si="375"/>
        <v>null</v>
      </c>
      <c r="AD902" s="26" t="s">
        <v>0</v>
      </c>
      <c r="AE902" s="25" t="str">
        <f t="shared" si="364"/>
        <v>null</v>
      </c>
      <c r="AF902" s="26" t="s">
        <v>0</v>
      </c>
      <c r="AG902" s="47" t="s">
        <v>3854</v>
      </c>
    </row>
    <row r="903" spans="1:33" ht="6.9" customHeight="1" x14ac:dyDescent="0.4">
      <c r="A903" s="4">
        <f>ROW()</f>
        <v>903</v>
      </c>
      <c r="B903" s="9" t="s">
        <v>27</v>
      </c>
      <c r="C903" s="55" t="str">
        <f t="shared" si="372"/>
        <v>p.gestionar</v>
      </c>
      <c r="D903" s="6" t="str">
        <f t="shared" si="371"/>
        <v>é.cde</v>
      </c>
      <c r="E903" s="8" t="s">
        <v>28</v>
      </c>
      <c r="F903" s="42" t="str">
        <f t="shared" si="377"/>
        <v>d.gestionar</v>
      </c>
      <c r="G903" s="17" t="s">
        <v>57</v>
      </c>
      <c r="H903" s="42" t="s">
        <v>2121</v>
      </c>
      <c r="I903" s="16" t="str">
        <f t="shared" si="373"/>
        <v>null</v>
      </c>
      <c r="J903" s="15" t="s">
        <v>0</v>
      </c>
      <c r="K903" s="15" t="s">
        <v>0</v>
      </c>
      <c r="L903" s="15" t="s">
        <v>0</v>
      </c>
      <c r="M903" s="15" t="s">
        <v>0</v>
      </c>
      <c r="N903" s="15" t="s">
        <v>0</v>
      </c>
      <c r="O903" s="15" t="s">
        <v>0</v>
      </c>
      <c r="P903" s="15" t="s">
        <v>0</v>
      </c>
      <c r="Q903" s="15" t="s">
        <v>0</v>
      </c>
      <c r="R903" s="15" t="s">
        <v>0</v>
      </c>
      <c r="S903" s="10" t="s">
        <v>1</v>
      </c>
      <c r="T903" s="10" t="s">
        <v>32</v>
      </c>
      <c r="U903" s="5" t="str">
        <f t="shared" si="378"/>
        <v>Propriedade destinada a gestionar: é.cde</v>
      </c>
      <c r="V903" s="5" t="str">
        <f t="shared" si="379"/>
        <v>Dado para gestionar:  cde  Deve ser formatado como (rdfs:Literal  or  xsd:string)</v>
      </c>
      <c r="W903" s="5" t="s">
        <v>5693</v>
      </c>
      <c r="X903" s="24" t="str">
        <f t="shared" si="380"/>
        <v>gesti.106</v>
      </c>
      <c r="Y903" s="24" t="str">
        <f t="shared" si="381"/>
        <v>Ação de gestionar</v>
      </c>
      <c r="Z903" s="47" t="s">
        <v>3838</v>
      </c>
      <c r="AA903" s="25" t="str">
        <f t="shared" si="374"/>
        <v>null</v>
      </c>
      <c r="AB903" s="26" t="s">
        <v>0</v>
      </c>
      <c r="AC903" s="25" t="str">
        <f t="shared" si="375"/>
        <v>null</v>
      </c>
      <c r="AD903" s="26" t="s">
        <v>0</v>
      </c>
      <c r="AE903" s="25" t="str">
        <f t="shared" si="364"/>
        <v>null</v>
      </c>
      <c r="AF903" s="26" t="s">
        <v>0</v>
      </c>
      <c r="AG903" s="47" t="s">
        <v>3874</v>
      </c>
    </row>
    <row r="904" spans="1:33" ht="6.9" customHeight="1" x14ac:dyDescent="0.4">
      <c r="A904" s="4">
        <f>ROW()</f>
        <v>904</v>
      </c>
      <c r="B904" s="9" t="s">
        <v>27</v>
      </c>
      <c r="C904" s="55" t="str">
        <f t="shared" si="372"/>
        <v>p.gestionar</v>
      </c>
      <c r="D904" s="6" t="str">
        <f t="shared" si="371"/>
        <v>é.cliente</v>
      </c>
      <c r="E904" s="8" t="s">
        <v>28</v>
      </c>
      <c r="F904" s="42" t="str">
        <f t="shared" si="377"/>
        <v>d.gestionar</v>
      </c>
      <c r="G904" s="17" t="s">
        <v>243</v>
      </c>
      <c r="H904" s="42" t="s">
        <v>2121</v>
      </c>
      <c r="I904" s="16" t="str">
        <f t="shared" si="373"/>
        <v>null</v>
      </c>
      <c r="J904" s="15" t="s">
        <v>0</v>
      </c>
      <c r="K904" s="15" t="s">
        <v>0</v>
      </c>
      <c r="L904" s="15" t="s">
        <v>0</v>
      </c>
      <c r="M904" s="15" t="s">
        <v>0</v>
      </c>
      <c r="N904" s="15" t="s">
        <v>0</v>
      </c>
      <c r="O904" s="15" t="s">
        <v>0</v>
      </c>
      <c r="P904" s="15" t="s">
        <v>0</v>
      </c>
      <c r="Q904" s="15" t="s">
        <v>0</v>
      </c>
      <c r="R904" s="15" t="s">
        <v>1079</v>
      </c>
      <c r="S904" s="10" t="s">
        <v>1</v>
      </c>
      <c r="T904" s="10" t="s">
        <v>32</v>
      </c>
      <c r="U904" s="5" t="str">
        <f t="shared" si="378"/>
        <v>Propriedade destinada a gestionar: é.cliente</v>
      </c>
      <c r="V904" s="5" t="str">
        <f t="shared" si="379"/>
        <v>Dado para gestionar:  cliente  Deve ser formatado como (rdfs:Literal  or  xsd:string)</v>
      </c>
      <c r="W904" s="5" t="s">
        <v>5694</v>
      </c>
      <c r="X904" s="24" t="str">
        <f t="shared" si="380"/>
        <v>gesti.107</v>
      </c>
      <c r="Y904" s="24" t="str">
        <f t="shared" si="381"/>
        <v>Ação de gestionar</v>
      </c>
      <c r="Z904" s="47" t="s">
        <v>3808</v>
      </c>
      <c r="AA904" s="25" t="str">
        <f t="shared" si="374"/>
        <v>null</v>
      </c>
      <c r="AB904" s="26" t="s">
        <v>0</v>
      </c>
      <c r="AC904" s="25" t="str">
        <f t="shared" si="375"/>
        <v>null</v>
      </c>
      <c r="AD904" s="26" t="s">
        <v>0</v>
      </c>
      <c r="AE904" s="25" t="str">
        <f t="shared" ref="AE904:AE967" si="382">IF(AF904="null", "null", "propriedade")</f>
        <v>null</v>
      </c>
      <c r="AF904" s="26" t="s">
        <v>0</v>
      </c>
      <c r="AG904" s="47" t="s">
        <v>3856</v>
      </c>
    </row>
    <row r="905" spans="1:33" ht="6.9" customHeight="1" x14ac:dyDescent="0.4">
      <c r="A905" s="4">
        <f>ROW()</f>
        <v>905</v>
      </c>
      <c r="B905" s="9" t="s">
        <v>27</v>
      </c>
      <c r="C905" s="55" t="str">
        <f t="shared" si="372"/>
        <v>p.gestionar</v>
      </c>
      <c r="D905" s="6" t="str">
        <f t="shared" si="371"/>
        <v>é.código.de.estado</v>
      </c>
      <c r="E905" s="8" t="s">
        <v>28</v>
      </c>
      <c r="F905" s="42" t="str">
        <f t="shared" si="377"/>
        <v>d.gestionar</v>
      </c>
      <c r="G905" s="17" t="s">
        <v>1069</v>
      </c>
      <c r="H905" s="42" t="s">
        <v>2121</v>
      </c>
      <c r="I905" s="16" t="str">
        <f t="shared" si="373"/>
        <v>null</v>
      </c>
      <c r="J905" s="15" t="s">
        <v>0</v>
      </c>
      <c r="K905" s="15" t="s">
        <v>0</v>
      </c>
      <c r="L905" s="15" t="s">
        <v>0</v>
      </c>
      <c r="M905" s="15" t="s">
        <v>0</v>
      </c>
      <c r="N905" s="15" t="s">
        <v>0</v>
      </c>
      <c r="O905" s="15" t="s">
        <v>0</v>
      </c>
      <c r="P905" s="15" t="s">
        <v>0</v>
      </c>
      <c r="Q905" s="15" t="s">
        <v>0</v>
      </c>
      <c r="R905" s="15" t="s">
        <v>0</v>
      </c>
      <c r="S905" s="10" t="s">
        <v>1</v>
      </c>
      <c r="T905" s="10" t="s">
        <v>32</v>
      </c>
      <c r="U905" s="5" t="str">
        <f t="shared" si="378"/>
        <v>Propriedade destinada a gestionar: é.código.de.estado</v>
      </c>
      <c r="V905" s="5" t="str">
        <f t="shared" si="379"/>
        <v>Dado para gestionar:  código.de.estado  Deve ser formatado como (rdfs:Literal  or  xsd:string)</v>
      </c>
      <c r="W905" s="5" t="s">
        <v>5695</v>
      </c>
      <c r="X905" s="24" t="str">
        <f t="shared" si="380"/>
        <v>gesti.108</v>
      </c>
      <c r="Y905" s="24" t="str">
        <f t="shared" si="381"/>
        <v>Ação de gestionar</v>
      </c>
      <c r="Z905" s="47" t="s">
        <v>3839</v>
      </c>
      <c r="AA905" s="25" t="str">
        <f t="shared" si="374"/>
        <v>null</v>
      </c>
      <c r="AB905" s="26" t="s">
        <v>0</v>
      </c>
      <c r="AC905" s="25" t="str">
        <f t="shared" si="375"/>
        <v>null</v>
      </c>
      <c r="AD905" s="26" t="s">
        <v>0</v>
      </c>
      <c r="AE905" s="25" t="str">
        <f t="shared" si="382"/>
        <v>null</v>
      </c>
      <c r="AF905" s="26" t="s">
        <v>0</v>
      </c>
      <c r="AG905" s="47" t="s">
        <v>3875</v>
      </c>
    </row>
    <row r="906" spans="1:33" ht="6.9" customHeight="1" x14ac:dyDescent="0.4">
      <c r="A906" s="4">
        <f>ROW()</f>
        <v>906</v>
      </c>
      <c r="B906" s="9" t="s">
        <v>27</v>
      </c>
      <c r="C906" s="55" t="str">
        <f t="shared" si="372"/>
        <v>p.gestionar</v>
      </c>
      <c r="D906" s="6" t="str">
        <f t="shared" si="371"/>
        <v>é.comitente</v>
      </c>
      <c r="E906" s="8" t="s">
        <v>28</v>
      </c>
      <c r="F906" s="42" t="str">
        <f t="shared" si="377"/>
        <v>d.gestionar</v>
      </c>
      <c r="G906" s="17" t="s">
        <v>1078</v>
      </c>
      <c r="H906" s="42" t="s">
        <v>2121</v>
      </c>
      <c r="I906" s="16" t="str">
        <f t="shared" ref="I906:I969" si="383">J906</f>
        <v>null</v>
      </c>
      <c r="J906" s="15" t="s">
        <v>0</v>
      </c>
      <c r="K906" s="15" t="s">
        <v>0</v>
      </c>
      <c r="L906" s="15" t="s">
        <v>0</v>
      </c>
      <c r="M906" s="15" t="s">
        <v>0</v>
      </c>
      <c r="N906" s="15" t="s">
        <v>0</v>
      </c>
      <c r="O906" s="15" t="s">
        <v>0</v>
      </c>
      <c r="P906" s="15" t="s">
        <v>0</v>
      </c>
      <c r="Q906" s="15" t="s">
        <v>0</v>
      </c>
      <c r="R906" s="15" t="s">
        <v>1080</v>
      </c>
      <c r="S906" s="10" t="s">
        <v>1</v>
      </c>
      <c r="T906" s="10" t="s">
        <v>32</v>
      </c>
      <c r="U906" s="5" t="str">
        <f t="shared" si="378"/>
        <v>Propriedade destinada a gestionar: é.comitente</v>
      </c>
      <c r="V906" s="5" t="str">
        <f t="shared" si="379"/>
        <v>Dado para gestionar:  comitente  Deve ser formatado como (rdfs:Literal  or  xsd:string)</v>
      </c>
      <c r="W906" s="5" t="s">
        <v>5696</v>
      </c>
      <c r="X906" s="24" t="str">
        <f t="shared" si="380"/>
        <v>gesti.109</v>
      </c>
      <c r="Y906" s="24" t="str">
        <f t="shared" si="381"/>
        <v>Ação de gestionar</v>
      </c>
      <c r="Z906" s="47" t="s">
        <v>3849</v>
      </c>
      <c r="AA906" s="25" t="str">
        <f t="shared" si="374"/>
        <v>null</v>
      </c>
      <c r="AB906" s="26" t="s">
        <v>0</v>
      </c>
      <c r="AC906" s="25" t="str">
        <f t="shared" si="375"/>
        <v>null</v>
      </c>
      <c r="AD906" s="26" t="s">
        <v>0</v>
      </c>
      <c r="AE906" s="25" t="str">
        <f t="shared" si="382"/>
        <v>null</v>
      </c>
      <c r="AF906" s="26" t="s">
        <v>0</v>
      </c>
      <c r="AG906" s="47" t="s">
        <v>4720</v>
      </c>
    </row>
    <row r="907" spans="1:33" ht="6.9" customHeight="1" x14ac:dyDescent="0.4">
      <c r="A907" s="4">
        <f>ROW()</f>
        <v>907</v>
      </c>
      <c r="B907" s="9" t="s">
        <v>27</v>
      </c>
      <c r="C907" s="55" t="str">
        <f t="shared" si="372"/>
        <v>p.gestionar</v>
      </c>
      <c r="D907" s="6" t="str">
        <f t="shared" si="371"/>
        <v>é.competência</v>
      </c>
      <c r="E907" s="8" t="s">
        <v>28</v>
      </c>
      <c r="F907" s="42" t="str">
        <f t="shared" si="377"/>
        <v>d.gestionar</v>
      </c>
      <c r="G907" s="17" t="s">
        <v>1071</v>
      </c>
      <c r="H907" s="42" t="s">
        <v>2121</v>
      </c>
      <c r="I907" s="16" t="str">
        <f t="shared" si="383"/>
        <v>null</v>
      </c>
      <c r="J907" s="15" t="s">
        <v>0</v>
      </c>
      <c r="K907" s="15" t="s">
        <v>0</v>
      </c>
      <c r="L907" s="15" t="s">
        <v>0</v>
      </c>
      <c r="M907" s="15" t="s">
        <v>0</v>
      </c>
      <c r="N907" s="15" t="s">
        <v>0</v>
      </c>
      <c r="O907" s="15" t="s">
        <v>0</v>
      </c>
      <c r="P907" s="15" t="s">
        <v>0</v>
      </c>
      <c r="Q907" s="15" t="s">
        <v>0</v>
      </c>
      <c r="R907" s="15" t="s">
        <v>0</v>
      </c>
      <c r="S907" s="10" t="s">
        <v>1</v>
      </c>
      <c r="T907" s="10" t="s">
        <v>32</v>
      </c>
      <c r="U907" s="5" t="str">
        <f t="shared" si="378"/>
        <v>Propriedade destinada a gestionar: é.competência</v>
      </c>
      <c r="V907" s="5" t="str">
        <f t="shared" si="379"/>
        <v>Dado para gestionar:  competência  Deve ser formatado como (rdfs:Literal  or  xsd:string)</v>
      </c>
      <c r="W907" s="5" t="s">
        <v>5697</v>
      </c>
      <c r="X907" s="24" t="str">
        <f t="shared" si="380"/>
        <v>gesti.110</v>
      </c>
      <c r="Y907" s="24" t="str">
        <f t="shared" si="381"/>
        <v>Ação de gestionar</v>
      </c>
      <c r="Z907" s="47" t="s">
        <v>3840</v>
      </c>
      <c r="AA907" s="25" t="str">
        <f t="shared" si="374"/>
        <v>null</v>
      </c>
      <c r="AB907" s="26" t="s">
        <v>0</v>
      </c>
      <c r="AC907" s="25" t="str">
        <f t="shared" si="375"/>
        <v>null</v>
      </c>
      <c r="AD907" s="26" t="s">
        <v>0</v>
      </c>
      <c r="AE907" s="25" t="str">
        <f t="shared" si="382"/>
        <v>null</v>
      </c>
      <c r="AF907" s="26" t="s">
        <v>0</v>
      </c>
      <c r="AG907" s="47" t="s">
        <v>3885</v>
      </c>
    </row>
    <row r="908" spans="1:33" ht="6.9" customHeight="1" x14ac:dyDescent="0.4">
      <c r="A908" s="4">
        <f>ROW()</f>
        <v>908</v>
      </c>
      <c r="B908" s="9" t="s">
        <v>27</v>
      </c>
      <c r="C908" s="55" t="str">
        <f t="shared" si="372"/>
        <v>p.gestionar</v>
      </c>
      <c r="D908" s="6" t="str">
        <f t="shared" si="371"/>
        <v>é.contêiner.de.informação</v>
      </c>
      <c r="E908" s="8" t="s">
        <v>28</v>
      </c>
      <c r="F908" s="42" t="str">
        <f t="shared" si="377"/>
        <v>d.gestionar</v>
      </c>
      <c r="G908" s="17" t="s">
        <v>6955</v>
      </c>
      <c r="H908" s="42" t="s">
        <v>2121</v>
      </c>
      <c r="I908" s="16" t="str">
        <f t="shared" si="383"/>
        <v>null</v>
      </c>
      <c r="J908" s="15" t="s">
        <v>0</v>
      </c>
      <c r="K908" s="15" t="s">
        <v>0</v>
      </c>
      <c r="L908" s="15" t="s">
        <v>0</v>
      </c>
      <c r="M908" s="15" t="s">
        <v>0</v>
      </c>
      <c r="N908" s="15" t="s">
        <v>0</v>
      </c>
      <c r="O908" s="15" t="s">
        <v>0</v>
      </c>
      <c r="P908" s="15" t="s">
        <v>0</v>
      </c>
      <c r="Q908" s="15" t="s">
        <v>0</v>
      </c>
      <c r="R908" s="15" t="s">
        <v>0</v>
      </c>
      <c r="S908" s="10" t="s">
        <v>1</v>
      </c>
      <c r="T908" s="10" t="s">
        <v>32</v>
      </c>
      <c r="U908" s="5" t="str">
        <f t="shared" si="378"/>
        <v>Propriedade destinada a gestionar: é.contêiner.de.informação</v>
      </c>
      <c r="V908" s="5" t="str">
        <f t="shared" si="379"/>
        <v>Dado para gestionar:  contêiner.de.informação  Deve ser formatado como (rdfs:Literal  or  xsd:string)</v>
      </c>
      <c r="W908" s="5" t="s">
        <v>5698</v>
      </c>
      <c r="X908" s="24" t="str">
        <f t="shared" si="380"/>
        <v>gesti.111</v>
      </c>
      <c r="Y908" s="24" t="str">
        <f t="shared" si="381"/>
        <v>Ação de gestionar</v>
      </c>
      <c r="Z908" s="47" t="s">
        <v>3841</v>
      </c>
      <c r="AA908" s="25" t="str">
        <f t="shared" si="374"/>
        <v>null</v>
      </c>
      <c r="AB908" s="26" t="s">
        <v>0</v>
      </c>
      <c r="AC908" s="25" t="str">
        <f t="shared" si="375"/>
        <v>null</v>
      </c>
      <c r="AD908" s="26" t="s">
        <v>0</v>
      </c>
      <c r="AE908" s="25" t="str">
        <f t="shared" si="382"/>
        <v>null</v>
      </c>
      <c r="AF908" s="26" t="s">
        <v>0</v>
      </c>
      <c r="AG908" s="47" t="s">
        <v>3884</v>
      </c>
    </row>
    <row r="909" spans="1:33" ht="6.9" customHeight="1" x14ac:dyDescent="0.4">
      <c r="A909" s="4">
        <f>ROW()</f>
        <v>909</v>
      </c>
      <c r="B909" s="9" t="s">
        <v>27</v>
      </c>
      <c r="C909" s="55" t="str">
        <f t="shared" si="372"/>
        <v>p.gestionar</v>
      </c>
      <c r="D909" s="6" t="str">
        <f t="shared" si="371"/>
        <v>é.contêiner.arquivado</v>
      </c>
      <c r="E909" s="8" t="s">
        <v>28</v>
      </c>
      <c r="F909" s="42" t="str">
        <f t="shared" si="377"/>
        <v>d.gestionar</v>
      </c>
      <c r="G909" s="17" t="s">
        <v>1123</v>
      </c>
      <c r="H909" s="42" t="s">
        <v>2121</v>
      </c>
      <c r="I909" s="16" t="str">
        <f t="shared" si="383"/>
        <v>null</v>
      </c>
      <c r="J909" s="15" t="s">
        <v>0</v>
      </c>
      <c r="K909" s="15" t="s">
        <v>0</v>
      </c>
      <c r="L909" s="15" t="s">
        <v>0</v>
      </c>
      <c r="M909" s="15" t="s">
        <v>0</v>
      </c>
      <c r="N909" s="15" t="s">
        <v>0</v>
      </c>
      <c r="O909" s="15" t="s">
        <v>0</v>
      </c>
      <c r="P909" s="15" t="s">
        <v>0</v>
      </c>
      <c r="Q909" s="15" t="s">
        <v>0</v>
      </c>
      <c r="R909" s="15" t="s">
        <v>0</v>
      </c>
      <c r="S909" s="10" t="s">
        <v>1</v>
      </c>
      <c r="T909" s="10" t="s">
        <v>32</v>
      </c>
      <c r="U909" s="5" t="str">
        <f t="shared" si="378"/>
        <v>Propriedade destinada a gestionar: é.contêiner.arquivado</v>
      </c>
      <c r="V909" s="5" t="str">
        <f t="shared" si="379"/>
        <v>Dado para gestionar:  contêiner.arquivado  Deve ser formatado como (rdfs:Literal  or  xsd:string)</v>
      </c>
      <c r="W909" s="5" t="s">
        <v>5699</v>
      </c>
      <c r="X909" s="24" t="str">
        <f t="shared" si="380"/>
        <v>gesti.112</v>
      </c>
      <c r="Y909" s="24" t="str">
        <f t="shared" si="381"/>
        <v>Ação de gestionar</v>
      </c>
      <c r="Z909" s="47" t="s">
        <v>3809</v>
      </c>
      <c r="AA909" s="25" t="str">
        <f t="shared" si="374"/>
        <v>null</v>
      </c>
      <c r="AB909" s="26" t="s">
        <v>0</v>
      </c>
      <c r="AC909" s="25" t="str">
        <f t="shared" si="375"/>
        <v>null</v>
      </c>
      <c r="AD909" s="26" t="s">
        <v>0</v>
      </c>
      <c r="AE909" s="25" t="str">
        <f t="shared" si="382"/>
        <v>null</v>
      </c>
      <c r="AF909" s="26" t="s">
        <v>0</v>
      </c>
      <c r="AG909" s="47" t="s">
        <v>3857</v>
      </c>
    </row>
    <row r="910" spans="1:33" ht="6.9" customHeight="1" x14ac:dyDescent="0.4">
      <c r="A910" s="4">
        <f>ROW()</f>
        <v>910</v>
      </c>
      <c r="B910" s="9" t="s">
        <v>27</v>
      </c>
      <c r="C910" s="55" t="str">
        <f t="shared" si="372"/>
        <v>p.gestionar</v>
      </c>
      <c r="D910" s="6" t="str">
        <f t="shared" si="371"/>
        <v>é.contêiner.compartilhado</v>
      </c>
      <c r="E910" s="8" t="s">
        <v>28</v>
      </c>
      <c r="F910" s="42" t="str">
        <f t="shared" si="377"/>
        <v>d.gestionar</v>
      </c>
      <c r="G910" s="17" t="s">
        <v>1121</v>
      </c>
      <c r="H910" s="42" t="s">
        <v>2121</v>
      </c>
      <c r="I910" s="16" t="str">
        <f t="shared" si="383"/>
        <v>null</v>
      </c>
      <c r="J910" s="15" t="s">
        <v>0</v>
      </c>
      <c r="K910" s="15" t="s">
        <v>0</v>
      </c>
      <c r="L910" s="15" t="s">
        <v>0</v>
      </c>
      <c r="M910" s="15" t="s">
        <v>0</v>
      </c>
      <c r="N910" s="15" t="s">
        <v>0</v>
      </c>
      <c r="O910" s="15" t="s">
        <v>0</v>
      </c>
      <c r="P910" s="15" t="s">
        <v>0</v>
      </c>
      <c r="Q910" s="15" t="s">
        <v>0</v>
      </c>
      <c r="R910" s="15" t="s">
        <v>0</v>
      </c>
      <c r="S910" s="10" t="s">
        <v>1</v>
      </c>
      <c r="T910" s="10" t="s">
        <v>32</v>
      </c>
      <c r="U910" s="5" t="str">
        <f t="shared" si="378"/>
        <v>Propriedade destinada a gestionar: é.contêiner.compartilhado</v>
      </c>
      <c r="V910" s="5" t="str">
        <f t="shared" si="379"/>
        <v>Dado para gestionar:  contêiner.compartilhado  Deve ser formatado como (rdfs:Literal  or  xsd:string)</v>
      </c>
      <c r="W910" s="5" t="s">
        <v>5700</v>
      </c>
      <c r="X910" s="24" t="str">
        <f t="shared" si="380"/>
        <v>gesti.113</v>
      </c>
      <c r="Y910" s="24" t="str">
        <f t="shared" si="381"/>
        <v>Ação de gestionar</v>
      </c>
      <c r="Z910" s="47" t="s">
        <v>3810</v>
      </c>
      <c r="AA910" s="25" t="str">
        <f t="shared" si="374"/>
        <v>null</v>
      </c>
      <c r="AB910" s="26" t="s">
        <v>0</v>
      </c>
      <c r="AC910" s="25" t="str">
        <f t="shared" si="375"/>
        <v>null</v>
      </c>
      <c r="AD910" s="26" t="s">
        <v>0</v>
      </c>
      <c r="AE910" s="25" t="str">
        <f t="shared" si="382"/>
        <v>null</v>
      </c>
      <c r="AF910" s="26" t="s">
        <v>0</v>
      </c>
      <c r="AG910" s="47" t="s">
        <v>3858</v>
      </c>
    </row>
    <row r="911" spans="1:33" ht="6.9" customHeight="1" x14ac:dyDescent="0.4">
      <c r="A911" s="4">
        <f>ROW()</f>
        <v>911</v>
      </c>
      <c r="B911" s="9" t="s">
        <v>27</v>
      </c>
      <c r="C911" s="55" t="str">
        <f t="shared" si="372"/>
        <v>p.gestionar</v>
      </c>
      <c r="D911" s="6" t="str">
        <f t="shared" ref="D911:D974" si="384">_xlfn.CONCAT("é.",G911)</f>
        <v>é.contêiner.em.andamento</v>
      </c>
      <c r="E911" s="8" t="s">
        <v>28</v>
      </c>
      <c r="F911" s="42" t="str">
        <f t="shared" si="377"/>
        <v>d.gestionar</v>
      </c>
      <c r="G911" s="17" t="s">
        <v>1122</v>
      </c>
      <c r="H911" s="42" t="s">
        <v>2121</v>
      </c>
      <c r="I911" s="16" t="str">
        <f t="shared" si="383"/>
        <v>null</v>
      </c>
      <c r="J911" s="15" t="s">
        <v>0</v>
      </c>
      <c r="K911" s="15" t="s">
        <v>0</v>
      </c>
      <c r="L911" s="15" t="s">
        <v>0</v>
      </c>
      <c r="M911" s="15" t="s">
        <v>0</v>
      </c>
      <c r="N911" s="15" t="s">
        <v>0</v>
      </c>
      <c r="O911" s="15" t="s">
        <v>0</v>
      </c>
      <c r="P911" s="15" t="s">
        <v>0</v>
      </c>
      <c r="Q911" s="15" t="s">
        <v>0</v>
      </c>
      <c r="R911" s="15" t="s">
        <v>0</v>
      </c>
      <c r="S911" s="10" t="s">
        <v>1</v>
      </c>
      <c r="T911" s="10" t="s">
        <v>32</v>
      </c>
      <c r="U911" s="5" t="str">
        <f t="shared" si="378"/>
        <v>Propriedade destinada a gestionar: é.contêiner.em.andamento</v>
      </c>
      <c r="V911" s="5" t="str">
        <f t="shared" si="379"/>
        <v>Dado para gestionar:  contêiner.em.andamento  Deve ser formatado como (rdfs:Literal  or  xsd:string)</v>
      </c>
      <c r="W911" s="5" t="s">
        <v>5701</v>
      </c>
      <c r="X911" s="24" t="str">
        <f t="shared" si="380"/>
        <v>gesti.114</v>
      </c>
      <c r="Y911" s="24" t="str">
        <f t="shared" si="381"/>
        <v>Ação de gestionar</v>
      </c>
      <c r="Z911" s="47" t="s">
        <v>3811</v>
      </c>
      <c r="AA911" s="25" t="str">
        <f t="shared" si="374"/>
        <v>null</v>
      </c>
      <c r="AB911" s="26" t="s">
        <v>0</v>
      </c>
      <c r="AC911" s="25" t="str">
        <f t="shared" si="375"/>
        <v>null</v>
      </c>
      <c r="AD911" s="26" t="s">
        <v>0</v>
      </c>
      <c r="AE911" s="25" t="str">
        <f t="shared" si="382"/>
        <v>null</v>
      </c>
      <c r="AF911" s="26" t="s">
        <v>0</v>
      </c>
      <c r="AG911" s="47" t="s">
        <v>3859</v>
      </c>
    </row>
    <row r="912" spans="1:33" ht="6.9" customHeight="1" x14ac:dyDescent="0.4">
      <c r="A912" s="4">
        <f>ROW()</f>
        <v>912</v>
      </c>
      <c r="B912" s="9" t="s">
        <v>27</v>
      </c>
      <c r="C912" s="55" t="str">
        <f t="shared" si="372"/>
        <v>p.gestionar</v>
      </c>
      <c r="D912" s="6" t="str">
        <f t="shared" si="384"/>
        <v>é.contêiner.publicado</v>
      </c>
      <c r="E912" s="8" t="s">
        <v>28</v>
      </c>
      <c r="F912" s="42" t="str">
        <f t="shared" si="377"/>
        <v>d.gestionar</v>
      </c>
      <c r="G912" s="17" t="s">
        <v>1120</v>
      </c>
      <c r="H912" s="42" t="s">
        <v>2121</v>
      </c>
      <c r="I912" s="16" t="str">
        <f t="shared" si="383"/>
        <v>null</v>
      </c>
      <c r="J912" s="15" t="s">
        <v>0</v>
      </c>
      <c r="K912" s="15" t="s">
        <v>0</v>
      </c>
      <c r="L912" s="15" t="s">
        <v>0</v>
      </c>
      <c r="M912" s="15" t="s">
        <v>0</v>
      </c>
      <c r="N912" s="15" t="s">
        <v>0</v>
      </c>
      <c r="O912" s="15" t="s">
        <v>0</v>
      </c>
      <c r="P912" s="15" t="s">
        <v>0</v>
      </c>
      <c r="Q912" s="15" t="s">
        <v>0</v>
      </c>
      <c r="R912" s="15" t="s">
        <v>0</v>
      </c>
      <c r="S912" s="10" t="s">
        <v>1</v>
      </c>
      <c r="T912" s="10" t="s">
        <v>32</v>
      </c>
      <c r="U912" s="5" t="str">
        <f t="shared" si="378"/>
        <v>Propriedade destinada a gestionar: é.contêiner.publicado</v>
      </c>
      <c r="V912" s="5" t="str">
        <f t="shared" si="379"/>
        <v>Dado para gestionar:  contêiner.publicado  Deve ser formatado como (rdfs:Literal  or  xsd:string)</v>
      </c>
      <c r="W912" s="5" t="s">
        <v>5702</v>
      </c>
      <c r="X912" s="24" t="str">
        <f t="shared" si="380"/>
        <v>gesti.115</v>
      </c>
      <c r="Y912" s="24" t="str">
        <f t="shared" si="381"/>
        <v>Ação de gestionar</v>
      </c>
      <c r="Z912" s="47" t="s">
        <v>3812</v>
      </c>
      <c r="AA912" s="25" t="str">
        <f t="shared" si="374"/>
        <v>null</v>
      </c>
      <c r="AB912" s="26" t="s">
        <v>0</v>
      </c>
      <c r="AC912" s="25" t="str">
        <f t="shared" si="375"/>
        <v>null</v>
      </c>
      <c r="AD912" s="26" t="s">
        <v>0</v>
      </c>
      <c r="AE912" s="25" t="str">
        <f t="shared" si="382"/>
        <v>null</v>
      </c>
      <c r="AF912" s="26" t="s">
        <v>0</v>
      </c>
      <c r="AG912" s="47" t="s">
        <v>3860</v>
      </c>
    </row>
    <row r="913" spans="1:33" ht="6.9" customHeight="1" x14ac:dyDescent="0.4">
      <c r="A913" s="4">
        <f>ROW()</f>
        <v>913</v>
      </c>
      <c r="B913" s="9" t="s">
        <v>27</v>
      </c>
      <c r="C913" s="55" t="str">
        <f t="shared" si="372"/>
        <v>p.gestionar</v>
      </c>
      <c r="D913" s="6" t="str">
        <f t="shared" si="384"/>
        <v>é.contratada</v>
      </c>
      <c r="E913" s="8" t="s">
        <v>28</v>
      </c>
      <c r="F913" s="42" t="str">
        <f t="shared" si="377"/>
        <v>d.gestionar</v>
      </c>
      <c r="G913" s="17" t="s">
        <v>1068</v>
      </c>
      <c r="H913" s="42" t="s">
        <v>2121</v>
      </c>
      <c r="I913" s="16" t="str">
        <f t="shared" si="383"/>
        <v>null</v>
      </c>
      <c r="J913" s="15" t="s">
        <v>0</v>
      </c>
      <c r="K913" s="15" t="s">
        <v>0</v>
      </c>
      <c r="L913" s="15" t="s">
        <v>0</v>
      </c>
      <c r="M913" s="15" t="s">
        <v>0</v>
      </c>
      <c r="N913" s="15" t="s">
        <v>0</v>
      </c>
      <c r="O913" s="15" t="s">
        <v>0</v>
      </c>
      <c r="P913" s="15" t="s">
        <v>0</v>
      </c>
      <c r="Q913" s="15" t="s">
        <v>0</v>
      </c>
      <c r="R913" s="15" t="s">
        <v>0</v>
      </c>
      <c r="S913" s="10" t="s">
        <v>1</v>
      </c>
      <c r="T913" s="10" t="s">
        <v>32</v>
      </c>
      <c r="U913" s="5" t="str">
        <f t="shared" si="378"/>
        <v>Propriedade destinada a gestionar: é.contratada</v>
      </c>
      <c r="V913" s="5" t="str">
        <f t="shared" si="379"/>
        <v>Dado para gestionar:  contratada  Deve ser formatado como (rdfs:Literal  or  xsd:string)</v>
      </c>
      <c r="W913" s="5" t="s">
        <v>5703</v>
      </c>
      <c r="X913" s="24" t="str">
        <f t="shared" si="380"/>
        <v>gesti.116</v>
      </c>
      <c r="Y913" s="24" t="str">
        <f t="shared" si="381"/>
        <v>Ação de gestionar</v>
      </c>
      <c r="Z913" s="47" t="s">
        <v>3813</v>
      </c>
      <c r="AA913" s="25" t="str">
        <f t="shared" si="374"/>
        <v>null</v>
      </c>
      <c r="AB913" s="26" t="s">
        <v>0</v>
      </c>
      <c r="AC913" s="25" t="str">
        <f t="shared" si="375"/>
        <v>null</v>
      </c>
      <c r="AD913" s="26" t="s">
        <v>0</v>
      </c>
      <c r="AE913" s="25" t="str">
        <f t="shared" si="382"/>
        <v>null</v>
      </c>
      <c r="AF913" s="26" t="s">
        <v>0</v>
      </c>
      <c r="AG913" s="47" t="s">
        <v>3861</v>
      </c>
    </row>
    <row r="914" spans="1:33" ht="6.9" customHeight="1" x14ac:dyDescent="0.4">
      <c r="A914" s="4">
        <f>ROW()</f>
        <v>914</v>
      </c>
      <c r="B914" s="9" t="s">
        <v>27</v>
      </c>
      <c r="C914" s="55" t="str">
        <f t="shared" si="372"/>
        <v>p.gestionar</v>
      </c>
      <c r="D914" s="6" t="str">
        <f t="shared" si="384"/>
        <v>é.contratante</v>
      </c>
      <c r="E914" s="8" t="s">
        <v>28</v>
      </c>
      <c r="F914" s="42" t="str">
        <f t="shared" si="377"/>
        <v>d.gestionar</v>
      </c>
      <c r="G914" s="17" t="s">
        <v>88</v>
      </c>
      <c r="H914" s="42" t="s">
        <v>2121</v>
      </c>
      <c r="I914" s="16" t="str">
        <f t="shared" si="383"/>
        <v>null</v>
      </c>
      <c r="J914" s="15" t="s">
        <v>0</v>
      </c>
      <c r="K914" s="15" t="s">
        <v>0</v>
      </c>
      <c r="L914" s="15" t="s">
        <v>0</v>
      </c>
      <c r="M914" s="15" t="s">
        <v>0</v>
      </c>
      <c r="N914" s="15" t="s">
        <v>0</v>
      </c>
      <c r="O914" s="15" t="s">
        <v>0</v>
      </c>
      <c r="P914" s="15" t="s">
        <v>0</v>
      </c>
      <c r="Q914" s="15" t="s">
        <v>0</v>
      </c>
      <c r="R914" s="15" t="s">
        <v>0</v>
      </c>
      <c r="S914" s="10" t="s">
        <v>1</v>
      </c>
      <c r="T914" s="10" t="s">
        <v>32</v>
      </c>
      <c r="U914" s="5" t="str">
        <f t="shared" si="378"/>
        <v>Propriedade destinada a gestionar: é.contratante</v>
      </c>
      <c r="V914" s="5" t="str">
        <f t="shared" si="379"/>
        <v>Dado para gestionar:  contratante  Deve ser formatado como (rdfs:Literal  or  xsd:string)</v>
      </c>
      <c r="W914" s="5" t="s">
        <v>5704</v>
      </c>
      <c r="X914" s="24" t="str">
        <f t="shared" si="380"/>
        <v>gesti.117</v>
      </c>
      <c r="Y914" s="24" t="str">
        <f t="shared" si="381"/>
        <v>Ação de gestionar</v>
      </c>
      <c r="Z914" s="47" t="s">
        <v>3814</v>
      </c>
      <c r="AA914" s="25" t="str">
        <f t="shared" si="374"/>
        <v>null</v>
      </c>
      <c r="AB914" s="26" t="s">
        <v>0</v>
      </c>
      <c r="AC914" s="25" t="str">
        <f t="shared" si="375"/>
        <v>null</v>
      </c>
      <c r="AD914" s="26" t="s">
        <v>0</v>
      </c>
      <c r="AE914" s="25" t="str">
        <f t="shared" si="382"/>
        <v>null</v>
      </c>
      <c r="AF914" s="26" t="s">
        <v>0</v>
      </c>
      <c r="AG914" s="47" t="s">
        <v>3862</v>
      </c>
    </row>
    <row r="915" spans="1:33" ht="6.9" customHeight="1" x14ac:dyDescent="0.4">
      <c r="A915" s="4">
        <f>ROW()</f>
        <v>915</v>
      </c>
      <c r="B915" s="9" t="s">
        <v>27</v>
      </c>
      <c r="C915" s="55" t="str">
        <f t="shared" si="372"/>
        <v>p.gestionar</v>
      </c>
      <c r="D915" s="6" t="str">
        <f t="shared" si="384"/>
        <v>é.contrato</v>
      </c>
      <c r="E915" s="8" t="s">
        <v>28</v>
      </c>
      <c r="F915" s="42" t="str">
        <f t="shared" si="377"/>
        <v>d.gestionar</v>
      </c>
      <c r="G915" s="17" t="s">
        <v>87</v>
      </c>
      <c r="H915" s="42" t="s">
        <v>2121</v>
      </c>
      <c r="I915" s="16" t="str">
        <f t="shared" si="383"/>
        <v>null</v>
      </c>
      <c r="J915" s="15" t="s">
        <v>0</v>
      </c>
      <c r="K915" s="15" t="s">
        <v>0</v>
      </c>
      <c r="L915" s="15" t="s">
        <v>0</v>
      </c>
      <c r="M915" s="15" t="s">
        <v>0</v>
      </c>
      <c r="N915" s="15" t="s">
        <v>0</v>
      </c>
      <c r="O915" s="15" t="s">
        <v>0</v>
      </c>
      <c r="P915" s="15" t="s">
        <v>0</v>
      </c>
      <c r="Q915" s="15" t="s">
        <v>0</v>
      </c>
      <c r="R915" s="15" t="s">
        <v>0</v>
      </c>
      <c r="S915" s="10" t="s">
        <v>1</v>
      </c>
      <c r="T915" s="10" t="s">
        <v>32</v>
      </c>
      <c r="U915" s="5" t="str">
        <f t="shared" si="378"/>
        <v>Propriedade destinada a gestionar: é.contrato</v>
      </c>
      <c r="V915" s="5" t="str">
        <f t="shared" si="379"/>
        <v>Dado para gestionar:  contrato  Deve ser formatado como (rdfs:Literal  or  xsd:string)</v>
      </c>
      <c r="W915" s="5" t="s">
        <v>5705</v>
      </c>
      <c r="X915" s="24" t="str">
        <f t="shared" si="380"/>
        <v>gesti.118</v>
      </c>
      <c r="Y915" s="24" t="str">
        <f t="shared" si="381"/>
        <v>Ação de gestionar</v>
      </c>
      <c r="Z915" s="47" t="s">
        <v>3815</v>
      </c>
      <c r="AA915" s="25" t="str">
        <f t="shared" si="374"/>
        <v>null</v>
      </c>
      <c r="AB915" s="26" t="s">
        <v>0</v>
      </c>
      <c r="AC915" s="25" t="str">
        <f t="shared" si="375"/>
        <v>null</v>
      </c>
      <c r="AD915" s="26" t="s">
        <v>0</v>
      </c>
      <c r="AE915" s="25" t="str">
        <f t="shared" si="382"/>
        <v>null</v>
      </c>
      <c r="AF915" s="26" t="s">
        <v>0</v>
      </c>
      <c r="AG915" s="47" t="s">
        <v>3863</v>
      </c>
    </row>
    <row r="916" spans="1:33" ht="6.9" customHeight="1" x14ac:dyDescent="0.4">
      <c r="A916" s="4">
        <f>ROW()</f>
        <v>916</v>
      </c>
      <c r="B916" s="9" t="s">
        <v>27</v>
      </c>
      <c r="C916" s="55" t="str">
        <f t="shared" si="372"/>
        <v>p.gestionar</v>
      </c>
      <c r="D916" s="6" t="str">
        <f t="shared" si="384"/>
        <v>é.critério.de.aceitação</v>
      </c>
      <c r="E916" s="8" t="s">
        <v>28</v>
      </c>
      <c r="F916" s="42" t="str">
        <f t="shared" si="377"/>
        <v>d.gestionar</v>
      </c>
      <c r="G916" s="17" t="s">
        <v>1110</v>
      </c>
      <c r="H916" s="42" t="s">
        <v>2121</v>
      </c>
      <c r="I916" s="16" t="str">
        <f t="shared" si="383"/>
        <v>null</v>
      </c>
      <c r="J916" s="15" t="s">
        <v>0</v>
      </c>
      <c r="K916" s="15" t="s">
        <v>0</v>
      </c>
      <c r="L916" s="15" t="s">
        <v>0</v>
      </c>
      <c r="M916" s="15" t="s">
        <v>0</v>
      </c>
      <c r="N916" s="15" t="s">
        <v>0</v>
      </c>
      <c r="O916" s="15" t="s">
        <v>0</v>
      </c>
      <c r="P916" s="15" t="s">
        <v>0</v>
      </c>
      <c r="Q916" s="15" t="s">
        <v>0</v>
      </c>
      <c r="R916" s="15" t="s">
        <v>0</v>
      </c>
      <c r="S916" s="10" t="s">
        <v>1</v>
      </c>
      <c r="T916" s="10" t="s">
        <v>32</v>
      </c>
      <c r="U916" s="5" t="str">
        <f t="shared" si="378"/>
        <v>Propriedade destinada a gestionar: é.critério.de.aceitação</v>
      </c>
      <c r="V916" s="5" t="str">
        <f t="shared" si="379"/>
        <v>Dado para gestionar:  critério.de.aceitação  Deve ser formatado como (rdfs:Literal  or  xsd:string)</v>
      </c>
      <c r="W916" s="5" t="s">
        <v>5706</v>
      </c>
      <c r="X916" s="24" t="str">
        <f t="shared" si="380"/>
        <v>gesti.119</v>
      </c>
      <c r="Y916" s="24" t="str">
        <f t="shared" si="381"/>
        <v>Ação de gestionar</v>
      </c>
      <c r="Z916" s="47" t="s">
        <v>3842</v>
      </c>
      <c r="AA916" s="25" t="str">
        <f t="shared" si="374"/>
        <v>null</v>
      </c>
      <c r="AB916" s="26" t="s">
        <v>0</v>
      </c>
      <c r="AC916" s="25" t="str">
        <f t="shared" si="375"/>
        <v>null</v>
      </c>
      <c r="AD916" s="26" t="s">
        <v>0</v>
      </c>
      <c r="AE916" s="25" t="str">
        <f t="shared" si="382"/>
        <v>null</v>
      </c>
      <c r="AF916" s="26" t="s">
        <v>0</v>
      </c>
      <c r="AG916" s="47" t="s">
        <v>3876</v>
      </c>
    </row>
    <row r="917" spans="1:33" ht="6.9" customHeight="1" x14ac:dyDescent="0.4">
      <c r="A917" s="4">
        <f>ROW()</f>
        <v>917</v>
      </c>
      <c r="B917" s="9" t="s">
        <v>27</v>
      </c>
      <c r="C917" s="55" t="str">
        <f t="shared" si="372"/>
        <v>p.gestionar</v>
      </c>
      <c r="D917" s="6" t="str">
        <f t="shared" si="384"/>
        <v>é.data.marco.de.entrega.da.informação</v>
      </c>
      <c r="E917" s="8" t="s">
        <v>28</v>
      </c>
      <c r="F917" s="42" t="str">
        <f t="shared" si="377"/>
        <v>d.gestionar</v>
      </c>
      <c r="G917" s="17" t="s">
        <v>1114</v>
      </c>
      <c r="H917" s="42" t="s">
        <v>2121</v>
      </c>
      <c r="I917" s="16" t="str">
        <f t="shared" si="383"/>
        <v>null</v>
      </c>
      <c r="J917" s="15" t="s">
        <v>0</v>
      </c>
      <c r="K917" s="15" t="s">
        <v>0</v>
      </c>
      <c r="L917" s="15" t="s">
        <v>0</v>
      </c>
      <c r="M917" s="15" t="s">
        <v>0</v>
      </c>
      <c r="N917" s="15" t="s">
        <v>0</v>
      </c>
      <c r="O917" s="15" t="s">
        <v>0</v>
      </c>
      <c r="P917" s="15" t="s">
        <v>0</v>
      </c>
      <c r="Q917" s="15" t="s">
        <v>0</v>
      </c>
      <c r="R917" s="15" t="s">
        <v>0</v>
      </c>
      <c r="S917" s="10" t="s">
        <v>1</v>
      </c>
      <c r="T917" s="10" t="s">
        <v>32</v>
      </c>
      <c r="U917" s="5" t="str">
        <f t="shared" si="378"/>
        <v>Propriedade destinada a gestionar: é.data.marco.de.entrega.da.informação</v>
      </c>
      <c r="V917" s="5" t="str">
        <f t="shared" si="379"/>
        <v>Dado para gestionar:  data.marco.de.entrega.da.informação  Deve ser formatado como (rdfs:Literal  or  xsd:string)</v>
      </c>
      <c r="W917" s="5" t="s">
        <v>5707</v>
      </c>
      <c r="X917" s="24" t="str">
        <f t="shared" si="380"/>
        <v>gesti.120</v>
      </c>
      <c r="Y917" s="24" t="str">
        <f t="shared" si="381"/>
        <v>Ação de gestionar</v>
      </c>
      <c r="Z917" s="47" t="s">
        <v>3816</v>
      </c>
      <c r="AA917" s="25" t="str">
        <f t="shared" si="374"/>
        <v>null</v>
      </c>
      <c r="AB917" s="26" t="s">
        <v>0</v>
      </c>
      <c r="AC917" s="25" t="str">
        <f t="shared" si="375"/>
        <v>null</v>
      </c>
      <c r="AD917" s="26" t="s">
        <v>0</v>
      </c>
      <c r="AE917" s="25" t="str">
        <f t="shared" si="382"/>
        <v>null</v>
      </c>
      <c r="AF917" s="26" t="s">
        <v>0</v>
      </c>
      <c r="AG917" s="47" t="s">
        <v>3864</v>
      </c>
    </row>
    <row r="918" spans="1:33" ht="6.9" customHeight="1" x14ac:dyDescent="0.4">
      <c r="A918" s="4">
        <f>ROW()</f>
        <v>918</v>
      </c>
      <c r="B918" s="9" t="s">
        <v>27</v>
      </c>
      <c r="C918" s="55" t="str">
        <f t="shared" si="372"/>
        <v>p.gestionar</v>
      </c>
      <c r="D918" s="6" t="str">
        <f t="shared" si="384"/>
        <v>é.declaração.de.princípio</v>
      </c>
      <c r="E918" s="8" t="s">
        <v>28</v>
      </c>
      <c r="F918" s="42" t="str">
        <f t="shared" si="377"/>
        <v>d.gestionar</v>
      </c>
      <c r="G918" s="17" t="s">
        <v>1074</v>
      </c>
      <c r="H918" s="42" t="s">
        <v>2121</v>
      </c>
      <c r="I918" s="16" t="str">
        <f t="shared" si="383"/>
        <v>null</v>
      </c>
      <c r="J918" s="15" t="s">
        <v>0</v>
      </c>
      <c r="K918" s="15" t="s">
        <v>0</v>
      </c>
      <c r="L918" s="15" t="s">
        <v>0</v>
      </c>
      <c r="M918" s="15" t="s">
        <v>0</v>
      </c>
      <c r="N918" s="15" t="s">
        <v>0</v>
      </c>
      <c r="O918" s="15" t="s">
        <v>0</v>
      </c>
      <c r="P918" s="15" t="s">
        <v>0</v>
      </c>
      <c r="Q918" s="15" t="s">
        <v>0</v>
      </c>
      <c r="R918" s="15" t="s">
        <v>0</v>
      </c>
      <c r="S918" s="10" t="s">
        <v>1</v>
      </c>
      <c r="T918" s="10" t="s">
        <v>32</v>
      </c>
      <c r="U918" s="5" t="str">
        <f t="shared" si="378"/>
        <v>Propriedade destinada a gestionar: é.declaração.de.princípio</v>
      </c>
      <c r="V918" s="5" t="str">
        <f t="shared" si="379"/>
        <v>Dado para gestionar:  declaração.de.princípio  Deve ser formatado como (rdfs:Literal  or  xsd:string)</v>
      </c>
      <c r="W918" s="5" t="s">
        <v>5708</v>
      </c>
      <c r="X918" s="24" t="str">
        <f t="shared" si="380"/>
        <v>gesti.121</v>
      </c>
      <c r="Y918" s="24" t="str">
        <f t="shared" si="381"/>
        <v>Ação de gestionar</v>
      </c>
      <c r="Z918" s="47" t="s">
        <v>3848</v>
      </c>
      <c r="AA918" s="25" t="str">
        <f t="shared" si="374"/>
        <v>null</v>
      </c>
      <c r="AB918" s="26" t="s">
        <v>0</v>
      </c>
      <c r="AC918" s="25" t="str">
        <f t="shared" si="375"/>
        <v>null</v>
      </c>
      <c r="AD918" s="26" t="s">
        <v>0</v>
      </c>
      <c r="AE918" s="25" t="str">
        <f t="shared" si="382"/>
        <v>null</v>
      </c>
      <c r="AF918" s="26" t="s">
        <v>0</v>
      </c>
      <c r="AG918" s="47" t="s">
        <v>4721</v>
      </c>
    </row>
    <row r="919" spans="1:33" ht="6.9" customHeight="1" x14ac:dyDescent="0.4">
      <c r="A919" s="4">
        <f>ROW()</f>
        <v>919</v>
      </c>
      <c r="B919" s="9" t="s">
        <v>27</v>
      </c>
      <c r="C919" s="55" t="str">
        <f t="shared" si="372"/>
        <v>p.gestionar</v>
      </c>
      <c r="D919" s="6" t="str">
        <f t="shared" si="384"/>
        <v>é.empresa</v>
      </c>
      <c r="E919" s="8" t="s">
        <v>28</v>
      </c>
      <c r="F919" s="42" t="str">
        <f t="shared" si="377"/>
        <v>d.gestionar</v>
      </c>
      <c r="G919" s="18" t="s">
        <v>89</v>
      </c>
      <c r="H919" s="41" t="s">
        <v>2121</v>
      </c>
      <c r="I919" s="16" t="str">
        <f t="shared" si="383"/>
        <v>null</v>
      </c>
      <c r="J919" s="13" t="s">
        <v>0</v>
      </c>
      <c r="K919" s="13" t="s">
        <v>0</v>
      </c>
      <c r="L919" s="13" t="s">
        <v>0</v>
      </c>
      <c r="M919" s="13" t="s">
        <v>0</v>
      </c>
      <c r="N919" s="15" t="s">
        <v>0</v>
      </c>
      <c r="O919" s="13" t="s">
        <v>0</v>
      </c>
      <c r="P919" s="13" t="s">
        <v>0</v>
      </c>
      <c r="Q919" s="13" t="s">
        <v>0</v>
      </c>
      <c r="R919" s="15" t="s">
        <v>7211</v>
      </c>
      <c r="S919" s="10" t="s">
        <v>1</v>
      </c>
      <c r="T919" s="10" t="s">
        <v>32</v>
      </c>
      <c r="U919" s="5" t="str">
        <f t="shared" si="378"/>
        <v>Propriedade destinada a gestionar: é.empresa</v>
      </c>
      <c r="V919" s="5" t="str">
        <f t="shared" si="379"/>
        <v>Dado para gestionar:  empresa  Deve ser formatado como (rdfs:Literal  or  xsd:string)</v>
      </c>
      <c r="W919" s="5" t="s">
        <v>5709</v>
      </c>
      <c r="X919" s="24" t="str">
        <f t="shared" si="380"/>
        <v>gesti.122</v>
      </c>
      <c r="Y919" s="24" t="str">
        <f t="shared" si="381"/>
        <v>Ação de gestionar</v>
      </c>
      <c r="Z919" s="47" t="s">
        <v>3817</v>
      </c>
      <c r="AA919" s="25" t="str">
        <f t="shared" si="374"/>
        <v>null</v>
      </c>
      <c r="AB919" s="26" t="s">
        <v>0</v>
      </c>
      <c r="AC919" s="25" t="str">
        <f t="shared" si="375"/>
        <v>null</v>
      </c>
      <c r="AD919" s="26" t="s">
        <v>0</v>
      </c>
      <c r="AE919" s="25" t="str">
        <f t="shared" si="382"/>
        <v>null</v>
      </c>
      <c r="AF919" s="26" t="s">
        <v>0</v>
      </c>
      <c r="AG919" s="47" t="s">
        <v>4722</v>
      </c>
    </row>
    <row r="920" spans="1:33" ht="6.9" customHeight="1" x14ac:dyDescent="0.4">
      <c r="A920" s="4">
        <f>ROW()</f>
        <v>920</v>
      </c>
      <c r="B920" s="9" t="s">
        <v>27</v>
      </c>
      <c r="C920" s="55" t="str">
        <f t="shared" si="372"/>
        <v>p.gestionar</v>
      </c>
      <c r="D920" s="6" t="str">
        <f t="shared" si="384"/>
        <v>é.equipe.de.entrega</v>
      </c>
      <c r="E920" s="8" t="s">
        <v>28</v>
      </c>
      <c r="F920" s="42" t="str">
        <f t="shared" si="377"/>
        <v>d.gestionar</v>
      </c>
      <c r="G920" s="17" t="s">
        <v>1065</v>
      </c>
      <c r="H920" s="42" t="s">
        <v>2121</v>
      </c>
      <c r="I920" s="16" t="str">
        <f t="shared" si="383"/>
        <v>null</v>
      </c>
      <c r="J920" s="15" t="s">
        <v>0</v>
      </c>
      <c r="K920" s="15" t="s">
        <v>0</v>
      </c>
      <c r="L920" s="15" t="s">
        <v>0</v>
      </c>
      <c r="M920" s="15" t="s">
        <v>0</v>
      </c>
      <c r="N920" s="15" t="s">
        <v>0</v>
      </c>
      <c r="O920" s="15" t="s">
        <v>0</v>
      </c>
      <c r="P920" s="15" t="s">
        <v>0</v>
      </c>
      <c r="Q920" s="15" t="s">
        <v>0</v>
      </c>
      <c r="R920" s="15" t="s">
        <v>0</v>
      </c>
      <c r="S920" s="10" t="s">
        <v>1</v>
      </c>
      <c r="T920" s="10" t="s">
        <v>32</v>
      </c>
      <c r="U920" s="5" t="str">
        <f t="shared" si="378"/>
        <v>Propriedade destinada a gestionar: é.equipe.de.entrega</v>
      </c>
      <c r="V920" s="5" t="str">
        <f t="shared" si="379"/>
        <v>Dado para gestionar:  equipe.de.entrega  Deve ser formatado como (rdfs:Literal  or  xsd:string)</v>
      </c>
      <c r="W920" s="5" t="s">
        <v>5710</v>
      </c>
      <c r="X920" s="24" t="str">
        <f t="shared" si="380"/>
        <v>gesti.123</v>
      </c>
      <c r="Y920" s="24" t="str">
        <f t="shared" si="381"/>
        <v>Ação de gestionar</v>
      </c>
      <c r="Z920" s="47" t="s">
        <v>3818</v>
      </c>
      <c r="AA920" s="25" t="str">
        <f t="shared" si="374"/>
        <v>null</v>
      </c>
      <c r="AB920" s="26" t="s">
        <v>0</v>
      </c>
      <c r="AC920" s="25" t="str">
        <f t="shared" si="375"/>
        <v>null</v>
      </c>
      <c r="AD920" s="26" t="s">
        <v>0</v>
      </c>
      <c r="AE920" s="25" t="str">
        <f t="shared" si="382"/>
        <v>null</v>
      </c>
      <c r="AF920" s="26" t="s">
        <v>0</v>
      </c>
      <c r="AG920" s="47" t="s">
        <v>3877</v>
      </c>
    </row>
    <row r="921" spans="1:33" ht="6.9" customHeight="1" x14ac:dyDescent="0.4">
      <c r="A921" s="4">
        <f>ROW()</f>
        <v>921</v>
      </c>
      <c r="B921" s="9" t="s">
        <v>27</v>
      </c>
      <c r="C921" s="55" t="str">
        <f t="shared" si="372"/>
        <v>p.gestionar</v>
      </c>
      <c r="D921" s="6" t="str">
        <f t="shared" si="384"/>
        <v>é.equipe.de.projeto</v>
      </c>
      <c r="E921" s="8" t="s">
        <v>28</v>
      </c>
      <c r="F921" s="42" t="str">
        <f t="shared" si="377"/>
        <v>d.gestionar</v>
      </c>
      <c r="G921" s="17" t="s">
        <v>1111</v>
      </c>
      <c r="H921" s="42" t="s">
        <v>2121</v>
      </c>
      <c r="I921" s="16" t="str">
        <f t="shared" si="383"/>
        <v>null</v>
      </c>
      <c r="J921" s="15" t="s">
        <v>0</v>
      </c>
      <c r="K921" s="15" t="s">
        <v>0</v>
      </c>
      <c r="L921" s="15" t="s">
        <v>0</v>
      </c>
      <c r="M921" s="15" t="s">
        <v>0</v>
      </c>
      <c r="N921" s="15" t="s">
        <v>0</v>
      </c>
      <c r="O921" s="15" t="s">
        <v>0</v>
      </c>
      <c r="P921" s="15" t="s">
        <v>0</v>
      </c>
      <c r="Q921" s="15" t="s">
        <v>0</v>
      </c>
      <c r="R921" s="15" t="s">
        <v>0</v>
      </c>
      <c r="S921" s="10" t="s">
        <v>1</v>
      </c>
      <c r="T921" s="10" t="s">
        <v>32</v>
      </c>
      <c r="U921" s="5" t="str">
        <f t="shared" si="378"/>
        <v>Propriedade destinada a gestionar: é.equipe.de.projeto</v>
      </c>
      <c r="V921" s="5" t="str">
        <f t="shared" si="379"/>
        <v>Dado para gestionar:  equipe.de.projeto  Deve ser formatado como (rdfs:Literal  or  xsd:string)</v>
      </c>
      <c r="W921" s="5" t="s">
        <v>5711</v>
      </c>
      <c r="X921" s="24" t="str">
        <f t="shared" si="380"/>
        <v>gesti.124</v>
      </c>
      <c r="Y921" s="24" t="str">
        <f t="shared" si="381"/>
        <v>Ação de gestionar</v>
      </c>
      <c r="Z921" s="47" t="s">
        <v>3819</v>
      </c>
      <c r="AA921" s="25" t="str">
        <f t="shared" si="374"/>
        <v>null</v>
      </c>
      <c r="AB921" s="26" t="s">
        <v>0</v>
      </c>
      <c r="AC921" s="25" t="str">
        <f t="shared" si="375"/>
        <v>null</v>
      </c>
      <c r="AD921" s="26" t="s">
        <v>0</v>
      </c>
      <c r="AE921" s="25" t="str">
        <f t="shared" si="382"/>
        <v>null</v>
      </c>
      <c r="AF921" s="26" t="s">
        <v>0</v>
      </c>
      <c r="AG921" s="47" t="s">
        <v>3865</v>
      </c>
    </row>
    <row r="922" spans="1:33" ht="6.9" customHeight="1" x14ac:dyDescent="0.4">
      <c r="A922" s="4">
        <f>ROW()</f>
        <v>922</v>
      </c>
      <c r="B922" s="9" t="s">
        <v>27</v>
      </c>
      <c r="C922" s="55" t="str">
        <f t="shared" si="372"/>
        <v>p.gestionar</v>
      </c>
      <c r="D922" s="6" t="str">
        <f t="shared" si="384"/>
        <v>é.equipe.de.tarefa</v>
      </c>
      <c r="E922" s="8" t="s">
        <v>28</v>
      </c>
      <c r="F922" s="42" t="str">
        <f t="shared" si="377"/>
        <v>d.gestionar</v>
      </c>
      <c r="G922" s="17" t="s">
        <v>1051</v>
      </c>
      <c r="H922" s="42" t="s">
        <v>2121</v>
      </c>
      <c r="I922" s="16" t="str">
        <f t="shared" si="383"/>
        <v>null</v>
      </c>
      <c r="J922" s="15" t="s">
        <v>0</v>
      </c>
      <c r="K922" s="15" t="s">
        <v>0</v>
      </c>
      <c r="L922" s="15" t="s">
        <v>0</v>
      </c>
      <c r="M922" s="15" t="s">
        <v>0</v>
      </c>
      <c r="N922" s="15" t="s">
        <v>0</v>
      </c>
      <c r="O922" s="15" t="s">
        <v>0</v>
      </c>
      <c r="P922" s="15" t="s">
        <v>0</v>
      </c>
      <c r="Q922" s="15" t="s">
        <v>0</v>
      </c>
      <c r="R922" s="15" t="s">
        <v>0</v>
      </c>
      <c r="S922" s="10" t="s">
        <v>1</v>
      </c>
      <c r="T922" s="10" t="s">
        <v>32</v>
      </c>
      <c r="U922" s="5" t="str">
        <f t="shared" si="378"/>
        <v>Propriedade destinada a gestionar: é.equipe.de.tarefa</v>
      </c>
      <c r="V922" s="5" t="str">
        <f t="shared" si="379"/>
        <v>Dado para gestionar:  equipe.de.tarefa  Deve ser formatado como (rdfs:Literal  or  xsd:string)</v>
      </c>
      <c r="W922" s="5" t="s">
        <v>5712</v>
      </c>
      <c r="X922" s="24" t="str">
        <f t="shared" si="380"/>
        <v>gesti.125</v>
      </c>
      <c r="Y922" s="24" t="str">
        <f t="shared" si="381"/>
        <v>Ação de gestionar</v>
      </c>
      <c r="Z922" s="47" t="s">
        <v>3820</v>
      </c>
      <c r="AA922" s="25" t="str">
        <f t="shared" si="374"/>
        <v>null</v>
      </c>
      <c r="AB922" s="26" t="s">
        <v>0</v>
      </c>
      <c r="AC922" s="25" t="str">
        <f t="shared" si="375"/>
        <v>null</v>
      </c>
      <c r="AD922" s="26" t="s">
        <v>0</v>
      </c>
      <c r="AE922" s="25" t="str">
        <f t="shared" si="382"/>
        <v>null</v>
      </c>
      <c r="AF922" s="26" t="s">
        <v>0</v>
      </c>
      <c r="AG922" s="47" t="s">
        <v>3866</v>
      </c>
    </row>
    <row r="923" spans="1:33" ht="6.9" customHeight="1" x14ac:dyDescent="0.4">
      <c r="A923" s="4">
        <f>ROW()</f>
        <v>923</v>
      </c>
      <c r="B923" s="9" t="s">
        <v>27</v>
      </c>
      <c r="C923" s="55" t="str">
        <f t="shared" si="372"/>
        <v>p.gestionar</v>
      </c>
      <c r="D923" s="6" t="str">
        <f t="shared" si="384"/>
        <v>é.espaço</v>
      </c>
      <c r="E923" s="8" t="s">
        <v>28</v>
      </c>
      <c r="F923" s="42" t="str">
        <f t="shared" si="377"/>
        <v>d.gestionar</v>
      </c>
      <c r="G923" s="17" t="s">
        <v>1067</v>
      </c>
      <c r="H923" s="42" t="s">
        <v>2121</v>
      </c>
      <c r="I923" s="16" t="str">
        <f t="shared" si="383"/>
        <v>null</v>
      </c>
      <c r="J923" s="15" t="s">
        <v>0</v>
      </c>
      <c r="K923" s="15" t="s">
        <v>0</v>
      </c>
      <c r="L923" s="15" t="s">
        <v>0</v>
      </c>
      <c r="M923" s="15" t="s">
        <v>0</v>
      </c>
      <c r="N923" s="15" t="s">
        <v>0</v>
      </c>
      <c r="O923" s="15" t="s">
        <v>0</v>
      </c>
      <c r="P923" s="15" t="s">
        <v>0</v>
      </c>
      <c r="Q923" s="15" t="s">
        <v>0</v>
      </c>
      <c r="R923" s="15" t="s">
        <v>0</v>
      </c>
      <c r="S923" s="10" t="s">
        <v>1</v>
      </c>
      <c r="T923" s="10" t="s">
        <v>32</v>
      </c>
      <c r="U923" s="5" t="str">
        <f t="shared" si="378"/>
        <v>Propriedade destinada a gestionar: é.espaço</v>
      </c>
      <c r="V923" s="5" t="str">
        <f t="shared" si="379"/>
        <v>Dado para gestionar:  espaço  Deve ser formatado como (rdfs:Literal  or  xsd:string)</v>
      </c>
      <c r="W923" s="5" t="s">
        <v>5713</v>
      </c>
      <c r="X923" s="24" t="str">
        <f t="shared" si="380"/>
        <v>gesti.126</v>
      </c>
      <c r="Y923" s="24" t="str">
        <f t="shared" si="381"/>
        <v>Ação de gestionar</v>
      </c>
      <c r="Z923" s="47" t="s">
        <v>3843</v>
      </c>
      <c r="AA923" s="25" t="str">
        <f t="shared" si="374"/>
        <v>null</v>
      </c>
      <c r="AB923" s="26" t="s">
        <v>0</v>
      </c>
      <c r="AC923" s="25" t="str">
        <f t="shared" si="375"/>
        <v>null</v>
      </c>
      <c r="AD923" s="26" t="s">
        <v>0</v>
      </c>
      <c r="AE923" s="25" t="str">
        <f t="shared" si="382"/>
        <v>null</v>
      </c>
      <c r="AF923" s="26" t="s">
        <v>0</v>
      </c>
      <c r="AG923" s="47" t="s">
        <v>3878</v>
      </c>
    </row>
    <row r="924" spans="1:33" ht="6.9" customHeight="1" x14ac:dyDescent="0.4">
      <c r="A924" s="4">
        <f>ROW()</f>
        <v>924</v>
      </c>
      <c r="B924" s="9" t="s">
        <v>27</v>
      </c>
      <c r="C924" s="55" t="str">
        <f t="shared" si="372"/>
        <v>p.gestionar</v>
      </c>
      <c r="D924" s="6" t="str">
        <f t="shared" si="384"/>
        <v>é.estágio</v>
      </c>
      <c r="E924" s="8" t="s">
        <v>28</v>
      </c>
      <c r="F924" s="42" t="str">
        <f t="shared" si="377"/>
        <v>d.gestionar</v>
      </c>
      <c r="G924" s="17" t="s">
        <v>1044</v>
      </c>
      <c r="H924" s="42" t="s">
        <v>2121</v>
      </c>
      <c r="I924" s="16" t="str">
        <f t="shared" si="383"/>
        <v>null</v>
      </c>
      <c r="J924" s="15" t="s">
        <v>0</v>
      </c>
      <c r="K924" s="15" t="s">
        <v>0</v>
      </c>
      <c r="L924" s="15" t="s">
        <v>0</v>
      </c>
      <c r="M924" s="15" t="s">
        <v>0</v>
      </c>
      <c r="N924" s="15" t="s">
        <v>0</v>
      </c>
      <c r="O924" s="15" t="s">
        <v>0</v>
      </c>
      <c r="P924" s="15" t="s">
        <v>0</v>
      </c>
      <c r="Q924" s="15" t="s">
        <v>0</v>
      </c>
      <c r="R924" s="15" t="s">
        <v>0</v>
      </c>
      <c r="S924" s="10" t="s">
        <v>1</v>
      </c>
      <c r="T924" s="10" t="s">
        <v>32</v>
      </c>
      <c r="U924" s="5" t="str">
        <f t="shared" si="378"/>
        <v>Propriedade destinada a gestionar: é.estágio</v>
      </c>
      <c r="V924" s="5" t="str">
        <f t="shared" si="379"/>
        <v>Dado para gestionar:  estágio  Deve ser formatado como (rdfs:Literal  or  xsd:string)</v>
      </c>
      <c r="W924" s="5" t="s">
        <v>5714</v>
      </c>
      <c r="X924" s="24" t="str">
        <f t="shared" si="380"/>
        <v>gesti.127</v>
      </c>
      <c r="Y924" s="24" t="str">
        <f t="shared" si="381"/>
        <v>Ação de gestionar</v>
      </c>
      <c r="Z924" s="47" t="s">
        <v>3821</v>
      </c>
      <c r="AA924" s="25" t="str">
        <f t="shared" si="374"/>
        <v>null</v>
      </c>
      <c r="AB924" s="26" t="s">
        <v>0</v>
      </c>
      <c r="AC924" s="25" t="str">
        <f t="shared" si="375"/>
        <v>null</v>
      </c>
      <c r="AD924" s="26" t="s">
        <v>0</v>
      </c>
      <c r="AE924" s="25" t="str">
        <f t="shared" si="382"/>
        <v>null</v>
      </c>
      <c r="AF924" s="26" t="s">
        <v>0</v>
      </c>
      <c r="AG924" s="47" t="s">
        <v>3867</v>
      </c>
    </row>
    <row r="925" spans="1:33" ht="6.9" customHeight="1" x14ac:dyDescent="0.4">
      <c r="A925" s="4">
        <f>ROW()</f>
        <v>925</v>
      </c>
      <c r="B925" s="9" t="s">
        <v>27</v>
      </c>
      <c r="C925" s="55" t="str">
        <f t="shared" si="372"/>
        <v>p.gestionar</v>
      </c>
      <c r="D925" s="6" t="str">
        <f t="shared" si="384"/>
        <v>é.etapa</v>
      </c>
      <c r="E925" s="8" t="s">
        <v>28</v>
      </c>
      <c r="F925" s="42" t="str">
        <f t="shared" si="377"/>
        <v>d.gestionar</v>
      </c>
      <c r="G925" s="17" t="s">
        <v>1045</v>
      </c>
      <c r="H925" s="42" t="s">
        <v>2121</v>
      </c>
      <c r="I925" s="16" t="str">
        <f t="shared" si="383"/>
        <v>null</v>
      </c>
      <c r="J925" s="15" t="s">
        <v>0</v>
      </c>
      <c r="K925" s="15" t="s">
        <v>0</v>
      </c>
      <c r="L925" s="15" t="s">
        <v>0</v>
      </c>
      <c r="M925" s="15" t="s">
        <v>0</v>
      </c>
      <c r="N925" s="15" t="s">
        <v>0</v>
      </c>
      <c r="O925" s="15" t="s">
        <v>0</v>
      </c>
      <c r="P925" s="15" t="s">
        <v>0</v>
      </c>
      <c r="Q925" s="15" t="s">
        <v>0</v>
      </c>
      <c r="R925" s="15" t="s">
        <v>0</v>
      </c>
      <c r="S925" s="10" t="s">
        <v>1</v>
      </c>
      <c r="T925" s="10" t="s">
        <v>32</v>
      </c>
      <c r="U925" s="5" t="str">
        <f t="shared" si="378"/>
        <v>Propriedade destinada a gestionar: é.etapa</v>
      </c>
      <c r="V925" s="5" t="str">
        <f t="shared" si="379"/>
        <v>Dado para gestionar:  etapa  Deve ser formatado como (rdfs:Literal  or  xsd:string)</v>
      </c>
      <c r="W925" s="5" t="s">
        <v>5715</v>
      </c>
      <c r="X925" s="24" t="str">
        <f t="shared" si="380"/>
        <v>gesti.128</v>
      </c>
      <c r="Y925" s="24" t="str">
        <f t="shared" si="381"/>
        <v>Ação de gestionar</v>
      </c>
      <c r="Z925" s="47" t="s">
        <v>3844</v>
      </c>
      <c r="AA925" s="25" t="str">
        <f t="shared" si="374"/>
        <v>null</v>
      </c>
      <c r="AB925" s="26" t="s">
        <v>0</v>
      </c>
      <c r="AC925" s="25" t="str">
        <f t="shared" si="375"/>
        <v>null</v>
      </c>
      <c r="AD925" s="26" t="s">
        <v>0</v>
      </c>
      <c r="AE925" s="25" t="str">
        <f t="shared" si="382"/>
        <v>null</v>
      </c>
      <c r="AF925" s="26" t="s">
        <v>0</v>
      </c>
      <c r="AG925" s="47" t="s">
        <v>3879</v>
      </c>
    </row>
    <row r="926" spans="1:33" ht="6.9" customHeight="1" x14ac:dyDescent="0.4">
      <c r="A926" s="4">
        <f>ROW()</f>
        <v>926</v>
      </c>
      <c r="B926" s="9" t="s">
        <v>27</v>
      </c>
      <c r="C926" s="55" t="str">
        <f t="shared" si="372"/>
        <v>p.gestionar</v>
      </c>
      <c r="D926" s="6" t="str">
        <f t="shared" si="384"/>
        <v>é.evento.gatilho</v>
      </c>
      <c r="E926" s="8" t="s">
        <v>28</v>
      </c>
      <c r="F926" s="42" t="str">
        <f t="shared" si="377"/>
        <v>d.gestionar</v>
      </c>
      <c r="G926" s="17" t="s">
        <v>1054</v>
      </c>
      <c r="H926" s="42" t="s">
        <v>2121</v>
      </c>
      <c r="I926" s="16" t="str">
        <f t="shared" si="383"/>
        <v>null</v>
      </c>
      <c r="J926" s="15" t="s">
        <v>0</v>
      </c>
      <c r="K926" s="15" t="s">
        <v>0</v>
      </c>
      <c r="L926" s="15" t="s">
        <v>0</v>
      </c>
      <c r="M926" s="15" t="s">
        <v>0</v>
      </c>
      <c r="N926" s="15" t="s">
        <v>0</v>
      </c>
      <c r="O926" s="15" t="s">
        <v>0</v>
      </c>
      <c r="P926" s="15" t="s">
        <v>0</v>
      </c>
      <c r="Q926" s="15" t="s">
        <v>0</v>
      </c>
      <c r="R926" s="15" t="s">
        <v>1127</v>
      </c>
      <c r="S926" s="10" t="s">
        <v>1</v>
      </c>
      <c r="T926" s="10" t="s">
        <v>32</v>
      </c>
      <c r="U926" s="5" t="str">
        <f t="shared" si="378"/>
        <v>Propriedade destinada a gestionar: é.evento.gatilho</v>
      </c>
      <c r="V926" s="5" t="str">
        <f t="shared" si="379"/>
        <v>Dado para gestionar:  evento.gatilho  Deve ser formatado como (rdfs:Literal  or  xsd:string)</v>
      </c>
      <c r="W926" s="5" t="s">
        <v>5716</v>
      </c>
      <c r="X926" s="24" t="str">
        <f t="shared" si="380"/>
        <v>gesti.129</v>
      </c>
      <c r="Y926" s="24" t="str">
        <f t="shared" si="381"/>
        <v>Ação de gestionar</v>
      </c>
      <c r="Z926" s="47" t="s">
        <v>3822</v>
      </c>
      <c r="AA926" s="25" t="str">
        <f t="shared" si="374"/>
        <v>null</v>
      </c>
      <c r="AB926" s="26" t="s">
        <v>0</v>
      </c>
      <c r="AC926" s="25" t="str">
        <f t="shared" si="375"/>
        <v>null</v>
      </c>
      <c r="AD926" s="26" t="s">
        <v>0</v>
      </c>
      <c r="AE926" s="25" t="str">
        <f t="shared" si="382"/>
        <v>null</v>
      </c>
      <c r="AF926" s="26" t="s">
        <v>0</v>
      </c>
      <c r="AG926" s="47" t="s">
        <v>3868</v>
      </c>
    </row>
    <row r="927" spans="1:33" ht="6.9" customHeight="1" x14ac:dyDescent="0.4">
      <c r="A927" s="4">
        <f>ROW()</f>
        <v>927</v>
      </c>
      <c r="B927" s="9" t="s">
        <v>27</v>
      </c>
      <c r="C927" s="55" t="str">
        <f t="shared" si="372"/>
        <v>p.gestionar</v>
      </c>
      <c r="D927" s="6" t="str">
        <f t="shared" si="384"/>
        <v>é.fase.de.entrega</v>
      </c>
      <c r="E927" s="8" t="s">
        <v>28</v>
      </c>
      <c r="F927" s="42" t="str">
        <f t="shared" si="377"/>
        <v>d.gestionar</v>
      </c>
      <c r="G927" s="17" t="s">
        <v>1050</v>
      </c>
      <c r="H927" s="42" t="s">
        <v>2121</v>
      </c>
      <c r="I927" s="16" t="str">
        <f t="shared" si="383"/>
        <v>null</v>
      </c>
      <c r="J927" s="15" t="s">
        <v>0</v>
      </c>
      <c r="K927" s="15" t="s">
        <v>0</v>
      </c>
      <c r="L927" s="15" t="s">
        <v>0</v>
      </c>
      <c r="M927" s="15" t="s">
        <v>0</v>
      </c>
      <c r="N927" s="15" t="s">
        <v>0</v>
      </c>
      <c r="O927" s="15" t="s">
        <v>0</v>
      </c>
      <c r="P927" s="15" t="s">
        <v>0</v>
      </c>
      <c r="Q927" s="15" t="s">
        <v>0</v>
      </c>
      <c r="R927" s="15" t="s">
        <v>0</v>
      </c>
      <c r="S927" s="10" t="s">
        <v>1</v>
      </c>
      <c r="T927" s="10" t="s">
        <v>32</v>
      </c>
      <c r="U927" s="5" t="str">
        <f t="shared" si="378"/>
        <v>Propriedade destinada a gestionar: é.fase.de.entrega</v>
      </c>
      <c r="V927" s="5" t="str">
        <f t="shared" si="379"/>
        <v>Dado para gestionar:  fase.de.entrega  Deve ser formatado como (rdfs:Literal  or  xsd:string)</v>
      </c>
      <c r="W927" s="5" t="s">
        <v>5717</v>
      </c>
      <c r="X927" s="24" t="str">
        <f t="shared" si="380"/>
        <v>gesti.130</v>
      </c>
      <c r="Y927" s="24" t="str">
        <f t="shared" si="381"/>
        <v>Ação de gestionar</v>
      </c>
      <c r="Z927" s="47" t="s">
        <v>3823</v>
      </c>
      <c r="AA927" s="25" t="str">
        <f t="shared" si="374"/>
        <v>null</v>
      </c>
      <c r="AB927" s="26" t="s">
        <v>0</v>
      </c>
      <c r="AC927" s="25" t="str">
        <f t="shared" si="375"/>
        <v>null</v>
      </c>
      <c r="AD927" s="26" t="s">
        <v>0</v>
      </c>
      <c r="AE927" s="25" t="str">
        <f t="shared" si="382"/>
        <v>null</v>
      </c>
      <c r="AF927" s="26" t="s">
        <v>0</v>
      </c>
      <c r="AG927" s="47" t="s">
        <v>3869</v>
      </c>
    </row>
    <row r="928" spans="1:33" ht="6.9" customHeight="1" x14ac:dyDescent="0.4">
      <c r="A928" s="4">
        <f>ROW()</f>
        <v>928</v>
      </c>
      <c r="B928" s="9" t="s">
        <v>27</v>
      </c>
      <c r="C928" s="55" t="str">
        <f t="shared" si="372"/>
        <v>p.gestionar</v>
      </c>
      <c r="D928" s="6" t="str">
        <f t="shared" si="384"/>
        <v>é.fase.de.projeto</v>
      </c>
      <c r="E928" s="8" t="s">
        <v>28</v>
      </c>
      <c r="F928" s="42" t="str">
        <f t="shared" si="377"/>
        <v>d.gestionar</v>
      </c>
      <c r="G928" s="17" t="s">
        <v>2460</v>
      </c>
      <c r="H928" s="42" t="s">
        <v>2121</v>
      </c>
      <c r="I928" s="16" t="str">
        <f t="shared" si="383"/>
        <v>null</v>
      </c>
      <c r="J928" s="15" t="s">
        <v>0</v>
      </c>
      <c r="K928" s="15" t="s">
        <v>0</v>
      </c>
      <c r="L928" s="15" t="s">
        <v>0</v>
      </c>
      <c r="M928" s="15" t="s">
        <v>0</v>
      </c>
      <c r="N928" s="15" t="s">
        <v>0</v>
      </c>
      <c r="O928" s="15" t="s">
        <v>0</v>
      </c>
      <c r="P928" s="15" t="s">
        <v>0</v>
      </c>
      <c r="Q928" s="15" t="s">
        <v>0</v>
      </c>
      <c r="R928" s="15" t="s">
        <v>0</v>
      </c>
      <c r="S928" s="10" t="s">
        <v>1</v>
      </c>
      <c r="T928" s="10" t="s">
        <v>32</v>
      </c>
      <c r="U928" s="5" t="str">
        <f t="shared" si="378"/>
        <v>Propriedade destinada a gestionar: é.fase.de.projeto</v>
      </c>
      <c r="V928" s="5" t="str">
        <f t="shared" si="379"/>
        <v>Dado para gestionar:  fase.de.projeto  Deve ser formatado como (rdfs:Literal  or  xsd:string)</v>
      </c>
      <c r="W928" s="5" t="s">
        <v>5718</v>
      </c>
      <c r="X928" s="24" t="str">
        <f t="shared" si="380"/>
        <v>gesti.131</v>
      </c>
      <c r="Y928" s="24" t="str">
        <f t="shared" si="381"/>
        <v>Ação de gestionar</v>
      </c>
      <c r="Z928" s="47" t="s">
        <v>3824</v>
      </c>
      <c r="AA928" s="25" t="str">
        <f t="shared" si="374"/>
        <v>null</v>
      </c>
      <c r="AB928" s="26" t="s">
        <v>0</v>
      </c>
      <c r="AC928" s="25" t="str">
        <f t="shared" si="375"/>
        <v>null</v>
      </c>
      <c r="AD928" s="26" t="s">
        <v>0</v>
      </c>
      <c r="AE928" s="25" t="str">
        <f t="shared" si="382"/>
        <v>propriedade</v>
      </c>
      <c r="AF928" s="26" t="s">
        <v>2461</v>
      </c>
      <c r="AG928" s="47" t="s">
        <v>3870</v>
      </c>
    </row>
    <row r="929" spans="1:33" ht="6.9" customHeight="1" x14ac:dyDescent="0.4">
      <c r="A929" s="4">
        <f>ROW()</f>
        <v>929</v>
      </c>
      <c r="B929" s="9" t="s">
        <v>27</v>
      </c>
      <c r="C929" s="55" t="str">
        <f t="shared" si="372"/>
        <v>p.gestionar</v>
      </c>
      <c r="D929" s="6" t="str">
        <f t="shared" si="384"/>
        <v>é.federação</v>
      </c>
      <c r="E929" s="8" t="s">
        <v>28</v>
      </c>
      <c r="F929" s="42" t="str">
        <f t="shared" si="377"/>
        <v>d.gestionar</v>
      </c>
      <c r="G929" s="17" t="s">
        <v>1060</v>
      </c>
      <c r="H929" s="42" t="s">
        <v>2121</v>
      </c>
      <c r="I929" s="16" t="str">
        <f t="shared" si="383"/>
        <v>null</v>
      </c>
      <c r="J929" s="15" t="s">
        <v>0</v>
      </c>
      <c r="K929" s="15" t="s">
        <v>0</v>
      </c>
      <c r="L929" s="15" t="s">
        <v>0</v>
      </c>
      <c r="M929" s="15" t="s">
        <v>0</v>
      </c>
      <c r="N929" s="15" t="s">
        <v>0</v>
      </c>
      <c r="O929" s="15" t="s">
        <v>0</v>
      </c>
      <c r="P929" s="15" t="s">
        <v>0</v>
      </c>
      <c r="Q929" s="15" t="s">
        <v>0</v>
      </c>
      <c r="R929" s="15" t="s">
        <v>0</v>
      </c>
      <c r="S929" s="10" t="s">
        <v>1</v>
      </c>
      <c r="T929" s="10" t="s">
        <v>32</v>
      </c>
      <c r="U929" s="5" t="str">
        <f t="shared" si="378"/>
        <v>Propriedade destinada a gestionar: é.federação</v>
      </c>
      <c r="V929" s="5" t="str">
        <f t="shared" si="379"/>
        <v>Dado para gestionar:  federação  Deve ser formatado como (rdfs:Literal  or  xsd:string)</v>
      </c>
      <c r="W929" s="5" t="s">
        <v>5719</v>
      </c>
      <c r="X929" s="24" t="str">
        <f t="shared" si="380"/>
        <v>gesti.132</v>
      </c>
      <c r="Y929" s="24" t="str">
        <f t="shared" si="381"/>
        <v>Ação de gestionar</v>
      </c>
      <c r="Z929" s="47" t="s">
        <v>3845</v>
      </c>
      <c r="AA929" s="25" t="str">
        <f t="shared" si="374"/>
        <v>null</v>
      </c>
      <c r="AB929" s="26" t="s">
        <v>0</v>
      </c>
      <c r="AC929" s="25" t="str">
        <f t="shared" si="375"/>
        <v>null</v>
      </c>
      <c r="AD929" s="26" t="s">
        <v>0</v>
      </c>
      <c r="AE929" s="25" t="str">
        <f t="shared" si="382"/>
        <v>null</v>
      </c>
      <c r="AF929" s="26" t="s">
        <v>0</v>
      </c>
      <c r="AG929" s="47" t="s">
        <v>3880</v>
      </c>
    </row>
    <row r="930" spans="1:33" ht="6.9" customHeight="1" x14ac:dyDescent="0.4">
      <c r="A930" s="4">
        <f>ROW()</f>
        <v>930</v>
      </c>
      <c r="B930" s="9" t="s">
        <v>27</v>
      </c>
      <c r="C930" s="55" t="str">
        <f t="shared" si="372"/>
        <v>p.gestionar</v>
      </c>
      <c r="D930" s="6" t="str">
        <f t="shared" si="384"/>
        <v>é.licitação</v>
      </c>
      <c r="E930" s="8" t="s">
        <v>28</v>
      </c>
      <c r="F930" s="42" t="str">
        <f t="shared" si="377"/>
        <v>d.gestionar</v>
      </c>
      <c r="G930" s="17" t="s">
        <v>1073</v>
      </c>
      <c r="H930" s="42" t="s">
        <v>2121</v>
      </c>
      <c r="I930" s="16" t="str">
        <f t="shared" si="383"/>
        <v>null</v>
      </c>
      <c r="J930" s="15" t="s">
        <v>0</v>
      </c>
      <c r="K930" s="15" t="s">
        <v>0</v>
      </c>
      <c r="L930" s="15" t="s">
        <v>0</v>
      </c>
      <c r="M930" s="15" t="s">
        <v>0</v>
      </c>
      <c r="N930" s="15" t="s">
        <v>0</v>
      </c>
      <c r="O930" s="15" t="s">
        <v>0</v>
      </c>
      <c r="P930" s="15" t="s">
        <v>0</v>
      </c>
      <c r="Q930" s="15" t="s">
        <v>0</v>
      </c>
      <c r="R930" s="15" t="s">
        <v>0</v>
      </c>
      <c r="S930" s="10" t="s">
        <v>1</v>
      </c>
      <c r="T930" s="10" t="s">
        <v>32</v>
      </c>
      <c r="U930" s="5" t="str">
        <f t="shared" si="378"/>
        <v>Propriedade destinada a gestionar: é.licitação</v>
      </c>
      <c r="V930" s="5" t="str">
        <f t="shared" si="379"/>
        <v>Dado para gestionar:  licitação  Deve ser formatado como (rdfs:Literal  or  xsd:string)</v>
      </c>
      <c r="W930" s="5" t="s">
        <v>5720</v>
      </c>
      <c r="X930" s="24" t="str">
        <f t="shared" si="380"/>
        <v>gesti.133</v>
      </c>
      <c r="Y930" s="24" t="str">
        <f t="shared" si="381"/>
        <v>Ação de gestionar</v>
      </c>
      <c r="Z930" s="47" t="s">
        <v>3825</v>
      </c>
      <c r="AA930" s="25" t="str">
        <f t="shared" si="374"/>
        <v>null</v>
      </c>
      <c r="AB930" s="26" t="s">
        <v>0</v>
      </c>
      <c r="AC930" s="25" t="str">
        <f t="shared" si="375"/>
        <v>null</v>
      </c>
      <c r="AD930" s="26" t="s">
        <v>0</v>
      </c>
      <c r="AE930" s="25" t="str">
        <f t="shared" si="382"/>
        <v>null</v>
      </c>
      <c r="AF930" s="26" t="s">
        <v>0</v>
      </c>
      <c r="AG930" s="47" t="s">
        <v>4723</v>
      </c>
    </row>
    <row r="931" spans="1:33" ht="6.9" customHeight="1" x14ac:dyDescent="0.4">
      <c r="A931" s="4">
        <f>ROW()</f>
        <v>931</v>
      </c>
      <c r="B931" s="9" t="s">
        <v>27</v>
      </c>
      <c r="C931" s="55" t="str">
        <f t="shared" si="372"/>
        <v>p.gestionar</v>
      </c>
      <c r="D931" s="6" t="str">
        <f t="shared" si="384"/>
        <v>é.matriz.de.responsabilidade</v>
      </c>
      <c r="E931" s="8" t="s">
        <v>28</v>
      </c>
      <c r="F931" s="42" t="str">
        <f t="shared" si="377"/>
        <v>d.gestionar</v>
      </c>
      <c r="G931" s="17" t="s">
        <v>1066</v>
      </c>
      <c r="H931" s="42" t="s">
        <v>2121</v>
      </c>
      <c r="I931" s="16" t="str">
        <f t="shared" si="383"/>
        <v>null</v>
      </c>
      <c r="J931" s="15" t="s">
        <v>0</v>
      </c>
      <c r="K931" s="15" t="s">
        <v>0</v>
      </c>
      <c r="L931" s="15" t="s">
        <v>0</v>
      </c>
      <c r="M931" s="15" t="s">
        <v>0</v>
      </c>
      <c r="N931" s="15" t="s">
        <v>0</v>
      </c>
      <c r="O931" s="15" t="s">
        <v>0</v>
      </c>
      <c r="P931" s="15" t="s">
        <v>0</v>
      </c>
      <c r="Q931" s="15" t="s">
        <v>0</v>
      </c>
      <c r="R931" s="15" t="s">
        <v>0</v>
      </c>
      <c r="S931" s="10" t="s">
        <v>1</v>
      </c>
      <c r="T931" s="10" t="s">
        <v>32</v>
      </c>
      <c r="U931" s="5" t="str">
        <f t="shared" si="378"/>
        <v>Propriedade destinada a gestionar: é.matriz.de.responsabilidade</v>
      </c>
      <c r="V931" s="5" t="str">
        <f t="shared" si="379"/>
        <v>Dado para gestionar:  matriz.de.responsabilidade  Deve ser formatado como (rdfs:Literal  or  xsd:string)</v>
      </c>
      <c r="W931" s="5" t="s">
        <v>5721</v>
      </c>
      <c r="X931" s="24" t="str">
        <f t="shared" si="380"/>
        <v>gesti.134</v>
      </c>
      <c r="Y931" s="24" t="str">
        <f t="shared" si="381"/>
        <v>Ação de gestionar</v>
      </c>
      <c r="Z931" s="47" t="s">
        <v>3826</v>
      </c>
      <c r="AA931" s="25" t="str">
        <f t="shared" si="374"/>
        <v>null</v>
      </c>
      <c r="AB931" s="26" t="s">
        <v>0</v>
      </c>
      <c r="AC931" s="25" t="str">
        <f t="shared" si="375"/>
        <v>null</v>
      </c>
      <c r="AD931" s="26" t="s">
        <v>0</v>
      </c>
      <c r="AE931" s="25" t="str">
        <f t="shared" si="382"/>
        <v>null</v>
      </c>
      <c r="AF931" s="26" t="s">
        <v>0</v>
      </c>
      <c r="AG931" s="47" t="s">
        <v>3871</v>
      </c>
    </row>
    <row r="932" spans="1:33" ht="6.9" customHeight="1" x14ac:dyDescent="0.4">
      <c r="A932" s="4">
        <f>ROW()</f>
        <v>932</v>
      </c>
      <c r="B932" s="9" t="s">
        <v>27</v>
      </c>
      <c r="C932" s="55" t="str">
        <f t="shared" si="372"/>
        <v>p.gestionar</v>
      </c>
      <c r="D932" s="6" t="str">
        <f t="shared" si="384"/>
        <v>é.mei</v>
      </c>
      <c r="E932" s="8" t="s">
        <v>28</v>
      </c>
      <c r="F932" s="42" t="str">
        <f t="shared" si="377"/>
        <v>d.gestionar</v>
      </c>
      <c r="G932" s="18" t="s">
        <v>90</v>
      </c>
      <c r="H932" s="41" t="s">
        <v>2121</v>
      </c>
      <c r="I932" s="16" t="str">
        <f t="shared" si="383"/>
        <v>null</v>
      </c>
      <c r="J932" s="13" t="s">
        <v>0</v>
      </c>
      <c r="K932" s="13" t="s">
        <v>0</v>
      </c>
      <c r="L932" s="13" t="s">
        <v>0</v>
      </c>
      <c r="M932" s="13" t="s">
        <v>0</v>
      </c>
      <c r="N932" s="15" t="s">
        <v>0</v>
      </c>
      <c r="O932" s="13" t="s">
        <v>0</v>
      </c>
      <c r="P932" s="13" t="s">
        <v>0</v>
      </c>
      <c r="Q932" s="13" t="s">
        <v>0</v>
      </c>
      <c r="R932" s="15" t="s">
        <v>0</v>
      </c>
      <c r="S932" s="10" t="s">
        <v>1</v>
      </c>
      <c r="T932" s="10" t="s">
        <v>32</v>
      </c>
      <c r="U932" s="5" t="str">
        <f t="shared" si="378"/>
        <v>Propriedade destinada a gestionar: é.mei</v>
      </c>
      <c r="V932" s="5" t="str">
        <f t="shared" si="379"/>
        <v>Dado para gestionar:  mei  Deve ser formatado como (rdfs:Literal  or  xsd:string)</v>
      </c>
      <c r="W932" s="5" t="s">
        <v>5722</v>
      </c>
      <c r="X932" s="24" t="str">
        <f t="shared" si="380"/>
        <v>gesti.135</v>
      </c>
      <c r="Y932" s="24" t="str">
        <f t="shared" si="381"/>
        <v>Ação de gestionar</v>
      </c>
      <c r="Z932" s="47" t="s">
        <v>3827</v>
      </c>
      <c r="AA932" s="25" t="str">
        <f t="shared" si="374"/>
        <v>null</v>
      </c>
      <c r="AB932" s="26" t="s">
        <v>0</v>
      </c>
      <c r="AC932" s="25" t="str">
        <f t="shared" si="375"/>
        <v>null</v>
      </c>
      <c r="AD932" s="26" t="s">
        <v>0</v>
      </c>
      <c r="AE932" s="25" t="str">
        <f t="shared" si="382"/>
        <v>null</v>
      </c>
      <c r="AF932" s="26" t="s">
        <v>0</v>
      </c>
      <c r="AG932" s="47" t="s">
        <v>4724</v>
      </c>
    </row>
    <row r="933" spans="1:33" ht="6.9" customHeight="1" x14ac:dyDescent="0.4">
      <c r="A933" s="4">
        <f>ROW()</f>
        <v>933</v>
      </c>
      <c r="B933" s="9" t="s">
        <v>27</v>
      </c>
      <c r="C933" s="55" t="str">
        <f t="shared" si="372"/>
        <v>p.gestionar</v>
      </c>
      <c r="D933" s="6" t="str">
        <f t="shared" si="384"/>
        <v>é.meta</v>
      </c>
      <c r="E933" s="8" t="s">
        <v>28</v>
      </c>
      <c r="F933" s="42" t="str">
        <f t="shared" si="377"/>
        <v>d.gestionar</v>
      </c>
      <c r="G933" s="18" t="s">
        <v>97</v>
      </c>
      <c r="H933" s="41" t="s">
        <v>2121</v>
      </c>
      <c r="I933" s="16" t="str">
        <f t="shared" si="383"/>
        <v>null</v>
      </c>
      <c r="J933" s="13" t="s">
        <v>0</v>
      </c>
      <c r="K933" s="13" t="s">
        <v>0</v>
      </c>
      <c r="L933" s="13" t="s">
        <v>0</v>
      </c>
      <c r="M933" s="13" t="s">
        <v>0</v>
      </c>
      <c r="N933" s="15" t="s">
        <v>0</v>
      </c>
      <c r="O933" s="13" t="s">
        <v>0</v>
      </c>
      <c r="P933" s="13" t="s">
        <v>0</v>
      </c>
      <c r="Q933" s="13" t="s">
        <v>0</v>
      </c>
      <c r="R933" s="15" t="s">
        <v>2326</v>
      </c>
      <c r="S933" s="10" t="s">
        <v>1</v>
      </c>
      <c r="T933" s="10" t="s">
        <v>32</v>
      </c>
      <c r="U933" s="5" t="str">
        <f t="shared" si="378"/>
        <v>Propriedade destinada a gestionar: é.meta</v>
      </c>
      <c r="V933" s="5" t="str">
        <f t="shared" si="379"/>
        <v>Dado para gestionar:  meta  Deve ser formatado como (rdfs:Literal  or  xsd:string)</v>
      </c>
      <c r="W933" s="5" t="s">
        <v>5723</v>
      </c>
      <c r="X933" s="24" t="str">
        <f t="shared" si="380"/>
        <v>gesti.136</v>
      </c>
      <c r="Y933" s="24" t="str">
        <f t="shared" si="381"/>
        <v>Ação de gestionar</v>
      </c>
      <c r="Z933" s="47" t="s">
        <v>3828</v>
      </c>
      <c r="AA933" s="25" t="str">
        <f t="shared" si="374"/>
        <v>null</v>
      </c>
      <c r="AB933" s="26" t="s">
        <v>0</v>
      </c>
      <c r="AC933" s="25" t="str">
        <f t="shared" si="375"/>
        <v>null</v>
      </c>
      <c r="AD933" s="26" t="s">
        <v>0</v>
      </c>
      <c r="AE933" s="25" t="str">
        <f t="shared" si="382"/>
        <v>null</v>
      </c>
      <c r="AF933" s="26" t="s">
        <v>0</v>
      </c>
      <c r="AG933" s="47" t="s">
        <v>4725</v>
      </c>
    </row>
    <row r="934" spans="1:33" ht="6.9" customHeight="1" x14ac:dyDescent="0.4">
      <c r="A934" s="4">
        <f>ROW()</f>
        <v>934</v>
      </c>
      <c r="B934" s="9" t="s">
        <v>27</v>
      </c>
      <c r="C934" s="55" t="str">
        <f t="shared" si="372"/>
        <v>p.gestionar</v>
      </c>
      <c r="D934" s="6" t="str">
        <f t="shared" si="384"/>
        <v>é.objeto.contratual</v>
      </c>
      <c r="E934" s="8" t="s">
        <v>28</v>
      </c>
      <c r="F934" s="42" t="str">
        <f t="shared" si="377"/>
        <v>d.gestionar</v>
      </c>
      <c r="G934" s="18" t="s">
        <v>2048</v>
      </c>
      <c r="H934" s="41" t="s">
        <v>2121</v>
      </c>
      <c r="I934" s="16" t="str">
        <f t="shared" si="383"/>
        <v>null</v>
      </c>
      <c r="J934" s="13" t="s">
        <v>0</v>
      </c>
      <c r="K934" s="13" t="s">
        <v>0</v>
      </c>
      <c r="L934" s="13" t="s">
        <v>0</v>
      </c>
      <c r="M934" s="13" t="s">
        <v>0</v>
      </c>
      <c r="N934" s="15" t="s">
        <v>0</v>
      </c>
      <c r="O934" s="13" t="s">
        <v>0</v>
      </c>
      <c r="P934" s="13" t="s">
        <v>0</v>
      </c>
      <c r="Q934" s="13" t="s">
        <v>0</v>
      </c>
      <c r="R934" s="15" t="s">
        <v>0</v>
      </c>
      <c r="S934" s="10" t="s">
        <v>1</v>
      </c>
      <c r="T934" s="10" t="s">
        <v>32</v>
      </c>
      <c r="U934" s="5" t="str">
        <f t="shared" si="378"/>
        <v>Propriedade destinada a gestionar: é.objeto.contratual</v>
      </c>
      <c r="V934" s="5" t="str">
        <f t="shared" si="379"/>
        <v>Dado para gestionar:  objeto.contratual  Deve ser formatado como (rdfs:Literal  or  xsd:string)</v>
      </c>
      <c r="W934" s="5" t="s">
        <v>5724</v>
      </c>
      <c r="X934" s="24" t="str">
        <f t="shared" si="380"/>
        <v>gesti.137</v>
      </c>
      <c r="Y934" s="24" t="str">
        <f t="shared" si="381"/>
        <v>Ação de gestionar</v>
      </c>
      <c r="Z934" s="47" t="s">
        <v>3850</v>
      </c>
      <c r="AA934" s="25" t="str">
        <f t="shared" si="374"/>
        <v>null</v>
      </c>
      <c r="AB934" s="26" t="s">
        <v>0</v>
      </c>
      <c r="AC934" s="25" t="str">
        <f t="shared" si="375"/>
        <v>null</v>
      </c>
      <c r="AD934" s="26" t="s">
        <v>0</v>
      </c>
      <c r="AE934" s="25" t="str">
        <f t="shared" si="382"/>
        <v>null</v>
      </c>
      <c r="AF934" s="26" t="s">
        <v>0</v>
      </c>
      <c r="AG934" s="47" t="s">
        <v>4726</v>
      </c>
    </row>
    <row r="935" spans="1:33" ht="6.9" customHeight="1" x14ac:dyDescent="0.4">
      <c r="A935" s="4">
        <f>ROW()</f>
        <v>935</v>
      </c>
      <c r="B935" s="9" t="s">
        <v>27</v>
      </c>
      <c r="C935" s="55" t="str">
        <f t="shared" si="372"/>
        <v>p.gestionar</v>
      </c>
      <c r="D935" s="6" t="str">
        <f t="shared" si="384"/>
        <v>é.plano.de.entrega.de.tarefas</v>
      </c>
      <c r="E935" s="8" t="s">
        <v>28</v>
      </c>
      <c r="F935" s="42" t="str">
        <f t="shared" si="377"/>
        <v>d.gestionar</v>
      </c>
      <c r="G935" s="17" t="s">
        <v>1115</v>
      </c>
      <c r="H935" s="42" t="s">
        <v>2121</v>
      </c>
      <c r="I935" s="16" t="str">
        <f t="shared" si="383"/>
        <v>null</v>
      </c>
      <c r="J935" s="15" t="s">
        <v>0</v>
      </c>
      <c r="K935" s="15" t="s">
        <v>0</v>
      </c>
      <c r="L935" s="15" t="s">
        <v>0</v>
      </c>
      <c r="M935" s="15" t="s">
        <v>0</v>
      </c>
      <c r="N935" s="15" t="s">
        <v>0</v>
      </c>
      <c r="O935" s="15" t="s">
        <v>0</v>
      </c>
      <c r="P935" s="15" t="s">
        <v>0</v>
      </c>
      <c r="Q935" s="15" t="s">
        <v>0</v>
      </c>
      <c r="R935" s="15" t="s">
        <v>0</v>
      </c>
      <c r="S935" s="10" t="s">
        <v>1</v>
      </c>
      <c r="T935" s="10" t="s">
        <v>32</v>
      </c>
      <c r="U935" s="5" t="str">
        <f t="shared" si="378"/>
        <v>Propriedade destinada a gestionar: é.plano.de.entrega.de.tarefas</v>
      </c>
      <c r="V935" s="5" t="str">
        <f t="shared" si="379"/>
        <v>Dado para gestionar:  plano.de.entrega.de.tarefas  Deve ser formatado como (rdfs:Literal  or  xsd:string)</v>
      </c>
      <c r="W935" s="5" t="s">
        <v>5725</v>
      </c>
      <c r="X935" s="24" t="str">
        <f t="shared" si="380"/>
        <v>gesti.138</v>
      </c>
      <c r="Y935" s="24" t="str">
        <f t="shared" si="381"/>
        <v>Ação de gestionar</v>
      </c>
      <c r="Z935" s="47" t="s">
        <v>3846</v>
      </c>
      <c r="AA935" s="25" t="str">
        <f t="shared" si="374"/>
        <v>null</v>
      </c>
      <c r="AB935" s="26" t="s">
        <v>0</v>
      </c>
      <c r="AC935" s="25" t="str">
        <f t="shared" si="375"/>
        <v>null</v>
      </c>
      <c r="AD935" s="26" t="s">
        <v>0</v>
      </c>
      <c r="AE935" s="25" t="str">
        <f t="shared" si="382"/>
        <v>null</v>
      </c>
      <c r="AF935" s="26" t="s">
        <v>0</v>
      </c>
      <c r="AG935" s="47" t="s">
        <v>3881</v>
      </c>
    </row>
    <row r="936" spans="1:33" ht="6.9" customHeight="1" x14ac:dyDescent="0.4">
      <c r="A936" s="4">
        <f>ROW()</f>
        <v>936</v>
      </c>
      <c r="B936" s="9" t="s">
        <v>27</v>
      </c>
      <c r="C936" s="55" t="str">
        <f t="shared" si="372"/>
        <v>p.gestionar</v>
      </c>
      <c r="D936" s="6" t="str">
        <f t="shared" si="384"/>
        <v>é.plano.de.trabalho</v>
      </c>
      <c r="E936" s="8" t="s">
        <v>28</v>
      </c>
      <c r="F936" s="42" t="str">
        <f t="shared" si="377"/>
        <v>d.gestionar</v>
      </c>
      <c r="G936" s="17" t="s">
        <v>753</v>
      </c>
      <c r="H936" s="42" t="s">
        <v>2121</v>
      </c>
      <c r="I936" s="16" t="str">
        <f t="shared" si="383"/>
        <v>null</v>
      </c>
      <c r="J936" s="15" t="s">
        <v>0</v>
      </c>
      <c r="K936" s="15" t="s">
        <v>0</v>
      </c>
      <c r="L936" s="15" t="s">
        <v>0</v>
      </c>
      <c r="M936" s="15" t="s">
        <v>0</v>
      </c>
      <c r="N936" s="15" t="s">
        <v>0</v>
      </c>
      <c r="O936" s="15" t="s">
        <v>0</v>
      </c>
      <c r="P936" s="15" t="s">
        <v>0</v>
      </c>
      <c r="Q936" s="15" t="s">
        <v>0</v>
      </c>
      <c r="R936" s="15" t="s">
        <v>0</v>
      </c>
      <c r="S936" s="10" t="s">
        <v>1</v>
      </c>
      <c r="T936" s="10" t="s">
        <v>32</v>
      </c>
      <c r="U936" s="5" t="str">
        <f t="shared" si="378"/>
        <v>Propriedade destinada a gestionar: é.plano.de.trabalho</v>
      </c>
      <c r="V936" s="5" t="str">
        <f t="shared" si="379"/>
        <v>Dado para gestionar:  plano.de.trabalho  Deve ser formatado como (rdfs:Literal  or  xsd:string)</v>
      </c>
      <c r="W936" s="5" t="s">
        <v>5726</v>
      </c>
      <c r="X936" s="24" t="str">
        <f t="shared" si="380"/>
        <v>gesti.139</v>
      </c>
      <c r="Y936" s="24" t="str">
        <f t="shared" si="381"/>
        <v>Ação de gestionar</v>
      </c>
      <c r="Z936" s="47" t="s">
        <v>3829</v>
      </c>
      <c r="AA936" s="25" t="str">
        <f t="shared" si="374"/>
        <v>null</v>
      </c>
      <c r="AB936" s="26" t="s">
        <v>0</v>
      </c>
      <c r="AC936" s="25" t="str">
        <f t="shared" si="375"/>
        <v>null</v>
      </c>
      <c r="AD936" s="26" t="s">
        <v>0</v>
      </c>
      <c r="AE936" s="25" t="str">
        <f t="shared" si="382"/>
        <v>null</v>
      </c>
      <c r="AF936" s="26" t="s">
        <v>0</v>
      </c>
      <c r="AG936" s="47" t="s">
        <v>3882</v>
      </c>
    </row>
    <row r="937" spans="1:33" ht="6.9" customHeight="1" x14ac:dyDescent="0.4">
      <c r="A937" s="4">
        <f>ROW()</f>
        <v>937</v>
      </c>
      <c r="B937" s="9" t="s">
        <v>27</v>
      </c>
      <c r="C937" s="55" t="str">
        <f t="shared" si="372"/>
        <v>p.gestionar</v>
      </c>
      <c r="D937" s="6" t="str">
        <f t="shared" si="384"/>
        <v>é.plano.mestre.de.entrega.da.informação</v>
      </c>
      <c r="E937" s="8" t="s">
        <v>28</v>
      </c>
      <c r="F937" s="42" t="str">
        <f t="shared" si="377"/>
        <v>d.gestionar</v>
      </c>
      <c r="G937" s="17" t="s">
        <v>1113</v>
      </c>
      <c r="H937" s="42" t="s">
        <v>2121</v>
      </c>
      <c r="I937" s="16" t="str">
        <f t="shared" si="383"/>
        <v>null</v>
      </c>
      <c r="J937" s="15" t="s">
        <v>0</v>
      </c>
      <c r="K937" s="15" t="s">
        <v>0</v>
      </c>
      <c r="L937" s="15" t="s">
        <v>0</v>
      </c>
      <c r="M937" s="15" t="s">
        <v>0</v>
      </c>
      <c r="N937" s="15" t="s">
        <v>0</v>
      </c>
      <c r="O937" s="15" t="s">
        <v>0</v>
      </c>
      <c r="P937" s="15" t="s">
        <v>0</v>
      </c>
      <c r="Q937" s="15" t="s">
        <v>0</v>
      </c>
      <c r="R937" s="15" t="s">
        <v>0</v>
      </c>
      <c r="S937" s="10" t="s">
        <v>1</v>
      </c>
      <c r="T937" s="10" t="s">
        <v>32</v>
      </c>
      <c r="U937" s="5" t="str">
        <f t="shared" si="378"/>
        <v>Propriedade destinada a gestionar: é.plano.mestre.de.entrega.da.informação</v>
      </c>
      <c r="V937" s="5" t="str">
        <f t="shared" si="379"/>
        <v>Dado para gestionar:  plano.mestre.de.entrega.da.informação  Deve ser formatado como (rdfs:Literal  or  xsd:string)</v>
      </c>
      <c r="W937" s="5" t="s">
        <v>5727</v>
      </c>
      <c r="X937" s="24" t="str">
        <f t="shared" si="380"/>
        <v>gesti.140</v>
      </c>
      <c r="Y937" s="24" t="str">
        <f t="shared" si="381"/>
        <v>Ação de gestionar</v>
      </c>
      <c r="Z937" s="47" t="s">
        <v>3830</v>
      </c>
      <c r="AA937" s="25" t="str">
        <f t="shared" si="374"/>
        <v>null</v>
      </c>
      <c r="AB937" s="26" t="s">
        <v>0</v>
      </c>
      <c r="AC937" s="25" t="str">
        <f t="shared" si="375"/>
        <v>null</v>
      </c>
      <c r="AD937" s="26" t="s">
        <v>0</v>
      </c>
      <c r="AE937" s="25" t="str">
        <f t="shared" si="382"/>
        <v>null</v>
      </c>
      <c r="AF937" s="26" t="s">
        <v>0</v>
      </c>
      <c r="AG937" s="47" t="s">
        <v>3872</v>
      </c>
    </row>
    <row r="938" spans="1:33" ht="6.9" customHeight="1" x14ac:dyDescent="0.4">
      <c r="A938" s="4">
        <f>ROW()</f>
        <v>938</v>
      </c>
      <c r="B938" s="9" t="s">
        <v>27</v>
      </c>
      <c r="C938" s="55" t="str">
        <f t="shared" si="372"/>
        <v>p.gestionar</v>
      </c>
      <c r="D938" s="6" t="str">
        <f t="shared" si="384"/>
        <v>é.ponto.chave.de.decisão</v>
      </c>
      <c r="E938" s="8" t="s">
        <v>28</v>
      </c>
      <c r="F938" s="42" t="str">
        <f t="shared" si="377"/>
        <v>d.gestionar</v>
      </c>
      <c r="G938" s="17" t="s">
        <v>1056</v>
      </c>
      <c r="H938" s="42" t="s">
        <v>2121</v>
      </c>
      <c r="I938" s="16" t="str">
        <f t="shared" si="383"/>
        <v>null</v>
      </c>
      <c r="J938" s="15" t="s">
        <v>0</v>
      </c>
      <c r="K938" s="15" t="s">
        <v>0</v>
      </c>
      <c r="L938" s="15" t="s">
        <v>0</v>
      </c>
      <c r="M938" s="15" t="s">
        <v>0</v>
      </c>
      <c r="N938" s="15" t="s">
        <v>0</v>
      </c>
      <c r="O938" s="15" t="s">
        <v>0</v>
      </c>
      <c r="P938" s="15" t="s">
        <v>0</v>
      </c>
      <c r="Q938" s="15" t="s">
        <v>0</v>
      </c>
      <c r="R938" s="15" t="s">
        <v>0</v>
      </c>
      <c r="S938" s="10" t="s">
        <v>1</v>
      </c>
      <c r="T938" s="10" t="s">
        <v>32</v>
      </c>
      <c r="U938" s="5" t="str">
        <f t="shared" si="378"/>
        <v>Propriedade destinada a gestionar: é.ponto.chave.de.decisão</v>
      </c>
      <c r="V938" s="5" t="str">
        <f t="shared" si="379"/>
        <v>Dado para gestionar:  ponto.chave.de.decisão  Deve ser formatado como (rdfs:Literal  or  xsd:string)</v>
      </c>
      <c r="W938" s="5" t="s">
        <v>5728</v>
      </c>
      <c r="X938" s="24" t="str">
        <f t="shared" si="380"/>
        <v>gesti.141</v>
      </c>
      <c r="Y938" s="24" t="str">
        <f t="shared" si="381"/>
        <v>Ação de gestionar</v>
      </c>
      <c r="Z938" s="47" t="s">
        <v>3847</v>
      </c>
      <c r="AA938" s="25" t="str">
        <f t="shared" si="374"/>
        <v>null</v>
      </c>
      <c r="AB938" s="26" t="s">
        <v>0</v>
      </c>
      <c r="AC938" s="25" t="str">
        <f t="shared" si="375"/>
        <v>null</v>
      </c>
      <c r="AD938" s="26" t="s">
        <v>0</v>
      </c>
      <c r="AE938" s="25" t="str">
        <f t="shared" si="382"/>
        <v>null</v>
      </c>
      <c r="AF938" s="26" t="s">
        <v>0</v>
      </c>
      <c r="AG938" s="47" t="s">
        <v>3873</v>
      </c>
    </row>
    <row r="939" spans="1:33" ht="6.9" customHeight="1" x14ac:dyDescent="0.4">
      <c r="A939" s="4">
        <f>ROW()</f>
        <v>939</v>
      </c>
      <c r="B939" s="9" t="s">
        <v>27</v>
      </c>
      <c r="C939" s="55" t="str">
        <f t="shared" si="372"/>
        <v>p.gestionar</v>
      </c>
      <c r="D939" s="6" t="str">
        <f t="shared" si="384"/>
        <v>é.processo</v>
      </c>
      <c r="E939" s="8" t="s">
        <v>28</v>
      </c>
      <c r="F939" s="42" t="str">
        <f t="shared" si="377"/>
        <v>d.gestionar</v>
      </c>
      <c r="G939" s="18" t="s">
        <v>94</v>
      </c>
      <c r="H939" s="41" t="s">
        <v>2121</v>
      </c>
      <c r="I939" s="16" t="str">
        <f t="shared" si="383"/>
        <v>null</v>
      </c>
      <c r="J939" s="13" t="s">
        <v>0</v>
      </c>
      <c r="K939" s="13" t="s">
        <v>0</v>
      </c>
      <c r="L939" s="13" t="s">
        <v>0</v>
      </c>
      <c r="M939" s="13" t="s">
        <v>0</v>
      </c>
      <c r="N939" s="15" t="s">
        <v>0</v>
      </c>
      <c r="O939" s="13" t="s">
        <v>0</v>
      </c>
      <c r="P939" s="13" t="s">
        <v>0</v>
      </c>
      <c r="Q939" s="13" t="s">
        <v>0</v>
      </c>
      <c r="R939" s="15" t="s">
        <v>0</v>
      </c>
      <c r="S939" s="10" t="s">
        <v>1</v>
      </c>
      <c r="T939" s="10" t="s">
        <v>32</v>
      </c>
      <c r="U939" s="5" t="str">
        <f t="shared" si="378"/>
        <v>Propriedade destinada a gestionar: é.processo</v>
      </c>
      <c r="V939" s="5" t="str">
        <f t="shared" si="379"/>
        <v>Dado para gestionar:  processo  Deve ser formatado como (rdfs:Literal  or  xsd:string)</v>
      </c>
      <c r="W939" s="5" t="s">
        <v>5729</v>
      </c>
      <c r="X939" s="24" t="str">
        <f t="shared" si="380"/>
        <v>gesti.142</v>
      </c>
      <c r="Y939" s="24" t="str">
        <f t="shared" si="381"/>
        <v>Ação de gestionar</v>
      </c>
      <c r="Z939" s="47" t="s">
        <v>3831</v>
      </c>
      <c r="AA939" s="25" t="str">
        <f t="shared" si="374"/>
        <v>null</v>
      </c>
      <c r="AB939" s="26" t="s">
        <v>0</v>
      </c>
      <c r="AC939" s="25" t="str">
        <f t="shared" si="375"/>
        <v>null</v>
      </c>
      <c r="AD939" s="26" t="s">
        <v>0</v>
      </c>
      <c r="AE939" s="25" t="str">
        <f t="shared" si="382"/>
        <v>null</v>
      </c>
      <c r="AF939" s="26" t="s">
        <v>0</v>
      </c>
      <c r="AG939" s="47" t="s">
        <v>4727</v>
      </c>
    </row>
    <row r="940" spans="1:33" ht="6.9" customHeight="1" x14ac:dyDescent="0.4">
      <c r="A940" s="4">
        <f>ROW()</f>
        <v>940</v>
      </c>
      <c r="B940" s="9" t="s">
        <v>27</v>
      </c>
      <c r="C940" s="55" t="str">
        <f t="shared" si="372"/>
        <v>p.gestionar</v>
      </c>
      <c r="D940" s="6" t="str">
        <f t="shared" si="384"/>
        <v>é.processo.sei</v>
      </c>
      <c r="E940" s="8" t="s">
        <v>28</v>
      </c>
      <c r="F940" s="42" t="str">
        <f t="shared" si="377"/>
        <v>d.gestionar</v>
      </c>
      <c r="G940" s="18" t="s">
        <v>620</v>
      </c>
      <c r="H940" s="41" t="s">
        <v>2121</v>
      </c>
      <c r="I940" s="16" t="str">
        <f t="shared" si="383"/>
        <v>null</v>
      </c>
      <c r="J940" s="13" t="s">
        <v>0</v>
      </c>
      <c r="K940" s="13" t="s">
        <v>0</v>
      </c>
      <c r="L940" s="13" t="s">
        <v>0</v>
      </c>
      <c r="M940" s="13" t="s">
        <v>0</v>
      </c>
      <c r="N940" s="15" t="s">
        <v>0</v>
      </c>
      <c r="O940" s="13" t="s">
        <v>0</v>
      </c>
      <c r="P940" s="13" t="s">
        <v>0</v>
      </c>
      <c r="Q940" s="13" t="s">
        <v>0</v>
      </c>
      <c r="R940" s="15" t="s">
        <v>0</v>
      </c>
      <c r="S940" s="10" t="s">
        <v>1</v>
      </c>
      <c r="T940" s="10" t="s">
        <v>32</v>
      </c>
      <c r="U940" s="5" t="str">
        <f t="shared" si="378"/>
        <v>Propriedade destinada a gestionar: é.processo.sei</v>
      </c>
      <c r="V940" s="5" t="str">
        <f t="shared" si="379"/>
        <v>Dado para gestionar:  processo.sei  Deve ser formatado como (rdfs:Literal  or  xsd:string)</v>
      </c>
      <c r="W940" s="5" t="s">
        <v>5730</v>
      </c>
      <c r="X940" s="24" t="str">
        <f t="shared" si="380"/>
        <v>gesti.143</v>
      </c>
      <c r="Y940" s="24" t="str">
        <f t="shared" si="381"/>
        <v>Ação de gestionar</v>
      </c>
      <c r="Z940" s="47" t="s">
        <v>3832</v>
      </c>
      <c r="AA940" s="25" t="str">
        <f t="shared" si="374"/>
        <v>null</v>
      </c>
      <c r="AB940" s="26" t="s">
        <v>0</v>
      </c>
      <c r="AC940" s="25" t="str">
        <f t="shared" si="375"/>
        <v>null</v>
      </c>
      <c r="AD940" s="26" t="s">
        <v>0</v>
      </c>
      <c r="AE940" s="25" t="str">
        <f t="shared" si="382"/>
        <v>null</v>
      </c>
      <c r="AF940" s="26" t="s">
        <v>0</v>
      </c>
      <c r="AG940" s="47" t="s">
        <v>4728</v>
      </c>
    </row>
    <row r="941" spans="1:33" ht="6.9" customHeight="1" x14ac:dyDescent="0.4">
      <c r="A941" s="4">
        <f>ROW()</f>
        <v>941</v>
      </c>
      <c r="B941" s="9" t="s">
        <v>27</v>
      </c>
      <c r="C941" s="55" t="str">
        <f t="shared" si="372"/>
        <v>p.gestionar</v>
      </c>
      <c r="D941" s="6" t="str">
        <f t="shared" si="384"/>
        <v>é.proprietário</v>
      </c>
      <c r="E941" s="8" t="s">
        <v>28</v>
      </c>
      <c r="F941" s="42" t="str">
        <f t="shared" si="377"/>
        <v>d.gestionar</v>
      </c>
      <c r="G941" s="18" t="s">
        <v>91</v>
      </c>
      <c r="H941" s="41" t="s">
        <v>2121</v>
      </c>
      <c r="I941" s="16" t="str">
        <f t="shared" si="383"/>
        <v>null</v>
      </c>
      <c r="J941" s="13" t="s">
        <v>0</v>
      </c>
      <c r="K941" s="13" t="s">
        <v>0</v>
      </c>
      <c r="L941" s="13" t="s">
        <v>0</v>
      </c>
      <c r="M941" s="13" t="s">
        <v>0</v>
      </c>
      <c r="N941" s="15" t="s">
        <v>0</v>
      </c>
      <c r="O941" s="13" t="s">
        <v>0</v>
      </c>
      <c r="P941" s="13" t="s">
        <v>0</v>
      </c>
      <c r="Q941" s="13" t="s">
        <v>0</v>
      </c>
      <c r="R941" s="15" t="s">
        <v>0</v>
      </c>
      <c r="S941" s="10" t="s">
        <v>1</v>
      </c>
      <c r="T941" s="10" t="s">
        <v>32</v>
      </c>
      <c r="U941" s="5" t="str">
        <f t="shared" si="378"/>
        <v>Propriedade destinada a gestionar: é.proprietário</v>
      </c>
      <c r="V941" s="5" t="str">
        <f t="shared" si="379"/>
        <v>Dado para gestionar:  proprietário  Deve ser formatado como (rdfs:Literal  or  xsd:string)</v>
      </c>
      <c r="W941" s="5" t="s">
        <v>5731</v>
      </c>
      <c r="X941" s="24" t="str">
        <f t="shared" si="380"/>
        <v>gesti.144</v>
      </c>
      <c r="Y941" s="24" t="str">
        <f t="shared" si="381"/>
        <v>Ação de gestionar</v>
      </c>
      <c r="Z941" s="47" t="s">
        <v>3833</v>
      </c>
      <c r="AA941" s="25" t="str">
        <f t="shared" si="374"/>
        <v>null</v>
      </c>
      <c r="AB941" s="26" t="s">
        <v>0</v>
      </c>
      <c r="AC941" s="25" t="str">
        <f t="shared" si="375"/>
        <v>null</v>
      </c>
      <c r="AD941" s="26" t="s">
        <v>0</v>
      </c>
      <c r="AE941" s="25" t="str">
        <f t="shared" si="382"/>
        <v>null</v>
      </c>
      <c r="AF941" s="26" t="s">
        <v>0</v>
      </c>
      <c r="AG941" s="47" t="s">
        <v>4729</v>
      </c>
    </row>
    <row r="942" spans="1:33" ht="6.9" customHeight="1" x14ac:dyDescent="0.4">
      <c r="A942" s="4">
        <f>ROW()</f>
        <v>942</v>
      </c>
      <c r="B942" s="9" t="s">
        <v>27</v>
      </c>
      <c r="C942" s="55" t="str">
        <f t="shared" si="372"/>
        <v>p.gestionar</v>
      </c>
      <c r="D942" s="6" t="str">
        <f t="shared" si="384"/>
        <v>é.rrt</v>
      </c>
      <c r="E942" s="8" t="s">
        <v>28</v>
      </c>
      <c r="F942" s="42" t="str">
        <f t="shared" si="377"/>
        <v>d.gestionar</v>
      </c>
      <c r="G942" s="18" t="s">
        <v>96</v>
      </c>
      <c r="H942" s="41" t="s">
        <v>2121</v>
      </c>
      <c r="I942" s="16" t="str">
        <f t="shared" si="383"/>
        <v>null</v>
      </c>
      <c r="J942" s="13" t="s">
        <v>0</v>
      </c>
      <c r="K942" s="13" t="s">
        <v>0</v>
      </c>
      <c r="L942" s="13" t="s">
        <v>0</v>
      </c>
      <c r="M942" s="13" t="s">
        <v>0</v>
      </c>
      <c r="N942" s="15" t="s">
        <v>0</v>
      </c>
      <c r="O942" s="13" t="s">
        <v>0</v>
      </c>
      <c r="P942" s="13" t="s">
        <v>0</v>
      </c>
      <c r="Q942" s="13" t="s">
        <v>0</v>
      </c>
      <c r="R942" s="15" t="s">
        <v>0</v>
      </c>
      <c r="S942" s="10" t="s">
        <v>1</v>
      </c>
      <c r="T942" s="10" t="s">
        <v>32</v>
      </c>
      <c r="U942" s="5" t="str">
        <f t="shared" si="378"/>
        <v>Propriedade destinada a gestionar: é.rrt</v>
      </c>
      <c r="V942" s="5" t="str">
        <f t="shared" si="379"/>
        <v>Dado para gestionar:  rrt  Deve ser formatado como (rdfs:Literal  or  xsd:string)</v>
      </c>
      <c r="W942" s="5" t="s">
        <v>5732</v>
      </c>
      <c r="X942" s="24" t="str">
        <f t="shared" si="380"/>
        <v>gesti.145</v>
      </c>
      <c r="Y942" s="24" t="str">
        <f t="shared" si="381"/>
        <v>Ação de gestionar</v>
      </c>
      <c r="Z942" s="47" t="s">
        <v>3834</v>
      </c>
      <c r="AA942" s="25" t="str">
        <f t="shared" si="374"/>
        <v>null</v>
      </c>
      <c r="AB942" s="26" t="s">
        <v>0</v>
      </c>
      <c r="AC942" s="25" t="str">
        <f t="shared" si="375"/>
        <v>null</v>
      </c>
      <c r="AD942" s="26" t="s">
        <v>0</v>
      </c>
      <c r="AE942" s="25" t="str">
        <f t="shared" si="382"/>
        <v>null</v>
      </c>
      <c r="AF942" s="26" t="s">
        <v>0</v>
      </c>
      <c r="AG942" s="47" t="s">
        <v>4730</v>
      </c>
    </row>
    <row r="943" spans="1:33" ht="6.9" customHeight="1" x14ac:dyDescent="0.4">
      <c r="A943" s="4">
        <f>ROW()</f>
        <v>943</v>
      </c>
      <c r="B943" s="9" t="s">
        <v>27</v>
      </c>
      <c r="C943" s="55" t="str">
        <f t="shared" si="372"/>
        <v>p.gestionar</v>
      </c>
      <c r="D943" s="6" t="str">
        <f t="shared" si="384"/>
        <v>é.subcontratado</v>
      </c>
      <c r="E943" s="8" t="s">
        <v>28</v>
      </c>
      <c r="F943" s="42" t="str">
        <f t="shared" si="377"/>
        <v>d.gestionar</v>
      </c>
      <c r="G943" s="18" t="s">
        <v>264</v>
      </c>
      <c r="H943" s="41" t="s">
        <v>2121</v>
      </c>
      <c r="I943" s="16" t="str">
        <f t="shared" si="383"/>
        <v>null</v>
      </c>
      <c r="J943" s="13" t="s">
        <v>0</v>
      </c>
      <c r="K943" s="13" t="s">
        <v>0</v>
      </c>
      <c r="L943" s="13" t="s">
        <v>0</v>
      </c>
      <c r="M943" s="13" t="s">
        <v>0</v>
      </c>
      <c r="N943" s="15" t="s">
        <v>0</v>
      </c>
      <c r="O943" s="13" t="s">
        <v>0</v>
      </c>
      <c r="P943" s="13" t="s">
        <v>0</v>
      </c>
      <c r="Q943" s="13" t="s">
        <v>0</v>
      </c>
      <c r="R943" s="15" t="s">
        <v>0</v>
      </c>
      <c r="S943" s="10" t="s">
        <v>1</v>
      </c>
      <c r="T943" s="10" t="s">
        <v>32</v>
      </c>
      <c r="U943" s="5" t="str">
        <f t="shared" si="378"/>
        <v>Propriedade destinada a gestionar: é.subcontratado</v>
      </c>
      <c r="V943" s="5" t="str">
        <f t="shared" si="379"/>
        <v>Dado para gestionar:  subcontratado  Deve ser formatado como (rdfs:Literal  or  xsd:string)</v>
      </c>
      <c r="W943" s="5" t="s">
        <v>5733</v>
      </c>
      <c r="X943" s="24" t="str">
        <f t="shared" si="380"/>
        <v>gesti.146</v>
      </c>
      <c r="Y943" s="24" t="str">
        <f t="shared" si="381"/>
        <v>Ação de gestionar</v>
      </c>
      <c r="Z943" s="47" t="s">
        <v>3835</v>
      </c>
      <c r="AA943" s="25" t="str">
        <f t="shared" si="374"/>
        <v>null</v>
      </c>
      <c r="AB943" s="26" t="s">
        <v>0</v>
      </c>
      <c r="AC943" s="25" t="str">
        <f t="shared" si="375"/>
        <v>null</v>
      </c>
      <c r="AD943" s="26" t="s">
        <v>0</v>
      </c>
      <c r="AE943" s="25" t="str">
        <f t="shared" si="382"/>
        <v>null</v>
      </c>
      <c r="AF943" s="26" t="s">
        <v>0</v>
      </c>
      <c r="AG943" s="47" t="s">
        <v>4731</v>
      </c>
    </row>
    <row r="944" spans="1:33" ht="6.9" customHeight="1" x14ac:dyDescent="0.4">
      <c r="A944" s="4">
        <f>ROW()</f>
        <v>944</v>
      </c>
      <c r="B944" s="9" t="s">
        <v>27</v>
      </c>
      <c r="C944" s="54" t="str">
        <f t="shared" ref="C944" si="385">SUBSTITUTE(F944,"d.","p.")</f>
        <v>p.graduar</v>
      </c>
      <c r="D944" s="6" t="str">
        <f t="shared" si="384"/>
        <v>é.faixa.etária</v>
      </c>
      <c r="E944" s="8" t="s">
        <v>28</v>
      </c>
      <c r="F944" s="50" t="s">
        <v>3585</v>
      </c>
      <c r="G944" s="17" t="s">
        <v>1230</v>
      </c>
      <c r="H944" s="41" t="s">
        <v>2121</v>
      </c>
      <c r="I944" s="16" t="str">
        <f t="shared" si="383"/>
        <v>null</v>
      </c>
      <c r="J944" s="15" t="s">
        <v>0</v>
      </c>
      <c r="K944" s="15" t="s">
        <v>0</v>
      </c>
      <c r="L944" s="15" t="s">
        <v>0</v>
      </c>
      <c r="M944" s="15" t="s">
        <v>0</v>
      </c>
      <c r="N944" s="15" t="s">
        <v>0</v>
      </c>
      <c r="O944" s="15" t="s">
        <v>0</v>
      </c>
      <c r="P944" s="15" t="s">
        <v>0</v>
      </c>
      <c r="Q944" s="15" t="s">
        <v>0</v>
      </c>
      <c r="R944" s="15" t="s">
        <v>0</v>
      </c>
      <c r="S944" s="10" t="s">
        <v>1</v>
      </c>
      <c r="T944" s="10" t="s">
        <v>32</v>
      </c>
      <c r="U944" s="5" t="str">
        <f t="shared" si="378"/>
        <v>Propriedade destinada a graduar: é.faixa.etária</v>
      </c>
      <c r="V944" s="5" t="str">
        <f t="shared" si="379"/>
        <v>Dado para graduar:  faixa.etária  Deve ser formatado como (rdfs:Literal  or  xsd:string)</v>
      </c>
      <c r="W944" s="5" t="s">
        <v>5734</v>
      </c>
      <c r="X944" s="24" t="str">
        <f t="shared" si="380"/>
        <v>gradu.100</v>
      </c>
      <c r="Y944" s="24" t="str">
        <f t="shared" si="381"/>
        <v>Ação de graduar</v>
      </c>
      <c r="Z944" s="47" t="s">
        <v>3774</v>
      </c>
      <c r="AA944" s="25" t="str">
        <f t="shared" ref="AA944:AA1010" si="386">IF(AB944="null", "null", "categoria.revit")</f>
        <v>null</v>
      </c>
      <c r="AB944" s="26" t="s">
        <v>0</v>
      </c>
      <c r="AC944" s="25" t="str">
        <f t="shared" ref="AC944:AC1010" si="387">IF(AD944="null", "null", "classe.ifc")</f>
        <v>null</v>
      </c>
      <c r="AD944" s="26" t="s">
        <v>0</v>
      </c>
      <c r="AE944" s="25" t="str">
        <f t="shared" si="382"/>
        <v>null</v>
      </c>
      <c r="AF944" s="26" t="s">
        <v>0</v>
      </c>
      <c r="AG944" s="47" t="s">
        <v>3788</v>
      </c>
    </row>
    <row r="945" spans="1:33" ht="6.9" customHeight="1" x14ac:dyDescent="0.4">
      <c r="A945" s="4">
        <f>ROW()</f>
        <v>945</v>
      </c>
      <c r="B945" s="9" t="s">
        <v>27</v>
      </c>
      <c r="C945" s="55" t="str">
        <f>SUBSTITUTE(F945,"d.","p.")</f>
        <v>p.graduar</v>
      </c>
      <c r="D945" s="6" t="str">
        <f t="shared" si="384"/>
        <v>é.faixa.salarial</v>
      </c>
      <c r="E945" s="8" t="s">
        <v>28</v>
      </c>
      <c r="F945" s="42" t="str">
        <f>F944</f>
        <v>d.graduar</v>
      </c>
      <c r="G945" s="17" t="s">
        <v>1231</v>
      </c>
      <c r="H945" s="41" t="s">
        <v>2121</v>
      </c>
      <c r="I945" s="16" t="str">
        <f t="shared" si="383"/>
        <v>null</v>
      </c>
      <c r="J945" s="15" t="s">
        <v>0</v>
      </c>
      <c r="K945" s="15" t="s">
        <v>0</v>
      </c>
      <c r="L945" s="15" t="s">
        <v>0</v>
      </c>
      <c r="M945" s="15" t="s">
        <v>0</v>
      </c>
      <c r="N945" s="15" t="s">
        <v>0</v>
      </c>
      <c r="O945" s="15" t="s">
        <v>0</v>
      </c>
      <c r="P945" s="15" t="s">
        <v>0</v>
      </c>
      <c r="Q945" s="15" t="s">
        <v>0</v>
      </c>
      <c r="R945" s="15" t="s">
        <v>0</v>
      </c>
      <c r="S945" s="10" t="s">
        <v>1</v>
      </c>
      <c r="T945" s="10" t="s">
        <v>32</v>
      </c>
      <c r="U945" s="5" t="str">
        <f t="shared" si="378"/>
        <v>Propriedade destinada a graduar: é.faixa.salarial</v>
      </c>
      <c r="V945" s="5" t="str">
        <f t="shared" si="379"/>
        <v>Dado para graduar:  faixa.salarial  Deve ser formatado como (rdfs:Literal  or  xsd:string)</v>
      </c>
      <c r="W945" s="5" t="s">
        <v>5735</v>
      </c>
      <c r="X945" s="24" t="str">
        <f t="shared" si="380"/>
        <v>gradu.101</v>
      </c>
      <c r="Y945" s="24" t="str">
        <f t="shared" si="381"/>
        <v>Ação de graduar</v>
      </c>
      <c r="Z945" s="47" t="s">
        <v>3775</v>
      </c>
      <c r="AA945" s="25" t="str">
        <f t="shared" si="386"/>
        <v>null</v>
      </c>
      <c r="AB945" s="26" t="s">
        <v>0</v>
      </c>
      <c r="AC945" s="25" t="str">
        <f t="shared" si="387"/>
        <v>null</v>
      </c>
      <c r="AD945" s="26" t="s">
        <v>0</v>
      </c>
      <c r="AE945" s="25" t="str">
        <f t="shared" si="382"/>
        <v>null</v>
      </c>
      <c r="AF945" s="26" t="s">
        <v>0</v>
      </c>
      <c r="AG945" s="47" t="s">
        <v>3789</v>
      </c>
    </row>
    <row r="946" spans="1:33" ht="6.9" customHeight="1" x14ac:dyDescent="0.4">
      <c r="A946" s="4">
        <f>ROW()</f>
        <v>946</v>
      </c>
      <c r="B946" s="9" t="s">
        <v>27</v>
      </c>
      <c r="C946" s="55" t="str">
        <f t="shared" ref="C946:C959" si="388">SUBSTITUTE(F946,"d.","p.")</f>
        <v>p.graduar</v>
      </c>
      <c r="D946" s="6" t="str">
        <f t="shared" si="384"/>
        <v>é.estatística.rol</v>
      </c>
      <c r="E946" s="8" t="s">
        <v>28</v>
      </c>
      <c r="F946" s="42" t="str">
        <f t="shared" ref="F946:F959" si="389">F945</f>
        <v>d.graduar</v>
      </c>
      <c r="G946" s="17" t="s">
        <v>3769</v>
      </c>
      <c r="H946" s="41" t="s">
        <v>2121</v>
      </c>
      <c r="I946" s="16" t="str">
        <f t="shared" si="383"/>
        <v>null</v>
      </c>
      <c r="J946" s="15" t="s">
        <v>0</v>
      </c>
      <c r="K946" s="15" t="s">
        <v>0</v>
      </c>
      <c r="L946" s="15" t="s">
        <v>0</v>
      </c>
      <c r="M946" s="15" t="s">
        <v>0</v>
      </c>
      <c r="N946" s="15" t="s">
        <v>0</v>
      </c>
      <c r="O946" s="15" t="s">
        <v>0</v>
      </c>
      <c r="P946" s="15" t="s">
        <v>0</v>
      </c>
      <c r="Q946" s="15" t="s">
        <v>0</v>
      </c>
      <c r="R946" s="15" t="s">
        <v>0</v>
      </c>
      <c r="S946" s="10" t="s">
        <v>1</v>
      </c>
      <c r="T946" s="10" t="s">
        <v>32</v>
      </c>
      <c r="U946" s="5" t="str">
        <f t="shared" si="378"/>
        <v>Propriedade destinada a graduar: é.estatística.rol</v>
      </c>
      <c r="V946" s="5" t="str">
        <f t="shared" si="379"/>
        <v>Dado para graduar:  estatística.rol  Deve ser formatado como (rdfs:Literal  or  xsd:string)</v>
      </c>
      <c r="W946" s="5" t="s">
        <v>5736</v>
      </c>
      <c r="X946" s="24" t="str">
        <f t="shared" si="380"/>
        <v>gradu.102</v>
      </c>
      <c r="Y946" s="24" t="str">
        <f t="shared" si="381"/>
        <v>Ação de graduar</v>
      </c>
      <c r="Z946" s="47" t="s">
        <v>3776</v>
      </c>
      <c r="AA946" s="25" t="str">
        <f t="shared" si="386"/>
        <v>null</v>
      </c>
      <c r="AB946" s="26" t="s">
        <v>0</v>
      </c>
      <c r="AC946" s="25" t="str">
        <f t="shared" si="387"/>
        <v>null</v>
      </c>
      <c r="AD946" s="26" t="s">
        <v>0</v>
      </c>
      <c r="AE946" s="25" t="str">
        <f t="shared" si="382"/>
        <v>null</v>
      </c>
      <c r="AF946" s="26" t="s">
        <v>0</v>
      </c>
      <c r="AG946" s="47" t="s">
        <v>3790</v>
      </c>
    </row>
    <row r="947" spans="1:33" ht="6.9" customHeight="1" x14ac:dyDescent="0.4">
      <c r="A947" s="4">
        <f>ROW()</f>
        <v>947</v>
      </c>
      <c r="B947" s="9" t="s">
        <v>27</v>
      </c>
      <c r="C947" s="55" t="str">
        <f t="shared" si="388"/>
        <v>p.graduar</v>
      </c>
      <c r="D947" s="6" t="str">
        <f t="shared" si="384"/>
        <v>é.estatística.média</v>
      </c>
      <c r="E947" s="8" t="s">
        <v>28</v>
      </c>
      <c r="F947" s="42" t="str">
        <f t="shared" si="389"/>
        <v>d.graduar</v>
      </c>
      <c r="G947" s="17" t="s">
        <v>3754</v>
      </c>
      <c r="H947" s="42" t="s">
        <v>36</v>
      </c>
      <c r="I947" s="16" t="str">
        <f t="shared" si="383"/>
        <v>null</v>
      </c>
      <c r="J947" s="15" t="s">
        <v>0</v>
      </c>
      <c r="K947" s="15" t="s">
        <v>0</v>
      </c>
      <c r="L947" s="15" t="s">
        <v>0</v>
      </c>
      <c r="M947" s="15" t="s">
        <v>0</v>
      </c>
      <c r="N947" s="15" t="s">
        <v>0</v>
      </c>
      <c r="O947" s="15" t="s">
        <v>0</v>
      </c>
      <c r="P947" s="15" t="s">
        <v>0</v>
      </c>
      <c r="Q947" s="15" t="s">
        <v>0</v>
      </c>
      <c r="R947" s="15" t="s">
        <v>0</v>
      </c>
      <c r="S947" s="10" t="s">
        <v>1</v>
      </c>
      <c r="T947" s="10" t="s">
        <v>32</v>
      </c>
      <c r="U947" s="5" t="str">
        <f t="shared" si="378"/>
        <v>Propriedade destinada a graduar: é.estatística.média</v>
      </c>
      <c r="V947" s="5" t="str">
        <f t="shared" si="379"/>
        <v>Dado para graduar:  estatística.média  Deve ser formatado como (xsd:double)</v>
      </c>
      <c r="W947" s="5" t="s">
        <v>5737</v>
      </c>
      <c r="X947" s="24" t="str">
        <f t="shared" si="380"/>
        <v>gradu.103</v>
      </c>
      <c r="Y947" s="24" t="str">
        <f t="shared" si="381"/>
        <v>Ação de graduar</v>
      </c>
      <c r="Z947" s="47" t="s">
        <v>3777</v>
      </c>
      <c r="AA947" s="25" t="str">
        <f t="shared" si="386"/>
        <v>null</v>
      </c>
      <c r="AB947" s="26" t="s">
        <v>0</v>
      </c>
      <c r="AC947" s="25" t="str">
        <f t="shared" si="387"/>
        <v>null</v>
      </c>
      <c r="AD947" s="26" t="s">
        <v>0</v>
      </c>
      <c r="AE947" s="25" t="str">
        <f t="shared" si="382"/>
        <v>null</v>
      </c>
      <c r="AF947" s="26" t="s">
        <v>0</v>
      </c>
      <c r="AG947" s="47" t="s">
        <v>3791</v>
      </c>
    </row>
    <row r="948" spans="1:33" ht="6.9" customHeight="1" x14ac:dyDescent="0.4">
      <c r="A948" s="4">
        <f>ROW()</f>
        <v>948</v>
      </c>
      <c r="B948" s="9" t="s">
        <v>27</v>
      </c>
      <c r="C948" s="55" t="str">
        <f t="shared" si="388"/>
        <v>p.graduar</v>
      </c>
      <c r="D948" s="6" t="str">
        <f t="shared" si="384"/>
        <v>é.estatística.mediana</v>
      </c>
      <c r="E948" s="8" t="s">
        <v>28</v>
      </c>
      <c r="F948" s="42" t="str">
        <f t="shared" si="389"/>
        <v>d.graduar</v>
      </c>
      <c r="G948" s="17" t="s">
        <v>3752</v>
      </c>
      <c r="H948" s="42" t="s">
        <v>36</v>
      </c>
      <c r="I948" s="16" t="str">
        <f t="shared" si="383"/>
        <v>null</v>
      </c>
      <c r="J948" s="15" t="s">
        <v>0</v>
      </c>
      <c r="K948" s="15" t="s">
        <v>0</v>
      </c>
      <c r="L948" s="15" t="s">
        <v>0</v>
      </c>
      <c r="M948" s="15" t="s">
        <v>0</v>
      </c>
      <c r="N948" s="15" t="s">
        <v>0</v>
      </c>
      <c r="O948" s="15" t="s">
        <v>0</v>
      </c>
      <c r="P948" s="15" t="s">
        <v>0</v>
      </c>
      <c r="Q948" s="15" t="s">
        <v>0</v>
      </c>
      <c r="R948" s="15" t="s">
        <v>0</v>
      </c>
      <c r="S948" s="10" t="s">
        <v>1</v>
      </c>
      <c r="T948" s="10" t="s">
        <v>32</v>
      </c>
      <c r="U948" s="5" t="str">
        <f t="shared" si="378"/>
        <v>Propriedade destinada a graduar: é.estatística.mediana</v>
      </c>
      <c r="V948" s="5" t="str">
        <f t="shared" si="379"/>
        <v>Dado para graduar:  estatística.mediana  Deve ser formatado como (xsd:double)</v>
      </c>
      <c r="W948" s="5" t="s">
        <v>5738</v>
      </c>
      <c r="X948" s="24" t="str">
        <f t="shared" si="380"/>
        <v>gradu.104</v>
      </c>
      <c r="Y948" s="24" t="str">
        <f t="shared" si="381"/>
        <v>Ação de graduar</v>
      </c>
      <c r="Z948" s="47" t="s">
        <v>3778</v>
      </c>
      <c r="AA948" s="25" t="str">
        <f t="shared" si="386"/>
        <v>null</v>
      </c>
      <c r="AB948" s="26" t="s">
        <v>0</v>
      </c>
      <c r="AC948" s="25" t="str">
        <f t="shared" si="387"/>
        <v>null</v>
      </c>
      <c r="AD948" s="26" t="s">
        <v>0</v>
      </c>
      <c r="AE948" s="25" t="str">
        <f t="shared" si="382"/>
        <v>null</v>
      </c>
      <c r="AF948" s="26" t="s">
        <v>0</v>
      </c>
      <c r="AG948" s="47" t="s">
        <v>3792</v>
      </c>
    </row>
    <row r="949" spans="1:33" ht="6.9" customHeight="1" x14ac:dyDescent="0.4">
      <c r="A949" s="4">
        <f>ROW()</f>
        <v>949</v>
      </c>
      <c r="B949" s="9" t="s">
        <v>27</v>
      </c>
      <c r="C949" s="55" t="str">
        <f t="shared" si="388"/>
        <v>p.graduar</v>
      </c>
      <c r="D949" s="6" t="str">
        <f t="shared" si="384"/>
        <v>é.estatística.moda</v>
      </c>
      <c r="E949" s="8" t="s">
        <v>28</v>
      </c>
      <c r="F949" s="42" t="str">
        <f t="shared" si="389"/>
        <v>d.graduar</v>
      </c>
      <c r="G949" s="17" t="s">
        <v>3753</v>
      </c>
      <c r="H949" s="42" t="s">
        <v>36</v>
      </c>
      <c r="I949" s="16" t="str">
        <f t="shared" si="383"/>
        <v>null</v>
      </c>
      <c r="J949" s="15" t="s">
        <v>0</v>
      </c>
      <c r="K949" s="15" t="s">
        <v>0</v>
      </c>
      <c r="L949" s="15" t="s">
        <v>0</v>
      </c>
      <c r="M949" s="15" t="s">
        <v>0</v>
      </c>
      <c r="N949" s="15" t="s">
        <v>0</v>
      </c>
      <c r="O949" s="15" t="s">
        <v>0</v>
      </c>
      <c r="P949" s="15" t="s">
        <v>0</v>
      </c>
      <c r="Q949" s="15" t="s">
        <v>0</v>
      </c>
      <c r="R949" s="15" t="s">
        <v>0</v>
      </c>
      <c r="S949" s="10" t="s">
        <v>1</v>
      </c>
      <c r="T949" s="10" t="s">
        <v>32</v>
      </c>
      <c r="U949" s="5" t="str">
        <f t="shared" si="378"/>
        <v>Propriedade destinada a graduar: é.estatística.moda</v>
      </c>
      <c r="V949" s="5" t="str">
        <f t="shared" si="379"/>
        <v>Dado para graduar:  estatística.moda  Deve ser formatado como (xsd:double)</v>
      </c>
      <c r="W949" s="5" t="s">
        <v>5739</v>
      </c>
      <c r="X949" s="24" t="str">
        <f t="shared" si="380"/>
        <v>gradu.105</v>
      </c>
      <c r="Y949" s="24" t="str">
        <f t="shared" si="381"/>
        <v>Ação de graduar</v>
      </c>
      <c r="Z949" s="47" t="s">
        <v>4604</v>
      </c>
      <c r="AA949" s="25" t="str">
        <f t="shared" si="386"/>
        <v>null</v>
      </c>
      <c r="AB949" s="26" t="s">
        <v>0</v>
      </c>
      <c r="AC949" s="25" t="str">
        <f t="shared" si="387"/>
        <v>null</v>
      </c>
      <c r="AD949" s="26" t="s">
        <v>0</v>
      </c>
      <c r="AE949" s="25" t="str">
        <f t="shared" si="382"/>
        <v>null</v>
      </c>
      <c r="AF949" s="26" t="s">
        <v>0</v>
      </c>
      <c r="AG949" s="47" t="s">
        <v>4798</v>
      </c>
    </row>
    <row r="950" spans="1:33" ht="6.9" customHeight="1" x14ac:dyDescent="0.4">
      <c r="A950" s="4">
        <f>ROW()</f>
        <v>950</v>
      </c>
      <c r="B950" s="9" t="s">
        <v>27</v>
      </c>
      <c r="C950" s="55" t="str">
        <f t="shared" si="388"/>
        <v>p.graduar</v>
      </c>
      <c r="D950" s="6" t="str">
        <f t="shared" si="384"/>
        <v>é.estatística.desvío.padrão</v>
      </c>
      <c r="E950" s="8" t="s">
        <v>28</v>
      </c>
      <c r="F950" s="42" t="str">
        <f t="shared" si="389"/>
        <v>d.graduar</v>
      </c>
      <c r="G950" s="17" t="s">
        <v>3768</v>
      </c>
      <c r="H950" s="42" t="s">
        <v>36</v>
      </c>
      <c r="I950" s="16" t="str">
        <f t="shared" si="383"/>
        <v>null</v>
      </c>
      <c r="J950" s="15" t="s">
        <v>0</v>
      </c>
      <c r="K950" s="15" t="s">
        <v>0</v>
      </c>
      <c r="L950" s="15" t="s">
        <v>0</v>
      </c>
      <c r="M950" s="15" t="s">
        <v>0</v>
      </c>
      <c r="N950" s="15" t="s">
        <v>0</v>
      </c>
      <c r="O950" s="15" t="s">
        <v>0</v>
      </c>
      <c r="P950" s="15" t="s">
        <v>0</v>
      </c>
      <c r="Q950" s="15" t="s">
        <v>0</v>
      </c>
      <c r="R950" s="15" t="s">
        <v>0</v>
      </c>
      <c r="S950" s="10" t="s">
        <v>1</v>
      </c>
      <c r="T950" s="10" t="s">
        <v>32</v>
      </c>
      <c r="U950" s="5" t="str">
        <f t="shared" si="378"/>
        <v>Propriedade destinada a graduar: é.estatística.desvío.padrão</v>
      </c>
      <c r="V950" s="5" t="str">
        <f t="shared" si="379"/>
        <v>Dado para graduar:  estatística.desvío.padrão  Deve ser formatado como (xsd:double)</v>
      </c>
      <c r="W950" s="5" t="s">
        <v>5740</v>
      </c>
      <c r="X950" s="24" t="str">
        <f t="shared" si="380"/>
        <v>gradu.106</v>
      </c>
      <c r="Y950" s="24" t="str">
        <f t="shared" si="381"/>
        <v>Ação de graduar</v>
      </c>
      <c r="Z950" s="47" t="s">
        <v>3779</v>
      </c>
      <c r="AA950" s="25" t="str">
        <f t="shared" si="386"/>
        <v>null</v>
      </c>
      <c r="AB950" s="26" t="s">
        <v>0</v>
      </c>
      <c r="AC950" s="25" t="str">
        <f t="shared" si="387"/>
        <v>null</v>
      </c>
      <c r="AD950" s="26" t="s">
        <v>0</v>
      </c>
      <c r="AE950" s="25" t="str">
        <f t="shared" si="382"/>
        <v>null</v>
      </c>
      <c r="AF950" s="26" t="s">
        <v>0</v>
      </c>
      <c r="AG950" s="47" t="s">
        <v>3793</v>
      </c>
    </row>
    <row r="951" spans="1:33" ht="6.9" customHeight="1" x14ac:dyDescent="0.4">
      <c r="A951" s="4">
        <f>ROW()</f>
        <v>951</v>
      </c>
      <c r="B951" s="9" t="s">
        <v>27</v>
      </c>
      <c r="C951" s="55" t="str">
        <f t="shared" si="388"/>
        <v>p.graduar</v>
      </c>
      <c r="D951" s="6" t="str">
        <f t="shared" si="384"/>
        <v>é.estatística.variância</v>
      </c>
      <c r="E951" s="8" t="s">
        <v>28</v>
      </c>
      <c r="F951" s="42" t="str">
        <f t="shared" si="389"/>
        <v>d.graduar</v>
      </c>
      <c r="G951" s="17" t="s">
        <v>3767</v>
      </c>
      <c r="H951" s="42" t="s">
        <v>36</v>
      </c>
      <c r="I951" s="16" t="str">
        <f t="shared" si="383"/>
        <v>null</v>
      </c>
      <c r="J951" s="15" t="s">
        <v>0</v>
      </c>
      <c r="K951" s="15" t="s">
        <v>0</v>
      </c>
      <c r="L951" s="15" t="s">
        <v>0</v>
      </c>
      <c r="M951" s="15" t="s">
        <v>0</v>
      </c>
      <c r="N951" s="15" t="s">
        <v>0</v>
      </c>
      <c r="O951" s="15" t="s">
        <v>0</v>
      </c>
      <c r="P951" s="15" t="s">
        <v>0</v>
      </c>
      <c r="Q951" s="15" t="s">
        <v>0</v>
      </c>
      <c r="R951" s="15" t="s">
        <v>0</v>
      </c>
      <c r="S951" s="10" t="s">
        <v>1</v>
      </c>
      <c r="T951" s="10" t="s">
        <v>32</v>
      </c>
      <c r="U951" s="5" t="str">
        <f t="shared" si="378"/>
        <v>Propriedade destinada a graduar: é.estatística.variância</v>
      </c>
      <c r="V951" s="5" t="str">
        <f t="shared" si="379"/>
        <v>Dado para graduar:  estatística.variância  Deve ser formatado como (xsd:double)</v>
      </c>
      <c r="W951" s="5" t="s">
        <v>5741</v>
      </c>
      <c r="X951" s="24" t="str">
        <f t="shared" si="380"/>
        <v>gradu.107</v>
      </c>
      <c r="Y951" s="24" t="str">
        <f t="shared" si="381"/>
        <v>Ação de graduar</v>
      </c>
      <c r="Z951" s="47" t="s">
        <v>3780</v>
      </c>
      <c r="AA951" s="25" t="str">
        <f t="shared" si="386"/>
        <v>null</v>
      </c>
      <c r="AB951" s="26" t="s">
        <v>0</v>
      </c>
      <c r="AC951" s="25" t="str">
        <f t="shared" si="387"/>
        <v>null</v>
      </c>
      <c r="AD951" s="26" t="s">
        <v>0</v>
      </c>
      <c r="AE951" s="25" t="str">
        <f t="shared" si="382"/>
        <v>null</v>
      </c>
      <c r="AF951" s="26" t="s">
        <v>0</v>
      </c>
      <c r="AG951" s="47" t="s">
        <v>3794</v>
      </c>
    </row>
    <row r="952" spans="1:33" ht="6.9" customHeight="1" x14ac:dyDescent="0.4">
      <c r="A952" s="4">
        <f>ROW()</f>
        <v>952</v>
      </c>
      <c r="B952" s="9" t="s">
        <v>27</v>
      </c>
      <c r="C952" s="55" t="str">
        <f>SUBSTITUTE(F952,"d.","p.")</f>
        <v>p.graduar</v>
      </c>
      <c r="D952" s="6" t="str">
        <f t="shared" si="384"/>
        <v>é.valor.máximo</v>
      </c>
      <c r="E952" s="8" t="s">
        <v>28</v>
      </c>
      <c r="F952" s="42" t="str">
        <f t="shared" si="389"/>
        <v>d.graduar</v>
      </c>
      <c r="G952" s="17" t="s">
        <v>3770</v>
      </c>
      <c r="H952" s="42" t="s">
        <v>36</v>
      </c>
      <c r="I952" s="16" t="str">
        <f t="shared" si="383"/>
        <v>null</v>
      </c>
      <c r="J952" s="15" t="s">
        <v>0</v>
      </c>
      <c r="K952" s="15" t="s">
        <v>0</v>
      </c>
      <c r="L952" s="15" t="s">
        <v>0</v>
      </c>
      <c r="M952" s="15" t="s">
        <v>0</v>
      </c>
      <c r="N952" s="15" t="s">
        <v>0</v>
      </c>
      <c r="O952" s="15" t="s">
        <v>0</v>
      </c>
      <c r="P952" s="15" t="s">
        <v>0</v>
      </c>
      <c r="Q952" s="15" t="s">
        <v>3772</v>
      </c>
      <c r="R952" s="15" t="s">
        <v>0</v>
      </c>
      <c r="S952" s="10" t="s">
        <v>1</v>
      </c>
      <c r="T952" s="10" t="s">
        <v>32</v>
      </c>
      <c r="U952" s="5" t="str">
        <f t="shared" si="378"/>
        <v>Propriedade destinada a graduar: é.valor.máximo</v>
      </c>
      <c r="V952" s="5" t="str">
        <f t="shared" si="379"/>
        <v>Dado para graduar:  valor.máximo  Deve ser formatado como (xsd:double)</v>
      </c>
      <c r="W952" s="5" t="s">
        <v>5742</v>
      </c>
      <c r="X952" s="24" t="str">
        <f t="shared" si="380"/>
        <v>gradu.108</v>
      </c>
      <c r="Y952" s="24" t="str">
        <f t="shared" si="381"/>
        <v>Ação de graduar</v>
      </c>
      <c r="Z952" s="47" t="s">
        <v>3781</v>
      </c>
      <c r="AA952" s="25" t="str">
        <f t="shared" si="386"/>
        <v>null</v>
      </c>
      <c r="AB952" s="26" t="s">
        <v>0</v>
      </c>
      <c r="AC952" s="25" t="str">
        <f t="shared" si="387"/>
        <v>null</v>
      </c>
      <c r="AD952" s="26" t="s">
        <v>0</v>
      </c>
      <c r="AE952" s="25" t="str">
        <f t="shared" si="382"/>
        <v>null</v>
      </c>
      <c r="AF952" s="26" t="s">
        <v>0</v>
      </c>
      <c r="AG952" s="47" t="s">
        <v>3795</v>
      </c>
    </row>
    <row r="953" spans="1:33" ht="6.9" customHeight="1" x14ac:dyDescent="0.4">
      <c r="A953" s="4">
        <f>ROW()</f>
        <v>953</v>
      </c>
      <c r="B953" s="9" t="s">
        <v>27</v>
      </c>
      <c r="C953" s="55" t="str">
        <f t="shared" si="388"/>
        <v>p.graduar</v>
      </c>
      <c r="D953" s="6" t="str">
        <f t="shared" si="384"/>
        <v>é.valor.mínimo</v>
      </c>
      <c r="E953" s="8" t="s">
        <v>28</v>
      </c>
      <c r="F953" s="42" t="str">
        <f t="shared" si="389"/>
        <v>d.graduar</v>
      </c>
      <c r="G953" s="17" t="s">
        <v>3771</v>
      </c>
      <c r="H953" s="42" t="s">
        <v>36</v>
      </c>
      <c r="I953" s="16" t="str">
        <f t="shared" si="383"/>
        <v>null</v>
      </c>
      <c r="J953" s="15" t="s">
        <v>0</v>
      </c>
      <c r="K953" s="15" t="s">
        <v>0</v>
      </c>
      <c r="L953" s="15" t="s">
        <v>0</v>
      </c>
      <c r="M953" s="15" t="s">
        <v>0</v>
      </c>
      <c r="N953" s="15" t="s">
        <v>0</v>
      </c>
      <c r="O953" s="15" t="s">
        <v>0</v>
      </c>
      <c r="P953" s="15" t="s">
        <v>0</v>
      </c>
      <c r="Q953" s="15" t="s">
        <v>3773</v>
      </c>
      <c r="R953" s="15" t="s">
        <v>0</v>
      </c>
      <c r="S953" s="10" t="s">
        <v>1</v>
      </c>
      <c r="T953" s="10" t="s">
        <v>32</v>
      </c>
      <c r="U953" s="5" t="str">
        <f t="shared" si="378"/>
        <v>Propriedade destinada a graduar: é.valor.mínimo</v>
      </c>
      <c r="V953" s="5" t="str">
        <f t="shared" si="379"/>
        <v>Dado para graduar:  valor.mínimo  Deve ser formatado como (xsd:double)</v>
      </c>
      <c r="W953" s="5" t="s">
        <v>5743</v>
      </c>
      <c r="X953" s="24" t="str">
        <f t="shared" si="380"/>
        <v>gradu.109</v>
      </c>
      <c r="Y953" s="24" t="str">
        <f t="shared" si="381"/>
        <v>Ação de graduar</v>
      </c>
      <c r="Z953" s="47" t="s">
        <v>3782</v>
      </c>
      <c r="AA953" s="25" t="str">
        <f t="shared" si="386"/>
        <v>null</v>
      </c>
      <c r="AB953" s="26" t="s">
        <v>0</v>
      </c>
      <c r="AC953" s="25" t="str">
        <f t="shared" si="387"/>
        <v>null</v>
      </c>
      <c r="AD953" s="26" t="s">
        <v>0</v>
      </c>
      <c r="AE953" s="25" t="str">
        <f t="shared" si="382"/>
        <v>null</v>
      </c>
      <c r="AF953" s="26" t="s">
        <v>0</v>
      </c>
      <c r="AG953" s="47" t="s">
        <v>3796</v>
      </c>
    </row>
    <row r="954" spans="1:33" ht="6.9" customHeight="1" x14ac:dyDescent="0.4">
      <c r="A954" s="4">
        <f>ROW()</f>
        <v>954</v>
      </c>
      <c r="B954" s="9" t="s">
        <v>27</v>
      </c>
      <c r="C954" s="55" t="str">
        <f t="shared" si="388"/>
        <v>p.graduar</v>
      </c>
      <c r="D954" s="6" t="str">
        <f t="shared" si="384"/>
        <v>é.posição.alta</v>
      </c>
      <c r="E954" s="8" t="s">
        <v>28</v>
      </c>
      <c r="F954" s="42" t="str">
        <f t="shared" si="389"/>
        <v>d.graduar</v>
      </c>
      <c r="G954" s="17" t="s">
        <v>3755</v>
      </c>
      <c r="H954" s="42" t="s">
        <v>36</v>
      </c>
      <c r="I954" s="16" t="str">
        <f t="shared" si="383"/>
        <v>null</v>
      </c>
      <c r="J954" s="15" t="s">
        <v>0</v>
      </c>
      <c r="K954" s="15" t="s">
        <v>0</v>
      </c>
      <c r="L954" s="15" t="s">
        <v>0</v>
      </c>
      <c r="M954" s="15" t="s">
        <v>0</v>
      </c>
      <c r="N954" s="15" t="s">
        <v>0</v>
      </c>
      <c r="O954" s="15" t="s">
        <v>0</v>
      </c>
      <c r="P954" s="15" t="s">
        <v>0</v>
      </c>
      <c r="Q954" s="15" t="s">
        <v>3761</v>
      </c>
      <c r="R954" s="15" t="s">
        <v>3763</v>
      </c>
      <c r="S954" s="10" t="s">
        <v>1</v>
      </c>
      <c r="T954" s="10" t="s">
        <v>32</v>
      </c>
      <c r="U954" s="5" t="str">
        <f t="shared" si="378"/>
        <v>Propriedade destinada a graduar: é.posição.alta</v>
      </c>
      <c r="V954" s="5" t="str">
        <f t="shared" si="379"/>
        <v>Dado para graduar:  posição.alta  Deve ser formatado como (xsd:double)</v>
      </c>
      <c r="W954" s="5" t="s">
        <v>5744</v>
      </c>
      <c r="X954" s="24" t="str">
        <f t="shared" si="380"/>
        <v>gradu.110</v>
      </c>
      <c r="Y954" s="24" t="str">
        <f t="shared" si="381"/>
        <v>Ação de graduar</v>
      </c>
      <c r="Z954" s="47" t="s">
        <v>3783</v>
      </c>
      <c r="AA954" s="25" t="str">
        <f t="shared" si="386"/>
        <v>null</v>
      </c>
      <c r="AB954" s="26" t="s">
        <v>0</v>
      </c>
      <c r="AC954" s="25" t="str">
        <f t="shared" si="387"/>
        <v>null</v>
      </c>
      <c r="AD954" s="26" t="s">
        <v>0</v>
      </c>
      <c r="AE954" s="25" t="str">
        <f t="shared" si="382"/>
        <v>null</v>
      </c>
      <c r="AF954" s="26" t="s">
        <v>0</v>
      </c>
      <c r="AG954" s="47" t="s">
        <v>3797</v>
      </c>
    </row>
    <row r="955" spans="1:33" ht="6.9" customHeight="1" x14ac:dyDescent="0.4">
      <c r="A955" s="4">
        <f>ROW()</f>
        <v>955</v>
      </c>
      <c r="B955" s="9" t="s">
        <v>27</v>
      </c>
      <c r="C955" s="55" t="str">
        <f t="shared" si="388"/>
        <v>p.graduar</v>
      </c>
      <c r="D955" s="6" t="str">
        <f t="shared" si="384"/>
        <v>é.posição.alto</v>
      </c>
      <c r="E955" s="8" t="s">
        <v>28</v>
      </c>
      <c r="F955" s="42" t="str">
        <f t="shared" si="389"/>
        <v>d.graduar</v>
      </c>
      <c r="G955" s="17" t="s">
        <v>3756</v>
      </c>
      <c r="H955" s="42" t="s">
        <v>36</v>
      </c>
      <c r="I955" s="16" t="str">
        <f t="shared" si="383"/>
        <v>null</v>
      </c>
      <c r="J955" s="15" t="s">
        <v>0</v>
      </c>
      <c r="K955" s="15" t="s">
        <v>0</v>
      </c>
      <c r="L955" s="15" t="s">
        <v>0</v>
      </c>
      <c r="M955" s="15" t="s">
        <v>0</v>
      </c>
      <c r="N955" s="15" t="s">
        <v>0</v>
      </c>
      <c r="O955" s="15" t="s">
        <v>0</v>
      </c>
      <c r="P955" s="15" t="s">
        <v>0</v>
      </c>
      <c r="Q955" s="15" t="s">
        <v>3764</v>
      </c>
      <c r="R955" s="15" t="s">
        <v>3762</v>
      </c>
      <c r="S955" s="10" t="s">
        <v>1</v>
      </c>
      <c r="T955" s="10" t="s">
        <v>32</v>
      </c>
      <c r="U955" s="5" t="str">
        <f t="shared" si="378"/>
        <v>Propriedade destinada a graduar: é.posição.alto</v>
      </c>
      <c r="V955" s="5" t="str">
        <f t="shared" si="379"/>
        <v>Dado para graduar:  posição.alto  Deve ser formatado como (xsd:double)</v>
      </c>
      <c r="W955" s="5" t="s">
        <v>5745</v>
      </c>
      <c r="X955" s="24" t="str">
        <f t="shared" si="380"/>
        <v>gradu.111</v>
      </c>
      <c r="Y955" s="24" t="str">
        <f t="shared" si="381"/>
        <v>Ação de graduar</v>
      </c>
      <c r="Z955" s="47" t="s">
        <v>3784</v>
      </c>
      <c r="AA955" s="25" t="str">
        <f t="shared" si="386"/>
        <v>null</v>
      </c>
      <c r="AB955" s="26" t="s">
        <v>0</v>
      </c>
      <c r="AC955" s="25" t="str">
        <f t="shared" si="387"/>
        <v>null</v>
      </c>
      <c r="AD955" s="26" t="s">
        <v>0</v>
      </c>
      <c r="AE955" s="25" t="str">
        <f t="shared" si="382"/>
        <v>null</v>
      </c>
      <c r="AF955" s="26" t="s">
        <v>0</v>
      </c>
      <c r="AG955" s="47" t="s">
        <v>3798</v>
      </c>
    </row>
    <row r="956" spans="1:33" ht="6.9" customHeight="1" x14ac:dyDescent="0.4">
      <c r="A956" s="4">
        <f>ROW()</f>
        <v>956</v>
      </c>
      <c r="B956" s="9" t="s">
        <v>27</v>
      </c>
      <c r="C956" s="55" t="str">
        <f t="shared" si="388"/>
        <v>p.graduar</v>
      </c>
      <c r="D956" s="6" t="str">
        <f t="shared" si="384"/>
        <v>é.posição.baixa</v>
      </c>
      <c r="E956" s="8" t="s">
        <v>28</v>
      </c>
      <c r="F956" s="42" t="str">
        <f t="shared" si="389"/>
        <v>d.graduar</v>
      </c>
      <c r="G956" s="17" t="s">
        <v>3757</v>
      </c>
      <c r="H956" s="42" t="s">
        <v>36</v>
      </c>
      <c r="I956" s="16" t="str">
        <f t="shared" si="383"/>
        <v>null</v>
      </c>
      <c r="J956" s="15" t="s">
        <v>0</v>
      </c>
      <c r="K956" s="15" t="s">
        <v>0</v>
      </c>
      <c r="L956" s="15" t="s">
        <v>0</v>
      </c>
      <c r="M956" s="15" t="s">
        <v>0</v>
      </c>
      <c r="N956" s="15" t="s">
        <v>0</v>
      </c>
      <c r="O956" s="15" t="s">
        <v>0</v>
      </c>
      <c r="P956" s="15" t="s">
        <v>0</v>
      </c>
      <c r="Q956" s="15" t="s">
        <v>3762</v>
      </c>
      <c r="R956" s="15" t="s">
        <v>3764</v>
      </c>
      <c r="S956" s="10" t="s">
        <v>1</v>
      </c>
      <c r="T956" s="10" t="s">
        <v>32</v>
      </c>
      <c r="U956" s="5" t="str">
        <f t="shared" si="378"/>
        <v>Propriedade destinada a graduar: é.posição.baixa</v>
      </c>
      <c r="V956" s="5" t="str">
        <f t="shared" si="379"/>
        <v>Dado para graduar:  posição.baixa  Deve ser formatado como (xsd:double)</v>
      </c>
      <c r="W956" s="5" t="s">
        <v>5746</v>
      </c>
      <c r="X956" s="24" t="str">
        <f t="shared" si="380"/>
        <v>gradu.112</v>
      </c>
      <c r="Y956" s="24" t="str">
        <f t="shared" si="381"/>
        <v>Ação de graduar</v>
      </c>
      <c r="Z956" s="47" t="s">
        <v>3785</v>
      </c>
      <c r="AA956" s="25" t="str">
        <f t="shared" si="386"/>
        <v>null</v>
      </c>
      <c r="AB956" s="26" t="s">
        <v>0</v>
      </c>
      <c r="AC956" s="25" t="str">
        <f t="shared" si="387"/>
        <v>null</v>
      </c>
      <c r="AD956" s="26" t="s">
        <v>0</v>
      </c>
      <c r="AE956" s="25" t="str">
        <f t="shared" si="382"/>
        <v>null</v>
      </c>
      <c r="AF956" s="26" t="s">
        <v>0</v>
      </c>
      <c r="AG956" s="47" t="s">
        <v>3799</v>
      </c>
    </row>
    <row r="957" spans="1:33" ht="6.9" customHeight="1" x14ac:dyDescent="0.4">
      <c r="A957" s="4">
        <f>ROW()</f>
        <v>957</v>
      </c>
      <c r="B957" s="9" t="s">
        <v>27</v>
      </c>
      <c r="C957" s="55" t="str">
        <f t="shared" si="388"/>
        <v>p.graduar</v>
      </c>
      <c r="D957" s="6" t="str">
        <f t="shared" si="384"/>
        <v>é.posição.baixo</v>
      </c>
      <c r="E957" s="8" t="s">
        <v>28</v>
      </c>
      <c r="F957" s="42" t="str">
        <f t="shared" si="389"/>
        <v>d.graduar</v>
      </c>
      <c r="G957" s="17" t="s">
        <v>3758</v>
      </c>
      <c r="H957" s="42" t="s">
        <v>36</v>
      </c>
      <c r="I957" s="16" t="str">
        <f t="shared" si="383"/>
        <v>null</v>
      </c>
      <c r="J957" s="15" t="s">
        <v>0</v>
      </c>
      <c r="K957" s="15" t="s">
        <v>0</v>
      </c>
      <c r="L957" s="15" t="s">
        <v>0</v>
      </c>
      <c r="M957" s="15" t="s">
        <v>0</v>
      </c>
      <c r="N957" s="15" t="s">
        <v>0</v>
      </c>
      <c r="O957" s="15" t="s">
        <v>0</v>
      </c>
      <c r="P957" s="15" t="s">
        <v>0</v>
      </c>
      <c r="Q957" s="15" t="s">
        <v>3763</v>
      </c>
      <c r="R957" s="15" t="s">
        <v>3761</v>
      </c>
      <c r="S957" s="10" t="s">
        <v>1</v>
      </c>
      <c r="T957" s="10" t="s">
        <v>32</v>
      </c>
      <c r="U957" s="5" t="str">
        <f t="shared" si="378"/>
        <v>Propriedade destinada a graduar: é.posição.baixo</v>
      </c>
      <c r="V957" s="5" t="str">
        <f t="shared" si="379"/>
        <v>Dado para graduar:  posição.baixo  Deve ser formatado como (xsd:double)</v>
      </c>
      <c r="W957" s="5" t="s">
        <v>5747</v>
      </c>
      <c r="X957" s="24" t="str">
        <f t="shared" si="380"/>
        <v>gradu.113</v>
      </c>
      <c r="Y957" s="24" t="str">
        <f t="shared" si="381"/>
        <v>Ação de graduar</v>
      </c>
      <c r="Z957" s="47" t="s">
        <v>3786</v>
      </c>
      <c r="AA957" s="25" t="str">
        <f t="shared" si="386"/>
        <v>null</v>
      </c>
      <c r="AB957" s="26" t="s">
        <v>0</v>
      </c>
      <c r="AC957" s="25" t="str">
        <f t="shared" si="387"/>
        <v>null</v>
      </c>
      <c r="AD957" s="26" t="s">
        <v>0</v>
      </c>
      <c r="AE957" s="25" t="str">
        <f t="shared" si="382"/>
        <v>null</v>
      </c>
      <c r="AF957" s="26" t="s">
        <v>0</v>
      </c>
      <c r="AG957" s="47" t="s">
        <v>3800</v>
      </c>
    </row>
    <row r="958" spans="1:33" ht="6.9" customHeight="1" x14ac:dyDescent="0.4">
      <c r="A958" s="4">
        <f>ROW()</f>
        <v>958</v>
      </c>
      <c r="B958" s="9" t="s">
        <v>27</v>
      </c>
      <c r="C958" s="55" t="str">
        <f t="shared" si="388"/>
        <v>p.graduar</v>
      </c>
      <c r="D958" s="6" t="str">
        <f t="shared" si="384"/>
        <v>é.posição.média</v>
      </c>
      <c r="E958" s="8" t="s">
        <v>28</v>
      </c>
      <c r="F958" s="42" t="str">
        <f t="shared" si="389"/>
        <v>d.graduar</v>
      </c>
      <c r="G958" s="17" t="s">
        <v>3759</v>
      </c>
      <c r="H958" s="42" t="s">
        <v>36</v>
      </c>
      <c r="I958" s="16" t="str">
        <f t="shared" si="383"/>
        <v>null</v>
      </c>
      <c r="J958" s="15" t="s">
        <v>0</v>
      </c>
      <c r="K958" s="15" t="s">
        <v>0</v>
      </c>
      <c r="L958" s="15" t="s">
        <v>0</v>
      </c>
      <c r="M958" s="15" t="s">
        <v>0</v>
      </c>
      <c r="N958" s="15" t="s">
        <v>0</v>
      </c>
      <c r="O958" s="15" t="s">
        <v>0</v>
      </c>
      <c r="P958" s="15" t="s">
        <v>0</v>
      </c>
      <c r="Q958" s="15" t="s">
        <v>0</v>
      </c>
      <c r="R958" s="15" t="s">
        <v>3765</v>
      </c>
      <c r="S958" s="10" t="s">
        <v>1</v>
      </c>
      <c r="T958" s="10" t="s">
        <v>32</v>
      </c>
      <c r="U958" s="5" t="str">
        <f t="shared" si="378"/>
        <v>Propriedade destinada a graduar: é.posição.média</v>
      </c>
      <c r="V958" s="5" t="str">
        <f t="shared" si="379"/>
        <v>Dado para graduar:  posição.média  Deve ser formatado como (xsd:double)</v>
      </c>
      <c r="W958" s="5" t="s">
        <v>5748</v>
      </c>
      <c r="X958" s="24" t="str">
        <f t="shared" si="380"/>
        <v>gradu.114</v>
      </c>
      <c r="Y958" s="24" t="str">
        <f t="shared" si="381"/>
        <v>Ação de graduar</v>
      </c>
      <c r="Z958" s="47" t="s">
        <v>3787</v>
      </c>
      <c r="AA958" s="25" t="str">
        <f t="shared" si="386"/>
        <v>null</v>
      </c>
      <c r="AB958" s="26" t="s">
        <v>0</v>
      </c>
      <c r="AC958" s="25" t="str">
        <f t="shared" si="387"/>
        <v>null</v>
      </c>
      <c r="AD958" s="26" t="s">
        <v>0</v>
      </c>
      <c r="AE958" s="25" t="str">
        <f t="shared" si="382"/>
        <v>null</v>
      </c>
      <c r="AF958" s="26" t="s">
        <v>0</v>
      </c>
      <c r="AG958" s="47" t="s">
        <v>3801</v>
      </c>
    </row>
    <row r="959" spans="1:33" ht="6.9" customHeight="1" x14ac:dyDescent="0.4">
      <c r="A959" s="4">
        <f>ROW()</f>
        <v>959</v>
      </c>
      <c r="B959" s="9" t="s">
        <v>27</v>
      </c>
      <c r="C959" s="55" t="str">
        <f t="shared" si="388"/>
        <v>p.graduar</v>
      </c>
      <c r="D959" s="6" t="str">
        <f t="shared" si="384"/>
        <v>é.posição.médio</v>
      </c>
      <c r="E959" s="8" t="s">
        <v>28</v>
      </c>
      <c r="F959" s="42" t="str">
        <f t="shared" si="389"/>
        <v>d.graduar</v>
      </c>
      <c r="G959" s="17" t="s">
        <v>3760</v>
      </c>
      <c r="H959" s="42" t="s">
        <v>36</v>
      </c>
      <c r="I959" s="16" t="str">
        <f t="shared" si="383"/>
        <v>null</v>
      </c>
      <c r="J959" s="15" t="s">
        <v>0</v>
      </c>
      <c r="K959" s="15" t="s">
        <v>0</v>
      </c>
      <c r="L959" s="15" t="s">
        <v>0</v>
      </c>
      <c r="M959" s="15" t="s">
        <v>0</v>
      </c>
      <c r="N959" s="15" t="s">
        <v>0</v>
      </c>
      <c r="O959" s="15" t="s">
        <v>0</v>
      </c>
      <c r="P959" s="15" t="s">
        <v>0</v>
      </c>
      <c r="Q959" s="15" t="s">
        <v>0</v>
      </c>
      <c r="R959" s="15" t="s">
        <v>3766</v>
      </c>
      <c r="S959" s="10" t="s">
        <v>1</v>
      </c>
      <c r="T959" s="10" t="s">
        <v>32</v>
      </c>
      <c r="U959" s="5" t="str">
        <f t="shared" si="378"/>
        <v>Propriedade destinada a graduar: é.posição.médio</v>
      </c>
      <c r="V959" s="5" t="str">
        <f t="shared" si="379"/>
        <v>Dado para graduar:  posição.médio  Deve ser formatado como (xsd:double)</v>
      </c>
      <c r="W959" s="5" t="s">
        <v>5749</v>
      </c>
      <c r="X959" s="24" t="str">
        <f t="shared" si="380"/>
        <v>gradu.115</v>
      </c>
      <c r="Y959" s="24" t="str">
        <f t="shared" si="381"/>
        <v>Ação de graduar</v>
      </c>
      <c r="Z959" s="47" t="s">
        <v>3787</v>
      </c>
      <c r="AA959" s="25" t="str">
        <f t="shared" si="386"/>
        <v>null</v>
      </c>
      <c r="AB959" s="26" t="s">
        <v>0</v>
      </c>
      <c r="AC959" s="25" t="str">
        <f t="shared" si="387"/>
        <v>null</v>
      </c>
      <c r="AD959" s="26" t="s">
        <v>0</v>
      </c>
      <c r="AE959" s="25" t="str">
        <f t="shared" si="382"/>
        <v>null</v>
      </c>
      <c r="AF959" s="26" t="s">
        <v>0</v>
      </c>
      <c r="AG959" s="47" t="s">
        <v>3802</v>
      </c>
    </row>
    <row r="960" spans="1:33" ht="6.9" customHeight="1" x14ac:dyDescent="0.4">
      <c r="A960" s="4">
        <f>ROW()</f>
        <v>960</v>
      </c>
      <c r="B960" s="9" t="s">
        <v>27</v>
      </c>
      <c r="C960" s="54" t="str">
        <f>SUBSTITUTE(F960,"d.","p.")</f>
        <v>p.identificar</v>
      </c>
      <c r="D960" s="6" t="str">
        <f t="shared" si="384"/>
        <v>é.alias</v>
      </c>
      <c r="E960" s="8" t="s">
        <v>28</v>
      </c>
      <c r="F960" s="51" t="s">
        <v>3586</v>
      </c>
      <c r="G960" s="18" t="s">
        <v>3643</v>
      </c>
      <c r="H960" s="41" t="s">
        <v>2121</v>
      </c>
      <c r="I960" s="16" t="str">
        <f t="shared" si="383"/>
        <v>null</v>
      </c>
      <c r="J960" s="13" t="s">
        <v>0</v>
      </c>
      <c r="K960" s="13" t="s">
        <v>0</v>
      </c>
      <c r="L960" s="13" t="s">
        <v>0</v>
      </c>
      <c r="M960" s="13" t="s">
        <v>0</v>
      </c>
      <c r="N960" s="15" t="s">
        <v>0</v>
      </c>
      <c r="O960" s="13" t="s">
        <v>0</v>
      </c>
      <c r="P960" s="13" t="s">
        <v>0</v>
      </c>
      <c r="Q960" s="13" t="s">
        <v>0</v>
      </c>
      <c r="R960" s="15" t="s">
        <v>3645</v>
      </c>
      <c r="S960" s="10" t="s">
        <v>1</v>
      </c>
      <c r="T960" s="10" t="s">
        <v>32</v>
      </c>
      <c r="U960" s="5" t="str">
        <f t="shared" si="378"/>
        <v>Propriedade destinada a identificar: é.alias</v>
      </c>
      <c r="V960" s="5" t="str">
        <f t="shared" si="379"/>
        <v>Dado para identificar:  alias  Deve ser formatado como (rdfs:Literal  or  xsd:string)</v>
      </c>
      <c r="W960" s="5" t="s">
        <v>6956</v>
      </c>
      <c r="X960" s="24" t="str">
        <f t="shared" si="380"/>
        <v>ident.100</v>
      </c>
      <c r="Y960" s="24" t="str">
        <f t="shared" si="381"/>
        <v>Ação de identificar</v>
      </c>
      <c r="Z960" s="47" t="s">
        <v>3656</v>
      </c>
      <c r="AA960" s="25" t="str">
        <f t="shared" si="386"/>
        <v>null</v>
      </c>
      <c r="AB960" s="26" t="s">
        <v>0</v>
      </c>
      <c r="AC960" s="25" t="str">
        <f t="shared" si="387"/>
        <v>null</v>
      </c>
      <c r="AD960" s="26" t="s">
        <v>0</v>
      </c>
      <c r="AE960" s="25" t="str">
        <f t="shared" si="382"/>
        <v>null</v>
      </c>
      <c r="AF960" s="26" t="s">
        <v>0</v>
      </c>
      <c r="AG960" s="47" t="s">
        <v>3741</v>
      </c>
    </row>
    <row r="961" spans="1:33" ht="6.9" customHeight="1" x14ac:dyDescent="0.4">
      <c r="A961" s="4">
        <f>ROW()</f>
        <v>961</v>
      </c>
      <c r="B961" s="9" t="s">
        <v>27</v>
      </c>
      <c r="C961" s="55" t="str">
        <f>SUBSTITUTE(F961,"d.","p.")</f>
        <v>p.identificar</v>
      </c>
      <c r="D961" s="6" t="str">
        <f t="shared" si="384"/>
        <v>é.apelido</v>
      </c>
      <c r="E961" s="8" t="s">
        <v>28</v>
      </c>
      <c r="F961" s="42" t="str">
        <f t="shared" ref="F961:F1005" si="390">F960</f>
        <v>d.identificar</v>
      </c>
      <c r="G961" s="18" t="s">
        <v>1043</v>
      </c>
      <c r="H961" s="41" t="s">
        <v>2121</v>
      </c>
      <c r="I961" s="16" t="str">
        <f t="shared" si="383"/>
        <v>null</v>
      </c>
      <c r="J961" s="13" t="s">
        <v>0</v>
      </c>
      <c r="K961" s="13" t="s">
        <v>0</v>
      </c>
      <c r="L961" s="13" t="s">
        <v>0</v>
      </c>
      <c r="M961" s="13" t="s">
        <v>0</v>
      </c>
      <c r="N961" s="15" t="s">
        <v>0</v>
      </c>
      <c r="O961" s="13" t="s">
        <v>0</v>
      </c>
      <c r="P961" s="13" t="s">
        <v>0</v>
      </c>
      <c r="Q961" s="13" t="s">
        <v>0</v>
      </c>
      <c r="R961" s="15" t="s">
        <v>3644</v>
      </c>
      <c r="S961" s="10" t="s">
        <v>1</v>
      </c>
      <c r="T961" s="10" t="s">
        <v>32</v>
      </c>
      <c r="U961" s="5" t="str">
        <f t="shared" si="378"/>
        <v>Propriedade destinada a identificar: é.apelido</v>
      </c>
      <c r="V961" s="5" t="str">
        <f t="shared" si="379"/>
        <v>Dado para identificar:  apelido  Deve ser formatado como (rdfs:Literal  or  xsd:string)</v>
      </c>
      <c r="W961" s="5" t="s">
        <v>5750</v>
      </c>
      <c r="X961" s="24" t="str">
        <f t="shared" si="380"/>
        <v>ident.101</v>
      </c>
      <c r="Y961" s="24" t="str">
        <f t="shared" si="381"/>
        <v>Ação de identificar</v>
      </c>
      <c r="Z961" s="47" t="s">
        <v>3657</v>
      </c>
      <c r="AA961" s="25" t="str">
        <f t="shared" si="386"/>
        <v>null</v>
      </c>
      <c r="AB961" s="26" t="s">
        <v>0</v>
      </c>
      <c r="AC961" s="25" t="str">
        <f t="shared" si="387"/>
        <v>null</v>
      </c>
      <c r="AD961" s="26" t="s">
        <v>0</v>
      </c>
      <c r="AE961" s="25" t="str">
        <f t="shared" si="382"/>
        <v>null</v>
      </c>
      <c r="AF961" s="26" t="s">
        <v>0</v>
      </c>
      <c r="AG961" s="47" t="s">
        <v>3742</v>
      </c>
    </row>
    <row r="962" spans="1:33" ht="6.9" customHeight="1" x14ac:dyDescent="0.4">
      <c r="A962" s="4">
        <f>ROW()</f>
        <v>962</v>
      </c>
      <c r="B962" s="9" t="s">
        <v>27</v>
      </c>
      <c r="C962" s="55" t="str">
        <f t="shared" ref="C962:C1028" si="391">SUBSTITUTE(F962,"d.","p.")</f>
        <v>p.identificar</v>
      </c>
      <c r="D962" s="6" t="str">
        <f t="shared" si="384"/>
        <v>é.atividade.econômica</v>
      </c>
      <c r="E962" s="8" t="s">
        <v>28</v>
      </c>
      <c r="F962" s="42" t="str">
        <f t="shared" si="390"/>
        <v>d.identificar</v>
      </c>
      <c r="G962" s="18" t="s">
        <v>2268</v>
      </c>
      <c r="H962" s="41" t="s">
        <v>2121</v>
      </c>
      <c r="I962" s="16" t="str">
        <f t="shared" si="383"/>
        <v>null</v>
      </c>
      <c r="J962" s="13" t="s">
        <v>0</v>
      </c>
      <c r="K962" s="13" t="s">
        <v>0</v>
      </c>
      <c r="L962" s="13" t="s">
        <v>0</v>
      </c>
      <c r="M962" s="13" t="s">
        <v>0</v>
      </c>
      <c r="N962" s="15" t="s">
        <v>0</v>
      </c>
      <c r="O962" s="13" t="s">
        <v>0</v>
      </c>
      <c r="P962" s="13" t="s">
        <v>0</v>
      </c>
      <c r="Q962" s="13" t="s">
        <v>0</v>
      </c>
      <c r="R962" s="15" t="s">
        <v>0</v>
      </c>
      <c r="S962" s="10" t="s">
        <v>1</v>
      </c>
      <c r="T962" s="10" t="s">
        <v>32</v>
      </c>
      <c r="U962" s="5" t="str">
        <f t="shared" ref="U962:U1025" si="392">_xlfn.CONCAT("Propriedade destinada a ",MID(C962,FIND("p.",C962,1)+2,100),": ",D962)</f>
        <v>Propriedade destinada a identificar: é.atividade.econômica</v>
      </c>
      <c r="V962" s="5" t="str">
        <f t="shared" ref="V962:V1025" si="393">_xlfn.CONCAT("Dado para ",MID(F962,FIND("d.",F962,1)+2,100),":  ",G962, "  Deve ser formatado como (",H962, ")")</f>
        <v>Dado para identificar:  atividade.econômica  Deve ser formatado como (rdfs:Literal  or  xsd:string)</v>
      </c>
      <c r="W962" s="5" t="s">
        <v>5751</v>
      </c>
      <c r="X962" s="24" t="str">
        <f t="shared" si="380"/>
        <v>ident.102</v>
      </c>
      <c r="Y962" s="24" t="str">
        <f t="shared" si="381"/>
        <v>Ação de identificar</v>
      </c>
      <c r="Z962" s="47" t="s">
        <v>3658</v>
      </c>
      <c r="AA962" s="25" t="str">
        <f t="shared" si="386"/>
        <v>null</v>
      </c>
      <c r="AB962" s="26" t="s">
        <v>0</v>
      </c>
      <c r="AC962" s="25" t="str">
        <f t="shared" si="387"/>
        <v>null</v>
      </c>
      <c r="AD962" s="26" t="s">
        <v>0</v>
      </c>
      <c r="AE962" s="25" t="str">
        <f t="shared" si="382"/>
        <v>null</v>
      </c>
      <c r="AF962" s="26" t="s">
        <v>0</v>
      </c>
      <c r="AG962" s="47" t="s">
        <v>3743</v>
      </c>
    </row>
    <row r="963" spans="1:33" ht="6.9" customHeight="1" x14ac:dyDescent="0.4">
      <c r="A963" s="4">
        <f>ROW()</f>
        <v>963</v>
      </c>
      <c r="B963" s="9" t="s">
        <v>27</v>
      </c>
      <c r="C963" s="55" t="str">
        <f t="shared" si="391"/>
        <v>p.identificar</v>
      </c>
      <c r="D963" s="6" t="str">
        <f t="shared" si="384"/>
        <v>é.bitola</v>
      </c>
      <c r="E963" s="8" t="s">
        <v>28</v>
      </c>
      <c r="F963" s="42" t="str">
        <f t="shared" si="390"/>
        <v>d.identificar</v>
      </c>
      <c r="G963" s="18" t="s">
        <v>1250</v>
      </c>
      <c r="H963" s="41" t="s">
        <v>2121</v>
      </c>
      <c r="I963" s="16" t="str">
        <f t="shared" si="383"/>
        <v>null</v>
      </c>
      <c r="J963" s="13" t="s">
        <v>0</v>
      </c>
      <c r="K963" s="13" t="s">
        <v>0</v>
      </c>
      <c r="L963" s="13" t="s">
        <v>0</v>
      </c>
      <c r="M963" s="13" t="s">
        <v>0</v>
      </c>
      <c r="N963" s="15" t="s">
        <v>0</v>
      </c>
      <c r="O963" s="13" t="s">
        <v>0</v>
      </c>
      <c r="P963" s="13" t="s">
        <v>0</v>
      </c>
      <c r="Q963" s="13" t="s">
        <v>0</v>
      </c>
      <c r="R963" s="15" t="s">
        <v>4406</v>
      </c>
      <c r="S963" s="10" t="s">
        <v>1</v>
      </c>
      <c r="T963" s="10" t="s">
        <v>32</v>
      </c>
      <c r="U963" s="5" t="str">
        <f t="shared" si="392"/>
        <v>Propriedade destinada a identificar: é.bitola</v>
      </c>
      <c r="V963" s="5" t="str">
        <f t="shared" si="393"/>
        <v>Dado para identificar:  bitola  Deve ser formatado como (rdfs:Literal  or  xsd:string)</v>
      </c>
      <c r="W963" s="5" t="s">
        <v>5752</v>
      </c>
      <c r="X963" s="24" t="str">
        <f t="shared" ref="X963:X1026" si="394">IF(F962&lt;&gt;F963,_xlfn.CONCAT(RIGHT(LEFT(F963,7),5),".100"),_xlfn.CONCAT(RIGHT(LEFT(F963,7),5),".",SUM(VALUE(RIGHT(X962,3)),1)))</f>
        <v>ident.103</v>
      </c>
      <c r="Y963" s="24" t="str">
        <f t="shared" ref="Y963:Y1026" si="395">_xlfn.CONCAT("Ação de ", SUBSTITUTE(F963, "d.",  ""))</f>
        <v>Ação de identificar</v>
      </c>
      <c r="Z963" s="47" t="s">
        <v>1510</v>
      </c>
      <c r="AA963" s="25" t="str">
        <f t="shared" si="386"/>
        <v>null</v>
      </c>
      <c r="AB963" s="26" t="s">
        <v>0</v>
      </c>
      <c r="AC963" s="25" t="str">
        <f t="shared" si="387"/>
        <v>null</v>
      </c>
      <c r="AD963" s="26" t="s">
        <v>0</v>
      </c>
      <c r="AE963" s="25" t="str">
        <f t="shared" si="382"/>
        <v>null</v>
      </c>
      <c r="AF963" s="26" t="s">
        <v>0</v>
      </c>
      <c r="AG963" s="47" t="s">
        <v>2853</v>
      </c>
    </row>
    <row r="964" spans="1:33" ht="6.9" customHeight="1" x14ac:dyDescent="0.4">
      <c r="A964" s="4">
        <f>ROW()</f>
        <v>964</v>
      </c>
      <c r="B964" s="9" t="s">
        <v>27</v>
      </c>
      <c r="C964" s="55" t="str">
        <f t="shared" si="391"/>
        <v>p.identificar</v>
      </c>
      <c r="D964" s="6" t="str">
        <f t="shared" si="384"/>
        <v>é.carteira.de.trabalho</v>
      </c>
      <c r="E964" s="8" t="s">
        <v>28</v>
      </c>
      <c r="F964" s="42" t="str">
        <f t="shared" si="390"/>
        <v>d.identificar</v>
      </c>
      <c r="G964" s="18" t="s">
        <v>739</v>
      </c>
      <c r="H964" s="41" t="s">
        <v>2121</v>
      </c>
      <c r="I964" s="16" t="str">
        <f t="shared" si="383"/>
        <v>Functional</v>
      </c>
      <c r="J964" s="13" t="s">
        <v>29</v>
      </c>
      <c r="K964" s="13" t="s">
        <v>281</v>
      </c>
      <c r="L964" s="13" t="s">
        <v>0</v>
      </c>
      <c r="M964" s="13" t="s">
        <v>0</v>
      </c>
      <c r="N964" s="15" t="s">
        <v>0</v>
      </c>
      <c r="O964" s="13" t="s">
        <v>0</v>
      </c>
      <c r="P964" s="13" t="s">
        <v>0</v>
      </c>
      <c r="Q964" s="13" t="s">
        <v>0</v>
      </c>
      <c r="R964" s="15" t="s">
        <v>0</v>
      </c>
      <c r="S964" s="10" t="s">
        <v>1</v>
      </c>
      <c r="T964" s="10" t="s">
        <v>32</v>
      </c>
      <c r="U964" s="5" t="str">
        <f t="shared" si="392"/>
        <v>Propriedade destinada a identificar: é.carteira.de.trabalho</v>
      </c>
      <c r="V964" s="5" t="str">
        <f t="shared" si="393"/>
        <v>Dado para identificar:  carteira.de.trabalho  Deve ser formatado como (rdfs:Literal  or  xsd:string)</v>
      </c>
      <c r="W964" s="5" t="s">
        <v>5753</v>
      </c>
      <c r="X964" s="24" t="str">
        <f t="shared" si="394"/>
        <v>ident.104</v>
      </c>
      <c r="Y964" s="24" t="str">
        <f t="shared" si="395"/>
        <v>Ação de identificar</v>
      </c>
      <c r="Z964" s="47" t="s">
        <v>3659</v>
      </c>
      <c r="AA964" s="25" t="str">
        <f t="shared" si="386"/>
        <v>null</v>
      </c>
      <c r="AB964" s="26" t="s">
        <v>0</v>
      </c>
      <c r="AC964" s="25" t="str">
        <f t="shared" si="387"/>
        <v>null</v>
      </c>
      <c r="AD964" s="26" t="s">
        <v>0</v>
      </c>
      <c r="AE964" s="25" t="str">
        <f t="shared" si="382"/>
        <v>null</v>
      </c>
      <c r="AF964" s="26" t="s">
        <v>0</v>
      </c>
      <c r="AG964" s="47" t="s">
        <v>2854</v>
      </c>
    </row>
    <row r="965" spans="1:33" ht="6.9" customHeight="1" x14ac:dyDescent="0.4">
      <c r="A965" s="4">
        <f>ROW()</f>
        <v>965</v>
      </c>
      <c r="B965" s="9" t="s">
        <v>27</v>
      </c>
      <c r="C965" s="55" t="str">
        <f t="shared" si="391"/>
        <v>p.identificar</v>
      </c>
      <c r="D965" s="6" t="str">
        <f t="shared" si="384"/>
        <v>é.chefe</v>
      </c>
      <c r="E965" s="8" t="s">
        <v>28</v>
      </c>
      <c r="F965" s="42" t="str">
        <f t="shared" si="390"/>
        <v>d.identificar</v>
      </c>
      <c r="G965" s="18" t="s">
        <v>474</v>
      </c>
      <c r="H965" s="41" t="s">
        <v>2121</v>
      </c>
      <c r="I965" s="16" t="str">
        <f t="shared" si="383"/>
        <v>null</v>
      </c>
      <c r="J965" s="15" t="s">
        <v>0</v>
      </c>
      <c r="K965" s="15" t="s">
        <v>0</v>
      </c>
      <c r="L965" s="13" t="s">
        <v>0</v>
      </c>
      <c r="M965" s="13" t="s">
        <v>0</v>
      </c>
      <c r="N965" s="15" t="s">
        <v>0</v>
      </c>
      <c r="O965" s="13" t="s">
        <v>0</v>
      </c>
      <c r="P965" s="13" t="s">
        <v>0</v>
      </c>
      <c r="Q965" s="13" t="s">
        <v>0</v>
      </c>
      <c r="R965" s="15" t="s">
        <v>0</v>
      </c>
      <c r="S965" s="10" t="s">
        <v>1</v>
      </c>
      <c r="T965" s="10" t="s">
        <v>32</v>
      </c>
      <c r="U965" s="5" t="str">
        <f t="shared" si="392"/>
        <v>Propriedade destinada a identificar: é.chefe</v>
      </c>
      <c r="V965" s="5" t="str">
        <f t="shared" si="393"/>
        <v>Dado para identificar:  chefe  Deve ser formatado como (rdfs:Literal  or  xsd:string)</v>
      </c>
      <c r="W965" s="5" t="s">
        <v>5754</v>
      </c>
      <c r="X965" s="24" t="str">
        <f t="shared" si="394"/>
        <v>ident.105</v>
      </c>
      <c r="Y965" s="24" t="str">
        <f t="shared" si="395"/>
        <v>Ação de identificar</v>
      </c>
      <c r="Z965" s="47" t="s">
        <v>3660</v>
      </c>
      <c r="AA965" s="25" t="str">
        <f t="shared" si="386"/>
        <v>null</v>
      </c>
      <c r="AB965" s="26" t="s">
        <v>0</v>
      </c>
      <c r="AC965" s="25" t="str">
        <f t="shared" si="387"/>
        <v>null</v>
      </c>
      <c r="AD965" s="26" t="s">
        <v>0</v>
      </c>
      <c r="AE965" s="25" t="str">
        <f t="shared" si="382"/>
        <v>null</v>
      </c>
      <c r="AF965" s="26" t="s">
        <v>0</v>
      </c>
      <c r="AG965" s="47" t="s">
        <v>3744</v>
      </c>
    </row>
    <row r="966" spans="1:33" ht="6.9" customHeight="1" x14ac:dyDescent="0.4">
      <c r="A966" s="4">
        <f>ROW()</f>
        <v>966</v>
      </c>
      <c r="B966" s="9" t="s">
        <v>27</v>
      </c>
      <c r="C966" s="55" t="str">
        <f t="shared" si="391"/>
        <v>p.identificar</v>
      </c>
      <c r="D966" s="6" t="str">
        <f t="shared" si="384"/>
        <v>é.cnh</v>
      </c>
      <c r="E966" s="8" t="s">
        <v>28</v>
      </c>
      <c r="F966" s="42" t="str">
        <f t="shared" si="390"/>
        <v>d.identificar</v>
      </c>
      <c r="G966" s="18" t="s">
        <v>395</v>
      </c>
      <c r="H966" s="41" t="s">
        <v>2121</v>
      </c>
      <c r="I966" s="16" t="str">
        <f t="shared" si="383"/>
        <v>Functional</v>
      </c>
      <c r="J966" s="13" t="s">
        <v>29</v>
      </c>
      <c r="K966" s="13" t="s">
        <v>281</v>
      </c>
      <c r="L966" s="13" t="s">
        <v>0</v>
      </c>
      <c r="M966" s="13" t="s">
        <v>0</v>
      </c>
      <c r="N966" s="15" t="s">
        <v>0</v>
      </c>
      <c r="O966" s="13" t="s">
        <v>0</v>
      </c>
      <c r="P966" s="13" t="s">
        <v>0</v>
      </c>
      <c r="Q966" s="13" t="s">
        <v>0</v>
      </c>
      <c r="R966" s="15" t="s">
        <v>0</v>
      </c>
      <c r="S966" s="10" t="s">
        <v>1</v>
      </c>
      <c r="T966" s="10" t="s">
        <v>32</v>
      </c>
      <c r="U966" s="5" t="str">
        <f t="shared" si="392"/>
        <v>Propriedade destinada a identificar: é.cnh</v>
      </c>
      <c r="V966" s="5" t="str">
        <f t="shared" si="393"/>
        <v>Dado para identificar:  cnh  Deve ser formatado como (rdfs:Literal  or  xsd:string)</v>
      </c>
      <c r="W966" s="5" t="s">
        <v>5755</v>
      </c>
      <c r="X966" s="24" t="str">
        <f t="shared" si="394"/>
        <v>ident.106</v>
      </c>
      <c r="Y966" s="24" t="str">
        <f t="shared" si="395"/>
        <v>Ação de identificar</v>
      </c>
      <c r="Z966" s="47" t="s">
        <v>3661</v>
      </c>
      <c r="AA966" s="25" t="str">
        <f t="shared" si="386"/>
        <v>null</v>
      </c>
      <c r="AB966" s="26" t="s">
        <v>0</v>
      </c>
      <c r="AC966" s="25" t="str">
        <f t="shared" si="387"/>
        <v>null</v>
      </c>
      <c r="AD966" s="26" t="s">
        <v>0</v>
      </c>
      <c r="AE966" s="25" t="str">
        <f t="shared" si="382"/>
        <v>null</v>
      </c>
      <c r="AF966" s="26" t="s">
        <v>0</v>
      </c>
      <c r="AG966" s="47" t="s">
        <v>2855</v>
      </c>
    </row>
    <row r="967" spans="1:33" ht="6.9" customHeight="1" x14ac:dyDescent="0.4">
      <c r="A967" s="4">
        <f>ROW()</f>
        <v>967</v>
      </c>
      <c r="B967" s="9" t="s">
        <v>27</v>
      </c>
      <c r="C967" s="55" t="str">
        <f t="shared" si="391"/>
        <v>p.identificar</v>
      </c>
      <c r="D967" s="6" t="str">
        <f t="shared" si="384"/>
        <v>é.cnpj</v>
      </c>
      <c r="E967" s="8" t="s">
        <v>28</v>
      </c>
      <c r="F967" s="42" t="str">
        <f t="shared" si="390"/>
        <v>d.identificar</v>
      </c>
      <c r="G967" s="18" t="s">
        <v>92</v>
      </c>
      <c r="H967" s="41" t="s">
        <v>2121</v>
      </c>
      <c r="I967" s="16" t="str">
        <f t="shared" si="383"/>
        <v>Functional</v>
      </c>
      <c r="J967" s="13" t="s">
        <v>29</v>
      </c>
      <c r="K967" s="13" t="s">
        <v>281</v>
      </c>
      <c r="L967" s="13" t="s">
        <v>0</v>
      </c>
      <c r="M967" s="13" t="s">
        <v>0</v>
      </c>
      <c r="N967" s="15" t="s">
        <v>0</v>
      </c>
      <c r="O967" s="13" t="s">
        <v>0</v>
      </c>
      <c r="P967" s="13" t="s">
        <v>0</v>
      </c>
      <c r="Q967" s="13" t="s">
        <v>0</v>
      </c>
      <c r="R967" s="15" t="s">
        <v>0</v>
      </c>
      <c r="S967" s="10" t="s">
        <v>1</v>
      </c>
      <c r="T967" s="10" t="s">
        <v>32</v>
      </c>
      <c r="U967" s="5" t="str">
        <f t="shared" si="392"/>
        <v>Propriedade destinada a identificar: é.cnpj</v>
      </c>
      <c r="V967" s="5" t="str">
        <f t="shared" si="393"/>
        <v>Dado para identificar:  cnpj  Deve ser formatado como (rdfs:Literal  or  xsd:string)</v>
      </c>
      <c r="W967" s="5" t="s">
        <v>5756</v>
      </c>
      <c r="X967" s="24" t="str">
        <f t="shared" si="394"/>
        <v>ident.107</v>
      </c>
      <c r="Y967" s="24" t="str">
        <f t="shared" si="395"/>
        <v>Ação de identificar</v>
      </c>
      <c r="Z967" s="47" t="s">
        <v>1519</v>
      </c>
      <c r="AA967" s="25" t="str">
        <f t="shared" si="386"/>
        <v>null</v>
      </c>
      <c r="AB967" s="26" t="s">
        <v>0</v>
      </c>
      <c r="AC967" s="25" t="str">
        <f t="shared" si="387"/>
        <v>null</v>
      </c>
      <c r="AD967" s="26" t="s">
        <v>0</v>
      </c>
      <c r="AE967" s="25" t="str">
        <f t="shared" si="382"/>
        <v>null</v>
      </c>
      <c r="AF967" s="26" t="s">
        <v>0</v>
      </c>
      <c r="AG967" s="47" t="s">
        <v>2856</v>
      </c>
    </row>
    <row r="968" spans="1:33" ht="6.9" customHeight="1" x14ac:dyDescent="0.4">
      <c r="A968" s="4">
        <f>ROW()</f>
        <v>968</v>
      </c>
      <c r="B968" s="9" t="s">
        <v>27</v>
      </c>
      <c r="C968" s="55" t="str">
        <f t="shared" si="391"/>
        <v>p.identificar</v>
      </c>
      <c r="D968" s="6" t="str">
        <f t="shared" si="384"/>
        <v>é.código</v>
      </c>
      <c r="E968" s="8" t="s">
        <v>28</v>
      </c>
      <c r="F968" s="42" t="str">
        <f t="shared" si="390"/>
        <v>d.identificar</v>
      </c>
      <c r="G968" s="18" t="s">
        <v>135</v>
      </c>
      <c r="H968" s="41" t="s">
        <v>2121</v>
      </c>
      <c r="I968" s="16" t="str">
        <f t="shared" si="383"/>
        <v>Functional</v>
      </c>
      <c r="J968" s="13" t="s">
        <v>29</v>
      </c>
      <c r="K968" s="13" t="s">
        <v>0</v>
      </c>
      <c r="L968" s="13" t="s">
        <v>0</v>
      </c>
      <c r="M968" s="13" t="s">
        <v>0</v>
      </c>
      <c r="N968" s="15" t="s">
        <v>0</v>
      </c>
      <c r="O968" s="13" t="s">
        <v>0</v>
      </c>
      <c r="P968" s="13" t="s">
        <v>0</v>
      </c>
      <c r="Q968" s="13" t="s">
        <v>0</v>
      </c>
      <c r="R968" s="15" t="s">
        <v>0</v>
      </c>
      <c r="S968" s="10" t="s">
        <v>1</v>
      </c>
      <c r="T968" s="10" t="s">
        <v>32</v>
      </c>
      <c r="U968" s="5" t="str">
        <f t="shared" si="392"/>
        <v>Propriedade destinada a identificar: é.código</v>
      </c>
      <c r="V968" s="5" t="str">
        <f t="shared" si="393"/>
        <v>Dado para identificar:  código  Deve ser formatado como (rdfs:Literal  or  xsd:string)</v>
      </c>
      <c r="W968" s="5" t="s">
        <v>5757</v>
      </c>
      <c r="X968" s="24" t="str">
        <f t="shared" si="394"/>
        <v>ident.108</v>
      </c>
      <c r="Y968" s="24" t="str">
        <f t="shared" si="395"/>
        <v>Ação de identificar</v>
      </c>
      <c r="Z968" s="47" t="s">
        <v>1508</v>
      </c>
      <c r="AA968" s="25" t="str">
        <f t="shared" si="386"/>
        <v>null</v>
      </c>
      <c r="AB968" s="26" t="s">
        <v>0</v>
      </c>
      <c r="AC968" s="25" t="str">
        <f t="shared" si="387"/>
        <v>null</v>
      </c>
      <c r="AD968" s="26" t="s">
        <v>0</v>
      </c>
      <c r="AE968" s="25" t="str">
        <f t="shared" ref="AE968:AE1031" si="396">IF(AF968="null", "null", "propriedade")</f>
        <v>propriedade</v>
      </c>
      <c r="AF968" s="26" t="s">
        <v>2439</v>
      </c>
      <c r="AG968" s="47" t="s">
        <v>2852</v>
      </c>
    </row>
    <row r="969" spans="1:33" ht="6.9" customHeight="1" x14ac:dyDescent="0.4">
      <c r="A969" s="4">
        <f>ROW()</f>
        <v>969</v>
      </c>
      <c r="B969" s="9" t="s">
        <v>27</v>
      </c>
      <c r="C969" s="55" t="str">
        <f t="shared" si="391"/>
        <v>p.identificar</v>
      </c>
      <c r="D969" s="6" t="str">
        <f t="shared" si="384"/>
        <v>é.codificada</v>
      </c>
      <c r="E969" s="8" t="s">
        <v>28</v>
      </c>
      <c r="F969" s="42" t="str">
        <f t="shared" si="390"/>
        <v>d.identificar</v>
      </c>
      <c r="G969" s="18" t="s">
        <v>2137</v>
      </c>
      <c r="H969" s="41" t="s">
        <v>2121</v>
      </c>
      <c r="I969" s="16" t="str">
        <f t="shared" si="383"/>
        <v>null</v>
      </c>
      <c r="J969" s="13" t="s">
        <v>0</v>
      </c>
      <c r="K969" s="13" t="s">
        <v>0</v>
      </c>
      <c r="L969" s="13" t="s">
        <v>0</v>
      </c>
      <c r="M969" s="13" t="s">
        <v>0</v>
      </c>
      <c r="N969" s="15" t="s">
        <v>0</v>
      </c>
      <c r="O969" s="13" t="s">
        <v>0</v>
      </c>
      <c r="P969" s="13" t="s">
        <v>0</v>
      </c>
      <c r="Q969" s="13" t="s">
        <v>0</v>
      </c>
      <c r="R969" s="15" t="s">
        <v>2138</v>
      </c>
      <c r="S969" s="10" t="s">
        <v>1</v>
      </c>
      <c r="T969" s="10" t="s">
        <v>32</v>
      </c>
      <c r="U969" s="5" t="str">
        <f t="shared" si="392"/>
        <v>Propriedade destinada a identificar: é.codificada</v>
      </c>
      <c r="V969" s="5" t="str">
        <f t="shared" si="393"/>
        <v>Dado para identificar:  codificada  Deve ser formatado como (rdfs:Literal  or  xsd:string)</v>
      </c>
      <c r="W969" s="5" t="s">
        <v>5758</v>
      </c>
      <c r="X969" s="24" t="str">
        <f t="shared" si="394"/>
        <v>ident.109</v>
      </c>
      <c r="Y969" s="24" t="str">
        <f t="shared" si="395"/>
        <v>Ação de identificar</v>
      </c>
      <c r="Z969" s="47" t="s">
        <v>1509</v>
      </c>
      <c r="AA969" s="25" t="str">
        <f t="shared" si="386"/>
        <v>null</v>
      </c>
      <c r="AB969" s="26" t="s">
        <v>0</v>
      </c>
      <c r="AC969" s="25" t="str">
        <f t="shared" si="387"/>
        <v>null</v>
      </c>
      <c r="AD969" s="26" t="s">
        <v>0</v>
      </c>
      <c r="AE969" s="25" t="str">
        <f t="shared" si="396"/>
        <v>null</v>
      </c>
      <c r="AF969" s="26" t="s">
        <v>0</v>
      </c>
      <c r="AG969" s="47" t="s">
        <v>2857</v>
      </c>
    </row>
    <row r="970" spans="1:33" ht="6.9" customHeight="1" x14ac:dyDescent="0.4">
      <c r="A970" s="4">
        <f>ROW()</f>
        <v>970</v>
      </c>
      <c r="B970" s="9" t="s">
        <v>27</v>
      </c>
      <c r="C970" s="55" t="str">
        <f t="shared" si="391"/>
        <v>p.identificar</v>
      </c>
      <c r="D970" s="6" t="str">
        <f t="shared" si="384"/>
        <v>é.codificado</v>
      </c>
      <c r="E970" s="8" t="s">
        <v>28</v>
      </c>
      <c r="F970" s="42" t="str">
        <f t="shared" si="390"/>
        <v>d.identificar</v>
      </c>
      <c r="G970" s="18" t="s">
        <v>2123</v>
      </c>
      <c r="H970" s="41" t="s">
        <v>2121</v>
      </c>
      <c r="I970" s="16" t="str">
        <f t="shared" ref="I970:I1036" si="397">J970</f>
        <v>null</v>
      </c>
      <c r="J970" s="13" t="s">
        <v>0</v>
      </c>
      <c r="K970" s="13" t="s">
        <v>0</v>
      </c>
      <c r="L970" s="13" t="s">
        <v>0</v>
      </c>
      <c r="M970" s="13" t="s">
        <v>0</v>
      </c>
      <c r="N970" s="15" t="s">
        <v>0</v>
      </c>
      <c r="O970" s="13" t="s">
        <v>0</v>
      </c>
      <c r="P970" s="13" t="s">
        <v>0</v>
      </c>
      <c r="Q970" s="13" t="s">
        <v>0</v>
      </c>
      <c r="R970" s="15" t="s">
        <v>2139</v>
      </c>
      <c r="S970" s="10" t="s">
        <v>1</v>
      </c>
      <c r="T970" s="10" t="s">
        <v>32</v>
      </c>
      <c r="U970" s="5" t="str">
        <f t="shared" si="392"/>
        <v>Propriedade destinada a identificar: é.codificado</v>
      </c>
      <c r="V970" s="5" t="str">
        <f t="shared" si="393"/>
        <v>Dado para identificar:  codificado  Deve ser formatado como (rdfs:Literal  or  xsd:string)</v>
      </c>
      <c r="W970" s="5" t="s">
        <v>5758</v>
      </c>
      <c r="X970" s="24" t="str">
        <f t="shared" si="394"/>
        <v>ident.110</v>
      </c>
      <c r="Y970" s="24" t="str">
        <f t="shared" si="395"/>
        <v>Ação de identificar</v>
      </c>
      <c r="Z970" s="47" t="s">
        <v>1509</v>
      </c>
      <c r="AA970" s="25" t="str">
        <f t="shared" si="386"/>
        <v>null</v>
      </c>
      <c r="AB970" s="26" t="s">
        <v>0</v>
      </c>
      <c r="AC970" s="25" t="str">
        <f t="shared" si="387"/>
        <v>null</v>
      </c>
      <c r="AD970" s="26" t="s">
        <v>0</v>
      </c>
      <c r="AE970" s="25" t="str">
        <f t="shared" si="396"/>
        <v>null</v>
      </c>
      <c r="AF970" s="26" t="s">
        <v>0</v>
      </c>
      <c r="AG970" s="47" t="s">
        <v>2857</v>
      </c>
    </row>
    <row r="971" spans="1:33" ht="6.9" customHeight="1" x14ac:dyDescent="0.4">
      <c r="A971" s="4">
        <f>ROW()</f>
        <v>971</v>
      </c>
      <c r="B971" s="9" t="s">
        <v>27</v>
      </c>
      <c r="C971" s="55" t="str">
        <f t="shared" si="391"/>
        <v>p.identificar</v>
      </c>
      <c r="D971" s="6" t="str">
        <f t="shared" si="384"/>
        <v>é.código.abnt</v>
      </c>
      <c r="E971" s="8" t="s">
        <v>28</v>
      </c>
      <c r="F971" s="42" t="str">
        <f t="shared" si="390"/>
        <v>d.identificar</v>
      </c>
      <c r="G971" s="18" t="s">
        <v>2261</v>
      </c>
      <c r="H971" s="41" t="s">
        <v>2121</v>
      </c>
      <c r="I971" s="16" t="str">
        <f t="shared" si="397"/>
        <v>null</v>
      </c>
      <c r="J971" s="13" t="s">
        <v>0</v>
      </c>
      <c r="K971" s="13" t="s">
        <v>0</v>
      </c>
      <c r="L971" s="13" t="s">
        <v>0</v>
      </c>
      <c r="M971" s="13" t="s">
        <v>0</v>
      </c>
      <c r="N971" s="15" t="s">
        <v>0</v>
      </c>
      <c r="O971" s="13" t="s">
        <v>0</v>
      </c>
      <c r="P971" s="13" t="s">
        <v>0</v>
      </c>
      <c r="Q971" s="13" t="s">
        <v>0</v>
      </c>
      <c r="R971" s="15" t="s">
        <v>0</v>
      </c>
      <c r="S971" s="10" t="s">
        <v>1</v>
      </c>
      <c r="T971" s="10" t="s">
        <v>32</v>
      </c>
      <c r="U971" s="5" t="str">
        <f t="shared" si="392"/>
        <v>Propriedade destinada a identificar: é.código.abnt</v>
      </c>
      <c r="V971" s="5" t="str">
        <f t="shared" si="393"/>
        <v>Dado para identificar:  código.abnt  Deve ser formatado como (rdfs:Literal  or  xsd:string)</v>
      </c>
      <c r="W971" s="5" t="s">
        <v>5759</v>
      </c>
      <c r="X971" s="24" t="str">
        <f t="shared" si="394"/>
        <v>ident.111</v>
      </c>
      <c r="Y971" s="24" t="str">
        <f t="shared" si="395"/>
        <v>Ação de identificar</v>
      </c>
      <c r="Z971" s="47" t="s">
        <v>3662</v>
      </c>
      <c r="AA971" s="25" t="str">
        <f t="shared" si="386"/>
        <v>null</v>
      </c>
      <c r="AB971" s="26" t="s">
        <v>0</v>
      </c>
      <c r="AC971" s="25" t="str">
        <f t="shared" si="387"/>
        <v>null</v>
      </c>
      <c r="AD971" s="26" t="s">
        <v>0</v>
      </c>
      <c r="AE971" s="25" t="str">
        <f t="shared" si="396"/>
        <v>null</v>
      </c>
      <c r="AF971" s="26" t="s">
        <v>0</v>
      </c>
      <c r="AG971" s="47" t="s">
        <v>3745</v>
      </c>
    </row>
    <row r="972" spans="1:33" ht="6.9" customHeight="1" x14ac:dyDescent="0.4">
      <c r="A972" s="4">
        <f>ROW()</f>
        <v>972</v>
      </c>
      <c r="B972" s="9" t="s">
        <v>27</v>
      </c>
      <c r="C972" s="55" t="str">
        <f t="shared" si="391"/>
        <v>p.identificar</v>
      </c>
      <c r="D972" s="6" t="str">
        <f t="shared" si="384"/>
        <v>é.código.sinapi</v>
      </c>
      <c r="E972" s="8" t="s">
        <v>28</v>
      </c>
      <c r="F972" s="42" t="str">
        <f t="shared" si="390"/>
        <v>d.identificar</v>
      </c>
      <c r="G972" s="18" t="s">
        <v>3402</v>
      </c>
      <c r="H972" s="41" t="s">
        <v>2121</v>
      </c>
      <c r="I972" s="16" t="str">
        <f t="shared" si="397"/>
        <v>null</v>
      </c>
      <c r="J972" s="13" t="s">
        <v>0</v>
      </c>
      <c r="K972" s="13" t="s">
        <v>0</v>
      </c>
      <c r="L972" s="13" t="s">
        <v>0</v>
      </c>
      <c r="M972" s="13" t="s">
        <v>0</v>
      </c>
      <c r="N972" s="15" t="s">
        <v>0</v>
      </c>
      <c r="O972" s="13" t="s">
        <v>0</v>
      </c>
      <c r="P972" s="13" t="s">
        <v>0</v>
      </c>
      <c r="Q972" s="13" t="s">
        <v>0</v>
      </c>
      <c r="R972" s="15" t="s">
        <v>0</v>
      </c>
      <c r="S972" s="10" t="s">
        <v>1</v>
      </c>
      <c r="T972" s="10" t="s">
        <v>32</v>
      </c>
      <c r="U972" s="5" t="str">
        <f t="shared" si="392"/>
        <v>Propriedade destinada a identificar: é.código.sinapi</v>
      </c>
      <c r="V972" s="5" t="str">
        <f t="shared" si="393"/>
        <v>Dado para identificar:  código.sinapi  Deve ser formatado como (rdfs:Literal  or  xsd:string)</v>
      </c>
      <c r="W972" s="5" t="s">
        <v>5760</v>
      </c>
      <c r="X972" s="24" t="str">
        <f t="shared" si="394"/>
        <v>ident.112</v>
      </c>
      <c r="Y972" s="24" t="str">
        <f t="shared" si="395"/>
        <v>Ação de identificar</v>
      </c>
      <c r="Z972" s="47" t="s">
        <v>3663</v>
      </c>
      <c r="AA972" s="25" t="str">
        <f t="shared" si="386"/>
        <v>null</v>
      </c>
      <c r="AB972" s="26" t="s">
        <v>0</v>
      </c>
      <c r="AC972" s="25" t="str">
        <f t="shared" si="387"/>
        <v>null</v>
      </c>
      <c r="AD972" s="26" t="s">
        <v>0</v>
      </c>
      <c r="AE972" s="25" t="str">
        <f t="shared" si="396"/>
        <v>null</v>
      </c>
      <c r="AF972" s="26" t="s">
        <v>0</v>
      </c>
      <c r="AG972" s="47" t="s">
        <v>3746</v>
      </c>
    </row>
    <row r="973" spans="1:33" ht="6.9" customHeight="1" x14ac:dyDescent="0.4">
      <c r="A973" s="4">
        <f>ROW()</f>
        <v>973</v>
      </c>
      <c r="B973" s="9" t="s">
        <v>27</v>
      </c>
      <c r="C973" s="55" t="str">
        <f t="shared" si="391"/>
        <v>p.identificar</v>
      </c>
      <c r="D973" s="6" t="str">
        <f t="shared" si="384"/>
        <v>é.cpf</v>
      </c>
      <c r="E973" s="8" t="s">
        <v>28</v>
      </c>
      <c r="F973" s="42" t="str">
        <f t="shared" si="390"/>
        <v>d.identificar</v>
      </c>
      <c r="G973" s="18" t="s">
        <v>93</v>
      </c>
      <c r="H973" s="41" t="s">
        <v>2121</v>
      </c>
      <c r="I973" s="16" t="str">
        <f t="shared" si="397"/>
        <v>Functional</v>
      </c>
      <c r="J973" s="13" t="s">
        <v>29</v>
      </c>
      <c r="K973" s="13" t="s">
        <v>281</v>
      </c>
      <c r="L973" s="13" t="s">
        <v>0</v>
      </c>
      <c r="M973" s="13" t="s">
        <v>0</v>
      </c>
      <c r="N973" s="15" t="s">
        <v>0</v>
      </c>
      <c r="O973" s="13" t="s">
        <v>0</v>
      </c>
      <c r="P973" s="13" t="s">
        <v>0</v>
      </c>
      <c r="Q973" s="13" t="s">
        <v>0</v>
      </c>
      <c r="R973" s="15" t="s">
        <v>0</v>
      </c>
      <c r="S973" s="10" t="s">
        <v>1</v>
      </c>
      <c r="T973" s="10" t="s">
        <v>32</v>
      </c>
      <c r="U973" s="5" t="str">
        <f t="shared" si="392"/>
        <v>Propriedade destinada a identificar: é.cpf</v>
      </c>
      <c r="V973" s="5" t="str">
        <f t="shared" si="393"/>
        <v>Dado para identificar:  cpf  Deve ser formatado como (rdfs:Literal  or  xsd:string)</v>
      </c>
      <c r="W973" s="5" t="s">
        <v>5761</v>
      </c>
      <c r="X973" s="24" t="str">
        <f t="shared" si="394"/>
        <v>ident.113</v>
      </c>
      <c r="Y973" s="24" t="str">
        <f t="shared" si="395"/>
        <v>Ação de identificar</v>
      </c>
      <c r="Z973" s="47" t="s">
        <v>3664</v>
      </c>
      <c r="AA973" s="25" t="str">
        <f t="shared" si="386"/>
        <v>null</v>
      </c>
      <c r="AB973" s="26" t="s">
        <v>0</v>
      </c>
      <c r="AC973" s="25" t="str">
        <f t="shared" si="387"/>
        <v>null</v>
      </c>
      <c r="AD973" s="26" t="s">
        <v>0</v>
      </c>
      <c r="AE973" s="25" t="str">
        <f t="shared" si="396"/>
        <v>null</v>
      </c>
      <c r="AF973" s="26" t="s">
        <v>0</v>
      </c>
      <c r="AG973" s="47" t="s">
        <v>2858</v>
      </c>
    </row>
    <row r="974" spans="1:33" ht="6.9" customHeight="1" x14ac:dyDescent="0.4">
      <c r="A974" s="4">
        <f>ROW()</f>
        <v>974</v>
      </c>
      <c r="B974" s="9" t="s">
        <v>27</v>
      </c>
      <c r="C974" s="55" t="str">
        <f t="shared" si="391"/>
        <v>p.identificar</v>
      </c>
      <c r="D974" s="6" t="str">
        <f t="shared" si="384"/>
        <v>é.equipe</v>
      </c>
      <c r="E974" s="8" t="s">
        <v>28</v>
      </c>
      <c r="F974" s="42" t="str">
        <f t="shared" si="390"/>
        <v>d.identificar</v>
      </c>
      <c r="G974" s="18" t="s">
        <v>473</v>
      </c>
      <c r="H974" s="41" t="s">
        <v>2121</v>
      </c>
      <c r="I974" s="16" t="str">
        <f t="shared" si="397"/>
        <v>null</v>
      </c>
      <c r="J974" s="13" t="s">
        <v>0</v>
      </c>
      <c r="K974" s="13" t="s">
        <v>0</v>
      </c>
      <c r="L974" s="13" t="s">
        <v>0</v>
      </c>
      <c r="M974" s="13" t="s">
        <v>0</v>
      </c>
      <c r="N974" s="15" t="s">
        <v>0</v>
      </c>
      <c r="O974" s="13" t="s">
        <v>0</v>
      </c>
      <c r="P974" s="13" t="s">
        <v>0</v>
      </c>
      <c r="Q974" s="13" t="s">
        <v>0</v>
      </c>
      <c r="R974" s="15" t="s">
        <v>0</v>
      </c>
      <c r="S974" s="10" t="s">
        <v>1</v>
      </c>
      <c r="T974" s="10" t="s">
        <v>32</v>
      </c>
      <c r="U974" s="5" t="str">
        <f t="shared" si="392"/>
        <v>Propriedade destinada a identificar: é.equipe</v>
      </c>
      <c r="V974" s="5" t="str">
        <f t="shared" si="393"/>
        <v>Dado para identificar:  equipe  Deve ser formatado como (rdfs:Literal  or  xsd:string)</v>
      </c>
      <c r="W974" s="5" t="s">
        <v>5762</v>
      </c>
      <c r="X974" s="24" t="str">
        <f t="shared" si="394"/>
        <v>ident.114</v>
      </c>
      <c r="Y974" s="24" t="str">
        <f t="shared" si="395"/>
        <v>Ação de identificar</v>
      </c>
      <c r="Z974" s="47" t="s">
        <v>1515</v>
      </c>
      <c r="AA974" s="25" t="str">
        <f t="shared" si="386"/>
        <v>null</v>
      </c>
      <c r="AB974" s="26" t="s">
        <v>0</v>
      </c>
      <c r="AC974" s="25" t="str">
        <f t="shared" si="387"/>
        <v>null</v>
      </c>
      <c r="AD974" s="26" t="s">
        <v>0</v>
      </c>
      <c r="AE974" s="25" t="str">
        <f t="shared" si="396"/>
        <v>null</v>
      </c>
      <c r="AF974" s="26" t="s">
        <v>0</v>
      </c>
      <c r="AG974" s="47" t="s">
        <v>2859</v>
      </c>
    </row>
    <row r="975" spans="1:33" ht="6.9" customHeight="1" x14ac:dyDescent="0.4">
      <c r="A975" s="4">
        <f>ROW()</f>
        <v>975</v>
      </c>
      <c r="B975" s="9" t="s">
        <v>27</v>
      </c>
      <c r="C975" s="55" t="str">
        <f t="shared" si="391"/>
        <v>p.identificar</v>
      </c>
      <c r="D975" s="6" t="str">
        <f t="shared" ref="D975:D1038" si="398">_xlfn.CONCAT("é.",G975)</f>
        <v>é.género</v>
      </c>
      <c r="E975" s="8" t="s">
        <v>28</v>
      </c>
      <c r="F975" s="42" t="str">
        <f t="shared" si="390"/>
        <v>d.identificar</v>
      </c>
      <c r="G975" s="18" t="s">
        <v>139</v>
      </c>
      <c r="H975" s="41" t="s">
        <v>2121</v>
      </c>
      <c r="I975" s="16" t="str">
        <f t="shared" si="397"/>
        <v>Functional</v>
      </c>
      <c r="J975" s="13" t="s">
        <v>29</v>
      </c>
      <c r="K975" s="13" t="s">
        <v>0</v>
      </c>
      <c r="L975" s="13" t="s">
        <v>0</v>
      </c>
      <c r="M975" s="13" t="s">
        <v>0</v>
      </c>
      <c r="N975" s="15" t="s">
        <v>0</v>
      </c>
      <c r="O975" s="13" t="s">
        <v>0</v>
      </c>
      <c r="P975" s="13" t="s">
        <v>0</v>
      </c>
      <c r="Q975" s="13" t="s">
        <v>0</v>
      </c>
      <c r="R975" s="15" t="s">
        <v>0</v>
      </c>
      <c r="S975" s="10" t="s">
        <v>1</v>
      </c>
      <c r="T975" s="10" t="s">
        <v>32</v>
      </c>
      <c r="U975" s="5" t="str">
        <f t="shared" si="392"/>
        <v>Propriedade destinada a identificar: é.género</v>
      </c>
      <c r="V975" s="5" t="str">
        <f t="shared" si="393"/>
        <v>Dado para identificar:  género  Deve ser formatado como (rdfs:Literal  or  xsd:string)</v>
      </c>
      <c r="W975" s="5" t="s">
        <v>5763</v>
      </c>
      <c r="X975" s="24" t="str">
        <f t="shared" si="394"/>
        <v>ident.115</v>
      </c>
      <c r="Y975" s="24" t="str">
        <f t="shared" si="395"/>
        <v>Ação de identificar</v>
      </c>
      <c r="Z975" s="47" t="s">
        <v>1513</v>
      </c>
      <c r="AA975" s="25" t="str">
        <f t="shared" si="386"/>
        <v>null</v>
      </c>
      <c r="AB975" s="26" t="s">
        <v>0</v>
      </c>
      <c r="AC975" s="25" t="str">
        <f t="shared" si="387"/>
        <v>null</v>
      </c>
      <c r="AD975" s="26" t="s">
        <v>0</v>
      </c>
      <c r="AE975" s="25" t="str">
        <f t="shared" si="396"/>
        <v>null</v>
      </c>
      <c r="AF975" s="26" t="s">
        <v>0</v>
      </c>
      <c r="AG975" s="47" t="s">
        <v>2860</v>
      </c>
    </row>
    <row r="976" spans="1:33" ht="6.9" customHeight="1" x14ac:dyDescent="0.4">
      <c r="A976" s="4">
        <f>ROW()</f>
        <v>976</v>
      </c>
      <c r="B976" s="9" t="s">
        <v>27</v>
      </c>
      <c r="C976" s="55" t="str">
        <f t="shared" si="391"/>
        <v>p.identificar</v>
      </c>
      <c r="D976" s="6" t="str">
        <f t="shared" si="398"/>
        <v>é.id</v>
      </c>
      <c r="E976" s="8" t="s">
        <v>28</v>
      </c>
      <c r="F976" s="42" t="str">
        <f t="shared" si="390"/>
        <v>d.identificar</v>
      </c>
      <c r="G976" s="18" t="s">
        <v>4079</v>
      </c>
      <c r="H976" s="41" t="s">
        <v>2121</v>
      </c>
      <c r="I976" s="16" t="str">
        <f t="shared" si="397"/>
        <v>Functional</v>
      </c>
      <c r="J976" s="13" t="s">
        <v>29</v>
      </c>
      <c r="K976" s="13" t="s">
        <v>0</v>
      </c>
      <c r="L976" s="13" t="s">
        <v>0</v>
      </c>
      <c r="M976" s="13" t="s">
        <v>0</v>
      </c>
      <c r="N976" s="15" t="s">
        <v>0</v>
      </c>
      <c r="O976" s="13" t="s">
        <v>30</v>
      </c>
      <c r="P976" s="13" t="s">
        <v>0</v>
      </c>
      <c r="Q976" s="13" t="s">
        <v>0</v>
      </c>
      <c r="R976" s="15" t="s">
        <v>0</v>
      </c>
      <c r="S976" s="10" t="s">
        <v>1</v>
      </c>
      <c r="T976" s="10" t="s">
        <v>32</v>
      </c>
      <c r="U976" s="5" t="str">
        <f t="shared" si="392"/>
        <v>Propriedade destinada a identificar: é.id</v>
      </c>
      <c r="V976" s="5" t="str">
        <f t="shared" si="393"/>
        <v>Dado para identificar:  id  Deve ser formatado como (rdfs:Literal  or  xsd:string)</v>
      </c>
      <c r="W976" s="5" t="s">
        <v>5764</v>
      </c>
      <c r="X976" s="24" t="str">
        <f t="shared" si="394"/>
        <v>ident.116</v>
      </c>
      <c r="Y976" s="24" t="str">
        <f t="shared" si="395"/>
        <v>Ação de identificar</v>
      </c>
      <c r="Z976" s="47" t="s">
        <v>4080</v>
      </c>
      <c r="AA976" s="25" t="str">
        <f t="shared" si="386"/>
        <v>null</v>
      </c>
      <c r="AB976" s="26" t="s">
        <v>0</v>
      </c>
      <c r="AC976" s="25" t="str">
        <f t="shared" si="387"/>
        <v>null</v>
      </c>
      <c r="AD976" s="26" t="s">
        <v>0</v>
      </c>
      <c r="AE976" s="25" t="str">
        <f t="shared" si="396"/>
        <v>null</v>
      </c>
      <c r="AF976" s="26" t="s">
        <v>0</v>
      </c>
      <c r="AG976" s="47" t="s">
        <v>4031</v>
      </c>
    </row>
    <row r="977" spans="1:33" ht="6.9" customHeight="1" x14ac:dyDescent="0.4">
      <c r="A977" s="4">
        <f>ROW()</f>
        <v>977</v>
      </c>
      <c r="B977" s="9" t="s">
        <v>27</v>
      </c>
      <c r="C977" s="55" t="str">
        <f t="shared" si="391"/>
        <v>p.identificar</v>
      </c>
      <c r="D977" s="6" t="str">
        <f t="shared" si="398"/>
        <v>é.inss</v>
      </c>
      <c r="E977" s="8" t="s">
        <v>28</v>
      </c>
      <c r="F977" s="42" t="str">
        <f t="shared" si="390"/>
        <v>d.identificar</v>
      </c>
      <c r="G977" s="18" t="s">
        <v>390</v>
      </c>
      <c r="H977" s="41" t="s">
        <v>2121</v>
      </c>
      <c r="I977" s="16" t="str">
        <f t="shared" si="397"/>
        <v>Functional</v>
      </c>
      <c r="J977" s="13" t="s">
        <v>29</v>
      </c>
      <c r="K977" s="13" t="s">
        <v>281</v>
      </c>
      <c r="L977" s="13" t="s">
        <v>0</v>
      </c>
      <c r="M977" s="13" t="s">
        <v>0</v>
      </c>
      <c r="N977" s="15" t="s">
        <v>0</v>
      </c>
      <c r="O977" s="13" t="s">
        <v>0</v>
      </c>
      <c r="P977" s="13" t="s">
        <v>0</v>
      </c>
      <c r="Q977" s="13" t="s">
        <v>0</v>
      </c>
      <c r="R977" s="15" t="s">
        <v>0</v>
      </c>
      <c r="S977" s="10" t="s">
        <v>1</v>
      </c>
      <c r="T977" s="10" t="s">
        <v>32</v>
      </c>
      <c r="U977" s="5" t="str">
        <f t="shared" si="392"/>
        <v>Propriedade destinada a identificar: é.inss</v>
      </c>
      <c r="V977" s="5" t="str">
        <f t="shared" si="393"/>
        <v>Dado para identificar:  inss  Deve ser formatado como (rdfs:Literal  or  xsd:string)</v>
      </c>
      <c r="W977" s="5" t="s">
        <v>5765</v>
      </c>
      <c r="X977" s="24" t="str">
        <f t="shared" si="394"/>
        <v>ident.117</v>
      </c>
      <c r="Y977" s="24" t="str">
        <f t="shared" si="395"/>
        <v>Ação de identificar</v>
      </c>
      <c r="Z977" s="47" t="s">
        <v>3665</v>
      </c>
      <c r="AA977" s="25" t="str">
        <f t="shared" si="386"/>
        <v>null</v>
      </c>
      <c r="AB977" s="26" t="s">
        <v>0</v>
      </c>
      <c r="AC977" s="25" t="str">
        <f t="shared" si="387"/>
        <v>null</v>
      </c>
      <c r="AD977" s="26" t="s">
        <v>0</v>
      </c>
      <c r="AE977" s="25" t="str">
        <f t="shared" si="396"/>
        <v>null</v>
      </c>
      <c r="AF977" s="26" t="s">
        <v>0</v>
      </c>
      <c r="AG977" s="47" t="s">
        <v>2861</v>
      </c>
    </row>
    <row r="978" spans="1:33" ht="6.9" customHeight="1" x14ac:dyDescent="0.4">
      <c r="A978" s="4">
        <f>ROW()</f>
        <v>978</v>
      </c>
      <c r="B978" s="9" t="s">
        <v>27</v>
      </c>
      <c r="C978" s="55" t="str">
        <f t="shared" si="391"/>
        <v>p.identificar</v>
      </c>
      <c r="D978" s="6" t="str">
        <f t="shared" si="398"/>
        <v>é.letra</v>
      </c>
      <c r="E978" s="8" t="s">
        <v>28</v>
      </c>
      <c r="F978" s="42" t="str">
        <f t="shared" si="390"/>
        <v>d.identificar</v>
      </c>
      <c r="G978" s="18" t="s">
        <v>2292</v>
      </c>
      <c r="H978" s="41" t="s">
        <v>2121</v>
      </c>
      <c r="I978" s="16" t="str">
        <f t="shared" si="397"/>
        <v>null</v>
      </c>
      <c r="J978" s="13" t="s">
        <v>0</v>
      </c>
      <c r="K978" s="13" t="s">
        <v>0</v>
      </c>
      <c r="L978" s="13" t="s">
        <v>0</v>
      </c>
      <c r="M978" s="13" t="s">
        <v>0</v>
      </c>
      <c r="N978" s="15" t="s">
        <v>0</v>
      </c>
      <c r="O978" s="13" t="s">
        <v>0</v>
      </c>
      <c r="P978" s="13" t="s">
        <v>0</v>
      </c>
      <c r="Q978" s="13" t="s">
        <v>0</v>
      </c>
      <c r="R978" s="15" t="s">
        <v>0</v>
      </c>
      <c r="S978" s="10" t="s">
        <v>1</v>
      </c>
      <c r="T978" s="10" t="s">
        <v>32</v>
      </c>
      <c r="U978" s="5" t="str">
        <f t="shared" si="392"/>
        <v>Propriedade destinada a identificar: é.letra</v>
      </c>
      <c r="V978" s="5" t="str">
        <f t="shared" si="393"/>
        <v>Dado para identificar:  letra  Deve ser formatado como (rdfs:Literal  or  xsd:string)</v>
      </c>
      <c r="W978" s="5" t="s">
        <v>5766</v>
      </c>
      <c r="X978" s="24" t="str">
        <f t="shared" si="394"/>
        <v>ident.118</v>
      </c>
      <c r="Y978" s="24" t="str">
        <f t="shared" si="395"/>
        <v>Ação de identificar</v>
      </c>
      <c r="Z978" s="47" t="s">
        <v>3666</v>
      </c>
      <c r="AA978" s="25" t="str">
        <f t="shared" si="386"/>
        <v>null</v>
      </c>
      <c r="AB978" s="26" t="s">
        <v>0</v>
      </c>
      <c r="AC978" s="25" t="str">
        <f t="shared" si="387"/>
        <v>null</v>
      </c>
      <c r="AD978" s="26" t="s">
        <v>0</v>
      </c>
      <c r="AE978" s="25" t="str">
        <f t="shared" si="396"/>
        <v>null</v>
      </c>
      <c r="AF978" s="26" t="s">
        <v>0</v>
      </c>
      <c r="AG978" s="47" t="s">
        <v>2862</v>
      </c>
    </row>
    <row r="979" spans="1:33" ht="6.9" customHeight="1" x14ac:dyDescent="0.4">
      <c r="A979" s="4">
        <f>ROW()</f>
        <v>979</v>
      </c>
      <c r="B979" s="9" t="s">
        <v>27</v>
      </c>
      <c r="C979" s="55" t="str">
        <f t="shared" si="391"/>
        <v>p.identificar</v>
      </c>
      <c r="D979" s="6" t="str">
        <f t="shared" si="398"/>
        <v>é.matrícula</v>
      </c>
      <c r="E979" s="8" t="s">
        <v>28</v>
      </c>
      <c r="F979" s="42" t="str">
        <f t="shared" si="390"/>
        <v>d.identificar</v>
      </c>
      <c r="G979" s="18" t="s">
        <v>142</v>
      </c>
      <c r="H979" s="41" t="s">
        <v>2121</v>
      </c>
      <c r="I979" s="16" t="str">
        <f t="shared" si="397"/>
        <v>Functional</v>
      </c>
      <c r="J979" s="13" t="s">
        <v>29</v>
      </c>
      <c r="K979" s="13" t="s">
        <v>0</v>
      </c>
      <c r="L979" s="13" t="s">
        <v>0</v>
      </c>
      <c r="M979" s="13" t="s">
        <v>0</v>
      </c>
      <c r="N979" s="15" t="s">
        <v>0</v>
      </c>
      <c r="O979" s="13" t="s">
        <v>0</v>
      </c>
      <c r="P979" s="13" t="s">
        <v>0</v>
      </c>
      <c r="Q979" s="13" t="s">
        <v>0</v>
      </c>
      <c r="R979" s="15" t="s">
        <v>0</v>
      </c>
      <c r="S979" s="10" t="s">
        <v>1</v>
      </c>
      <c r="T979" s="10" t="s">
        <v>32</v>
      </c>
      <c r="U979" s="5" t="str">
        <f t="shared" si="392"/>
        <v>Propriedade destinada a identificar: é.matrícula</v>
      </c>
      <c r="V979" s="5" t="str">
        <f t="shared" si="393"/>
        <v>Dado para identificar:  matrícula  Deve ser formatado como (rdfs:Literal  or  xsd:string)</v>
      </c>
      <c r="W979" s="5" t="s">
        <v>5767</v>
      </c>
      <c r="X979" s="24" t="str">
        <f t="shared" si="394"/>
        <v>ident.119</v>
      </c>
      <c r="Y979" s="24" t="str">
        <f t="shared" si="395"/>
        <v>Ação de identificar</v>
      </c>
      <c r="Z979" s="47" t="s">
        <v>1516</v>
      </c>
      <c r="AA979" s="25" t="str">
        <f t="shared" si="386"/>
        <v>null</v>
      </c>
      <c r="AB979" s="26" t="s">
        <v>0</v>
      </c>
      <c r="AC979" s="25" t="str">
        <f t="shared" si="387"/>
        <v>null</v>
      </c>
      <c r="AD979" s="26" t="s">
        <v>0</v>
      </c>
      <c r="AE979" s="25" t="str">
        <f t="shared" si="396"/>
        <v>null</v>
      </c>
      <c r="AF979" s="26" t="s">
        <v>0</v>
      </c>
      <c r="AG979" s="47" t="s">
        <v>2863</v>
      </c>
    </row>
    <row r="980" spans="1:33" ht="6.9" customHeight="1" x14ac:dyDescent="0.4">
      <c r="A980" s="4">
        <f>ROW()</f>
        <v>980</v>
      </c>
      <c r="B980" s="9" t="s">
        <v>27</v>
      </c>
      <c r="C980" s="55" t="str">
        <f t="shared" si="391"/>
        <v>p.identificar</v>
      </c>
      <c r="D980" s="6" t="str">
        <f t="shared" si="398"/>
        <v>é.nis</v>
      </c>
      <c r="E980" s="8" t="s">
        <v>28</v>
      </c>
      <c r="F980" s="42" t="str">
        <f t="shared" si="390"/>
        <v>d.identificar</v>
      </c>
      <c r="G980" s="18" t="s">
        <v>392</v>
      </c>
      <c r="H980" s="41" t="s">
        <v>2121</v>
      </c>
      <c r="I980" s="16" t="str">
        <f t="shared" si="397"/>
        <v>Functional</v>
      </c>
      <c r="J980" s="13" t="s">
        <v>29</v>
      </c>
      <c r="K980" s="13" t="s">
        <v>281</v>
      </c>
      <c r="L980" s="13" t="s">
        <v>0</v>
      </c>
      <c r="M980" s="13" t="s">
        <v>0</v>
      </c>
      <c r="N980" s="15" t="s">
        <v>0</v>
      </c>
      <c r="O980" s="13" t="s">
        <v>0</v>
      </c>
      <c r="P980" s="13" t="s">
        <v>0</v>
      </c>
      <c r="Q980" s="13" t="s">
        <v>0</v>
      </c>
      <c r="R980" s="15" t="s">
        <v>0</v>
      </c>
      <c r="S980" s="10" t="s">
        <v>1</v>
      </c>
      <c r="T980" s="10" t="s">
        <v>32</v>
      </c>
      <c r="U980" s="5" t="str">
        <f t="shared" si="392"/>
        <v>Propriedade destinada a identificar: é.nis</v>
      </c>
      <c r="V980" s="5" t="str">
        <f t="shared" si="393"/>
        <v>Dado para identificar:  nis  Deve ser formatado como (rdfs:Literal  or  xsd:string)</v>
      </c>
      <c r="W980" s="5" t="s">
        <v>5768</v>
      </c>
      <c r="X980" s="24" t="str">
        <f t="shared" si="394"/>
        <v>ident.120</v>
      </c>
      <c r="Y980" s="24" t="str">
        <f t="shared" si="395"/>
        <v>Ação de identificar</v>
      </c>
      <c r="Z980" s="47" t="s">
        <v>3667</v>
      </c>
      <c r="AA980" s="25" t="str">
        <f t="shared" si="386"/>
        <v>null</v>
      </c>
      <c r="AB980" s="26" t="s">
        <v>0</v>
      </c>
      <c r="AC980" s="25" t="str">
        <f t="shared" si="387"/>
        <v>null</v>
      </c>
      <c r="AD980" s="26" t="s">
        <v>0</v>
      </c>
      <c r="AE980" s="25" t="str">
        <f t="shared" si="396"/>
        <v>null</v>
      </c>
      <c r="AF980" s="26" t="s">
        <v>0</v>
      </c>
      <c r="AG980" s="47" t="s">
        <v>2864</v>
      </c>
    </row>
    <row r="981" spans="1:33" ht="6.9" customHeight="1" x14ac:dyDescent="0.4">
      <c r="A981" s="4">
        <f>ROW()</f>
        <v>981</v>
      </c>
      <c r="B981" s="9" t="s">
        <v>27</v>
      </c>
      <c r="C981" s="55" t="str">
        <f t="shared" si="391"/>
        <v>p.identificar</v>
      </c>
      <c r="D981" s="6" t="str">
        <f t="shared" si="398"/>
        <v>é.nome</v>
      </c>
      <c r="E981" s="8" t="s">
        <v>28</v>
      </c>
      <c r="F981" s="42" t="str">
        <f t="shared" si="390"/>
        <v>d.identificar</v>
      </c>
      <c r="G981" s="18" t="s">
        <v>137</v>
      </c>
      <c r="H981" s="41" t="s">
        <v>2121</v>
      </c>
      <c r="I981" s="16" t="str">
        <f t="shared" si="397"/>
        <v>null</v>
      </c>
      <c r="J981" s="13" t="s">
        <v>0</v>
      </c>
      <c r="K981" s="13" t="s">
        <v>0</v>
      </c>
      <c r="L981" s="13" t="s">
        <v>0</v>
      </c>
      <c r="M981" s="13" t="s">
        <v>0</v>
      </c>
      <c r="N981" s="15" t="s">
        <v>0</v>
      </c>
      <c r="O981" s="13" t="s">
        <v>0</v>
      </c>
      <c r="P981" s="13" t="s">
        <v>0</v>
      </c>
      <c r="Q981" s="13" t="s">
        <v>0</v>
      </c>
      <c r="R981" s="15" t="s">
        <v>0</v>
      </c>
      <c r="S981" s="10" t="s">
        <v>1</v>
      </c>
      <c r="T981" s="10" t="s">
        <v>32</v>
      </c>
      <c r="U981" s="5" t="str">
        <f t="shared" si="392"/>
        <v>Propriedade destinada a identificar: é.nome</v>
      </c>
      <c r="V981" s="5" t="str">
        <f t="shared" si="393"/>
        <v>Dado para identificar:  nome  Deve ser formatado como (rdfs:Literal  or  xsd:string)</v>
      </c>
      <c r="W981" s="5" t="s">
        <v>5769</v>
      </c>
      <c r="X981" s="24" t="str">
        <f t="shared" si="394"/>
        <v>ident.121</v>
      </c>
      <c r="Y981" s="24" t="str">
        <f t="shared" si="395"/>
        <v>Ação de identificar</v>
      </c>
      <c r="Z981" s="47" t="s">
        <v>1511</v>
      </c>
      <c r="AA981" s="25" t="str">
        <f t="shared" si="386"/>
        <v>null</v>
      </c>
      <c r="AB981" s="26" t="s">
        <v>0</v>
      </c>
      <c r="AC981" s="25" t="str">
        <f t="shared" si="387"/>
        <v>null</v>
      </c>
      <c r="AD981" s="26" t="s">
        <v>0</v>
      </c>
      <c r="AE981" s="25" t="str">
        <f t="shared" si="396"/>
        <v>null</v>
      </c>
      <c r="AF981" s="26" t="s">
        <v>0</v>
      </c>
      <c r="AG981" s="47" t="s">
        <v>2865</v>
      </c>
    </row>
    <row r="982" spans="1:33" ht="6.9" customHeight="1" x14ac:dyDescent="0.4">
      <c r="A982" s="4">
        <f>ROW()</f>
        <v>982</v>
      </c>
      <c r="B982" s="9" t="s">
        <v>27</v>
      </c>
      <c r="C982" s="55" t="str">
        <f t="shared" si="391"/>
        <v>p.identificar</v>
      </c>
      <c r="D982" s="6" t="str">
        <f t="shared" si="398"/>
        <v>é.nome.social</v>
      </c>
      <c r="E982" s="8" t="s">
        <v>28</v>
      </c>
      <c r="F982" s="42" t="str">
        <f t="shared" si="390"/>
        <v>d.identificar</v>
      </c>
      <c r="G982" s="18" t="s">
        <v>1042</v>
      </c>
      <c r="H982" s="41" t="s">
        <v>2121</v>
      </c>
      <c r="I982" s="16" t="str">
        <f t="shared" si="397"/>
        <v>null</v>
      </c>
      <c r="J982" s="13" t="s">
        <v>0</v>
      </c>
      <c r="K982" s="13" t="s">
        <v>0</v>
      </c>
      <c r="L982" s="13" t="s">
        <v>0</v>
      </c>
      <c r="M982" s="13" t="s">
        <v>0</v>
      </c>
      <c r="N982" s="15" t="s">
        <v>0</v>
      </c>
      <c r="O982" s="13" t="s">
        <v>0</v>
      </c>
      <c r="P982" s="13" t="s">
        <v>0</v>
      </c>
      <c r="Q982" s="13" t="s">
        <v>0</v>
      </c>
      <c r="R982" s="15" t="s">
        <v>0</v>
      </c>
      <c r="S982" s="10" t="s">
        <v>1</v>
      </c>
      <c r="T982" s="10" t="s">
        <v>32</v>
      </c>
      <c r="U982" s="5" t="str">
        <f t="shared" si="392"/>
        <v>Propriedade destinada a identificar: é.nome.social</v>
      </c>
      <c r="V982" s="5" t="str">
        <f t="shared" si="393"/>
        <v>Dado para identificar:  nome.social  Deve ser formatado como (rdfs:Literal  or  xsd:string)</v>
      </c>
      <c r="W982" s="5" t="s">
        <v>5770</v>
      </c>
      <c r="X982" s="24" t="str">
        <f t="shared" si="394"/>
        <v>ident.122</v>
      </c>
      <c r="Y982" s="24" t="str">
        <f t="shared" si="395"/>
        <v>Ação de identificar</v>
      </c>
      <c r="Z982" s="47" t="s">
        <v>3668</v>
      </c>
      <c r="AA982" s="25" t="str">
        <f t="shared" si="386"/>
        <v>null</v>
      </c>
      <c r="AB982" s="26" t="s">
        <v>0</v>
      </c>
      <c r="AC982" s="25" t="str">
        <f t="shared" si="387"/>
        <v>null</v>
      </c>
      <c r="AD982" s="26" t="s">
        <v>0</v>
      </c>
      <c r="AE982" s="25" t="str">
        <f t="shared" si="396"/>
        <v>null</v>
      </c>
      <c r="AF982" s="26" t="s">
        <v>0</v>
      </c>
      <c r="AG982" s="47" t="s">
        <v>4084</v>
      </c>
    </row>
    <row r="983" spans="1:33" ht="6.9" customHeight="1" x14ac:dyDescent="0.4">
      <c r="A983" s="4">
        <f>ROW()</f>
        <v>983</v>
      </c>
      <c r="B983" s="9" t="s">
        <v>27</v>
      </c>
      <c r="C983" s="55" t="str">
        <f t="shared" ref="C983" si="399">SUBSTITUTE(F983,"d.","p.")</f>
        <v>p.identificar</v>
      </c>
      <c r="D983" s="6" t="str">
        <f t="shared" si="398"/>
        <v>é.sobrenome</v>
      </c>
      <c r="E983" s="8" t="s">
        <v>28</v>
      </c>
      <c r="F983" s="42" t="str">
        <f t="shared" si="390"/>
        <v>d.identificar</v>
      </c>
      <c r="G983" s="18" t="s">
        <v>4081</v>
      </c>
      <c r="H983" s="41" t="s">
        <v>2121</v>
      </c>
      <c r="I983" s="16" t="str">
        <f t="shared" ref="I983" si="400">J983</f>
        <v>null</v>
      </c>
      <c r="J983" s="13" t="s">
        <v>0</v>
      </c>
      <c r="K983" s="13" t="s">
        <v>0</v>
      </c>
      <c r="L983" s="13" t="s">
        <v>0</v>
      </c>
      <c r="M983" s="13" t="s">
        <v>0</v>
      </c>
      <c r="N983" s="15" t="s">
        <v>0</v>
      </c>
      <c r="O983" s="13" t="s">
        <v>0</v>
      </c>
      <c r="P983" s="13" t="s">
        <v>0</v>
      </c>
      <c r="Q983" s="13" t="s">
        <v>0</v>
      </c>
      <c r="R983" s="15" t="s">
        <v>0</v>
      </c>
      <c r="S983" s="10" t="s">
        <v>1</v>
      </c>
      <c r="T983" s="10" t="s">
        <v>32</v>
      </c>
      <c r="U983" s="5" t="str">
        <f t="shared" si="392"/>
        <v>Propriedade destinada a identificar: é.sobrenome</v>
      </c>
      <c r="V983" s="5" t="str">
        <f t="shared" si="393"/>
        <v>Dado para identificar:  sobrenome  Deve ser formatado como (rdfs:Literal  or  xsd:string)</v>
      </c>
      <c r="W983" s="5" t="s">
        <v>5771</v>
      </c>
      <c r="X983" s="24" t="str">
        <f t="shared" si="394"/>
        <v>ident.123</v>
      </c>
      <c r="Y983" s="24" t="str">
        <f t="shared" si="395"/>
        <v>Ação de identificar</v>
      </c>
      <c r="Z983" s="47" t="s">
        <v>4082</v>
      </c>
      <c r="AA983" s="25" t="str">
        <f t="shared" ref="AA983" si="401">IF(AB983="null", "null", "categoria.revit")</f>
        <v>null</v>
      </c>
      <c r="AB983" s="26" t="s">
        <v>0</v>
      </c>
      <c r="AC983" s="25" t="str">
        <f t="shared" ref="AC983" si="402">IF(AD983="null", "null", "classe.ifc")</f>
        <v>null</v>
      </c>
      <c r="AD983" s="26" t="s">
        <v>0</v>
      </c>
      <c r="AE983" s="25" t="str">
        <f t="shared" si="396"/>
        <v>null</v>
      </c>
      <c r="AF983" s="26" t="s">
        <v>0</v>
      </c>
      <c r="AG983" s="47" t="s">
        <v>4083</v>
      </c>
    </row>
    <row r="984" spans="1:33" ht="6.9" customHeight="1" x14ac:dyDescent="0.4">
      <c r="A984" s="4">
        <f>ROW()</f>
        <v>984</v>
      </c>
      <c r="B984" s="9" t="s">
        <v>27</v>
      </c>
      <c r="C984" s="55" t="str">
        <f t="shared" si="391"/>
        <v>p.identificar</v>
      </c>
      <c r="D984" s="6" t="str">
        <f t="shared" si="398"/>
        <v>é.nomeada</v>
      </c>
      <c r="E984" s="8" t="s">
        <v>28</v>
      </c>
      <c r="F984" s="42" t="str">
        <f t="shared" si="390"/>
        <v>d.identificar</v>
      </c>
      <c r="G984" s="18" t="s">
        <v>2134</v>
      </c>
      <c r="H984" s="41" t="s">
        <v>2121</v>
      </c>
      <c r="I984" s="16" t="str">
        <f t="shared" si="397"/>
        <v>null</v>
      </c>
      <c r="J984" s="13" t="s">
        <v>0</v>
      </c>
      <c r="K984" s="13" t="s">
        <v>0</v>
      </c>
      <c r="L984" s="13" t="s">
        <v>0</v>
      </c>
      <c r="M984" s="13" t="s">
        <v>0</v>
      </c>
      <c r="N984" s="15" t="s">
        <v>0</v>
      </c>
      <c r="O984" s="13" t="s">
        <v>0</v>
      </c>
      <c r="P984" s="13" t="s">
        <v>0</v>
      </c>
      <c r="Q984" s="13" t="s">
        <v>0</v>
      </c>
      <c r="R984" s="15" t="s">
        <v>2135</v>
      </c>
      <c r="S984" s="10" t="s">
        <v>1</v>
      </c>
      <c r="T984" s="10" t="s">
        <v>32</v>
      </c>
      <c r="U984" s="5" t="str">
        <f t="shared" si="392"/>
        <v>Propriedade destinada a identificar: é.nomeada</v>
      </c>
      <c r="V984" s="5" t="str">
        <f t="shared" si="393"/>
        <v>Dado para identificar:  nomeada  Deve ser formatado como (rdfs:Literal  or  xsd:string)</v>
      </c>
      <c r="W984" s="5" t="s">
        <v>5772</v>
      </c>
      <c r="X984" s="24" t="str">
        <f t="shared" si="394"/>
        <v>ident.124</v>
      </c>
      <c r="Y984" s="24" t="str">
        <f t="shared" si="395"/>
        <v>Ação de identificar</v>
      </c>
      <c r="Z984" s="47" t="s">
        <v>1511</v>
      </c>
      <c r="AA984" s="25" t="str">
        <f t="shared" si="386"/>
        <v>null</v>
      </c>
      <c r="AB984" s="26" t="s">
        <v>0</v>
      </c>
      <c r="AC984" s="25" t="str">
        <f t="shared" si="387"/>
        <v>null</v>
      </c>
      <c r="AD984" s="26" t="s">
        <v>0</v>
      </c>
      <c r="AE984" s="25" t="str">
        <f t="shared" si="396"/>
        <v>null</v>
      </c>
      <c r="AF984" s="26" t="s">
        <v>0</v>
      </c>
      <c r="AG984" s="47" t="s">
        <v>2865</v>
      </c>
    </row>
    <row r="985" spans="1:33" ht="6.9" customHeight="1" x14ac:dyDescent="0.4">
      <c r="A985" s="4">
        <f>ROW()</f>
        <v>985</v>
      </c>
      <c r="B985" s="9" t="s">
        <v>27</v>
      </c>
      <c r="C985" s="55" t="str">
        <f t="shared" si="391"/>
        <v>p.identificar</v>
      </c>
      <c r="D985" s="6" t="str">
        <f t="shared" si="398"/>
        <v>é.nomeado</v>
      </c>
      <c r="E985" s="8" t="s">
        <v>28</v>
      </c>
      <c r="F985" s="42" t="str">
        <f t="shared" si="390"/>
        <v>d.identificar</v>
      </c>
      <c r="G985" s="18" t="s">
        <v>2122</v>
      </c>
      <c r="H985" s="41" t="s">
        <v>2121</v>
      </c>
      <c r="I985" s="16" t="str">
        <f t="shared" si="397"/>
        <v>null</v>
      </c>
      <c r="J985" s="13" t="s">
        <v>0</v>
      </c>
      <c r="K985" s="13" t="s">
        <v>0</v>
      </c>
      <c r="L985" s="13" t="s">
        <v>0</v>
      </c>
      <c r="M985" s="13" t="s">
        <v>0</v>
      </c>
      <c r="N985" s="15" t="s">
        <v>0</v>
      </c>
      <c r="O985" s="13" t="s">
        <v>0</v>
      </c>
      <c r="P985" s="13" t="s">
        <v>0</v>
      </c>
      <c r="Q985" s="13" t="s">
        <v>0</v>
      </c>
      <c r="R985" s="15" t="s">
        <v>2136</v>
      </c>
      <c r="S985" s="10" t="s">
        <v>1</v>
      </c>
      <c r="T985" s="10" t="s">
        <v>32</v>
      </c>
      <c r="U985" s="5" t="str">
        <f t="shared" si="392"/>
        <v>Propriedade destinada a identificar: é.nomeado</v>
      </c>
      <c r="V985" s="5" t="str">
        <f t="shared" si="393"/>
        <v>Dado para identificar:  nomeado  Deve ser formatado como (rdfs:Literal  or  xsd:string)</v>
      </c>
      <c r="W985" s="5" t="s">
        <v>5772</v>
      </c>
      <c r="X985" s="24" t="str">
        <f t="shared" si="394"/>
        <v>ident.125</v>
      </c>
      <c r="Y985" s="24" t="str">
        <f t="shared" si="395"/>
        <v>Ação de identificar</v>
      </c>
      <c r="Z985" s="47" t="s">
        <v>1511</v>
      </c>
      <c r="AA985" s="25" t="str">
        <f t="shared" si="386"/>
        <v>null</v>
      </c>
      <c r="AB985" s="26" t="s">
        <v>0</v>
      </c>
      <c r="AC985" s="25" t="str">
        <f t="shared" si="387"/>
        <v>null</v>
      </c>
      <c r="AD985" s="26" t="s">
        <v>0</v>
      </c>
      <c r="AE985" s="25" t="str">
        <f t="shared" si="396"/>
        <v>null</v>
      </c>
      <c r="AF985" s="26" t="s">
        <v>0</v>
      </c>
      <c r="AG985" s="47" t="s">
        <v>2865</v>
      </c>
    </row>
    <row r="986" spans="1:33" ht="6.9" customHeight="1" x14ac:dyDescent="0.4">
      <c r="A986" s="4">
        <f>ROW()</f>
        <v>986</v>
      </c>
      <c r="B986" s="9" t="s">
        <v>27</v>
      </c>
      <c r="C986" s="55" t="str">
        <f t="shared" si="391"/>
        <v>p.identificar</v>
      </c>
      <c r="D986" s="6" t="str">
        <f t="shared" si="398"/>
        <v>é.número</v>
      </c>
      <c r="E986" s="8" t="s">
        <v>28</v>
      </c>
      <c r="F986" s="42" t="str">
        <f t="shared" si="390"/>
        <v>d.identificar</v>
      </c>
      <c r="G986" s="18" t="s">
        <v>138</v>
      </c>
      <c r="H986" s="41" t="s">
        <v>2121</v>
      </c>
      <c r="I986" s="16" t="str">
        <f t="shared" si="397"/>
        <v>null</v>
      </c>
      <c r="J986" s="13" t="s">
        <v>0</v>
      </c>
      <c r="K986" s="13" t="s">
        <v>0</v>
      </c>
      <c r="L986" s="13" t="s">
        <v>0</v>
      </c>
      <c r="M986" s="13" t="s">
        <v>0</v>
      </c>
      <c r="N986" s="15" t="s">
        <v>0</v>
      </c>
      <c r="O986" s="13" t="s">
        <v>0</v>
      </c>
      <c r="P986" s="13" t="s">
        <v>0</v>
      </c>
      <c r="Q986" s="13" t="s">
        <v>0</v>
      </c>
      <c r="R986" s="15" t="s">
        <v>0</v>
      </c>
      <c r="S986" s="10" t="s">
        <v>1</v>
      </c>
      <c r="T986" s="10" t="s">
        <v>32</v>
      </c>
      <c r="U986" s="5" t="str">
        <f t="shared" si="392"/>
        <v>Propriedade destinada a identificar: é.número</v>
      </c>
      <c r="V986" s="5" t="str">
        <f t="shared" si="393"/>
        <v>Dado para identificar:  número  Deve ser formatado como (rdfs:Literal  or  xsd:string)</v>
      </c>
      <c r="W986" s="5" t="s">
        <v>5773</v>
      </c>
      <c r="X986" s="24" t="str">
        <f t="shared" si="394"/>
        <v>ident.126</v>
      </c>
      <c r="Y986" s="24" t="str">
        <f t="shared" si="395"/>
        <v>Ação de identificar</v>
      </c>
      <c r="Z986" s="47" t="s">
        <v>1512</v>
      </c>
      <c r="AA986" s="25" t="str">
        <f t="shared" si="386"/>
        <v>null</v>
      </c>
      <c r="AB986" s="26" t="s">
        <v>0</v>
      </c>
      <c r="AC986" s="25" t="str">
        <f t="shared" si="387"/>
        <v>null</v>
      </c>
      <c r="AD986" s="26" t="s">
        <v>0</v>
      </c>
      <c r="AE986" s="25" t="str">
        <f t="shared" si="396"/>
        <v>null</v>
      </c>
      <c r="AF986" s="26" t="s">
        <v>0</v>
      </c>
      <c r="AG986" s="47" t="s">
        <v>2866</v>
      </c>
    </row>
    <row r="987" spans="1:33" ht="6.9" customHeight="1" x14ac:dyDescent="0.4">
      <c r="A987" s="4">
        <f>ROW()</f>
        <v>987</v>
      </c>
      <c r="B987" s="9" t="s">
        <v>27</v>
      </c>
      <c r="C987" s="55" t="str">
        <f t="shared" si="391"/>
        <v>p.identificar</v>
      </c>
      <c r="D987" s="6" t="str">
        <f t="shared" si="398"/>
        <v>é.número.de.lote</v>
      </c>
      <c r="E987" s="8" t="s">
        <v>28</v>
      </c>
      <c r="F987" s="42" t="str">
        <f t="shared" si="390"/>
        <v>d.identificar</v>
      </c>
      <c r="G987" s="18" t="s">
        <v>738</v>
      </c>
      <c r="H987" s="41" t="s">
        <v>2121</v>
      </c>
      <c r="I987" s="16" t="str">
        <f t="shared" si="397"/>
        <v>Functional</v>
      </c>
      <c r="J987" s="13" t="s">
        <v>29</v>
      </c>
      <c r="K987" s="13" t="s">
        <v>0</v>
      </c>
      <c r="L987" s="13" t="s">
        <v>0</v>
      </c>
      <c r="M987" s="13" t="s">
        <v>0</v>
      </c>
      <c r="N987" s="15" t="s">
        <v>0</v>
      </c>
      <c r="O987" s="13" t="s">
        <v>0</v>
      </c>
      <c r="P987" s="13" t="s">
        <v>0</v>
      </c>
      <c r="Q987" s="13" t="s">
        <v>0</v>
      </c>
      <c r="R987" s="15" t="s">
        <v>0</v>
      </c>
      <c r="S987" s="10" t="s">
        <v>1</v>
      </c>
      <c r="T987" s="10" t="s">
        <v>32</v>
      </c>
      <c r="U987" s="5" t="str">
        <f t="shared" si="392"/>
        <v>Propriedade destinada a identificar: é.número.de.lote</v>
      </c>
      <c r="V987" s="5" t="str">
        <f t="shared" si="393"/>
        <v>Dado para identificar:  número.de.lote  Deve ser formatado como (rdfs:Literal  or  xsd:string)</v>
      </c>
      <c r="W987" s="5" t="s">
        <v>5774</v>
      </c>
      <c r="X987" s="24" t="str">
        <f t="shared" si="394"/>
        <v>ident.127</v>
      </c>
      <c r="Y987" s="24" t="str">
        <f t="shared" si="395"/>
        <v>Ação de identificar</v>
      </c>
      <c r="Z987" s="47" t="s">
        <v>1518</v>
      </c>
      <c r="AA987" s="25" t="str">
        <f t="shared" si="386"/>
        <v>null</v>
      </c>
      <c r="AB987" s="26" t="s">
        <v>0</v>
      </c>
      <c r="AC987" s="25" t="str">
        <f t="shared" si="387"/>
        <v>null</v>
      </c>
      <c r="AD987" s="26" t="s">
        <v>0</v>
      </c>
      <c r="AE987" s="25" t="str">
        <f t="shared" si="396"/>
        <v>propriedade</v>
      </c>
      <c r="AF987" s="26" t="s">
        <v>2418</v>
      </c>
      <c r="AG987" s="47" t="s">
        <v>2867</v>
      </c>
    </row>
    <row r="988" spans="1:33" ht="6.9" customHeight="1" x14ac:dyDescent="0.4">
      <c r="A988" s="4">
        <f>ROW()</f>
        <v>988</v>
      </c>
      <c r="B988" s="9" t="s">
        <v>27</v>
      </c>
      <c r="C988" s="55" t="str">
        <f t="shared" si="391"/>
        <v>p.identificar</v>
      </c>
      <c r="D988" s="6" t="str">
        <f t="shared" si="398"/>
        <v>é.número.de.inscrição</v>
      </c>
      <c r="E988" s="8" t="s">
        <v>28</v>
      </c>
      <c r="F988" s="42" t="str">
        <f t="shared" si="390"/>
        <v>d.identificar</v>
      </c>
      <c r="G988" s="18" t="s">
        <v>3646</v>
      </c>
      <c r="H988" s="41" t="s">
        <v>2121</v>
      </c>
      <c r="I988" s="16" t="str">
        <f t="shared" si="397"/>
        <v>null</v>
      </c>
      <c r="J988" s="15" t="s">
        <v>0</v>
      </c>
      <c r="K988" s="15" t="s">
        <v>0</v>
      </c>
      <c r="L988" s="13" t="s">
        <v>0</v>
      </c>
      <c r="M988" s="13" t="s">
        <v>0</v>
      </c>
      <c r="N988" s="15" t="s">
        <v>0</v>
      </c>
      <c r="O988" s="13" t="s">
        <v>0</v>
      </c>
      <c r="P988" s="13" t="s">
        <v>0</v>
      </c>
      <c r="Q988" s="13" t="s">
        <v>0</v>
      </c>
      <c r="R988" s="15" t="s">
        <v>0</v>
      </c>
      <c r="S988" s="10" t="s">
        <v>1</v>
      </c>
      <c r="T988" s="10" t="s">
        <v>32</v>
      </c>
      <c r="U988" s="5" t="str">
        <f t="shared" si="392"/>
        <v>Propriedade destinada a identificar: é.número.de.inscrição</v>
      </c>
      <c r="V988" s="5" t="str">
        <f t="shared" si="393"/>
        <v>Dado para identificar:  número.de.inscrição  Deve ser formatado como (rdfs:Literal  or  xsd:string)</v>
      </c>
      <c r="W988" s="5" t="s">
        <v>5775</v>
      </c>
      <c r="X988" s="24" t="str">
        <f t="shared" si="394"/>
        <v>ident.128</v>
      </c>
      <c r="Y988" s="24" t="str">
        <f t="shared" si="395"/>
        <v>Ação de identificar</v>
      </c>
      <c r="Z988" s="47" t="s">
        <v>3669</v>
      </c>
      <c r="AA988" s="25" t="str">
        <f t="shared" si="386"/>
        <v>null</v>
      </c>
      <c r="AB988" s="26" t="s">
        <v>0</v>
      </c>
      <c r="AC988" s="25" t="str">
        <f t="shared" si="387"/>
        <v>null</v>
      </c>
      <c r="AD988" s="26" t="s">
        <v>0</v>
      </c>
      <c r="AE988" s="25" t="str">
        <f t="shared" si="396"/>
        <v>null</v>
      </c>
      <c r="AF988" s="26" t="s">
        <v>0</v>
      </c>
      <c r="AG988" s="47" t="s">
        <v>3747</v>
      </c>
    </row>
    <row r="989" spans="1:33" ht="6.9" customHeight="1" x14ac:dyDescent="0.4">
      <c r="A989" s="4">
        <f>ROW()</f>
        <v>989</v>
      </c>
      <c r="B989" s="9" t="s">
        <v>27</v>
      </c>
      <c r="C989" s="55" t="str">
        <f t="shared" si="391"/>
        <v>p.identificar</v>
      </c>
      <c r="D989" s="6" t="str">
        <f t="shared" si="398"/>
        <v>é.número.imo</v>
      </c>
      <c r="E989" s="8" t="s">
        <v>28</v>
      </c>
      <c r="F989" s="42" t="str">
        <f t="shared" si="390"/>
        <v>d.identificar</v>
      </c>
      <c r="G989" s="18" t="s">
        <v>1954</v>
      </c>
      <c r="H989" s="41" t="s">
        <v>2121</v>
      </c>
      <c r="I989" s="16" t="str">
        <f t="shared" si="397"/>
        <v>Functional</v>
      </c>
      <c r="J989" s="13" t="s">
        <v>29</v>
      </c>
      <c r="K989" s="13" t="s">
        <v>281</v>
      </c>
      <c r="L989" s="13" t="s">
        <v>0</v>
      </c>
      <c r="M989" s="13" t="s">
        <v>0</v>
      </c>
      <c r="N989" s="15" t="s">
        <v>0</v>
      </c>
      <c r="O989" s="13" t="s">
        <v>0</v>
      </c>
      <c r="P989" s="13" t="s">
        <v>0</v>
      </c>
      <c r="Q989" s="13" t="s">
        <v>0</v>
      </c>
      <c r="R989" s="15" t="s">
        <v>0</v>
      </c>
      <c r="S989" s="10" t="s">
        <v>1</v>
      </c>
      <c r="T989" s="10" t="s">
        <v>32</v>
      </c>
      <c r="U989" s="5" t="str">
        <f t="shared" si="392"/>
        <v>Propriedade destinada a identificar: é.número.imo</v>
      </c>
      <c r="V989" s="5" t="str">
        <f t="shared" si="393"/>
        <v>Dado para identificar:  número.imo  Deve ser formatado como (rdfs:Literal  or  xsd:string)</v>
      </c>
      <c r="W989" s="5" t="s">
        <v>5776</v>
      </c>
      <c r="X989" s="24" t="str">
        <f t="shared" si="394"/>
        <v>ident.129</v>
      </c>
      <c r="Y989" s="24" t="str">
        <f t="shared" si="395"/>
        <v>Ação de identificar</v>
      </c>
      <c r="Z989" s="47" t="s">
        <v>3670</v>
      </c>
      <c r="AA989" s="25" t="str">
        <f t="shared" si="386"/>
        <v>null</v>
      </c>
      <c r="AB989" s="26" t="s">
        <v>0</v>
      </c>
      <c r="AC989" s="25" t="str">
        <f t="shared" si="387"/>
        <v>null</v>
      </c>
      <c r="AD989" s="26" t="s">
        <v>0</v>
      </c>
      <c r="AE989" s="25" t="str">
        <f t="shared" si="396"/>
        <v>null</v>
      </c>
      <c r="AF989" s="26" t="s">
        <v>0</v>
      </c>
      <c r="AG989" s="47" t="s">
        <v>3748</v>
      </c>
    </row>
    <row r="990" spans="1:33" ht="6.9" customHeight="1" x14ac:dyDescent="0.4">
      <c r="A990" s="4">
        <f>ROW()</f>
        <v>990</v>
      </c>
      <c r="B990" s="9" t="s">
        <v>27</v>
      </c>
      <c r="C990" s="55" t="str">
        <f t="shared" si="391"/>
        <v>p.identificar</v>
      </c>
      <c r="D990" s="6" t="str">
        <f t="shared" si="398"/>
        <v>é.número.mac</v>
      </c>
      <c r="E990" s="8" t="s">
        <v>28</v>
      </c>
      <c r="F990" s="42" t="str">
        <f t="shared" si="390"/>
        <v>d.identificar</v>
      </c>
      <c r="G990" s="18" t="s">
        <v>737</v>
      </c>
      <c r="H990" s="41" t="s">
        <v>2121</v>
      </c>
      <c r="I990" s="16" t="str">
        <f t="shared" si="397"/>
        <v>Functional</v>
      </c>
      <c r="J990" s="13" t="s">
        <v>29</v>
      </c>
      <c r="K990" s="13" t="s">
        <v>281</v>
      </c>
      <c r="L990" s="13" t="s">
        <v>0</v>
      </c>
      <c r="M990" s="13" t="s">
        <v>0</v>
      </c>
      <c r="N990" s="15" t="s">
        <v>0</v>
      </c>
      <c r="O990" s="13" t="s">
        <v>0</v>
      </c>
      <c r="P990" s="13" t="s">
        <v>0</v>
      </c>
      <c r="Q990" s="13" t="s">
        <v>0</v>
      </c>
      <c r="R990" s="15" t="s">
        <v>0</v>
      </c>
      <c r="S990" s="10" t="s">
        <v>1</v>
      </c>
      <c r="T990" s="10" t="s">
        <v>32</v>
      </c>
      <c r="U990" s="5" t="str">
        <f t="shared" si="392"/>
        <v>Propriedade destinada a identificar: é.número.mac</v>
      </c>
      <c r="V990" s="5" t="str">
        <f t="shared" si="393"/>
        <v>Dado para identificar:  número.mac  Deve ser formatado como (rdfs:Literal  or  xsd:string)</v>
      </c>
      <c r="W990" s="5" t="s">
        <v>5777</v>
      </c>
      <c r="X990" s="24" t="str">
        <f t="shared" si="394"/>
        <v>ident.130</v>
      </c>
      <c r="Y990" s="24" t="str">
        <f t="shared" si="395"/>
        <v>Ação de identificar</v>
      </c>
      <c r="Z990" s="47" t="s">
        <v>3671</v>
      </c>
      <c r="AA990" s="25" t="str">
        <f t="shared" si="386"/>
        <v>null</v>
      </c>
      <c r="AB990" s="26" t="s">
        <v>0</v>
      </c>
      <c r="AC990" s="25" t="str">
        <f t="shared" si="387"/>
        <v>null</v>
      </c>
      <c r="AD990" s="26" t="s">
        <v>0</v>
      </c>
      <c r="AE990" s="25" t="str">
        <f t="shared" si="396"/>
        <v>null</v>
      </c>
      <c r="AF990" s="26" t="s">
        <v>0</v>
      </c>
      <c r="AG990" s="47" t="s">
        <v>2868</v>
      </c>
    </row>
    <row r="991" spans="1:33" ht="6.9" customHeight="1" x14ac:dyDescent="0.4">
      <c r="A991" s="4">
        <f>ROW()</f>
        <v>991</v>
      </c>
      <c r="B991" s="9" t="s">
        <v>27</v>
      </c>
      <c r="C991" s="55" t="str">
        <f t="shared" si="391"/>
        <v>p.identificar</v>
      </c>
      <c r="D991" s="6" t="str">
        <f t="shared" si="398"/>
        <v>é.número.mmsi</v>
      </c>
      <c r="E991" s="8" t="s">
        <v>28</v>
      </c>
      <c r="F991" s="42" t="str">
        <f t="shared" si="390"/>
        <v>d.identificar</v>
      </c>
      <c r="G991" s="18" t="s">
        <v>1971</v>
      </c>
      <c r="H991" s="41" t="s">
        <v>2121</v>
      </c>
      <c r="I991" s="16" t="str">
        <f t="shared" si="397"/>
        <v>Functional</v>
      </c>
      <c r="J991" s="13" t="s">
        <v>29</v>
      </c>
      <c r="K991" s="13" t="s">
        <v>281</v>
      </c>
      <c r="L991" s="13" t="s">
        <v>0</v>
      </c>
      <c r="M991" s="13" t="s">
        <v>0</v>
      </c>
      <c r="N991" s="15" t="s">
        <v>0</v>
      </c>
      <c r="O991" s="13" t="s">
        <v>0</v>
      </c>
      <c r="P991" s="13" t="s">
        <v>0</v>
      </c>
      <c r="Q991" s="13" t="s">
        <v>0</v>
      </c>
      <c r="R991" s="15" t="s">
        <v>0</v>
      </c>
      <c r="S991" s="10" t="s">
        <v>1</v>
      </c>
      <c r="T991" s="10" t="s">
        <v>32</v>
      </c>
      <c r="U991" s="5" t="str">
        <f t="shared" si="392"/>
        <v>Propriedade destinada a identificar: é.número.mmsi</v>
      </c>
      <c r="V991" s="5" t="str">
        <f t="shared" si="393"/>
        <v>Dado para identificar:  número.mmsi  Deve ser formatado como (rdfs:Literal  or  xsd:string)</v>
      </c>
      <c r="W991" s="5" t="s">
        <v>5778</v>
      </c>
      <c r="X991" s="24" t="str">
        <f t="shared" si="394"/>
        <v>ident.131</v>
      </c>
      <c r="Y991" s="24" t="str">
        <f t="shared" si="395"/>
        <v>Ação de identificar</v>
      </c>
      <c r="Z991" s="47" t="s">
        <v>3672</v>
      </c>
      <c r="AA991" s="25" t="str">
        <f t="shared" si="386"/>
        <v>null</v>
      </c>
      <c r="AB991" s="26" t="s">
        <v>0</v>
      </c>
      <c r="AC991" s="25" t="str">
        <f t="shared" si="387"/>
        <v>null</v>
      </c>
      <c r="AD991" s="26" t="s">
        <v>0</v>
      </c>
      <c r="AE991" s="25" t="str">
        <f t="shared" si="396"/>
        <v>null</v>
      </c>
      <c r="AF991" s="26" t="s">
        <v>0</v>
      </c>
      <c r="AG991" s="47" t="s">
        <v>3749</v>
      </c>
    </row>
    <row r="992" spans="1:33" ht="6.9" customHeight="1" x14ac:dyDescent="0.4">
      <c r="A992" s="4">
        <f>ROW()</f>
        <v>992</v>
      </c>
      <c r="B992" s="9" t="s">
        <v>27</v>
      </c>
      <c r="C992" s="55" t="str">
        <f t="shared" si="391"/>
        <v>p.identificar</v>
      </c>
      <c r="D992" s="6" t="str">
        <f t="shared" si="398"/>
        <v>é.número.serial</v>
      </c>
      <c r="E992" s="8" t="s">
        <v>28</v>
      </c>
      <c r="F992" s="42" t="str">
        <f t="shared" si="390"/>
        <v>d.identificar</v>
      </c>
      <c r="G992" s="18" t="s">
        <v>736</v>
      </c>
      <c r="H992" s="41" t="s">
        <v>2121</v>
      </c>
      <c r="I992" s="16" t="str">
        <f t="shared" si="397"/>
        <v>Functional</v>
      </c>
      <c r="J992" s="13" t="s">
        <v>29</v>
      </c>
      <c r="K992" s="13" t="s">
        <v>281</v>
      </c>
      <c r="L992" s="13" t="s">
        <v>0</v>
      </c>
      <c r="M992" s="13" t="s">
        <v>0</v>
      </c>
      <c r="N992" s="15" t="s">
        <v>0</v>
      </c>
      <c r="O992" s="13" t="s">
        <v>0</v>
      </c>
      <c r="P992" s="13" t="s">
        <v>0</v>
      </c>
      <c r="Q992" s="13" t="s">
        <v>0</v>
      </c>
      <c r="R992" s="15" t="s">
        <v>0</v>
      </c>
      <c r="S992" s="10" t="s">
        <v>1</v>
      </c>
      <c r="T992" s="10" t="s">
        <v>32</v>
      </c>
      <c r="U992" s="5" t="str">
        <f t="shared" si="392"/>
        <v>Propriedade destinada a identificar: é.número.serial</v>
      </c>
      <c r="V992" s="5" t="str">
        <f t="shared" si="393"/>
        <v>Dado para identificar:  número.serial  Deve ser formatado como (rdfs:Literal  or  xsd:string)</v>
      </c>
      <c r="W992" s="5" t="s">
        <v>5779</v>
      </c>
      <c r="X992" s="24" t="str">
        <f t="shared" si="394"/>
        <v>ident.132</v>
      </c>
      <c r="Y992" s="24" t="str">
        <f t="shared" si="395"/>
        <v>Ação de identificar</v>
      </c>
      <c r="Z992" s="47" t="s">
        <v>3673</v>
      </c>
      <c r="AA992" s="25" t="str">
        <f t="shared" si="386"/>
        <v>null</v>
      </c>
      <c r="AB992" s="26" t="s">
        <v>0</v>
      </c>
      <c r="AC992" s="25" t="str">
        <f t="shared" si="387"/>
        <v>null</v>
      </c>
      <c r="AD992" s="26" t="s">
        <v>0</v>
      </c>
      <c r="AE992" s="25" t="str">
        <f t="shared" si="396"/>
        <v>null</v>
      </c>
      <c r="AF992" s="26" t="s">
        <v>0</v>
      </c>
      <c r="AG992" s="47" t="s">
        <v>2869</v>
      </c>
    </row>
    <row r="993" spans="1:33" ht="6.9" customHeight="1" x14ac:dyDescent="0.4">
      <c r="A993" s="4">
        <f>ROW()</f>
        <v>993</v>
      </c>
      <c r="B993" s="9" t="s">
        <v>27</v>
      </c>
      <c r="C993" s="55" t="str">
        <f t="shared" ref="C993" si="403">SUBSTITUTE(F993,"d.","p.")</f>
        <v>p.identificar</v>
      </c>
      <c r="D993" s="6" t="str">
        <f t="shared" si="398"/>
        <v>é.pasep</v>
      </c>
      <c r="E993" s="8" t="s">
        <v>28</v>
      </c>
      <c r="F993" s="42" t="str">
        <f>F991</f>
        <v>d.identificar</v>
      </c>
      <c r="G993" s="18" t="s">
        <v>391</v>
      </c>
      <c r="H993" s="41" t="s">
        <v>2121</v>
      </c>
      <c r="I993" s="16" t="str">
        <f t="shared" ref="I993" si="404">J993</f>
        <v>Functional</v>
      </c>
      <c r="J993" s="13" t="s">
        <v>29</v>
      </c>
      <c r="K993" s="13" t="s">
        <v>281</v>
      </c>
      <c r="L993" s="13" t="s">
        <v>0</v>
      </c>
      <c r="M993" s="13" t="s">
        <v>0</v>
      </c>
      <c r="N993" s="15" t="s">
        <v>0</v>
      </c>
      <c r="O993" s="13" t="s">
        <v>0</v>
      </c>
      <c r="P993" s="13" t="s">
        <v>0</v>
      </c>
      <c r="Q993" s="13" t="s">
        <v>0</v>
      </c>
      <c r="R993" s="15" t="s">
        <v>0</v>
      </c>
      <c r="S993" s="10" t="s">
        <v>1</v>
      </c>
      <c r="T993" s="10" t="s">
        <v>32</v>
      </c>
      <c r="U993" s="5" t="str">
        <f t="shared" si="392"/>
        <v>Propriedade destinada a identificar: é.pasep</v>
      </c>
      <c r="V993" s="5" t="str">
        <f t="shared" si="393"/>
        <v>Dado para identificar:  pasep  Deve ser formatado como (rdfs:Literal  or  xsd:string)</v>
      </c>
      <c r="W993" s="5" t="s">
        <v>5780</v>
      </c>
      <c r="X993" s="24" t="str">
        <f t="shared" si="394"/>
        <v>ident.133</v>
      </c>
      <c r="Y993" s="24" t="str">
        <f t="shared" si="395"/>
        <v>Ação de identificar</v>
      </c>
      <c r="Z993" s="47" t="s">
        <v>3674</v>
      </c>
      <c r="AA993" s="25" t="str">
        <f t="shared" ref="AA993" si="405">IF(AB993="null", "null", "categoria.revit")</f>
        <v>null</v>
      </c>
      <c r="AB993" s="26" t="s">
        <v>0</v>
      </c>
      <c r="AC993" s="25" t="str">
        <f t="shared" ref="AC993" si="406">IF(AD993="null", "null", "classe.ifc")</f>
        <v>null</v>
      </c>
      <c r="AD993" s="26" t="s">
        <v>0</v>
      </c>
      <c r="AE993" s="25" t="str">
        <f t="shared" si="396"/>
        <v>null</v>
      </c>
      <c r="AF993" s="26" t="s">
        <v>0</v>
      </c>
      <c r="AG993" s="47" t="s">
        <v>2870</v>
      </c>
    </row>
    <row r="994" spans="1:33" ht="6.9" customHeight="1" x14ac:dyDescent="0.4">
      <c r="A994" s="4">
        <f>ROW()</f>
        <v>994</v>
      </c>
      <c r="B994" s="9" t="s">
        <v>27</v>
      </c>
      <c r="C994" s="55" t="str">
        <f t="shared" si="391"/>
        <v>p.identificar</v>
      </c>
      <c r="D994" s="6" t="str">
        <f t="shared" si="398"/>
        <v>é.passaporte</v>
      </c>
      <c r="E994" s="8" t="s">
        <v>28</v>
      </c>
      <c r="F994" s="42" t="str">
        <f>F992</f>
        <v>d.identificar</v>
      </c>
      <c r="G994" s="18" t="s">
        <v>4162</v>
      </c>
      <c r="H994" s="41" t="s">
        <v>2121</v>
      </c>
      <c r="I994" s="16" t="str">
        <f t="shared" ref="I994" si="407">J994</f>
        <v>Functional</v>
      </c>
      <c r="J994" s="13" t="s">
        <v>29</v>
      </c>
      <c r="K994" s="13" t="s">
        <v>281</v>
      </c>
      <c r="L994" s="13" t="s">
        <v>0</v>
      </c>
      <c r="M994" s="13" t="s">
        <v>0</v>
      </c>
      <c r="N994" s="15" t="s">
        <v>0</v>
      </c>
      <c r="O994" s="13" t="s">
        <v>0</v>
      </c>
      <c r="P994" s="13" t="s">
        <v>0</v>
      </c>
      <c r="Q994" s="13" t="s">
        <v>0</v>
      </c>
      <c r="R994" s="15" t="s">
        <v>0</v>
      </c>
      <c r="S994" s="10" t="s">
        <v>1</v>
      </c>
      <c r="T994" s="10" t="s">
        <v>32</v>
      </c>
      <c r="U994" s="5" t="str">
        <f t="shared" si="392"/>
        <v>Propriedade destinada a identificar: é.passaporte</v>
      </c>
      <c r="V994" s="5" t="str">
        <f t="shared" si="393"/>
        <v>Dado para identificar:  passaporte  Deve ser formatado como (rdfs:Literal  or  xsd:string)</v>
      </c>
      <c r="W994" s="5" t="s">
        <v>5781</v>
      </c>
      <c r="X994" s="24" t="str">
        <f t="shared" si="394"/>
        <v>ident.134</v>
      </c>
      <c r="Y994" s="24" t="str">
        <f t="shared" si="395"/>
        <v>Ação de identificar</v>
      </c>
      <c r="Z994" s="47" t="s">
        <v>4163</v>
      </c>
      <c r="AA994" s="25" t="str">
        <f t="shared" si="386"/>
        <v>null</v>
      </c>
      <c r="AB994" s="26" t="s">
        <v>0</v>
      </c>
      <c r="AC994" s="25" t="str">
        <f t="shared" si="387"/>
        <v>null</v>
      </c>
      <c r="AD994" s="26" t="s">
        <v>0</v>
      </c>
      <c r="AE994" s="25" t="str">
        <f t="shared" si="396"/>
        <v>null</v>
      </c>
      <c r="AF994" s="26" t="s">
        <v>0</v>
      </c>
      <c r="AG994" s="47" t="s">
        <v>4164</v>
      </c>
    </row>
    <row r="995" spans="1:33" ht="6.9" customHeight="1" x14ac:dyDescent="0.4">
      <c r="A995" s="4">
        <f>ROW()</f>
        <v>995</v>
      </c>
      <c r="B995" s="9" t="s">
        <v>27</v>
      </c>
      <c r="C995" s="55" t="str">
        <f t="shared" si="391"/>
        <v>p.identificar</v>
      </c>
      <c r="D995" s="6" t="str">
        <f t="shared" si="398"/>
        <v>é.pis</v>
      </c>
      <c r="E995" s="8" t="s">
        <v>28</v>
      </c>
      <c r="F995" s="42" t="str">
        <f t="shared" si="390"/>
        <v>d.identificar</v>
      </c>
      <c r="G995" s="18" t="s">
        <v>393</v>
      </c>
      <c r="H995" s="41" t="s">
        <v>2121</v>
      </c>
      <c r="I995" s="16" t="str">
        <f t="shared" si="397"/>
        <v>Functional</v>
      </c>
      <c r="J995" s="13" t="s">
        <v>29</v>
      </c>
      <c r="K995" s="13" t="s">
        <v>281</v>
      </c>
      <c r="L995" s="13" t="s">
        <v>0</v>
      </c>
      <c r="M995" s="13" t="s">
        <v>0</v>
      </c>
      <c r="N995" s="15" t="s">
        <v>0</v>
      </c>
      <c r="O995" s="13" t="s">
        <v>0</v>
      </c>
      <c r="P995" s="13" t="s">
        <v>0</v>
      </c>
      <c r="Q995" s="13" t="s">
        <v>0</v>
      </c>
      <c r="R995" s="15" t="s">
        <v>0</v>
      </c>
      <c r="S995" s="10" t="s">
        <v>1</v>
      </c>
      <c r="T995" s="10" t="s">
        <v>32</v>
      </c>
      <c r="U995" s="5" t="str">
        <f t="shared" si="392"/>
        <v>Propriedade destinada a identificar: é.pis</v>
      </c>
      <c r="V995" s="5" t="str">
        <f t="shared" si="393"/>
        <v>Dado para identificar:  pis  Deve ser formatado como (rdfs:Literal  or  xsd:string)</v>
      </c>
      <c r="W995" s="5" t="s">
        <v>5782</v>
      </c>
      <c r="X995" s="24" t="str">
        <f t="shared" si="394"/>
        <v>ident.135</v>
      </c>
      <c r="Y995" s="24" t="str">
        <f t="shared" si="395"/>
        <v>Ação de identificar</v>
      </c>
      <c r="Z995" s="47" t="s">
        <v>3675</v>
      </c>
      <c r="AA995" s="25" t="str">
        <f t="shared" si="386"/>
        <v>null</v>
      </c>
      <c r="AB995" s="26" t="s">
        <v>0</v>
      </c>
      <c r="AC995" s="25" t="str">
        <f t="shared" si="387"/>
        <v>null</v>
      </c>
      <c r="AD995" s="26" t="s">
        <v>0</v>
      </c>
      <c r="AE995" s="25" t="str">
        <f t="shared" si="396"/>
        <v>null</v>
      </c>
      <c r="AF995" s="26" t="s">
        <v>0</v>
      </c>
      <c r="AG995" s="47" t="s">
        <v>2871</v>
      </c>
    </row>
    <row r="996" spans="1:33" ht="6.9" customHeight="1" x14ac:dyDescent="0.4">
      <c r="A996" s="4">
        <f>ROW()</f>
        <v>996</v>
      </c>
      <c r="B996" s="9" t="s">
        <v>27</v>
      </c>
      <c r="C996" s="55" t="str">
        <f>SUBSTITUTE(F996,"d.","p.")</f>
        <v>p.identificar</v>
      </c>
      <c r="D996" s="6" t="str">
        <f t="shared" si="398"/>
        <v>é.pseudônimo</v>
      </c>
      <c r="E996" s="8" t="s">
        <v>28</v>
      </c>
      <c r="F996" s="42" t="str">
        <f t="shared" si="390"/>
        <v>d.identificar</v>
      </c>
      <c r="G996" s="18" t="s">
        <v>6957</v>
      </c>
      <c r="H996" s="41" t="s">
        <v>2121</v>
      </c>
      <c r="I996" s="16" t="str">
        <f t="shared" si="397"/>
        <v>null</v>
      </c>
      <c r="J996" s="13" t="s">
        <v>0</v>
      </c>
      <c r="K996" s="13" t="s">
        <v>0</v>
      </c>
      <c r="L996" s="13" t="s">
        <v>0</v>
      </c>
      <c r="M996" s="13" t="s">
        <v>0</v>
      </c>
      <c r="N996" s="15" t="s">
        <v>0</v>
      </c>
      <c r="O996" s="13" t="s">
        <v>0</v>
      </c>
      <c r="P996" s="13" t="s">
        <v>0</v>
      </c>
      <c r="Q996" s="13" t="s">
        <v>0</v>
      </c>
      <c r="R996" s="15" t="s">
        <v>3645</v>
      </c>
      <c r="S996" s="10" t="s">
        <v>1</v>
      </c>
      <c r="T996" s="10" t="s">
        <v>32</v>
      </c>
      <c r="U996" s="5" t="str">
        <f t="shared" si="392"/>
        <v>Propriedade destinada a identificar: é.pseudônimo</v>
      </c>
      <c r="V996" s="5" t="str">
        <f t="shared" si="393"/>
        <v>Dado para identificar:  pseudônimo  Deve ser formatado como (rdfs:Literal  or  xsd:string)</v>
      </c>
      <c r="W996" s="5" t="s">
        <v>6956</v>
      </c>
      <c r="X996" s="24" t="str">
        <f t="shared" si="394"/>
        <v>ident.136</v>
      </c>
      <c r="Y996" s="24" t="str">
        <f t="shared" si="395"/>
        <v>Ação de identificar</v>
      </c>
      <c r="Z996" s="47" t="s">
        <v>3656</v>
      </c>
      <c r="AA996" s="25" t="str">
        <f t="shared" si="386"/>
        <v>null</v>
      </c>
      <c r="AB996" s="26" t="s">
        <v>0</v>
      </c>
      <c r="AC996" s="25" t="str">
        <f t="shared" si="387"/>
        <v>null</v>
      </c>
      <c r="AD996" s="26" t="s">
        <v>0</v>
      </c>
      <c r="AE996" s="25" t="str">
        <f t="shared" si="396"/>
        <v>null</v>
      </c>
      <c r="AF996" s="26" t="s">
        <v>0</v>
      </c>
      <c r="AG996" s="47" t="s">
        <v>3741</v>
      </c>
    </row>
    <row r="997" spans="1:33" ht="6.9" customHeight="1" x14ac:dyDescent="0.4">
      <c r="A997" s="4">
        <f>ROW()</f>
        <v>997</v>
      </c>
      <c r="B997" s="9" t="s">
        <v>27</v>
      </c>
      <c r="C997" s="55" t="str">
        <f t="shared" si="391"/>
        <v>p.identificar</v>
      </c>
      <c r="D997" s="6" t="str">
        <f t="shared" si="398"/>
        <v>é.renavan</v>
      </c>
      <c r="E997" s="8" t="s">
        <v>28</v>
      </c>
      <c r="F997" s="42" t="str">
        <f t="shared" si="390"/>
        <v>d.identificar</v>
      </c>
      <c r="G997" s="18" t="s">
        <v>394</v>
      </c>
      <c r="H997" s="41" t="s">
        <v>2121</v>
      </c>
      <c r="I997" s="16" t="str">
        <f t="shared" si="397"/>
        <v>Functional</v>
      </c>
      <c r="J997" s="13" t="s">
        <v>29</v>
      </c>
      <c r="K997" s="13" t="s">
        <v>281</v>
      </c>
      <c r="L997" s="13" t="s">
        <v>0</v>
      </c>
      <c r="M997" s="13" t="s">
        <v>0</v>
      </c>
      <c r="N997" s="15" t="s">
        <v>0</v>
      </c>
      <c r="O997" s="13" t="s">
        <v>0</v>
      </c>
      <c r="P997" s="13" t="s">
        <v>0</v>
      </c>
      <c r="Q997" s="13" t="s">
        <v>0</v>
      </c>
      <c r="R997" s="15" t="s">
        <v>0</v>
      </c>
      <c r="S997" s="10" t="s">
        <v>1</v>
      </c>
      <c r="T997" s="10" t="s">
        <v>32</v>
      </c>
      <c r="U997" s="5" t="str">
        <f t="shared" si="392"/>
        <v>Propriedade destinada a identificar: é.renavan</v>
      </c>
      <c r="V997" s="5" t="str">
        <f t="shared" si="393"/>
        <v>Dado para identificar:  renavan  Deve ser formatado como (rdfs:Literal  or  xsd:string)</v>
      </c>
      <c r="W997" s="5" t="s">
        <v>5783</v>
      </c>
      <c r="X997" s="24" t="str">
        <f t="shared" si="394"/>
        <v>ident.137</v>
      </c>
      <c r="Y997" s="24" t="str">
        <f t="shared" si="395"/>
        <v>Ação de identificar</v>
      </c>
      <c r="Z997" s="47" t="s">
        <v>3676</v>
      </c>
      <c r="AA997" s="25" t="str">
        <f t="shared" si="386"/>
        <v>null</v>
      </c>
      <c r="AB997" s="26" t="s">
        <v>0</v>
      </c>
      <c r="AC997" s="25" t="str">
        <f t="shared" si="387"/>
        <v>null</v>
      </c>
      <c r="AD997" s="26" t="s">
        <v>0</v>
      </c>
      <c r="AE997" s="25" t="str">
        <f t="shared" si="396"/>
        <v>null</v>
      </c>
      <c r="AF997" s="26" t="s">
        <v>0</v>
      </c>
      <c r="AG997" s="47" t="s">
        <v>2872</v>
      </c>
    </row>
    <row r="998" spans="1:33" ht="6.9" customHeight="1" x14ac:dyDescent="0.4">
      <c r="A998" s="4">
        <f>ROW()</f>
        <v>998</v>
      </c>
      <c r="B998" s="9" t="s">
        <v>27</v>
      </c>
      <c r="C998" s="55" t="str">
        <f t="shared" si="391"/>
        <v>p.identificar</v>
      </c>
      <c r="D998" s="6" t="str">
        <f t="shared" si="398"/>
        <v>é.responsável</v>
      </c>
      <c r="E998" s="8" t="s">
        <v>28</v>
      </c>
      <c r="F998" s="42" t="str">
        <f t="shared" si="390"/>
        <v>d.identificar</v>
      </c>
      <c r="G998" s="18" t="s">
        <v>475</v>
      </c>
      <c r="H998" s="41" t="s">
        <v>2121</v>
      </c>
      <c r="I998" s="16" t="str">
        <f t="shared" si="397"/>
        <v>null</v>
      </c>
      <c r="J998" s="15" t="s">
        <v>0</v>
      </c>
      <c r="K998" s="15" t="s">
        <v>0</v>
      </c>
      <c r="L998" s="13" t="s">
        <v>0</v>
      </c>
      <c r="M998" s="13" t="s">
        <v>0</v>
      </c>
      <c r="N998" s="15" t="s">
        <v>0</v>
      </c>
      <c r="O998" s="13" t="s">
        <v>0</v>
      </c>
      <c r="P998" s="13" t="s">
        <v>0</v>
      </c>
      <c r="Q998" s="13" t="s">
        <v>0</v>
      </c>
      <c r="R998" s="15" t="s">
        <v>0</v>
      </c>
      <c r="S998" s="10" t="s">
        <v>1</v>
      </c>
      <c r="T998" s="10" t="s">
        <v>32</v>
      </c>
      <c r="U998" s="5" t="str">
        <f t="shared" si="392"/>
        <v>Propriedade destinada a identificar: é.responsável</v>
      </c>
      <c r="V998" s="5" t="str">
        <f t="shared" si="393"/>
        <v>Dado para identificar:  responsável  Deve ser formatado como (rdfs:Literal  or  xsd:string)</v>
      </c>
      <c r="W998" s="5" t="s">
        <v>5784</v>
      </c>
      <c r="X998" s="24" t="str">
        <f t="shared" si="394"/>
        <v>ident.138</v>
      </c>
      <c r="Y998" s="24" t="str">
        <f t="shared" si="395"/>
        <v>Ação de identificar</v>
      </c>
      <c r="Z998" s="47" t="s">
        <v>1521</v>
      </c>
      <c r="AA998" s="25" t="str">
        <f t="shared" si="386"/>
        <v>null</v>
      </c>
      <c r="AB998" s="26" t="s">
        <v>0</v>
      </c>
      <c r="AC998" s="25" t="str">
        <f t="shared" si="387"/>
        <v>null</v>
      </c>
      <c r="AD998" s="26" t="s">
        <v>0</v>
      </c>
      <c r="AE998" s="25" t="str">
        <f t="shared" si="396"/>
        <v>null</v>
      </c>
      <c r="AF998" s="26" t="s">
        <v>0</v>
      </c>
      <c r="AG998" s="47" t="s">
        <v>2873</v>
      </c>
    </row>
    <row r="999" spans="1:33" ht="6.9" customHeight="1" x14ac:dyDescent="0.4">
      <c r="A999" s="4">
        <f>ROW()</f>
        <v>999</v>
      </c>
      <c r="B999" s="9" t="s">
        <v>27</v>
      </c>
      <c r="C999" s="55" t="str">
        <f t="shared" si="391"/>
        <v>p.identificar</v>
      </c>
      <c r="D999" s="6" t="str">
        <f t="shared" si="398"/>
        <v>é.rg</v>
      </c>
      <c r="E999" s="8" t="s">
        <v>28</v>
      </c>
      <c r="F999" s="42" t="str">
        <f t="shared" si="390"/>
        <v>d.identificar</v>
      </c>
      <c r="G999" s="18" t="s">
        <v>396</v>
      </c>
      <c r="H999" s="41" t="s">
        <v>2121</v>
      </c>
      <c r="I999" s="16" t="str">
        <f t="shared" si="397"/>
        <v>Functional</v>
      </c>
      <c r="J999" s="13" t="s">
        <v>29</v>
      </c>
      <c r="K999" s="13" t="s">
        <v>281</v>
      </c>
      <c r="L999" s="13" t="s">
        <v>0</v>
      </c>
      <c r="M999" s="13" t="s">
        <v>0</v>
      </c>
      <c r="N999" s="15" t="s">
        <v>0</v>
      </c>
      <c r="O999" s="13" t="s">
        <v>0</v>
      </c>
      <c r="P999" s="13" t="s">
        <v>0</v>
      </c>
      <c r="Q999" s="13" t="s">
        <v>0</v>
      </c>
      <c r="R999" s="15" t="s">
        <v>0</v>
      </c>
      <c r="S999" s="10" t="s">
        <v>1</v>
      </c>
      <c r="T999" s="10" t="s">
        <v>32</v>
      </c>
      <c r="U999" s="5" t="str">
        <f t="shared" si="392"/>
        <v>Propriedade destinada a identificar: é.rg</v>
      </c>
      <c r="V999" s="5" t="str">
        <f t="shared" si="393"/>
        <v>Dado para identificar:  rg  Deve ser formatado como (rdfs:Literal  or  xsd:string)</v>
      </c>
      <c r="W999" s="5" t="s">
        <v>5785</v>
      </c>
      <c r="X999" s="24" t="str">
        <f t="shared" si="394"/>
        <v>ident.139</v>
      </c>
      <c r="Y999" s="24" t="str">
        <f t="shared" si="395"/>
        <v>Ação de identificar</v>
      </c>
      <c r="Z999" s="47" t="s">
        <v>1520</v>
      </c>
      <c r="AA999" s="25" t="str">
        <f t="shared" si="386"/>
        <v>null</v>
      </c>
      <c r="AB999" s="26" t="s">
        <v>0</v>
      </c>
      <c r="AC999" s="25" t="str">
        <f t="shared" si="387"/>
        <v>null</v>
      </c>
      <c r="AD999" s="26" t="s">
        <v>0</v>
      </c>
      <c r="AE999" s="25" t="str">
        <f t="shared" si="396"/>
        <v>null</v>
      </c>
      <c r="AF999" s="26" t="s">
        <v>0</v>
      </c>
      <c r="AG999" s="47" t="s">
        <v>4085</v>
      </c>
    </row>
    <row r="1000" spans="1:33" ht="6.9" customHeight="1" x14ac:dyDescent="0.4">
      <c r="A1000" s="4">
        <f>ROW()</f>
        <v>1000</v>
      </c>
      <c r="B1000" s="9" t="s">
        <v>27</v>
      </c>
      <c r="C1000" s="55" t="str">
        <f t="shared" si="391"/>
        <v>p.identificar</v>
      </c>
      <c r="D1000" s="6" t="str">
        <f t="shared" si="398"/>
        <v>é.rne</v>
      </c>
      <c r="E1000" s="8" t="s">
        <v>28</v>
      </c>
      <c r="F1000" s="42" t="str">
        <f t="shared" si="390"/>
        <v>d.identificar</v>
      </c>
      <c r="G1000" s="18" t="s">
        <v>397</v>
      </c>
      <c r="H1000" s="41" t="s">
        <v>2121</v>
      </c>
      <c r="I1000" s="16" t="str">
        <f t="shared" si="397"/>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392"/>
        <v>Propriedade destinada a identificar: é.rne</v>
      </c>
      <c r="V1000" s="5" t="str">
        <f t="shared" si="393"/>
        <v>Dado para identificar:  rne  Deve ser formatado como (rdfs:Literal  or  xsd:string)</v>
      </c>
      <c r="W1000" s="5" t="s">
        <v>5786</v>
      </c>
      <c r="X1000" s="24" t="str">
        <f t="shared" si="394"/>
        <v>ident.140</v>
      </c>
      <c r="Y1000" s="24" t="str">
        <f t="shared" si="395"/>
        <v>Ação de identificar</v>
      </c>
      <c r="Z1000" s="47" t="s">
        <v>3677</v>
      </c>
      <c r="AA1000" s="25" t="str">
        <f t="shared" si="386"/>
        <v>null</v>
      </c>
      <c r="AB1000" s="26" t="s">
        <v>0</v>
      </c>
      <c r="AC1000" s="25" t="str">
        <f t="shared" si="387"/>
        <v>null</v>
      </c>
      <c r="AD1000" s="26" t="s">
        <v>0</v>
      </c>
      <c r="AE1000" s="25" t="str">
        <f t="shared" si="396"/>
        <v>null</v>
      </c>
      <c r="AF1000" s="26" t="s">
        <v>0</v>
      </c>
      <c r="AG1000" s="47" t="s">
        <v>4086</v>
      </c>
    </row>
    <row r="1001" spans="1:33" ht="6.9" customHeight="1" x14ac:dyDescent="0.4">
      <c r="A1001" s="4">
        <f>ROW()</f>
        <v>1001</v>
      </c>
      <c r="B1001" s="9" t="s">
        <v>27</v>
      </c>
      <c r="C1001" s="55" t="str">
        <f t="shared" si="391"/>
        <v>p.identificar</v>
      </c>
      <c r="D1001" s="6" t="str">
        <f t="shared" si="398"/>
        <v>é.sediado.em</v>
      </c>
      <c r="E1001" s="8" t="s">
        <v>28</v>
      </c>
      <c r="F1001" s="42" t="str">
        <f t="shared" si="390"/>
        <v>d.identificar</v>
      </c>
      <c r="G1001" s="18" t="s">
        <v>2264</v>
      </c>
      <c r="H1001" s="41" t="s">
        <v>2121</v>
      </c>
      <c r="I1001" s="16" t="str">
        <f t="shared" si="397"/>
        <v>null</v>
      </c>
      <c r="J1001" s="15" t="s">
        <v>0</v>
      </c>
      <c r="K1001" s="15" t="s">
        <v>0</v>
      </c>
      <c r="L1001" s="13" t="s">
        <v>0</v>
      </c>
      <c r="M1001" s="13" t="s">
        <v>0</v>
      </c>
      <c r="N1001" s="15" t="s">
        <v>0</v>
      </c>
      <c r="O1001" s="13" t="s">
        <v>0</v>
      </c>
      <c r="P1001" s="13" t="s">
        <v>0</v>
      </c>
      <c r="Q1001" s="13" t="s">
        <v>0</v>
      </c>
      <c r="R1001" s="15" t="s">
        <v>0</v>
      </c>
      <c r="S1001" s="10" t="s">
        <v>1</v>
      </c>
      <c r="T1001" s="10" t="s">
        <v>32</v>
      </c>
      <c r="U1001" s="5" t="str">
        <f t="shared" si="392"/>
        <v>Propriedade destinada a identificar: é.sediado.em</v>
      </c>
      <c r="V1001" s="5" t="str">
        <f t="shared" si="393"/>
        <v>Dado para identificar:  sediado.em  Deve ser formatado como (rdfs:Literal  or  xsd:string)</v>
      </c>
      <c r="W1001" s="5" t="s">
        <v>5787</v>
      </c>
      <c r="X1001" s="24" t="str">
        <f t="shared" si="394"/>
        <v>ident.141</v>
      </c>
      <c r="Y1001" s="24" t="str">
        <f t="shared" si="395"/>
        <v>Ação de identificar</v>
      </c>
      <c r="Z1001" s="47" t="s">
        <v>3678</v>
      </c>
      <c r="AA1001" s="25" t="str">
        <f t="shared" si="386"/>
        <v>null</v>
      </c>
      <c r="AB1001" s="26" t="s">
        <v>0</v>
      </c>
      <c r="AC1001" s="25" t="str">
        <f t="shared" si="387"/>
        <v>null</v>
      </c>
      <c r="AD1001" s="26" t="s">
        <v>0</v>
      </c>
      <c r="AE1001" s="25" t="str">
        <f t="shared" si="396"/>
        <v>null</v>
      </c>
      <c r="AF1001" s="26" t="s">
        <v>0</v>
      </c>
      <c r="AG1001" s="47" t="s">
        <v>2874</v>
      </c>
    </row>
    <row r="1002" spans="1:33" ht="6.9" customHeight="1" x14ac:dyDescent="0.4">
      <c r="A1002" s="4">
        <f>ROW()</f>
        <v>1002</v>
      </c>
      <c r="B1002" s="9" t="s">
        <v>27</v>
      </c>
      <c r="C1002" s="55" t="str">
        <f t="shared" si="391"/>
        <v>p.identificar</v>
      </c>
      <c r="D1002" s="6" t="str">
        <f t="shared" si="398"/>
        <v>é.sigla</v>
      </c>
      <c r="E1002" s="8" t="s">
        <v>28</v>
      </c>
      <c r="F1002" s="42" t="str">
        <f t="shared" si="390"/>
        <v>d.identificar</v>
      </c>
      <c r="G1002" s="18" t="s">
        <v>136</v>
      </c>
      <c r="H1002" s="41" t="s">
        <v>2121</v>
      </c>
      <c r="I1002" s="16" t="str">
        <f t="shared" si="39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392"/>
        <v>Propriedade destinada a identificar: é.sigla</v>
      </c>
      <c r="V1002" s="5" t="str">
        <f t="shared" si="393"/>
        <v>Dado para identificar:  sigla  Deve ser formatado como (rdfs:Literal  or  xsd:string)</v>
      </c>
      <c r="W1002" s="5" t="s">
        <v>5758</v>
      </c>
      <c r="X1002" s="24" t="str">
        <f t="shared" si="394"/>
        <v>ident.142</v>
      </c>
      <c r="Y1002" s="24" t="str">
        <f t="shared" si="395"/>
        <v>Ação de identificar</v>
      </c>
      <c r="Z1002" s="47" t="s">
        <v>1509</v>
      </c>
      <c r="AA1002" s="25" t="str">
        <f t="shared" si="386"/>
        <v>null</v>
      </c>
      <c r="AB1002" s="26" t="s">
        <v>0</v>
      </c>
      <c r="AC1002" s="25" t="str">
        <f t="shared" si="387"/>
        <v>null</v>
      </c>
      <c r="AD1002" s="26" t="s">
        <v>0</v>
      </c>
      <c r="AE1002" s="25" t="str">
        <f t="shared" si="396"/>
        <v>null</v>
      </c>
      <c r="AF1002" s="26" t="s">
        <v>0</v>
      </c>
      <c r="AG1002" s="47" t="s">
        <v>2857</v>
      </c>
    </row>
    <row r="1003" spans="1:33" ht="6.9" customHeight="1" x14ac:dyDescent="0.4">
      <c r="A1003" s="4">
        <f>ROW()</f>
        <v>1003</v>
      </c>
      <c r="B1003" s="9" t="s">
        <v>27</v>
      </c>
      <c r="C1003" s="55" t="str">
        <f t="shared" si="391"/>
        <v>p.identificar</v>
      </c>
      <c r="D1003" s="6" t="str">
        <f t="shared" si="398"/>
        <v>é.título.eleitoral</v>
      </c>
      <c r="E1003" s="8" t="s">
        <v>28</v>
      </c>
      <c r="F1003" s="42" t="str">
        <f t="shared" si="390"/>
        <v>d.identificar</v>
      </c>
      <c r="G1003" s="18" t="s">
        <v>735</v>
      </c>
      <c r="H1003" s="41" t="s">
        <v>2121</v>
      </c>
      <c r="I1003" s="16" t="str">
        <f t="shared" si="397"/>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392"/>
        <v>Propriedade destinada a identificar: é.título.eleitoral</v>
      </c>
      <c r="V1003" s="5" t="str">
        <f t="shared" si="393"/>
        <v>Dado para identificar:  título.eleitoral  Deve ser formatado como (rdfs:Literal  or  xsd:string)</v>
      </c>
      <c r="W1003" s="5" t="s">
        <v>5788</v>
      </c>
      <c r="X1003" s="24" t="str">
        <f t="shared" si="394"/>
        <v>ident.143</v>
      </c>
      <c r="Y1003" s="24" t="str">
        <f t="shared" si="395"/>
        <v>Ação de identificar</v>
      </c>
      <c r="Z1003" s="47" t="s">
        <v>1517</v>
      </c>
      <c r="AA1003" s="25" t="str">
        <f t="shared" si="386"/>
        <v>null</v>
      </c>
      <c r="AB1003" s="26" t="s">
        <v>0</v>
      </c>
      <c r="AC1003" s="25" t="str">
        <f t="shared" si="387"/>
        <v>null</v>
      </c>
      <c r="AD1003" s="26" t="s">
        <v>0</v>
      </c>
      <c r="AE1003" s="25" t="str">
        <f t="shared" si="396"/>
        <v>null</v>
      </c>
      <c r="AF1003" s="26" t="s">
        <v>0</v>
      </c>
      <c r="AG1003" s="47" t="s">
        <v>2875</v>
      </c>
    </row>
    <row r="1004" spans="1:33" ht="6.9" customHeight="1" x14ac:dyDescent="0.4">
      <c r="A1004" s="4">
        <f>ROW()</f>
        <v>1004</v>
      </c>
      <c r="B1004" s="9" t="s">
        <v>27</v>
      </c>
      <c r="C1004" s="55" t="str">
        <f t="shared" si="391"/>
        <v>p.identificar</v>
      </c>
      <c r="D1004" s="6" t="str">
        <f t="shared" si="398"/>
        <v>é.uuid</v>
      </c>
      <c r="E1004" s="8" t="s">
        <v>28</v>
      </c>
      <c r="F1004" s="42" t="str">
        <f t="shared" si="390"/>
        <v>d.identificar</v>
      </c>
      <c r="G1004" s="18" t="s">
        <v>282</v>
      </c>
      <c r="H1004" s="41" t="s">
        <v>2121</v>
      </c>
      <c r="I1004" s="16" t="str">
        <f t="shared" si="397"/>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392"/>
        <v>Propriedade destinada a identificar: é.uuid</v>
      </c>
      <c r="V1004" s="5" t="str">
        <f t="shared" si="393"/>
        <v>Dado para identificar:  uuid  Deve ser formatado como (rdfs:Literal  or  xsd:string)</v>
      </c>
      <c r="W1004" s="5" t="s">
        <v>5789</v>
      </c>
      <c r="X1004" s="24" t="str">
        <f t="shared" si="394"/>
        <v>ident.144</v>
      </c>
      <c r="Y1004" s="24" t="str">
        <f t="shared" si="395"/>
        <v>Ação de identificar</v>
      </c>
      <c r="Z1004" s="47" t="s">
        <v>3679</v>
      </c>
      <c r="AA1004" s="25" t="str">
        <f t="shared" si="386"/>
        <v>null</v>
      </c>
      <c r="AB1004" s="26" t="s">
        <v>0</v>
      </c>
      <c r="AC1004" s="25" t="str">
        <f t="shared" si="387"/>
        <v>null</v>
      </c>
      <c r="AD1004" s="26" t="s">
        <v>0</v>
      </c>
      <c r="AE1004" s="25" t="str">
        <f t="shared" si="396"/>
        <v>null</v>
      </c>
      <c r="AF1004" s="26" t="s">
        <v>0</v>
      </c>
      <c r="AG1004" s="47" t="s">
        <v>2876</v>
      </c>
    </row>
    <row r="1005" spans="1:33" ht="6.9" customHeight="1" x14ac:dyDescent="0.4">
      <c r="A1005" s="4">
        <f>ROW()</f>
        <v>1005</v>
      </c>
      <c r="B1005" s="9" t="s">
        <v>27</v>
      </c>
      <c r="C1005" s="55" t="str">
        <f t="shared" si="391"/>
        <v>p.identificar</v>
      </c>
      <c r="D1005" s="6" t="str">
        <f t="shared" si="398"/>
        <v>é.visitante</v>
      </c>
      <c r="E1005" s="8" t="s">
        <v>28</v>
      </c>
      <c r="F1005" s="42" t="str">
        <f t="shared" si="390"/>
        <v>d.identificar</v>
      </c>
      <c r="G1005" s="18" t="s">
        <v>276</v>
      </c>
      <c r="H1005" s="41" t="s">
        <v>2121</v>
      </c>
      <c r="I1005" s="16" t="str">
        <f t="shared" si="397"/>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392"/>
        <v>Propriedade destinada a identificar: é.visitante</v>
      </c>
      <c r="V1005" s="5" t="str">
        <f t="shared" si="393"/>
        <v>Dado para identificar:  visitante  Deve ser formatado como (rdfs:Literal  or  xsd:string)</v>
      </c>
      <c r="W1005" s="5" t="s">
        <v>5790</v>
      </c>
      <c r="X1005" s="24" t="str">
        <f t="shared" si="394"/>
        <v>ident.145</v>
      </c>
      <c r="Y1005" s="24" t="str">
        <f t="shared" si="395"/>
        <v>Ação de identificar</v>
      </c>
      <c r="Z1005" s="47" t="s">
        <v>1514</v>
      </c>
      <c r="AA1005" s="25" t="str">
        <f t="shared" si="386"/>
        <v>null</v>
      </c>
      <c r="AB1005" s="26" t="s">
        <v>0</v>
      </c>
      <c r="AC1005" s="25" t="str">
        <f t="shared" si="387"/>
        <v>null</v>
      </c>
      <c r="AD1005" s="26" t="s">
        <v>0</v>
      </c>
      <c r="AE1005" s="25" t="str">
        <f t="shared" si="396"/>
        <v>null</v>
      </c>
      <c r="AF1005" s="26" t="s">
        <v>0</v>
      </c>
      <c r="AG1005" s="47" t="s">
        <v>2877</v>
      </c>
    </row>
    <row r="1006" spans="1:33" ht="6.9" customHeight="1" x14ac:dyDescent="0.4">
      <c r="A1006" s="4">
        <f>ROW()</f>
        <v>1006</v>
      </c>
      <c r="B1006" s="9" t="s">
        <v>27</v>
      </c>
      <c r="C1006" s="54" t="str">
        <f t="shared" si="391"/>
        <v>p.iluminar</v>
      </c>
      <c r="D1006" s="6" t="str">
        <f t="shared" si="398"/>
        <v>é.iluminador.de</v>
      </c>
      <c r="E1006" s="8" t="s">
        <v>28</v>
      </c>
      <c r="F1006" s="51" t="s">
        <v>3587</v>
      </c>
      <c r="G1006" s="17" t="s">
        <v>4404</v>
      </c>
      <c r="H1006" s="42" t="s">
        <v>2121</v>
      </c>
      <c r="I1006" s="16" t="str">
        <f t="shared" si="397"/>
        <v>null</v>
      </c>
      <c r="J1006" s="15" t="s">
        <v>0</v>
      </c>
      <c r="K1006" s="15" t="s">
        <v>0</v>
      </c>
      <c r="L1006" s="15" t="s">
        <v>0</v>
      </c>
      <c r="M1006" s="15" t="s">
        <v>0</v>
      </c>
      <c r="N1006" s="15" t="s">
        <v>0</v>
      </c>
      <c r="O1006" s="15" t="s">
        <v>0</v>
      </c>
      <c r="P1006" s="15" t="s">
        <v>0</v>
      </c>
      <c r="Q1006" s="15" t="s">
        <v>740</v>
      </c>
      <c r="R1006" s="15" t="s">
        <v>0</v>
      </c>
      <c r="S1006" s="10" t="s">
        <v>1</v>
      </c>
      <c r="T1006" s="10" t="s">
        <v>32</v>
      </c>
      <c r="U1006" s="5" t="str">
        <f t="shared" si="392"/>
        <v>Propriedade destinada a iluminar: é.iluminador.de</v>
      </c>
      <c r="V1006" s="5" t="str">
        <f t="shared" si="393"/>
        <v>Dado para iluminar:  iluminador.de  Deve ser formatado como (rdfs:Literal  or  xsd:string)</v>
      </c>
      <c r="W1006" s="5" t="s">
        <v>5791</v>
      </c>
      <c r="X1006" s="24" t="str">
        <f t="shared" si="394"/>
        <v>ilumi.100</v>
      </c>
      <c r="Y1006" s="24" t="str">
        <f t="shared" si="395"/>
        <v>Ação de iluminar</v>
      </c>
      <c r="Z1006" s="47" t="s">
        <v>3972</v>
      </c>
      <c r="AA1006" s="25" t="str">
        <f t="shared" si="386"/>
        <v>categoria.revit</v>
      </c>
      <c r="AB1006" s="26" t="s">
        <v>3509</v>
      </c>
      <c r="AC1006" s="25" t="str">
        <f t="shared" si="387"/>
        <v>classe.ifc</v>
      </c>
      <c r="AD1006" s="26" t="s">
        <v>3472</v>
      </c>
      <c r="AE1006" s="25" t="str">
        <f t="shared" si="396"/>
        <v>propriedade</v>
      </c>
      <c r="AF1006" s="26" t="s">
        <v>2393</v>
      </c>
      <c r="AG1006" s="47" t="s">
        <v>4032</v>
      </c>
    </row>
    <row r="1007" spans="1:33" ht="6.9" customHeight="1" x14ac:dyDescent="0.4">
      <c r="A1007" s="4">
        <f>ROW()</f>
        <v>1007</v>
      </c>
      <c r="B1007" s="9" t="s">
        <v>27</v>
      </c>
      <c r="C1007" s="55" t="str">
        <f t="shared" si="391"/>
        <v>p.iluminar</v>
      </c>
      <c r="D1007" s="6" t="str">
        <f t="shared" si="398"/>
        <v>é.iluminado.por</v>
      </c>
      <c r="E1007" s="8" t="s">
        <v>28</v>
      </c>
      <c r="F1007" s="42" t="str">
        <f t="shared" ref="F1007:F1020" si="408">F1006</f>
        <v>d.iluminar</v>
      </c>
      <c r="G1007" s="17" t="s">
        <v>4405</v>
      </c>
      <c r="H1007" s="42" t="s">
        <v>2121</v>
      </c>
      <c r="I1007" s="16" t="str">
        <f t="shared" si="397"/>
        <v>null</v>
      </c>
      <c r="J1007" s="15" t="s">
        <v>0</v>
      </c>
      <c r="K1007" s="15" t="s">
        <v>0</v>
      </c>
      <c r="L1007" s="15" t="s">
        <v>0</v>
      </c>
      <c r="M1007" s="15" t="s">
        <v>0</v>
      </c>
      <c r="N1007" s="15" t="s">
        <v>0</v>
      </c>
      <c r="O1007" s="15" t="s">
        <v>0</v>
      </c>
      <c r="P1007" s="15" t="s">
        <v>0</v>
      </c>
      <c r="Q1007" s="15" t="s">
        <v>741</v>
      </c>
      <c r="R1007" s="15" t="s">
        <v>0</v>
      </c>
      <c r="S1007" s="10" t="s">
        <v>1</v>
      </c>
      <c r="T1007" s="10" t="s">
        <v>32</v>
      </c>
      <c r="U1007" s="5" t="str">
        <f t="shared" si="392"/>
        <v>Propriedade destinada a iluminar: é.iluminado.por</v>
      </c>
      <c r="V1007" s="5" t="str">
        <f t="shared" si="393"/>
        <v>Dado para iluminar:  iluminado.por  Deve ser formatado como (rdfs:Literal  or  xsd:string)</v>
      </c>
      <c r="W1007" s="5" t="s">
        <v>5792</v>
      </c>
      <c r="X1007" s="24" t="str">
        <f t="shared" si="394"/>
        <v>ilumi.101</v>
      </c>
      <c r="Y1007" s="24" t="str">
        <f t="shared" si="395"/>
        <v>Ação de iluminar</v>
      </c>
      <c r="Z1007" s="47" t="s">
        <v>3973</v>
      </c>
      <c r="AA1007" s="25" t="str">
        <f t="shared" si="386"/>
        <v>categoria.revit</v>
      </c>
      <c r="AB1007" s="26" t="s">
        <v>3509</v>
      </c>
      <c r="AC1007" s="25" t="str">
        <f t="shared" si="387"/>
        <v>classe.ifc</v>
      </c>
      <c r="AD1007" s="26" t="s">
        <v>3472</v>
      </c>
      <c r="AE1007" s="25" t="str">
        <f t="shared" si="396"/>
        <v>propriedade</v>
      </c>
      <c r="AF1007" s="26" t="s">
        <v>2393</v>
      </c>
      <c r="AG1007" s="47" t="s">
        <v>4033</v>
      </c>
    </row>
    <row r="1008" spans="1:33" ht="6.9" customHeight="1" x14ac:dyDescent="0.4">
      <c r="A1008" s="4">
        <f>ROW()</f>
        <v>1008</v>
      </c>
      <c r="B1008" s="9" t="s">
        <v>27</v>
      </c>
      <c r="C1008" s="55" t="str">
        <f t="shared" si="391"/>
        <v>p.iluminar</v>
      </c>
      <c r="D1008" s="6" t="str">
        <f t="shared" si="398"/>
        <v>é.luz.natural</v>
      </c>
      <c r="E1008" s="8" t="s">
        <v>28</v>
      </c>
      <c r="F1008" s="42" t="str">
        <f t="shared" si="408"/>
        <v>d.iluminar</v>
      </c>
      <c r="G1008" s="17" t="s">
        <v>742</v>
      </c>
      <c r="H1008" s="42" t="s">
        <v>36</v>
      </c>
      <c r="I1008" s="16" t="str">
        <f t="shared" si="39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392"/>
        <v>Propriedade destinada a iluminar: é.luz.natural</v>
      </c>
      <c r="V1008" s="5" t="str">
        <f t="shared" si="393"/>
        <v>Dado para iluminar:  luz.natural  Deve ser formatado como (xsd:double)</v>
      </c>
      <c r="W1008" s="5" t="s">
        <v>5793</v>
      </c>
      <c r="X1008" s="24" t="str">
        <f t="shared" si="394"/>
        <v>ilumi.102</v>
      </c>
      <c r="Y1008" s="24" t="str">
        <f t="shared" si="395"/>
        <v>Ação de iluminar</v>
      </c>
      <c r="Z1008" s="47" t="s">
        <v>1522</v>
      </c>
      <c r="AA1008" s="25" t="str">
        <f t="shared" si="386"/>
        <v>categoria.revit</v>
      </c>
      <c r="AB1008" s="26" t="s">
        <v>3509</v>
      </c>
      <c r="AC1008" s="25" t="str">
        <f t="shared" si="387"/>
        <v>classe.ifc</v>
      </c>
      <c r="AD1008" s="26" t="s">
        <v>3472</v>
      </c>
      <c r="AE1008" s="25" t="str">
        <f t="shared" si="396"/>
        <v>propriedade</v>
      </c>
      <c r="AF1008" s="26" t="s">
        <v>2393</v>
      </c>
      <c r="AG1008" s="47" t="s">
        <v>2878</v>
      </c>
    </row>
    <row r="1009" spans="1:33" ht="6.9" customHeight="1" x14ac:dyDescent="0.4">
      <c r="A1009" s="4">
        <f>ROW()</f>
        <v>1009</v>
      </c>
      <c r="B1009" s="9" t="s">
        <v>27</v>
      </c>
      <c r="C1009" s="55" t="str">
        <f t="shared" si="391"/>
        <v>p.iluminar</v>
      </c>
      <c r="D1009" s="6" t="str">
        <f t="shared" si="398"/>
        <v>é.luz.focal</v>
      </c>
      <c r="E1009" s="8" t="s">
        <v>28</v>
      </c>
      <c r="F1009" s="42" t="str">
        <f t="shared" si="408"/>
        <v>d.iluminar</v>
      </c>
      <c r="G1009" s="17" t="s">
        <v>743</v>
      </c>
      <c r="H1009" s="42" t="s">
        <v>36</v>
      </c>
      <c r="I1009" s="16" t="str">
        <f t="shared" si="39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392"/>
        <v>Propriedade destinada a iluminar: é.luz.focal</v>
      </c>
      <c r="V1009" s="5" t="str">
        <f t="shared" si="393"/>
        <v>Dado para iluminar:  luz.focal  Deve ser formatado como (xsd:double)</v>
      </c>
      <c r="W1009" s="5" t="s">
        <v>5794</v>
      </c>
      <c r="X1009" s="24" t="str">
        <f t="shared" si="394"/>
        <v>ilumi.103</v>
      </c>
      <c r="Y1009" s="24" t="str">
        <f t="shared" si="395"/>
        <v>Ação de iluminar</v>
      </c>
      <c r="Z1009" s="47" t="s">
        <v>1523</v>
      </c>
      <c r="AA1009" s="25" t="str">
        <f t="shared" si="386"/>
        <v>categoria.revit</v>
      </c>
      <c r="AB1009" s="26" t="s">
        <v>3509</v>
      </c>
      <c r="AC1009" s="25" t="str">
        <f t="shared" si="387"/>
        <v>classe.ifc</v>
      </c>
      <c r="AD1009" s="26" t="s">
        <v>3472</v>
      </c>
      <c r="AE1009" s="25" t="str">
        <f t="shared" si="396"/>
        <v>propriedade</v>
      </c>
      <c r="AF1009" s="26" t="s">
        <v>2393</v>
      </c>
      <c r="AG1009" s="47" t="s">
        <v>2879</v>
      </c>
    </row>
    <row r="1010" spans="1:33" ht="6.9" customHeight="1" x14ac:dyDescent="0.4">
      <c r="A1010" s="4">
        <f>ROW()</f>
        <v>1010</v>
      </c>
      <c r="B1010" s="9" t="s">
        <v>27</v>
      </c>
      <c r="C1010" s="55" t="str">
        <f t="shared" si="391"/>
        <v>p.iluminar</v>
      </c>
      <c r="D1010" s="6" t="str">
        <f t="shared" si="398"/>
        <v>é.luz.de.trabalho</v>
      </c>
      <c r="E1010" s="8" t="s">
        <v>28</v>
      </c>
      <c r="F1010" s="42" t="str">
        <f t="shared" si="408"/>
        <v>d.iluminar</v>
      </c>
      <c r="G1010" s="17" t="s">
        <v>744</v>
      </c>
      <c r="H1010" s="42" t="s">
        <v>36</v>
      </c>
      <c r="I1010" s="16" t="str">
        <f t="shared" si="39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392"/>
        <v>Propriedade destinada a iluminar: é.luz.de.trabalho</v>
      </c>
      <c r="V1010" s="5" t="str">
        <f t="shared" si="393"/>
        <v>Dado para iluminar:  luz.de.trabalho  Deve ser formatado como (xsd:double)</v>
      </c>
      <c r="W1010" s="5" t="s">
        <v>5795</v>
      </c>
      <c r="X1010" s="24" t="str">
        <f t="shared" si="394"/>
        <v>ilumi.104</v>
      </c>
      <c r="Y1010" s="24" t="str">
        <f t="shared" si="395"/>
        <v>Ação de iluminar</v>
      </c>
      <c r="Z1010" s="47" t="s">
        <v>1524</v>
      </c>
      <c r="AA1010" s="25" t="str">
        <f t="shared" si="386"/>
        <v>categoria.revit</v>
      </c>
      <c r="AB1010" s="26" t="s">
        <v>3509</v>
      </c>
      <c r="AC1010" s="25" t="str">
        <f t="shared" si="387"/>
        <v>classe.ifc</v>
      </c>
      <c r="AD1010" s="26" t="s">
        <v>3472</v>
      </c>
      <c r="AE1010" s="25" t="str">
        <f t="shared" si="396"/>
        <v>propriedade</v>
      </c>
      <c r="AF1010" s="26" t="s">
        <v>2393</v>
      </c>
      <c r="AG1010" s="47" t="s">
        <v>2880</v>
      </c>
    </row>
    <row r="1011" spans="1:33" ht="6.9" customHeight="1" x14ac:dyDescent="0.4">
      <c r="A1011" s="4">
        <f>ROW()</f>
        <v>1011</v>
      </c>
      <c r="B1011" s="9" t="s">
        <v>27</v>
      </c>
      <c r="C1011" s="55" t="str">
        <f t="shared" si="391"/>
        <v>p.iluminar</v>
      </c>
      <c r="D1011" s="6" t="str">
        <f t="shared" si="398"/>
        <v>é.luz.de.emergência</v>
      </c>
      <c r="E1011" s="8" t="s">
        <v>28</v>
      </c>
      <c r="F1011" s="42" t="str">
        <f t="shared" si="408"/>
        <v>d.iluminar</v>
      </c>
      <c r="G1011" s="17" t="s">
        <v>745</v>
      </c>
      <c r="H1011" s="42" t="s">
        <v>36</v>
      </c>
      <c r="I1011" s="16" t="str">
        <f t="shared" si="39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392"/>
        <v>Propriedade destinada a iluminar: é.luz.de.emergência</v>
      </c>
      <c r="V1011" s="5" t="str">
        <f t="shared" si="393"/>
        <v>Dado para iluminar:  luz.de.emergência  Deve ser formatado como (xsd:double)</v>
      </c>
      <c r="W1011" s="5" t="s">
        <v>5796</v>
      </c>
      <c r="X1011" s="24" t="str">
        <f t="shared" si="394"/>
        <v>ilumi.105</v>
      </c>
      <c r="Y1011" s="24" t="str">
        <f t="shared" si="395"/>
        <v>Ação de iluminar</v>
      </c>
      <c r="Z1011" s="47" t="s">
        <v>1525</v>
      </c>
      <c r="AA1011" s="25" t="str">
        <f t="shared" ref="AA1011:AA1066" si="409">IF(AB1011="null", "null", "categoria.revit")</f>
        <v>categoria.revit</v>
      </c>
      <c r="AB1011" s="26" t="s">
        <v>3509</v>
      </c>
      <c r="AC1011" s="25" t="str">
        <f t="shared" ref="AC1011:AC1066" si="410">IF(AD1011="null", "null", "classe.ifc")</f>
        <v>classe.ifc</v>
      </c>
      <c r="AD1011" s="26" t="s">
        <v>3472</v>
      </c>
      <c r="AE1011" s="25" t="str">
        <f t="shared" si="396"/>
        <v>propriedade</v>
      </c>
      <c r="AF1011" s="26" t="s">
        <v>2393</v>
      </c>
      <c r="AG1011" s="47" t="s">
        <v>2881</v>
      </c>
    </row>
    <row r="1012" spans="1:33" ht="6.9" customHeight="1" x14ac:dyDescent="0.4">
      <c r="A1012" s="4">
        <f>ROW()</f>
        <v>1012</v>
      </c>
      <c r="B1012" s="9" t="s">
        <v>27</v>
      </c>
      <c r="C1012" s="55" t="str">
        <f t="shared" si="391"/>
        <v>p.iluminar</v>
      </c>
      <c r="D1012" s="6" t="str">
        <f t="shared" si="398"/>
        <v>é.luz.de.aviso</v>
      </c>
      <c r="E1012" s="8" t="s">
        <v>28</v>
      </c>
      <c r="F1012" s="42" t="str">
        <f t="shared" si="408"/>
        <v>d.iluminar</v>
      </c>
      <c r="G1012" s="17" t="s">
        <v>746</v>
      </c>
      <c r="H1012" s="42" t="s">
        <v>36</v>
      </c>
      <c r="I1012" s="16" t="str">
        <f t="shared" si="39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92"/>
        <v>Propriedade destinada a iluminar: é.luz.de.aviso</v>
      </c>
      <c r="V1012" s="5" t="str">
        <f t="shared" si="393"/>
        <v>Dado para iluminar:  luz.de.aviso  Deve ser formatado como (xsd:double)</v>
      </c>
      <c r="W1012" s="5" t="s">
        <v>5797</v>
      </c>
      <c r="X1012" s="24" t="str">
        <f t="shared" si="394"/>
        <v>ilumi.106</v>
      </c>
      <c r="Y1012" s="24" t="str">
        <f t="shared" si="395"/>
        <v>Ação de iluminar</v>
      </c>
      <c r="Z1012" s="47" t="s">
        <v>1526</v>
      </c>
      <c r="AA1012" s="25" t="str">
        <f t="shared" si="409"/>
        <v>categoria.revit</v>
      </c>
      <c r="AB1012" s="26" t="s">
        <v>3509</v>
      </c>
      <c r="AC1012" s="25" t="str">
        <f t="shared" si="410"/>
        <v>classe.ifc</v>
      </c>
      <c r="AD1012" s="26" t="s">
        <v>3472</v>
      </c>
      <c r="AE1012" s="25" t="str">
        <f t="shared" si="396"/>
        <v>propriedade</v>
      </c>
      <c r="AF1012" s="26" t="s">
        <v>2393</v>
      </c>
      <c r="AG1012" s="47" t="s">
        <v>2882</v>
      </c>
    </row>
    <row r="1013" spans="1:33" ht="6.9" customHeight="1" x14ac:dyDescent="0.4">
      <c r="A1013" s="4">
        <f>ROW()</f>
        <v>1013</v>
      </c>
      <c r="B1013" s="9" t="s">
        <v>27</v>
      </c>
      <c r="C1013" s="55" t="str">
        <f t="shared" si="391"/>
        <v>p.iluminar</v>
      </c>
      <c r="D1013" s="6" t="str">
        <f t="shared" si="398"/>
        <v>é.luz.ornamental</v>
      </c>
      <c r="E1013" s="8" t="s">
        <v>28</v>
      </c>
      <c r="F1013" s="42" t="str">
        <f t="shared" si="408"/>
        <v>d.iluminar</v>
      </c>
      <c r="G1013" s="17" t="s">
        <v>747</v>
      </c>
      <c r="H1013" s="42" t="s">
        <v>36</v>
      </c>
      <c r="I1013" s="16" t="str">
        <f t="shared" si="39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92"/>
        <v>Propriedade destinada a iluminar: é.luz.ornamental</v>
      </c>
      <c r="V1013" s="5" t="str">
        <f t="shared" si="393"/>
        <v>Dado para iluminar:  luz.ornamental  Deve ser formatado como (xsd:double)</v>
      </c>
      <c r="W1013" s="5" t="s">
        <v>5798</v>
      </c>
      <c r="X1013" s="24" t="str">
        <f t="shared" si="394"/>
        <v>ilumi.107</v>
      </c>
      <c r="Y1013" s="24" t="str">
        <f t="shared" si="395"/>
        <v>Ação de iluminar</v>
      </c>
      <c r="Z1013" s="47" t="s">
        <v>1527</v>
      </c>
      <c r="AA1013" s="25" t="str">
        <f t="shared" si="409"/>
        <v>categoria.revit</v>
      </c>
      <c r="AB1013" s="26" t="s">
        <v>3509</v>
      </c>
      <c r="AC1013" s="25" t="str">
        <f t="shared" si="410"/>
        <v>classe.ifc</v>
      </c>
      <c r="AD1013" s="26" t="s">
        <v>3472</v>
      </c>
      <c r="AE1013" s="25" t="str">
        <f t="shared" si="396"/>
        <v>propriedade</v>
      </c>
      <c r="AF1013" s="26" t="s">
        <v>2393</v>
      </c>
      <c r="AG1013" s="47" t="s">
        <v>2883</v>
      </c>
    </row>
    <row r="1014" spans="1:33" ht="6.9" customHeight="1" x14ac:dyDescent="0.4">
      <c r="A1014" s="4">
        <f>ROW()</f>
        <v>1014</v>
      </c>
      <c r="B1014" s="9" t="s">
        <v>27</v>
      </c>
      <c r="C1014" s="55" t="str">
        <f t="shared" si="391"/>
        <v>p.iluminar</v>
      </c>
      <c r="D1014" s="6" t="str">
        <f t="shared" si="398"/>
        <v>é.fluxo.luminoso</v>
      </c>
      <c r="E1014" s="8" t="s">
        <v>28</v>
      </c>
      <c r="F1014" s="42" t="str">
        <f t="shared" si="408"/>
        <v>d.iluminar</v>
      </c>
      <c r="G1014" s="17" t="s">
        <v>748</v>
      </c>
      <c r="H1014" s="42" t="s">
        <v>36</v>
      </c>
      <c r="I1014" s="16" t="str">
        <f t="shared" si="39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92"/>
        <v>Propriedade destinada a iluminar: é.fluxo.luminoso</v>
      </c>
      <c r="V1014" s="5" t="str">
        <f t="shared" si="393"/>
        <v>Dado para iluminar:  fluxo.luminoso  Deve ser formatado como (xsd:double)</v>
      </c>
      <c r="W1014" s="5" t="s">
        <v>5799</v>
      </c>
      <c r="X1014" s="24" t="str">
        <f t="shared" si="394"/>
        <v>ilumi.108</v>
      </c>
      <c r="Y1014" s="24" t="str">
        <f t="shared" si="395"/>
        <v>Ação de iluminar</v>
      </c>
      <c r="Z1014" s="47" t="s">
        <v>1528</v>
      </c>
      <c r="AA1014" s="25" t="str">
        <f t="shared" si="409"/>
        <v>categoria.revit</v>
      </c>
      <c r="AB1014" s="26" t="s">
        <v>3509</v>
      </c>
      <c r="AC1014" s="25" t="str">
        <f t="shared" si="410"/>
        <v>classe.ifc</v>
      </c>
      <c r="AD1014" s="26" t="s">
        <v>3472</v>
      </c>
      <c r="AE1014" s="25" t="str">
        <f t="shared" si="396"/>
        <v>propriedade</v>
      </c>
      <c r="AF1014" s="26" t="s">
        <v>2393</v>
      </c>
      <c r="AG1014" s="47" t="s">
        <v>2884</v>
      </c>
    </row>
    <row r="1015" spans="1:33" ht="6.9" customHeight="1" x14ac:dyDescent="0.4">
      <c r="A1015" s="4">
        <f>ROW()</f>
        <v>1015</v>
      </c>
      <c r="B1015" s="9" t="s">
        <v>27</v>
      </c>
      <c r="C1015" s="55" t="str">
        <f t="shared" si="391"/>
        <v>p.iluminar</v>
      </c>
      <c r="D1015" s="6" t="str">
        <f t="shared" si="398"/>
        <v>é.iluminância</v>
      </c>
      <c r="E1015" s="8" t="s">
        <v>28</v>
      </c>
      <c r="F1015" s="42" t="str">
        <f t="shared" si="408"/>
        <v>d.iluminar</v>
      </c>
      <c r="G1015" s="17" t="s">
        <v>280</v>
      </c>
      <c r="H1015" s="42" t="s">
        <v>33</v>
      </c>
      <c r="I1015" s="16" t="str">
        <f t="shared" si="39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92"/>
        <v>Propriedade destinada a iluminar: é.iluminância</v>
      </c>
      <c r="V1015" s="5" t="str">
        <f t="shared" si="393"/>
        <v>Dado para iluminar:  iluminância  Deve ser formatado como (xsd:integer)</v>
      </c>
      <c r="W1015" s="5" t="s">
        <v>5800</v>
      </c>
      <c r="X1015" s="24" t="str">
        <f t="shared" si="394"/>
        <v>ilumi.109</v>
      </c>
      <c r="Y1015" s="24" t="str">
        <f t="shared" si="395"/>
        <v>Ação de iluminar</v>
      </c>
      <c r="Z1015" s="47" t="s">
        <v>1529</v>
      </c>
      <c r="AA1015" s="25" t="str">
        <f t="shared" si="409"/>
        <v>categoria.revit</v>
      </c>
      <c r="AB1015" s="26" t="s">
        <v>3509</v>
      </c>
      <c r="AC1015" s="25" t="str">
        <f t="shared" si="410"/>
        <v>classe.ifc</v>
      </c>
      <c r="AD1015" s="26" t="s">
        <v>3472</v>
      </c>
      <c r="AE1015" s="25" t="str">
        <f t="shared" si="396"/>
        <v>propriedade</v>
      </c>
      <c r="AF1015" s="26" t="s">
        <v>2394</v>
      </c>
      <c r="AG1015" s="47" t="s">
        <v>4823</v>
      </c>
    </row>
    <row r="1016" spans="1:33" ht="6.9" customHeight="1" x14ac:dyDescent="0.4">
      <c r="A1016" s="4">
        <f>ROW()</f>
        <v>1016</v>
      </c>
      <c r="B1016" s="9" t="s">
        <v>27</v>
      </c>
      <c r="C1016" s="55" t="str">
        <f t="shared" si="391"/>
        <v>p.iluminar</v>
      </c>
      <c r="D1016" s="6" t="str">
        <f t="shared" si="398"/>
        <v>é.eficiência.luminosa</v>
      </c>
      <c r="E1016" s="8" t="s">
        <v>28</v>
      </c>
      <c r="F1016" s="42" t="str">
        <f t="shared" si="408"/>
        <v>d.iluminar</v>
      </c>
      <c r="G1016" s="17" t="s">
        <v>749</v>
      </c>
      <c r="H1016" s="42" t="s">
        <v>36</v>
      </c>
      <c r="I1016" s="16" t="str">
        <f t="shared" si="39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92"/>
        <v>Propriedade destinada a iluminar: é.eficiência.luminosa</v>
      </c>
      <c r="V1016" s="5" t="str">
        <f t="shared" si="393"/>
        <v>Dado para iluminar:  eficiência.luminosa  Deve ser formatado como (xsd:double)</v>
      </c>
      <c r="W1016" s="5" t="s">
        <v>5801</v>
      </c>
      <c r="X1016" s="24" t="str">
        <f t="shared" si="394"/>
        <v>ilumi.110</v>
      </c>
      <c r="Y1016" s="24" t="str">
        <f t="shared" si="395"/>
        <v>Ação de iluminar</v>
      </c>
      <c r="Z1016" s="47" t="s">
        <v>1530</v>
      </c>
      <c r="AA1016" s="25" t="str">
        <f t="shared" si="409"/>
        <v>categoria.revit</v>
      </c>
      <c r="AB1016" s="26" t="s">
        <v>3509</v>
      </c>
      <c r="AC1016" s="25" t="str">
        <f t="shared" si="410"/>
        <v>classe.ifc</v>
      </c>
      <c r="AD1016" s="26" t="s">
        <v>3472</v>
      </c>
      <c r="AE1016" s="25" t="str">
        <f t="shared" si="396"/>
        <v>propriedade</v>
      </c>
      <c r="AF1016" s="26" t="s">
        <v>2395</v>
      </c>
      <c r="AG1016" s="47" t="s">
        <v>2885</v>
      </c>
    </row>
    <row r="1017" spans="1:33" ht="6.9" customHeight="1" x14ac:dyDescent="0.4">
      <c r="A1017" s="4">
        <f>ROW()</f>
        <v>1017</v>
      </c>
      <c r="B1017" s="9" t="s">
        <v>27</v>
      </c>
      <c r="C1017" s="55" t="str">
        <f t="shared" si="391"/>
        <v>p.iluminar</v>
      </c>
      <c r="D1017" s="6" t="str">
        <f t="shared" si="398"/>
        <v>é.temperatura.de.cor</v>
      </c>
      <c r="E1017" s="8" t="s">
        <v>28</v>
      </c>
      <c r="F1017" s="42" t="str">
        <f t="shared" si="408"/>
        <v>d.iluminar</v>
      </c>
      <c r="G1017" s="17" t="s">
        <v>750</v>
      </c>
      <c r="H1017" s="42" t="s">
        <v>33</v>
      </c>
      <c r="I1017" s="16" t="str">
        <f t="shared" si="39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92"/>
        <v>Propriedade destinada a iluminar: é.temperatura.de.cor</v>
      </c>
      <c r="V1017" s="5" t="str">
        <f t="shared" si="393"/>
        <v>Dado para iluminar:  temperatura.de.cor  Deve ser formatado como (xsd:integer)</v>
      </c>
      <c r="W1017" s="5" t="s">
        <v>5802</v>
      </c>
      <c r="X1017" s="24" t="str">
        <f t="shared" si="394"/>
        <v>ilumi.111</v>
      </c>
      <c r="Y1017" s="24" t="str">
        <f t="shared" si="395"/>
        <v>Ação de iluminar</v>
      </c>
      <c r="Z1017" s="47" t="s">
        <v>1531</v>
      </c>
      <c r="AA1017" s="25" t="str">
        <f t="shared" si="409"/>
        <v>categoria.revit</v>
      </c>
      <c r="AB1017" s="26" t="s">
        <v>3509</v>
      </c>
      <c r="AC1017" s="25" t="str">
        <f t="shared" si="410"/>
        <v>classe.ifc</v>
      </c>
      <c r="AD1017" s="26" t="s">
        <v>3472</v>
      </c>
      <c r="AE1017" s="25" t="str">
        <f t="shared" si="396"/>
        <v>propriedade</v>
      </c>
      <c r="AF1017" s="26" t="s">
        <v>2393</v>
      </c>
      <c r="AG1017" s="47" t="s">
        <v>2886</v>
      </c>
    </row>
    <row r="1018" spans="1:33" ht="6.9" customHeight="1" x14ac:dyDescent="0.4">
      <c r="A1018" s="4">
        <f>ROW()</f>
        <v>1018</v>
      </c>
      <c r="B1018" s="9" t="s">
        <v>27</v>
      </c>
      <c r="C1018" s="55" t="str">
        <f t="shared" si="391"/>
        <v>p.iluminar</v>
      </c>
      <c r="D1018" s="6" t="str">
        <f t="shared" si="398"/>
        <v>é.fotometria</v>
      </c>
      <c r="E1018" s="8" t="s">
        <v>28</v>
      </c>
      <c r="F1018" s="42" t="str">
        <f t="shared" si="408"/>
        <v>d.iluminar</v>
      </c>
      <c r="G1018" s="17" t="s">
        <v>143</v>
      </c>
      <c r="H1018" s="42" t="s">
        <v>2121</v>
      </c>
      <c r="I1018" s="16" t="str">
        <f t="shared" si="39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92"/>
        <v>Propriedade destinada a iluminar: é.fotometria</v>
      </c>
      <c r="V1018" s="5" t="str">
        <f t="shared" si="393"/>
        <v>Dado para iluminar:  fotometria  Deve ser formatado como (rdfs:Literal  or  xsd:string)</v>
      </c>
      <c r="W1018" s="5" t="s">
        <v>5803</v>
      </c>
      <c r="X1018" s="24" t="str">
        <f t="shared" si="394"/>
        <v>ilumi.112</v>
      </c>
      <c r="Y1018" s="24" t="str">
        <f t="shared" si="395"/>
        <v>Ação de iluminar</v>
      </c>
      <c r="Z1018" s="47" t="s">
        <v>1532</v>
      </c>
      <c r="AA1018" s="25" t="str">
        <f t="shared" si="409"/>
        <v>categoria.revit</v>
      </c>
      <c r="AB1018" s="26" t="s">
        <v>3509</v>
      </c>
      <c r="AC1018" s="25" t="str">
        <f t="shared" si="410"/>
        <v>classe.ifc</v>
      </c>
      <c r="AD1018" s="26" t="s">
        <v>3472</v>
      </c>
      <c r="AE1018" s="25" t="str">
        <f t="shared" si="396"/>
        <v>propriedade</v>
      </c>
      <c r="AF1018" s="26" t="s">
        <v>2393</v>
      </c>
      <c r="AG1018" s="47" t="s">
        <v>2887</v>
      </c>
    </row>
    <row r="1019" spans="1:33" ht="6.9" customHeight="1" x14ac:dyDescent="0.4">
      <c r="A1019" s="4">
        <f>ROW()</f>
        <v>1019</v>
      </c>
      <c r="B1019" s="9" t="s">
        <v>27</v>
      </c>
      <c r="C1019" s="55" t="str">
        <f t="shared" si="391"/>
        <v>p.iluminar</v>
      </c>
      <c r="D1019" s="6" t="str">
        <f t="shared" si="398"/>
        <v>é.índice.de.ofuscamento</v>
      </c>
      <c r="E1019" s="8" t="s">
        <v>28</v>
      </c>
      <c r="F1019" s="42" t="str">
        <f t="shared" si="408"/>
        <v>d.iluminar</v>
      </c>
      <c r="G1019" s="17" t="s">
        <v>4387</v>
      </c>
      <c r="H1019" s="42" t="s">
        <v>36</v>
      </c>
      <c r="I1019" s="16" t="str">
        <f t="shared" si="39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92"/>
        <v>Propriedade destinada a iluminar: é.índice.de.ofuscamento</v>
      </c>
      <c r="V1019" s="5" t="str">
        <f t="shared" si="393"/>
        <v>Dado para iluminar:  índice.de.ofuscamento  Deve ser formatado como (xsd:double)</v>
      </c>
      <c r="W1019" s="5" t="s">
        <v>5804</v>
      </c>
      <c r="X1019" s="24" t="str">
        <f t="shared" si="394"/>
        <v>ilumi.113</v>
      </c>
      <c r="Y1019" s="24" t="str">
        <f t="shared" si="395"/>
        <v>Ação de iluminar</v>
      </c>
      <c r="Z1019" s="47" t="s">
        <v>1533</v>
      </c>
      <c r="AA1019" s="25" t="str">
        <f t="shared" si="409"/>
        <v>categoria.revit</v>
      </c>
      <c r="AB1019" s="26" t="s">
        <v>3509</v>
      </c>
      <c r="AC1019" s="25" t="str">
        <f t="shared" si="410"/>
        <v>classe.ifc</v>
      </c>
      <c r="AD1019" s="26" t="s">
        <v>3472</v>
      </c>
      <c r="AE1019" s="25" t="str">
        <f t="shared" si="396"/>
        <v>propriedade</v>
      </c>
      <c r="AF1019" s="26" t="s">
        <v>2399</v>
      </c>
      <c r="AG1019" s="47" t="s">
        <v>2888</v>
      </c>
    </row>
    <row r="1020" spans="1:33" ht="6.9" customHeight="1" x14ac:dyDescent="0.4">
      <c r="A1020" s="4">
        <f>ROW()</f>
        <v>1020</v>
      </c>
      <c r="B1020" s="9" t="s">
        <v>27</v>
      </c>
      <c r="C1020" s="55" t="str">
        <f t="shared" si="391"/>
        <v>p.iluminar</v>
      </c>
      <c r="D1020" s="6" t="str">
        <f t="shared" si="398"/>
        <v>é.irc</v>
      </c>
      <c r="E1020" s="8" t="s">
        <v>28</v>
      </c>
      <c r="F1020" s="42" t="str">
        <f t="shared" si="408"/>
        <v>d.iluminar</v>
      </c>
      <c r="G1020" s="17" t="s">
        <v>144</v>
      </c>
      <c r="H1020" s="42" t="s">
        <v>2121</v>
      </c>
      <c r="I1020" s="16" t="str">
        <f t="shared" si="39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92"/>
        <v>Propriedade destinada a iluminar: é.irc</v>
      </c>
      <c r="V1020" s="5" t="str">
        <f t="shared" si="393"/>
        <v>Dado para iluminar:  irc  Deve ser formatado como (rdfs:Literal  or  xsd:string)</v>
      </c>
      <c r="W1020" s="5" t="s">
        <v>5805</v>
      </c>
      <c r="X1020" s="24" t="str">
        <f t="shared" si="394"/>
        <v>ilumi.114</v>
      </c>
      <c r="Y1020" s="24" t="str">
        <f t="shared" si="395"/>
        <v>Ação de iluminar</v>
      </c>
      <c r="Z1020" s="47" t="s">
        <v>1534</v>
      </c>
      <c r="AA1020" s="25" t="str">
        <f t="shared" si="409"/>
        <v>categoria.revit</v>
      </c>
      <c r="AB1020" s="26" t="s">
        <v>3509</v>
      </c>
      <c r="AC1020" s="25" t="str">
        <f t="shared" si="410"/>
        <v>classe.ifc</v>
      </c>
      <c r="AD1020" s="26" t="s">
        <v>3472</v>
      </c>
      <c r="AE1020" s="25" t="str">
        <f t="shared" si="396"/>
        <v>propriedade</v>
      </c>
      <c r="AF1020" s="26" t="s">
        <v>2393</v>
      </c>
      <c r="AG1020" s="47" t="s">
        <v>2889</v>
      </c>
    </row>
    <row r="1021" spans="1:33" ht="6.9" customHeight="1" x14ac:dyDescent="0.4">
      <c r="A1021" s="4">
        <f>ROW()</f>
        <v>1021</v>
      </c>
      <c r="B1021" s="9" t="s">
        <v>27</v>
      </c>
      <c r="C1021" s="55" t="str">
        <f t="shared" si="391"/>
        <v>p.iluminar</v>
      </c>
      <c r="D1021" s="6" t="str">
        <f t="shared" si="398"/>
        <v>é.lâmpada</v>
      </c>
      <c r="E1021" s="8" t="s">
        <v>28</v>
      </c>
      <c r="F1021" s="42" t="str">
        <f>F1019</f>
        <v>d.iluminar</v>
      </c>
      <c r="G1021" s="17" t="s">
        <v>4433</v>
      </c>
      <c r="H1021" s="41" t="s">
        <v>2121</v>
      </c>
      <c r="I1021" s="16" t="str">
        <f t="shared" si="39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92"/>
        <v>Propriedade destinada a iluminar: é.lâmpada</v>
      </c>
      <c r="V1021" s="5" t="str">
        <f t="shared" si="393"/>
        <v>Dado para iluminar:  lâmpada  Deve ser formatado como (rdfs:Literal  or  xsd:string)</v>
      </c>
      <c r="W1021" s="5" t="s">
        <v>5806</v>
      </c>
      <c r="X1021" s="24" t="str">
        <f t="shared" si="394"/>
        <v>ilumi.115</v>
      </c>
      <c r="Y1021" s="24" t="str">
        <f t="shared" si="395"/>
        <v>Ação de iluminar</v>
      </c>
      <c r="Z1021" s="47" t="s">
        <v>2016</v>
      </c>
      <c r="AA1021" s="25" t="str">
        <f t="shared" si="409"/>
        <v>categoria.revit</v>
      </c>
      <c r="AB1021" s="26" t="s">
        <v>3509</v>
      </c>
      <c r="AC1021" s="25" t="str">
        <f t="shared" si="410"/>
        <v>classe.ifc</v>
      </c>
      <c r="AD1021" s="26" t="s">
        <v>3472</v>
      </c>
      <c r="AE1021" s="25" t="str">
        <f t="shared" si="396"/>
        <v>propriedade</v>
      </c>
      <c r="AF1021" s="26" t="s">
        <v>2393</v>
      </c>
      <c r="AG1021" s="47" t="s">
        <v>2890</v>
      </c>
    </row>
    <row r="1022" spans="1:33" ht="6.9" customHeight="1" x14ac:dyDescent="0.4">
      <c r="A1022" s="4">
        <f>ROW()</f>
        <v>1022</v>
      </c>
      <c r="B1022" s="9" t="s">
        <v>27</v>
      </c>
      <c r="C1022" s="55" t="str">
        <f t="shared" si="391"/>
        <v>p.iluminar</v>
      </c>
      <c r="D1022" s="6" t="str">
        <f t="shared" si="398"/>
        <v>é.insolação.direta.excessiva</v>
      </c>
      <c r="E1022" s="8" t="s">
        <v>28</v>
      </c>
      <c r="F1022" s="42" t="str">
        <f>F1020</f>
        <v>d.iluminar</v>
      </c>
      <c r="G1022" s="17" t="s">
        <v>751</v>
      </c>
      <c r="H1022" s="42" t="s">
        <v>36</v>
      </c>
      <c r="I1022" s="16" t="str">
        <f t="shared" si="39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92"/>
        <v>Propriedade destinada a iluminar: é.insolação.direta.excessiva</v>
      </c>
      <c r="V1022" s="5" t="str">
        <f t="shared" si="393"/>
        <v>Dado para iluminar:  insolação.direta.excessiva  Deve ser formatado como (xsd:double)</v>
      </c>
      <c r="W1022" s="5" t="s">
        <v>5807</v>
      </c>
      <c r="X1022" s="24" t="str">
        <f t="shared" si="394"/>
        <v>ilumi.116</v>
      </c>
      <c r="Y1022" s="24" t="str">
        <f t="shared" si="395"/>
        <v>Ação de iluminar</v>
      </c>
      <c r="Z1022" s="47" t="s">
        <v>1535</v>
      </c>
      <c r="AA1022" s="25" t="str">
        <f t="shared" si="409"/>
        <v>categoria.revit</v>
      </c>
      <c r="AB1022" s="26" t="s">
        <v>3509</v>
      </c>
      <c r="AC1022" s="25" t="str">
        <f t="shared" si="410"/>
        <v>classe.ifc</v>
      </c>
      <c r="AD1022" s="26" t="s">
        <v>3472</v>
      </c>
      <c r="AE1022" s="25" t="str">
        <f t="shared" si="396"/>
        <v>propriedade</v>
      </c>
      <c r="AF1022" s="26" t="s">
        <v>2393</v>
      </c>
      <c r="AG1022" s="47" t="s">
        <v>2891</v>
      </c>
    </row>
    <row r="1023" spans="1:33" ht="6.9" customHeight="1" x14ac:dyDescent="0.4">
      <c r="A1023" s="4">
        <f>ROW()</f>
        <v>1023</v>
      </c>
      <c r="B1023" s="9" t="s">
        <v>27</v>
      </c>
      <c r="C1023" s="55" t="str">
        <f t="shared" si="391"/>
        <v>p.iluminar</v>
      </c>
      <c r="D1023" s="6" t="str">
        <f t="shared" si="398"/>
        <v>é.iluminância.alvo</v>
      </c>
      <c r="E1023" s="8" t="s">
        <v>28</v>
      </c>
      <c r="F1023" s="42" t="str">
        <f t="shared" ref="F1023:F1038" si="411">F1022</f>
        <v>d.iluminar</v>
      </c>
      <c r="G1023" s="17" t="s">
        <v>752</v>
      </c>
      <c r="H1023" s="42" t="s">
        <v>36</v>
      </c>
      <c r="I1023" s="16" t="str">
        <f t="shared" si="39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92"/>
        <v>Propriedade destinada a iluminar: é.iluminância.alvo</v>
      </c>
      <c r="V1023" s="5" t="str">
        <f t="shared" si="393"/>
        <v>Dado para iluminar:  iluminância.alvo  Deve ser formatado como (xsd:double)</v>
      </c>
      <c r="W1023" s="5" t="s">
        <v>5808</v>
      </c>
      <c r="X1023" s="24" t="str">
        <f t="shared" si="394"/>
        <v>ilumi.117</v>
      </c>
      <c r="Y1023" s="24" t="str">
        <f t="shared" si="395"/>
        <v>Ação de iluminar</v>
      </c>
      <c r="Z1023" s="47" t="s">
        <v>1536</v>
      </c>
      <c r="AA1023" s="25" t="str">
        <f t="shared" si="409"/>
        <v>categoria.revit</v>
      </c>
      <c r="AB1023" s="26" t="s">
        <v>3509</v>
      </c>
      <c r="AC1023" s="25" t="str">
        <f t="shared" si="410"/>
        <v>classe.ifc</v>
      </c>
      <c r="AD1023" s="26" t="s">
        <v>3472</v>
      </c>
      <c r="AE1023" s="25" t="str">
        <f t="shared" si="396"/>
        <v>propriedade</v>
      </c>
      <c r="AF1023" s="26" t="s">
        <v>2393</v>
      </c>
      <c r="AG1023" s="47" t="s">
        <v>2892</v>
      </c>
    </row>
    <row r="1024" spans="1:33" ht="6.9" customHeight="1" x14ac:dyDescent="0.4">
      <c r="A1024" s="4">
        <f>ROW()</f>
        <v>1024</v>
      </c>
      <c r="B1024" s="9" t="s">
        <v>27</v>
      </c>
      <c r="C1024" s="55" t="str">
        <f t="shared" si="391"/>
        <v>p.iluminar</v>
      </c>
      <c r="D1024" s="6" t="str">
        <f t="shared" si="398"/>
        <v>é.iluminância.alvo.mínima</v>
      </c>
      <c r="E1024" s="8" t="s">
        <v>28</v>
      </c>
      <c r="F1024" s="42" t="str">
        <f t="shared" si="411"/>
        <v>d.iluminar</v>
      </c>
      <c r="G1024" s="17" t="s">
        <v>6958</v>
      </c>
      <c r="H1024" s="42" t="s">
        <v>36</v>
      </c>
      <c r="I1024" s="16" t="str">
        <f t="shared" si="39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92"/>
        <v>Propriedade destinada a iluminar: é.iluminância.alvo.mínima</v>
      </c>
      <c r="V1024" s="5" t="str">
        <f t="shared" si="393"/>
        <v>Dado para iluminar:  iluminância.alvo.mínima  Deve ser formatado como (xsd:double)</v>
      </c>
      <c r="W1024" s="5" t="s">
        <v>5809</v>
      </c>
      <c r="X1024" s="24" t="str">
        <f t="shared" si="394"/>
        <v>ilumi.118</v>
      </c>
      <c r="Y1024" s="24" t="str">
        <f t="shared" si="395"/>
        <v>Ação de iluminar</v>
      </c>
      <c r="Z1024" s="47" t="s">
        <v>1537</v>
      </c>
      <c r="AA1024" s="25" t="str">
        <f t="shared" si="409"/>
        <v>categoria.revit</v>
      </c>
      <c r="AB1024" s="26" t="s">
        <v>3509</v>
      </c>
      <c r="AC1024" s="25" t="str">
        <f t="shared" si="410"/>
        <v>classe.ifc</v>
      </c>
      <c r="AD1024" s="26" t="s">
        <v>3472</v>
      </c>
      <c r="AE1024" s="25" t="str">
        <f t="shared" si="396"/>
        <v>propriedade</v>
      </c>
      <c r="AF1024" s="26" t="s">
        <v>2393</v>
      </c>
      <c r="AG1024" s="47" t="s">
        <v>2893</v>
      </c>
    </row>
    <row r="1025" spans="1:33" ht="6.9" customHeight="1" x14ac:dyDescent="0.4">
      <c r="A1025" s="4">
        <f>ROW()</f>
        <v>1025</v>
      </c>
      <c r="B1025" s="9" t="s">
        <v>27</v>
      </c>
      <c r="C1025" s="55" t="str">
        <f t="shared" si="391"/>
        <v>p.iluminar</v>
      </c>
      <c r="D1025" s="6" t="str">
        <f t="shared" si="398"/>
        <v>é.superfície.de.trabalho</v>
      </c>
      <c r="E1025" s="8" t="s">
        <v>28</v>
      </c>
      <c r="F1025" s="42" t="str">
        <f t="shared" si="411"/>
        <v>d.iluminar</v>
      </c>
      <c r="G1025" s="17" t="s">
        <v>1116</v>
      </c>
      <c r="H1025" s="42" t="s">
        <v>36</v>
      </c>
      <c r="I1025" s="16" t="str">
        <f t="shared" si="397"/>
        <v>null</v>
      </c>
      <c r="J1025" s="15" t="s">
        <v>0</v>
      </c>
      <c r="K1025" s="15" t="s">
        <v>0</v>
      </c>
      <c r="L1025" s="15" t="s">
        <v>0</v>
      </c>
      <c r="M1025" s="15" t="s">
        <v>0</v>
      </c>
      <c r="N1025" s="15" t="s">
        <v>0</v>
      </c>
      <c r="O1025" s="15" t="s">
        <v>0</v>
      </c>
      <c r="P1025" s="15" t="s">
        <v>0</v>
      </c>
      <c r="Q1025" s="15" t="s">
        <v>0</v>
      </c>
      <c r="R1025" s="15" t="s">
        <v>1124</v>
      </c>
      <c r="S1025" s="10" t="s">
        <v>1</v>
      </c>
      <c r="T1025" s="10" t="s">
        <v>32</v>
      </c>
      <c r="U1025" s="5" t="str">
        <f t="shared" si="392"/>
        <v>Propriedade destinada a iluminar: é.superfície.de.trabalho</v>
      </c>
      <c r="V1025" s="5" t="str">
        <f t="shared" si="393"/>
        <v>Dado para iluminar:  superfície.de.trabalho  Deve ser formatado como (xsd:double)</v>
      </c>
      <c r="W1025" s="5" t="s">
        <v>5810</v>
      </c>
      <c r="X1025" s="24" t="str">
        <f t="shared" si="394"/>
        <v>ilumi.119</v>
      </c>
      <c r="Y1025" s="24" t="str">
        <f t="shared" si="395"/>
        <v>Ação de iluminar</v>
      </c>
      <c r="Z1025" s="47" t="s">
        <v>1538</v>
      </c>
      <c r="AA1025" s="25" t="str">
        <f t="shared" si="409"/>
        <v>categoria.revit</v>
      </c>
      <c r="AB1025" s="26" t="s">
        <v>3509</v>
      </c>
      <c r="AC1025" s="25" t="str">
        <f t="shared" si="410"/>
        <v>classe.ifc</v>
      </c>
      <c r="AD1025" s="26" t="s">
        <v>3472</v>
      </c>
      <c r="AE1025" s="25" t="str">
        <f t="shared" si="396"/>
        <v>propriedade</v>
      </c>
      <c r="AF1025" s="26" t="s">
        <v>2400</v>
      </c>
      <c r="AG1025" s="47" t="s">
        <v>2894</v>
      </c>
    </row>
    <row r="1026" spans="1:33" ht="6.9" customHeight="1" x14ac:dyDescent="0.4">
      <c r="A1026" s="4">
        <f>ROW()</f>
        <v>1026</v>
      </c>
      <c r="B1026" s="9" t="s">
        <v>27</v>
      </c>
      <c r="C1026" s="55" t="str">
        <f t="shared" si="391"/>
        <v>p.iluminar</v>
      </c>
      <c r="D1026" s="6" t="str">
        <f t="shared" si="398"/>
        <v>é.superfície.de.referência</v>
      </c>
      <c r="E1026" s="8" t="s">
        <v>28</v>
      </c>
      <c r="F1026" s="42" t="str">
        <f t="shared" si="411"/>
        <v>d.iluminar</v>
      </c>
      <c r="G1026" s="17" t="s">
        <v>1117</v>
      </c>
      <c r="H1026" s="42" t="s">
        <v>36</v>
      </c>
      <c r="I1026" s="16" t="str">
        <f t="shared" si="397"/>
        <v>null</v>
      </c>
      <c r="J1026" s="15" t="s">
        <v>0</v>
      </c>
      <c r="K1026" s="15" t="s">
        <v>0</v>
      </c>
      <c r="L1026" s="15" t="s">
        <v>0</v>
      </c>
      <c r="M1026" s="15" t="s">
        <v>0</v>
      </c>
      <c r="N1026" s="15" t="s">
        <v>0</v>
      </c>
      <c r="O1026" s="15" t="s">
        <v>0</v>
      </c>
      <c r="P1026" s="15" t="s">
        <v>0</v>
      </c>
      <c r="Q1026" s="15" t="s">
        <v>0</v>
      </c>
      <c r="R1026" s="15" t="s">
        <v>1125</v>
      </c>
      <c r="S1026" s="10" t="s">
        <v>1</v>
      </c>
      <c r="T1026" s="10" t="s">
        <v>32</v>
      </c>
      <c r="U1026" s="5" t="str">
        <f t="shared" ref="U1026:U1089" si="412">_xlfn.CONCAT("Propriedade destinada a ",MID(C1026,FIND("p.",C1026,1)+2,100),": ",D1026)</f>
        <v>Propriedade destinada a iluminar: é.superfície.de.referência</v>
      </c>
      <c r="V1026" s="5" t="str">
        <f t="shared" ref="V1026:V1089" si="413">_xlfn.CONCAT("Dado para ",MID(F1026,FIND("d.",F1026,1)+2,100),":  ",G1026, "  Deve ser formatado como (",H1026, ")")</f>
        <v>Dado para iluminar:  superfície.de.referência  Deve ser formatado como (xsd:double)</v>
      </c>
      <c r="W1026" s="5" t="s">
        <v>5811</v>
      </c>
      <c r="X1026" s="24" t="str">
        <f t="shared" si="394"/>
        <v>ilumi.120</v>
      </c>
      <c r="Y1026" s="24" t="str">
        <f t="shared" si="395"/>
        <v>Ação de iluminar</v>
      </c>
      <c r="Z1026" s="47" t="s">
        <v>1539</v>
      </c>
      <c r="AA1026" s="25" t="str">
        <f t="shared" si="409"/>
        <v>categoria.revit</v>
      </c>
      <c r="AB1026" s="26" t="s">
        <v>3509</v>
      </c>
      <c r="AC1026" s="25" t="str">
        <f t="shared" si="410"/>
        <v>classe.ifc</v>
      </c>
      <c r="AD1026" s="26" t="s">
        <v>3472</v>
      </c>
      <c r="AE1026" s="25" t="str">
        <f t="shared" si="396"/>
        <v>propriedade</v>
      </c>
      <c r="AF1026" s="26" t="s">
        <v>2393</v>
      </c>
      <c r="AG1026" s="47" t="s">
        <v>2895</v>
      </c>
    </row>
    <row r="1027" spans="1:33" ht="6.9" customHeight="1" x14ac:dyDescent="0.4">
      <c r="A1027" s="4">
        <f>ROW()</f>
        <v>1027</v>
      </c>
      <c r="B1027" s="9" t="s">
        <v>27</v>
      </c>
      <c r="C1027" s="55" t="str">
        <f t="shared" si="391"/>
        <v>p.iluminar</v>
      </c>
      <c r="D1027" s="6" t="str">
        <f t="shared" si="398"/>
        <v>é.superfície.de.iluminação</v>
      </c>
      <c r="E1027" s="8" t="s">
        <v>28</v>
      </c>
      <c r="F1027" s="42" t="str">
        <f t="shared" si="411"/>
        <v>d.iluminar</v>
      </c>
      <c r="G1027" s="17" t="s">
        <v>1118</v>
      </c>
      <c r="H1027" s="42" t="s">
        <v>36</v>
      </c>
      <c r="I1027" s="16" t="str">
        <f t="shared" si="397"/>
        <v>null</v>
      </c>
      <c r="J1027" s="15" t="s">
        <v>0</v>
      </c>
      <c r="K1027" s="15" t="s">
        <v>0</v>
      </c>
      <c r="L1027" s="15" t="s">
        <v>0</v>
      </c>
      <c r="M1027" s="15" t="s">
        <v>0</v>
      </c>
      <c r="N1027" s="15" t="s">
        <v>0</v>
      </c>
      <c r="O1027" s="15" t="s">
        <v>0</v>
      </c>
      <c r="P1027" s="15" t="s">
        <v>0</v>
      </c>
      <c r="Q1027" s="15" t="s">
        <v>0</v>
      </c>
      <c r="R1027" s="15" t="s">
        <v>1126</v>
      </c>
      <c r="S1027" s="10" t="s">
        <v>1</v>
      </c>
      <c r="T1027" s="10" t="s">
        <v>32</v>
      </c>
      <c r="U1027" s="5" t="str">
        <f t="shared" si="412"/>
        <v>Propriedade destinada a iluminar: é.superfície.de.iluminação</v>
      </c>
      <c r="V1027" s="5" t="str">
        <f t="shared" si="413"/>
        <v>Dado para iluminar:  superfície.de.iluminação  Deve ser formatado como (xsd:double)</v>
      </c>
      <c r="W1027" s="5" t="s">
        <v>5812</v>
      </c>
      <c r="X1027" s="24" t="str">
        <f t="shared" ref="X1027:X1090" si="414">IF(F1026&lt;&gt;F1027,_xlfn.CONCAT(RIGHT(LEFT(F1027,7),5),".100"),_xlfn.CONCAT(RIGHT(LEFT(F1027,7),5),".",SUM(VALUE(RIGHT(X1026,3)),1)))</f>
        <v>ilumi.121</v>
      </c>
      <c r="Y1027" s="24" t="str">
        <f t="shared" ref="Y1027:Y1090" si="415">_xlfn.CONCAT("Ação de ", SUBSTITUTE(F1027, "d.",  ""))</f>
        <v>Ação de iluminar</v>
      </c>
      <c r="Z1027" s="47" t="s">
        <v>1540</v>
      </c>
      <c r="AA1027" s="25" t="str">
        <f t="shared" si="409"/>
        <v>categoria.revit</v>
      </c>
      <c r="AB1027" s="26" t="s">
        <v>3509</v>
      </c>
      <c r="AC1027" s="25" t="str">
        <f t="shared" si="410"/>
        <v>classe.ifc</v>
      </c>
      <c r="AD1027" s="26" t="s">
        <v>3472</v>
      </c>
      <c r="AE1027" s="25" t="str">
        <f t="shared" si="396"/>
        <v>propriedade</v>
      </c>
      <c r="AF1027" s="26" t="s">
        <v>2393</v>
      </c>
      <c r="AG1027" s="47" t="s">
        <v>2896</v>
      </c>
    </row>
    <row r="1028" spans="1:33" ht="6.9" customHeight="1" x14ac:dyDescent="0.4">
      <c r="A1028" s="4">
        <f>ROW()</f>
        <v>1028</v>
      </c>
      <c r="B1028" s="9" t="s">
        <v>27</v>
      </c>
      <c r="C1028" s="55" t="str">
        <f t="shared" si="391"/>
        <v>p.iluminar</v>
      </c>
      <c r="D1028" s="6" t="str">
        <f t="shared" si="398"/>
        <v>é.carga.de.iluminação</v>
      </c>
      <c r="E1028" s="8" t="s">
        <v>28</v>
      </c>
      <c r="F1028" s="42" t="str">
        <f t="shared" si="411"/>
        <v>d.iluminar</v>
      </c>
      <c r="G1028" s="17" t="s">
        <v>754</v>
      </c>
      <c r="H1028" s="42" t="s">
        <v>36</v>
      </c>
      <c r="I1028" s="16" t="str">
        <f t="shared" si="39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2"/>
        <v>Propriedade destinada a iluminar: é.carga.de.iluminação</v>
      </c>
      <c r="V1028" s="5" t="str">
        <f t="shared" si="413"/>
        <v>Dado para iluminar:  carga.de.iluminação  Deve ser formatado como (xsd:double)</v>
      </c>
      <c r="W1028" s="5" t="s">
        <v>5813</v>
      </c>
      <c r="X1028" s="24" t="str">
        <f t="shared" si="414"/>
        <v>ilumi.122</v>
      </c>
      <c r="Y1028" s="24" t="str">
        <f t="shared" si="415"/>
        <v>Ação de iluminar</v>
      </c>
      <c r="Z1028" s="47" t="s">
        <v>1541</v>
      </c>
      <c r="AA1028" s="25" t="str">
        <f t="shared" si="409"/>
        <v>categoria.revit</v>
      </c>
      <c r="AB1028" s="26" t="s">
        <v>3509</v>
      </c>
      <c r="AC1028" s="25" t="str">
        <f t="shared" si="410"/>
        <v>classe.ifc</v>
      </c>
      <c r="AD1028" s="26" t="s">
        <v>3472</v>
      </c>
      <c r="AE1028" s="25" t="str">
        <f t="shared" si="396"/>
        <v>propriedade</v>
      </c>
      <c r="AF1028" s="26" t="s">
        <v>2393</v>
      </c>
      <c r="AG1028" s="47" t="s">
        <v>2897</v>
      </c>
    </row>
    <row r="1029" spans="1:33" ht="6.9" customHeight="1" x14ac:dyDescent="0.4">
      <c r="A1029" s="4">
        <f>ROW()</f>
        <v>1029</v>
      </c>
      <c r="B1029" s="9" t="s">
        <v>27</v>
      </c>
      <c r="C1029" s="55" t="str">
        <f t="shared" ref="C1029:C1107" si="416">SUBSTITUTE(F1029,"d.","p.")</f>
        <v>p.iluminar</v>
      </c>
      <c r="D1029" s="6" t="str">
        <f t="shared" si="398"/>
        <v>é.carga.de.iluminação.necessária</v>
      </c>
      <c r="E1029" s="8" t="s">
        <v>28</v>
      </c>
      <c r="F1029" s="42" t="str">
        <f t="shared" si="411"/>
        <v>d.iluminar</v>
      </c>
      <c r="G1029" s="17" t="s">
        <v>755</v>
      </c>
      <c r="H1029" s="42" t="s">
        <v>36</v>
      </c>
      <c r="I1029" s="16" t="str">
        <f t="shared" si="39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12"/>
        <v>Propriedade destinada a iluminar: é.carga.de.iluminação.necessária</v>
      </c>
      <c r="V1029" s="5" t="str">
        <f t="shared" si="413"/>
        <v>Dado para iluminar:  carga.de.iluminação.necessária  Deve ser formatado como (xsd:double)</v>
      </c>
      <c r="W1029" s="5" t="s">
        <v>5814</v>
      </c>
      <c r="X1029" s="24" t="str">
        <f t="shared" si="414"/>
        <v>ilumi.123</v>
      </c>
      <c r="Y1029" s="24" t="str">
        <f t="shared" si="415"/>
        <v>Ação de iluminar</v>
      </c>
      <c r="Z1029" s="47" t="s">
        <v>1542</v>
      </c>
      <c r="AA1029" s="25" t="str">
        <f t="shared" si="409"/>
        <v>categoria.revit</v>
      </c>
      <c r="AB1029" s="26" t="s">
        <v>3509</v>
      </c>
      <c r="AC1029" s="25" t="str">
        <f t="shared" si="410"/>
        <v>classe.ifc</v>
      </c>
      <c r="AD1029" s="26" t="s">
        <v>3472</v>
      </c>
      <c r="AE1029" s="25" t="str">
        <f t="shared" si="396"/>
        <v>propriedade</v>
      </c>
      <c r="AF1029" s="26" t="s">
        <v>2393</v>
      </c>
      <c r="AG1029" s="47" t="s">
        <v>2898</v>
      </c>
    </row>
    <row r="1030" spans="1:33" ht="6.9" customHeight="1" x14ac:dyDescent="0.4">
      <c r="A1030" s="4">
        <f>ROW()</f>
        <v>1030</v>
      </c>
      <c r="B1030" s="9" t="s">
        <v>27</v>
      </c>
      <c r="C1030" s="55" t="str">
        <f t="shared" si="416"/>
        <v>p.iluminar</v>
      </c>
      <c r="D1030" s="6" t="str">
        <f t="shared" si="398"/>
        <v>é.carga.de.iluminação.por.área</v>
      </c>
      <c r="E1030" s="8" t="s">
        <v>28</v>
      </c>
      <c r="F1030" s="42" t="str">
        <f t="shared" si="411"/>
        <v>d.iluminar</v>
      </c>
      <c r="G1030" s="17" t="s">
        <v>756</v>
      </c>
      <c r="H1030" s="42" t="s">
        <v>36</v>
      </c>
      <c r="I1030" s="16" t="str">
        <f t="shared" si="39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12"/>
        <v>Propriedade destinada a iluminar: é.carga.de.iluminação.por.área</v>
      </c>
      <c r="V1030" s="5" t="str">
        <f t="shared" si="413"/>
        <v>Dado para iluminar:  carga.de.iluminação.por.área  Deve ser formatado como (xsd:double)</v>
      </c>
      <c r="W1030" s="5" t="s">
        <v>5815</v>
      </c>
      <c r="X1030" s="24" t="str">
        <f t="shared" si="414"/>
        <v>ilumi.124</v>
      </c>
      <c r="Y1030" s="24" t="str">
        <f t="shared" si="415"/>
        <v>Ação de iluminar</v>
      </c>
      <c r="Z1030" s="47" t="s">
        <v>1543</v>
      </c>
      <c r="AA1030" s="25" t="str">
        <f t="shared" si="409"/>
        <v>categoria.revit</v>
      </c>
      <c r="AB1030" s="26" t="s">
        <v>3509</v>
      </c>
      <c r="AC1030" s="25" t="str">
        <f t="shared" si="410"/>
        <v>classe.ifc</v>
      </c>
      <c r="AD1030" s="26" t="s">
        <v>3472</v>
      </c>
      <c r="AE1030" s="25" t="str">
        <f t="shared" si="396"/>
        <v>propriedade</v>
      </c>
      <c r="AF1030" s="26" t="s">
        <v>2393</v>
      </c>
      <c r="AG1030" s="47" t="s">
        <v>2899</v>
      </c>
    </row>
    <row r="1031" spans="1:33" ht="6.9" customHeight="1" x14ac:dyDescent="0.4">
      <c r="A1031" s="4">
        <f>ROW()</f>
        <v>1031</v>
      </c>
      <c r="B1031" s="9" t="s">
        <v>27</v>
      </c>
      <c r="C1031" s="55" t="str">
        <f t="shared" si="416"/>
        <v>p.iluminar</v>
      </c>
      <c r="D1031" s="6" t="str">
        <f t="shared" si="398"/>
        <v>é.carga.de.iluminação.real</v>
      </c>
      <c r="E1031" s="8" t="s">
        <v>28</v>
      </c>
      <c r="F1031" s="42" t="str">
        <f t="shared" si="411"/>
        <v>d.iluminar</v>
      </c>
      <c r="G1031" s="17" t="s">
        <v>2124</v>
      </c>
      <c r="H1031" s="42" t="s">
        <v>36</v>
      </c>
      <c r="I1031" s="16" t="str">
        <f t="shared" si="39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12"/>
        <v>Propriedade destinada a iluminar: é.carga.de.iluminação.real</v>
      </c>
      <c r="V1031" s="5" t="str">
        <f t="shared" si="413"/>
        <v>Dado para iluminar:  carga.de.iluminação.real  Deve ser formatado como (xsd:double)</v>
      </c>
      <c r="W1031" s="5" t="s">
        <v>5816</v>
      </c>
      <c r="X1031" s="24" t="str">
        <f t="shared" si="414"/>
        <v>ilumi.125</v>
      </c>
      <c r="Y1031" s="24" t="str">
        <f t="shared" si="415"/>
        <v>Ação de iluminar</v>
      </c>
      <c r="Z1031" s="47" t="s">
        <v>1544</v>
      </c>
      <c r="AA1031" s="25" t="str">
        <f t="shared" si="409"/>
        <v>categoria.revit</v>
      </c>
      <c r="AB1031" s="26" t="s">
        <v>3509</v>
      </c>
      <c r="AC1031" s="25" t="str">
        <f t="shared" si="410"/>
        <v>classe.ifc</v>
      </c>
      <c r="AD1031" s="26" t="s">
        <v>3472</v>
      </c>
      <c r="AE1031" s="25" t="str">
        <f t="shared" si="396"/>
        <v>propriedade</v>
      </c>
      <c r="AF1031" s="26" t="s">
        <v>2393</v>
      </c>
      <c r="AG1031" s="47" t="s">
        <v>2900</v>
      </c>
    </row>
    <row r="1032" spans="1:33" ht="6.9" customHeight="1" x14ac:dyDescent="0.4">
      <c r="A1032" s="4">
        <f>ROW()</f>
        <v>1032</v>
      </c>
      <c r="B1032" s="9" t="s">
        <v>27</v>
      </c>
      <c r="C1032" s="55" t="str">
        <f t="shared" si="416"/>
        <v>p.iluminar</v>
      </c>
      <c r="D1032" s="6" t="str">
        <f t="shared" si="398"/>
        <v>é.carga.de.iluminação.real.por.área</v>
      </c>
      <c r="E1032" s="8" t="s">
        <v>28</v>
      </c>
      <c r="F1032" s="42" t="str">
        <f t="shared" si="411"/>
        <v>d.iluminar</v>
      </c>
      <c r="G1032" s="17" t="s">
        <v>2125</v>
      </c>
      <c r="H1032" s="42" t="s">
        <v>36</v>
      </c>
      <c r="I1032" s="16" t="str">
        <f t="shared" si="39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12"/>
        <v>Propriedade destinada a iluminar: é.carga.de.iluminação.real.por.área</v>
      </c>
      <c r="V1032" s="5" t="str">
        <f t="shared" si="413"/>
        <v>Dado para iluminar:  carga.de.iluminação.real.por.área  Deve ser formatado como (xsd:double)</v>
      </c>
      <c r="W1032" s="5" t="s">
        <v>5817</v>
      </c>
      <c r="X1032" s="24" t="str">
        <f t="shared" si="414"/>
        <v>ilumi.126</v>
      </c>
      <c r="Y1032" s="24" t="str">
        <f t="shared" si="415"/>
        <v>Ação de iluminar</v>
      </c>
      <c r="Z1032" s="47" t="s">
        <v>1545</v>
      </c>
      <c r="AA1032" s="25" t="str">
        <f t="shared" si="409"/>
        <v>categoria.revit</v>
      </c>
      <c r="AB1032" s="26" t="s">
        <v>3509</v>
      </c>
      <c r="AC1032" s="25" t="str">
        <f t="shared" si="410"/>
        <v>classe.ifc</v>
      </c>
      <c r="AD1032" s="26" t="s">
        <v>3472</v>
      </c>
      <c r="AE1032" s="25" t="str">
        <f t="shared" ref="AE1032:AE1104" si="417">IF(AF1032="null", "null", "propriedade")</f>
        <v>propriedade</v>
      </c>
      <c r="AF1032" s="26" t="s">
        <v>2393</v>
      </c>
      <c r="AG1032" s="47" t="s">
        <v>2901</v>
      </c>
    </row>
    <row r="1033" spans="1:33" ht="6.9" customHeight="1" x14ac:dyDescent="0.4">
      <c r="A1033" s="4">
        <f>ROW()</f>
        <v>1033</v>
      </c>
      <c r="B1033" s="9" t="s">
        <v>27</v>
      </c>
      <c r="C1033" s="55" t="str">
        <f t="shared" si="416"/>
        <v>p.iluminar</v>
      </c>
      <c r="D1033" s="6" t="str">
        <f t="shared" si="398"/>
        <v>é.contribuição.da.iluminação.pleno</v>
      </c>
      <c r="E1033" s="8" t="s">
        <v>28</v>
      </c>
      <c r="F1033" s="42" t="str">
        <f t="shared" si="411"/>
        <v>d.iluminar</v>
      </c>
      <c r="G1033" s="17" t="s">
        <v>757</v>
      </c>
      <c r="H1033" s="42" t="s">
        <v>36</v>
      </c>
      <c r="I1033" s="16" t="str">
        <f t="shared" si="39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12"/>
        <v>Propriedade destinada a iluminar: é.contribuição.da.iluminação.pleno</v>
      </c>
      <c r="V1033" s="5" t="str">
        <f t="shared" si="413"/>
        <v>Dado para iluminar:  contribuição.da.iluminação.pleno  Deve ser formatado como (xsd:double)</v>
      </c>
      <c r="W1033" s="5" t="s">
        <v>5818</v>
      </c>
      <c r="X1033" s="24" t="str">
        <f t="shared" si="414"/>
        <v>ilumi.127</v>
      </c>
      <c r="Y1033" s="24" t="str">
        <f t="shared" si="415"/>
        <v>Ação de iluminar</v>
      </c>
      <c r="Z1033" s="47" t="s">
        <v>1546</v>
      </c>
      <c r="AA1033" s="25" t="str">
        <f t="shared" si="409"/>
        <v>categoria.revit</v>
      </c>
      <c r="AB1033" s="26" t="s">
        <v>3509</v>
      </c>
      <c r="AC1033" s="25" t="str">
        <f t="shared" si="410"/>
        <v>classe.ifc</v>
      </c>
      <c r="AD1033" s="26" t="s">
        <v>3472</v>
      </c>
      <c r="AE1033" s="25" t="str">
        <f t="shared" si="417"/>
        <v>propriedade</v>
      </c>
      <c r="AF1033" s="26" t="s">
        <v>2393</v>
      </c>
      <c r="AG1033" s="47" t="s">
        <v>2902</v>
      </c>
    </row>
    <row r="1034" spans="1:33" ht="6.9" customHeight="1" x14ac:dyDescent="0.4">
      <c r="A1034" s="4">
        <f>ROW()</f>
        <v>1034</v>
      </c>
      <c r="B1034" s="9" t="s">
        <v>27</v>
      </c>
      <c r="C1034" s="55" t="str">
        <f t="shared" si="416"/>
        <v>p.iluminar</v>
      </c>
      <c r="D1034" s="6" t="str">
        <f t="shared" si="398"/>
        <v>é.iluminação.média.estimada</v>
      </c>
      <c r="E1034" s="8" t="s">
        <v>28</v>
      </c>
      <c r="F1034" s="42" t="str">
        <f t="shared" si="411"/>
        <v>d.iluminar</v>
      </c>
      <c r="G1034" s="17" t="s">
        <v>758</v>
      </c>
      <c r="H1034" s="42" t="s">
        <v>36</v>
      </c>
      <c r="I1034" s="16" t="str">
        <f t="shared" si="39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12"/>
        <v>Propriedade destinada a iluminar: é.iluminação.média.estimada</v>
      </c>
      <c r="V1034" s="5" t="str">
        <f t="shared" si="413"/>
        <v>Dado para iluminar:  iluminação.média.estimada  Deve ser formatado como (xsd:double)</v>
      </c>
      <c r="W1034" s="5" t="s">
        <v>5819</v>
      </c>
      <c r="X1034" s="24" t="str">
        <f t="shared" si="414"/>
        <v>ilumi.128</v>
      </c>
      <c r="Y1034" s="24" t="str">
        <f t="shared" si="415"/>
        <v>Ação de iluminar</v>
      </c>
      <c r="Z1034" s="47" t="s">
        <v>1547</v>
      </c>
      <c r="AA1034" s="25" t="str">
        <f t="shared" si="409"/>
        <v>categoria.revit</v>
      </c>
      <c r="AB1034" s="26" t="s">
        <v>3509</v>
      </c>
      <c r="AC1034" s="25" t="str">
        <f t="shared" si="410"/>
        <v>classe.ifc</v>
      </c>
      <c r="AD1034" s="26" t="s">
        <v>3472</v>
      </c>
      <c r="AE1034" s="25" t="str">
        <f t="shared" si="417"/>
        <v>propriedade</v>
      </c>
      <c r="AF1034" s="26" t="s">
        <v>2393</v>
      </c>
      <c r="AG1034" s="47" t="s">
        <v>2903</v>
      </c>
    </row>
    <row r="1035" spans="1:33" ht="6.9" customHeight="1" x14ac:dyDescent="0.4">
      <c r="A1035" s="4">
        <f>ROW()</f>
        <v>1035</v>
      </c>
      <c r="B1035" s="9" t="s">
        <v>27</v>
      </c>
      <c r="C1035" s="55" t="str">
        <f t="shared" si="416"/>
        <v>p.iluminar</v>
      </c>
      <c r="D1035" s="6" t="str">
        <f t="shared" si="398"/>
        <v>é.refletância.de.teto</v>
      </c>
      <c r="E1035" s="8" t="s">
        <v>28</v>
      </c>
      <c r="F1035" s="42" t="str">
        <f t="shared" si="411"/>
        <v>d.iluminar</v>
      </c>
      <c r="G1035" s="17" t="s">
        <v>761</v>
      </c>
      <c r="H1035" s="42" t="s">
        <v>36</v>
      </c>
      <c r="I1035" s="16" t="str">
        <f t="shared" si="39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12"/>
        <v>Propriedade destinada a iluminar: é.refletância.de.teto</v>
      </c>
      <c r="V1035" s="5" t="str">
        <f t="shared" si="413"/>
        <v>Dado para iluminar:  refletância.de.teto  Deve ser formatado como (xsd:double)</v>
      </c>
      <c r="W1035" s="5" t="s">
        <v>5820</v>
      </c>
      <c r="X1035" s="24" t="str">
        <f t="shared" si="414"/>
        <v>ilumi.129</v>
      </c>
      <c r="Y1035" s="24" t="str">
        <f t="shared" si="415"/>
        <v>Ação de iluminar</v>
      </c>
      <c r="Z1035" s="47" t="s">
        <v>1550</v>
      </c>
      <c r="AA1035" s="25" t="str">
        <f t="shared" si="409"/>
        <v>categoria.revit</v>
      </c>
      <c r="AB1035" s="26" t="s">
        <v>3509</v>
      </c>
      <c r="AC1035" s="25" t="str">
        <f t="shared" si="410"/>
        <v>classe.ifc</v>
      </c>
      <c r="AD1035" s="26" t="s">
        <v>3472</v>
      </c>
      <c r="AE1035" s="25" t="str">
        <f t="shared" si="417"/>
        <v>propriedade</v>
      </c>
      <c r="AF1035" s="26" t="s">
        <v>2398</v>
      </c>
      <c r="AG1035" s="47" t="s">
        <v>2904</v>
      </c>
    </row>
    <row r="1036" spans="1:33" ht="6.9" customHeight="1" x14ac:dyDescent="0.4">
      <c r="A1036" s="4">
        <f>ROW()</f>
        <v>1036</v>
      </c>
      <c r="B1036" s="9" t="s">
        <v>27</v>
      </c>
      <c r="C1036" s="55" t="str">
        <f t="shared" si="416"/>
        <v>p.iluminar</v>
      </c>
      <c r="D1036" s="6" t="str">
        <f t="shared" si="398"/>
        <v>é.refletância.de.parede</v>
      </c>
      <c r="E1036" s="8" t="s">
        <v>28</v>
      </c>
      <c r="F1036" s="42" t="str">
        <f t="shared" si="411"/>
        <v>d.iluminar</v>
      </c>
      <c r="G1036" s="17" t="s">
        <v>759</v>
      </c>
      <c r="H1036" s="42" t="s">
        <v>36</v>
      </c>
      <c r="I1036" s="16" t="str">
        <f t="shared" si="39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12"/>
        <v>Propriedade destinada a iluminar: é.refletância.de.parede</v>
      </c>
      <c r="V1036" s="5" t="str">
        <f t="shared" si="413"/>
        <v>Dado para iluminar:  refletância.de.parede  Deve ser formatado como (xsd:double)</v>
      </c>
      <c r="W1036" s="5" t="s">
        <v>5821</v>
      </c>
      <c r="X1036" s="24" t="str">
        <f t="shared" si="414"/>
        <v>ilumi.130</v>
      </c>
      <c r="Y1036" s="24" t="str">
        <f t="shared" si="415"/>
        <v>Ação de iluminar</v>
      </c>
      <c r="Z1036" s="47" t="s">
        <v>1548</v>
      </c>
      <c r="AA1036" s="25" t="str">
        <f t="shared" si="409"/>
        <v>categoria.revit</v>
      </c>
      <c r="AB1036" s="26" t="s">
        <v>3509</v>
      </c>
      <c r="AC1036" s="25" t="str">
        <f t="shared" si="410"/>
        <v>classe.ifc</v>
      </c>
      <c r="AD1036" s="26" t="s">
        <v>3472</v>
      </c>
      <c r="AE1036" s="25" t="str">
        <f t="shared" si="417"/>
        <v>propriedade</v>
      </c>
      <c r="AF1036" s="26" t="s">
        <v>2396</v>
      </c>
      <c r="AG1036" s="47" t="s">
        <v>2905</v>
      </c>
    </row>
    <row r="1037" spans="1:33" ht="6.9" customHeight="1" x14ac:dyDescent="0.4">
      <c r="A1037" s="4">
        <f>ROW()</f>
        <v>1037</v>
      </c>
      <c r="B1037" s="9" t="s">
        <v>27</v>
      </c>
      <c r="C1037" s="55" t="str">
        <f t="shared" si="416"/>
        <v>p.iluminar</v>
      </c>
      <c r="D1037" s="6" t="str">
        <f t="shared" si="398"/>
        <v>é.refletância.de.piso</v>
      </c>
      <c r="E1037" s="8" t="s">
        <v>28</v>
      </c>
      <c r="F1037" s="42" t="str">
        <f t="shared" si="411"/>
        <v>d.iluminar</v>
      </c>
      <c r="G1037" s="17" t="s">
        <v>760</v>
      </c>
      <c r="H1037" s="42" t="s">
        <v>36</v>
      </c>
      <c r="I1037" s="16" t="str">
        <f t="shared" ref="I1037:I1115" si="418">J1037</f>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12"/>
        <v>Propriedade destinada a iluminar: é.refletância.de.piso</v>
      </c>
      <c r="V1037" s="5" t="str">
        <f t="shared" si="413"/>
        <v>Dado para iluminar:  refletância.de.piso  Deve ser formatado como (xsd:double)</v>
      </c>
      <c r="W1037" s="5" t="s">
        <v>5822</v>
      </c>
      <c r="X1037" s="24" t="str">
        <f t="shared" si="414"/>
        <v>ilumi.131</v>
      </c>
      <c r="Y1037" s="24" t="str">
        <f t="shared" si="415"/>
        <v>Ação de iluminar</v>
      </c>
      <c r="Z1037" s="47" t="s">
        <v>1549</v>
      </c>
      <c r="AA1037" s="25" t="str">
        <f t="shared" si="409"/>
        <v>categoria.revit</v>
      </c>
      <c r="AB1037" s="26" t="s">
        <v>3509</v>
      </c>
      <c r="AC1037" s="25" t="str">
        <f t="shared" si="410"/>
        <v>classe.ifc</v>
      </c>
      <c r="AD1037" s="26" t="s">
        <v>3472</v>
      </c>
      <c r="AE1037" s="25" t="str">
        <f t="shared" si="417"/>
        <v>propriedade</v>
      </c>
      <c r="AF1037" s="26" t="s">
        <v>2397</v>
      </c>
      <c r="AG1037" s="47" t="s">
        <v>2906</v>
      </c>
    </row>
    <row r="1038" spans="1:33" ht="6.9" customHeight="1" x14ac:dyDescent="0.4">
      <c r="A1038" s="4">
        <f>ROW()</f>
        <v>1038</v>
      </c>
      <c r="B1038" s="9" t="s">
        <v>27</v>
      </c>
      <c r="C1038" s="55" t="str">
        <f t="shared" si="416"/>
        <v>p.iluminar</v>
      </c>
      <c r="D1038" s="6" t="str">
        <f t="shared" si="398"/>
        <v>é.unidade.de.carga.de.iluminação</v>
      </c>
      <c r="E1038" s="8" t="s">
        <v>28</v>
      </c>
      <c r="F1038" s="42" t="str">
        <f t="shared" si="411"/>
        <v>d.iluminar</v>
      </c>
      <c r="G1038" s="17" t="s">
        <v>762</v>
      </c>
      <c r="H1038" s="42" t="s">
        <v>36</v>
      </c>
      <c r="I1038" s="16" t="str">
        <f t="shared" si="41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12"/>
        <v>Propriedade destinada a iluminar: é.unidade.de.carga.de.iluminação</v>
      </c>
      <c r="V1038" s="5" t="str">
        <f t="shared" si="413"/>
        <v>Dado para iluminar:  unidade.de.carga.de.iluminação  Deve ser formatado como (xsd:double)</v>
      </c>
      <c r="W1038" s="5" t="s">
        <v>5823</v>
      </c>
      <c r="X1038" s="24" t="str">
        <f t="shared" si="414"/>
        <v>ilumi.132</v>
      </c>
      <c r="Y1038" s="24" t="str">
        <f t="shared" si="415"/>
        <v>Ação de iluminar</v>
      </c>
      <c r="Z1038" s="47" t="s">
        <v>1551</v>
      </c>
      <c r="AA1038" s="25" t="str">
        <f t="shared" si="409"/>
        <v>categoria.revit</v>
      </c>
      <c r="AB1038" s="26" t="s">
        <v>3509</v>
      </c>
      <c r="AC1038" s="25" t="str">
        <f t="shared" si="410"/>
        <v>classe.ifc</v>
      </c>
      <c r="AD1038" s="26" t="s">
        <v>3472</v>
      </c>
      <c r="AE1038" s="25" t="str">
        <f t="shared" si="417"/>
        <v>propriedade</v>
      </c>
      <c r="AF1038" s="26" t="s">
        <v>2393</v>
      </c>
      <c r="AG1038" s="47" t="s">
        <v>2907</v>
      </c>
    </row>
    <row r="1039" spans="1:33" ht="6.9" customHeight="1" x14ac:dyDescent="0.4">
      <c r="A1039" s="4">
        <f>ROW()</f>
        <v>1039</v>
      </c>
      <c r="B1039" s="9" t="s">
        <v>27</v>
      </c>
      <c r="C1039" s="54" t="str">
        <f t="shared" si="416"/>
        <v>p.implantar</v>
      </c>
      <c r="D1039" s="6" t="str">
        <f t="shared" ref="D1039:D1102" si="419">_xlfn.CONCAT("é.",G1039)</f>
        <v>é.transportador</v>
      </c>
      <c r="E1039" s="8" t="s">
        <v>28</v>
      </c>
      <c r="F1039" s="51" t="s">
        <v>3588</v>
      </c>
      <c r="G1039" s="18" t="s">
        <v>4434</v>
      </c>
      <c r="H1039" s="41" t="s">
        <v>2121</v>
      </c>
      <c r="I1039" s="16" t="str">
        <f t="shared" si="418"/>
        <v>null</v>
      </c>
      <c r="J1039" s="15" t="s">
        <v>0</v>
      </c>
      <c r="K1039" s="13" t="s">
        <v>0</v>
      </c>
      <c r="L1039" s="13" t="s">
        <v>0</v>
      </c>
      <c r="M1039" s="13" t="s">
        <v>0</v>
      </c>
      <c r="N1039" s="13" t="s">
        <v>0</v>
      </c>
      <c r="O1039" s="13" t="s">
        <v>0</v>
      </c>
      <c r="P1039" s="13" t="s">
        <v>0</v>
      </c>
      <c r="Q1039" s="13" t="s">
        <v>0</v>
      </c>
      <c r="R1039" s="15" t="s">
        <v>0</v>
      </c>
      <c r="S1039" s="10" t="s">
        <v>1</v>
      </c>
      <c r="T1039" s="10" t="s">
        <v>32</v>
      </c>
      <c r="U1039" s="5" t="str">
        <f t="shared" si="412"/>
        <v>Propriedade destinada a implantar: é.transportador</v>
      </c>
      <c r="V1039" s="5" t="str">
        <f t="shared" si="413"/>
        <v>Dado para implantar:  transportador  Deve ser formatado como (rdfs:Literal  or  xsd:string)</v>
      </c>
      <c r="W1039" s="5" t="s">
        <v>5824</v>
      </c>
      <c r="X1039" s="24" t="str">
        <f t="shared" si="414"/>
        <v>impla.100</v>
      </c>
      <c r="Y1039" s="24" t="str">
        <f t="shared" si="415"/>
        <v>Ação de implantar</v>
      </c>
      <c r="Z1039" s="47" t="s">
        <v>3974</v>
      </c>
      <c r="AA1039" s="25" t="str">
        <f t="shared" si="409"/>
        <v>categoria.revit</v>
      </c>
      <c r="AB1039" s="26" t="s">
        <v>3520</v>
      </c>
      <c r="AC1039" s="25" t="str">
        <f t="shared" si="410"/>
        <v>classe.ifc</v>
      </c>
      <c r="AD1039" s="26" t="s">
        <v>3460</v>
      </c>
      <c r="AE1039" s="25" t="str">
        <f t="shared" si="417"/>
        <v>null</v>
      </c>
      <c r="AF1039" s="26" t="s">
        <v>0</v>
      </c>
      <c r="AG1039" s="47" t="s">
        <v>4034</v>
      </c>
    </row>
    <row r="1040" spans="1:33" ht="6.9" customHeight="1" x14ac:dyDescent="0.4">
      <c r="A1040" s="4">
        <f>ROW()</f>
        <v>1040</v>
      </c>
      <c r="B1040" s="9" t="s">
        <v>27</v>
      </c>
      <c r="C1040" s="55" t="str">
        <f t="shared" si="416"/>
        <v>p.implantar</v>
      </c>
      <c r="D1040" s="6" t="str">
        <f t="shared" si="419"/>
        <v>é.empilhadeira</v>
      </c>
      <c r="E1040" s="8" t="s">
        <v>28</v>
      </c>
      <c r="F1040" s="42" t="str">
        <f t="shared" ref="F1040:F1046" si="420">F1039</f>
        <v>d.implantar</v>
      </c>
      <c r="G1040" s="18" t="s">
        <v>6959</v>
      </c>
      <c r="H1040" s="41" t="s">
        <v>37</v>
      </c>
      <c r="I1040" s="16" t="str">
        <f t="shared" si="418"/>
        <v>null</v>
      </c>
      <c r="J1040" s="15" t="s">
        <v>0</v>
      </c>
      <c r="K1040" s="13" t="s">
        <v>0</v>
      </c>
      <c r="L1040" s="13" t="s">
        <v>0</v>
      </c>
      <c r="M1040" s="13" t="s">
        <v>0</v>
      </c>
      <c r="N1040" s="13" t="s">
        <v>0</v>
      </c>
      <c r="O1040" s="13" t="s">
        <v>0</v>
      </c>
      <c r="P1040" s="13" t="s">
        <v>0</v>
      </c>
      <c r="Q1040" s="13" t="s">
        <v>0</v>
      </c>
      <c r="R1040" s="15" t="s">
        <v>0</v>
      </c>
      <c r="S1040" s="10" t="s">
        <v>1</v>
      </c>
      <c r="T1040" s="10" t="s">
        <v>32</v>
      </c>
      <c r="U1040" s="5" t="str">
        <f t="shared" si="412"/>
        <v>Propriedade destinada a implantar: é.empilhadeira</v>
      </c>
      <c r="V1040" s="5" t="str">
        <f t="shared" si="413"/>
        <v>Dado para implantar:  empilhadeira  Deve ser formatado como (xsd:boolean)</v>
      </c>
      <c r="W1040" s="5" t="s">
        <v>6960</v>
      </c>
      <c r="X1040" s="24" t="str">
        <f t="shared" si="414"/>
        <v>impla.101</v>
      </c>
      <c r="Y1040" s="24" t="str">
        <f t="shared" si="415"/>
        <v>Ação de implantar</v>
      </c>
      <c r="Z1040" s="47" t="s">
        <v>1894</v>
      </c>
      <c r="AA1040" s="25" t="str">
        <f t="shared" si="409"/>
        <v>categoria.revit</v>
      </c>
      <c r="AB1040" s="26" t="s">
        <v>3520</v>
      </c>
      <c r="AC1040" s="25" t="str">
        <f t="shared" si="410"/>
        <v>classe.ifc</v>
      </c>
      <c r="AD1040" s="26" t="s">
        <v>3460</v>
      </c>
      <c r="AE1040" s="25" t="str">
        <f t="shared" si="417"/>
        <v>null</v>
      </c>
      <c r="AF1040" s="26" t="s">
        <v>0</v>
      </c>
      <c r="AG1040" s="47" t="s">
        <v>2908</v>
      </c>
    </row>
    <row r="1041" spans="1:33" ht="6.9" customHeight="1" x14ac:dyDescent="0.4">
      <c r="A1041" s="4">
        <f>ROW()</f>
        <v>1041</v>
      </c>
      <c r="B1041" s="9" t="s">
        <v>27</v>
      </c>
      <c r="C1041" s="55" t="str">
        <f t="shared" si="416"/>
        <v>p.implantar</v>
      </c>
      <c r="D1041" s="6" t="str">
        <f t="shared" si="419"/>
        <v>é.caminhão</v>
      </c>
      <c r="E1041" s="8" t="s">
        <v>28</v>
      </c>
      <c r="F1041" s="42" t="str">
        <f t="shared" si="420"/>
        <v>d.implantar</v>
      </c>
      <c r="G1041" s="18" t="s">
        <v>334</v>
      </c>
      <c r="H1041" s="41" t="s">
        <v>37</v>
      </c>
      <c r="I1041" s="16" t="str">
        <f t="shared" si="418"/>
        <v>null</v>
      </c>
      <c r="J1041" s="15" t="s">
        <v>0</v>
      </c>
      <c r="K1041" s="13" t="s">
        <v>0</v>
      </c>
      <c r="L1041" s="13" t="s">
        <v>0</v>
      </c>
      <c r="M1041" s="13" t="s">
        <v>0</v>
      </c>
      <c r="N1041" s="13" t="s">
        <v>0</v>
      </c>
      <c r="O1041" s="13" t="s">
        <v>0</v>
      </c>
      <c r="P1041" s="13" t="s">
        <v>0</v>
      </c>
      <c r="Q1041" s="13" t="s">
        <v>0</v>
      </c>
      <c r="R1041" s="15" t="s">
        <v>0</v>
      </c>
      <c r="S1041" s="10" t="s">
        <v>1</v>
      </c>
      <c r="T1041" s="10" t="s">
        <v>32</v>
      </c>
      <c r="U1041" s="5" t="str">
        <f t="shared" si="412"/>
        <v>Propriedade destinada a implantar: é.caminhão</v>
      </c>
      <c r="V1041" s="5" t="str">
        <f t="shared" si="413"/>
        <v>Dado para implantar:  caminhão  Deve ser formatado como (xsd:boolean)</v>
      </c>
      <c r="W1041" s="5" t="s">
        <v>5825</v>
      </c>
      <c r="X1041" s="24" t="str">
        <f t="shared" si="414"/>
        <v>impla.102</v>
      </c>
      <c r="Y1041" s="24" t="str">
        <f t="shared" si="415"/>
        <v>Ação de implantar</v>
      </c>
      <c r="Z1041" s="47" t="s">
        <v>1895</v>
      </c>
      <c r="AA1041" s="25" t="str">
        <f t="shared" si="409"/>
        <v>categoria.revit</v>
      </c>
      <c r="AB1041" s="26" t="s">
        <v>3520</v>
      </c>
      <c r="AC1041" s="25" t="str">
        <f t="shared" si="410"/>
        <v>classe.ifc</v>
      </c>
      <c r="AD1041" s="26" t="s">
        <v>3460</v>
      </c>
      <c r="AE1041" s="25" t="str">
        <f t="shared" si="417"/>
        <v>null</v>
      </c>
      <c r="AF1041" s="26" t="s">
        <v>0</v>
      </c>
      <c r="AG1041" s="47" t="s">
        <v>2909</v>
      </c>
    </row>
    <row r="1042" spans="1:33" ht="6.9" customHeight="1" x14ac:dyDescent="0.4">
      <c r="A1042" s="4">
        <f>ROW()</f>
        <v>1042</v>
      </c>
      <c r="B1042" s="9" t="s">
        <v>27</v>
      </c>
      <c r="C1042" s="55" t="str">
        <f t="shared" si="416"/>
        <v>p.implantar</v>
      </c>
      <c r="D1042" s="6" t="str">
        <f t="shared" si="419"/>
        <v>é.esteira</v>
      </c>
      <c r="E1042" s="8" t="s">
        <v>28</v>
      </c>
      <c r="F1042" s="42" t="str">
        <f t="shared" si="420"/>
        <v>d.implantar</v>
      </c>
      <c r="G1042" s="18" t="s">
        <v>335</v>
      </c>
      <c r="H1042" s="41" t="s">
        <v>37</v>
      </c>
      <c r="I1042" s="16" t="str">
        <f t="shared" si="418"/>
        <v>null</v>
      </c>
      <c r="J1042" s="15" t="s">
        <v>0</v>
      </c>
      <c r="K1042" s="13" t="s">
        <v>0</v>
      </c>
      <c r="L1042" s="13" t="s">
        <v>0</v>
      </c>
      <c r="M1042" s="13" t="s">
        <v>0</v>
      </c>
      <c r="N1042" s="13" t="s">
        <v>0</v>
      </c>
      <c r="O1042" s="13" t="s">
        <v>0</v>
      </c>
      <c r="P1042" s="13" t="s">
        <v>0</v>
      </c>
      <c r="Q1042" s="13" t="s">
        <v>0</v>
      </c>
      <c r="R1042" s="15" t="s">
        <v>0</v>
      </c>
      <c r="S1042" s="10" t="s">
        <v>1</v>
      </c>
      <c r="T1042" s="10" t="s">
        <v>32</v>
      </c>
      <c r="U1042" s="5" t="str">
        <f t="shared" si="412"/>
        <v>Propriedade destinada a implantar: é.esteira</v>
      </c>
      <c r="V1042" s="5" t="str">
        <f t="shared" si="413"/>
        <v>Dado para implantar:  esteira  Deve ser formatado como (xsd:boolean)</v>
      </c>
      <c r="W1042" s="5" t="s">
        <v>5826</v>
      </c>
      <c r="X1042" s="24" t="str">
        <f t="shared" si="414"/>
        <v>impla.103</v>
      </c>
      <c r="Y1042" s="24" t="str">
        <f t="shared" si="415"/>
        <v>Ação de implantar</v>
      </c>
      <c r="Z1042" s="47" t="s">
        <v>1896</v>
      </c>
      <c r="AA1042" s="25" t="str">
        <f t="shared" si="409"/>
        <v>categoria.revit</v>
      </c>
      <c r="AB1042" s="26" t="s">
        <v>3520</v>
      </c>
      <c r="AC1042" s="25" t="str">
        <f t="shared" si="410"/>
        <v>classe.ifc</v>
      </c>
      <c r="AD1042" s="26" t="s">
        <v>3460</v>
      </c>
      <c r="AE1042" s="25" t="str">
        <f t="shared" si="417"/>
        <v>null</v>
      </c>
      <c r="AF1042" s="26" t="s">
        <v>0</v>
      </c>
      <c r="AG1042" s="47" t="s">
        <v>4732</v>
      </c>
    </row>
    <row r="1043" spans="1:33" ht="6.9" customHeight="1" x14ac:dyDescent="0.4">
      <c r="A1043" s="4">
        <f>ROW()</f>
        <v>1043</v>
      </c>
      <c r="B1043" s="9" t="s">
        <v>27</v>
      </c>
      <c r="C1043" s="55" t="str">
        <f t="shared" si="416"/>
        <v>p.implantar</v>
      </c>
      <c r="D1043" s="6" t="str">
        <f t="shared" si="419"/>
        <v>é.cinta.transportadora</v>
      </c>
      <c r="E1043" s="8" t="s">
        <v>28</v>
      </c>
      <c r="F1043" s="42" t="str">
        <f t="shared" si="420"/>
        <v>d.implantar</v>
      </c>
      <c r="G1043" s="18" t="s">
        <v>1018</v>
      </c>
      <c r="H1043" s="41" t="s">
        <v>37</v>
      </c>
      <c r="I1043" s="16" t="str">
        <f t="shared" si="418"/>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12"/>
        <v>Propriedade destinada a implantar: é.cinta.transportadora</v>
      </c>
      <c r="V1043" s="5" t="str">
        <f t="shared" si="413"/>
        <v>Dado para implantar:  cinta.transportadora  Deve ser formatado como (xsd:boolean)</v>
      </c>
      <c r="W1043" s="5" t="s">
        <v>5827</v>
      </c>
      <c r="X1043" s="24" t="str">
        <f t="shared" si="414"/>
        <v>impla.104</v>
      </c>
      <c r="Y1043" s="24" t="str">
        <f t="shared" si="415"/>
        <v>Ação de implantar</v>
      </c>
      <c r="Z1043" s="47" t="s">
        <v>1896</v>
      </c>
      <c r="AA1043" s="25" t="str">
        <f t="shared" si="409"/>
        <v>categoria.revit</v>
      </c>
      <c r="AB1043" s="26" t="s">
        <v>3520</v>
      </c>
      <c r="AC1043" s="25" t="str">
        <f t="shared" si="410"/>
        <v>classe.ifc</v>
      </c>
      <c r="AD1043" s="26" t="s">
        <v>3460</v>
      </c>
      <c r="AE1043" s="25" t="str">
        <f t="shared" si="417"/>
        <v>null</v>
      </c>
      <c r="AF1043" s="26" t="s">
        <v>0</v>
      </c>
      <c r="AG1043" s="47" t="s">
        <v>4732</v>
      </c>
    </row>
    <row r="1044" spans="1:33" ht="6.9" customHeight="1" x14ac:dyDescent="0.4">
      <c r="A1044" s="4">
        <f>ROW()</f>
        <v>1044</v>
      </c>
      <c r="B1044" s="9" t="s">
        <v>27</v>
      </c>
      <c r="C1044" s="55" t="str">
        <f t="shared" si="416"/>
        <v>p.implantar</v>
      </c>
      <c r="D1044" s="6" t="str">
        <f t="shared" si="419"/>
        <v>é.plataforma.elevação</v>
      </c>
      <c r="E1044" s="8" t="s">
        <v>28</v>
      </c>
      <c r="F1044" s="42" t="str">
        <f t="shared" si="420"/>
        <v>d.implantar</v>
      </c>
      <c r="G1044" s="18" t="s">
        <v>1019</v>
      </c>
      <c r="H1044" s="41" t="s">
        <v>37</v>
      </c>
      <c r="I1044" s="16" t="str">
        <f t="shared" si="418"/>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12"/>
        <v>Propriedade destinada a implantar: é.plataforma.elevação</v>
      </c>
      <c r="V1044" s="5" t="str">
        <f t="shared" si="413"/>
        <v>Dado para implantar:  plataforma.elevação  Deve ser formatado como (xsd:boolean)</v>
      </c>
      <c r="W1044" s="5" t="s">
        <v>5828</v>
      </c>
      <c r="X1044" s="24" t="str">
        <f t="shared" si="414"/>
        <v>impla.105</v>
      </c>
      <c r="Y1044" s="24" t="str">
        <f t="shared" si="415"/>
        <v>Ação de implantar</v>
      </c>
      <c r="Z1044" s="47" t="s">
        <v>1897</v>
      </c>
      <c r="AA1044" s="25" t="str">
        <f t="shared" si="409"/>
        <v>categoria.revit</v>
      </c>
      <c r="AB1044" s="26" t="s">
        <v>3520</v>
      </c>
      <c r="AC1044" s="25" t="str">
        <f t="shared" si="410"/>
        <v>classe.ifc</v>
      </c>
      <c r="AD1044" s="26" t="s">
        <v>3460</v>
      </c>
      <c r="AE1044" s="25" t="str">
        <f t="shared" si="417"/>
        <v>null</v>
      </c>
      <c r="AF1044" s="26" t="s">
        <v>0</v>
      </c>
      <c r="AG1044" s="47" t="s">
        <v>4799</v>
      </c>
    </row>
    <row r="1045" spans="1:33" ht="6.9" customHeight="1" x14ac:dyDescent="0.4">
      <c r="A1045" s="4">
        <f>ROW()</f>
        <v>1045</v>
      </c>
      <c r="B1045" s="9" t="s">
        <v>27</v>
      </c>
      <c r="C1045" s="55" t="str">
        <f t="shared" si="416"/>
        <v>p.implantar</v>
      </c>
      <c r="D1045" s="6" t="str">
        <f t="shared" si="419"/>
        <v>é.tartaruga.de.carga</v>
      </c>
      <c r="E1045" s="8" t="s">
        <v>28</v>
      </c>
      <c r="F1045" s="42" t="str">
        <f t="shared" si="420"/>
        <v>d.implantar</v>
      </c>
      <c r="G1045" s="18" t="s">
        <v>1020</v>
      </c>
      <c r="H1045" s="41" t="s">
        <v>37</v>
      </c>
      <c r="I1045" s="16" t="str">
        <f t="shared" si="418"/>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12"/>
        <v>Propriedade destinada a implantar: é.tartaruga.de.carga</v>
      </c>
      <c r="V1045" s="5" t="str">
        <f t="shared" si="413"/>
        <v>Dado para implantar:  tartaruga.de.carga  Deve ser formatado como (xsd:boolean)</v>
      </c>
      <c r="W1045" s="5" t="s">
        <v>5829</v>
      </c>
      <c r="X1045" s="24" t="str">
        <f t="shared" si="414"/>
        <v>impla.106</v>
      </c>
      <c r="Y1045" s="24" t="str">
        <f t="shared" si="415"/>
        <v>Ação de implantar</v>
      </c>
      <c r="Z1045" s="47" t="s">
        <v>1898</v>
      </c>
      <c r="AA1045" s="25" t="str">
        <f t="shared" si="409"/>
        <v>categoria.revit</v>
      </c>
      <c r="AB1045" s="26" t="s">
        <v>3520</v>
      </c>
      <c r="AC1045" s="25" t="str">
        <f t="shared" si="410"/>
        <v>classe.ifc</v>
      </c>
      <c r="AD1045" s="26" t="s">
        <v>3460</v>
      </c>
      <c r="AE1045" s="25" t="str">
        <f t="shared" si="417"/>
        <v>null</v>
      </c>
      <c r="AF1045" s="26" t="s">
        <v>0</v>
      </c>
      <c r="AG1045" s="47" t="s">
        <v>4733</v>
      </c>
    </row>
    <row r="1046" spans="1:33" ht="6.9" customHeight="1" x14ac:dyDescent="0.4">
      <c r="A1046" s="4">
        <f>ROW()</f>
        <v>1046</v>
      </c>
      <c r="B1046" s="9" t="s">
        <v>27</v>
      </c>
      <c r="C1046" s="55" t="str">
        <f t="shared" si="416"/>
        <v>p.implantar</v>
      </c>
      <c r="D1046" s="6" t="str">
        <f t="shared" si="419"/>
        <v>é.granel</v>
      </c>
      <c r="E1046" s="8" t="s">
        <v>28</v>
      </c>
      <c r="F1046" s="42" t="str">
        <f t="shared" si="420"/>
        <v>d.implantar</v>
      </c>
      <c r="G1046" s="18" t="s">
        <v>333</v>
      </c>
      <c r="H1046" s="41" t="s">
        <v>37</v>
      </c>
      <c r="I1046" s="16" t="str">
        <f t="shared" si="418"/>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12"/>
        <v>Propriedade destinada a implantar: é.granel</v>
      </c>
      <c r="V1046" s="5" t="str">
        <f t="shared" si="413"/>
        <v>Dado para implantar:  granel  Deve ser formatado como (xsd:boolean)</v>
      </c>
      <c r="W1046" s="5" t="s">
        <v>5830</v>
      </c>
      <c r="X1046" s="24" t="str">
        <f t="shared" si="414"/>
        <v>impla.107</v>
      </c>
      <c r="Y1046" s="24" t="str">
        <f t="shared" si="415"/>
        <v>Ação de implantar</v>
      </c>
      <c r="Z1046" s="47" t="s">
        <v>1021</v>
      </c>
      <c r="AA1046" s="25" t="str">
        <f t="shared" si="409"/>
        <v>categoria.revit</v>
      </c>
      <c r="AB1046" s="26" t="s">
        <v>3520</v>
      </c>
      <c r="AC1046" s="25" t="str">
        <f t="shared" si="410"/>
        <v>classe.ifc</v>
      </c>
      <c r="AD1046" s="26" t="s">
        <v>3460</v>
      </c>
      <c r="AE1046" s="25" t="str">
        <f t="shared" si="417"/>
        <v>null</v>
      </c>
      <c r="AF1046" s="26" t="s">
        <v>0</v>
      </c>
      <c r="AG1046" s="47" t="s">
        <v>4734</v>
      </c>
    </row>
    <row r="1047" spans="1:33" ht="6.9" customHeight="1" x14ac:dyDescent="0.4">
      <c r="A1047" s="4">
        <f>ROW()</f>
        <v>1047</v>
      </c>
      <c r="B1047" s="9" t="s">
        <v>27</v>
      </c>
      <c r="C1047" s="54" t="str">
        <f t="shared" si="416"/>
        <v>p.incentivar</v>
      </c>
      <c r="D1047" s="6" t="str">
        <f t="shared" si="419"/>
        <v>é.incentivo</v>
      </c>
      <c r="E1047" s="8" t="s">
        <v>28</v>
      </c>
      <c r="F1047" s="51" t="s">
        <v>3589</v>
      </c>
      <c r="G1047" s="17" t="s">
        <v>257</v>
      </c>
      <c r="H1047" s="42" t="s">
        <v>2121</v>
      </c>
      <c r="I1047" s="16" t="str">
        <f t="shared" si="418"/>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12"/>
        <v>Propriedade destinada a incentivar: é.incentivo</v>
      </c>
      <c r="V1047" s="5" t="str">
        <f t="shared" si="413"/>
        <v>Dado para incentivar:  incentivo  Deve ser formatado como (rdfs:Literal  or  xsd:string)</v>
      </c>
      <c r="W1047" s="5" t="s">
        <v>5831</v>
      </c>
      <c r="X1047" s="24" t="str">
        <f t="shared" si="414"/>
        <v>incen.100</v>
      </c>
      <c r="Y1047" s="24" t="str">
        <f t="shared" si="415"/>
        <v>Ação de incentivar</v>
      </c>
      <c r="Z1047" s="47" t="s">
        <v>1552</v>
      </c>
      <c r="AA1047" s="25" t="str">
        <f t="shared" si="409"/>
        <v>null</v>
      </c>
      <c r="AB1047" s="26" t="s">
        <v>0</v>
      </c>
      <c r="AC1047" s="25" t="str">
        <f t="shared" si="410"/>
        <v>null</v>
      </c>
      <c r="AD1047" s="26" t="s">
        <v>0</v>
      </c>
      <c r="AE1047" s="25" t="str">
        <f t="shared" si="417"/>
        <v>null</v>
      </c>
      <c r="AF1047" s="26" t="s">
        <v>0</v>
      </c>
      <c r="AG1047" s="47" t="s">
        <v>4735</v>
      </c>
    </row>
    <row r="1048" spans="1:33" ht="6.9" customHeight="1" x14ac:dyDescent="0.4">
      <c r="A1048" s="4">
        <f>ROW()</f>
        <v>1048</v>
      </c>
      <c r="B1048" s="9" t="s">
        <v>27</v>
      </c>
      <c r="C1048" s="55" t="str">
        <f t="shared" si="416"/>
        <v>p.incentivar</v>
      </c>
      <c r="D1048" s="6" t="str">
        <f t="shared" si="419"/>
        <v>é.cepac</v>
      </c>
      <c r="E1048" s="8" t="s">
        <v>28</v>
      </c>
      <c r="F1048" s="42" t="str">
        <f>F1047</f>
        <v>d.incentivar</v>
      </c>
      <c r="G1048" s="17" t="s">
        <v>258</v>
      </c>
      <c r="H1048" s="42" t="s">
        <v>2121</v>
      </c>
      <c r="I1048" s="16" t="str">
        <f t="shared" si="418"/>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12"/>
        <v>Propriedade destinada a incentivar: é.cepac</v>
      </c>
      <c r="V1048" s="5" t="str">
        <f t="shared" si="413"/>
        <v>Dado para incentivar:  cepac  Deve ser formatado como (rdfs:Literal  or  xsd:string)</v>
      </c>
      <c r="W1048" s="5" t="s">
        <v>5832</v>
      </c>
      <c r="X1048" s="24" t="str">
        <f t="shared" si="414"/>
        <v>incen.101</v>
      </c>
      <c r="Y1048" s="24" t="str">
        <f t="shared" si="415"/>
        <v>Ação de incentivar</v>
      </c>
      <c r="Z1048" s="47" t="s">
        <v>1553</v>
      </c>
      <c r="AA1048" s="25" t="str">
        <f t="shared" si="409"/>
        <v>null</v>
      </c>
      <c r="AB1048" s="26" t="s">
        <v>0</v>
      </c>
      <c r="AC1048" s="25" t="str">
        <f t="shared" si="410"/>
        <v>null</v>
      </c>
      <c r="AD1048" s="26" t="s">
        <v>0</v>
      </c>
      <c r="AE1048" s="25" t="str">
        <f t="shared" si="417"/>
        <v>null</v>
      </c>
      <c r="AF1048" s="26" t="s">
        <v>0</v>
      </c>
      <c r="AG1048" s="47" t="s">
        <v>2910</v>
      </c>
    </row>
    <row r="1049" spans="1:33" ht="6.9" customHeight="1" x14ac:dyDescent="0.4">
      <c r="A1049" s="4">
        <f>ROW()</f>
        <v>1049</v>
      </c>
      <c r="B1049" s="9" t="s">
        <v>27</v>
      </c>
      <c r="C1049" s="55" t="str">
        <f t="shared" si="416"/>
        <v>p.incentivar</v>
      </c>
      <c r="D1049" s="6" t="str">
        <f t="shared" si="419"/>
        <v>é.revitalizado</v>
      </c>
      <c r="E1049" s="8" t="s">
        <v>28</v>
      </c>
      <c r="F1049" s="42" t="str">
        <f>F1048</f>
        <v>d.incentivar</v>
      </c>
      <c r="G1049" s="17" t="s">
        <v>259</v>
      </c>
      <c r="H1049" s="42" t="s">
        <v>2121</v>
      </c>
      <c r="I1049" s="16" t="str">
        <f t="shared" si="418"/>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12"/>
        <v>Propriedade destinada a incentivar: é.revitalizado</v>
      </c>
      <c r="V1049" s="5" t="str">
        <f t="shared" si="413"/>
        <v>Dado para incentivar:  revitalizado  Deve ser formatado como (rdfs:Literal  or  xsd:string)</v>
      </c>
      <c r="W1049" s="5" t="s">
        <v>5833</v>
      </c>
      <c r="X1049" s="24" t="str">
        <f t="shared" si="414"/>
        <v>incen.102</v>
      </c>
      <c r="Y1049" s="24" t="str">
        <f t="shared" si="415"/>
        <v>Ação de incentivar</v>
      </c>
      <c r="Z1049" s="47" t="s">
        <v>1554</v>
      </c>
      <c r="AA1049" s="25" t="str">
        <f t="shared" si="409"/>
        <v>null</v>
      </c>
      <c r="AB1049" s="26" t="s">
        <v>0</v>
      </c>
      <c r="AC1049" s="25" t="str">
        <f t="shared" si="410"/>
        <v>null</v>
      </c>
      <c r="AD1049" s="26" t="s">
        <v>0</v>
      </c>
      <c r="AE1049" s="25" t="str">
        <f t="shared" si="417"/>
        <v>null</v>
      </c>
      <c r="AF1049" s="26" t="s">
        <v>0</v>
      </c>
      <c r="AG1049" s="47" t="s">
        <v>4736</v>
      </c>
    </row>
    <row r="1050" spans="1:33" ht="6.9" customHeight="1" x14ac:dyDescent="0.4">
      <c r="A1050" s="4">
        <f>ROW()</f>
        <v>1050</v>
      </c>
      <c r="B1050" s="9" t="s">
        <v>27</v>
      </c>
      <c r="C1050" s="54" t="str">
        <f t="shared" si="416"/>
        <v>p.incluir</v>
      </c>
      <c r="D1050" s="6" t="str">
        <f t="shared" si="419"/>
        <v>é.uso.equitativo</v>
      </c>
      <c r="E1050" s="8" t="s">
        <v>28</v>
      </c>
      <c r="F1050" s="50" t="s">
        <v>8328</v>
      </c>
      <c r="G1050" s="18" t="s">
        <v>8329</v>
      </c>
      <c r="H1050" s="41" t="s">
        <v>37</v>
      </c>
      <c r="I1050" s="16" t="str">
        <f t="shared" ref="I1050:I1056" si="421">J1050</f>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12"/>
        <v>Propriedade destinada a incluir: é.uso.equitativo</v>
      </c>
      <c r="V1050" s="5" t="str">
        <f t="shared" si="413"/>
        <v>Dado para incluir:  uso.equitativo  Deve ser formatado como (xsd:boolean)</v>
      </c>
      <c r="W1050" s="5" t="s">
        <v>8420</v>
      </c>
      <c r="X1050" s="24" t="str">
        <f t="shared" si="414"/>
        <v>inclu.100</v>
      </c>
      <c r="Y1050" s="24" t="str">
        <f t="shared" si="415"/>
        <v>Ação de incluir</v>
      </c>
      <c r="Z1050" s="47" t="s">
        <v>8490</v>
      </c>
      <c r="AA1050" s="25" t="str">
        <f t="shared" ref="AA1050:AA1056" si="422">IF(AB1050="null", "null", "categoria.revit")</f>
        <v>null</v>
      </c>
      <c r="AB1050" s="26" t="s">
        <v>0</v>
      </c>
      <c r="AC1050" s="25" t="str">
        <f t="shared" ref="AC1050:AC1056" si="423">IF(AD1050="null", "null", "classe.ifc")</f>
        <v>null</v>
      </c>
      <c r="AD1050" s="26" t="s">
        <v>0</v>
      </c>
      <c r="AE1050" s="25" t="str">
        <f t="shared" ref="AE1050:AE1056" si="424">IF(AF1050="null", "null", "propriedade")</f>
        <v>null</v>
      </c>
      <c r="AF1050" s="26" t="s">
        <v>0</v>
      </c>
      <c r="AG1050" s="47" t="s">
        <v>8427</v>
      </c>
    </row>
    <row r="1051" spans="1:33" ht="6.9" customHeight="1" x14ac:dyDescent="0.4">
      <c r="A1051" s="4">
        <f>ROW()</f>
        <v>1051</v>
      </c>
      <c r="B1051" s="9" t="s">
        <v>27</v>
      </c>
      <c r="C1051" s="55" t="str">
        <f t="shared" ref="C1051:C1056" si="425">SUBSTITUTE(F1051,"d.","p.")</f>
        <v>p.incluir</v>
      </c>
      <c r="D1051" s="6" t="str">
        <f t="shared" si="419"/>
        <v>é.uso.baixo.esforço.físico</v>
      </c>
      <c r="E1051" s="8" t="s">
        <v>28</v>
      </c>
      <c r="F1051" s="42" t="str">
        <f t="shared" ref="F1051:F1056" si="426">F1050</f>
        <v>d.incluir</v>
      </c>
      <c r="G1051" s="18" t="s">
        <v>8332</v>
      </c>
      <c r="H1051" s="41" t="s">
        <v>37</v>
      </c>
      <c r="I1051" s="16" t="str">
        <f t="shared" si="421"/>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412"/>
        <v>Propriedade destinada a incluir: é.uso.baixo.esforço.físico</v>
      </c>
      <c r="V1051" s="5" t="str">
        <f t="shared" si="413"/>
        <v>Dado para incluir:  uso.baixo.esforço.físico  Deve ser formatado como (xsd:boolean)</v>
      </c>
      <c r="W1051" s="5" t="s">
        <v>8421</v>
      </c>
      <c r="X1051" s="24" t="str">
        <f t="shared" si="414"/>
        <v>inclu.101</v>
      </c>
      <c r="Y1051" s="24" t="str">
        <f t="shared" si="415"/>
        <v>Ação de incluir</v>
      </c>
      <c r="Z1051" s="47" t="s">
        <v>8491</v>
      </c>
      <c r="AA1051" s="25" t="str">
        <f t="shared" si="422"/>
        <v>null</v>
      </c>
      <c r="AB1051" s="26" t="s">
        <v>0</v>
      </c>
      <c r="AC1051" s="25" t="str">
        <f t="shared" si="423"/>
        <v>null</v>
      </c>
      <c r="AD1051" s="26" t="s">
        <v>0</v>
      </c>
      <c r="AE1051" s="25" t="str">
        <f t="shared" si="424"/>
        <v>null</v>
      </c>
      <c r="AF1051" s="26" t="s">
        <v>0</v>
      </c>
      <c r="AG1051" s="47" t="s">
        <v>8428</v>
      </c>
    </row>
    <row r="1052" spans="1:33" ht="6.9" customHeight="1" x14ac:dyDescent="0.4">
      <c r="A1052" s="4">
        <f>ROW()</f>
        <v>1052</v>
      </c>
      <c r="B1052" s="9" t="s">
        <v>27</v>
      </c>
      <c r="C1052" s="55" t="str">
        <f t="shared" si="425"/>
        <v>p.incluir</v>
      </c>
      <c r="D1052" s="6" t="str">
        <f t="shared" si="419"/>
        <v>é.uso.dimensionado.aproximação</v>
      </c>
      <c r="E1052" s="8" t="s">
        <v>28</v>
      </c>
      <c r="F1052" s="42" t="str">
        <f t="shared" si="426"/>
        <v>d.incluir</v>
      </c>
      <c r="G1052" s="18" t="s">
        <v>8335</v>
      </c>
      <c r="H1052" s="41" t="s">
        <v>37</v>
      </c>
      <c r="I1052" s="16" t="str">
        <f t="shared" si="421"/>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412"/>
        <v>Propriedade destinada a incluir: é.uso.dimensionado.aproximação</v>
      </c>
      <c r="V1052" s="5" t="str">
        <f t="shared" si="413"/>
        <v>Dado para incluir:  uso.dimensionado.aproximação  Deve ser formatado como (xsd:boolean)</v>
      </c>
      <c r="W1052" s="5" t="s">
        <v>8422</v>
      </c>
      <c r="X1052" s="24" t="str">
        <f t="shared" si="414"/>
        <v>inclu.102</v>
      </c>
      <c r="Y1052" s="24" t="str">
        <f t="shared" si="415"/>
        <v>Ação de incluir</v>
      </c>
      <c r="Z1052" s="47" t="s">
        <v>8492</v>
      </c>
      <c r="AA1052" s="25" t="str">
        <f t="shared" si="422"/>
        <v>null</v>
      </c>
      <c r="AB1052" s="26" t="s">
        <v>0</v>
      </c>
      <c r="AC1052" s="25" t="str">
        <f t="shared" si="423"/>
        <v>null</v>
      </c>
      <c r="AD1052" s="26" t="s">
        <v>0</v>
      </c>
      <c r="AE1052" s="25" t="str">
        <f t="shared" si="424"/>
        <v>null</v>
      </c>
      <c r="AF1052" s="26" t="s">
        <v>0</v>
      </c>
      <c r="AG1052" s="47" t="s">
        <v>8429</v>
      </c>
    </row>
    <row r="1053" spans="1:33" ht="6.9" customHeight="1" x14ac:dyDescent="0.4">
      <c r="A1053" s="4">
        <f>ROW()</f>
        <v>1053</v>
      </c>
      <c r="B1053" s="9" t="s">
        <v>27</v>
      </c>
      <c r="C1053" s="55" t="str">
        <f t="shared" si="425"/>
        <v>p.incluir</v>
      </c>
      <c r="D1053" s="6" t="str">
        <f t="shared" si="419"/>
        <v xml:space="preserve">é.uso.flexível </v>
      </c>
      <c r="E1053" s="8" t="s">
        <v>28</v>
      </c>
      <c r="F1053" s="42" t="str">
        <f t="shared" si="426"/>
        <v>d.incluir</v>
      </c>
      <c r="G1053" s="18" t="s">
        <v>8330</v>
      </c>
      <c r="H1053" s="41" t="s">
        <v>37</v>
      </c>
      <c r="I1053" s="16" t="str">
        <f t="shared" si="421"/>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412"/>
        <v xml:space="preserve">Propriedade destinada a incluir: é.uso.flexível </v>
      </c>
      <c r="V1053" s="5" t="str">
        <f t="shared" si="413"/>
        <v>Dado para incluir:  uso.flexível   Deve ser formatado como (xsd:boolean)</v>
      </c>
      <c r="W1053" s="5" t="s">
        <v>8423</v>
      </c>
      <c r="X1053" s="24" t="str">
        <f t="shared" si="414"/>
        <v>inclu.103</v>
      </c>
      <c r="Y1053" s="24" t="str">
        <f t="shared" si="415"/>
        <v>Ação de incluir</v>
      </c>
      <c r="Z1053" s="47" t="s">
        <v>8493</v>
      </c>
      <c r="AA1053" s="25" t="str">
        <f t="shared" si="422"/>
        <v>null</v>
      </c>
      <c r="AB1053" s="26" t="s">
        <v>0</v>
      </c>
      <c r="AC1053" s="25" t="str">
        <f t="shared" si="423"/>
        <v>null</v>
      </c>
      <c r="AD1053" s="26" t="s">
        <v>0</v>
      </c>
      <c r="AE1053" s="25" t="str">
        <f t="shared" si="424"/>
        <v>null</v>
      </c>
      <c r="AF1053" s="26" t="s">
        <v>0</v>
      </c>
      <c r="AG1053" s="47" t="s">
        <v>8430</v>
      </c>
    </row>
    <row r="1054" spans="1:33" ht="6.9" customHeight="1" x14ac:dyDescent="0.4">
      <c r="A1054" s="4">
        <f>ROW()</f>
        <v>1054</v>
      </c>
      <c r="B1054" s="9" t="s">
        <v>27</v>
      </c>
      <c r="C1054" s="55" t="str">
        <f t="shared" si="425"/>
        <v>p.incluir</v>
      </c>
      <c r="D1054" s="6" t="str">
        <f t="shared" si="419"/>
        <v>é.uso.informação.perceptível</v>
      </c>
      <c r="E1054" s="8" t="s">
        <v>28</v>
      </c>
      <c r="F1054" s="42" t="str">
        <f t="shared" si="426"/>
        <v>d.incluir</v>
      </c>
      <c r="G1054" s="18" t="s">
        <v>8334</v>
      </c>
      <c r="H1054" s="41" t="s">
        <v>37</v>
      </c>
      <c r="I1054" s="16" t="str">
        <f t="shared" si="421"/>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12"/>
        <v>Propriedade destinada a incluir: é.uso.informação.perceptível</v>
      </c>
      <c r="V1054" s="5" t="str">
        <f t="shared" si="413"/>
        <v>Dado para incluir:  uso.informação.perceptível  Deve ser formatado como (xsd:boolean)</v>
      </c>
      <c r="W1054" s="5" t="s">
        <v>8424</v>
      </c>
      <c r="X1054" s="24" t="str">
        <f t="shared" si="414"/>
        <v>inclu.104</v>
      </c>
      <c r="Y1054" s="24" t="str">
        <f t="shared" si="415"/>
        <v>Ação de incluir</v>
      </c>
      <c r="Z1054" s="47" t="s">
        <v>8494</v>
      </c>
      <c r="AA1054" s="25" t="str">
        <f t="shared" si="422"/>
        <v>null</v>
      </c>
      <c r="AB1054" s="26" t="s">
        <v>0</v>
      </c>
      <c r="AC1054" s="25" t="str">
        <f t="shared" si="423"/>
        <v>null</v>
      </c>
      <c r="AD1054" s="26" t="s">
        <v>0</v>
      </c>
      <c r="AE1054" s="25" t="str">
        <f t="shared" si="424"/>
        <v>null</v>
      </c>
      <c r="AF1054" s="26" t="s">
        <v>0</v>
      </c>
      <c r="AG1054" s="47" t="s">
        <v>8431</v>
      </c>
    </row>
    <row r="1055" spans="1:33" ht="6.9" customHeight="1" x14ac:dyDescent="0.4">
      <c r="A1055" s="4">
        <f>ROW()</f>
        <v>1055</v>
      </c>
      <c r="B1055" s="9" t="s">
        <v>27</v>
      </c>
      <c r="C1055" s="55" t="str">
        <f t="shared" si="425"/>
        <v>p.incluir</v>
      </c>
      <c r="D1055" s="6" t="str">
        <f t="shared" si="419"/>
        <v>é.uso.intuitivo</v>
      </c>
      <c r="E1055" s="8" t="s">
        <v>28</v>
      </c>
      <c r="F1055" s="42" t="str">
        <f t="shared" si="426"/>
        <v>d.incluir</v>
      </c>
      <c r="G1055" s="18" t="s">
        <v>8331</v>
      </c>
      <c r="H1055" s="41" t="s">
        <v>37</v>
      </c>
      <c r="I1055" s="16" t="str">
        <f t="shared" si="421"/>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12"/>
        <v>Propriedade destinada a incluir: é.uso.intuitivo</v>
      </c>
      <c r="V1055" s="5" t="str">
        <f t="shared" si="413"/>
        <v>Dado para incluir:  uso.intuitivo  Deve ser formatado como (xsd:boolean)</v>
      </c>
      <c r="W1055" s="5" t="s">
        <v>8425</v>
      </c>
      <c r="X1055" s="24" t="str">
        <f t="shared" si="414"/>
        <v>inclu.105</v>
      </c>
      <c r="Y1055" s="24" t="str">
        <f t="shared" si="415"/>
        <v>Ação de incluir</v>
      </c>
      <c r="Z1055" s="47" t="s">
        <v>8495</v>
      </c>
      <c r="AA1055" s="25" t="str">
        <f t="shared" si="422"/>
        <v>null</v>
      </c>
      <c r="AB1055" s="26" t="s">
        <v>0</v>
      </c>
      <c r="AC1055" s="25" t="str">
        <f t="shared" si="423"/>
        <v>null</v>
      </c>
      <c r="AD1055" s="26" t="s">
        <v>0</v>
      </c>
      <c r="AE1055" s="25" t="str">
        <f t="shared" si="424"/>
        <v>null</v>
      </c>
      <c r="AF1055" s="26" t="s">
        <v>0</v>
      </c>
      <c r="AG1055" s="47" t="s">
        <v>8432</v>
      </c>
    </row>
    <row r="1056" spans="1:33" ht="6.9" customHeight="1" x14ac:dyDescent="0.4">
      <c r="A1056" s="4">
        <f>ROW()</f>
        <v>1056</v>
      </c>
      <c r="B1056" s="9" t="s">
        <v>27</v>
      </c>
      <c r="C1056" s="55" t="str">
        <f t="shared" si="425"/>
        <v>p.incluir</v>
      </c>
      <c r="D1056" s="6" t="str">
        <f t="shared" si="419"/>
        <v>é.uso.tolerante.ao.erro</v>
      </c>
      <c r="E1056" s="8" t="s">
        <v>28</v>
      </c>
      <c r="F1056" s="42" t="str">
        <f t="shared" si="426"/>
        <v>d.incluir</v>
      </c>
      <c r="G1056" s="18" t="s">
        <v>8333</v>
      </c>
      <c r="H1056" s="41" t="s">
        <v>37</v>
      </c>
      <c r="I1056" s="16" t="str">
        <f t="shared" si="421"/>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12"/>
        <v>Propriedade destinada a incluir: é.uso.tolerante.ao.erro</v>
      </c>
      <c r="V1056" s="5" t="str">
        <f t="shared" si="413"/>
        <v>Dado para incluir:  uso.tolerante.ao.erro  Deve ser formatado como (xsd:boolean)</v>
      </c>
      <c r="W1056" s="5" t="s">
        <v>8426</v>
      </c>
      <c r="X1056" s="24" t="str">
        <f t="shared" si="414"/>
        <v>inclu.106</v>
      </c>
      <c r="Y1056" s="24" t="str">
        <f t="shared" si="415"/>
        <v>Ação de incluir</v>
      </c>
      <c r="Z1056" s="47" t="s">
        <v>8496</v>
      </c>
      <c r="AA1056" s="25" t="str">
        <f t="shared" si="422"/>
        <v>null</v>
      </c>
      <c r="AB1056" s="26" t="s">
        <v>0</v>
      </c>
      <c r="AC1056" s="25" t="str">
        <f t="shared" si="423"/>
        <v>null</v>
      </c>
      <c r="AD1056" s="26" t="s">
        <v>0</v>
      </c>
      <c r="AE1056" s="25" t="str">
        <f t="shared" si="424"/>
        <v>null</v>
      </c>
      <c r="AF1056" s="26" t="s">
        <v>0</v>
      </c>
      <c r="AG1056" s="47" t="s">
        <v>8433</v>
      </c>
    </row>
    <row r="1057" spans="1:33" ht="6.9" customHeight="1" x14ac:dyDescent="0.4">
      <c r="A1057" s="4">
        <f>ROW()</f>
        <v>1057</v>
      </c>
      <c r="B1057" s="9" t="s">
        <v>27</v>
      </c>
      <c r="C1057" s="54" t="str">
        <f t="shared" ref="C1057:C1063" si="427">SUBSTITUTE(F1057,"d.","p.")</f>
        <v>p.informar</v>
      </c>
      <c r="D1057" s="6" t="str">
        <f t="shared" si="419"/>
        <v>é.ata.de.reunião</v>
      </c>
      <c r="E1057" s="8" t="s">
        <v>28</v>
      </c>
      <c r="F1057" s="51" t="s">
        <v>3590</v>
      </c>
      <c r="G1057" s="17" t="s">
        <v>763</v>
      </c>
      <c r="H1057" s="42" t="s">
        <v>2121</v>
      </c>
      <c r="I1057" s="16" t="str">
        <f t="shared" ref="I1057:I1063" si="428">J1057</f>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12"/>
        <v>Propriedade destinada a informar: é.ata.de.reunião</v>
      </c>
      <c r="V1057" s="5" t="str">
        <f t="shared" si="413"/>
        <v>Dado para informar:  ata.de.reunião  Deve ser formatado como (rdfs:Literal  or  xsd:string)</v>
      </c>
      <c r="W1057" s="5" t="s">
        <v>5834</v>
      </c>
      <c r="X1057" s="24" t="str">
        <f t="shared" si="414"/>
        <v>infor.100</v>
      </c>
      <c r="Y1057" s="24" t="str">
        <f t="shared" si="415"/>
        <v>Ação de informar</v>
      </c>
      <c r="Z1057" s="47" t="s">
        <v>1555</v>
      </c>
      <c r="AA1057" s="25" t="str">
        <f t="shared" ref="AA1057:AA1063" si="429">IF(AB1057="null", "null", "categoria.revit")</f>
        <v>null</v>
      </c>
      <c r="AB1057" s="26" t="s">
        <v>0</v>
      </c>
      <c r="AC1057" s="25" t="str">
        <f t="shared" ref="AC1057:AC1063" si="430">IF(AD1057="null", "null", "classe.ifc")</f>
        <v>null</v>
      </c>
      <c r="AD1057" s="26" t="s">
        <v>0</v>
      </c>
      <c r="AE1057" s="25" t="str">
        <f t="shared" ref="AE1057:AE1063" si="431">IF(AF1057="null", "null", "propriedade")</f>
        <v>null</v>
      </c>
      <c r="AF1057" s="26" t="s">
        <v>0</v>
      </c>
      <c r="AG1057" s="47" t="s">
        <v>2911</v>
      </c>
    </row>
    <row r="1058" spans="1:33" ht="6.9" customHeight="1" x14ac:dyDescent="0.4">
      <c r="A1058" s="4">
        <f>ROW()</f>
        <v>1058</v>
      </c>
      <c r="B1058" s="9" t="s">
        <v>27</v>
      </c>
      <c r="C1058" s="55" t="str">
        <f t="shared" si="427"/>
        <v>p.informar</v>
      </c>
      <c r="D1058" s="6" t="str">
        <f t="shared" si="419"/>
        <v>é.ato.oficial</v>
      </c>
      <c r="E1058" s="8" t="s">
        <v>28</v>
      </c>
      <c r="F1058" s="42" t="str">
        <f t="shared" ref="F1058:F1063" si="432">F1057</f>
        <v>d.informar</v>
      </c>
      <c r="G1058" s="17" t="s">
        <v>764</v>
      </c>
      <c r="H1058" s="42" t="s">
        <v>2121</v>
      </c>
      <c r="I1058" s="16" t="str">
        <f t="shared" si="42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12"/>
        <v>Propriedade destinada a informar: é.ato.oficial</v>
      </c>
      <c r="V1058" s="5" t="str">
        <f t="shared" si="413"/>
        <v>Dado para informar:  ato.oficial  Deve ser formatado como (rdfs:Literal  or  xsd:string)</v>
      </c>
      <c r="W1058" s="5" t="s">
        <v>5835</v>
      </c>
      <c r="X1058" s="24" t="str">
        <f t="shared" si="414"/>
        <v>infor.101</v>
      </c>
      <c r="Y1058" s="24" t="str">
        <f t="shared" si="415"/>
        <v>Ação de informar</v>
      </c>
      <c r="Z1058" s="47" t="s">
        <v>1556</v>
      </c>
      <c r="AA1058" s="25" t="str">
        <f t="shared" si="429"/>
        <v>null</v>
      </c>
      <c r="AB1058" s="26" t="s">
        <v>0</v>
      </c>
      <c r="AC1058" s="25" t="str">
        <f t="shared" si="430"/>
        <v>null</v>
      </c>
      <c r="AD1058" s="26" t="s">
        <v>0</v>
      </c>
      <c r="AE1058" s="25" t="str">
        <f t="shared" si="431"/>
        <v>null</v>
      </c>
      <c r="AF1058" s="26" t="s">
        <v>0</v>
      </c>
      <c r="AG1058" s="47" t="s">
        <v>4737</v>
      </c>
    </row>
    <row r="1059" spans="1:33" ht="6.9" customHeight="1" x14ac:dyDescent="0.4">
      <c r="A1059" s="4">
        <f>ROW()</f>
        <v>1059</v>
      </c>
      <c r="B1059" s="9" t="s">
        <v>27</v>
      </c>
      <c r="C1059" s="55" t="str">
        <f t="shared" si="427"/>
        <v>p.informar</v>
      </c>
      <c r="D1059" s="6" t="str">
        <f t="shared" si="419"/>
        <v>é.boletim.informativo</v>
      </c>
      <c r="E1059" s="8" t="s">
        <v>28</v>
      </c>
      <c r="F1059" s="42" t="str">
        <f t="shared" si="432"/>
        <v>d.informar</v>
      </c>
      <c r="G1059" s="17" t="s">
        <v>765</v>
      </c>
      <c r="H1059" s="42" t="s">
        <v>2121</v>
      </c>
      <c r="I1059" s="16" t="str">
        <f t="shared" si="42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12"/>
        <v>Propriedade destinada a informar: é.boletim.informativo</v>
      </c>
      <c r="V1059" s="5" t="str">
        <f t="shared" si="413"/>
        <v>Dado para informar:  boletim.informativo  Deve ser formatado como (rdfs:Literal  or  xsd:string)</v>
      </c>
      <c r="W1059" s="5" t="s">
        <v>5836</v>
      </c>
      <c r="X1059" s="24" t="str">
        <f t="shared" si="414"/>
        <v>infor.102</v>
      </c>
      <c r="Y1059" s="24" t="str">
        <f t="shared" si="415"/>
        <v>Ação de informar</v>
      </c>
      <c r="Z1059" s="47" t="s">
        <v>1557</v>
      </c>
      <c r="AA1059" s="25" t="str">
        <f t="shared" si="429"/>
        <v>null</v>
      </c>
      <c r="AB1059" s="26" t="s">
        <v>0</v>
      </c>
      <c r="AC1059" s="25" t="str">
        <f t="shared" si="430"/>
        <v>null</v>
      </c>
      <c r="AD1059" s="26" t="s">
        <v>0</v>
      </c>
      <c r="AE1059" s="25" t="str">
        <f t="shared" si="431"/>
        <v>null</v>
      </c>
      <c r="AF1059" s="26" t="s">
        <v>0</v>
      </c>
      <c r="AG1059" s="47" t="s">
        <v>2912</v>
      </c>
    </row>
    <row r="1060" spans="1:33" ht="6.9" customHeight="1" x14ac:dyDescent="0.4">
      <c r="A1060" s="4">
        <f>ROW()</f>
        <v>1060</v>
      </c>
      <c r="B1060" s="9" t="s">
        <v>27</v>
      </c>
      <c r="C1060" s="55" t="str">
        <f t="shared" si="427"/>
        <v>p.informar</v>
      </c>
      <c r="D1060" s="6" t="str">
        <f t="shared" si="419"/>
        <v>é.boletim.escolar</v>
      </c>
      <c r="E1060" s="8" t="s">
        <v>28</v>
      </c>
      <c r="F1060" s="42" t="str">
        <f t="shared" si="432"/>
        <v>d.informar</v>
      </c>
      <c r="G1060" s="17" t="s">
        <v>766</v>
      </c>
      <c r="H1060" s="42" t="s">
        <v>2121</v>
      </c>
      <c r="I1060" s="16" t="str">
        <f t="shared" si="428"/>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12"/>
        <v>Propriedade destinada a informar: é.boletim.escolar</v>
      </c>
      <c r="V1060" s="5" t="str">
        <f t="shared" si="413"/>
        <v>Dado para informar:  boletim.escolar  Deve ser formatado como (rdfs:Literal  or  xsd:string)</v>
      </c>
      <c r="W1060" s="5" t="s">
        <v>5837</v>
      </c>
      <c r="X1060" s="24" t="str">
        <f t="shared" si="414"/>
        <v>infor.103</v>
      </c>
      <c r="Y1060" s="24" t="str">
        <f t="shared" si="415"/>
        <v>Ação de informar</v>
      </c>
      <c r="Z1060" s="47" t="s">
        <v>4543</v>
      </c>
      <c r="AA1060" s="25" t="str">
        <f t="shared" si="429"/>
        <v>null</v>
      </c>
      <c r="AB1060" s="26" t="s">
        <v>0</v>
      </c>
      <c r="AC1060" s="25" t="str">
        <f t="shared" si="430"/>
        <v>null</v>
      </c>
      <c r="AD1060" s="26" t="s">
        <v>0</v>
      </c>
      <c r="AE1060" s="25" t="str">
        <f t="shared" si="431"/>
        <v>null</v>
      </c>
      <c r="AF1060" s="26" t="s">
        <v>0</v>
      </c>
      <c r="AG1060" s="47" t="s">
        <v>4835</v>
      </c>
    </row>
    <row r="1061" spans="1:33" ht="6.9" customHeight="1" x14ac:dyDescent="0.4">
      <c r="A1061" s="4">
        <f>ROW()</f>
        <v>1061</v>
      </c>
      <c r="B1061" s="9" t="s">
        <v>27</v>
      </c>
      <c r="C1061" s="55" t="str">
        <f t="shared" si="427"/>
        <v>p.informar</v>
      </c>
      <c r="D1061" s="6" t="str">
        <f t="shared" si="419"/>
        <v>é.boletim.de.ocorrência</v>
      </c>
      <c r="E1061" s="8" t="s">
        <v>28</v>
      </c>
      <c r="F1061" s="42" t="str">
        <f t="shared" si="432"/>
        <v>d.informar</v>
      </c>
      <c r="G1061" s="17" t="s">
        <v>767</v>
      </c>
      <c r="H1061" s="42" t="s">
        <v>2121</v>
      </c>
      <c r="I1061" s="16" t="str">
        <f t="shared" si="42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12"/>
        <v>Propriedade destinada a informar: é.boletim.de.ocorrência</v>
      </c>
      <c r="V1061" s="5" t="str">
        <f t="shared" si="413"/>
        <v>Dado para informar:  boletim.de.ocorrência  Deve ser formatado como (rdfs:Literal  or  xsd:string)</v>
      </c>
      <c r="W1061" s="5" t="s">
        <v>5838</v>
      </c>
      <c r="X1061" s="24" t="str">
        <f t="shared" si="414"/>
        <v>infor.104</v>
      </c>
      <c r="Y1061" s="24" t="str">
        <f t="shared" si="415"/>
        <v>Ação de informar</v>
      </c>
      <c r="Z1061" s="47" t="s">
        <v>1558</v>
      </c>
      <c r="AA1061" s="25" t="str">
        <f t="shared" si="429"/>
        <v>null</v>
      </c>
      <c r="AB1061" s="26" t="s">
        <v>0</v>
      </c>
      <c r="AC1061" s="25" t="str">
        <f t="shared" si="430"/>
        <v>null</v>
      </c>
      <c r="AD1061" s="26" t="s">
        <v>0</v>
      </c>
      <c r="AE1061" s="25" t="str">
        <f t="shared" si="431"/>
        <v>null</v>
      </c>
      <c r="AF1061" s="26" t="s">
        <v>0</v>
      </c>
      <c r="AG1061" s="47" t="s">
        <v>2913</v>
      </c>
    </row>
    <row r="1062" spans="1:33" ht="6.9" customHeight="1" x14ac:dyDescent="0.4">
      <c r="A1062" s="4">
        <f>ROW()</f>
        <v>1062</v>
      </c>
      <c r="B1062" s="9" t="s">
        <v>27</v>
      </c>
      <c r="C1062" s="55" t="str">
        <f t="shared" si="427"/>
        <v>p.informar</v>
      </c>
      <c r="D1062" s="6" t="str">
        <f t="shared" si="419"/>
        <v>é.diário.oficial</v>
      </c>
      <c r="E1062" s="8" t="s">
        <v>28</v>
      </c>
      <c r="F1062" s="42" t="str">
        <f t="shared" si="432"/>
        <v>d.informar</v>
      </c>
      <c r="G1062" s="17" t="s">
        <v>768</v>
      </c>
      <c r="H1062" s="42" t="s">
        <v>2121</v>
      </c>
      <c r="I1062" s="16" t="str">
        <f t="shared" si="428"/>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12"/>
        <v>Propriedade destinada a informar: é.diário.oficial</v>
      </c>
      <c r="V1062" s="5" t="str">
        <f t="shared" si="413"/>
        <v>Dado para informar:  diário.oficial  Deve ser formatado como (rdfs:Literal  or  xsd:string)</v>
      </c>
      <c r="W1062" s="5" t="s">
        <v>5839</v>
      </c>
      <c r="X1062" s="24" t="str">
        <f t="shared" si="414"/>
        <v>infor.105</v>
      </c>
      <c r="Y1062" s="24" t="str">
        <f t="shared" si="415"/>
        <v>Ação de informar</v>
      </c>
      <c r="Z1062" s="47" t="s">
        <v>1559</v>
      </c>
      <c r="AA1062" s="25" t="str">
        <f t="shared" si="429"/>
        <v>null</v>
      </c>
      <c r="AB1062" s="26" t="s">
        <v>0</v>
      </c>
      <c r="AC1062" s="25" t="str">
        <f t="shared" si="430"/>
        <v>null</v>
      </c>
      <c r="AD1062" s="26" t="s">
        <v>0</v>
      </c>
      <c r="AE1062" s="25" t="str">
        <f t="shared" si="431"/>
        <v>null</v>
      </c>
      <c r="AF1062" s="26" t="s">
        <v>0</v>
      </c>
      <c r="AG1062" s="47" t="s">
        <v>2914</v>
      </c>
    </row>
    <row r="1063" spans="1:33" ht="6.9" customHeight="1" x14ac:dyDescent="0.4">
      <c r="A1063" s="4">
        <f>ROW()</f>
        <v>1063</v>
      </c>
      <c r="B1063" s="9" t="s">
        <v>27</v>
      </c>
      <c r="C1063" s="55" t="str">
        <f t="shared" si="427"/>
        <v>p.informar</v>
      </c>
      <c r="D1063" s="6" t="str">
        <f t="shared" si="419"/>
        <v>é.resolução.oficial</v>
      </c>
      <c r="E1063" s="8" t="s">
        <v>28</v>
      </c>
      <c r="F1063" s="42" t="str">
        <f t="shared" si="432"/>
        <v>d.informar</v>
      </c>
      <c r="G1063" s="17" t="s">
        <v>769</v>
      </c>
      <c r="H1063" s="42" t="s">
        <v>2121</v>
      </c>
      <c r="I1063" s="16" t="str">
        <f t="shared" si="428"/>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12"/>
        <v>Propriedade destinada a informar: é.resolução.oficial</v>
      </c>
      <c r="V1063" s="5" t="str">
        <f t="shared" si="413"/>
        <v>Dado para informar:  resolução.oficial  Deve ser formatado como (rdfs:Literal  or  xsd:string)</v>
      </c>
      <c r="W1063" s="5" t="s">
        <v>5840</v>
      </c>
      <c r="X1063" s="24" t="str">
        <f t="shared" si="414"/>
        <v>infor.106</v>
      </c>
      <c r="Y1063" s="24" t="str">
        <f t="shared" si="415"/>
        <v>Ação de informar</v>
      </c>
      <c r="Z1063" s="47" t="s">
        <v>1560</v>
      </c>
      <c r="AA1063" s="25" t="str">
        <f t="shared" si="429"/>
        <v>null</v>
      </c>
      <c r="AB1063" s="26" t="s">
        <v>0</v>
      </c>
      <c r="AC1063" s="25" t="str">
        <f t="shared" si="430"/>
        <v>null</v>
      </c>
      <c r="AD1063" s="26" t="s">
        <v>0</v>
      </c>
      <c r="AE1063" s="25" t="str">
        <f t="shared" si="431"/>
        <v>null</v>
      </c>
      <c r="AF1063" s="26" t="s">
        <v>0</v>
      </c>
      <c r="AG1063" s="47" t="s">
        <v>2915</v>
      </c>
    </row>
    <row r="1064" spans="1:33" ht="6.9" customHeight="1" x14ac:dyDescent="0.4">
      <c r="A1064" s="4">
        <f>ROW()</f>
        <v>1064</v>
      </c>
      <c r="B1064" s="9" t="s">
        <v>27</v>
      </c>
      <c r="C1064" s="54" t="str">
        <f t="shared" si="416"/>
        <v>p.inserir</v>
      </c>
      <c r="D1064" s="6" t="str">
        <f t="shared" si="419"/>
        <v>é.arquivo.inserido</v>
      </c>
      <c r="E1064" s="8" t="s">
        <v>28</v>
      </c>
      <c r="F1064" s="51" t="s">
        <v>7476</v>
      </c>
      <c r="G1064" s="18" t="s">
        <v>7486</v>
      </c>
      <c r="H1064" s="41" t="s">
        <v>2121</v>
      </c>
      <c r="I1064" s="16" t="str">
        <f t="shared" ref="I1064" si="433">J1064</f>
        <v>null</v>
      </c>
      <c r="J1064" s="13" t="s">
        <v>0</v>
      </c>
      <c r="K1064" s="13" t="s">
        <v>0</v>
      </c>
      <c r="L1064" s="13" t="s">
        <v>0</v>
      </c>
      <c r="M1064" s="13" t="s">
        <v>0</v>
      </c>
      <c r="N1064" s="13" t="s">
        <v>0</v>
      </c>
      <c r="O1064" s="13" t="s">
        <v>0</v>
      </c>
      <c r="P1064" s="13" t="s">
        <v>0</v>
      </c>
      <c r="Q1064" s="13" t="s">
        <v>0</v>
      </c>
      <c r="R1064" s="15" t="s">
        <v>0</v>
      </c>
      <c r="S1064" s="10" t="s">
        <v>1</v>
      </c>
      <c r="T1064" s="10" t="s">
        <v>32</v>
      </c>
      <c r="U1064" s="5" t="str">
        <f t="shared" si="412"/>
        <v>Propriedade destinada a inserir: é.arquivo.inserido</v>
      </c>
      <c r="V1064" s="5" t="str">
        <f t="shared" si="413"/>
        <v>Dado para inserir:  arquivo.inserido  Deve ser formatado como (rdfs:Literal  or  xsd:string)</v>
      </c>
      <c r="W1064" s="5" t="s">
        <v>7479</v>
      </c>
      <c r="X1064" s="24" t="str">
        <f t="shared" si="414"/>
        <v>inser.100</v>
      </c>
      <c r="Y1064" s="24" t="str">
        <f t="shared" si="415"/>
        <v>Ação de inserir</v>
      </c>
      <c r="Z1064" s="69" t="s">
        <v>7481</v>
      </c>
      <c r="AA1064" s="25" t="str">
        <f t="shared" ref="AA1064" si="434">IF(AB1064="null", "null", "categoria.revit")</f>
        <v>categoria.revit</v>
      </c>
      <c r="AB1064" s="26" t="s">
        <v>7484</v>
      </c>
      <c r="AC1064" s="25" t="str">
        <f t="shared" ref="AC1064" si="435">IF(AD1064="null", "null", "classe.ifc")</f>
        <v>classe.ifc</v>
      </c>
      <c r="AD1064" s="26" t="s">
        <v>7471</v>
      </c>
      <c r="AE1064" s="25" t="str">
        <f t="shared" ref="AE1064" si="436">IF(AF1064="null", "null", "propriedade")</f>
        <v>null</v>
      </c>
      <c r="AF1064" s="26" t="s">
        <v>0</v>
      </c>
      <c r="AG1064" s="47" t="s">
        <v>7483</v>
      </c>
    </row>
    <row r="1065" spans="1:33" ht="6.9" customHeight="1" x14ac:dyDescent="0.4">
      <c r="A1065" s="4">
        <f>ROW()</f>
        <v>1065</v>
      </c>
      <c r="B1065" s="9" t="s">
        <v>27</v>
      </c>
      <c r="C1065" s="55" t="str">
        <f t="shared" si="416"/>
        <v>p.inserir</v>
      </c>
      <c r="D1065" s="6" t="str">
        <f t="shared" si="419"/>
        <v>é.imagem.inserida</v>
      </c>
      <c r="E1065" s="8" t="s">
        <v>28</v>
      </c>
      <c r="F1065" s="42" t="str">
        <f>F1064</f>
        <v>d.inserir</v>
      </c>
      <c r="G1065" s="18" t="s">
        <v>7485</v>
      </c>
      <c r="H1065" s="41" t="s">
        <v>2121</v>
      </c>
      <c r="I1065" s="16" t="str">
        <f t="shared" si="418"/>
        <v>null</v>
      </c>
      <c r="J1065" s="13" t="s">
        <v>0</v>
      </c>
      <c r="K1065" s="13" t="s">
        <v>0</v>
      </c>
      <c r="L1065" s="13" t="s">
        <v>0</v>
      </c>
      <c r="M1065" s="13" t="s">
        <v>0</v>
      </c>
      <c r="N1065" s="13" t="s">
        <v>0</v>
      </c>
      <c r="O1065" s="13" t="s">
        <v>0</v>
      </c>
      <c r="P1065" s="13" t="s">
        <v>0</v>
      </c>
      <c r="Q1065" s="13" t="s">
        <v>0</v>
      </c>
      <c r="R1065" s="15" t="s">
        <v>0</v>
      </c>
      <c r="S1065" s="10" t="s">
        <v>1</v>
      </c>
      <c r="T1065" s="10" t="s">
        <v>32</v>
      </c>
      <c r="U1065" s="5" t="str">
        <f t="shared" si="412"/>
        <v>Propriedade destinada a inserir: é.imagem.inserida</v>
      </c>
      <c r="V1065" s="5" t="str">
        <f t="shared" si="413"/>
        <v>Dado para inserir:  imagem.inserida  Deve ser formatado como (rdfs:Literal  or  xsd:string)</v>
      </c>
      <c r="W1065" s="5" t="s">
        <v>7478</v>
      </c>
      <c r="X1065" s="24" t="str">
        <f t="shared" si="414"/>
        <v>inser.101</v>
      </c>
      <c r="Y1065" s="24" t="str">
        <f t="shared" si="415"/>
        <v>Ação de inserir</v>
      </c>
      <c r="Z1065" s="69" t="s">
        <v>7480</v>
      </c>
      <c r="AA1065" s="25" t="str">
        <f t="shared" si="409"/>
        <v>categoria.revit</v>
      </c>
      <c r="AB1065" s="26" t="s">
        <v>7477</v>
      </c>
      <c r="AC1065" s="25" t="str">
        <f t="shared" si="410"/>
        <v>classe.ifc</v>
      </c>
      <c r="AD1065" s="26" t="s">
        <v>7471</v>
      </c>
      <c r="AE1065" s="25" t="str">
        <f t="shared" si="417"/>
        <v>null</v>
      </c>
      <c r="AF1065" s="26" t="s">
        <v>0</v>
      </c>
      <c r="AG1065" s="47" t="s">
        <v>7482</v>
      </c>
    </row>
    <row r="1066" spans="1:33" ht="6.9" customHeight="1" x14ac:dyDescent="0.4">
      <c r="A1066" s="4">
        <f>ROW()</f>
        <v>1066</v>
      </c>
      <c r="B1066" s="9" t="s">
        <v>27</v>
      </c>
      <c r="C1066" s="54" t="str">
        <f t="shared" si="416"/>
        <v>p.instalar</v>
      </c>
      <c r="D1066" s="6" t="str">
        <f t="shared" si="419"/>
        <v>é.acessório</v>
      </c>
      <c r="E1066" s="8" t="s">
        <v>28</v>
      </c>
      <c r="F1066" s="51" t="s">
        <v>3591</v>
      </c>
      <c r="G1066" s="17" t="s">
        <v>303</v>
      </c>
      <c r="H1066" s="42" t="s">
        <v>37</v>
      </c>
      <c r="I1066" s="16" t="str">
        <f t="shared" si="41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12"/>
        <v>Propriedade destinada a instalar: é.acessório</v>
      </c>
      <c r="V1066" s="5" t="str">
        <f t="shared" si="413"/>
        <v>Dado para instalar:  acessório  Deve ser formatado como (xsd:boolean)</v>
      </c>
      <c r="W1066" s="5" t="s">
        <v>5841</v>
      </c>
      <c r="X1066" s="24" t="str">
        <f t="shared" si="414"/>
        <v>insta.100</v>
      </c>
      <c r="Y1066" s="24" t="str">
        <f t="shared" si="415"/>
        <v>Ação de instalar</v>
      </c>
      <c r="Z1066" s="47" t="s">
        <v>1564</v>
      </c>
      <c r="AA1066" s="25" t="str">
        <f t="shared" si="409"/>
        <v>null</v>
      </c>
      <c r="AB1066" s="26" t="s">
        <v>0</v>
      </c>
      <c r="AC1066" s="25" t="str">
        <f t="shared" si="410"/>
        <v>null</v>
      </c>
      <c r="AD1066" s="26" t="s">
        <v>0</v>
      </c>
      <c r="AE1066" s="25" t="str">
        <f t="shared" si="417"/>
        <v>null</v>
      </c>
      <c r="AF1066" s="26" t="s">
        <v>0</v>
      </c>
      <c r="AG1066" s="47" t="s">
        <v>2919</v>
      </c>
    </row>
    <row r="1067" spans="1:33" ht="6.9" customHeight="1" x14ac:dyDescent="0.4">
      <c r="A1067" s="4">
        <f>ROW()</f>
        <v>1067</v>
      </c>
      <c r="B1067" s="9" t="s">
        <v>27</v>
      </c>
      <c r="C1067" s="55" t="str">
        <f t="shared" ref="C1067:C1091" si="437">SUBSTITUTE(F1067,"d.","p.")</f>
        <v>p.instalar</v>
      </c>
      <c r="D1067" s="6" t="str">
        <f t="shared" si="419"/>
        <v>é.acústica</v>
      </c>
      <c r="E1067" s="8" t="s">
        <v>28</v>
      </c>
      <c r="F1067" s="42" t="str">
        <f t="shared" ref="F1067:F1091" si="438">F1066</f>
        <v>d.instalar</v>
      </c>
      <c r="G1067" s="17" t="s">
        <v>311</v>
      </c>
      <c r="H1067" s="42" t="s">
        <v>37</v>
      </c>
      <c r="I1067" s="16" t="str">
        <f t="shared" ref="I1067:I1091" si="439">J1067</f>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12"/>
        <v>Propriedade destinada a instalar: é.acústica</v>
      </c>
      <c r="V1067" s="5" t="str">
        <f t="shared" si="413"/>
        <v>Dado para instalar:  acústica  Deve ser formatado como (xsd:boolean)</v>
      </c>
      <c r="W1067" s="5" t="s">
        <v>5842</v>
      </c>
      <c r="X1067" s="24" t="str">
        <f t="shared" si="414"/>
        <v>insta.101</v>
      </c>
      <c r="Y1067" s="24" t="str">
        <f t="shared" si="415"/>
        <v>Ação de instalar</v>
      </c>
      <c r="Z1067" s="47" t="s">
        <v>4544</v>
      </c>
      <c r="AA1067" s="25" t="str">
        <f t="shared" ref="AA1067:AA1091" si="440">IF(AB1067="null", "null", "categoria.revit")</f>
        <v>null</v>
      </c>
      <c r="AB1067" s="26" t="s">
        <v>0</v>
      </c>
      <c r="AC1067" s="25" t="str">
        <f t="shared" ref="AC1067:AC1091" si="441">IF(AD1067="null", "null", "classe.ifc")</f>
        <v>null</v>
      </c>
      <c r="AD1067" s="26" t="s">
        <v>0</v>
      </c>
      <c r="AE1067" s="25" t="str">
        <f t="shared" ref="AE1067:AE1091" si="442">IF(AF1067="null", "null", "propriedade")</f>
        <v>null</v>
      </c>
      <c r="AF1067" s="26" t="s">
        <v>0</v>
      </c>
      <c r="AG1067" s="47" t="s">
        <v>4526</v>
      </c>
    </row>
    <row r="1068" spans="1:33" ht="6.9" customHeight="1" x14ac:dyDescent="0.4">
      <c r="A1068" s="4">
        <f>ROW()</f>
        <v>1068</v>
      </c>
      <c r="B1068" s="9" t="s">
        <v>27</v>
      </c>
      <c r="C1068" s="55" t="str">
        <f t="shared" si="437"/>
        <v>p.instalar</v>
      </c>
      <c r="D1068" s="6" t="str">
        <f t="shared" si="419"/>
        <v>é.ajustado</v>
      </c>
      <c r="E1068" s="8" t="s">
        <v>28</v>
      </c>
      <c r="F1068" s="42" t="str">
        <f t="shared" si="438"/>
        <v>d.instalar</v>
      </c>
      <c r="G1068" s="17" t="s">
        <v>301</v>
      </c>
      <c r="H1068" s="42" t="s">
        <v>37</v>
      </c>
      <c r="I1068" s="16" t="str">
        <f t="shared" si="43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12"/>
        <v>Propriedade destinada a instalar: é.ajustado</v>
      </c>
      <c r="V1068" s="5" t="str">
        <f t="shared" si="413"/>
        <v>Dado para instalar:  ajustado  Deve ser formatado como (xsd:boolean)</v>
      </c>
      <c r="W1068" s="5" t="s">
        <v>5843</v>
      </c>
      <c r="X1068" s="24" t="str">
        <f t="shared" si="414"/>
        <v>insta.102</v>
      </c>
      <c r="Y1068" s="24" t="str">
        <f t="shared" si="415"/>
        <v>Ação de instalar</v>
      </c>
      <c r="Z1068" s="47" t="s">
        <v>4545</v>
      </c>
      <c r="AA1068" s="25" t="str">
        <f t="shared" si="440"/>
        <v>null</v>
      </c>
      <c r="AB1068" s="26" t="s">
        <v>0</v>
      </c>
      <c r="AC1068" s="25" t="str">
        <f t="shared" si="441"/>
        <v>null</v>
      </c>
      <c r="AD1068" s="26" t="s">
        <v>0</v>
      </c>
      <c r="AE1068" s="25" t="str">
        <f t="shared" si="442"/>
        <v>null</v>
      </c>
      <c r="AF1068" s="26" t="s">
        <v>0</v>
      </c>
      <c r="AG1068" s="47" t="s">
        <v>4527</v>
      </c>
    </row>
    <row r="1069" spans="1:33" ht="6.9" customHeight="1" x14ac:dyDescent="0.4">
      <c r="A1069" s="4">
        <f>ROW()</f>
        <v>1069</v>
      </c>
      <c r="B1069" s="9" t="s">
        <v>27</v>
      </c>
      <c r="C1069" s="55" t="str">
        <f t="shared" si="437"/>
        <v>p.instalar</v>
      </c>
      <c r="D1069" s="6" t="str">
        <f t="shared" si="419"/>
        <v>é.com.avac</v>
      </c>
      <c r="E1069" s="8" t="s">
        <v>28</v>
      </c>
      <c r="F1069" s="42" t="str">
        <f t="shared" si="438"/>
        <v>d.instalar</v>
      </c>
      <c r="G1069" s="17" t="s">
        <v>773</v>
      </c>
      <c r="H1069" s="42" t="s">
        <v>37</v>
      </c>
      <c r="I1069" s="16" t="str">
        <f t="shared" si="43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12"/>
        <v>Propriedade destinada a instalar: é.com.avac</v>
      </c>
      <c r="V1069" s="5" t="str">
        <f t="shared" si="413"/>
        <v>Dado para instalar:  com.avac  Deve ser formatado como (xsd:boolean)</v>
      </c>
      <c r="W1069" s="5" t="s">
        <v>5844</v>
      </c>
      <c r="X1069" s="24" t="str">
        <f t="shared" si="414"/>
        <v>insta.103</v>
      </c>
      <c r="Y1069" s="24" t="str">
        <f t="shared" si="415"/>
        <v>Ação de instalar</v>
      </c>
      <c r="Z1069" s="47" t="s">
        <v>1561</v>
      </c>
      <c r="AA1069" s="25" t="str">
        <f t="shared" si="440"/>
        <v>null</v>
      </c>
      <c r="AB1069" s="26" t="s">
        <v>0</v>
      </c>
      <c r="AC1069" s="25" t="str">
        <f t="shared" si="441"/>
        <v>null</v>
      </c>
      <c r="AD1069" s="26" t="s">
        <v>0</v>
      </c>
      <c r="AE1069" s="25" t="str">
        <f t="shared" si="442"/>
        <v>null</v>
      </c>
      <c r="AF1069" s="26" t="s">
        <v>0</v>
      </c>
      <c r="AG1069" s="47" t="s">
        <v>2916</v>
      </c>
    </row>
    <row r="1070" spans="1:33" ht="6.9" customHeight="1" x14ac:dyDescent="0.4">
      <c r="A1070" s="4">
        <f>ROW()</f>
        <v>1070</v>
      </c>
      <c r="B1070" s="9" t="s">
        <v>27</v>
      </c>
      <c r="C1070" s="55" t="str">
        <f t="shared" si="437"/>
        <v>p.instalar</v>
      </c>
      <c r="D1070" s="6" t="str">
        <f t="shared" si="419"/>
        <v>é.com.elétrica</v>
      </c>
      <c r="E1070" s="8" t="s">
        <v>28</v>
      </c>
      <c r="F1070" s="42" t="str">
        <f t="shared" si="438"/>
        <v>d.instalar</v>
      </c>
      <c r="G1070" s="17" t="s">
        <v>770</v>
      </c>
      <c r="H1070" s="42" t="s">
        <v>37</v>
      </c>
      <c r="I1070" s="16" t="str">
        <f t="shared" si="43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12"/>
        <v>Propriedade destinada a instalar: é.com.elétrica</v>
      </c>
      <c r="V1070" s="5" t="str">
        <f t="shared" si="413"/>
        <v>Dado para instalar:  com.elétrica  Deve ser formatado como (xsd:boolean)</v>
      </c>
      <c r="W1070" s="5" t="s">
        <v>5845</v>
      </c>
      <c r="X1070" s="24" t="str">
        <f t="shared" si="414"/>
        <v>insta.104</v>
      </c>
      <c r="Y1070" s="24" t="str">
        <f t="shared" si="415"/>
        <v>Ação de instalar</v>
      </c>
      <c r="Z1070" s="47" t="s">
        <v>4546</v>
      </c>
      <c r="AA1070" s="25" t="str">
        <f t="shared" si="440"/>
        <v>null</v>
      </c>
      <c r="AB1070" s="26" t="s">
        <v>0</v>
      </c>
      <c r="AC1070" s="25" t="str">
        <f t="shared" si="441"/>
        <v>null</v>
      </c>
      <c r="AD1070" s="26" t="s">
        <v>0</v>
      </c>
      <c r="AE1070" s="25" t="str">
        <f t="shared" si="442"/>
        <v>null</v>
      </c>
      <c r="AF1070" s="26" t="s">
        <v>0</v>
      </c>
      <c r="AG1070" s="47" t="s">
        <v>4528</v>
      </c>
    </row>
    <row r="1071" spans="1:33" ht="6.9" customHeight="1" x14ac:dyDescent="0.4">
      <c r="A1071" s="4">
        <f>ROW()</f>
        <v>1071</v>
      </c>
      <c r="B1071" s="9" t="s">
        <v>27</v>
      </c>
      <c r="C1071" s="55" t="str">
        <f t="shared" si="437"/>
        <v>p.instalar</v>
      </c>
      <c r="D1071" s="6" t="str">
        <f t="shared" si="419"/>
        <v>é.com.gás</v>
      </c>
      <c r="E1071" s="8" t="s">
        <v>28</v>
      </c>
      <c r="F1071" s="42" t="str">
        <f t="shared" si="438"/>
        <v>d.instalar</v>
      </c>
      <c r="G1071" s="17" t="s">
        <v>772</v>
      </c>
      <c r="H1071" s="42" t="s">
        <v>37</v>
      </c>
      <c r="I1071" s="16" t="str">
        <f t="shared" si="43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12"/>
        <v>Propriedade destinada a instalar: é.com.gás</v>
      </c>
      <c r="V1071" s="5" t="str">
        <f t="shared" si="413"/>
        <v>Dado para instalar:  com.gás  Deve ser formatado como (xsd:boolean)</v>
      </c>
      <c r="W1071" s="5" t="s">
        <v>5846</v>
      </c>
      <c r="X1071" s="24" t="str">
        <f t="shared" si="414"/>
        <v>insta.105</v>
      </c>
      <c r="Y1071" s="24" t="str">
        <f t="shared" si="415"/>
        <v>Ação de instalar</v>
      </c>
      <c r="Z1071" s="47" t="s">
        <v>4548</v>
      </c>
      <c r="AA1071" s="25" t="str">
        <f t="shared" si="440"/>
        <v>null</v>
      </c>
      <c r="AB1071" s="26" t="s">
        <v>0</v>
      </c>
      <c r="AC1071" s="25" t="str">
        <f t="shared" si="441"/>
        <v>null</v>
      </c>
      <c r="AD1071" s="26" t="s">
        <v>0</v>
      </c>
      <c r="AE1071" s="25" t="str">
        <f t="shared" si="442"/>
        <v>null</v>
      </c>
      <c r="AF1071" s="26" t="s">
        <v>0</v>
      </c>
      <c r="AG1071" s="47" t="s">
        <v>4529</v>
      </c>
    </row>
    <row r="1072" spans="1:33" ht="6.9" customHeight="1" x14ac:dyDescent="0.4">
      <c r="A1072" s="4">
        <f>ROW()</f>
        <v>1072</v>
      </c>
      <c r="B1072" s="9" t="s">
        <v>27</v>
      </c>
      <c r="C1072" s="55" t="str">
        <f t="shared" si="437"/>
        <v>p.instalar</v>
      </c>
      <c r="D1072" s="6" t="str">
        <f t="shared" si="419"/>
        <v>é.com.hidráulica</v>
      </c>
      <c r="E1072" s="8" t="s">
        <v>28</v>
      </c>
      <c r="F1072" s="42" t="str">
        <f t="shared" si="438"/>
        <v>d.instalar</v>
      </c>
      <c r="G1072" s="17" t="s">
        <v>771</v>
      </c>
      <c r="H1072" s="42" t="s">
        <v>37</v>
      </c>
      <c r="I1072" s="16" t="str">
        <f t="shared" si="43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12"/>
        <v>Propriedade destinada a instalar: é.com.hidráulica</v>
      </c>
      <c r="V1072" s="5" t="str">
        <f t="shared" si="413"/>
        <v>Dado para instalar:  com.hidráulica  Deve ser formatado como (xsd:boolean)</v>
      </c>
      <c r="W1072" s="5" t="s">
        <v>5847</v>
      </c>
      <c r="X1072" s="24" t="str">
        <f t="shared" si="414"/>
        <v>insta.106</v>
      </c>
      <c r="Y1072" s="24" t="str">
        <f t="shared" si="415"/>
        <v>Ação de instalar</v>
      </c>
      <c r="Z1072" s="47" t="s">
        <v>4547</v>
      </c>
      <c r="AA1072" s="25" t="str">
        <f t="shared" si="440"/>
        <v>null</v>
      </c>
      <c r="AB1072" s="26" t="s">
        <v>0</v>
      </c>
      <c r="AC1072" s="25" t="str">
        <f t="shared" si="441"/>
        <v>null</v>
      </c>
      <c r="AD1072" s="26" t="s">
        <v>0</v>
      </c>
      <c r="AE1072" s="25" t="str">
        <f t="shared" si="442"/>
        <v>null</v>
      </c>
      <c r="AF1072" s="26" t="s">
        <v>0</v>
      </c>
      <c r="AG1072" s="47" t="s">
        <v>4530</v>
      </c>
    </row>
    <row r="1073" spans="1:33" ht="6.9" customHeight="1" x14ac:dyDescent="0.4">
      <c r="A1073" s="4">
        <f>ROW()</f>
        <v>1073</v>
      </c>
      <c r="B1073" s="9" t="s">
        <v>27</v>
      </c>
      <c r="C1073" s="55" t="str">
        <f t="shared" si="437"/>
        <v>p.instalar</v>
      </c>
      <c r="D1073" s="6" t="str">
        <f t="shared" si="419"/>
        <v>é.com.lógica</v>
      </c>
      <c r="E1073" s="8" t="s">
        <v>28</v>
      </c>
      <c r="F1073" s="42" t="str">
        <f t="shared" si="438"/>
        <v>d.instalar</v>
      </c>
      <c r="G1073" s="17" t="s">
        <v>774</v>
      </c>
      <c r="H1073" s="42" t="s">
        <v>37</v>
      </c>
      <c r="I1073" s="16" t="str">
        <f t="shared" si="43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12"/>
        <v>Propriedade destinada a instalar: é.com.lógica</v>
      </c>
      <c r="V1073" s="5" t="str">
        <f t="shared" si="413"/>
        <v>Dado para instalar:  com.lógica  Deve ser formatado como (xsd:boolean)</v>
      </c>
      <c r="W1073" s="5" t="s">
        <v>5848</v>
      </c>
      <c r="X1073" s="24" t="str">
        <f t="shared" si="414"/>
        <v>insta.107</v>
      </c>
      <c r="Y1073" s="24" t="str">
        <f t="shared" si="415"/>
        <v>Ação de instalar</v>
      </c>
      <c r="Z1073" s="47" t="s">
        <v>1562</v>
      </c>
      <c r="AA1073" s="25" t="str">
        <f t="shared" si="440"/>
        <v>null</v>
      </c>
      <c r="AB1073" s="26" t="s">
        <v>0</v>
      </c>
      <c r="AC1073" s="25" t="str">
        <f t="shared" si="441"/>
        <v>null</v>
      </c>
      <c r="AD1073" s="26" t="s">
        <v>0</v>
      </c>
      <c r="AE1073" s="25" t="str">
        <f t="shared" si="442"/>
        <v>null</v>
      </c>
      <c r="AF1073" s="26" t="s">
        <v>0</v>
      </c>
      <c r="AG1073" s="47" t="s">
        <v>2917</v>
      </c>
    </row>
    <row r="1074" spans="1:33" ht="6.9" customHeight="1" x14ac:dyDescent="0.4">
      <c r="A1074" s="4">
        <f>ROW()</f>
        <v>1074</v>
      </c>
      <c r="B1074" s="9" t="s">
        <v>27</v>
      </c>
      <c r="C1074" s="55" t="str">
        <f t="shared" si="437"/>
        <v>p.instalar</v>
      </c>
      <c r="D1074" s="6" t="str">
        <f t="shared" si="419"/>
        <v>é.condicionado.por</v>
      </c>
      <c r="E1074" s="8" t="s">
        <v>28</v>
      </c>
      <c r="F1074" s="42" t="str">
        <f t="shared" si="438"/>
        <v>d.instalar</v>
      </c>
      <c r="G1074" s="17" t="s">
        <v>775</v>
      </c>
      <c r="H1074" s="42" t="s">
        <v>37</v>
      </c>
      <c r="I1074" s="16" t="str">
        <f t="shared" si="43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12"/>
        <v>Propriedade destinada a instalar: é.condicionado.por</v>
      </c>
      <c r="V1074" s="5" t="str">
        <f t="shared" si="413"/>
        <v>Dado para instalar:  condicionado.por  Deve ser formatado como (xsd:boolean)</v>
      </c>
      <c r="W1074" s="5" t="s">
        <v>5849</v>
      </c>
      <c r="X1074" s="24" t="str">
        <f t="shared" si="414"/>
        <v>insta.108</v>
      </c>
      <c r="Y1074" s="24" t="str">
        <f t="shared" si="415"/>
        <v>Ação de instalar</v>
      </c>
      <c r="Z1074" s="47" t="s">
        <v>1566</v>
      </c>
      <c r="AA1074" s="25" t="str">
        <f t="shared" si="440"/>
        <v>null</v>
      </c>
      <c r="AB1074" s="26" t="s">
        <v>0</v>
      </c>
      <c r="AC1074" s="25" t="str">
        <f t="shared" si="441"/>
        <v>null</v>
      </c>
      <c r="AD1074" s="26" t="s">
        <v>0</v>
      </c>
      <c r="AE1074" s="25" t="str">
        <f t="shared" si="442"/>
        <v>null</v>
      </c>
      <c r="AF1074" s="26" t="s">
        <v>0</v>
      </c>
      <c r="AG1074" s="47" t="s">
        <v>4540</v>
      </c>
    </row>
    <row r="1075" spans="1:33" ht="6.9" customHeight="1" x14ac:dyDescent="0.4">
      <c r="A1075" s="4">
        <f>ROW()</f>
        <v>1075</v>
      </c>
      <c r="B1075" s="9" t="s">
        <v>27</v>
      </c>
      <c r="C1075" s="55" t="str">
        <f t="shared" si="437"/>
        <v>p.instalar</v>
      </c>
      <c r="D1075" s="6" t="str">
        <f t="shared" si="419"/>
        <v>é.instalação.essencial</v>
      </c>
      <c r="E1075" s="8" t="s">
        <v>28</v>
      </c>
      <c r="F1075" s="42" t="str">
        <f t="shared" si="438"/>
        <v>d.instalar</v>
      </c>
      <c r="G1075" s="17" t="s">
        <v>4510</v>
      </c>
      <c r="H1075" s="42" t="s">
        <v>37</v>
      </c>
      <c r="I1075" s="16" t="str">
        <f t="shared" si="439"/>
        <v>null</v>
      </c>
      <c r="J1075" s="15" t="s">
        <v>0</v>
      </c>
      <c r="K1075" s="15" t="s">
        <v>0</v>
      </c>
      <c r="L1075" s="15" t="s">
        <v>0</v>
      </c>
      <c r="M1075" s="15" t="s">
        <v>0</v>
      </c>
      <c r="N1075" s="15" t="s">
        <v>0</v>
      </c>
      <c r="O1075" s="15" t="s">
        <v>0</v>
      </c>
      <c r="P1075" s="15" t="s">
        <v>0</v>
      </c>
      <c r="Q1075" s="15" t="s">
        <v>0</v>
      </c>
      <c r="R1075" s="15" t="s">
        <v>4520</v>
      </c>
      <c r="S1075" s="10" t="s">
        <v>1</v>
      </c>
      <c r="T1075" s="10" t="s">
        <v>32</v>
      </c>
      <c r="U1075" s="5" t="str">
        <f t="shared" si="412"/>
        <v>Propriedade destinada a instalar: é.instalação.essencial</v>
      </c>
      <c r="V1075" s="5" t="str">
        <f t="shared" si="413"/>
        <v>Dado para instalar:  instalação.essencial  Deve ser formatado como (xsd:boolean)</v>
      </c>
      <c r="W1075" s="5" t="s">
        <v>5851</v>
      </c>
      <c r="X1075" s="24" t="str">
        <f t="shared" si="414"/>
        <v>insta.109</v>
      </c>
      <c r="Y1075" s="24" t="str">
        <f t="shared" si="415"/>
        <v>Ação de instalar</v>
      </c>
      <c r="Z1075" s="47" t="s">
        <v>1563</v>
      </c>
      <c r="AA1075" s="25" t="str">
        <f t="shared" si="440"/>
        <v>null</v>
      </c>
      <c r="AB1075" s="26" t="s">
        <v>0</v>
      </c>
      <c r="AC1075" s="25" t="str">
        <f t="shared" si="441"/>
        <v>null</v>
      </c>
      <c r="AD1075" s="26" t="s">
        <v>0</v>
      </c>
      <c r="AE1075" s="25" t="str">
        <f t="shared" si="442"/>
        <v>null</v>
      </c>
      <c r="AF1075" s="26" t="s">
        <v>0</v>
      </c>
      <c r="AG1075" s="47" t="s">
        <v>2918</v>
      </c>
    </row>
    <row r="1076" spans="1:33" ht="6.9" customHeight="1" x14ac:dyDescent="0.4">
      <c r="A1076" s="4">
        <f>ROW()</f>
        <v>1076</v>
      </c>
      <c r="B1076" s="9" t="s">
        <v>27</v>
      </c>
      <c r="C1076" s="55" t="str">
        <f t="shared" si="437"/>
        <v>p.instalar</v>
      </c>
      <c r="D1076" s="6" t="str">
        <f t="shared" si="419"/>
        <v>é.instalação.estratégica</v>
      </c>
      <c r="E1076" s="8" t="s">
        <v>28</v>
      </c>
      <c r="F1076" s="42" t="str">
        <f t="shared" si="438"/>
        <v>d.instalar</v>
      </c>
      <c r="G1076" s="17" t="s">
        <v>4542</v>
      </c>
      <c r="H1076" s="42" t="s">
        <v>37</v>
      </c>
      <c r="I1076" s="16" t="str">
        <f t="shared" si="43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12"/>
        <v>Propriedade destinada a instalar: é.instalação.estratégica</v>
      </c>
      <c r="V1076" s="5" t="str">
        <f t="shared" si="413"/>
        <v>Dado para instalar:  instalação.estratégica  Deve ser formatado como (xsd:boolean)</v>
      </c>
      <c r="W1076" s="5" t="s">
        <v>5850</v>
      </c>
      <c r="X1076" s="24" t="str">
        <f t="shared" si="414"/>
        <v>insta.110</v>
      </c>
      <c r="Y1076" s="24" t="str">
        <f t="shared" si="415"/>
        <v>Ação de instalar</v>
      </c>
      <c r="Z1076" s="47" t="s">
        <v>1567</v>
      </c>
      <c r="AA1076" s="25" t="str">
        <f t="shared" si="440"/>
        <v>null</v>
      </c>
      <c r="AB1076" s="26" t="s">
        <v>0</v>
      </c>
      <c r="AC1076" s="25" t="str">
        <f t="shared" si="441"/>
        <v>null</v>
      </c>
      <c r="AD1076" s="26" t="s">
        <v>0</v>
      </c>
      <c r="AE1076" s="25" t="str">
        <f t="shared" si="442"/>
        <v>null</v>
      </c>
      <c r="AF1076" s="26" t="s">
        <v>0</v>
      </c>
      <c r="AG1076" s="47" t="s">
        <v>4541</v>
      </c>
    </row>
    <row r="1077" spans="1:33" ht="6.9" customHeight="1" x14ac:dyDescent="0.4">
      <c r="A1077" s="4">
        <f>ROW()</f>
        <v>1077</v>
      </c>
      <c r="B1077" s="9" t="s">
        <v>27</v>
      </c>
      <c r="C1077" s="55" t="str">
        <f t="shared" si="437"/>
        <v>p.instalar</v>
      </c>
      <c r="D1077" s="6" t="str">
        <f t="shared" si="419"/>
        <v>é.instalação.lenta</v>
      </c>
      <c r="E1077" s="8" t="s">
        <v>28</v>
      </c>
      <c r="F1077" s="42" t="str">
        <f t="shared" si="438"/>
        <v>d.instalar</v>
      </c>
      <c r="G1077" s="17" t="s">
        <v>4523</v>
      </c>
      <c r="H1077" s="42" t="s">
        <v>37</v>
      </c>
      <c r="I1077" s="16" t="str">
        <f t="shared" si="439"/>
        <v>null</v>
      </c>
      <c r="J1077" s="15" t="s">
        <v>0</v>
      </c>
      <c r="K1077" s="15" t="s">
        <v>0</v>
      </c>
      <c r="L1077" s="15" t="s">
        <v>0</v>
      </c>
      <c r="M1077" s="15" t="s">
        <v>0</v>
      </c>
      <c r="N1077" s="15" t="s">
        <v>0</v>
      </c>
      <c r="O1077" s="15" t="s">
        <v>0</v>
      </c>
      <c r="P1077" s="15" t="s">
        <v>0</v>
      </c>
      <c r="Q1077" s="15" t="s">
        <v>4521</v>
      </c>
      <c r="R1077" s="15" t="s">
        <v>0</v>
      </c>
      <c r="S1077" s="10" t="s">
        <v>1</v>
      </c>
      <c r="T1077" s="10" t="s">
        <v>32</v>
      </c>
      <c r="U1077" s="5" t="str">
        <f t="shared" si="412"/>
        <v>Propriedade destinada a instalar: é.instalação.lenta</v>
      </c>
      <c r="V1077" s="5" t="str">
        <f t="shared" si="413"/>
        <v>Dado para instalar:  instalação.lenta  Deve ser formatado como (xsd:boolean)</v>
      </c>
      <c r="W1077" s="5" t="s">
        <v>5852</v>
      </c>
      <c r="X1077" s="24" t="str">
        <f t="shared" si="414"/>
        <v>insta.111</v>
      </c>
      <c r="Y1077" s="24" t="str">
        <f t="shared" si="415"/>
        <v>Ação de instalar</v>
      </c>
      <c r="Z1077" s="47" t="s">
        <v>4549</v>
      </c>
      <c r="AA1077" s="25" t="str">
        <f t="shared" si="440"/>
        <v>null</v>
      </c>
      <c r="AB1077" s="26" t="s">
        <v>0</v>
      </c>
      <c r="AC1077" s="25" t="str">
        <f t="shared" si="441"/>
        <v>null</v>
      </c>
      <c r="AD1077" s="26" t="s">
        <v>0</v>
      </c>
      <c r="AE1077" s="25" t="str">
        <f t="shared" si="442"/>
        <v>null</v>
      </c>
      <c r="AF1077" s="26" t="s">
        <v>0</v>
      </c>
      <c r="AG1077" s="47" t="s">
        <v>4531</v>
      </c>
    </row>
    <row r="1078" spans="1:33" ht="6.9" customHeight="1" x14ac:dyDescent="0.4">
      <c r="A1078" s="4">
        <f>ROW()</f>
        <v>1078</v>
      </c>
      <c r="B1078" s="9" t="s">
        <v>27</v>
      </c>
      <c r="C1078" s="55" t="str">
        <f t="shared" si="437"/>
        <v>p.instalar</v>
      </c>
      <c r="D1078" s="6" t="str">
        <f t="shared" si="419"/>
        <v>é.instalação.leve</v>
      </c>
      <c r="E1078" s="8" t="s">
        <v>28</v>
      </c>
      <c r="F1078" s="42" t="str">
        <f t="shared" si="438"/>
        <v>d.instalar</v>
      </c>
      <c r="G1078" s="17" t="s">
        <v>4525</v>
      </c>
      <c r="H1078" s="42" t="s">
        <v>37</v>
      </c>
      <c r="I1078" s="16" t="str">
        <f t="shared" si="439"/>
        <v>null</v>
      </c>
      <c r="J1078" s="15" t="s">
        <v>0</v>
      </c>
      <c r="K1078" s="15" t="s">
        <v>0</v>
      </c>
      <c r="L1078" s="15" t="s">
        <v>0</v>
      </c>
      <c r="M1078" s="15" t="s">
        <v>0</v>
      </c>
      <c r="N1078" s="15" t="s">
        <v>0</v>
      </c>
      <c r="O1078" s="15" t="s">
        <v>0</v>
      </c>
      <c r="P1078" s="15" t="s">
        <v>0</v>
      </c>
      <c r="Q1078" s="15" t="s">
        <v>8435</v>
      </c>
      <c r="R1078" s="15" t="s">
        <v>0</v>
      </c>
      <c r="S1078" s="10" t="s">
        <v>1</v>
      </c>
      <c r="T1078" s="10" t="s">
        <v>32</v>
      </c>
      <c r="U1078" s="5" t="str">
        <f t="shared" si="412"/>
        <v>Propriedade destinada a instalar: é.instalação.leve</v>
      </c>
      <c r="V1078" s="5" t="str">
        <f t="shared" si="413"/>
        <v>Dado para instalar:  instalação.leve  Deve ser formatado como (xsd:boolean)</v>
      </c>
      <c r="W1078" s="5" t="s">
        <v>5853</v>
      </c>
      <c r="X1078" s="24" t="str">
        <f t="shared" si="414"/>
        <v>insta.112</v>
      </c>
      <c r="Y1078" s="24" t="str">
        <f t="shared" si="415"/>
        <v>Ação de instalar</v>
      </c>
      <c r="Z1078" s="47" t="s">
        <v>4550</v>
      </c>
      <c r="AA1078" s="25" t="str">
        <f t="shared" si="440"/>
        <v>null</v>
      </c>
      <c r="AB1078" s="26" t="s">
        <v>0</v>
      </c>
      <c r="AC1078" s="25" t="str">
        <f t="shared" si="441"/>
        <v>null</v>
      </c>
      <c r="AD1078" s="26" t="s">
        <v>0</v>
      </c>
      <c r="AE1078" s="25" t="str">
        <f t="shared" si="442"/>
        <v>null</v>
      </c>
      <c r="AF1078" s="26" t="s">
        <v>0</v>
      </c>
      <c r="AG1078" s="47" t="s">
        <v>4532</v>
      </c>
    </row>
    <row r="1079" spans="1:33" ht="6.9" customHeight="1" x14ac:dyDescent="0.4">
      <c r="A1079" s="4">
        <f>ROW()</f>
        <v>1079</v>
      </c>
      <c r="B1079" s="9" t="s">
        <v>27</v>
      </c>
      <c r="C1079" s="55" t="str">
        <f t="shared" si="437"/>
        <v>p.instalar</v>
      </c>
      <c r="D1079" s="6" t="str">
        <f t="shared" si="419"/>
        <v>é.instalação.nivelada</v>
      </c>
      <c r="E1079" s="8" t="s">
        <v>28</v>
      </c>
      <c r="F1079" s="42" t="str">
        <f t="shared" si="438"/>
        <v>d.instalar</v>
      </c>
      <c r="G1079" s="17" t="s">
        <v>4524</v>
      </c>
      <c r="H1079" s="42" t="s">
        <v>37</v>
      </c>
      <c r="I1079" s="16" t="str">
        <f t="shared" si="439"/>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12"/>
        <v>Propriedade destinada a instalar: é.instalação.nivelada</v>
      </c>
      <c r="V1079" s="5" t="str">
        <f t="shared" si="413"/>
        <v>Dado para instalar:  instalação.nivelada  Deve ser formatado como (xsd:boolean)</v>
      </c>
      <c r="W1079" s="5" t="s">
        <v>5854</v>
      </c>
      <c r="X1079" s="24" t="str">
        <f t="shared" si="414"/>
        <v>insta.113</v>
      </c>
      <c r="Y1079" s="24" t="str">
        <f t="shared" si="415"/>
        <v>Ação de instalar</v>
      </c>
      <c r="Z1079" s="47" t="s">
        <v>4551</v>
      </c>
      <c r="AA1079" s="25" t="str">
        <f t="shared" si="440"/>
        <v>null</v>
      </c>
      <c r="AB1079" s="26" t="s">
        <v>0</v>
      </c>
      <c r="AC1079" s="25" t="str">
        <f t="shared" si="441"/>
        <v>null</v>
      </c>
      <c r="AD1079" s="26" t="s">
        <v>0</v>
      </c>
      <c r="AE1079" s="25" t="str">
        <f t="shared" si="442"/>
        <v>null</v>
      </c>
      <c r="AF1079" s="26" t="s">
        <v>0</v>
      </c>
      <c r="AG1079" s="47" t="s">
        <v>4533</v>
      </c>
    </row>
    <row r="1080" spans="1:33" ht="6.9" customHeight="1" x14ac:dyDescent="0.4">
      <c r="A1080" s="4">
        <f>ROW()</f>
        <v>1080</v>
      </c>
      <c r="B1080" s="9" t="s">
        <v>27</v>
      </c>
      <c r="C1080" s="55" t="str">
        <f t="shared" si="437"/>
        <v>p.instalar</v>
      </c>
      <c r="D1080" s="6" t="str">
        <f t="shared" si="419"/>
        <v>é.instalação.obrigatória</v>
      </c>
      <c r="E1080" s="8" t="s">
        <v>28</v>
      </c>
      <c r="F1080" s="42" t="str">
        <f t="shared" si="438"/>
        <v>d.instalar</v>
      </c>
      <c r="G1080" s="17" t="s">
        <v>4509</v>
      </c>
      <c r="H1080" s="42" t="s">
        <v>37</v>
      </c>
      <c r="I1080" s="16" t="str">
        <f t="shared" si="439"/>
        <v>null</v>
      </c>
      <c r="J1080" s="15" t="s">
        <v>0</v>
      </c>
      <c r="K1080" s="15" t="s">
        <v>0</v>
      </c>
      <c r="L1080" s="15" t="s">
        <v>0</v>
      </c>
      <c r="M1080" s="15" t="s">
        <v>0</v>
      </c>
      <c r="N1080" s="15" t="s">
        <v>0</v>
      </c>
      <c r="O1080" s="15" t="s">
        <v>0</v>
      </c>
      <c r="P1080" s="15" t="s">
        <v>0</v>
      </c>
      <c r="Q1080" s="15" t="s">
        <v>0</v>
      </c>
      <c r="R1080" s="15" t="s">
        <v>4519</v>
      </c>
      <c r="S1080" s="10" t="s">
        <v>1</v>
      </c>
      <c r="T1080" s="10" t="s">
        <v>32</v>
      </c>
      <c r="U1080" s="5" t="str">
        <f t="shared" si="412"/>
        <v>Propriedade destinada a instalar: é.instalação.obrigatória</v>
      </c>
      <c r="V1080" s="5" t="str">
        <f t="shared" si="413"/>
        <v>Dado para instalar:  instalação.obrigatória  Deve ser formatado como (xsd:boolean)</v>
      </c>
      <c r="W1080" s="5" t="s">
        <v>5855</v>
      </c>
      <c r="X1080" s="24" t="str">
        <f t="shared" si="414"/>
        <v>insta.114</v>
      </c>
      <c r="Y1080" s="24" t="str">
        <f t="shared" si="415"/>
        <v>Ação de instalar</v>
      </c>
      <c r="Z1080" s="47" t="s">
        <v>1563</v>
      </c>
      <c r="AA1080" s="25" t="str">
        <f t="shared" si="440"/>
        <v>null</v>
      </c>
      <c r="AB1080" s="26" t="s">
        <v>0</v>
      </c>
      <c r="AC1080" s="25" t="str">
        <f t="shared" si="441"/>
        <v>null</v>
      </c>
      <c r="AD1080" s="26" t="s">
        <v>0</v>
      </c>
      <c r="AE1080" s="25" t="str">
        <f t="shared" si="442"/>
        <v>null</v>
      </c>
      <c r="AF1080" s="26" t="s">
        <v>0</v>
      </c>
      <c r="AG1080" s="47" t="s">
        <v>2918</v>
      </c>
    </row>
    <row r="1081" spans="1:33" ht="6.9" customHeight="1" x14ac:dyDescent="0.4">
      <c r="A1081" s="4">
        <f>ROW()</f>
        <v>1081</v>
      </c>
      <c r="B1081" s="9" t="s">
        <v>27</v>
      </c>
      <c r="C1081" s="55" t="str">
        <f t="shared" si="437"/>
        <v>p.instalar</v>
      </c>
      <c r="D1081" s="6" t="str">
        <f t="shared" si="419"/>
        <v>é.instalação.oculta</v>
      </c>
      <c r="E1081" s="8" t="s">
        <v>28</v>
      </c>
      <c r="F1081" s="42" t="str">
        <f t="shared" si="438"/>
        <v>d.instalar</v>
      </c>
      <c r="G1081" s="17" t="s">
        <v>4515</v>
      </c>
      <c r="H1081" s="42" t="s">
        <v>37</v>
      </c>
      <c r="I1081" s="16" t="str">
        <f t="shared" si="439"/>
        <v>null</v>
      </c>
      <c r="J1081" s="15" t="s">
        <v>0</v>
      </c>
      <c r="K1081" s="15" t="s">
        <v>0</v>
      </c>
      <c r="L1081" s="15" t="s">
        <v>0</v>
      </c>
      <c r="M1081" s="15" t="s">
        <v>0</v>
      </c>
      <c r="N1081" s="15" t="s">
        <v>0</v>
      </c>
      <c r="O1081" s="15" t="s">
        <v>0</v>
      </c>
      <c r="P1081" s="15" t="s">
        <v>0</v>
      </c>
      <c r="Q1081" s="15" t="s">
        <v>0</v>
      </c>
      <c r="R1081" s="15" t="s">
        <v>4518</v>
      </c>
      <c r="S1081" s="10" t="s">
        <v>1</v>
      </c>
      <c r="T1081" s="10" t="s">
        <v>32</v>
      </c>
      <c r="U1081" s="5" t="str">
        <f t="shared" si="412"/>
        <v>Propriedade destinada a instalar: é.instalação.oculta</v>
      </c>
      <c r="V1081" s="5" t="str">
        <f t="shared" si="413"/>
        <v>Dado para instalar:  instalação.oculta  Deve ser formatado como (xsd:boolean)</v>
      </c>
      <c r="W1081" s="5" t="s">
        <v>5856</v>
      </c>
      <c r="X1081" s="24" t="str">
        <f t="shared" si="414"/>
        <v>insta.115</v>
      </c>
      <c r="Y1081" s="24" t="str">
        <f t="shared" si="415"/>
        <v>Ação de instalar</v>
      </c>
      <c r="Z1081" s="47" t="s">
        <v>4552</v>
      </c>
      <c r="AA1081" s="25" t="str">
        <f t="shared" si="440"/>
        <v>null</v>
      </c>
      <c r="AB1081" s="26" t="s">
        <v>0</v>
      </c>
      <c r="AC1081" s="25" t="str">
        <f t="shared" si="441"/>
        <v>null</v>
      </c>
      <c r="AD1081" s="26" t="s">
        <v>0</v>
      </c>
      <c r="AE1081" s="25" t="str">
        <f t="shared" si="442"/>
        <v>null</v>
      </c>
      <c r="AF1081" s="26" t="s">
        <v>0</v>
      </c>
      <c r="AG1081" s="47" t="s">
        <v>4534</v>
      </c>
    </row>
    <row r="1082" spans="1:33" ht="6.9" customHeight="1" x14ac:dyDescent="0.4">
      <c r="A1082" s="4">
        <f>ROW()</f>
        <v>1082</v>
      </c>
      <c r="B1082" s="9" t="s">
        <v>27</v>
      </c>
      <c r="C1082" s="55" t="str">
        <f t="shared" si="437"/>
        <v>p.instalar</v>
      </c>
      <c r="D1082" s="6" t="str">
        <f t="shared" si="419"/>
        <v>é.instalação.oculto</v>
      </c>
      <c r="E1082" s="8" t="s">
        <v>28</v>
      </c>
      <c r="F1082" s="42" t="str">
        <f t="shared" si="438"/>
        <v>d.instalar</v>
      </c>
      <c r="G1082" s="17" t="s">
        <v>4516</v>
      </c>
      <c r="H1082" s="42" t="s">
        <v>37</v>
      </c>
      <c r="I1082" s="16" t="str">
        <f t="shared" si="439"/>
        <v>null</v>
      </c>
      <c r="J1082" s="15" t="s">
        <v>0</v>
      </c>
      <c r="K1082" s="15" t="s">
        <v>0</v>
      </c>
      <c r="L1082" s="15" t="s">
        <v>0</v>
      </c>
      <c r="M1082" s="15" t="s">
        <v>0</v>
      </c>
      <c r="N1082" s="15" t="s">
        <v>0</v>
      </c>
      <c r="O1082" s="15" t="s">
        <v>0</v>
      </c>
      <c r="P1082" s="15" t="s">
        <v>0</v>
      </c>
      <c r="Q1082" s="15" t="s">
        <v>0</v>
      </c>
      <c r="R1082" s="15" t="s">
        <v>4517</v>
      </c>
      <c r="S1082" s="10" t="s">
        <v>1</v>
      </c>
      <c r="T1082" s="10" t="s">
        <v>32</v>
      </c>
      <c r="U1082" s="5" t="str">
        <f t="shared" si="412"/>
        <v>Propriedade destinada a instalar: é.instalação.oculto</v>
      </c>
      <c r="V1082" s="5" t="str">
        <f t="shared" si="413"/>
        <v>Dado para instalar:  instalação.oculto  Deve ser formatado como (xsd:boolean)</v>
      </c>
      <c r="W1082" s="5" t="s">
        <v>5857</v>
      </c>
      <c r="X1082" s="24" t="str">
        <f t="shared" si="414"/>
        <v>insta.116</v>
      </c>
      <c r="Y1082" s="24" t="str">
        <f t="shared" si="415"/>
        <v>Ação de instalar</v>
      </c>
      <c r="Z1082" s="47" t="s">
        <v>4553</v>
      </c>
      <c r="AA1082" s="25" t="str">
        <f t="shared" si="440"/>
        <v>null</v>
      </c>
      <c r="AB1082" s="26" t="s">
        <v>0</v>
      </c>
      <c r="AC1082" s="25" t="str">
        <f t="shared" si="441"/>
        <v>null</v>
      </c>
      <c r="AD1082" s="26" t="s">
        <v>0</v>
      </c>
      <c r="AE1082" s="25" t="str">
        <f t="shared" si="442"/>
        <v>null</v>
      </c>
      <c r="AF1082" s="26" t="s">
        <v>0</v>
      </c>
      <c r="AG1082" s="47" t="s">
        <v>4534</v>
      </c>
    </row>
    <row r="1083" spans="1:33" ht="6.9" customHeight="1" x14ac:dyDescent="0.4">
      <c r="A1083" s="4">
        <f>ROW()</f>
        <v>1083</v>
      </c>
      <c r="B1083" s="9" t="s">
        <v>27</v>
      </c>
      <c r="C1083" s="55" t="str">
        <f t="shared" si="437"/>
        <v>p.instalar</v>
      </c>
      <c r="D1083" s="6" t="str">
        <f t="shared" si="419"/>
        <v>é.instalação.opcional</v>
      </c>
      <c r="E1083" s="8" t="s">
        <v>28</v>
      </c>
      <c r="F1083" s="42" t="str">
        <f t="shared" si="438"/>
        <v>d.instalar</v>
      </c>
      <c r="G1083" s="17" t="s">
        <v>4512</v>
      </c>
      <c r="H1083" s="42" t="s">
        <v>37</v>
      </c>
      <c r="I1083" s="16" t="str">
        <f t="shared" si="439"/>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12"/>
        <v>Propriedade destinada a instalar: é.instalação.opcional</v>
      </c>
      <c r="V1083" s="5" t="str">
        <f t="shared" si="413"/>
        <v>Dado para instalar:  instalação.opcional  Deve ser formatado como (xsd:boolean)</v>
      </c>
      <c r="W1083" s="5" t="s">
        <v>5858</v>
      </c>
      <c r="X1083" s="24" t="str">
        <f t="shared" si="414"/>
        <v>insta.117</v>
      </c>
      <c r="Y1083" s="24" t="str">
        <f t="shared" si="415"/>
        <v>Ação de instalar</v>
      </c>
      <c r="Z1083" s="47" t="s">
        <v>1565</v>
      </c>
      <c r="AA1083" s="25" t="str">
        <f t="shared" si="440"/>
        <v>null</v>
      </c>
      <c r="AB1083" s="26" t="s">
        <v>0</v>
      </c>
      <c r="AC1083" s="25" t="str">
        <f t="shared" si="441"/>
        <v>null</v>
      </c>
      <c r="AD1083" s="26" t="s">
        <v>0</v>
      </c>
      <c r="AE1083" s="25" t="str">
        <f t="shared" si="442"/>
        <v>null</v>
      </c>
      <c r="AF1083" s="26" t="s">
        <v>0</v>
      </c>
      <c r="AG1083" s="47" t="s">
        <v>2920</v>
      </c>
    </row>
    <row r="1084" spans="1:33" ht="6.9" customHeight="1" x14ac:dyDescent="0.4">
      <c r="A1084" s="4">
        <f>ROW()</f>
        <v>1084</v>
      </c>
      <c r="B1084" s="9" t="s">
        <v>27</v>
      </c>
      <c r="C1084" s="55" t="str">
        <f t="shared" si="437"/>
        <v>p.instalar</v>
      </c>
      <c r="D1084" s="6" t="str">
        <f t="shared" si="419"/>
        <v>é.instalação.pendurada</v>
      </c>
      <c r="E1084" s="8" t="s">
        <v>28</v>
      </c>
      <c r="F1084" s="42" t="str">
        <f t="shared" si="438"/>
        <v>d.instalar</v>
      </c>
      <c r="G1084" s="17" t="s">
        <v>8446</v>
      </c>
      <c r="H1084" s="42" t="s">
        <v>37</v>
      </c>
      <c r="I1084" s="16" t="str">
        <f t="shared" si="439"/>
        <v>null</v>
      </c>
      <c r="J1084" s="15" t="s">
        <v>0</v>
      </c>
      <c r="K1084" s="15" t="s">
        <v>0</v>
      </c>
      <c r="L1084" s="15" t="s">
        <v>0</v>
      </c>
      <c r="M1084" s="15" t="s">
        <v>0</v>
      </c>
      <c r="N1084" s="15" t="s">
        <v>0</v>
      </c>
      <c r="O1084" s="15" t="s">
        <v>0</v>
      </c>
      <c r="P1084" s="15" t="s">
        <v>0</v>
      </c>
      <c r="Q1084" s="15" t="s">
        <v>0</v>
      </c>
      <c r="R1084" s="15" t="s">
        <v>8448</v>
      </c>
      <c r="S1084" s="10" t="s">
        <v>1</v>
      </c>
      <c r="T1084" s="10" t="s">
        <v>32</v>
      </c>
      <c r="U1084" s="5" t="str">
        <f t="shared" si="412"/>
        <v>Propriedade destinada a instalar: é.instalação.pendurada</v>
      </c>
      <c r="V1084" s="5" t="str">
        <f t="shared" si="413"/>
        <v>Dado para instalar:  instalação.pendurada  Deve ser formatado como (xsd:boolean)</v>
      </c>
      <c r="W1084" s="5" t="s">
        <v>8438</v>
      </c>
      <c r="X1084" s="24" t="str">
        <f t="shared" si="414"/>
        <v>insta.118</v>
      </c>
      <c r="Y1084" s="24" t="str">
        <f t="shared" si="415"/>
        <v>Ação de instalar</v>
      </c>
      <c r="Z1084" s="47" t="s">
        <v>8445</v>
      </c>
      <c r="AA1084" s="25" t="str">
        <f t="shared" si="440"/>
        <v>null</v>
      </c>
      <c r="AB1084" s="26" t="s">
        <v>0</v>
      </c>
      <c r="AC1084" s="25" t="str">
        <f t="shared" si="441"/>
        <v>null</v>
      </c>
      <c r="AD1084" s="26" t="s">
        <v>0</v>
      </c>
      <c r="AE1084" s="25" t="str">
        <f t="shared" si="442"/>
        <v>null</v>
      </c>
      <c r="AF1084" s="26" t="s">
        <v>0</v>
      </c>
      <c r="AG1084" s="47" t="s">
        <v>8442</v>
      </c>
    </row>
    <row r="1085" spans="1:33" ht="6.9" customHeight="1" x14ac:dyDescent="0.4">
      <c r="A1085" s="4">
        <f>ROW()</f>
        <v>1085</v>
      </c>
      <c r="B1085" s="9" t="s">
        <v>27</v>
      </c>
      <c r="C1085" s="55" t="str">
        <f t="shared" si="437"/>
        <v>p.instalar</v>
      </c>
      <c r="D1085" s="6" t="str">
        <f t="shared" si="419"/>
        <v>é.instalação.pendurado</v>
      </c>
      <c r="E1085" s="8" t="s">
        <v>28</v>
      </c>
      <c r="F1085" s="42" t="str">
        <f t="shared" si="438"/>
        <v>d.instalar</v>
      </c>
      <c r="G1085" s="17" t="s">
        <v>8447</v>
      </c>
      <c r="H1085" s="42" t="s">
        <v>37</v>
      </c>
      <c r="I1085" s="16" t="str">
        <f t="shared" si="439"/>
        <v>null</v>
      </c>
      <c r="J1085" s="15" t="s">
        <v>0</v>
      </c>
      <c r="K1085" s="15" t="s">
        <v>0</v>
      </c>
      <c r="L1085" s="15" t="s">
        <v>0</v>
      </c>
      <c r="M1085" s="15" t="s">
        <v>0</v>
      </c>
      <c r="N1085" s="15" t="s">
        <v>0</v>
      </c>
      <c r="O1085" s="15" t="s">
        <v>0</v>
      </c>
      <c r="P1085" s="15" t="s">
        <v>0</v>
      </c>
      <c r="Q1085" s="15" t="s">
        <v>0</v>
      </c>
      <c r="R1085" s="15" t="s">
        <v>8449</v>
      </c>
      <c r="S1085" s="10" t="s">
        <v>1</v>
      </c>
      <c r="T1085" s="10" t="s">
        <v>32</v>
      </c>
      <c r="U1085" s="5" t="str">
        <f t="shared" si="412"/>
        <v>Propriedade destinada a instalar: é.instalação.pendurado</v>
      </c>
      <c r="V1085" s="5" t="str">
        <f t="shared" si="413"/>
        <v>Dado para instalar:  instalação.pendurado  Deve ser formatado como (xsd:boolean)</v>
      </c>
      <c r="W1085" s="5" t="s">
        <v>8439</v>
      </c>
      <c r="X1085" s="24" t="str">
        <f t="shared" si="414"/>
        <v>insta.119</v>
      </c>
      <c r="Y1085" s="24" t="str">
        <f t="shared" si="415"/>
        <v>Ação de instalar</v>
      </c>
      <c r="Z1085" s="47" t="s">
        <v>8444</v>
      </c>
      <c r="AA1085" s="25" t="str">
        <f t="shared" si="440"/>
        <v>null</v>
      </c>
      <c r="AB1085" s="26" t="s">
        <v>0</v>
      </c>
      <c r="AC1085" s="25" t="str">
        <f t="shared" si="441"/>
        <v>null</v>
      </c>
      <c r="AD1085" s="26" t="s">
        <v>0</v>
      </c>
      <c r="AE1085" s="25" t="str">
        <f t="shared" si="442"/>
        <v>null</v>
      </c>
      <c r="AF1085" s="26" t="s">
        <v>0</v>
      </c>
      <c r="AG1085" s="47" t="s">
        <v>8441</v>
      </c>
    </row>
    <row r="1086" spans="1:33" ht="6.9" customHeight="1" x14ac:dyDescent="0.4">
      <c r="A1086" s="4">
        <f>ROW()</f>
        <v>1086</v>
      </c>
      <c r="B1086" s="9" t="s">
        <v>27</v>
      </c>
      <c r="C1086" s="55" t="str">
        <f t="shared" si="437"/>
        <v>p.instalar</v>
      </c>
      <c r="D1086" s="6" t="str">
        <f t="shared" si="419"/>
        <v>é.instalação.pesada</v>
      </c>
      <c r="E1086" s="8" t="s">
        <v>28</v>
      </c>
      <c r="F1086" s="42" t="str">
        <f t="shared" si="438"/>
        <v>d.instalar</v>
      </c>
      <c r="G1086" s="17" t="s">
        <v>8437</v>
      </c>
      <c r="H1086" s="42" t="s">
        <v>37</v>
      </c>
      <c r="I1086" s="16" t="str">
        <f t="shared" si="439"/>
        <v>null</v>
      </c>
      <c r="J1086" s="15" t="s">
        <v>0</v>
      </c>
      <c r="K1086" s="15" t="s">
        <v>0</v>
      </c>
      <c r="L1086" s="15" t="s">
        <v>0</v>
      </c>
      <c r="M1086" s="15" t="s">
        <v>0</v>
      </c>
      <c r="N1086" s="15" t="s">
        <v>0</v>
      </c>
      <c r="O1086" s="15" t="s">
        <v>0</v>
      </c>
      <c r="P1086" s="15" t="s">
        <v>0</v>
      </c>
      <c r="Q1086" s="15" t="s">
        <v>8434</v>
      </c>
      <c r="R1086" s="15" t="s">
        <v>0</v>
      </c>
      <c r="S1086" s="10" t="s">
        <v>1</v>
      </c>
      <c r="T1086" s="10" t="s">
        <v>32</v>
      </c>
      <c r="U1086" s="5" t="str">
        <f t="shared" si="412"/>
        <v>Propriedade destinada a instalar: é.instalação.pesada</v>
      </c>
      <c r="V1086" s="5" t="str">
        <f t="shared" si="413"/>
        <v>Dado para instalar:  instalação.pesada  Deve ser formatado como (xsd:boolean)</v>
      </c>
      <c r="W1086" s="5" t="s">
        <v>8436</v>
      </c>
      <c r="X1086" s="24" t="str">
        <f t="shared" si="414"/>
        <v>insta.120</v>
      </c>
      <c r="Y1086" s="24" t="str">
        <f t="shared" si="415"/>
        <v>Ação de instalar</v>
      </c>
      <c r="Z1086" s="47" t="s">
        <v>8443</v>
      </c>
      <c r="AA1086" s="25" t="str">
        <f t="shared" si="440"/>
        <v>null</v>
      </c>
      <c r="AB1086" s="26" t="s">
        <v>0</v>
      </c>
      <c r="AC1086" s="25" t="str">
        <f t="shared" si="441"/>
        <v>null</v>
      </c>
      <c r="AD1086" s="26" t="s">
        <v>0</v>
      </c>
      <c r="AE1086" s="25" t="str">
        <f t="shared" si="442"/>
        <v>null</v>
      </c>
      <c r="AF1086" s="26" t="s">
        <v>0</v>
      </c>
      <c r="AG1086" s="47" t="s">
        <v>8440</v>
      </c>
    </row>
    <row r="1087" spans="1:33" ht="6.9" customHeight="1" x14ac:dyDescent="0.4">
      <c r="A1087" s="4">
        <f>ROW()</f>
        <v>1087</v>
      </c>
      <c r="B1087" s="9" t="s">
        <v>27</v>
      </c>
      <c r="C1087" s="55" t="str">
        <f t="shared" si="437"/>
        <v>p.instalar</v>
      </c>
      <c r="D1087" s="6" t="str">
        <f t="shared" si="419"/>
        <v>é.instalação.precisa</v>
      </c>
      <c r="E1087" s="8" t="s">
        <v>28</v>
      </c>
      <c r="F1087" s="42" t="str">
        <f t="shared" si="438"/>
        <v>d.instalar</v>
      </c>
      <c r="G1087" s="17" t="s">
        <v>4514</v>
      </c>
      <c r="H1087" s="42" t="s">
        <v>37</v>
      </c>
      <c r="I1087" s="16" t="str">
        <f t="shared" si="43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12"/>
        <v>Propriedade destinada a instalar: é.instalação.precisa</v>
      </c>
      <c r="V1087" s="5" t="str">
        <f t="shared" si="413"/>
        <v>Dado para instalar:  instalação.precisa  Deve ser formatado como (xsd:boolean)</v>
      </c>
      <c r="W1087" s="5" t="s">
        <v>5859</v>
      </c>
      <c r="X1087" s="24" t="str">
        <f t="shared" si="414"/>
        <v>insta.121</v>
      </c>
      <c r="Y1087" s="24" t="str">
        <f t="shared" si="415"/>
        <v>Ação de instalar</v>
      </c>
      <c r="Z1087" s="47" t="s">
        <v>4554</v>
      </c>
      <c r="AA1087" s="25" t="str">
        <f t="shared" si="440"/>
        <v>null</v>
      </c>
      <c r="AB1087" s="26" t="s">
        <v>0</v>
      </c>
      <c r="AC1087" s="25" t="str">
        <f t="shared" si="441"/>
        <v>null</v>
      </c>
      <c r="AD1087" s="26" t="s">
        <v>0</v>
      </c>
      <c r="AE1087" s="25" t="str">
        <f t="shared" si="442"/>
        <v>null</v>
      </c>
      <c r="AF1087" s="26" t="s">
        <v>0</v>
      </c>
      <c r="AG1087" s="47" t="s">
        <v>4535</v>
      </c>
    </row>
    <row r="1088" spans="1:33" ht="6.9" customHeight="1" x14ac:dyDescent="0.4">
      <c r="A1088" s="4">
        <f>ROW()</f>
        <v>1088</v>
      </c>
      <c r="B1088" s="9" t="s">
        <v>27</v>
      </c>
      <c r="C1088" s="55" t="str">
        <f t="shared" si="437"/>
        <v>p.instalar</v>
      </c>
      <c r="D1088" s="6" t="str">
        <f t="shared" si="419"/>
        <v>é.instalação.preparada</v>
      </c>
      <c r="E1088" s="8" t="s">
        <v>28</v>
      </c>
      <c r="F1088" s="42" t="str">
        <f t="shared" si="438"/>
        <v>d.instalar</v>
      </c>
      <c r="G1088" s="17" t="s">
        <v>8450</v>
      </c>
      <c r="H1088" s="42" t="s">
        <v>37</v>
      </c>
      <c r="I1088" s="16" t="str">
        <f t="shared" si="43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12"/>
        <v>Propriedade destinada a instalar: é.instalação.preparada</v>
      </c>
      <c r="V1088" s="5" t="str">
        <f t="shared" si="413"/>
        <v>Dado para instalar:  instalação.preparada  Deve ser formatado como (xsd:boolean)</v>
      </c>
      <c r="W1088" s="5" t="s">
        <v>8451</v>
      </c>
      <c r="X1088" s="24" t="str">
        <f t="shared" si="414"/>
        <v>insta.122</v>
      </c>
      <c r="Y1088" s="24" t="str">
        <f t="shared" si="415"/>
        <v>Ação de instalar</v>
      </c>
      <c r="Z1088" s="47" t="s">
        <v>4558</v>
      </c>
      <c r="AA1088" s="25" t="str">
        <f t="shared" si="440"/>
        <v>null</v>
      </c>
      <c r="AB1088" s="26" t="s">
        <v>0</v>
      </c>
      <c r="AC1088" s="25" t="str">
        <f t="shared" si="441"/>
        <v>null</v>
      </c>
      <c r="AD1088" s="26" t="s">
        <v>0</v>
      </c>
      <c r="AE1088" s="25" t="str">
        <f t="shared" si="442"/>
        <v>null</v>
      </c>
      <c r="AF1088" s="26" t="s">
        <v>0</v>
      </c>
      <c r="AG1088" s="47" t="s">
        <v>4539</v>
      </c>
    </row>
    <row r="1089" spans="1:33" ht="6.9" customHeight="1" x14ac:dyDescent="0.4">
      <c r="A1089" s="4">
        <f>ROW()</f>
        <v>1089</v>
      </c>
      <c r="B1089" s="9" t="s">
        <v>27</v>
      </c>
      <c r="C1089" s="55" t="str">
        <f t="shared" si="437"/>
        <v>p.instalar</v>
      </c>
      <c r="D1089" s="6" t="str">
        <f t="shared" si="419"/>
        <v>é.instalação.prioritária</v>
      </c>
      <c r="E1089" s="8" t="s">
        <v>28</v>
      </c>
      <c r="F1089" s="42" t="str">
        <f t="shared" si="438"/>
        <v>d.instalar</v>
      </c>
      <c r="G1089" s="17" t="s">
        <v>4511</v>
      </c>
      <c r="H1089" s="42" t="s">
        <v>37</v>
      </c>
      <c r="I1089" s="16" t="str">
        <f t="shared" si="43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12"/>
        <v>Propriedade destinada a instalar: é.instalação.prioritária</v>
      </c>
      <c r="V1089" s="5" t="str">
        <f t="shared" si="413"/>
        <v>Dado para instalar:  instalação.prioritária  Deve ser formatado como (xsd:boolean)</v>
      </c>
      <c r="W1089" s="5" t="s">
        <v>5860</v>
      </c>
      <c r="X1089" s="24" t="str">
        <f t="shared" si="414"/>
        <v>insta.123</v>
      </c>
      <c r="Y1089" s="24" t="str">
        <f t="shared" si="415"/>
        <v>Ação de instalar</v>
      </c>
      <c r="Z1089" s="47" t="s">
        <v>4555</v>
      </c>
      <c r="AA1089" s="25" t="str">
        <f t="shared" si="440"/>
        <v>null</v>
      </c>
      <c r="AB1089" s="26" t="s">
        <v>0</v>
      </c>
      <c r="AC1089" s="25" t="str">
        <f t="shared" si="441"/>
        <v>null</v>
      </c>
      <c r="AD1089" s="26" t="s">
        <v>0</v>
      </c>
      <c r="AE1089" s="25" t="str">
        <f t="shared" si="442"/>
        <v>null</v>
      </c>
      <c r="AF1089" s="26" t="s">
        <v>0</v>
      </c>
      <c r="AG1089" s="47" t="s">
        <v>4536</v>
      </c>
    </row>
    <row r="1090" spans="1:33" ht="6.9" customHeight="1" x14ac:dyDescent="0.4">
      <c r="A1090" s="4">
        <f>ROW()</f>
        <v>1090</v>
      </c>
      <c r="B1090" s="9" t="s">
        <v>27</v>
      </c>
      <c r="C1090" s="55" t="str">
        <f t="shared" si="437"/>
        <v>p.instalar</v>
      </c>
      <c r="D1090" s="6" t="str">
        <f t="shared" si="419"/>
        <v>é.instalação.rápida</v>
      </c>
      <c r="E1090" s="8" t="s">
        <v>28</v>
      </c>
      <c r="F1090" s="42" t="str">
        <f t="shared" si="438"/>
        <v>d.instalar</v>
      </c>
      <c r="G1090" s="17" t="s">
        <v>4513</v>
      </c>
      <c r="H1090" s="42" t="s">
        <v>37</v>
      </c>
      <c r="I1090" s="16" t="str">
        <f t="shared" si="439"/>
        <v>null</v>
      </c>
      <c r="J1090" s="15" t="s">
        <v>0</v>
      </c>
      <c r="K1090" s="15" t="s">
        <v>0</v>
      </c>
      <c r="L1090" s="15" t="s">
        <v>0</v>
      </c>
      <c r="M1090" s="15" t="s">
        <v>0</v>
      </c>
      <c r="N1090" s="15" t="s">
        <v>0</v>
      </c>
      <c r="O1090" s="15" t="s">
        <v>0</v>
      </c>
      <c r="P1090" s="15" t="s">
        <v>0</v>
      </c>
      <c r="Q1090" s="15" t="s">
        <v>4522</v>
      </c>
      <c r="R1090" s="15" t="s">
        <v>0</v>
      </c>
      <c r="S1090" s="10" t="s">
        <v>1</v>
      </c>
      <c r="T1090" s="10" t="s">
        <v>32</v>
      </c>
      <c r="U1090" s="5" t="str">
        <f t="shared" ref="U1090:U1153" si="443">_xlfn.CONCAT("Propriedade destinada a ",MID(C1090,FIND("p.",C1090,1)+2,100),": ",D1090)</f>
        <v>Propriedade destinada a instalar: é.instalação.rápida</v>
      </c>
      <c r="V1090" s="5" t="str">
        <f t="shared" ref="V1090:V1153" si="444">_xlfn.CONCAT("Dado para ",MID(F1090,FIND("d.",F1090,1)+2,100),":  ",G1090, "  Deve ser formatado como (",H1090, ")")</f>
        <v>Dado para instalar:  instalação.rápida  Deve ser formatado como (xsd:boolean)</v>
      </c>
      <c r="W1090" s="5" t="s">
        <v>5861</v>
      </c>
      <c r="X1090" s="24" t="str">
        <f t="shared" si="414"/>
        <v>insta.124</v>
      </c>
      <c r="Y1090" s="24" t="str">
        <f t="shared" si="415"/>
        <v>Ação de instalar</v>
      </c>
      <c r="Z1090" s="47" t="s">
        <v>4556</v>
      </c>
      <c r="AA1090" s="25" t="str">
        <f t="shared" si="440"/>
        <v>null</v>
      </c>
      <c r="AB1090" s="26" t="s">
        <v>0</v>
      </c>
      <c r="AC1090" s="25" t="str">
        <f t="shared" si="441"/>
        <v>null</v>
      </c>
      <c r="AD1090" s="26" t="s">
        <v>0</v>
      </c>
      <c r="AE1090" s="25" t="str">
        <f t="shared" si="442"/>
        <v>null</v>
      </c>
      <c r="AF1090" s="26" t="s">
        <v>0</v>
      </c>
      <c r="AG1090" s="47" t="s">
        <v>4537</v>
      </c>
    </row>
    <row r="1091" spans="1:33" ht="6.9" customHeight="1" x14ac:dyDescent="0.4">
      <c r="A1091" s="4">
        <f>ROW()</f>
        <v>1091</v>
      </c>
      <c r="B1091" s="9" t="s">
        <v>27</v>
      </c>
      <c r="C1091" s="55" t="str">
        <f t="shared" si="437"/>
        <v>p.instalar</v>
      </c>
      <c r="D1091" s="6" t="str">
        <f t="shared" si="419"/>
        <v>é.montado.com</v>
      </c>
      <c r="E1091" s="8" t="s">
        <v>28</v>
      </c>
      <c r="F1091" s="42" t="str">
        <f t="shared" si="438"/>
        <v>d.instalar</v>
      </c>
      <c r="G1091" s="17" t="s">
        <v>1953</v>
      </c>
      <c r="H1091" s="42" t="s">
        <v>37</v>
      </c>
      <c r="I1091" s="16" t="str">
        <f t="shared" si="43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3"/>
        <v>Propriedade destinada a instalar: é.montado.com</v>
      </c>
      <c r="V1091" s="5" t="str">
        <f t="shared" si="444"/>
        <v>Dado para instalar:  montado.com  Deve ser formatado como (xsd:boolean)</v>
      </c>
      <c r="W1091" s="5" t="s">
        <v>5862</v>
      </c>
      <c r="X1091" s="24" t="str">
        <f t="shared" ref="X1091:X1154" si="445">IF(F1090&lt;&gt;F1091,_xlfn.CONCAT(RIGHT(LEFT(F1091,7),5),".100"),_xlfn.CONCAT(RIGHT(LEFT(F1091,7),5),".",SUM(VALUE(RIGHT(X1090,3)),1)))</f>
        <v>insta.125</v>
      </c>
      <c r="Y1091" s="24" t="str">
        <f t="shared" ref="Y1091:Y1154" si="446">_xlfn.CONCAT("Ação de ", SUBSTITUTE(F1091, "d.",  ""))</f>
        <v>Ação de instalar</v>
      </c>
      <c r="Z1091" s="47" t="s">
        <v>4557</v>
      </c>
      <c r="AA1091" s="25" t="str">
        <f t="shared" si="440"/>
        <v>null</v>
      </c>
      <c r="AB1091" s="26" t="s">
        <v>0</v>
      </c>
      <c r="AC1091" s="25" t="str">
        <f t="shared" si="441"/>
        <v>null</v>
      </c>
      <c r="AD1091" s="26" t="s">
        <v>0</v>
      </c>
      <c r="AE1091" s="25" t="str">
        <f t="shared" si="442"/>
        <v>null</v>
      </c>
      <c r="AF1091" s="26" t="s">
        <v>0</v>
      </c>
      <c r="AG1091" s="47" t="s">
        <v>4538</v>
      </c>
    </row>
    <row r="1092" spans="1:33" ht="6.9" customHeight="1" x14ac:dyDescent="0.4">
      <c r="A1092" s="4">
        <f>ROW()</f>
        <v>1092</v>
      </c>
      <c r="B1092" s="9" t="s">
        <v>27</v>
      </c>
      <c r="C1092" s="54" t="str">
        <f t="shared" si="416"/>
        <v>p.interoperar</v>
      </c>
      <c r="D1092" s="6" t="str">
        <f t="shared" si="419"/>
        <v>é.categoria.revit</v>
      </c>
      <c r="E1092" s="8" t="s">
        <v>28</v>
      </c>
      <c r="F1092" s="51" t="s">
        <v>3592</v>
      </c>
      <c r="G1092" s="17" t="s">
        <v>632</v>
      </c>
      <c r="H1092" s="41" t="s">
        <v>2121</v>
      </c>
      <c r="I1092" s="16" t="str">
        <f t="shared" si="41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3"/>
        <v>Propriedade destinada a interoperar: é.categoria.revit</v>
      </c>
      <c r="V1092" s="5" t="str">
        <f t="shared" si="444"/>
        <v>Dado para interoperar:  categoria.revit  Deve ser formatado como (rdfs:Literal  or  xsd:string)</v>
      </c>
      <c r="W1092" s="5" t="s">
        <v>5863</v>
      </c>
      <c r="X1092" s="24" t="str">
        <f t="shared" si="445"/>
        <v>inter.100</v>
      </c>
      <c r="Y1092" s="24" t="str">
        <f t="shared" si="446"/>
        <v>Ação de interoperar</v>
      </c>
      <c r="Z1092" s="47" t="s">
        <v>1568</v>
      </c>
      <c r="AA1092" s="25" t="str">
        <f t="shared" ref="AA1092:AA1216" si="447">IF(AB1092="null", "null", "categoria.revit")</f>
        <v>null</v>
      </c>
      <c r="AB1092" s="26" t="s">
        <v>0</v>
      </c>
      <c r="AC1092" s="25" t="str">
        <f t="shared" ref="AC1092:AC1216" si="448">IF(AD1092="null", "null", "classe.ifc")</f>
        <v>null</v>
      </c>
      <c r="AD1092" s="26" t="s">
        <v>0</v>
      </c>
      <c r="AE1092" s="25" t="str">
        <f t="shared" si="417"/>
        <v>null</v>
      </c>
      <c r="AF1092" s="26" t="s">
        <v>0</v>
      </c>
      <c r="AG1092" s="47" t="s">
        <v>2921</v>
      </c>
    </row>
    <row r="1093" spans="1:33" ht="6.9" customHeight="1" x14ac:dyDescent="0.4">
      <c r="A1093" s="4">
        <f>ROW()</f>
        <v>1093</v>
      </c>
      <c r="B1093" s="9" t="s">
        <v>27</v>
      </c>
      <c r="C1093" s="55" t="str">
        <f t="shared" ref="C1093" si="449">SUBSTITUTE(F1093,"d.","p.")</f>
        <v>p.interoperar</v>
      </c>
      <c r="D1093" s="6" t="str">
        <f t="shared" si="419"/>
        <v>é.arquivo.revit</v>
      </c>
      <c r="E1093" s="8" t="s">
        <v>28</v>
      </c>
      <c r="F1093" s="42" t="str">
        <f t="shared" ref="F1093:F1118" si="450">F1092</f>
        <v>d.interoperar</v>
      </c>
      <c r="G1093" s="18" t="s">
        <v>4113</v>
      </c>
      <c r="H1093" s="41" t="s">
        <v>2121</v>
      </c>
      <c r="I1093" s="16" t="str">
        <f t="shared" ref="I1093" si="451">J1093</f>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43"/>
        <v>Propriedade destinada a interoperar: é.arquivo.revit</v>
      </c>
      <c r="V1093" s="5" t="str">
        <f t="shared" si="444"/>
        <v>Dado para interoperar:  arquivo.revit  Deve ser formatado como (rdfs:Literal  or  xsd:string)</v>
      </c>
      <c r="W1093" s="5" t="s">
        <v>5864</v>
      </c>
      <c r="X1093" s="24" t="str">
        <f t="shared" si="445"/>
        <v>inter.101</v>
      </c>
      <c r="Y1093" s="24" t="str">
        <f t="shared" si="446"/>
        <v>Ação de interoperar</v>
      </c>
      <c r="Z1093" s="47" t="s">
        <v>7378</v>
      </c>
      <c r="AA1093" s="25" t="str">
        <f t="shared" ref="AA1093" si="452">IF(AB1093="null", "null", "categoria.revit")</f>
        <v>null</v>
      </c>
      <c r="AB1093" s="26" t="s">
        <v>0</v>
      </c>
      <c r="AC1093" s="25" t="str">
        <f t="shared" ref="AC1093" si="453">IF(AD1093="null", "null", "classe.ifc")</f>
        <v>null</v>
      </c>
      <c r="AD1093" s="26" t="s">
        <v>0</v>
      </c>
      <c r="AE1093" s="25" t="str">
        <f t="shared" si="417"/>
        <v>null</v>
      </c>
      <c r="AF1093" s="26" t="s">
        <v>0</v>
      </c>
      <c r="AG1093" s="47" t="s">
        <v>4880</v>
      </c>
    </row>
    <row r="1094" spans="1:33" ht="6.9" customHeight="1" x14ac:dyDescent="0.4">
      <c r="A1094" s="4">
        <f>ROW()</f>
        <v>1094</v>
      </c>
      <c r="B1094" s="9" t="s">
        <v>27</v>
      </c>
      <c r="C1094" s="55" t="str">
        <f t="shared" si="416"/>
        <v>p.interoperar</v>
      </c>
      <c r="D1094" s="6" t="str">
        <f t="shared" si="419"/>
        <v>é.versão.revit</v>
      </c>
      <c r="E1094" s="8" t="s">
        <v>28</v>
      </c>
      <c r="F1094" s="42" t="str">
        <f t="shared" si="450"/>
        <v>d.interoperar</v>
      </c>
      <c r="G1094" s="18" t="s">
        <v>4117</v>
      </c>
      <c r="H1094" s="41" t="s">
        <v>2121</v>
      </c>
      <c r="I1094" s="16" t="str">
        <f t="shared" si="41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43"/>
        <v>Propriedade destinada a interoperar: é.versão.revit</v>
      </c>
      <c r="V1094" s="5" t="str">
        <f t="shared" si="444"/>
        <v>Dado para interoperar:  versão.revit  Deve ser formatado como (rdfs:Literal  or  xsd:string)</v>
      </c>
      <c r="W1094" s="5" t="s">
        <v>5865</v>
      </c>
      <c r="X1094" s="24" t="str">
        <f t="shared" si="445"/>
        <v>inter.102</v>
      </c>
      <c r="Y1094" s="24" t="str">
        <f t="shared" si="446"/>
        <v>Ação de interoperar</v>
      </c>
      <c r="Z1094" s="47" t="s">
        <v>7379</v>
      </c>
      <c r="AA1094" s="25" t="str">
        <f t="shared" si="447"/>
        <v>null</v>
      </c>
      <c r="AB1094" s="26" t="s">
        <v>0</v>
      </c>
      <c r="AC1094" s="25" t="str">
        <f t="shared" si="448"/>
        <v>null</v>
      </c>
      <c r="AD1094" s="26" t="s">
        <v>0</v>
      </c>
      <c r="AE1094" s="25" t="str">
        <f t="shared" si="417"/>
        <v>null</v>
      </c>
      <c r="AF1094" s="26" t="s">
        <v>0</v>
      </c>
      <c r="AG1094" s="47" t="s">
        <v>4881</v>
      </c>
    </row>
    <row r="1095" spans="1:33" ht="6.9" customHeight="1" x14ac:dyDescent="0.4">
      <c r="A1095" s="4">
        <f>ROW()</f>
        <v>1095</v>
      </c>
      <c r="B1095" s="9" t="s">
        <v>27</v>
      </c>
      <c r="C1095" s="55" t="str">
        <f t="shared" ref="C1095" si="454">SUBSTITUTE(F1095,"d.","p.")</f>
        <v>p.interoperar</v>
      </c>
      <c r="D1095" s="6" t="str">
        <f t="shared" si="419"/>
        <v>é.material.revit</v>
      </c>
      <c r="E1095" s="8" t="s">
        <v>28</v>
      </c>
      <c r="F1095" s="42" t="str">
        <f t="shared" si="450"/>
        <v>d.interoperar</v>
      </c>
      <c r="G1095" s="18" t="s">
        <v>4114</v>
      </c>
      <c r="H1095" s="41" t="s">
        <v>2121</v>
      </c>
      <c r="I1095" s="16" t="str">
        <f t="shared" ref="I1095" si="455">J1095</f>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43"/>
        <v>Propriedade destinada a interoperar: é.material.revit</v>
      </c>
      <c r="V1095" s="5" t="str">
        <f t="shared" si="444"/>
        <v>Dado para interoperar:  material.revit  Deve ser formatado como (rdfs:Literal  or  xsd:string)</v>
      </c>
      <c r="W1095" s="5" t="s">
        <v>5866</v>
      </c>
      <c r="X1095" s="24" t="str">
        <f t="shared" si="445"/>
        <v>inter.103</v>
      </c>
      <c r="Y1095" s="24" t="str">
        <f t="shared" si="446"/>
        <v>Ação de interoperar</v>
      </c>
      <c r="Z1095" s="47" t="s">
        <v>7380</v>
      </c>
      <c r="AA1095" s="25" t="str">
        <f t="shared" ref="AA1095" si="456">IF(AB1095="null", "null", "categoria.revit")</f>
        <v>null</v>
      </c>
      <c r="AB1095" s="26" t="s">
        <v>0</v>
      </c>
      <c r="AC1095" s="25" t="str">
        <f t="shared" ref="AC1095" si="457">IF(AD1095="null", "null", "classe.ifc")</f>
        <v>null</v>
      </c>
      <c r="AD1095" s="26" t="s">
        <v>0</v>
      </c>
      <c r="AE1095" s="25" t="str">
        <f t="shared" si="417"/>
        <v>null</v>
      </c>
      <c r="AF1095" s="26" t="s">
        <v>0</v>
      </c>
      <c r="AG1095" s="47" t="s">
        <v>4882</v>
      </c>
    </row>
    <row r="1096" spans="1:33" ht="6.9" customHeight="1" x14ac:dyDescent="0.4">
      <c r="A1096" s="4">
        <f>ROW()</f>
        <v>1096</v>
      </c>
      <c r="B1096" s="9" t="s">
        <v>27</v>
      </c>
      <c r="C1096" s="55" t="str">
        <f t="shared" si="416"/>
        <v>p.interoperar</v>
      </c>
      <c r="D1096" s="6" t="str">
        <f t="shared" si="419"/>
        <v>é.tipo.revit</v>
      </c>
      <c r="E1096" s="8" t="s">
        <v>28</v>
      </c>
      <c r="F1096" s="42" t="str">
        <f t="shared" si="450"/>
        <v>d.interoperar</v>
      </c>
      <c r="G1096" s="18" t="s">
        <v>3413</v>
      </c>
      <c r="H1096" s="41" t="s">
        <v>2121</v>
      </c>
      <c r="I1096" s="16" t="str">
        <f t="shared" si="418"/>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43"/>
        <v>Propriedade destinada a interoperar: é.tipo.revit</v>
      </c>
      <c r="V1096" s="5" t="str">
        <f t="shared" si="444"/>
        <v>Dado para interoperar:  tipo.revit  Deve ser formatado como (rdfs:Literal  or  xsd:string)</v>
      </c>
      <c r="W1096" s="5" t="s">
        <v>5867</v>
      </c>
      <c r="X1096" s="24" t="str">
        <f t="shared" si="445"/>
        <v>inter.104</v>
      </c>
      <c r="Y1096" s="24" t="str">
        <f t="shared" si="446"/>
        <v>Ação de interoperar</v>
      </c>
      <c r="Z1096" s="47" t="s">
        <v>1321</v>
      </c>
      <c r="AA1096" s="25" t="str">
        <f t="shared" si="447"/>
        <v>null</v>
      </c>
      <c r="AB1096" s="26" t="s">
        <v>0</v>
      </c>
      <c r="AC1096" s="25" t="str">
        <f t="shared" si="448"/>
        <v>null</v>
      </c>
      <c r="AD1096" s="26" t="s">
        <v>0</v>
      </c>
      <c r="AE1096" s="25" t="str">
        <f t="shared" si="417"/>
        <v>null</v>
      </c>
      <c r="AF1096" s="26" t="s">
        <v>0</v>
      </c>
      <c r="AG1096" s="47" t="s">
        <v>2675</v>
      </c>
    </row>
    <row r="1097" spans="1:33" ht="6.9" customHeight="1" x14ac:dyDescent="0.4">
      <c r="A1097" s="4">
        <f>ROW()</f>
        <v>1097</v>
      </c>
      <c r="B1097" s="9" t="s">
        <v>27</v>
      </c>
      <c r="C1097" s="55" t="str">
        <f t="shared" si="416"/>
        <v>p.interoperar</v>
      </c>
      <c r="D1097" s="6" t="str">
        <f t="shared" si="419"/>
        <v>é.identificador.revit</v>
      </c>
      <c r="E1097" s="8" t="s">
        <v>28</v>
      </c>
      <c r="F1097" s="42" t="str">
        <f t="shared" si="450"/>
        <v>d.interoperar</v>
      </c>
      <c r="G1097" s="17" t="s">
        <v>4119</v>
      </c>
      <c r="H1097" s="42" t="s">
        <v>2121</v>
      </c>
      <c r="I1097" s="16" t="str">
        <f t="shared" si="41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43"/>
        <v>Propriedade destinada a interoperar: é.identificador.revit</v>
      </c>
      <c r="V1097" s="5" t="str">
        <f t="shared" si="444"/>
        <v>Dado para interoperar:  identificador.revit  Deve ser formatado como (rdfs:Literal  or  xsd:string)</v>
      </c>
      <c r="W1097" s="5" t="s">
        <v>5868</v>
      </c>
      <c r="X1097" s="24" t="str">
        <f t="shared" si="445"/>
        <v>inter.105</v>
      </c>
      <c r="Y1097" s="24" t="str">
        <f t="shared" si="446"/>
        <v>Ação de interoperar</v>
      </c>
      <c r="Z1097" s="47" t="s">
        <v>4123</v>
      </c>
      <c r="AA1097" s="25" t="str">
        <f t="shared" si="447"/>
        <v>categoria.revit</v>
      </c>
      <c r="AB1097" s="26" t="s">
        <v>3507</v>
      </c>
      <c r="AC1097" s="25" t="str">
        <f t="shared" si="448"/>
        <v>classe.ifc</v>
      </c>
      <c r="AD1097" s="26" t="s">
        <v>3457</v>
      </c>
      <c r="AE1097" s="25" t="str">
        <f t="shared" si="417"/>
        <v>null</v>
      </c>
      <c r="AF1097" s="26" t="s">
        <v>0</v>
      </c>
      <c r="AG1097" s="47" t="s">
        <v>4120</v>
      </c>
    </row>
    <row r="1098" spans="1:33" ht="6.9" customHeight="1" x14ac:dyDescent="0.4">
      <c r="A1098" s="4">
        <f>ROW()</f>
        <v>1098</v>
      </c>
      <c r="B1098" s="9" t="s">
        <v>27</v>
      </c>
      <c r="C1098" s="55" t="str">
        <f t="shared" si="416"/>
        <v>p.interoperar</v>
      </c>
      <c r="D1098" s="6" t="str">
        <f t="shared" si="419"/>
        <v>é.família.de.componente</v>
      </c>
      <c r="E1098" s="8" t="s">
        <v>28</v>
      </c>
      <c r="F1098" s="42" t="str">
        <f t="shared" si="450"/>
        <v>d.interoperar</v>
      </c>
      <c r="G1098" s="18" t="s">
        <v>559</v>
      </c>
      <c r="H1098" s="41" t="s">
        <v>2121</v>
      </c>
      <c r="I1098" s="16" t="str">
        <f t="shared" si="418"/>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43"/>
        <v>Propriedade destinada a interoperar: é.família.de.componente</v>
      </c>
      <c r="V1098" s="5" t="str">
        <f t="shared" si="444"/>
        <v>Dado para interoperar:  família.de.componente  Deve ser formatado como (rdfs:Literal  or  xsd:string)</v>
      </c>
      <c r="W1098" s="5" t="s">
        <v>5869</v>
      </c>
      <c r="X1098" s="24" t="str">
        <f t="shared" si="445"/>
        <v>inter.106</v>
      </c>
      <c r="Y1098" s="24" t="str">
        <f t="shared" si="446"/>
        <v>Ação de interoperar</v>
      </c>
      <c r="Z1098" s="47" t="s">
        <v>1319</v>
      </c>
      <c r="AA1098" s="25" t="str">
        <f t="shared" si="447"/>
        <v>null</v>
      </c>
      <c r="AB1098" s="26" t="s">
        <v>0</v>
      </c>
      <c r="AC1098" s="25" t="str">
        <f t="shared" si="448"/>
        <v>null</v>
      </c>
      <c r="AD1098" s="26" t="s">
        <v>0</v>
      </c>
      <c r="AE1098" s="25" t="str">
        <f t="shared" si="417"/>
        <v>null</v>
      </c>
      <c r="AF1098" s="26" t="s">
        <v>0</v>
      </c>
      <c r="AG1098" s="47" t="s">
        <v>2673</v>
      </c>
    </row>
    <row r="1099" spans="1:33" ht="6.9" customHeight="1" x14ac:dyDescent="0.4">
      <c r="A1099" s="4">
        <f>ROW()</f>
        <v>1099</v>
      </c>
      <c r="B1099" s="9" t="s">
        <v>27</v>
      </c>
      <c r="C1099" s="55" t="str">
        <f t="shared" si="416"/>
        <v>p.interoperar</v>
      </c>
      <c r="D1099" s="6" t="str">
        <f t="shared" si="419"/>
        <v>é.família.de.sistema</v>
      </c>
      <c r="E1099" s="8" t="s">
        <v>28</v>
      </c>
      <c r="F1099" s="42" t="str">
        <f t="shared" si="450"/>
        <v>d.interoperar</v>
      </c>
      <c r="G1099" s="18" t="s">
        <v>560</v>
      </c>
      <c r="H1099" s="41" t="s">
        <v>2121</v>
      </c>
      <c r="I1099" s="16" t="str">
        <f t="shared" si="418"/>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43"/>
        <v>Propriedade destinada a interoperar: é.família.de.sistema</v>
      </c>
      <c r="V1099" s="5" t="str">
        <f t="shared" si="444"/>
        <v>Dado para interoperar:  família.de.sistema  Deve ser formatado como (rdfs:Literal  or  xsd:string)</v>
      </c>
      <c r="W1099" s="5" t="s">
        <v>5870</v>
      </c>
      <c r="X1099" s="24" t="str">
        <f t="shared" si="445"/>
        <v>inter.107</v>
      </c>
      <c r="Y1099" s="24" t="str">
        <f t="shared" si="446"/>
        <v>Ação de interoperar</v>
      </c>
      <c r="Z1099" s="47" t="s">
        <v>1320</v>
      </c>
      <c r="AA1099" s="25" t="str">
        <f t="shared" si="447"/>
        <v>null</v>
      </c>
      <c r="AB1099" s="26" t="s">
        <v>0</v>
      </c>
      <c r="AC1099" s="25" t="str">
        <f t="shared" si="448"/>
        <v>null</v>
      </c>
      <c r="AD1099" s="26" t="s">
        <v>0</v>
      </c>
      <c r="AE1099" s="25" t="str">
        <f t="shared" si="417"/>
        <v>null</v>
      </c>
      <c r="AF1099" s="26" t="s">
        <v>0</v>
      </c>
      <c r="AG1099" s="47" t="s">
        <v>2674</v>
      </c>
    </row>
    <row r="1100" spans="1:33" ht="6.9" customHeight="1" x14ac:dyDescent="0.4">
      <c r="A1100" s="4">
        <f>ROW()</f>
        <v>1100</v>
      </c>
      <c r="B1100" s="9" t="s">
        <v>27</v>
      </c>
      <c r="C1100" s="55" t="str">
        <f t="shared" ref="C1100:C1101" si="458">SUBSTITUTE(F1100,"d.","p.")</f>
        <v>p.interoperar</v>
      </c>
      <c r="D1100" s="6" t="str">
        <f t="shared" si="419"/>
        <v>é.versão.ifc</v>
      </c>
      <c r="E1100" s="8" t="s">
        <v>28</v>
      </c>
      <c r="F1100" s="42" t="str">
        <f t="shared" si="450"/>
        <v>d.interoperar</v>
      </c>
      <c r="G1100" s="18" t="s">
        <v>4118</v>
      </c>
      <c r="H1100" s="41" t="s">
        <v>2121</v>
      </c>
      <c r="I1100" s="16" t="str">
        <f t="shared" ref="I1100:I1101" si="459">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43"/>
        <v>Propriedade destinada a interoperar: é.versão.ifc</v>
      </c>
      <c r="V1100" s="5" t="str">
        <f t="shared" si="444"/>
        <v>Dado para interoperar:  versão.ifc  Deve ser formatado como (rdfs:Literal  or  xsd:string)</v>
      </c>
      <c r="W1100" s="5" t="s">
        <v>5871</v>
      </c>
      <c r="X1100" s="24" t="str">
        <f t="shared" si="445"/>
        <v>inter.108</v>
      </c>
      <c r="Y1100" s="24" t="str">
        <f t="shared" si="446"/>
        <v>Ação de interoperar</v>
      </c>
      <c r="Z1100" s="47" t="s">
        <v>7381</v>
      </c>
      <c r="AA1100" s="25" t="str">
        <f t="shared" ref="AA1100:AA1101" si="460">IF(AB1100="null", "null", "categoria.revit")</f>
        <v>null</v>
      </c>
      <c r="AB1100" s="26" t="s">
        <v>0</v>
      </c>
      <c r="AC1100" s="25" t="str">
        <f t="shared" ref="AC1100:AC1101" si="461">IF(AD1100="null", "null", "classe.ifc")</f>
        <v>null</v>
      </c>
      <c r="AD1100" s="26" t="s">
        <v>0</v>
      </c>
      <c r="AE1100" s="25" t="str">
        <f t="shared" si="417"/>
        <v>null</v>
      </c>
      <c r="AF1100" s="26" t="s">
        <v>0</v>
      </c>
      <c r="AG1100" s="47" t="s">
        <v>4883</v>
      </c>
    </row>
    <row r="1101" spans="1:33" ht="6.9" customHeight="1" x14ac:dyDescent="0.4">
      <c r="A1101" s="4">
        <f>ROW()</f>
        <v>1101</v>
      </c>
      <c r="B1101" s="9" t="s">
        <v>27</v>
      </c>
      <c r="C1101" s="55" t="str">
        <f t="shared" si="458"/>
        <v>p.interoperar</v>
      </c>
      <c r="D1101" s="6" t="str">
        <f t="shared" si="419"/>
        <v>é.material.ifc</v>
      </c>
      <c r="E1101" s="8" t="s">
        <v>28</v>
      </c>
      <c r="F1101" s="42" t="str">
        <f t="shared" si="450"/>
        <v>d.interoperar</v>
      </c>
      <c r="G1101" s="18" t="s">
        <v>4116</v>
      </c>
      <c r="H1101" s="41" t="s">
        <v>2121</v>
      </c>
      <c r="I1101" s="16" t="str">
        <f t="shared" si="459"/>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43"/>
        <v>Propriedade destinada a interoperar: é.material.ifc</v>
      </c>
      <c r="V1101" s="5" t="str">
        <f t="shared" si="444"/>
        <v>Dado para interoperar:  material.ifc  Deve ser formatado como (rdfs:Literal  or  xsd:string)</v>
      </c>
      <c r="W1101" s="5" t="s">
        <v>5872</v>
      </c>
      <c r="X1101" s="24" t="str">
        <f t="shared" si="445"/>
        <v>inter.109</v>
      </c>
      <c r="Y1101" s="24" t="str">
        <f t="shared" si="446"/>
        <v>Ação de interoperar</v>
      </c>
      <c r="Z1101" s="47" t="s">
        <v>7382</v>
      </c>
      <c r="AA1101" s="25" t="str">
        <f t="shared" si="460"/>
        <v>null</v>
      </c>
      <c r="AB1101" s="26" t="s">
        <v>0</v>
      </c>
      <c r="AC1101" s="25" t="str">
        <f t="shared" si="461"/>
        <v>null</v>
      </c>
      <c r="AD1101" s="26" t="s">
        <v>0</v>
      </c>
      <c r="AE1101" s="25" t="str">
        <f t="shared" si="417"/>
        <v>null</v>
      </c>
      <c r="AF1101" s="26" t="s">
        <v>0</v>
      </c>
      <c r="AG1101" s="47" t="s">
        <v>4884</v>
      </c>
    </row>
    <row r="1102" spans="1:33" ht="6.9" customHeight="1" x14ac:dyDescent="0.4">
      <c r="A1102" s="4">
        <f>ROW()</f>
        <v>1102</v>
      </c>
      <c r="B1102" s="9" t="s">
        <v>27</v>
      </c>
      <c r="C1102" s="55" t="str">
        <f t="shared" si="416"/>
        <v>p.interoperar</v>
      </c>
      <c r="D1102" s="6" t="str">
        <f t="shared" si="419"/>
        <v>é.classe.ifc</v>
      </c>
      <c r="E1102" s="8" t="s">
        <v>28</v>
      </c>
      <c r="F1102" s="42" t="str">
        <f t="shared" si="450"/>
        <v>d.interoperar</v>
      </c>
      <c r="G1102" s="17" t="s">
        <v>633</v>
      </c>
      <c r="H1102" s="41" t="s">
        <v>2121</v>
      </c>
      <c r="I1102" s="16" t="str">
        <f t="shared" si="41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43"/>
        <v>Propriedade destinada a interoperar: é.classe.ifc</v>
      </c>
      <c r="V1102" s="5" t="str">
        <f t="shared" si="444"/>
        <v>Dado para interoperar:  classe.ifc  Deve ser formatado como (rdfs:Literal  or  xsd:string)</v>
      </c>
      <c r="W1102" s="5" t="s">
        <v>5873</v>
      </c>
      <c r="X1102" s="24" t="str">
        <f t="shared" si="445"/>
        <v>inter.110</v>
      </c>
      <c r="Y1102" s="24" t="str">
        <f t="shared" si="446"/>
        <v>Ação de interoperar</v>
      </c>
      <c r="Z1102" s="47" t="s">
        <v>2539</v>
      </c>
      <c r="AA1102" s="25" t="str">
        <f t="shared" si="447"/>
        <v>null</v>
      </c>
      <c r="AB1102" s="26" t="s">
        <v>0</v>
      </c>
      <c r="AC1102" s="25" t="str">
        <f t="shared" si="448"/>
        <v>null</v>
      </c>
      <c r="AD1102" s="26" t="s">
        <v>0</v>
      </c>
      <c r="AE1102" s="25" t="str">
        <f t="shared" si="417"/>
        <v>null</v>
      </c>
      <c r="AF1102" s="26" t="s">
        <v>0</v>
      </c>
      <c r="AG1102" s="47" t="s">
        <v>2922</v>
      </c>
    </row>
    <row r="1103" spans="1:33" ht="6.9" customHeight="1" x14ac:dyDescent="0.4">
      <c r="A1103" s="4">
        <f>ROW()</f>
        <v>1103</v>
      </c>
      <c r="B1103" s="9" t="s">
        <v>27</v>
      </c>
      <c r="C1103" s="55" t="str">
        <f t="shared" si="416"/>
        <v>p.interoperar</v>
      </c>
      <c r="D1103" s="6" t="str">
        <f t="shared" ref="D1103:D1166" si="462">_xlfn.CONCAT("é.",G1103)</f>
        <v>é.classe.ifc.relativa</v>
      </c>
      <c r="E1103" s="8" t="s">
        <v>28</v>
      </c>
      <c r="F1103" s="42" t="str">
        <f t="shared" si="450"/>
        <v>d.interoperar</v>
      </c>
      <c r="G1103" s="17" t="s">
        <v>2513</v>
      </c>
      <c r="H1103" s="41" t="s">
        <v>2121</v>
      </c>
      <c r="I1103" s="16" t="str">
        <f t="shared" si="41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43"/>
        <v>Propriedade destinada a interoperar: é.classe.ifc.relativa</v>
      </c>
      <c r="V1103" s="5" t="str">
        <f t="shared" si="444"/>
        <v>Dado para interoperar:  classe.ifc.relativa  Deve ser formatado como (rdfs:Literal  or  xsd:string)</v>
      </c>
      <c r="W1103" s="5" t="s">
        <v>5874</v>
      </c>
      <c r="X1103" s="24" t="str">
        <f t="shared" si="445"/>
        <v>inter.111</v>
      </c>
      <c r="Y1103" s="24" t="str">
        <f t="shared" si="446"/>
        <v>Ação de interoperar</v>
      </c>
      <c r="Z1103" s="47" t="s">
        <v>2540</v>
      </c>
      <c r="AA1103" s="25" t="str">
        <f t="shared" si="447"/>
        <v>null</v>
      </c>
      <c r="AB1103" s="26" t="s">
        <v>0</v>
      </c>
      <c r="AC1103" s="25" t="str">
        <f t="shared" si="448"/>
        <v>null</v>
      </c>
      <c r="AD1103" s="26" t="s">
        <v>0</v>
      </c>
      <c r="AE1103" s="25" t="str">
        <f t="shared" si="417"/>
        <v>null</v>
      </c>
      <c r="AF1103" s="26" t="s">
        <v>0</v>
      </c>
      <c r="AG1103" s="47" t="s">
        <v>2923</v>
      </c>
    </row>
    <row r="1104" spans="1:33" ht="6.9" customHeight="1" x14ac:dyDescent="0.4">
      <c r="A1104" s="4">
        <f>ROW()</f>
        <v>1104</v>
      </c>
      <c r="B1104" s="9" t="s">
        <v>27</v>
      </c>
      <c r="C1104" s="55" t="str">
        <f t="shared" si="416"/>
        <v>p.interoperar</v>
      </c>
      <c r="D1104" s="6" t="str">
        <f t="shared" si="462"/>
        <v>é.dado.ifc</v>
      </c>
      <c r="E1104" s="8" t="s">
        <v>28</v>
      </c>
      <c r="F1104" s="42" t="str">
        <f t="shared" si="450"/>
        <v>d.interoperar</v>
      </c>
      <c r="G1104" s="17" t="s">
        <v>2522</v>
      </c>
      <c r="H1104" s="41" t="s">
        <v>2121</v>
      </c>
      <c r="I1104" s="16" t="str">
        <f t="shared" si="41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43"/>
        <v>Propriedade destinada a interoperar: é.dado.ifc</v>
      </c>
      <c r="V1104" s="5" t="str">
        <f t="shared" si="444"/>
        <v>Dado para interoperar:  dado.ifc  Deve ser formatado como (rdfs:Literal  or  xsd:string)</v>
      </c>
      <c r="W1104" s="5" t="s">
        <v>5875</v>
      </c>
      <c r="X1104" s="24" t="str">
        <f t="shared" si="445"/>
        <v>inter.112</v>
      </c>
      <c r="Y1104" s="24" t="str">
        <f t="shared" si="446"/>
        <v>Ação de interoperar</v>
      </c>
      <c r="Z1104" s="47" t="s">
        <v>2551</v>
      </c>
      <c r="AA1104" s="25" t="str">
        <f t="shared" si="447"/>
        <v>null</v>
      </c>
      <c r="AB1104" s="26" t="s">
        <v>0</v>
      </c>
      <c r="AC1104" s="25" t="str">
        <f t="shared" si="448"/>
        <v>null</v>
      </c>
      <c r="AD1104" s="26" t="s">
        <v>0</v>
      </c>
      <c r="AE1104" s="25" t="str">
        <f t="shared" si="417"/>
        <v>null</v>
      </c>
      <c r="AF1104" s="26" t="s">
        <v>0</v>
      </c>
      <c r="AG1104" s="47" t="s">
        <v>2934</v>
      </c>
    </row>
    <row r="1105" spans="1:33" ht="6.9" customHeight="1" x14ac:dyDescent="0.4">
      <c r="A1105" s="4">
        <f>ROW()</f>
        <v>1105</v>
      </c>
      <c r="B1105" s="9" t="s">
        <v>27</v>
      </c>
      <c r="C1105" s="55" t="str">
        <f t="shared" si="416"/>
        <v>p.interoperar</v>
      </c>
      <c r="D1105" s="6" t="str">
        <f t="shared" si="462"/>
        <v>é.domínio</v>
      </c>
      <c r="E1105" s="8" t="s">
        <v>28</v>
      </c>
      <c r="F1105" s="42" t="str">
        <f t="shared" si="450"/>
        <v>d.interoperar</v>
      </c>
      <c r="G1105" s="18" t="s">
        <v>3338</v>
      </c>
      <c r="H1105" s="41" t="s">
        <v>2121</v>
      </c>
      <c r="I1105" s="16" t="str">
        <f t="shared" si="418"/>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43"/>
        <v>Propriedade destinada a interoperar: é.domínio</v>
      </c>
      <c r="V1105" s="5" t="str">
        <f t="shared" si="444"/>
        <v>Dado para interoperar:  domínio  Deve ser formatado como (rdfs:Literal  or  xsd:string)</v>
      </c>
      <c r="W1105" s="5" t="s">
        <v>5876</v>
      </c>
      <c r="X1105" s="24" t="str">
        <f t="shared" si="445"/>
        <v>inter.113</v>
      </c>
      <c r="Y1105" s="24" t="str">
        <f t="shared" si="446"/>
        <v>Ação de interoperar</v>
      </c>
      <c r="Z1105" s="47" t="s">
        <v>3339</v>
      </c>
      <c r="AA1105" s="25" t="str">
        <f t="shared" si="447"/>
        <v>null</v>
      </c>
      <c r="AB1105" s="26" t="s">
        <v>0</v>
      </c>
      <c r="AC1105" s="25" t="str">
        <f t="shared" si="448"/>
        <v>null</v>
      </c>
      <c r="AD1105" s="26" t="s">
        <v>0</v>
      </c>
      <c r="AE1105" s="25" t="str">
        <f t="shared" ref="AE1105:AE1231" si="463">IF(AF1105="null", "null", "propriedade")</f>
        <v>null</v>
      </c>
      <c r="AF1105" s="26" t="s">
        <v>0</v>
      </c>
      <c r="AG1105" s="47" t="s">
        <v>3340</v>
      </c>
    </row>
    <row r="1106" spans="1:33" ht="6.9" customHeight="1" x14ac:dyDescent="0.4">
      <c r="A1106" s="4">
        <f>ROW()</f>
        <v>1106</v>
      </c>
      <c r="B1106" s="9" t="s">
        <v>27</v>
      </c>
      <c r="C1106" s="55" t="str">
        <f t="shared" si="416"/>
        <v>p.interoperar</v>
      </c>
      <c r="D1106" s="6" t="str">
        <f t="shared" si="462"/>
        <v>é.entidade.cad</v>
      </c>
      <c r="E1106" s="8" t="s">
        <v>28</v>
      </c>
      <c r="F1106" s="42" t="str">
        <f t="shared" si="450"/>
        <v>d.interoperar</v>
      </c>
      <c r="G1106" s="18" t="s">
        <v>634</v>
      </c>
      <c r="H1106" s="41" t="s">
        <v>2121</v>
      </c>
      <c r="I1106" s="16" t="str">
        <f t="shared" si="418"/>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43"/>
        <v>Propriedade destinada a interoperar: é.entidade.cad</v>
      </c>
      <c r="V1106" s="5" t="str">
        <f t="shared" si="444"/>
        <v>Dado para interoperar:  entidade.cad  Deve ser formatado como (rdfs:Literal  or  xsd:string)</v>
      </c>
      <c r="W1106" s="5" t="s">
        <v>5877</v>
      </c>
      <c r="X1106" s="24" t="str">
        <f t="shared" si="445"/>
        <v>inter.114</v>
      </c>
      <c r="Y1106" s="24" t="str">
        <f t="shared" si="446"/>
        <v>Ação de interoperar</v>
      </c>
      <c r="Z1106" s="47" t="s">
        <v>1569</v>
      </c>
      <c r="AA1106" s="25" t="str">
        <f t="shared" si="447"/>
        <v>null</v>
      </c>
      <c r="AB1106" s="26" t="s">
        <v>0</v>
      </c>
      <c r="AC1106" s="25" t="str">
        <f t="shared" si="448"/>
        <v>null</v>
      </c>
      <c r="AD1106" s="26" t="s">
        <v>0</v>
      </c>
      <c r="AE1106" s="25" t="str">
        <f t="shared" si="463"/>
        <v>null</v>
      </c>
      <c r="AF1106" s="26" t="s">
        <v>0</v>
      </c>
      <c r="AG1106" s="47" t="s">
        <v>2935</v>
      </c>
    </row>
    <row r="1107" spans="1:33" ht="6.9" customHeight="1" x14ac:dyDescent="0.4">
      <c r="A1107" s="4">
        <f>ROW()</f>
        <v>1107</v>
      </c>
      <c r="B1107" s="9" t="s">
        <v>27</v>
      </c>
      <c r="C1107" s="55" t="str">
        <f t="shared" si="416"/>
        <v>p.interoperar</v>
      </c>
      <c r="D1107" s="6" t="str">
        <f t="shared" si="462"/>
        <v>é.entidade.ifc</v>
      </c>
      <c r="E1107" s="8" t="s">
        <v>28</v>
      </c>
      <c r="F1107" s="42" t="str">
        <f t="shared" si="450"/>
        <v>d.interoperar</v>
      </c>
      <c r="G1107" s="17" t="s">
        <v>2516</v>
      </c>
      <c r="H1107" s="41" t="s">
        <v>2121</v>
      </c>
      <c r="I1107" s="16" t="str">
        <f t="shared" si="41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43"/>
        <v>Propriedade destinada a interoperar: é.entidade.ifc</v>
      </c>
      <c r="V1107" s="5" t="str">
        <f t="shared" si="444"/>
        <v>Dado para interoperar:  entidade.ifc  Deve ser formatado como (rdfs:Literal  or  xsd:string)</v>
      </c>
      <c r="W1107" s="5" t="s">
        <v>5878</v>
      </c>
      <c r="X1107" s="24" t="str">
        <f t="shared" si="445"/>
        <v>inter.115</v>
      </c>
      <c r="Y1107" s="24" t="str">
        <f t="shared" si="446"/>
        <v>Ação de interoperar</v>
      </c>
      <c r="Z1107" s="47" t="s">
        <v>2542</v>
      </c>
      <c r="AA1107" s="25" t="str">
        <f t="shared" si="447"/>
        <v>null</v>
      </c>
      <c r="AB1107" s="26" t="s">
        <v>0</v>
      </c>
      <c r="AC1107" s="25" t="str">
        <f t="shared" si="448"/>
        <v>null</v>
      </c>
      <c r="AD1107" s="26" t="s">
        <v>0</v>
      </c>
      <c r="AE1107" s="25" t="str">
        <f t="shared" si="463"/>
        <v>null</v>
      </c>
      <c r="AF1107" s="26" t="s">
        <v>0</v>
      </c>
      <c r="AG1107" s="47" t="s">
        <v>2925</v>
      </c>
    </row>
    <row r="1108" spans="1:33" ht="6.9" customHeight="1" x14ac:dyDescent="0.4">
      <c r="A1108" s="4">
        <f>ROW()</f>
        <v>1108</v>
      </c>
      <c r="B1108" s="9" t="s">
        <v>27</v>
      </c>
      <c r="C1108" s="55" t="str">
        <f t="shared" ref="C1108:C1234" si="464">SUBSTITUTE(F1108,"d.","p.")</f>
        <v>p.interoperar</v>
      </c>
      <c r="D1108" s="6" t="str">
        <f t="shared" si="462"/>
        <v>é.enumeração.ifc</v>
      </c>
      <c r="E1108" s="8" t="s">
        <v>28</v>
      </c>
      <c r="F1108" s="42" t="str">
        <f t="shared" si="450"/>
        <v>d.interoperar</v>
      </c>
      <c r="G1108" s="17" t="s">
        <v>2517</v>
      </c>
      <c r="H1108" s="41" t="s">
        <v>2121</v>
      </c>
      <c r="I1108" s="16" t="str">
        <f t="shared" si="41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43"/>
        <v>Propriedade destinada a interoperar: é.enumeração.ifc</v>
      </c>
      <c r="V1108" s="5" t="str">
        <f t="shared" si="444"/>
        <v>Dado para interoperar:  enumeração.ifc  Deve ser formatado como (rdfs:Literal  or  xsd:string)</v>
      </c>
      <c r="W1108" s="5" t="s">
        <v>5879</v>
      </c>
      <c r="X1108" s="24" t="str">
        <f t="shared" si="445"/>
        <v>inter.116</v>
      </c>
      <c r="Y1108" s="24" t="str">
        <f t="shared" si="446"/>
        <v>Ação de interoperar</v>
      </c>
      <c r="Z1108" s="47" t="s">
        <v>2543</v>
      </c>
      <c r="AA1108" s="25" t="str">
        <f t="shared" si="447"/>
        <v>null</v>
      </c>
      <c r="AB1108" s="26" t="s">
        <v>0</v>
      </c>
      <c r="AC1108" s="25" t="str">
        <f t="shared" si="448"/>
        <v>null</v>
      </c>
      <c r="AD1108" s="26" t="s">
        <v>0</v>
      </c>
      <c r="AE1108" s="25" t="str">
        <f t="shared" si="463"/>
        <v>null</v>
      </c>
      <c r="AF1108" s="26" t="s">
        <v>0</v>
      </c>
      <c r="AG1108" s="47" t="s">
        <v>2926</v>
      </c>
    </row>
    <row r="1109" spans="1:33" ht="6.9" customHeight="1" x14ac:dyDescent="0.4">
      <c r="A1109" s="4">
        <f>ROW()</f>
        <v>1109</v>
      </c>
      <c r="B1109" s="9" t="s">
        <v>27</v>
      </c>
      <c r="C1109" s="55" t="str">
        <f t="shared" si="464"/>
        <v>p.interoperar</v>
      </c>
      <c r="D1109" s="6" t="str">
        <f t="shared" si="462"/>
        <v>é.função.ifc</v>
      </c>
      <c r="E1109" s="8" t="s">
        <v>28</v>
      </c>
      <c r="F1109" s="42" t="str">
        <f t="shared" si="450"/>
        <v>d.interoperar</v>
      </c>
      <c r="G1109" s="17" t="s">
        <v>2520</v>
      </c>
      <c r="H1109" s="41" t="s">
        <v>2121</v>
      </c>
      <c r="I1109" s="16" t="str">
        <f t="shared" si="41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43"/>
        <v>Propriedade destinada a interoperar: é.função.ifc</v>
      </c>
      <c r="V1109" s="5" t="str">
        <f t="shared" si="444"/>
        <v>Dado para interoperar:  função.ifc  Deve ser formatado como (rdfs:Literal  or  xsd:string)</v>
      </c>
      <c r="W1109" s="5" t="s">
        <v>5880</v>
      </c>
      <c r="X1109" s="24" t="str">
        <f t="shared" si="445"/>
        <v>inter.117</v>
      </c>
      <c r="Y1109" s="24" t="str">
        <f t="shared" si="446"/>
        <v>Ação de interoperar</v>
      </c>
      <c r="Z1109" s="47" t="s">
        <v>2546</v>
      </c>
      <c r="AA1109" s="25" t="str">
        <f t="shared" si="447"/>
        <v>null</v>
      </c>
      <c r="AB1109" s="26" t="s">
        <v>0</v>
      </c>
      <c r="AC1109" s="25" t="str">
        <f t="shared" si="448"/>
        <v>null</v>
      </c>
      <c r="AD1109" s="26" t="s">
        <v>0</v>
      </c>
      <c r="AE1109" s="25" t="str">
        <f t="shared" si="463"/>
        <v>null</v>
      </c>
      <c r="AF1109" s="26" t="s">
        <v>0</v>
      </c>
      <c r="AG1109" s="47" t="s">
        <v>2929</v>
      </c>
    </row>
    <row r="1110" spans="1:33" ht="6.9" customHeight="1" x14ac:dyDescent="0.4">
      <c r="A1110" s="4">
        <f>ROW()</f>
        <v>1110</v>
      </c>
      <c r="B1110" s="9" t="s">
        <v>27</v>
      </c>
      <c r="C1110" s="55" t="str">
        <f t="shared" si="464"/>
        <v>p.interoperar</v>
      </c>
      <c r="D1110" s="6" t="str">
        <f t="shared" si="462"/>
        <v>é.link.ifc</v>
      </c>
      <c r="E1110" s="8" t="s">
        <v>28</v>
      </c>
      <c r="F1110" s="42" t="str">
        <f t="shared" si="450"/>
        <v>d.interoperar</v>
      </c>
      <c r="G1110" s="17" t="s">
        <v>2512</v>
      </c>
      <c r="H1110" s="41" t="s">
        <v>2121</v>
      </c>
      <c r="I1110" s="16" t="str">
        <f t="shared" si="41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43"/>
        <v>Propriedade destinada a interoperar: é.link.ifc</v>
      </c>
      <c r="V1110" s="5" t="str">
        <f t="shared" si="444"/>
        <v>Dado para interoperar:  link.ifc  Deve ser formatado como (rdfs:Literal  or  xsd:string)</v>
      </c>
      <c r="W1110" s="5" t="s">
        <v>5881</v>
      </c>
      <c r="X1110" s="24" t="str">
        <f t="shared" si="445"/>
        <v>inter.118</v>
      </c>
      <c r="Y1110" s="24" t="str">
        <f t="shared" si="446"/>
        <v>Ação de interoperar</v>
      </c>
      <c r="Z1110" s="47" t="s">
        <v>2550</v>
      </c>
      <c r="AA1110" s="25" t="str">
        <f t="shared" si="447"/>
        <v>null</v>
      </c>
      <c r="AB1110" s="26" t="s">
        <v>0</v>
      </c>
      <c r="AC1110" s="25" t="str">
        <f t="shared" si="448"/>
        <v>null</v>
      </c>
      <c r="AD1110" s="26" t="s">
        <v>0</v>
      </c>
      <c r="AE1110" s="25" t="str">
        <f t="shared" si="463"/>
        <v>null</v>
      </c>
      <c r="AF1110" s="26" t="s">
        <v>0</v>
      </c>
      <c r="AG1110" s="47" t="s">
        <v>2933</v>
      </c>
    </row>
    <row r="1111" spans="1:33" ht="6.9" customHeight="1" x14ac:dyDescent="0.4">
      <c r="A1111" s="4">
        <f>ROW()</f>
        <v>1111</v>
      </c>
      <c r="B1111" s="9" t="s">
        <v>27</v>
      </c>
      <c r="C1111" s="55" t="str">
        <f t="shared" si="464"/>
        <v>p.interoperar</v>
      </c>
      <c r="D1111" s="6" t="str">
        <f t="shared" si="462"/>
        <v>é.propriedade.ifc</v>
      </c>
      <c r="E1111" s="8" t="s">
        <v>28</v>
      </c>
      <c r="F1111" s="42" t="str">
        <f t="shared" si="450"/>
        <v>d.interoperar</v>
      </c>
      <c r="G1111" s="17" t="s">
        <v>2510</v>
      </c>
      <c r="H1111" s="41" t="s">
        <v>2121</v>
      </c>
      <c r="I1111" s="16" t="str">
        <f t="shared" si="41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43"/>
        <v>Propriedade destinada a interoperar: é.propriedade.ifc</v>
      </c>
      <c r="V1111" s="5" t="str">
        <f t="shared" si="444"/>
        <v>Dado para interoperar:  propriedade.ifc  Deve ser formatado como (rdfs:Literal  or  xsd:string)</v>
      </c>
      <c r="W1111" s="5" t="s">
        <v>5882</v>
      </c>
      <c r="X1111" s="24" t="str">
        <f t="shared" si="445"/>
        <v>inter.119</v>
      </c>
      <c r="Y1111" s="24" t="str">
        <f t="shared" si="446"/>
        <v>Ação de interoperar</v>
      </c>
      <c r="Z1111" s="47" t="s">
        <v>2541</v>
      </c>
      <c r="AA1111" s="25" t="str">
        <f t="shared" si="447"/>
        <v>null</v>
      </c>
      <c r="AB1111" s="26" t="s">
        <v>0</v>
      </c>
      <c r="AC1111" s="25" t="str">
        <f t="shared" si="448"/>
        <v>null</v>
      </c>
      <c r="AD1111" s="26" t="s">
        <v>0</v>
      </c>
      <c r="AE1111" s="25" t="str">
        <f t="shared" si="463"/>
        <v>propriedade</v>
      </c>
      <c r="AF1111" s="26" t="s">
        <v>2458</v>
      </c>
      <c r="AG1111" s="47" t="s">
        <v>2924</v>
      </c>
    </row>
    <row r="1112" spans="1:33" ht="6.9" customHeight="1" x14ac:dyDescent="0.4">
      <c r="A1112" s="4">
        <f>ROW()</f>
        <v>1112</v>
      </c>
      <c r="B1112" s="9" t="s">
        <v>27</v>
      </c>
      <c r="C1112" s="55" t="str">
        <f t="shared" si="464"/>
        <v>p.interoperar</v>
      </c>
      <c r="D1112" s="6" t="str">
        <f t="shared" si="462"/>
        <v>é.pset.ifc</v>
      </c>
      <c r="E1112" s="8" t="s">
        <v>28</v>
      </c>
      <c r="F1112" s="42" t="str">
        <f t="shared" si="450"/>
        <v>d.interoperar</v>
      </c>
      <c r="G1112" s="17" t="s">
        <v>2511</v>
      </c>
      <c r="H1112" s="41" t="s">
        <v>2121</v>
      </c>
      <c r="I1112" s="16" t="str">
        <f t="shared" si="41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43"/>
        <v>Propriedade destinada a interoperar: é.pset.ifc</v>
      </c>
      <c r="V1112" s="5" t="str">
        <f t="shared" si="444"/>
        <v>Dado para interoperar:  pset.ifc  Deve ser formatado como (rdfs:Literal  or  xsd:string)</v>
      </c>
      <c r="W1112" s="5" t="s">
        <v>5883</v>
      </c>
      <c r="X1112" s="24" t="str">
        <f t="shared" si="445"/>
        <v>inter.120</v>
      </c>
      <c r="Y1112" s="24" t="str">
        <f t="shared" si="446"/>
        <v>Ação de interoperar</v>
      </c>
      <c r="Z1112" s="47" t="s">
        <v>2549</v>
      </c>
      <c r="AA1112" s="25" t="str">
        <f t="shared" si="447"/>
        <v>null</v>
      </c>
      <c r="AB1112" s="26" t="s">
        <v>0</v>
      </c>
      <c r="AC1112" s="25" t="str">
        <f t="shared" si="448"/>
        <v>null</v>
      </c>
      <c r="AD1112" s="26" t="s">
        <v>0</v>
      </c>
      <c r="AE1112" s="25" t="str">
        <f t="shared" si="463"/>
        <v>null</v>
      </c>
      <c r="AF1112" s="26" t="s">
        <v>0</v>
      </c>
      <c r="AG1112" s="47" t="s">
        <v>2932</v>
      </c>
    </row>
    <row r="1113" spans="1:33" ht="6.9" customHeight="1" x14ac:dyDescent="0.4">
      <c r="A1113" s="4">
        <f>ROW()</f>
        <v>1113</v>
      </c>
      <c r="B1113" s="9" t="s">
        <v>27</v>
      </c>
      <c r="C1113" s="55" t="str">
        <f t="shared" si="464"/>
        <v>p.interoperar</v>
      </c>
      <c r="D1113" s="6" t="str">
        <f t="shared" si="462"/>
        <v>é.qto.ifc</v>
      </c>
      <c r="E1113" s="8" t="s">
        <v>28</v>
      </c>
      <c r="F1113" s="42" t="str">
        <f t="shared" si="450"/>
        <v>d.interoperar</v>
      </c>
      <c r="G1113" s="17" t="s">
        <v>2521</v>
      </c>
      <c r="H1113" s="41" t="s">
        <v>2121</v>
      </c>
      <c r="I1113" s="16" t="str">
        <f t="shared" si="41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43"/>
        <v>Propriedade destinada a interoperar: é.qto.ifc</v>
      </c>
      <c r="V1113" s="5" t="str">
        <f t="shared" si="444"/>
        <v>Dado para interoperar:  qto.ifc  Deve ser formatado como (rdfs:Literal  or  xsd:string)</v>
      </c>
      <c r="W1113" s="5" t="s">
        <v>5884</v>
      </c>
      <c r="X1113" s="24" t="str">
        <f t="shared" si="445"/>
        <v>inter.121</v>
      </c>
      <c r="Y1113" s="24" t="str">
        <f t="shared" si="446"/>
        <v>Ação de interoperar</v>
      </c>
      <c r="Z1113" s="47" t="s">
        <v>2548</v>
      </c>
      <c r="AA1113" s="25" t="str">
        <f t="shared" si="447"/>
        <v>null</v>
      </c>
      <c r="AB1113" s="26" t="s">
        <v>0</v>
      </c>
      <c r="AC1113" s="25" t="str">
        <f t="shared" si="448"/>
        <v>null</v>
      </c>
      <c r="AD1113" s="26" t="s">
        <v>0</v>
      </c>
      <c r="AE1113" s="25" t="str">
        <f t="shared" si="463"/>
        <v>null</v>
      </c>
      <c r="AF1113" s="26" t="s">
        <v>0</v>
      </c>
      <c r="AG1113" s="47" t="s">
        <v>2931</v>
      </c>
    </row>
    <row r="1114" spans="1:33" ht="6.9" customHeight="1" x14ac:dyDescent="0.4">
      <c r="A1114" s="4">
        <f>ROW()</f>
        <v>1114</v>
      </c>
      <c r="B1114" s="9" t="s">
        <v>27</v>
      </c>
      <c r="C1114" s="55" t="str">
        <f t="shared" si="464"/>
        <v>p.interoperar</v>
      </c>
      <c r="D1114" s="6" t="str">
        <f t="shared" si="462"/>
        <v>é.regra.ifc</v>
      </c>
      <c r="E1114" s="8" t="s">
        <v>28</v>
      </c>
      <c r="F1114" s="42" t="str">
        <f t="shared" si="450"/>
        <v>d.interoperar</v>
      </c>
      <c r="G1114" s="17" t="s">
        <v>2519</v>
      </c>
      <c r="H1114" s="41" t="s">
        <v>2121</v>
      </c>
      <c r="I1114" s="16" t="str">
        <f t="shared" si="41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43"/>
        <v>Propriedade destinada a interoperar: é.regra.ifc</v>
      </c>
      <c r="V1114" s="5" t="str">
        <f t="shared" si="444"/>
        <v>Dado para interoperar:  regra.ifc  Deve ser formatado como (rdfs:Literal  or  xsd:string)</v>
      </c>
      <c r="W1114" s="5" t="s">
        <v>5885</v>
      </c>
      <c r="X1114" s="24" t="str">
        <f t="shared" si="445"/>
        <v>inter.122</v>
      </c>
      <c r="Y1114" s="24" t="str">
        <f t="shared" si="446"/>
        <v>Ação de interoperar</v>
      </c>
      <c r="Z1114" s="47" t="s">
        <v>2544</v>
      </c>
      <c r="AA1114" s="25" t="str">
        <f t="shared" si="447"/>
        <v>null</v>
      </c>
      <c r="AB1114" s="26" t="s">
        <v>0</v>
      </c>
      <c r="AC1114" s="25" t="str">
        <f t="shared" si="448"/>
        <v>null</v>
      </c>
      <c r="AD1114" s="26" t="s">
        <v>0</v>
      </c>
      <c r="AE1114" s="25" t="str">
        <f t="shared" si="463"/>
        <v>null</v>
      </c>
      <c r="AF1114" s="26" t="s">
        <v>0</v>
      </c>
      <c r="AG1114" s="47" t="s">
        <v>2927</v>
      </c>
    </row>
    <row r="1115" spans="1:33" ht="6.9" customHeight="1" x14ac:dyDescent="0.4">
      <c r="A1115" s="4">
        <f>ROW()</f>
        <v>1115</v>
      </c>
      <c r="B1115" s="9" t="s">
        <v>27</v>
      </c>
      <c r="C1115" s="55" t="str">
        <f t="shared" si="464"/>
        <v>p.interoperar</v>
      </c>
      <c r="D1115" s="6" t="str">
        <f t="shared" si="462"/>
        <v>é.seleção.ifc</v>
      </c>
      <c r="E1115" s="8" t="s">
        <v>28</v>
      </c>
      <c r="F1115" s="42" t="str">
        <f t="shared" si="450"/>
        <v>d.interoperar</v>
      </c>
      <c r="G1115" s="17" t="s">
        <v>2523</v>
      </c>
      <c r="H1115" s="41" t="s">
        <v>2121</v>
      </c>
      <c r="I1115" s="16" t="str">
        <f t="shared" si="41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43"/>
        <v>Propriedade destinada a interoperar: é.seleção.ifc</v>
      </c>
      <c r="V1115" s="5" t="str">
        <f t="shared" si="444"/>
        <v>Dado para interoperar:  seleção.ifc  Deve ser formatado como (rdfs:Literal  or  xsd:string)</v>
      </c>
      <c r="W1115" s="5" t="s">
        <v>5886</v>
      </c>
      <c r="X1115" s="24" t="str">
        <f t="shared" si="445"/>
        <v>inter.123</v>
      </c>
      <c r="Y1115" s="24" t="str">
        <f t="shared" si="446"/>
        <v>Ação de interoperar</v>
      </c>
      <c r="Z1115" s="47" t="s">
        <v>2547</v>
      </c>
      <c r="AA1115" s="25" t="str">
        <f t="shared" si="447"/>
        <v>null</v>
      </c>
      <c r="AB1115" s="26" t="s">
        <v>0</v>
      </c>
      <c r="AC1115" s="25" t="str">
        <f t="shared" si="448"/>
        <v>null</v>
      </c>
      <c r="AD1115" s="26" t="s">
        <v>0</v>
      </c>
      <c r="AE1115" s="25" t="str">
        <f t="shared" si="463"/>
        <v>null</v>
      </c>
      <c r="AF1115" s="26" t="s">
        <v>0</v>
      </c>
      <c r="AG1115" s="47" t="s">
        <v>2930</v>
      </c>
    </row>
    <row r="1116" spans="1:33" ht="6.9" customHeight="1" x14ac:dyDescent="0.4">
      <c r="A1116" s="4">
        <f>ROW()</f>
        <v>1116</v>
      </c>
      <c r="B1116" s="9" t="s">
        <v>27</v>
      </c>
      <c r="C1116" s="55" t="str">
        <f t="shared" si="464"/>
        <v>p.interoperar</v>
      </c>
      <c r="D1116" s="6" t="str">
        <f t="shared" si="462"/>
        <v>é.tipo.ifc</v>
      </c>
      <c r="E1116" s="8" t="s">
        <v>28</v>
      </c>
      <c r="F1116" s="42" t="str">
        <f t="shared" si="450"/>
        <v>d.interoperar</v>
      </c>
      <c r="G1116" s="17" t="s">
        <v>2518</v>
      </c>
      <c r="H1116" s="41" t="s">
        <v>2121</v>
      </c>
      <c r="I1116" s="16" t="str">
        <f t="shared" ref="I1116:I1242" si="465">J1116</f>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43"/>
        <v>Propriedade destinada a interoperar: é.tipo.ifc</v>
      </c>
      <c r="V1116" s="5" t="str">
        <f t="shared" si="444"/>
        <v>Dado para interoperar:  tipo.ifc  Deve ser formatado como (rdfs:Literal  or  xsd:string)</v>
      </c>
      <c r="W1116" s="5" t="s">
        <v>5887</v>
      </c>
      <c r="X1116" s="24" t="str">
        <f t="shared" si="445"/>
        <v>inter.124</v>
      </c>
      <c r="Y1116" s="24" t="str">
        <f t="shared" si="446"/>
        <v>Ação de interoperar</v>
      </c>
      <c r="Z1116" s="47" t="s">
        <v>2545</v>
      </c>
      <c r="AA1116" s="25" t="str">
        <f t="shared" si="447"/>
        <v>null</v>
      </c>
      <c r="AB1116" s="26" t="s">
        <v>0</v>
      </c>
      <c r="AC1116" s="25" t="str">
        <f t="shared" si="448"/>
        <v>null</v>
      </c>
      <c r="AD1116" s="26" t="s">
        <v>0</v>
      </c>
      <c r="AE1116" s="25" t="str">
        <f t="shared" si="463"/>
        <v>null</v>
      </c>
      <c r="AF1116" s="26" t="s">
        <v>0</v>
      </c>
      <c r="AG1116" s="47" t="s">
        <v>2928</v>
      </c>
    </row>
    <row r="1117" spans="1:33" ht="6.9" customHeight="1" x14ac:dyDescent="0.4">
      <c r="A1117" s="4">
        <f>ROW()</f>
        <v>1117</v>
      </c>
      <c r="B1117" s="9" t="s">
        <v>27</v>
      </c>
      <c r="C1117" s="55" t="str">
        <f t="shared" si="464"/>
        <v>p.interoperar</v>
      </c>
      <c r="D1117" s="6" t="str">
        <f t="shared" si="462"/>
        <v>é.identificador.ifc</v>
      </c>
      <c r="E1117" s="8" t="s">
        <v>28</v>
      </c>
      <c r="F1117" s="42" t="str">
        <f t="shared" si="450"/>
        <v>d.interoperar</v>
      </c>
      <c r="G1117" s="17" t="s">
        <v>4508</v>
      </c>
      <c r="H1117" s="42" t="s">
        <v>2121</v>
      </c>
      <c r="I1117" s="16" t="str">
        <f t="shared" si="46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43"/>
        <v>Propriedade destinada a interoperar: é.identificador.ifc</v>
      </c>
      <c r="V1117" s="5" t="str">
        <f t="shared" si="444"/>
        <v>Dado para interoperar:  identificador.ifc  Deve ser formatado como (rdfs:Literal  or  xsd:string)</v>
      </c>
      <c r="W1117" s="5" t="s">
        <v>5888</v>
      </c>
      <c r="X1117" s="24" t="str">
        <f t="shared" si="445"/>
        <v>inter.125</v>
      </c>
      <c r="Y1117" s="24" t="str">
        <f t="shared" si="446"/>
        <v>Ação de interoperar</v>
      </c>
      <c r="Z1117" s="47" t="s">
        <v>4122</v>
      </c>
      <c r="AA1117" s="25" t="str">
        <f t="shared" ref="AA1117" si="466">IF(AB1117="null", "null", "categoria.revit")</f>
        <v>categoria.revit</v>
      </c>
      <c r="AB1117" s="26" t="s">
        <v>3507</v>
      </c>
      <c r="AC1117" s="25" t="str">
        <f t="shared" ref="AC1117" si="467">IF(AD1117="null", "null", "classe.ifc")</f>
        <v>classe.ifc</v>
      </c>
      <c r="AD1117" s="26" t="s">
        <v>3457</v>
      </c>
      <c r="AE1117" s="25" t="str">
        <f t="shared" si="463"/>
        <v>null</v>
      </c>
      <c r="AF1117" s="26" t="s">
        <v>0</v>
      </c>
      <c r="AG1117" s="47" t="s">
        <v>4121</v>
      </c>
    </row>
    <row r="1118" spans="1:33" ht="6.9" customHeight="1" x14ac:dyDescent="0.4">
      <c r="A1118" s="4">
        <f>ROW()</f>
        <v>1118</v>
      </c>
      <c r="B1118" s="9" t="s">
        <v>27</v>
      </c>
      <c r="C1118" s="55" t="str">
        <f t="shared" si="464"/>
        <v>p.interoperar</v>
      </c>
      <c r="D1118" s="6" t="str">
        <f t="shared" si="462"/>
        <v>é.tradução.ifc</v>
      </c>
      <c r="E1118" s="8" t="s">
        <v>28</v>
      </c>
      <c r="F1118" s="42" t="str">
        <f t="shared" si="450"/>
        <v>d.interoperar</v>
      </c>
      <c r="G1118" s="18" t="s">
        <v>3345</v>
      </c>
      <c r="H1118" s="41" t="s">
        <v>2121</v>
      </c>
      <c r="I1118" s="16" t="str">
        <f t="shared" si="465"/>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43"/>
        <v>Propriedade destinada a interoperar: é.tradução.ifc</v>
      </c>
      <c r="V1118" s="5" t="str">
        <f t="shared" si="444"/>
        <v>Dado para interoperar:  tradução.ifc  Deve ser formatado como (rdfs:Literal  or  xsd:string)</v>
      </c>
      <c r="W1118" s="5" t="s">
        <v>5889</v>
      </c>
      <c r="X1118" s="24" t="str">
        <f t="shared" si="445"/>
        <v>inter.126</v>
      </c>
      <c r="Y1118" s="24" t="str">
        <f t="shared" si="446"/>
        <v>Ação de interoperar</v>
      </c>
      <c r="Z1118" s="47" t="s">
        <v>3346</v>
      </c>
      <c r="AA1118" s="25" t="str">
        <f t="shared" si="447"/>
        <v>null</v>
      </c>
      <c r="AB1118" s="26" t="s">
        <v>0</v>
      </c>
      <c r="AC1118" s="25" t="str">
        <f t="shared" si="448"/>
        <v>null</v>
      </c>
      <c r="AD1118" s="26" t="s">
        <v>0</v>
      </c>
      <c r="AE1118" s="25" t="str">
        <f t="shared" si="463"/>
        <v>null</v>
      </c>
      <c r="AF1118" s="26" t="s">
        <v>0</v>
      </c>
      <c r="AG1118" s="47" t="s">
        <v>3347</v>
      </c>
    </row>
    <row r="1119" spans="1:33" s="72" customFormat="1" ht="6.9" customHeight="1" x14ac:dyDescent="0.35">
      <c r="A1119" s="4">
        <f>ROW()</f>
        <v>1119</v>
      </c>
      <c r="B1119" s="9" t="s">
        <v>27</v>
      </c>
      <c r="C1119" s="54" t="str">
        <f t="shared" si="464"/>
        <v>p.investigar</v>
      </c>
      <c r="D1119" s="6" t="str">
        <f t="shared" si="462"/>
        <v>é.ambiental.água</v>
      </c>
      <c r="E1119" s="8" t="s">
        <v>28</v>
      </c>
      <c r="F1119" s="51" t="s">
        <v>7763</v>
      </c>
      <c r="G1119" s="42" t="s">
        <v>7877</v>
      </c>
      <c r="H1119" s="41" t="s">
        <v>2121</v>
      </c>
      <c r="I1119" s="16" t="str">
        <f t="shared" ref="I1119:I1153" si="468">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43"/>
        <v>Propriedade destinada a investigar: é.ambiental.água</v>
      </c>
      <c r="V1119" s="5" t="str">
        <f t="shared" si="444"/>
        <v>Dado para investigar:  ambiental.água  Deve ser formatado como (rdfs:Literal  or  xsd:string)</v>
      </c>
      <c r="W1119" s="75" t="s">
        <v>7935</v>
      </c>
      <c r="X1119" s="24" t="str">
        <f t="shared" si="445"/>
        <v>inves.100</v>
      </c>
      <c r="Y1119" s="24" t="str">
        <f t="shared" si="446"/>
        <v>Ação de investigar</v>
      </c>
      <c r="Z1119" s="77" t="s">
        <v>8015</v>
      </c>
      <c r="AA1119" s="25" t="str">
        <f t="shared" ref="AA1119:AA1153" si="469">IF(AB1119="null", "null", "categoria.revit")</f>
        <v>categoria.revit</v>
      </c>
      <c r="AB1119" s="73" t="s">
        <v>7824</v>
      </c>
      <c r="AC1119" s="25" t="str">
        <f t="shared" ref="AC1119:AC1153" si="470">IF(AD1119="null", "null", "classe.ifc")</f>
        <v>classe.ifc</v>
      </c>
      <c r="AD1119" s="74" t="s">
        <v>3469</v>
      </c>
      <c r="AE1119" s="25" t="str">
        <f t="shared" ref="AE1119:AE1153" si="471">IF(AF1119="null", "null", "propriedade")</f>
        <v>propriedade</v>
      </c>
      <c r="AF1119" s="26" t="s">
        <v>7796</v>
      </c>
      <c r="AG1119" s="47" t="s">
        <v>8106</v>
      </c>
    </row>
    <row r="1120" spans="1:33" s="72" customFormat="1" ht="6.9" customHeight="1" x14ac:dyDescent="0.35">
      <c r="A1120" s="4">
        <f>ROW()</f>
        <v>1120</v>
      </c>
      <c r="B1120" s="9" t="s">
        <v>27</v>
      </c>
      <c r="C1120" s="55" t="str">
        <f t="shared" ref="C1120:C1154" si="472">SUBSTITUTE(F1120,"d.","p.")</f>
        <v>p.investigar</v>
      </c>
      <c r="D1120" s="6" t="str">
        <f t="shared" si="462"/>
        <v>é.ambiental.meio.ambiente</v>
      </c>
      <c r="E1120" s="8" t="s">
        <v>28</v>
      </c>
      <c r="F1120" s="42" t="str">
        <f t="shared" ref="F1120:F1154" si="473">F1119</f>
        <v>d.investigar</v>
      </c>
      <c r="G1120" s="42" t="s">
        <v>7887</v>
      </c>
      <c r="H1120" s="41" t="s">
        <v>2121</v>
      </c>
      <c r="I1120" s="16" t="str">
        <f t="shared" si="468"/>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43"/>
        <v>Propriedade destinada a investigar: é.ambiental.meio.ambiente</v>
      </c>
      <c r="V1120" s="5" t="str">
        <f t="shared" si="444"/>
        <v>Dado para investigar:  ambiental.meio.ambiente  Deve ser formatado como (rdfs:Literal  or  xsd:string)</v>
      </c>
      <c r="W1120" s="75" t="s">
        <v>7936</v>
      </c>
      <c r="X1120" s="24" t="str">
        <f t="shared" si="445"/>
        <v>inves.101</v>
      </c>
      <c r="Y1120" s="24" t="str">
        <f t="shared" si="446"/>
        <v>Ação de investigar</v>
      </c>
      <c r="Z1120" s="77" t="s">
        <v>8016</v>
      </c>
      <c r="AA1120" s="25" t="str">
        <f t="shared" si="469"/>
        <v>categoria.revit</v>
      </c>
      <c r="AB1120" s="73" t="s">
        <v>7824</v>
      </c>
      <c r="AC1120" s="25" t="str">
        <f t="shared" si="470"/>
        <v>classe.ifc</v>
      </c>
      <c r="AD1120" s="74" t="s">
        <v>3469</v>
      </c>
      <c r="AE1120" s="25" t="str">
        <f t="shared" si="471"/>
        <v>propriedade</v>
      </c>
      <c r="AF1120" s="26" t="s">
        <v>7815</v>
      </c>
      <c r="AG1120" s="47" t="s">
        <v>8107</v>
      </c>
    </row>
    <row r="1121" spans="1:33" s="72" customFormat="1" ht="6.9" customHeight="1" x14ac:dyDescent="0.35">
      <c r="A1121" s="4">
        <f>ROW()</f>
        <v>1121</v>
      </c>
      <c r="B1121" s="9" t="s">
        <v>27</v>
      </c>
      <c r="C1121" s="55" t="str">
        <f t="shared" si="472"/>
        <v>p.investigar</v>
      </c>
      <c r="D1121" s="6" t="str">
        <f t="shared" si="462"/>
        <v>é.ambiental.terra</v>
      </c>
      <c r="E1121" s="8" t="s">
        <v>28</v>
      </c>
      <c r="F1121" s="42" t="str">
        <f t="shared" si="473"/>
        <v>d.investigar</v>
      </c>
      <c r="G1121" s="42" t="s">
        <v>7878</v>
      </c>
      <c r="H1121" s="41" t="s">
        <v>2121</v>
      </c>
      <c r="I1121" s="16" t="str">
        <f t="shared" si="468"/>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443"/>
        <v>Propriedade destinada a investigar: é.ambiental.terra</v>
      </c>
      <c r="V1121" s="5" t="str">
        <f t="shared" si="444"/>
        <v>Dado para investigar:  ambiental.terra  Deve ser formatado como (rdfs:Literal  or  xsd:string)</v>
      </c>
      <c r="W1121" s="75" t="s">
        <v>7937</v>
      </c>
      <c r="X1121" s="24" t="str">
        <f t="shared" si="445"/>
        <v>inves.102</v>
      </c>
      <c r="Y1121" s="24" t="str">
        <f t="shared" si="446"/>
        <v>Ação de investigar</v>
      </c>
      <c r="Z1121" s="77" t="s">
        <v>8017</v>
      </c>
      <c r="AA1121" s="25" t="str">
        <f t="shared" si="469"/>
        <v>categoria.revit</v>
      </c>
      <c r="AB1121" s="73" t="s">
        <v>7824</v>
      </c>
      <c r="AC1121" s="25" t="str">
        <f t="shared" si="470"/>
        <v>classe.ifc</v>
      </c>
      <c r="AD1121" s="74" t="s">
        <v>3469</v>
      </c>
      <c r="AE1121" s="25" t="str">
        <f t="shared" si="471"/>
        <v>propriedade</v>
      </c>
      <c r="AF1121" s="26" t="s">
        <v>7817</v>
      </c>
      <c r="AG1121" s="47" t="s">
        <v>8108</v>
      </c>
    </row>
    <row r="1122" spans="1:33" s="72" customFormat="1" ht="6.9" customHeight="1" x14ac:dyDescent="0.35">
      <c r="A1122" s="4">
        <f>ROW()</f>
        <v>1122</v>
      </c>
      <c r="B1122" s="9" t="s">
        <v>27</v>
      </c>
      <c r="C1122" s="55" t="str">
        <f t="shared" si="472"/>
        <v>p.investigar</v>
      </c>
      <c r="D1122" s="6" t="str">
        <f t="shared" si="462"/>
        <v>é.apoio.laboratorial</v>
      </c>
      <c r="E1122" s="8" t="s">
        <v>28</v>
      </c>
      <c r="F1122" s="42" t="str">
        <f t="shared" si="473"/>
        <v>d.investigar</v>
      </c>
      <c r="G1122" s="42" t="s">
        <v>7825</v>
      </c>
      <c r="H1122" s="41" t="s">
        <v>2121</v>
      </c>
      <c r="I1122" s="16" t="str">
        <f t="shared" si="468"/>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43"/>
        <v>Propriedade destinada a investigar: é.apoio.laboratorial</v>
      </c>
      <c r="V1122" s="5" t="str">
        <f t="shared" si="444"/>
        <v>Dado para investigar:  apoio.laboratorial  Deve ser formatado como (rdfs:Literal  or  xsd:string)</v>
      </c>
      <c r="W1122" s="75" t="s">
        <v>7945</v>
      </c>
      <c r="X1122" s="24" t="str">
        <f t="shared" si="445"/>
        <v>inves.103</v>
      </c>
      <c r="Y1122" s="24" t="str">
        <f t="shared" si="446"/>
        <v>Ação de investigar</v>
      </c>
      <c r="Z1122" s="77" t="s">
        <v>8018</v>
      </c>
      <c r="AA1122" s="25" t="str">
        <f t="shared" si="469"/>
        <v>categoria.revit</v>
      </c>
      <c r="AB1122" s="73" t="s">
        <v>7824</v>
      </c>
      <c r="AC1122" s="25" t="str">
        <f t="shared" si="470"/>
        <v>classe.ifc</v>
      </c>
      <c r="AD1122" s="74" t="s">
        <v>3469</v>
      </c>
      <c r="AE1122" s="25" t="str">
        <f t="shared" si="471"/>
        <v>propriedade</v>
      </c>
      <c r="AF1122" s="26" t="s">
        <v>7789</v>
      </c>
      <c r="AG1122" s="47" t="s">
        <v>8109</v>
      </c>
    </row>
    <row r="1123" spans="1:33" s="72" customFormat="1" ht="6.9" customHeight="1" x14ac:dyDescent="0.35">
      <c r="A1123" s="4">
        <f>ROW()</f>
        <v>1123</v>
      </c>
      <c r="B1123" s="9" t="s">
        <v>27</v>
      </c>
      <c r="C1123" s="55" t="str">
        <f t="shared" si="472"/>
        <v>p.investigar</v>
      </c>
      <c r="D1123" s="6" t="str">
        <f t="shared" si="462"/>
        <v>é.astronomia</v>
      </c>
      <c r="E1123" s="8" t="s">
        <v>28</v>
      </c>
      <c r="F1123" s="42" t="str">
        <f t="shared" si="473"/>
        <v>d.investigar</v>
      </c>
      <c r="G1123" s="42" t="s">
        <v>7870</v>
      </c>
      <c r="H1123" s="41" t="s">
        <v>2121</v>
      </c>
      <c r="I1123" s="16" t="str">
        <f t="shared" si="468"/>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43"/>
        <v>Propriedade destinada a investigar: é.astronomia</v>
      </c>
      <c r="V1123" s="5" t="str">
        <f t="shared" si="444"/>
        <v>Dado para investigar:  astronomia  Deve ser formatado como (rdfs:Literal  or  xsd:string)</v>
      </c>
      <c r="W1123" s="75" t="s">
        <v>7917</v>
      </c>
      <c r="X1123" s="24" t="str">
        <f t="shared" si="445"/>
        <v>inves.104</v>
      </c>
      <c r="Y1123" s="24" t="str">
        <f t="shared" si="446"/>
        <v>Ação de investigar</v>
      </c>
      <c r="Z1123" s="77" t="s">
        <v>8019</v>
      </c>
      <c r="AA1123" s="25" t="str">
        <f t="shared" si="469"/>
        <v>categoria.revit</v>
      </c>
      <c r="AB1123" s="73" t="s">
        <v>7824</v>
      </c>
      <c r="AC1123" s="25" t="str">
        <f t="shared" si="470"/>
        <v>classe.ifc</v>
      </c>
      <c r="AD1123" s="74" t="s">
        <v>3469</v>
      </c>
      <c r="AE1123" s="25" t="str">
        <f t="shared" si="471"/>
        <v>propriedade</v>
      </c>
      <c r="AF1123" s="26" t="s">
        <v>7814</v>
      </c>
      <c r="AG1123" s="47" t="s">
        <v>8110</v>
      </c>
    </row>
    <row r="1124" spans="1:33" s="72" customFormat="1" ht="6.9" customHeight="1" x14ac:dyDescent="0.35">
      <c r="A1124" s="4">
        <f>ROW()</f>
        <v>1124</v>
      </c>
      <c r="B1124" s="9" t="s">
        <v>27</v>
      </c>
      <c r="C1124" s="55" t="str">
        <f t="shared" si="472"/>
        <v>p.investigar</v>
      </c>
      <c r="D1124" s="6" t="str">
        <f t="shared" si="462"/>
        <v>é.atividade.forense</v>
      </c>
      <c r="E1124" s="8" t="s">
        <v>28</v>
      </c>
      <c r="F1124" s="42" t="str">
        <f t="shared" si="473"/>
        <v>d.investigar</v>
      </c>
      <c r="G1124" s="42" t="s">
        <v>7844</v>
      </c>
      <c r="H1124" s="41" t="s">
        <v>2121</v>
      </c>
      <c r="I1124" s="16" t="str">
        <f t="shared" si="46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43"/>
        <v>Propriedade destinada a investigar: é.atividade.forense</v>
      </c>
      <c r="V1124" s="5" t="str">
        <f t="shared" si="444"/>
        <v>Dado para investigar:  atividade.forense  Deve ser formatado como (rdfs:Literal  or  xsd:string)</v>
      </c>
      <c r="W1124" s="76" t="s">
        <v>7938</v>
      </c>
      <c r="X1124" s="24" t="str">
        <f t="shared" si="445"/>
        <v>inves.105</v>
      </c>
      <c r="Y1124" s="24" t="str">
        <f t="shared" si="446"/>
        <v>Ação de investigar</v>
      </c>
      <c r="Z1124" s="77" t="s">
        <v>8020</v>
      </c>
      <c r="AA1124" s="25" t="str">
        <f t="shared" si="469"/>
        <v>categoria.revit</v>
      </c>
      <c r="AB1124" s="73" t="s">
        <v>7824</v>
      </c>
      <c r="AC1124" s="25" t="str">
        <f t="shared" si="470"/>
        <v>classe.ifc</v>
      </c>
      <c r="AD1124" s="74" t="s">
        <v>3469</v>
      </c>
      <c r="AE1124" s="25" t="str">
        <f t="shared" si="471"/>
        <v>propriedade</v>
      </c>
      <c r="AF1124" s="26" t="s">
        <v>7818</v>
      </c>
      <c r="AG1124" s="47" t="s">
        <v>8111</v>
      </c>
    </row>
    <row r="1125" spans="1:33" s="72" customFormat="1" ht="6.9" customHeight="1" x14ac:dyDescent="0.35">
      <c r="A1125" s="4">
        <f>ROW()</f>
        <v>1125</v>
      </c>
      <c r="B1125" s="9" t="s">
        <v>27</v>
      </c>
      <c r="C1125" s="55" t="str">
        <f t="shared" si="472"/>
        <v>p.investigar</v>
      </c>
      <c r="D1125" s="6" t="str">
        <f t="shared" si="462"/>
        <v>é.barreira.biológica</v>
      </c>
      <c r="E1125" s="8" t="s">
        <v>28</v>
      </c>
      <c r="F1125" s="42" t="str">
        <f t="shared" si="473"/>
        <v>d.investigar</v>
      </c>
      <c r="G1125" s="42" t="s">
        <v>7849</v>
      </c>
      <c r="H1125" s="41" t="s">
        <v>2121</v>
      </c>
      <c r="I1125" s="16" t="str">
        <f t="shared" si="468"/>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43"/>
        <v>Propriedade destinada a investigar: é.barreira.biológica</v>
      </c>
      <c r="V1125" s="5" t="str">
        <f t="shared" si="444"/>
        <v>Dado para investigar:  barreira.biológica  Deve ser formatado como (rdfs:Literal  or  xsd:string)</v>
      </c>
      <c r="W1125" s="75" t="s">
        <v>7939</v>
      </c>
      <c r="X1125" s="24" t="str">
        <f t="shared" si="445"/>
        <v>inves.106</v>
      </c>
      <c r="Y1125" s="24" t="str">
        <f t="shared" si="446"/>
        <v>Ação de investigar</v>
      </c>
      <c r="Z1125" s="77" t="s">
        <v>8021</v>
      </c>
      <c r="AA1125" s="25" t="str">
        <f t="shared" si="469"/>
        <v>categoria.revit</v>
      </c>
      <c r="AB1125" s="73" t="s">
        <v>7824</v>
      </c>
      <c r="AC1125" s="25" t="str">
        <f t="shared" si="470"/>
        <v>classe.ifc</v>
      </c>
      <c r="AD1125" s="74" t="s">
        <v>3469</v>
      </c>
      <c r="AE1125" s="25" t="str">
        <f t="shared" si="471"/>
        <v>propriedade</v>
      </c>
      <c r="AF1125" s="26" t="s">
        <v>7801</v>
      </c>
      <c r="AG1125" s="47" t="s">
        <v>8112</v>
      </c>
    </row>
    <row r="1126" spans="1:33" s="72" customFormat="1" ht="6.9" customHeight="1" x14ac:dyDescent="0.35">
      <c r="A1126" s="4">
        <f>ROW()</f>
        <v>1126</v>
      </c>
      <c r="B1126" s="9" t="s">
        <v>27</v>
      </c>
      <c r="C1126" s="55" t="str">
        <f t="shared" si="472"/>
        <v>p.investigar</v>
      </c>
      <c r="D1126" s="6" t="str">
        <f t="shared" si="462"/>
        <v>é.biópsia.dermatológica</v>
      </c>
      <c r="E1126" s="8" t="s">
        <v>28</v>
      </c>
      <c r="F1126" s="42" t="str">
        <f t="shared" si="473"/>
        <v>d.investigar</v>
      </c>
      <c r="G1126" s="42" t="s">
        <v>7858</v>
      </c>
      <c r="H1126" s="41" t="s">
        <v>2121</v>
      </c>
      <c r="I1126" s="16" t="str">
        <f t="shared" si="468"/>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43"/>
        <v>Propriedade destinada a investigar: é.biópsia.dermatológica</v>
      </c>
      <c r="V1126" s="5" t="str">
        <f t="shared" si="444"/>
        <v>Dado para investigar:  biópsia.dermatológica  Deve ser formatado como (rdfs:Literal  or  xsd:string)</v>
      </c>
      <c r="W1126" s="75" t="s">
        <v>7862</v>
      </c>
      <c r="X1126" s="24" t="str">
        <f t="shared" si="445"/>
        <v>inves.107</v>
      </c>
      <c r="Y1126" s="24" t="str">
        <f t="shared" si="446"/>
        <v>Ação de investigar</v>
      </c>
      <c r="Z1126" s="77" t="s">
        <v>8022</v>
      </c>
      <c r="AA1126" s="25" t="str">
        <f t="shared" si="469"/>
        <v>categoria.revit</v>
      </c>
      <c r="AB1126" s="73" t="s">
        <v>7824</v>
      </c>
      <c r="AC1126" s="25" t="str">
        <f t="shared" si="470"/>
        <v>classe.ifc</v>
      </c>
      <c r="AD1126" s="74" t="s">
        <v>3469</v>
      </c>
      <c r="AE1126" s="25" t="str">
        <f t="shared" si="471"/>
        <v>propriedade</v>
      </c>
      <c r="AF1126" s="26" t="s">
        <v>7783</v>
      </c>
      <c r="AG1126" s="47" t="s">
        <v>8113</v>
      </c>
    </row>
    <row r="1127" spans="1:33" s="72" customFormat="1" ht="6.9" customHeight="1" x14ac:dyDescent="0.35">
      <c r="A1127" s="4">
        <f>ROW()</f>
        <v>1127</v>
      </c>
      <c r="B1127" s="9" t="s">
        <v>27</v>
      </c>
      <c r="C1127" s="55" t="str">
        <f t="shared" si="472"/>
        <v>p.investigar</v>
      </c>
      <c r="D1127" s="6" t="str">
        <f t="shared" si="462"/>
        <v>é.bioquímica</v>
      </c>
      <c r="E1127" s="8" t="s">
        <v>28</v>
      </c>
      <c r="F1127" s="42" t="str">
        <f t="shared" si="473"/>
        <v>d.investigar</v>
      </c>
      <c r="G1127" s="42" t="s">
        <v>7871</v>
      </c>
      <c r="H1127" s="41" t="s">
        <v>2121</v>
      </c>
      <c r="I1127" s="16" t="str">
        <f t="shared" si="468"/>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43"/>
        <v>Propriedade destinada a investigar: é.bioquímica</v>
      </c>
      <c r="V1127" s="5" t="str">
        <f t="shared" si="444"/>
        <v>Dado para investigar:  bioquímica  Deve ser formatado como (rdfs:Literal  or  xsd:string)</v>
      </c>
      <c r="W1127" s="75" t="s">
        <v>7918</v>
      </c>
      <c r="X1127" s="24" t="str">
        <f t="shared" si="445"/>
        <v>inves.108</v>
      </c>
      <c r="Y1127" s="24" t="str">
        <f t="shared" si="446"/>
        <v>Ação de investigar</v>
      </c>
      <c r="Z1127" s="77" t="s">
        <v>8023</v>
      </c>
      <c r="AA1127" s="25" t="str">
        <f t="shared" si="469"/>
        <v>categoria.revit</v>
      </c>
      <c r="AB1127" s="73" t="s">
        <v>7824</v>
      </c>
      <c r="AC1127" s="25" t="str">
        <f t="shared" si="470"/>
        <v>classe.ifc</v>
      </c>
      <c r="AD1127" s="74" t="s">
        <v>3469</v>
      </c>
      <c r="AE1127" s="25" t="str">
        <f t="shared" si="471"/>
        <v>propriedade</v>
      </c>
      <c r="AF1127" s="26" t="s">
        <v>7802</v>
      </c>
      <c r="AG1127" s="47" t="s">
        <v>8114</v>
      </c>
    </row>
    <row r="1128" spans="1:33" s="72" customFormat="1" ht="6.9" customHeight="1" x14ac:dyDescent="0.35">
      <c r="A1128" s="4">
        <f>ROW()</f>
        <v>1128</v>
      </c>
      <c r="B1128" s="9" t="s">
        <v>27</v>
      </c>
      <c r="C1128" s="55" t="str">
        <f t="shared" si="472"/>
        <v>p.investigar</v>
      </c>
      <c r="D1128" s="6" t="str">
        <f t="shared" si="462"/>
        <v>é.biossegurança.nb1</v>
      </c>
      <c r="E1128" s="8" t="s">
        <v>28</v>
      </c>
      <c r="F1128" s="42" t="str">
        <f>F1125</f>
        <v>d.investigar</v>
      </c>
      <c r="G1128" s="42" t="s">
        <v>7940</v>
      </c>
      <c r="H1128" s="41" t="s">
        <v>2121</v>
      </c>
      <c r="I1128" s="16" t="str">
        <f t="shared" si="468"/>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43"/>
        <v>Propriedade destinada a investigar: é.biossegurança.nb1</v>
      </c>
      <c r="V1128" s="5" t="str">
        <f t="shared" si="444"/>
        <v>Dado para investigar:  biossegurança.nb1  Deve ser formatado como (rdfs:Literal  or  xsd:string)</v>
      </c>
      <c r="W1128" s="75" t="s">
        <v>7946</v>
      </c>
      <c r="X1128" s="24" t="str">
        <f t="shared" si="445"/>
        <v>inves.109</v>
      </c>
      <c r="Y1128" s="24" t="str">
        <f t="shared" si="446"/>
        <v>Ação de investigar</v>
      </c>
      <c r="Z1128" s="77" t="s">
        <v>8024</v>
      </c>
      <c r="AA1128" s="25" t="str">
        <f t="shared" si="469"/>
        <v>categoria.revit</v>
      </c>
      <c r="AB1128" s="73" t="s">
        <v>7824</v>
      </c>
      <c r="AC1128" s="25" t="str">
        <f t="shared" si="470"/>
        <v>classe.ifc</v>
      </c>
      <c r="AD1128" s="74" t="s">
        <v>3469</v>
      </c>
      <c r="AE1128" s="25" t="str">
        <f t="shared" si="471"/>
        <v>propriedade</v>
      </c>
      <c r="AF1128" s="26" t="s">
        <v>7803</v>
      </c>
      <c r="AG1128" s="47" t="s">
        <v>8115</v>
      </c>
    </row>
    <row r="1129" spans="1:33" s="72" customFormat="1" ht="6.9" customHeight="1" x14ac:dyDescent="0.35">
      <c r="A1129" s="4">
        <f>ROW()</f>
        <v>1129</v>
      </c>
      <c r="B1129" s="9" t="s">
        <v>27</v>
      </c>
      <c r="C1129" s="55" t="str">
        <f t="shared" ref="C1129:C1130" si="474">SUBSTITUTE(F1129,"d.","p.")</f>
        <v>p.investigar</v>
      </c>
      <c r="D1129" s="6" t="str">
        <f t="shared" si="462"/>
        <v>é.biossegurança.nb2</v>
      </c>
      <c r="E1129" s="8" t="s">
        <v>28</v>
      </c>
      <c r="F1129" s="42" t="str">
        <f>F1126</f>
        <v>d.investigar</v>
      </c>
      <c r="G1129" s="42" t="s">
        <v>7941</v>
      </c>
      <c r="H1129" s="41" t="s">
        <v>2121</v>
      </c>
      <c r="I1129" s="16" t="str">
        <f t="shared" si="468"/>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43"/>
        <v>Propriedade destinada a investigar: é.biossegurança.nb2</v>
      </c>
      <c r="V1129" s="5" t="str">
        <f t="shared" si="444"/>
        <v>Dado para investigar:  biossegurança.nb2  Deve ser formatado como (rdfs:Literal  or  xsd:string)</v>
      </c>
      <c r="W1129" s="75" t="s">
        <v>7947</v>
      </c>
      <c r="X1129" s="24" t="str">
        <f t="shared" si="445"/>
        <v>inves.110</v>
      </c>
      <c r="Y1129" s="24" t="str">
        <f t="shared" si="446"/>
        <v>Ação de investigar</v>
      </c>
      <c r="Z1129" s="77" t="s">
        <v>8025</v>
      </c>
      <c r="AA1129" s="25" t="str">
        <f t="shared" si="469"/>
        <v>categoria.revit</v>
      </c>
      <c r="AB1129" s="73" t="s">
        <v>7824</v>
      </c>
      <c r="AC1129" s="25" t="str">
        <f t="shared" si="470"/>
        <v>classe.ifc</v>
      </c>
      <c r="AD1129" s="74" t="s">
        <v>3469</v>
      </c>
      <c r="AE1129" s="25" t="str">
        <f t="shared" si="471"/>
        <v>propriedade</v>
      </c>
      <c r="AF1129" s="26" t="s">
        <v>7803</v>
      </c>
      <c r="AG1129" s="47" t="s">
        <v>8116</v>
      </c>
    </row>
    <row r="1130" spans="1:33" s="72" customFormat="1" ht="6.9" customHeight="1" x14ac:dyDescent="0.35">
      <c r="A1130" s="4">
        <f>ROW()</f>
        <v>1130</v>
      </c>
      <c r="B1130" s="9" t="s">
        <v>27</v>
      </c>
      <c r="C1130" s="55" t="str">
        <f t="shared" si="474"/>
        <v>p.investigar</v>
      </c>
      <c r="D1130" s="6" t="str">
        <f t="shared" si="462"/>
        <v>é.biossegurança.nb3</v>
      </c>
      <c r="E1130" s="8" t="s">
        <v>28</v>
      </c>
      <c r="F1130" s="42" t="str">
        <f>F1126</f>
        <v>d.investigar</v>
      </c>
      <c r="G1130" s="42" t="s">
        <v>7847</v>
      </c>
      <c r="H1130" s="41" t="s">
        <v>2121</v>
      </c>
      <c r="I1130" s="16" t="str">
        <f t="shared" si="46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43"/>
        <v>Propriedade destinada a investigar: é.biossegurança.nb3</v>
      </c>
      <c r="V1130" s="5" t="str">
        <f t="shared" si="444"/>
        <v>Dado para investigar:  biossegurança.nb3  Deve ser formatado como (rdfs:Literal  or  xsd:string)</v>
      </c>
      <c r="W1130" s="75" t="s">
        <v>7948</v>
      </c>
      <c r="X1130" s="24" t="str">
        <f t="shared" si="445"/>
        <v>inves.111</v>
      </c>
      <c r="Y1130" s="24" t="str">
        <f t="shared" si="446"/>
        <v>Ação de investigar</v>
      </c>
      <c r="Z1130" s="77" t="s">
        <v>8026</v>
      </c>
      <c r="AA1130" s="25" t="str">
        <f t="shared" si="469"/>
        <v>categoria.revit</v>
      </c>
      <c r="AB1130" s="73" t="s">
        <v>7824</v>
      </c>
      <c r="AC1130" s="25" t="str">
        <f t="shared" si="470"/>
        <v>classe.ifc</v>
      </c>
      <c r="AD1130" s="74" t="s">
        <v>3469</v>
      </c>
      <c r="AE1130" s="25" t="str">
        <f t="shared" si="471"/>
        <v>propriedade</v>
      </c>
      <c r="AF1130" s="26" t="s">
        <v>7942</v>
      </c>
      <c r="AG1130" s="47" t="s">
        <v>8117</v>
      </c>
    </row>
    <row r="1131" spans="1:33" s="72" customFormat="1" ht="6.9" customHeight="1" x14ac:dyDescent="0.35">
      <c r="A1131" s="4">
        <f>ROW()</f>
        <v>1131</v>
      </c>
      <c r="B1131" s="9" t="s">
        <v>27</v>
      </c>
      <c r="C1131" s="55" t="str">
        <f t="shared" si="472"/>
        <v>p.investigar</v>
      </c>
      <c r="D1131" s="6" t="str">
        <f t="shared" si="462"/>
        <v>é.biossegurança.nb4</v>
      </c>
      <c r="E1131" s="8" t="s">
        <v>28</v>
      </c>
      <c r="F1131" s="42" t="str">
        <f>F1127</f>
        <v>d.investigar</v>
      </c>
      <c r="G1131" s="42" t="s">
        <v>7943</v>
      </c>
      <c r="H1131" s="41" t="s">
        <v>2121</v>
      </c>
      <c r="I1131" s="16" t="str">
        <f t="shared" si="468"/>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43"/>
        <v>Propriedade destinada a investigar: é.biossegurança.nb4</v>
      </c>
      <c r="V1131" s="5" t="str">
        <f t="shared" si="444"/>
        <v>Dado para investigar:  biossegurança.nb4  Deve ser formatado como (rdfs:Literal  or  xsd:string)</v>
      </c>
      <c r="W1131" s="75" t="s">
        <v>7949</v>
      </c>
      <c r="X1131" s="24" t="str">
        <f t="shared" si="445"/>
        <v>inves.112</v>
      </c>
      <c r="Y1131" s="24" t="str">
        <f t="shared" si="446"/>
        <v>Ação de investigar</v>
      </c>
      <c r="Z1131" s="77" t="s">
        <v>8027</v>
      </c>
      <c r="AA1131" s="25" t="str">
        <f t="shared" si="469"/>
        <v>categoria.revit</v>
      </c>
      <c r="AB1131" s="73" t="s">
        <v>7824</v>
      </c>
      <c r="AC1131" s="25" t="str">
        <f t="shared" si="470"/>
        <v>classe.ifc</v>
      </c>
      <c r="AD1131" s="74" t="s">
        <v>3469</v>
      </c>
      <c r="AE1131" s="25" t="str">
        <f t="shared" si="471"/>
        <v>propriedade</v>
      </c>
      <c r="AF1131" s="26" t="s">
        <v>7942</v>
      </c>
      <c r="AG1131" s="47" t="s">
        <v>8118</v>
      </c>
    </row>
    <row r="1132" spans="1:33" s="72" customFormat="1" ht="6.9" customHeight="1" x14ac:dyDescent="0.35">
      <c r="A1132" s="4">
        <f>ROW()</f>
        <v>1132</v>
      </c>
      <c r="B1132" s="9" t="s">
        <v>27</v>
      </c>
      <c r="C1132" s="55" t="str">
        <f t="shared" si="472"/>
        <v>p.investigar</v>
      </c>
      <c r="D1132" s="6" t="str">
        <f t="shared" si="462"/>
        <v>é.citologia</v>
      </c>
      <c r="E1132" s="8" t="s">
        <v>28</v>
      </c>
      <c r="F1132" s="42" t="str">
        <f t="shared" si="473"/>
        <v>d.investigar</v>
      </c>
      <c r="G1132" s="42" t="s">
        <v>7827</v>
      </c>
      <c r="H1132" s="41" t="s">
        <v>2121</v>
      </c>
      <c r="I1132" s="16" t="str">
        <f t="shared" si="468"/>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43"/>
        <v>Propriedade destinada a investigar: é.citologia</v>
      </c>
      <c r="V1132" s="5" t="str">
        <f t="shared" si="444"/>
        <v>Dado para investigar:  citologia  Deve ser formatado como (rdfs:Literal  or  xsd:string)</v>
      </c>
      <c r="W1132" s="75" t="s">
        <v>7863</v>
      </c>
      <c r="X1132" s="24" t="str">
        <f t="shared" si="445"/>
        <v>inves.113</v>
      </c>
      <c r="Y1132" s="24" t="str">
        <f t="shared" si="446"/>
        <v>Ação de investigar</v>
      </c>
      <c r="Z1132" s="77" t="s">
        <v>8028</v>
      </c>
      <c r="AA1132" s="25" t="str">
        <f t="shared" si="469"/>
        <v>categoria.revit</v>
      </c>
      <c r="AB1132" s="73" t="s">
        <v>7824</v>
      </c>
      <c r="AC1132" s="25" t="str">
        <f t="shared" si="470"/>
        <v>classe.ifc</v>
      </c>
      <c r="AD1132" s="74" t="s">
        <v>3469</v>
      </c>
      <c r="AE1132" s="25" t="str">
        <f t="shared" si="471"/>
        <v>propriedade</v>
      </c>
      <c r="AF1132" s="26" t="s">
        <v>7772</v>
      </c>
      <c r="AG1132" s="47" t="s">
        <v>8119</v>
      </c>
    </row>
    <row r="1133" spans="1:33" s="72" customFormat="1" ht="6.9" customHeight="1" x14ac:dyDescent="0.35">
      <c r="A1133" s="4">
        <f>ROW()</f>
        <v>1133</v>
      </c>
      <c r="B1133" s="9" t="s">
        <v>27</v>
      </c>
      <c r="C1133" s="55" t="str">
        <f t="shared" si="472"/>
        <v>p.investigar</v>
      </c>
      <c r="D1133" s="6" t="str">
        <f t="shared" si="462"/>
        <v>é.dermatologia</v>
      </c>
      <c r="E1133" s="8" t="s">
        <v>28</v>
      </c>
      <c r="F1133" s="42" t="str">
        <f t="shared" si="473"/>
        <v>d.investigar</v>
      </c>
      <c r="G1133" s="42" t="s">
        <v>7828</v>
      </c>
      <c r="H1133" s="41" t="s">
        <v>2121</v>
      </c>
      <c r="I1133" s="16" t="str">
        <f t="shared" si="468"/>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43"/>
        <v>Propriedade destinada a investigar: é.dermatologia</v>
      </c>
      <c r="V1133" s="5" t="str">
        <f t="shared" si="444"/>
        <v>Dado para investigar:  dermatologia  Deve ser formatado como (rdfs:Literal  or  xsd:string)</v>
      </c>
      <c r="W1133" s="75" t="s">
        <v>7864</v>
      </c>
      <c r="X1133" s="24" t="str">
        <f t="shared" si="445"/>
        <v>inves.114</v>
      </c>
      <c r="Y1133" s="24" t="str">
        <f t="shared" si="446"/>
        <v>Ação de investigar</v>
      </c>
      <c r="Z1133" s="77" t="s">
        <v>8029</v>
      </c>
      <c r="AA1133" s="25" t="str">
        <f t="shared" si="469"/>
        <v>categoria.revit</v>
      </c>
      <c r="AB1133" s="73" t="s">
        <v>7824</v>
      </c>
      <c r="AC1133" s="25" t="str">
        <f t="shared" si="470"/>
        <v>classe.ifc</v>
      </c>
      <c r="AD1133" s="74" t="s">
        <v>3469</v>
      </c>
      <c r="AE1133" s="25" t="str">
        <f t="shared" si="471"/>
        <v>propriedade</v>
      </c>
      <c r="AF1133" s="26" t="s">
        <v>7773</v>
      </c>
      <c r="AG1133" s="47" t="s">
        <v>8120</v>
      </c>
    </row>
    <row r="1134" spans="1:33" s="72" customFormat="1" ht="6.9" customHeight="1" x14ac:dyDescent="0.35">
      <c r="A1134" s="4">
        <f>ROW()</f>
        <v>1134</v>
      </c>
      <c r="B1134" s="9" t="s">
        <v>27</v>
      </c>
      <c r="C1134" s="55" t="str">
        <f t="shared" si="472"/>
        <v>p.investigar</v>
      </c>
      <c r="D1134" s="6" t="str">
        <f t="shared" si="462"/>
        <v>é.diagnóstico</v>
      </c>
      <c r="E1134" s="8" t="s">
        <v>28</v>
      </c>
      <c r="F1134" s="42" t="str">
        <f t="shared" si="473"/>
        <v>d.investigar</v>
      </c>
      <c r="G1134" s="42" t="s">
        <v>7846</v>
      </c>
      <c r="H1134" s="41" t="s">
        <v>2121</v>
      </c>
      <c r="I1134" s="16" t="str">
        <f t="shared" si="468"/>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43"/>
        <v>Propriedade destinada a investigar: é.diagnóstico</v>
      </c>
      <c r="V1134" s="5" t="str">
        <f t="shared" si="444"/>
        <v>Dado para investigar:  diagnóstico  Deve ser formatado como (rdfs:Literal  or  xsd:string)</v>
      </c>
      <c r="W1134" s="75" t="s">
        <v>7866</v>
      </c>
      <c r="X1134" s="24" t="str">
        <f t="shared" si="445"/>
        <v>inves.115</v>
      </c>
      <c r="Y1134" s="24" t="str">
        <f t="shared" si="446"/>
        <v>Ação de investigar</v>
      </c>
      <c r="Z1134" s="77" t="s">
        <v>8030</v>
      </c>
      <c r="AA1134" s="25" t="str">
        <f t="shared" si="469"/>
        <v>categoria.revit</v>
      </c>
      <c r="AB1134" s="73" t="s">
        <v>7824</v>
      </c>
      <c r="AC1134" s="25" t="str">
        <f t="shared" si="470"/>
        <v>classe.ifc</v>
      </c>
      <c r="AD1134" s="74" t="s">
        <v>3469</v>
      </c>
      <c r="AE1134" s="25" t="str">
        <f t="shared" si="471"/>
        <v>propriedade</v>
      </c>
      <c r="AF1134" s="26" t="s">
        <v>7806</v>
      </c>
      <c r="AG1134" s="47" t="s">
        <v>8121</v>
      </c>
    </row>
    <row r="1135" spans="1:33" s="72" customFormat="1" ht="6.9" customHeight="1" x14ac:dyDescent="0.35">
      <c r="A1135" s="4">
        <f>ROW()</f>
        <v>1135</v>
      </c>
      <c r="B1135" s="9" t="s">
        <v>27</v>
      </c>
      <c r="C1135" s="55" t="str">
        <f t="shared" si="472"/>
        <v>p.investigar</v>
      </c>
      <c r="D1135" s="6" t="str">
        <f t="shared" si="462"/>
        <v>é.dissecção.de.osso</v>
      </c>
      <c r="E1135" s="8" t="s">
        <v>28</v>
      </c>
      <c r="F1135" s="42" t="str">
        <f t="shared" si="473"/>
        <v>d.investigar</v>
      </c>
      <c r="G1135" s="42" t="s">
        <v>7883</v>
      </c>
      <c r="H1135" s="41" t="s">
        <v>2121</v>
      </c>
      <c r="I1135" s="16" t="str">
        <f t="shared" si="468"/>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43"/>
        <v>Propriedade destinada a investigar: é.dissecção.de.osso</v>
      </c>
      <c r="V1135" s="5" t="str">
        <f t="shared" si="444"/>
        <v>Dado para investigar:  dissecção.de.osso  Deve ser formatado como (rdfs:Literal  or  xsd:string)</v>
      </c>
      <c r="W1135" s="75" t="s">
        <v>7867</v>
      </c>
      <c r="X1135" s="24" t="str">
        <f t="shared" si="445"/>
        <v>inves.116</v>
      </c>
      <c r="Y1135" s="24" t="str">
        <f t="shared" si="446"/>
        <v>Ação de investigar</v>
      </c>
      <c r="Z1135" s="77" t="s">
        <v>8031</v>
      </c>
      <c r="AA1135" s="25" t="str">
        <f t="shared" si="469"/>
        <v>categoria.revit</v>
      </c>
      <c r="AB1135" s="73" t="s">
        <v>7824</v>
      </c>
      <c r="AC1135" s="25" t="str">
        <f t="shared" si="470"/>
        <v>classe.ifc</v>
      </c>
      <c r="AD1135" s="74" t="s">
        <v>3469</v>
      </c>
      <c r="AE1135" s="25" t="str">
        <f t="shared" si="471"/>
        <v>propriedade</v>
      </c>
      <c r="AF1135" s="26" t="s">
        <v>7769</v>
      </c>
      <c r="AG1135" s="47" t="s">
        <v>8122</v>
      </c>
    </row>
    <row r="1136" spans="1:33" s="72" customFormat="1" ht="6.9" customHeight="1" x14ac:dyDescent="0.35">
      <c r="A1136" s="4">
        <f>ROW()</f>
        <v>1136</v>
      </c>
      <c r="B1136" s="9" t="s">
        <v>27</v>
      </c>
      <c r="C1136" s="55" t="str">
        <f t="shared" si="472"/>
        <v>p.investigar</v>
      </c>
      <c r="D1136" s="6" t="str">
        <f t="shared" si="462"/>
        <v>é.doença.infecciosa</v>
      </c>
      <c r="E1136" s="8" t="s">
        <v>28</v>
      </c>
      <c r="F1136" s="42" t="str">
        <f t="shared" si="473"/>
        <v>d.investigar</v>
      </c>
      <c r="G1136" s="42" t="s">
        <v>7884</v>
      </c>
      <c r="H1136" s="41" t="s">
        <v>2121</v>
      </c>
      <c r="I1136" s="16" t="str">
        <f t="shared" si="468"/>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43"/>
        <v>Propriedade destinada a investigar: é.doença.infecciosa</v>
      </c>
      <c r="V1136" s="5" t="str">
        <f t="shared" si="444"/>
        <v>Dado para investigar:  doença.infecciosa  Deve ser formatado como (rdfs:Literal  or  xsd:string)</v>
      </c>
      <c r="W1136" s="75" t="s">
        <v>7868</v>
      </c>
      <c r="X1136" s="24" t="str">
        <f t="shared" si="445"/>
        <v>inves.117</v>
      </c>
      <c r="Y1136" s="24" t="str">
        <f t="shared" si="446"/>
        <v>Ação de investigar</v>
      </c>
      <c r="Z1136" s="77" t="s">
        <v>8032</v>
      </c>
      <c r="AA1136" s="25" t="str">
        <f t="shared" si="469"/>
        <v>categoria.revit</v>
      </c>
      <c r="AB1136" s="73" t="s">
        <v>7824</v>
      </c>
      <c r="AC1136" s="25" t="str">
        <f t="shared" si="470"/>
        <v>classe.ifc</v>
      </c>
      <c r="AD1136" s="74" t="s">
        <v>3469</v>
      </c>
      <c r="AE1136" s="25" t="str">
        <f t="shared" si="471"/>
        <v>propriedade</v>
      </c>
      <c r="AF1136" s="26" t="s">
        <v>7805</v>
      </c>
      <c r="AG1136" s="47" t="s">
        <v>8123</v>
      </c>
    </row>
    <row r="1137" spans="1:33" s="72" customFormat="1" ht="6.9" customHeight="1" x14ac:dyDescent="0.35">
      <c r="A1137" s="4">
        <f>ROW()</f>
        <v>1137</v>
      </c>
      <c r="B1137" s="9" t="s">
        <v>27</v>
      </c>
      <c r="C1137" s="55" t="str">
        <f t="shared" si="472"/>
        <v>p.investigar</v>
      </c>
      <c r="D1137" s="6" t="str">
        <f t="shared" si="462"/>
        <v>é.doença.nb3</v>
      </c>
      <c r="E1137" s="8" t="s">
        <v>28</v>
      </c>
      <c r="F1137" s="42" t="str">
        <f t="shared" si="473"/>
        <v>d.investigar</v>
      </c>
      <c r="G1137" s="42" t="s">
        <v>7885</v>
      </c>
      <c r="H1137" s="41" t="s">
        <v>2121</v>
      </c>
      <c r="I1137" s="16" t="str">
        <f t="shared" si="468"/>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43"/>
        <v>Propriedade destinada a investigar: é.doença.nb3</v>
      </c>
      <c r="V1137" s="5" t="str">
        <f t="shared" si="444"/>
        <v>Dado para investigar:  doença.nb3  Deve ser formatado como (rdfs:Literal  or  xsd:string)</v>
      </c>
      <c r="W1137" s="75" t="s">
        <v>7950</v>
      </c>
      <c r="X1137" s="24" t="str">
        <f t="shared" si="445"/>
        <v>inves.118</v>
      </c>
      <c r="Y1137" s="24" t="str">
        <f t="shared" si="446"/>
        <v>Ação de investigar</v>
      </c>
      <c r="Z1137" s="77" t="s">
        <v>8033</v>
      </c>
      <c r="AA1137" s="25" t="str">
        <f t="shared" si="469"/>
        <v>categoria.revit</v>
      </c>
      <c r="AB1137" s="73" t="s">
        <v>7824</v>
      </c>
      <c r="AC1137" s="25" t="str">
        <f t="shared" si="470"/>
        <v>classe.ifc</v>
      </c>
      <c r="AD1137" s="74" t="s">
        <v>3469</v>
      </c>
      <c r="AE1137" s="25" t="str">
        <f t="shared" si="471"/>
        <v>propriedade</v>
      </c>
      <c r="AF1137" s="26" t="s">
        <v>7804</v>
      </c>
      <c r="AG1137" s="47" t="s">
        <v>8124</v>
      </c>
    </row>
    <row r="1138" spans="1:33" s="72" customFormat="1" ht="6.9" customHeight="1" x14ac:dyDescent="0.35">
      <c r="A1138" s="4">
        <f>ROW()</f>
        <v>1138</v>
      </c>
      <c r="B1138" s="9" t="s">
        <v>27</v>
      </c>
      <c r="C1138" s="55" t="str">
        <f t="shared" si="472"/>
        <v>p.investigar</v>
      </c>
      <c r="D1138" s="6" t="str">
        <f t="shared" si="462"/>
        <v>é.entomologia</v>
      </c>
      <c r="E1138" s="8" t="s">
        <v>28</v>
      </c>
      <c r="F1138" s="42" t="str">
        <f t="shared" si="473"/>
        <v>d.investigar</v>
      </c>
      <c r="G1138" s="42" t="s">
        <v>7765</v>
      </c>
      <c r="H1138" s="41" t="s">
        <v>2121</v>
      </c>
      <c r="I1138" s="16" t="str">
        <f t="shared" si="468"/>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43"/>
        <v>Propriedade destinada a investigar: é.entomologia</v>
      </c>
      <c r="V1138" s="5" t="str">
        <f t="shared" si="444"/>
        <v>Dado para investigar:  entomologia  Deve ser formatado como (rdfs:Literal  or  xsd:string)</v>
      </c>
      <c r="W1138" s="75" t="s">
        <v>7869</v>
      </c>
      <c r="X1138" s="24" t="str">
        <f t="shared" si="445"/>
        <v>inves.119</v>
      </c>
      <c r="Y1138" s="24" t="str">
        <f t="shared" si="446"/>
        <v>Ação de investigar</v>
      </c>
      <c r="Z1138" s="77" t="s">
        <v>8034</v>
      </c>
      <c r="AA1138" s="25" t="str">
        <f t="shared" si="469"/>
        <v>categoria.revit</v>
      </c>
      <c r="AB1138" s="73" t="s">
        <v>7824</v>
      </c>
      <c r="AC1138" s="25" t="str">
        <f t="shared" si="470"/>
        <v>classe.ifc</v>
      </c>
      <c r="AD1138" s="74" t="s">
        <v>3469</v>
      </c>
      <c r="AE1138" s="25" t="str">
        <f t="shared" si="471"/>
        <v>propriedade</v>
      </c>
      <c r="AF1138" s="26" t="s">
        <v>7774</v>
      </c>
      <c r="AG1138" s="47" t="s">
        <v>8125</v>
      </c>
    </row>
    <row r="1139" spans="1:33" s="72" customFormat="1" ht="6.9" customHeight="1" x14ac:dyDescent="0.35">
      <c r="A1139" s="4">
        <f>ROW()</f>
        <v>1139</v>
      </c>
      <c r="B1139" s="9" t="s">
        <v>27</v>
      </c>
      <c r="C1139" s="55" t="str">
        <f t="shared" si="472"/>
        <v>p.investigar</v>
      </c>
      <c r="D1139" s="6" t="str">
        <f t="shared" si="462"/>
        <v>é.física</v>
      </c>
      <c r="E1139" s="8" t="s">
        <v>28</v>
      </c>
      <c r="F1139" s="42" t="str">
        <f t="shared" si="473"/>
        <v>d.investigar</v>
      </c>
      <c r="G1139" s="42" t="s">
        <v>7872</v>
      </c>
      <c r="H1139" s="41" t="s">
        <v>2121</v>
      </c>
      <c r="I1139" s="16" t="str">
        <f t="shared" si="468"/>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43"/>
        <v>Propriedade destinada a investigar: é.física</v>
      </c>
      <c r="V1139" s="5" t="str">
        <f t="shared" si="444"/>
        <v>Dado para investigar:  física  Deve ser formatado como (rdfs:Literal  or  xsd:string)</v>
      </c>
      <c r="W1139" s="75" t="s">
        <v>7919</v>
      </c>
      <c r="X1139" s="24" t="str">
        <f t="shared" si="445"/>
        <v>inves.120</v>
      </c>
      <c r="Y1139" s="24" t="str">
        <f t="shared" si="446"/>
        <v>Ação de investigar</v>
      </c>
      <c r="Z1139" s="77" t="s">
        <v>8035</v>
      </c>
      <c r="AA1139" s="25" t="str">
        <f t="shared" si="469"/>
        <v>categoria.revit</v>
      </c>
      <c r="AB1139" s="73" t="s">
        <v>7824</v>
      </c>
      <c r="AC1139" s="25" t="str">
        <f t="shared" si="470"/>
        <v>classe.ifc</v>
      </c>
      <c r="AD1139" s="74" t="s">
        <v>3469</v>
      </c>
      <c r="AE1139" s="25" t="str">
        <f t="shared" si="471"/>
        <v>propriedade</v>
      </c>
      <c r="AF1139" s="26" t="s">
        <v>7812</v>
      </c>
      <c r="AG1139" s="47" t="s">
        <v>8126</v>
      </c>
    </row>
    <row r="1140" spans="1:33" s="72" customFormat="1" ht="6.9" customHeight="1" x14ac:dyDescent="0.35">
      <c r="A1140" s="4">
        <f>ROW()</f>
        <v>1140</v>
      </c>
      <c r="B1140" s="9" t="s">
        <v>27</v>
      </c>
      <c r="C1140" s="55" t="str">
        <f t="shared" si="472"/>
        <v>p.investigar</v>
      </c>
      <c r="D1140" s="6" t="str">
        <f t="shared" si="462"/>
        <v>é.geologia</v>
      </c>
      <c r="E1140" s="8" t="s">
        <v>28</v>
      </c>
      <c r="F1140" s="42" t="str">
        <f t="shared" si="473"/>
        <v>d.investigar</v>
      </c>
      <c r="G1140" s="42" t="s">
        <v>7829</v>
      </c>
      <c r="H1140" s="41" t="s">
        <v>2121</v>
      </c>
      <c r="I1140" s="16" t="str">
        <f t="shared" si="46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43"/>
        <v>Propriedade destinada a investigar: é.geologia</v>
      </c>
      <c r="V1140" s="5" t="str">
        <f t="shared" si="444"/>
        <v>Dado para investigar:  geologia  Deve ser formatado como (rdfs:Literal  or  xsd:string)</v>
      </c>
      <c r="W1140" s="75" t="s">
        <v>7920</v>
      </c>
      <c r="X1140" s="24" t="str">
        <f t="shared" si="445"/>
        <v>inves.121</v>
      </c>
      <c r="Y1140" s="24" t="str">
        <f t="shared" si="446"/>
        <v>Ação de investigar</v>
      </c>
      <c r="Z1140" s="77" t="s">
        <v>8036</v>
      </c>
      <c r="AA1140" s="25" t="str">
        <f t="shared" si="469"/>
        <v>categoria.revit</v>
      </c>
      <c r="AB1140" s="73" t="s">
        <v>7824</v>
      </c>
      <c r="AC1140" s="25" t="str">
        <f t="shared" si="470"/>
        <v>classe.ifc</v>
      </c>
      <c r="AD1140" s="74" t="s">
        <v>3469</v>
      </c>
      <c r="AE1140" s="25" t="str">
        <f t="shared" si="471"/>
        <v>propriedade</v>
      </c>
      <c r="AF1140" s="26" t="s">
        <v>7816</v>
      </c>
      <c r="AG1140" s="47" t="s">
        <v>8127</v>
      </c>
    </row>
    <row r="1141" spans="1:33" s="72" customFormat="1" ht="6.9" customHeight="1" x14ac:dyDescent="0.35">
      <c r="A1141" s="4">
        <f>ROW()</f>
        <v>1141</v>
      </c>
      <c r="B1141" s="9" t="s">
        <v>27</v>
      </c>
      <c r="C1141" s="55" t="str">
        <f t="shared" si="472"/>
        <v>p.investigar</v>
      </c>
      <c r="D1141" s="6" t="str">
        <f t="shared" si="462"/>
        <v>é.hematologia</v>
      </c>
      <c r="E1141" s="8" t="s">
        <v>28</v>
      </c>
      <c r="F1141" s="42" t="str">
        <f t="shared" si="473"/>
        <v>d.investigar</v>
      </c>
      <c r="G1141" s="42" t="s">
        <v>7837</v>
      </c>
      <c r="H1141" s="41" t="s">
        <v>2121</v>
      </c>
      <c r="I1141" s="16" t="str">
        <f t="shared" si="468"/>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43"/>
        <v>Propriedade destinada a investigar: é.hematologia</v>
      </c>
      <c r="V1141" s="5" t="str">
        <f t="shared" si="444"/>
        <v>Dado para investigar:  hematologia  Deve ser formatado como (rdfs:Literal  or  xsd:string)</v>
      </c>
      <c r="W1141" s="75" t="s">
        <v>7921</v>
      </c>
      <c r="X1141" s="24" t="str">
        <f t="shared" si="445"/>
        <v>inves.122</v>
      </c>
      <c r="Y1141" s="24" t="str">
        <f t="shared" si="446"/>
        <v>Ação de investigar</v>
      </c>
      <c r="Z1141" s="77" t="s">
        <v>8037</v>
      </c>
      <c r="AA1141" s="25" t="str">
        <f t="shared" si="469"/>
        <v>categoria.revit</v>
      </c>
      <c r="AB1141" s="73" t="s">
        <v>7824</v>
      </c>
      <c r="AC1141" s="25" t="str">
        <f t="shared" si="470"/>
        <v>classe.ifc</v>
      </c>
      <c r="AD1141" s="74" t="s">
        <v>3469</v>
      </c>
      <c r="AE1141" s="25" t="str">
        <f t="shared" si="471"/>
        <v>propriedade</v>
      </c>
      <c r="AF1141" s="26" t="s">
        <v>7777</v>
      </c>
      <c r="AG1141" s="47" t="s">
        <v>8128</v>
      </c>
    </row>
    <row r="1142" spans="1:33" s="72" customFormat="1" ht="6.9" customHeight="1" x14ac:dyDescent="0.35">
      <c r="A1142" s="4">
        <f>ROW()</f>
        <v>1142</v>
      </c>
      <c r="B1142" s="9" t="s">
        <v>27</v>
      </c>
      <c r="C1142" s="55" t="str">
        <f t="shared" si="472"/>
        <v>p.investigar</v>
      </c>
      <c r="D1142" s="6" t="str">
        <f t="shared" si="462"/>
        <v>é.hematologia.gasometria</v>
      </c>
      <c r="E1142" s="8" t="s">
        <v>28</v>
      </c>
      <c r="F1142" s="42" t="str">
        <f t="shared" si="473"/>
        <v>d.investigar</v>
      </c>
      <c r="G1142" s="42" t="s">
        <v>7874</v>
      </c>
      <c r="H1142" s="41" t="s">
        <v>2121</v>
      </c>
      <c r="I1142" s="16" t="str">
        <f t="shared" si="468"/>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43"/>
        <v>Propriedade destinada a investigar: é.hematologia.gasometria</v>
      </c>
      <c r="V1142" s="5" t="str">
        <f t="shared" si="444"/>
        <v>Dado para investigar:  hematologia.gasometria  Deve ser formatado como (rdfs:Literal  or  xsd:string)</v>
      </c>
      <c r="W1142" s="75" t="s">
        <v>7922</v>
      </c>
      <c r="X1142" s="24" t="str">
        <f t="shared" si="445"/>
        <v>inves.123</v>
      </c>
      <c r="Y1142" s="24" t="str">
        <f t="shared" si="446"/>
        <v>Ação de investigar</v>
      </c>
      <c r="Z1142" s="77" t="s">
        <v>8038</v>
      </c>
      <c r="AA1142" s="25" t="str">
        <f t="shared" si="469"/>
        <v>categoria.revit</v>
      </c>
      <c r="AB1142" s="73" t="s">
        <v>7824</v>
      </c>
      <c r="AC1142" s="25" t="str">
        <f t="shared" si="470"/>
        <v>classe.ifc</v>
      </c>
      <c r="AD1142" s="74" t="s">
        <v>3469</v>
      </c>
      <c r="AE1142" s="25" t="str">
        <f t="shared" si="471"/>
        <v>propriedade</v>
      </c>
      <c r="AF1142" s="26" t="s">
        <v>7768</v>
      </c>
      <c r="AG1142" s="47" t="s">
        <v>8129</v>
      </c>
    </row>
    <row r="1143" spans="1:33" s="72" customFormat="1" ht="6.9" customHeight="1" x14ac:dyDescent="0.35">
      <c r="A1143" s="4">
        <f>ROW()</f>
        <v>1143</v>
      </c>
      <c r="B1143" s="9" t="s">
        <v>27</v>
      </c>
      <c r="C1143" s="55" t="str">
        <f t="shared" si="472"/>
        <v>p.investigar</v>
      </c>
      <c r="D1143" s="6" t="str">
        <f t="shared" si="462"/>
        <v>é.hematologia.hemostasia</v>
      </c>
      <c r="E1143" s="8" t="s">
        <v>28</v>
      </c>
      <c r="F1143" s="42" t="str">
        <f t="shared" si="473"/>
        <v>d.investigar</v>
      </c>
      <c r="G1143" s="42" t="s">
        <v>7873</v>
      </c>
      <c r="H1143" s="41" t="s">
        <v>2121</v>
      </c>
      <c r="I1143" s="16" t="str">
        <f t="shared" si="46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43"/>
        <v>Propriedade destinada a investigar: é.hematologia.hemostasia</v>
      </c>
      <c r="V1143" s="5" t="str">
        <f t="shared" si="444"/>
        <v>Dado para investigar:  hematologia.hemostasia  Deve ser formatado como (rdfs:Literal  or  xsd:string)</v>
      </c>
      <c r="W1143" s="75" t="s">
        <v>7951</v>
      </c>
      <c r="X1143" s="24" t="str">
        <f t="shared" si="445"/>
        <v>inves.124</v>
      </c>
      <c r="Y1143" s="24" t="str">
        <f t="shared" si="446"/>
        <v>Ação de investigar</v>
      </c>
      <c r="Z1143" s="77" t="s">
        <v>8039</v>
      </c>
      <c r="AA1143" s="25" t="str">
        <f t="shared" si="469"/>
        <v>categoria.revit</v>
      </c>
      <c r="AB1143" s="73" t="s">
        <v>7824</v>
      </c>
      <c r="AC1143" s="25" t="str">
        <f t="shared" si="470"/>
        <v>classe.ifc</v>
      </c>
      <c r="AD1143" s="74" t="s">
        <v>3469</v>
      </c>
      <c r="AE1143" s="25" t="str">
        <f t="shared" si="471"/>
        <v>propriedade</v>
      </c>
      <c r="AF1143" s="26" t="s">
        <v>7776</v>
      </c>
      <c r="AG1143" s="47" t="s">
        <v>8130</v>
      </c>
    </row>
    <row r="1144" spans="1:33" s="72" customFormat="1" ht="6.9" customHeight="1" x14ac:dyDescent="0.35">
      <c r="A1144" s="4">
        <f>ROW()</f>
        <v>1144</v>
      </c>
      <c r="B1144" s="9" t="s">
        <v>27</v>
      </c>
      <c r="C1144" s="55" t="str">
        <f t="shared" si="472"/>
        <v>p.investigar</v>
      </c>
      <c r="D1144" s="6" t="str">
        <f t="shared" si="462"/>
        <v>é.histologia</v>
      </c>
      <c r="E1144" s="8" t="s">
        <v>28</v>
      </c>
      <c r="F1144" s="42" t="str">
        <f t="shared" si="473"/>
        <v>d.investigar</v>
      </c>
      <c r="G1144" s="42" t="s">
        <v>7830</v>
      </c>
      <c r="H1144" s="41" t="s">
        <v>2121</v>
      </c>
      <c r="I1144" s="16" t="str">
        <f t="shared" si="468"/>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43"/>
        <v>Propriedade destinada a investigar: é.histologia</v>
      </c>
      <c r="V1144" s="5" t="str">
        <f t="shared" si="444"/>
        <v>Dado para investigar:  histologia  Deve ser formatado como (rdfs:Literal  or  xsd:string)</v>
      </c>
      <c r="W1144" s="75" t="s">
        <v>7861</v>
      </c>
      <c r="X1144" s="24" t="str">
        <f t="shared" si="445"/>
        <v>inves.125</v>
      </c>
      <c r="Y1144" s="24" t="str">
        <f t="shared" si="446"/>
        <v>Ação de investigar</v>
      </c>
      <c r="Z1144" s="77" t="s">
        <v>8040</v>
      </c>
      <c r="AA1144" s="25" t="str">
        <f t="shared" si="469"/>
        <v>categoria.revit</v>
      </c>
      <c r="AB1144" s="73" t="s">
        <v>7824</v>
      </c>
      <c r="AC1144" s="25" t="str">
        <f t="shared" si="470"/>
        <v>classe.ifc</v>
      </c>
      <c r="AD1144" s="74" t="s">
        <v>3469</v>
      </c>
      <c r="AE1144" s="25" t="str">
        <f t="shared" si="471"/>
        <v>propriedade</v>
      </c>
      <c r="AF1144" s="26" t="s">
        <v>7778</v>
      </c>
      <c r="AG1144" s="47" t="s">
        <v>8131</v>
      </c>
    </row>
    <row r="1145" spans="1:33" s="72" customFormat="1" ht="6.9" customHeight="1" x14ac:dyDescent="0.35">
      <c r="A1145" s="4">
        <f>ROW()</f>
        <v>1145</v>
      </c>
      <c r="B1145" s="9" t="s">
        <v>27</v>
      </c>
      <c r="C1145" s="55" t="str">
        <f t="shared" si="472"/>
        <v>p.investigar</v>
      </c>
      <c r="D1145" s="6" t="str">
        <f t="shared" si="462"/>
        <v>é.imunopatologia</v>
      </c>
      <c r="E1145" s="8" t="s">
        <v>28</v>
      </c>
      <c r="F1145" s="42" t="str">
        <f t="shared" si="473"/>
        <v>d.investigar</v>
      </c>
      <c r="G1145" s="42" t="s">
        <v>7831</v>
      </c>
      <c r="H1145" s="41" t="s">
        <v>2121</v>
      </c>
      <c r="I1145" s="16" t="str">
        <f t="shared" si="46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43"/>
        <v>Propriedade destinada a investigar: é.imunopatologia</v>
      </c>
      <c r="V1145" s="5" t="str">
        <f t="shared" si="444"/>
        <v>Dado para investigar:  imunopatologia  Deve ser formatado como (rdfs:Literal  or  xsd:string)</v>
      </c>
      <c r="W1145" s="75" t="s">
        <v>7923</v>
      </c>
      <c r="X1145" s="24" t="str">
        <f t="shared" si="445"/>
        <v>inves.126</v>
      </c>
      <c r="Y1145" s="24" t="str">
        <f t="shared" si="446"/>
        <v>Ação de investigar</v>
      </c>
      <c r="Z1145" s="77" t="s">
        <v>8041</v>
      </c>
      <c r="AA1145" s="25" t="str">
        <f t="shared" si="469"/>
        <v>categoria.revit</v>
      </c>
      <c r="AB1145" s="73" t="s">
        <v>7824</v>
      </c>
      <c r="AC1145" s="25" t="str">
        <f t="shared" si="470"/>
        <v>classe.ifc</v>
      </c>
      <c r="AD1145" s="74" t="s">
        <v>3469</v>
      </c>
      <c r="AE1145" s="25" t="str">
        <f t="shared" si="471"/>
        <v>propriedade</v>
      </c>
      <c r="AF1145" s="26" t="s">
        <v>7779</v>
      </c>
      <c r="AG1145" s="47" t="s">
        <v>8132</v>
      </c>
    </row>
    <row r="1146" spans="1:33" s="72" customFormat="1" ht="6.9" customHeight="1" x14ac:dyDescent="0.35">
      <c r="A1146" s="4">
        <f>ROW()</f>
        <v>1146</v>
      </c>
      <c r="B1146" s="9" t="s">
        <v>27</v>
      </c>
      <c r="C1146" s="55" t="str">
        <f t="shared" si="472"/>
        <v>p.investigar</v>
      </c>
      <c r="D1146" s="6" t="str">
        <f t="shared" si="462"/>
        <v>é.laboratório.automatizado</v>
      </c>
      <c r="E1146" s="8" t="s">
        <v>28</v>
      </c>
      <c r="F1146" s="42" t="str">
        <f t="shared" si="473"/>
        <v>d.investigar</v>
      </c>
      <c r="G1146" s="42" t="s">
        <v>7826</v>
      </c>
      <c r="H1146" s="41" t="s">
        <v>2121</v>
      </c>
      <c r="I1146" s="16" t="str">
        <f t="shared" si="468"/>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43"/>
        <v>Propriedade destinada a investigar: é.laboratório.automatizado</v>
      </c>
      <c r="V1146" s="5" t="str">
        <f t="shared" si="444"/>
        <v>Dado para investigar:  laboratório.automatizado  Deve ser formatado como (rdfs:Literal  or  xsd:string)</v>
      </c>
      <c r="W1146" s="75" t="s">
        <v>7924</v>
      </c>
      <c r="X1146" s="24" t="str">
        <f t="shared" si="445"/>
        <v>inves.127</v>
      </c>
      <c r="Y1146" s="24" t="str">
        <f t="shared" si="446"/>
        <v>Ação de investigar</v>
      </c>
      <c r="Z1146" s="77" t="s">
        <v>8042</v>
      </c>
      <c r="AA1146" s="25" t="str">
        <f t="shared" si="469"/>
        <v>categoria.revit</v>
      </c>
      <c r="AB1146" s="73" t="s">
        <v>7824</v>
      </c>
      <c r="AC1146" s="25" t="str">
        <f t="shared" si="470"/>
        <v>classe.ifc</v>
      </c>
      <c r="AD1146" s="74" t="s">
        <v>3469</v>
      </c>
      <c r="AE1146" s="25" t="str">
        <f t="shared" si="471"/>
        <v>propriedade</v>
      </c>
      <c r="AF1146" s="26" t="s">
        <v>7767</v>
      </c>
      <c r="AG1146" s="47" t="s">
        <v>8133</v>
      </c>
    </row>
    <row r="1147" spans="1:33" s="72" customFormat="1" ht="6.9" customHeight="1" x14ac:dyDescent="0.35">
      <c r="A1147" s="4">
        <f>ROW()</f>
        <v>1147</v>
      </c>
      <c r="B1147" s="9" t="s">
        <v>27</v>
      </c>
      <c r="C1147" s="55" t="str">
        <f t="shared" si="472"/>
        <v>p.investigar</v>
      </c>
      <c r="D1147" s="6" t="str">
        <f t="shared" si="462"/>
        <v>é.laboratório.clínico</v>
      </c>
      <c r="E1147" s="8" t="s">
        <v>28</v>
      </c>
      <c r="F1147" s="42" t="str">
        <f t="shared" si="473"/>
        <v>d.investigar</v>
      </c>
      <c r="G1147" s="42" t="s">
        <v>7848</v>
      </c>
      <c r="H1147" s="41" t="s">
        <v>2121</v>
      </c>
      <c r="I1147" s="16" t="str">
        <f t="shared" si="468"/>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43"/>
        <v>Propriedade destinada a investigar: é.laboratório.clínico</v>
      </c>
      <c r="V1147" s="5" t="str">
        <f t="shared" si="444"/>
        <v>Dado para investigar:  laboratório.clínico  Deve ser formatado como (rdfs:Literal  or  xsd:string)</v>
      </c>
      <c r="W1147" s="75" t="s">
        <v>7925</v>
      </c>
      <c r="X1147" s="24" t="str">
        <f t="shared" si="445"/>
        <v>inves.128</v>
      </c>
      <c r="Y1147" s="24" t="str">
        <f t="shared" si="446"/>
        <v>Ação de investigar</v>
      </c>
      <c r="Z1147" s="77" t="s">
        <v>8043</v>
      </c>
      <c r="AA1147" s="25" t="str">
        <f t="shared" si="469"/>
        <v>categoria.revit</v>
      </c>
      <c r="AB1147" s="73" t="s">
        <v>7824</v>
      </c>
      <c r="AC1147" s="25" t="str">
        <f t="shared" si="470"/>
        <v>classe.ifc</v>
      </c>
      <c r="AD1147" s="74" t="s">
        <v>3469</v>
      </c>
      <c r="AE1147" s="25" t="str">
        <f t="shared" si="471"/>
        <v>propriedade</v>
      </c>
      <c r="AF1147" s="26" t="s">
        <v>7775</v>
      </c>
      <c r="AG1147" s="47" t="s">
        <v>8134</v>
      </c>
    </row>
    <row r="1148" spans="1:33" s="72" customFormat="1" ht="6.9" customHeight="1" x14ac:dyDescent="0.35">
      <c r="A1148" s="4">
        <f>ROW()</f>
        <v>1148</v>
      </c>
      <c r="B1148" s="9" t="s">
        <v>27</v>
      </c>
      <c r="C1148" s="55" t="str">
        <f t="shared" si="472"/>
        <v>p.investigar</v>
      </c>
      <c r="D1148" s="6" t="str">
        <f t="shared" si="462"/>
        <v>é.laboratório.de.astronomia</v>
      </c>
      <c r="E1148" s="8" t="s">
        <v>28</v>
      </c>
      <c r="F1148" s="42" t="str">
        <f t="shared" si="473"/>
        <v>d.investigar</v>
      </c>
      <c r="G1148" s="42" t="s">
        <v>7838</v>
      </c>
      <c r="H1148" s="41" t="s">
        <v>2121</v>
      </c>
      <c r="I1148" s="16" t="str">
        <f t="shared" si="468"/>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43"/>
        <v>Propriedade destinada a investigar: é.laboratório.de.astronomia</v>
      </c>
      <c r="V1148" s="5" t="str">
        <f t="shared" si="444"/>
        <v>Dado para investigar:  laboratório.de.astronomia  Deve ser formatado como (rdfs:Literal  or  xsd:string)</v>
      </c>
      <c r="W1148" s="75" t="s">
        <v>7915</v>
      </c>
      <c r="X1148" s="24" t="str">
        <f t="shared" si="445"/>
        <v>inves.129</v>
      </c>
      <c r="Y1148" s="24" t="str">
        <f t="shared" si="446"/>
        <v>Ação de investigar</v>
      </c>
      <c r="Z1148" s="77" t="s">
        <v>8044</v>
      </c>
      <c r="AA1148" s="25" t="str">
        <f t="shared" si="469"/>
        <v>categoria.revit</v>
      </c>
      <c r="AB1148" s="73" t="s">
        <v>7824</v>
      </c>
      <c r="AC1148" s="25" t="str">
        <f t="shared" si="470"/>
        <v>classe.ifc</v>
      </c>
      <c r="AD1148" s="74" t="s">
        <v>3469</v>
      </c>
      <c r="AE1148" s="25" t="str">
        <f t="shared" si="471"/>
        <v>propriedade</v>
      </c>
      <c r="AF1148" s="26" t="s">
        <v>7813</v>
      </c>
      <c r="AG1148" s="47" t="s">
        <v>8135</v>
      </c>
    </row>
    <row r="1149" spans="1:33" s="72" customFormat="1" ht="6.9" customHeight="1" x14ac:dyDescent="0.35">
      <c r="A1149" s="4">
        <f>ROW()</f>
        <v>1149</v>
      </c>
      <c r="B1149" s="9" t="s">
        <v>27</v>
      </c>
      <c r="C1149" s="55" t="str">
        <f t="shared" si="472"/>
        <v>p.investigar</v>
      </c>
      <c r="D1149" s="6" t="str">
        <f t="shared" si="462"/>
        <v>é.laboratório.de.biociência</v>
      </c>
      <c r="E1149" s="8" t="s">
        <v>28</v>
      </c>
      <c r="F1149" s="42" t="str">
        <f t="shared" si="473"/>
        <v>d.investigar</v>
      </c>
      <c r="G1149" s="42" t="s">
        <v>7841</v>
      </c>
      <c r="H1149" s="41" t="s">
        <v>2121</v>
      </c>
      <c r="I1149" s="16" t="str">
        <f t="shared" si="468"/>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43"/>
        <v>Propriedade destinada a investigar: é.laboratório.de.biociência</v>
      </c>
      <c r="V1149" s="5" t="str">
        <f t="shared" si="444"/>
        <v>Dado para investigar:  laboratório.de.biociência  Deve ser formatado como (rdfs:Literal  or  xsd:string)</v>
      </c>
      <c r="W1149" s="75" t="s">
        <v>7916</v>
      </c>
      <c r="X1149" s="24" t="str">
        <f t="shared" si="445"/>
        <v>inves.130</v>
      </c>
      <c r="Y1149" s="24" t="str">
        <f t="shared" si="446"/>
        <v>Ação de investigar</v>
      </c>
      <c r="Z1149" s="77" t="s">
        <v>8045</v>
      </c>
      <c r="AA1149" s="25" t="str">
        <f t="shared" si="469"/>
        <v>categoria.revit</v>
      </c>
      <c r="AB1149" s="73" t="s">
        <v>7824</v>
      </c>
      <c r="AC1149" s="25" t="str">
        <f t="shared" si="470"/>
        <v>classe.ifc</v>
      </c>
      <c r="AD1149" s="74" t="s">
        <v>3469</v>
      </c>
      <c r="AE1149" s="25" t="str">
        <f t="shared" si="471"/>
        <v>propriedade</v>
      </c>
      <c r="AF1149" s="26" t="s">
        <v>7809</v>
      </c>
      <c r="AG1149" s="47" t="s">
        <v>8136</v>
      </c>
    </row>
    <row r="1150" spans="1:33" s="72" customFormat="1" ht="6.9" customHeight="1" x14ac:dyDescent="0.35">
      <c r="A1150" s="4">
        <f>ROW()</f>
        <v>1150</v>
      </c>
      <c r="B1150" s="9" t="s">
        <v>27</v>
      </c>
      <c r="C1150" s="55" t="str">
        <f t="shared" si="472"/>
        <v>p.investigar</v>
      </c>
      <c r="D1150" s="6" t="str">
        <f t="shared" si="462"/>
        <v>é.laboratório.de.física</v>
      </c>
      <c r="E1150" s="8" t="s">
        <v>28</v>
      </c>
      <c r="F1150" s="42" t="str">
        <f t="shared" si="473"/>
        <v>d.investigar</v>
      </c>
      <c r="G1150" s="42" t="s">
        <v>7842</v>
      </c>
      <c r="H1150" s="41" t="s">
        <v>2121</v>
      </c>
      <c r="I1150" s="16" t="str">
        <f t="shared" si="46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43"/>
        <v>Propriedade destinada a investigar: é.laboratório.de.física</v>
      </c>
      <c r="V1150" s="5" t="str">
        <f t="shared" si="444"/>
        <v>Dado para investigar:  laboratório.de.física  Deve ser formatado como (rdfs:Literal  or  xsd:string)</v>
      </c>
      <c r="W1150" s="75" t="s">
        <v>7926</v>
      </c>
      <c r="X1150" s="24" t="str">
        <f t="shared" si="445"/>
        <v>inves.131</v>
      </c>
      <c r="Y1150" s="24" t="str">
        <f t="shared" si="446"/>
        <v>Ação de investigar</v>
      </c>
      <c r="Z1150" s="77" t="s">
        <v>8046</v>
      </c>
      <c r="AA1150" s="25" t="str">
        <f t="shared" si="469"/>
        <v>categoria.revit</v>
      </c>
      <c r="AB1150" s="73" t="s">
        <v>7824</v>
      </c>
      <c r="AC1150" s="25" t="str">
        <f t="shared" si="470"/>
        <v>classe.ifc</v>
      </c>
      <c r="AD1150" s="74" t="s">
        <v>3469</v>
      </c>
      <c r="AE1150" s="25" t="str">
        <f t="shared" si="471"/>
        <v>propriedade</v>
      </c>
      <c r="AF1150" s="26" t="s">
        <v>7810</v>
      </c>
      <c r="AG1150" s="47" t="s">
        <v>8137</v>
      </c>
    </row>
    <row r="1151" spans="1:33" s="72" customFormat="1" ht="6.9" customHeight="1" x14ac:dyDescent="0.35">
      <c r="A1151" s="4">
        <f>ROW()</f>
        <v>1151</v>
      </c>
      <c r="B1151" s="9" t="s">
        <v>27</v>
      </c>
      <c r="C1151" s="55" t="str">
        <f t="shared" si="472"/>
        <v>p.investigar</v>
      </c>
      <c r="D1151" s="6" t="str">
        <f t="shared" si="462"/>
        <v>é.laboratório.de.montagem</v>
      </c>
      <c r="E1151" s="8" t="s">
        <v>28</v>
      </c>
      <c r="F1151" s="42" t="str">
        <f t="shared" si="473"/>
        <v>d.investigar</v>
      </c>
      <c r="G1151" s="42" t="s">
        <v>7843</v>
      </c>
      <c r="H1151" s="41" t="s">
        <v>2121</v>
      </c>
      <c r="I1151" s="16" t="str">
        <f t="shared" si="46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43"/>
        <v>Propriedade destinada a investigar: é.laboratório.de.montagem</v>
      </c>
      <c r="V1151" s="5" t="str">
        <f t="shared" si="444"/>
        <v>Dado para investigar:  laboratório.de.montagem  Deve ser formatado como (rdfs:Literal  or  xsd:string)</v>
      </c>
      <c r="W1151" s="75" t="s">
        <v>7927</v>
      </c>
      <c r="X1151" s="24" t="str">
        <f t="shared" si="445"/>
        <v>inves.132</v>
      </c>
      <c r="Y1151" s="24" t="str">
        <f t="shared" si="446"/>
        <v>Ação de investigar</v>
      </c>
      <c r="Z1151" s="77" t="s">
        <v>8047</v>
      </c>
      <c r="AA1151" s="25" t="str">
        <f t="shared" si="469"/>
        <v>categoria.revit</v>
      </c>
      <c r="AB1151" s="73" t="s">
        <v>7824</v>
      </c>
      <c r="AC1151" s="25" t="str">
        <f t="shared" si="470"/>
        <v>classe.ifc</v>
      </c>
      <c r="AD1151" s="74" t="s">
        <v>3469</v>
      </c>
      <c r="AE1151" s="25" t="str">
        <f t="shared" si="471"/>
        <v>propriedade</v>
      </c>
      <c r="AF1151" s="26" t="s">
        <v>7822</v>
      </c>
      <c r="AG1151" s="47" t="s">
        <v>8138</v>
      </c>
    </row>
    <row r="1152" spans="1:33" s="72" customFormat="1" ht="6.9" customHeight="1" x14ac:dyDescent="0.35">
      <c r="A1152" s="4">
        <f>ROW()</f>
        <v>1152</v>
      </c>
      <c r="B1152" s="9" t="s">
        <v>27</v>
      </c>
      <c r="C1152" s="55" t="str">
        <f t="shared" si="472"/>
        <v>p.investigar</v>
      </c>
      <c r="D1152" s="6" t="str">
        <f t="shared" si="462"/>
        <v>é.laboratório.de.perícia</v>
      </c>
      <c r="E1152" s="8" t="s">
        <v>28</v>
      </c>
      <c r="F1152" s="42" t="str">
        <f t="shared" si="473"/>
        <v>d.investigar</v>
      </c>
      <c r="G1152" s="42" t="s">
        <v>7839</v>
      </c>
      <c r="H1152" s="41" t="s">
        <v>2121</v>
      </c>
      <c r="I1152" s="16" t="str">
        <f t="shared" si="46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43"/>
        <v>Propriedade destinada a investigar: é.laboratório.de.perícia</v>
      </c>
      <c r="V1152" s="5" t="str">
        <f t="shared" si="444"/>
        <v>Dado para investigar:  laboratório.de.perícia  Deve ser formatado como (rdfs:Literal  or  xsd:string)</v>
      </c>
      <c r="W1152" s="75" t="s">
        <v>7912</v>
      </c>
      <c r="X1152" s="24" t="str">
        <f t="shared" si="445"/>
        <v>inves.133</v>
      </c>
      <c r="Y1152" s="24" t="str">
        <f t="shared" si="446"/>
        <v>Ação de investigar</v>
      </c>
      <c r="Z1152" s="77" t="s">
        <v>8048</v>
      </c>
      <c r="AA1152" s="25" t="str">
        <f t="shared" si="469"/>
        <v>categoria.revit</v>
      </c>
      <c r="AB1152" s="73" t="s">
        <v>7824</v>
      </c>
      <c r="AC1152" s="25" t="str">
        <f t="shared" si="470"/>
        <v>classe.ifc</v>
      </c>
      <c r="AD1152" s="74" t="s">
        <v>3469</v>
      </c>
      <c r="AE1152" s="25" t="str">
        <f t="shared" si="471"/>
        <v>propriedade</v>
      </c>
      <c r="AF1152" s="26" t="s">
        <v>7818</v>
      </c>
      <c r="AG1152" s="47" t="s">
        <v>8139</v>
      </c>
    </row>
    <row r="1153" spans="1:33" s="72" customFormat="1" ht="6.9" customHeight="1" x14ac:dyDescent="0.35">
      <c r="A1153" s="4">
        <f>ROW()</f>
        <v>1153</v>
      </c>
      <c r="B1153" s="9" t="s">
        <v>27</v>
      </c>
      <c r="C1153" s="55" t="str">
        <f t="shared" si="472"/>
        <v>p.investigar</v>
      </c>
      <c r="D1153" s="6" t="str">
        <f t="shared" si="462"/>
        <v>é.laboratório.de.psicologia</v>
      </c>
      <c r="E1153" s="8" t="s">
        <v>28</v>
      </c>
      <c r="F1153" s="42" t="str">
        <f t="shared" si="473"/>
        <v>d.investigar</v>
      </c>
      <c r="G1153" s="42" t="s">
        <v>7840</v>
      </c>
      <c r="H1153" s="41" t="s">
        <v>2121</v>
      </c>
      <c r="I1153" s="16" t="str">
        <f t="shared" si="46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43"/>
        <v>Propriedade destinada a investigar: é.laboratório.de.psicologia</v>
      </c>
      <c r="V1153" s="5" t="str">
        <f t="shared" si="444"/>
        <v>Dado para investigar:  laboratório.de.psicologia  Deve ser formatado como (rdfs:Literal  or  xsd:string)</v>
      </c>
      <c r="W1153" s="75" t="s">
        <v>7913</v>
      </c>
      <c r="X1153" s="24" t="str">
        <f t="shared" si="445"/>
        <v>inves.134</v>
      </c>
      <c r="Y1153" s="24" t="str">
        <f t="shared" si="446"/>
        <v>Ação de investigar</v>
      </c>
      <c r="Z1153" s="77" t="s">
        <v>8049</v>
      </c>
      <c r="AA1153" s="25" t="str">
        <f t="shared" si="469"/>
        <v>categoria.revit</v>
      </c>
      <c r="AB1153" s="73" t="s">
        <v>7824</v>
      </c>
      <c r="AC1153" s="25" t="str">
        <f t="shared" si="470"/>
        <v>classe.ifc</v>
      </c>
      <c r="AD1153" s="74" t="s">
        <v>3469</v>
      </c>
      <c r="AE1153" s="25" t="str">
        <f t="shared" si="471"/>
        <v>propriedade</v>
      </c>
      <c r="AF1153" s="26" t="s">
        <v>7819</v>
      </c>
      <c r="AG1153" s="47" t="s">
        <v>8140</v>
      </c>
    </row>
    <row r="1154" spans="1:33" s="72" customFormat="1" ht="6.9" customHeight="1" x14ac:dyDescent="0.35">
      <c r="A1154" s="4">
        <f>ROW()</f>
        <v>1154</v>
      </c>
      <c r="B1154" s="9" t="s">
        <v>27</v>
      </c>
      <c r="C1154" s="55" t="str">
        <f t="shared" si="472"/>
        <v>p.investigar</v>
      </c>
      <c r="D1154" s="6" t="str">
        <f t="shared" si="462"/>
        <v>é.laboratório.de.teste</v>
      </c>
      <c r="E1154" s="8" t="s">
        <v>28</v>
      </c>
      <c r="F1154" s="42" t="str">
        <f t="shared" si="473"/>
        <v>d.investigar</v>
      </c>
      <c r="G1154" s="42" t="s">
        <v>7882</v>
      </c>
      <c r="H1154" s="41" t="s">
        <v>2121</v>
      </c>
      <c r="I1154" s="16" t="str">
        <f t="shared" ref="I1154:I1181" si="475">J1154</f>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76">_xlfn.CONCAT("Propriedade destinada a ",MID(C1154,FIND("p.",C1154,1)+2,100),": ",D1154)</f>
        <v>Propriedade destinada a investigar: é.laboratório.de.teste</v>
      </c>
      <c r="V1154" s="5" t="str">
        <f t="shared" ref="V1154:V1217" si="477">_xlfn.CONCAT("Dado para ",MID(F1154,FIND("d.",F1154,1)+2,100),":  ",G1154, "  Deve ser formatado como (",H1154, ")")</f>
        <v>Dado para investigar:  laboratório.de.teste  Deve ser formatado como (rdfs:Literal  or  xsd:string)</v>
      </c>
      <c r="W1154" s="75" t="s">
        <v>7914</v>
      </c>
      <c r="X1154" s="24" t="str">
        <f t="shared" si="445"/>
        <v>inves.135</v>
      </c>
      <c r="Y1154" s="24" t="str">
        <f t="shared" si="446"/>
        <v>Ação de investigar</v>
      </c>
      <c r="Z1154" s="77" t="s">
        <v>8050</v>
      </c>
      <c r="AA1154" s="25" t="str">
        <f t="shared" ref="AA1154:AA1181" si="478">IF(AB1154="null", "null", "categoria.revit")</f>
        <v>categoria.revit</v>
      </c>
      <c r="AB1154" s="73" t="s">
        <v>7824</v>
      </c>
      <c r="AC1154" s="25" t="str">
        <f t="shared" ref="AC1154:AC1181" si="479">IF(AD1154="null", "null", "classe.ifc")</f>
        <v>classe.ifc</v>
      </c>
      <c r="AD1154" s="74" t="s">
        <v>3469</v>
      </c>
      <c r="AE1154" s="25" t="str">
        <f t="shared" ref="AE1154:AE1181" si="480">IF(AF1154="null", "null", "propriedade")</f>
        <v>propriedade</v>
      </c>
      <c r="AF1154" s="26" t="s">
        <v>7820</v>
      </c>
      <c r="AG1154" s="47" t="s">
        <v>8141</v>
      </c>
    </row>
    <row r="1155" spans="1:33" s="72" customFormat="1" ht="6.9" customHeight="1" x14ac:dyDescent="0.35">
      <c r="A1155" s="4">
        <f>ROW()</f>
        <v>1155</v>
      </c>
      <c r="B1155" s="9" t="s">
        <v>27</v>
      </c>
      <c r="C1155" s="55" t="str">
        <f t="shared" ref="C1155:C1181" si="481">SUBSTITUTE(F1155,"d.","p.")</f>
        <v>p.investigar</v>
      </c>
      <c r="D1155" s="6" t="str">
        <f t="shared" si="462"/>
        <v>é.líquido.e.gás</v>
      </c>
      <c r="E1155" s="8" t="s">
        <v>28</v>
      </c>
      <c r="F1155" s="42" t="str">
        <f t="shared" ref="F1155:F1181" si="482">F1154</f>
        <v>d.investigar</v>
      </c>
      <c r="G1155" s="42" t="s">
        <v>7886</v>
      </c>
      <c r="H1155" s="41" t="s">
        <v>2121</v>
      </c>
      <c r="I1155" s="16" t="str">
        <f t="shared" si="47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76"/>
        <v>Propriedade destinada a investigar: é.líquido.e.gás</v>
      </c>
      <c r="V1155" s="5" t="str">
        <f t="shared" si="477"/>
        <v>Dado para investigar:  líquido.e.gás  Deve ser formatado como (rdfs:Literal  or  xsd:string)</v>
      </c>
      <c r="W1155" s="75" t="s">
        <v>7928</v>
      </c>
      <c r="X1155" s="24" t="str">
        <f t="shared" ref="X1155:X1218" si="483">IF(F1154&lt;&gt;F1155,_xlfn.CONCAT(RIGHT(LEFT(F1155,7),5),".100"),_xlfn.CONCAT(RIGHT(LEFT(F1155,7),5),".",SUM(VALUE(RIGHT(X1154,3)),1)))</f>
        <v>inves.136</v>
      </c>
      <c r="Y1155" s="24" t="str">
        <f t="shared" ref="Y1155:Y1218" si="484">_xlfn.CONCAT("Ação de ", SUBSTITUTE(F1155, "d.",  ""))</f>
        <v>Ação de investigar</v>
      </c>
      <c r="Z1155" s="77" t="s">
        <v>8051</v>
      </c>
      <c r="AA1155" s="25" t="str">
        <f t="shared" si="478"/>
        <v>categoria.revit</v>
      </c>
      <c r="AB1155" s="73" t="s">
        <v>7824</v>
      </c>
      <c r="AC1155" s="25" t="str">
        <f t="shared" si="479"/>
        <v>classe.ifc</v>
      </c>
      <c r="AD1155" s="74" t="s">
        <v>3469</v>
      </c>
      <c r="AE1155" s="25" t="str">
        <f t="shared" si="480"/>
        <v>propriedade</v>
      </c>
      <c r="AF1155" s="26" t="s">
        <v>7823</v>
      </c>
      <c r="AG1155" s="47" t="s">
        <v>8142</v>
      </c>
    </row>
    <row r="1156" spans="1:33" s="72" customFormat="1" ht="6.9" customHeight="1" x14ac:dyDescent="0.35">
      <c r="A1156" s="4">
        <f>ROW()</f>
        <v>1156</v>
      </c>
      <c r="B1156" s="9" t="s">
        <v>27</v>
      </c>
      <c r="C1156" s="55" t="str">
        <f t="shared" si="481"/>
        <v>p.investigar</v>
      </c>
      <c r="D1156" s="6" t="str">
        <f t="shared" si="462"/>
        <v>é.maxilofacial</v>
      </c>
      <c r="E1156" s="8" t="s">
        <v>28</v>
      </c>
      <c r="F1156" s="42" t="str">
        <f t="shared" si="482"/>
        <v>d.investigar</v>
      </c>
      <c r="G1156" s="42" t="s">
        <v>7853</v>
      </c>
      <c r="H1156" s="41" t="s">
        <v>2121</v>
      </c>
      <c r="I1156" s="16" t="str">
        <f t="shared" si="475"/>
        <v>null</v>
      </c>
      <c r="J1156" s="13" t="s">
        <v>0</v>
      </c>
      <c r="K1156" s="13" t="s">
        <v>0</v>
      </c>
      <c r="L1156" s="13" t="s">
        <v>0</v>
      </c>
      <c r="M1156" s="13" t="s">
        <v>0</v>
      </c>
      <c r="N1156" s="15" t="s">
        <v>0</v>
      </c>
      <c r="O1156" s="13" t="s">
        <v>0</v>
      </c>
      <c r="P1156" s="13" t="s">
        <v>0</v>
      </c>
      <c r="Q1156" s="13" t="s">
        <v>0</v>
      </c>
      <c r="R1156" s="15" t="s">
        <v>7931</v>
      </c>
      <c r="S1156" s="10" t="s">
        <v>1</v>
      </c>
      <c r="T1156" s="10" t="s">
        <v>32</v>
      </c>
      <c r="U1156" s="5" t="str">
        <f t="shared" si="476"/>
        <v>Propriedade destinada a investigar: é.maxilofacial</v>
      </c>
      <c r="V1156" s="5" t="str">
        <f t="shared" si="477"/>
        <v>Dado para investigar:  maxilofacial  Deve ser formatado como (rdfs:Literal  or  xsd:string)</v>
      </c>
      <c r="W1156" s="75" t="s">
        <v>7911</v>
      </c>
      <c r="X1156" s="24" t="str">
        <f t="shared" si="483"/>
        <v>inves.137</v>
      </c>
      <c r="Y1156" s="24" t="str">
        <f t="shared" si="484"/>
        <v>Ação de investigar</v>
      </c>
      <c r="Z1156" s="77" t="s">
        <v>8052</v>
      </c>
      <c r="AA1156" s="25" t="str">
        <f t="shared" si="478"/>
        <v>categoria.revit</v>
      </c>
      <c r="AB1156" s="73" t="s">
        <v>7824</v>
      </c>
      <c r="AC1156" s="25" t="str">
        <f t="shared" si="479"/>
        <v>classe.ifc</v>
      </c>
      <c r="AD1156" s="74" t="s">
        <v>3469</v>
      </c>
      <c r="AE1156" s="25" t="str">
        <f t="shared" si="480"/>
        <v>propriedade</v>
      </c>
      <c r="AF1156" s="26" t="s">
        <v>7799</v>
      </c>
      <c r="AG1156" s="47" t="s">
        <v>8143</v>
      </c>
    </row>
    <row r="1157" spans="1:33" s="72" customFormat="1" ht="6.9" customHeight="1" x14ac:dyDescent="0.35">
      <c r="A1157" s="4">
        <f>ROW()</f>
        <v>1157</v>
      </c>
      <c r="B1157" s="9" t="s">
        <v>27</v>
      </c>
      <c r="C1157" s="55" t="str">
        <f t="shared" si="481"/>
        <v>p.investigar</v>
      </c>
      <c r="D1157" s="6" t="str">
        <f t="shared" si="462"/>
        <v>é.micobactérias</v>
      </c>
      <c r="E1157" s="8" t="s">
        <v>28</v>
      </c>
      <c r="F1157" s="42" t="str">
        <f t="shared" si="482"/>
        <v>d.investigar</v>
      </c>
      <c r="G1157" s="42" t="s">
        <v>7892</v>
      </c>
      <c r="H1157" s="41" t="s">
        <v>2121</v>
      </c>
      <c r="I1157" s="16" t="str">
        <f t="shared" si="475"/>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6"/>
        <v>Propriedade destinada a investigar: é.micobactérias</v>
      </c>
      <c r="V1157" s="5" t="str">
        <f t="shared" si="477"/>
        <v>Dado para investigar:  micobactérias  Deve ser formatado como (rdfs:Literal  or  xsd:string)</v>
      </c>
      <c r="W1157" s="75" t="s">
        <v>7891</v>
      </c>
      <c r="X1157" s="24" t="str">
        <f t="shared" si="483"/>
        <v>inves.138</v>
      </c>
      <c r="Y1157" s="24" t="str">
        <f t="shared" si="484"/>
        <v>Ação de investigar</v>
      </c>
      <c r="Z1157" s="77" t="s">
        <v>8053</v>
      </c>
      <c r="AA1157" s="25" t="str">
        <f t="shared" si="478"/>
        <v>categoria.revit</v>
      </c>
      <c r="AB1157" s="73" t="s">
        <v>7824</v>
      </c>
      <c r="AC1157" s="25" t="str">
        <f t="shared" si="479"/>
        <v>classe.ifc</v>
      </c>
      <c r="AD1157" s="74" t="s">
        <v>3469</v>
      </c>
      <c r="AE1157" s="25" t="str">
        <f t="shared" si="480"/>
        <v>propriedade</v>
      </c>
      <c r="AF1157" s="26" t="s">
        <v>7782</v>
      </c>
      <c r="AG1157" s="47" t="s">
        <v>8144</v>
      </c>
    </row>
    <row r="1158" spans="1:33" s="72" customFormat="1" ht="6.9" customHeight="1" x14ac:dyDescent="0.35">
      <c r="A1158" s="4">
        <f>ROW()</f>
        <v>1158</v>
      </c>
      <c r="B1158" s="9" t="s">
        <v>27</v>
      </c>
      <c r="C1158" s="55" t="str">
        <f t="shared" si="481"/>
        <v>p.investigar</v>
      </c>
      <c r="D1158" s="6" t="str">
        <f t="shared" si="462"/>
        <v>é.micologia</v>
      </c>
      <c r="E1158" s="8" t="s">
        <v>28</v>
      </c>
      <c r="F1158" s="42" t="str">
        <f t="shared" si="482"/>
        <v>d.investigar</v>
      </c>
      <c r="G1158" s="42" t="s">
        <v>7832</v>
      </c>
      <c r="H1158" s="41" t="s">
        <v>2121</v>
      </c>
      <c r="I1158" s="16" t="str">
        <f t="shared" si="475"/>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6"/>
        <v>Propriedade destinada a investigar: é.micologia</v>
      </c>
      <c r="V1158" s="5" t="str">
        <f t="shared" si="477"/>
        <v>Dado para investigar:  micologia  Deve ser formatado como (rdfs:Literal  or  xsd:string)</v>
      </c>
      <c r="W1158" s="75" t="s">
        <v>7894</v>
      </c>
      <c r="X1158" s="24" t="str">
        <f t="shared" si="483"/>
        <v>inves.139</v>
      </c>
      <c r="Y1158" s="24" t="str">
        <f t="shared" si="484"/>
        <v>Ação de investigar</v>
      </c>
      <c r="Z1158" s="77" t="s">
        <v>8054</v>
      </c>
      <c r="AA1158" s="25" t="str">
        <f t="shared" si="478"/>
        <v>categoria.revit</v>
      </c>
      <c r="AB1158" s="73" t="s">
        <v>7824</v>
      </c>
      <c r="AC1158" s="25" t="str">
        <f t="shared" si="479"/>
        <v>classe.ifc</v>
      </c>
      <c r="AD1158" s="74" t="s">
        <v>3469</v>
      </c>
      <c r="AE1158" s="25" t="str">
        <f t="shared" si="480"/>
        <v>propriedade</v>
      </c>
      <c r="AF1158" s="26" t="s">
        <v>7784</v>
      </c>
      <c r="AG1158" s="47" t="s">
        <v>8145</v>
      </c>
    </row>
    <row r="1159" spans="1:33" s="72" customFormat="1" ht="6.9" customHeight="1" x14ac:dyDescent="0.35">
      <c r="A1159" s="4">
        <f>ROW()</f>
        <v>1159</v>
      </c>
      <c r="B1159" s="9" t="s">
        <v>27</v>
      </c>
      <c r="C1159" s="55" t="str">
        <f t="shared" si="481"/>
        <v>p.investigar</v>
      </c>
      <c r="D1159" s="6" t="str">
        <f t="shared" si="462"/>
        <v>é.micologia.microbiológica</v>
      </c>
      <c r="E1159" s="8" t="s">
        <v>28</v>
      </c>
      <c r="F1159" s="42" t="str">
        <f t="shared" si="482"/>
        <v>d.investigar</v>
      </c>
      <c r="G1159" s="42" t="s">
        <v>7889</v>
      </c>
      <c r="H1159" s="41" t="s">
        <v>2121</v>
      </c>
      <c r="I1159" s="16" t="str">
        <f t="shared" si="475"/>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76"/>
        <v>Propriedade destinada a investigar: é.micologia.microbiológica</v>
      </c>
      <c r="V1159" s="5" t="str">
        <f t="shared" si="477"/>
        <v>Dado para investigar:  micologia.microbiológica  Deve ser formatado como (rdfs:Literal  or  xsd:string)</v>
      </c>
      <c r="W1159" s="75" t="s">
        <v>7893</v>
      </c>
      <c r="X1159" s="24" t="str">
        <f t="shared" si="483"/>
        <v>inves.140</v>
      </c>
      <c r="Y1159" s="24" t="str">
        <f t="shared" si="484"/>
        <v>Ação de investigar</v>
      </c>
      <c r="Z1159" s="77" t="s">
        <v>8055</v>
      </c>
      <c r="AA1159" s="25" t="str">
        <f t="shared" si="478"/>
        <v>categoria.revit</v>
      </c>
      <c r="AB1159" s="73" t="s">
        <v>7824</v>
      </c>
      <c r="AC1159" s="25" t="str">
        <f t="shared" si="479"/>
        <v>classe.ifc</v>
      </c>
      <c r="AD1159" s="74" t="s">
        <v>3469</v>
      </c>
      <c r="AE1159" s="25" t="str">
        <f t="shared" si="480"/>
        <v>propriedade</v>
      </c>
      <c r="AF1159" s="26" t="s">
        <v>7781</v>
      </c>
      <c r="AG1159" s="47" t="s">
        <v>8146</v>
      </c>
    </row>
    <row r="1160" spans="1:33" s="72" customFormat="1" ht="6.9" customHeight="1" x14ac:dyDescent="0.35">
      <c r="A1160" s="4">
        <f>ROW()</f>
        <v>1160</v>
      </c>
      <c r="B1160" s="9" t="s">
        <v>27</v>
      </c>
      <c r="C1160" s="55" t="str">
        <f t="shared" si="481"/>
        <v>p.investigar</v>
      </c>
      <c r="D1160" s="6" t="str">
        <f t="shared" si="462"/>
        <v>é.microbiologia.clínica</v>
      </c>
      <c r="E1160" s="8" t="s">
        <v>28</v>
      </c>
      <c r="F1160" s="42" t="str">
        <f t="shared" si="482"/>
        <v>d.investigar</v>
      </c>
      <c r="G1160" s="42" t="s">
        <v>7850</v>
      </c>
      <c r="H1160" s="41" t="s">
        <v>2121</v>
      </c>
      <c r="I1160" s="16" t="str">
        <f t="shared" si="475"/>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6"/>
        <v>Propriedade destinada a investigar: é.microbiologia.clínica</v>
      </c>
      <c r="V1160" s="5" t="str">
        <f t="shared" si="477"/>
        <v>Dado para investigar:  microbiologia.clínica  Deve ser formatado como (rdfs:Literal  or  xsd:string)</v>
      </c>
      <c r="W1160" s="75" t="s">
        <v>7934</v>
      </c>
      <c r="X1160" s="24" t="str">
        <f t="shared" si="483"/>
        <v>inves.141</v>
      </c>
      <c r="Y1160" s="24" t="str">
        <f t="shared" si="484"/>
        <v>Ação de investigar</v>
      </c>
      <c r="Z1160" s="77" t="s">
        <v>8056</v>
      </c>
      <c r="AA1160" s="25" t="str">
        <f t="shared" si="478"/>
        <v>categoria.revit</v>
      </c>
      <c r="AB1160" s="73" t="s">
        <v>7824</v>
      </c>
      <c r="AC1160" s="25" t="str">
        <f t="shared" si="479"/>
        <v>classe.ifc</v>
      </c>
      <c r="AD1160" s="74" t="s">
        <v>3469</v>
      </c>
      <c r="AE1160" s="25" t="str">
        <f t="shared" si="480"/>
        <v>propriedade</v>
      </c>
      <c r="AF1160" s="26" t="s">
        <v>7771</v>
      </c>
      <c r="AG1160" s="47" t="s">
        <v>8147</v>
      </c>
    </row>
    <row r="1161" spans="1:33" s="72" customFormat="1" ht="6.9" customHeight="1" x14ac:dyDescent="0.35">
      <c r="A1161" s="4">
        <f>ROW()</f>
        <v>1161</v>
      </c>
      <c r="B1161" s="9" t="s">
        <v>27</v>
      </c>
      <c r="C1161" s="55" t="str">
        <f t="shared" si="481"/>
        <v>p.investigar</v>
      </c>
      <c r="D1161" s="6" t="str">
        <f t="shared" si="462"/>
        <v>é.microbiologia.cultura</v>
      </c>
      <c r="E1161" s="8" t="s">
        <v>28</v>
      </c>
      <c r="F1161" s="42" t="str">
        <f t="shared" si="482"/>
        <v>d.investigar</v>
      </c>
      <c r="G1161" s="42" t="s">
        <v>7933</v>
      </c>
      <c r="H1161" s="41" t="s">
        <v>2121</v>
      </c>
      <c r="I1161" s="16" t="str">
        <f t="shared" si="475"/>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6"/>
        <v>Propriedade destinada a investigar: é.microbiologia.cultura</v>
      </c>
      <c r="V1161" s="5" t="str">
        <f t="shared" si="477"/>
        <v>Dado para investigar:  microbiologia.cultura  Deve ser formatado como (rdfs:Literal  or  xsd:string)</v>
      </c>
      <c r="W1161" s="75" t="s">
        <v>7932</v>
      </c>
      <c r="X1161" s="24" t="str">
        <f t="shared" si="483"/>
        <v>inves.142</v>
      </c>
      <c r="Y1161" s="24" t="str">
        <f t="shared" si="484"/>
        <v>Ação de investigar</v>
      </c>
      <c r="Z1161" s="77" t="s">
        <v>8057</v>
      </c>
      <c r="AA1161" s="25" t="str">
        <f t="shared" si="478"/>
        <v>categoria.revit</v>
      </c>
      <c r="AB1161" s="73" t="s">
        <v>7824</v>
      </c>
      <c r="AC1161" s="25" t="str">
        <f t="shared" si="479"/>
        <v>classe.ifc</v>
      </c>
      <c r="AD1161" s="74" t="s">
        <v>3469</v>
      </c>
      <c r="AE1161" s="25" t="str">
        <f t="shared" si="480"/>
        <v>propriedade</v>
      </c>
      <c r="AF1161" s="26" t="s">
        <v>7795</v>
      </c>
      <c r="AG1161" s="47" t="s">
        <v>8148</v>
      </c>
    </row>
    <row r="1162" spans="1:33" s="72" customFormat="1" ht="6.9" customHeight="1" x14ac:dyDescent="0.35">
      <c r="A1162" s="4">
        <f>ROW()</f>
        <v>1162</v>
      </c>
      <c r="B1162" s="9" t="s">
        <v>27</v>
      </c>
      <c r="C1162" s="55" t="str">
        <f t="shared" si="481"/>
        <v>p.investigar</v>
      </c>
      <c r="D1162" s="6" t="str">
        <f t="shared" si="462"/>
        <v>é.microbiologia.segurança</v>
      </c>
      <c r="E1162" s="8" t="s">
        <v>28</v>
      </c>
      <c r="F1162" s="42" t="str">
        <f t="shared" si="482"/>
        <v>d.investigar</v>
      </c>
      <c r="G1162" s="42" t="s">
        <v>7890</v>
      </c>
      <c r="H1162" s="41" t="s">
        <v>2121</v>
      </c>
      <c r="I1162" s="16" t="str">
        <f t="shared" si="475"/>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6"/>
        <v>Propriedade destinada a investigar: é.microbiologia.segurança</v>
      </c>
      <c r="V1162" s="5" t="str">
        <f t="shared" si="477"/>
        <v>Dado para investigar:  microbiologia.segurança  Deve ser formatado como (rdfs:Literal  or  xsd:string)</v>
      </c>
      <c r="W1162" s="75" t="s">
        <v>7929</v>
      </c>
      <c r="X1162" s="24" t="str">
        <f t="shared" si="483"/>
        <v>inves.143</v>
      </c>
      <c r="Y1162" s="24" t="str">
        <f t="shared" si="484"/>
        <v>Ação de investigar</v>
      </c>
      <c r="Z1162" s="77" t="s">
        <v>8058</v>
      </c>
      <c r="AA1162" s="25" t="str">
        <f t="shared" si="478"/>
        <v>categoria.revit</v>
      </c>
      <c r="AB1162" s="73" t="s">
        <v>7824</v>
      </c>
      <c r="AC1162" s="25" t="str">
        <f t="shared" si="479"/>
        <v>classe.ifc</v>
      </c>
      <c r="AD1162" s="74" t="s">
        <v>3469</v>
      </c>
      <c r="AE1162" s="25" t="str">
        <f t="shared" si="480"/>
        <v>propriedade</v>
      </c>
      <c r="AF1162" s="26" t="s">
        <v>7780</v>
      </c>
      <c r="AG1162" s="47" t="s">
        <v>8149</v>
      </c>
    </row>
    <row r="1163" spans="1:33" s="72" customFormat="1" ht="6.9" customHeight="1" x14ac:dyDescent="0.35">
      <c r="A1163" s="4">
        <f>ROW()</f>
        <v>1163</v>
      </c>
      <c r="B1163" s="9" t="s">
        <v>27</v>
      </c>
      <c r="C1163" s="55" t="str">
        <f t="shared" si="481"/>
        <v>p.investigar</v>
      </c>
      <c r="D1163" s="6" t="str">
        <f t="shared" si="462"/>
        <v>é.mídia.descontaminação</v>
      </c>
      <c r="E1163" s="8" t="s">
        <v>28</v>
      </c>
      <c r="F1163" s="42" t="str">
        <f t="shared" si="482"/>
        <v>d.investigar</v>
      </c>
      <c r="G1163" s="42" t="s">
        <v>7879</v>
      </c>
      <c r="H1163" s="41" t="s">
        <v>2121</v>
      </c>
      <c r="I1163" s="16" t="str">
        <f t="shared" si="475"/>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76"/>
        <v>Propriedade destinada a investigar: é.mídia.descontaminação</v>
      </c>
      <c r="V1163" s="5" t="str">
        <f t="shared" si="477"/>
        <v>Dado para investigar:  mídia.descontaminação  Deve ser formatado como (rdfs:Literal  or  xsd:string)</v>
      </c>
      <c r="W1163" s="75" t="s">
        <v>7865</v>
      </c>
      <c r="X1163" s="24" t="str">
        <f t="shared" si="483"/>
        <v>inves.144</v>
      </c>
      <c r="Y1163" s="24" t="str">
        <f t="shared" si="484"/>
        <v>Ação de investigar</v>
      </c>
      <c r="Z1163" s="77" t="s">
        <v>8059</v>
      </c>
      <c r="AA1163" s="25" t="str">
        <f t="shared" si="478"/>
        <v>categoria.revit</v>
      </c>
      <c r="AB1163" s="73" t="s">
        <v>7824</v>
      </c>
      <c r="AC1163" s="25" t="str">
        <f t="shared" si="479"/>
        <v>classe.ifc</v>
      </c>
      <c r="AD1163" s="74" t="s">
        <v>3469</v>
      </c>
      <c r="AE1163" s="25" t="str">
        <f t="shared" si="480"/>
        <v>propriedade</v>
      </c>
      <c r="AF1163" s="26" t="s">
        <v>7790</v>
      </c>
      <c r="AG1163" s="47" t="s">
        <v>8150</v>
      </c>
    </row>
    <row r="1164" spans="1:33" s="72" customFormat="1" ht="6.9" customHeight="1" x14ac:dyDescent="0.35">
      <c r="A1164" s="4">
        <f>ROW()</f>
        <v>1164</v>
      </c>
      <c r="B1164" s="9" t="s">
        <v>27</v>
      </c>
      <c r="C1164" s="55" t="str">
        <f t="shared" si="481"/>
        <v>p.investigar</v>
      </c>
      <c r="D1164" s="6" t="str">
        <f t="shared" si="462"/>
        <v>é.mídia.esterilização</v>
      </c>
      <c r="E1164" s="8" t="s">
        <v>28</v>
      </c>
      <c r="F1164" s="42" t="str">
        <f t="shared" si="482"/>
        <v>d.investigar</v>
      </c>
      <c r="G1164" s="42" t="s">
        <v>7857</v>
      </c>
      <c r="H1164" s="41" t="s">
        <v>2121</v>
      </c>
      <c r="I1164" s="16" t="str">
        <f t="shared" si="475"/>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76"/>
        <v>Propriedade destinada a investigar: é.mídia.esterilização</v>
      </c>
      <c r="V1164" s="5" t="str">
        <f t="shared" si="477"/>
        <v>Dado para investigar:  mídia.esterilização  Deve ser formatado como (rdfs:Literal  or  xsd:string)</v>
      </c>
      <c r="W1164" s="75" t="s">
        <v>7895</v>
      </c>
      <c r="X1164" s="24" t="str">
        <f t="shared" si="483"/>
        <v>inves.145</v>
      </c>
      <c r="Y1164" s="24" t="str">
        <f t="shared" si="484"/>
        <v>Ação de investigar</v>
      </c>
      <c r="Z1164" s="77" t="s">
        <v>8060</v>
      </c>
      <c r="AA1164" s="25" t="str">
        <f t="shared" si="478"/>
        <v>categoria.revit</v>
      </c>
      <c r="AB1164" s="73" t="s">
        <v>7824</v>
      </c>
      <c r="AC1164" s="25" t="str">
        <f t="shared" si="479"/>
        <v>classe.ifc</v>
      </c>
      <c r="AD1164" s="74" t="s">
        <v>3469</v>
      </c>
      <c r="AE1164" s="25" t="str">
        <f t="shared" si="480"/>
        <v>propriedade</v>
      </c>
      <c r="AF1164" s="26" t="s">
        <v>7793</v>
      </c>
      <c r="AG1164" s="47" t="s">
        <v>8151</v>
      </c>
    </row>
    <row r="1165" spans="1:33" s="72" customFormat="1" ht="6.9" customHeight="1" x14ac:dyDescent="0.35">
      <c r="A1165" s="4">
        <f>ROW()</f>
        <v>1165</v>
      </c>
      <c r="B1165" s="9" t="s">
        <v>27</v>
      </c>
      <c r="C1165" s="55" t="str">
        <f t="shared" si="481"/>
        <v>p.investigar</v>
      </c>
      <c r="D1165" s="6" t="str">
        <f t="shared" si="462"/>
        <v>é.mídia.lâmina</v>
      </c>
      <c r="E1165" s="8" t="s">
        <v>28</v>
      </c>
      <c r="F1165" s="42" t="str">
        <f t="shared" si="482"/>
        <v>d.investigar</v>
      </c>
      <c r="G1165" s="42" t="s">
        <v>7880</v>
      </c>
      <c r="H1165" s="41" t="s">
        <v>2121</v>
      </c>
      <c r="I1165" s="16" t="str">
        <f t="shared" si="475"/>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76"/>
        <v>Propriedade destinada a investigar: é.mídia.lâmina</v>
      </c>
      <c r="V1165" s="5" t="str">
        <f t="shared" si="477"/>
        <v>Dado para investigar:  mídia.lâmina  Deve ser formatado como (rdfs:Literal  or  xsd:string)</v>
      </c>
      <c r="W1165" s="75" t="s">
        <v>7896</v>
      </c>
      <c r="X1165" s="24" t="str">
        <f t="shared" si="483"/>
        <v>inves.146</v>
      </c>
      <c r="Y1165" s="24" t="str">
        <f t="shared" si="484"/>
        <v>Ação de investigar</v>
      </c>
      <c r="Z1165" s="77" t="s">
        <v>8061</v>
      </c>
      <c r="AA1165" s="25" t="str">
        <f t="shared" si="478"/>
        <v>categoria.revit</v>
      </c>
      <c r="AB1165" s="73" t="s">
        <v>7824</v>
      </c>
      <c r="AC1165" s="25" t="str">
        <f t="shared" si="479"/>
        <v>classe.ifc</v>
      </c>
      <c r="AD1165" s="74" t="s">
        <v>3469</v>
      </c>
      <c r="AE1165" s="25" t="str">
        <f t="shared" si="480"/>
        <v>propriedade</v>
      </c>
      <c r="AF1165" s="26" t="s">
        <v>7792</v>
      </c>
      <c r="AG1165" s="47" t="s">
        <v>8152</v>
      </c>
    </row>
    <row r="1166" spans="1:33" s="72" customFormat="1" ht="6.9" customHeight="1" x14ac:dyDescent="0.35">
      <c r="A1166" s="4">
        <f>ROW()</f>
        <v>1166</v>
      </c>
      <c r="B1166" s="9" t="s">
        <v>27</v>
      </c>
      <c r="C1166" s="55" t="str">
        <f t="shared" si="481"/>
        <v>p.investigar</v>
      </c>
      <c r="D1166" s="6" t="str">
        <f t="shared" si="462"/>
        <v>é.mídia.lavagem</v>
      </c>
      <c r="E1166" s="8" t="s">
        <v>28</v>
      </c>
      <c r="F1166" s="42" t="str">
        <f t="shared" si="482"/>
        <v>d.investigar</v>
      </c>
      <c r="G1166" s="42" t="s">
        <v>7856</v>
      </c>
      <c r="H1166" s="41" t="s">
        <v>2121</v>
      </c>
      <c r="I1166" s="16" t="str">
        <f t="shared" si="475"/>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76"/>
        <v>Propriedade destinada a investigar: é.mídia.lavagem</v>
      </c>
      <c r="V1166" s="5" t="str">
        <f t="shared" si="477"/>
        <v>Dado para investigar:  mídia.lavagem  Deve ser formatado como (rdfs:Literal  or  xsd:string)</v>
      </c>
      <c r="W1166" s="75" t="s">
        <v>7897</v>
      </c>
      <c r="X1166" s="24" t="str">
        <f t="shared" si="483"/>
        <v>inves.147</v>
      </c>
      <c r="Y1166" s="24" t="str">
        <f t="shared" si="484"/>
        <v>Ação de investigar</v>
      </c>
      <c r="Z1166" s="77" t="s">
        <v>8062</v>
      </c>
      <c r="AA1166" s="25" t="str">
        <f t="shared" si="478"/>
        <v>categoria.revit</v>
      </c>
      <c r="AB1166" s="73" t="s">
        <v>7824</v>
      </c>
      <c r="AC1166" s="25" t="str">
        <f t="shared" si="479"/>
        <v>classe.ifc</v>
      </c>
      <c r="AD1166" s="74" t="s">
        <v>3469</v>
      </c>
      <c r="AE1166" s="25" t="str">
        <f t="shared" si="480"/>
        <v>propriedade</v>
      </c>
      <c r="AF1166" s="26" t="s">
        <v>7791</v>
      </c>
      <c r="AG1166" s="47" t="s">
        <v>8153</v>
      </c>
    </row>
    <row r="1167" spans="1:33" s="72" customFormat="1" ht="6.9" customHeight="1" x14ac:dyDescent="0.35">
      <c r="A1167" s="4">
        <f>ROW()</f>
        <v>1167</v>
      </c>
      <c r="B1167" s="9" t="s">
        <v>27</v>
      </c>
      <c r="C1167" s="55" t="str">
        <f t="shared" si="481"/>
        <v>p.investigar</v>
      </c>
      <c r="D1167" s="6" t="str">
        <f t="shared" ref="D1167:D1230" si="485">_xlfn.CONCAT("é.",G1167)</f>
        <v>é.mídia.tecido</v>
      </c>
      <c r="E1167" s="8" t="s">
        <v>28</v>
      </c>
      <c r="F1167" s="42" t="str">
        <f t="shared" si="482"/>
        <v>d.investigar</v>
      </c>
      <c r="G1167" s="42" t="s">
        <v>7881</v>
      </c>
      <c r="H1167" s="41" t="s">
        <v>2121</v>
      </c>
      <c r="I1167" s="16" t="str">
        <f t="shared" si="475"/>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76"/>
        <v>Propriedade destinada a investigar: é.mídia.tecido</v>
      </c>
      <c r="V1167" s="5" t="str">
        <f t="shared" si="477"/>
        <v>Dado para investigar:  mídia.tecido  Deve ser formatado como (rdfs:Literal  or  xsd:string)</v>
      </c>
      <c r="W1167" s="75" t="s">
        <v>7898</v>
      </c>
      <c r="X1167" s="24" t="str">
        <f t="shared" si="483"/>
        <v>inves.148</v>
      </c>
      <c r="Y1167" s="24" t="str">
        <f t="shared" si="484"/>
        <v>Ação de investigar</v>
      </c>
      <c r="Z1167" s="77" t="s">
        <v>8063</v>
      </c>
      <c r="AA1167" s="25" t="str">
        <f t="shared" si="478"/>
        <v>categoria.revit</v>
      </c>
      <c r="AB1167" s="73" t="s">
        <v>7824</v>
      </c>
      <c r="AC1167" s="25" t="str">
        <f t="shared" si="479"/>
        <v>classe.ifc</v>
      </c>
      <c r="AD1167" s="74" t="s">
        <v>3469</v>
      </c>
      <c r="AE1167" s="25" t="str">
        <f t="shared" si="480"/>
        <v>propriedade</v>
      </c>
      <c r="AF1167" s="26" t="s">
        <v>7794</v>
      </c>
      <c r="AG1167" s="47" t="s">
        <v>8154</v>
      </c>
    </row>
    <row r="1168" spans="1:33" s="72" customFormat="1" ht="6.9" customHeight="1" x14ac:dyDescent="0.35">
      <c r="A1168" s="4">
        <f>ROW()</f>
        <v>1168</v>
      </c>
      <c r="B1168" s="9" t="s">
        <v>27</v>
      </c>
      <c r="C1168" s="55" t="str">
        <f t="shared" si="481"/>
        <v>p.investigar</v>
      </c>
      <c r="D1168" s="6" t="str">
        <f t="shared" si="485"/>
        <v>é.nefrologia</v>
      </c>
      <c r="E1168" s="8" t="s">
        <v>28</v>
      </c>
      <c r="F1168" s="42" t="str">
        <f t="shared" si="482"/>
        <v>d.investigar</v>
      </c>
      <c r="G1168" s="42" t="s">
        <v>7859</v>
      </c>
      <c r="H1168" s="41" t="s">
        <v>2121</v>
      </c>
      <c r="I1168" s="16" t="str">
        <f t="shared" si="475"/>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76"/>
        <v>Propriedade destinada a investigar: é.nefrologia</v>
      </c>
      <c r="V1168" s="5" t="str">
        <f t="shared" si="477"/>
        <v>Dado para investigar:  nefrologia  Deve ser formatado como (rdfs:Literal  or  xsd:string)</v>
      </c>
      <c r="W1168" s="75" t="s">
        <v>7899</v>
      </c>
      <c r="X1168" s="24" t="str">
        <f t="shared" si="483"/>
        <v>inves.149</v>
      </c>
      <c r="Y1168" s="24" t="str">
        <f t="shared" si="484"/>
        <v>Ação de investigar</v>
      </c>
      <c r="Z1168" s="77" t="s">
        <v>8064</v>
      </c>
      <c r="AA1168" s="25" t="str">
        <f t="shared" si="478"/>
        <v>categoria.revit</v>
      </c>
      <c r="AB1168" s="73" t="s">
        <v>7824</v>
      </c>
      <c r="AC1168" s="25" t="str">
        <f t="shared" si="479"/>
        <v>classe.ifc</v>
      </c>
      <c r="AD1168" s="74" t="s">
        <v>3469</v>
      </c>
      <c r="AE1168" s="25" t="str">
        <f t="shared" si="480"/>
        <v>propriedade</v>
      </c>
      <c r="AF1168" s="26" t="s">
        <v>7785</v>
      </c>
      <c r="AG1168" s="47" t="s">
        <v>8155</v>
      </c>
    </row>
    <row r="1169" spans="1:33" s="72" customFormat="1" ht="6.9" customHeight="1" x14ac:dyDescent="0.35">
      <c r="A1169" s="4">
        <f>ROW()</f>
        <v>1169</v>
      </c>
      <c r="B1169" s="9" t="s">
        <v>27</v>
      </c>
      <c r="C1169" s="55" t="str">
        <f t="shared" si="481"/>
        <v>p.investigar</v>
      </c>
      <c r="D1169" s="6" t="str">
        <f t="shared" si="485"/>
        <v>é.odontologia.minitratamento</v>
      </c>
      <c r="E1169" s="8" t="s">
        <v>28</v>
      </c>
      <c r="F1169" s="42" t="str">
        <f t="shared" si="482"/>
        <v>d.investigar</v>
      </c>
      <c r="G1169" s="42" t="s">
        <v>7875</v>
      </c>
      <c r="H1169" s="41" t="s">
        <v>2121</v>
      </c>
      <c r="I1169" s="16" t="str">
        <f t="shared" si="475"/>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76"/>
        <v>Propriedade destinada a investigar: é.odontologia.minitratamento</v>
      </c>
      <c r="V1169" s="5" t="str">
        <f t="shared" si="477"/>
        <v>Dado para investigar:  odontologia.minitratamento  Deve ser formatado como (rdfs:Literal  or  xsd:string)</v>
      </c>
      <c r="W1169" s="75" t="s">
        <v>7900</v>
      </c>
      <c r="X1169" s="24" t="str">
        <f t="shared" si="483"/>
        <v>inves.150</v>
      </c>
      <c r="Y1169" s="24" t="str">
        <f t="shared" si="484"/>
        <v>Ação de investigar</v>
      </c>
      <c r="Z1169" s="77" t="s">
        <v>8065</v>
      </c>
      <c r="AA1169" s="25" t="str">
        <f t="shared" si="478"/>
        <v>categoria.revit</v>
      </c>
      <c r="AB1169" s="73" t="s">
        <v>7824</v>
      </c>
      <c r="AC1169" s="25" t="str">
        <f t="shared" si="479"/>
        <v>classe.ifc</v>
      </c>
      <c r="AD1169" s="74" t="s">
        <v>3469</v>
      </c>
      <c r="AE1169" s="25" t="str">
        <f t="shared" si="480"/>
        <v>propriedade</v>
      </c>
      <c r="AF1169" s="26" t="s">
        <v>7798</v>
      </c>
      <c r="AG1169" s="47" t="s">
        <v>8156</v>
      </c>
    </row>
    <row r="1170" spans="1:33" s="72" customFormat="1" ht="6.9" customHeight="1" x14ac:dyDescent="0.35">
      <c r="A1170" s="4">
        <f>ROW()</f>
        <v>1170</v>
      </c>
      <c r="B1170" s="9" t="s">
        <v>27</v>
      </c>
      <c r="C1170" s="55" t="str">
        <f t="shared" si="481"/>
        <v>p.investigar</v>
      </c>
      <c r="D1170" s="6" t="str">
        <f t="shared" si="485"/>
        <v>é.odontologia.prótese</v>
      </c>
      <c r="E1170" s="8" t="s">
        <v>28</v>
      </c>
      <c r="F1170" s="42" t="str">
        <f t="shared" si="482"/>
        <v>d.investigar</v>
      </c>
      <c r="G1170" s="42" t="s">
        <v>7876</v>
      </c>
      <c r="H1170" s="41" t="s">
        <v>2121</v>
      </c>
      <c r="I1170" s="16" t="str">
        <f t="shared" si="475"/>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76"/>
        <v>Propriedade destinada a investigar: é.odontologia.prótese</v>
      </c>
      <c r="V1170" s="5" t="str">
        <f t="shared" si="477"/>
        <v>Dado para investigar:  odontologia.prótese  Deve ser formatado como (rdfs:Literal  or  xsd:string)</v>
      </c>
      <c r="W1170" s="75" t="s">
        <v>7901</v>
      </c>
      <c r="X1170" s="24" t="str">
        <f t="shared" si="483"/>
        <v>inves.151</v>
      </c>
      <c r="Y1170" s="24" t="str">
        <f t="shared" si="484"/>
        <v>Ação de investigar</v>
      </c>
      <c r="Z1170" s="77" t="s">
        <v>8066</v>
      </c>
      <c r="AA1170" s="25" t="str">
        <f t="shared" si="478"/>
        <v>categoria.revit</v>
      </c>
      <c r="AB1170" s="73" t="s">
        <v>7824</v>
      </c>
      <c r="AC1170" s="25" t="str">
        <f t="shared" si="479"/>
        <v>classe.ifc</v>
      </c>
      <c r="AD1170" s="74" t="s">
        <v>3469</v>
      </c>
      <c r="AE1170" s="25" t="str">
        <f t="shared" si="480"/>
        <v>propriedade</v>
      </c>
      <c r="AF1170" s="26" t="s">
        <v>7797</v>
      </c>
      <c r="AG1170" s="47" t="s">
        <v>8157</v>
      </c>
    </row>
    <row r="1171" spans="1:33" s="72" customFormat="1" ht="6.9" customHeight="1" x14ac:dyDescent="0.35">
      <c r="A1171" s="4">
        <f>ROW()</f>
        <v>1171</v>
      </c>
      <c r="B1171" s="9" t="s">
        <v>27</v>
      </c>
      <c r="C1171" s="55" t="str">
        <f t="shared" si="481"/>
        <v>p.investigar</v>
      </c>
      <c r="D1171" s="6" t="str">
        <f t="shared" si="485"/>
        <v>é.óptica</v>
      </c>
      <c r="E1171" s="8" t="s">
        <v>28</v>
      </c>
      <c r="F1171" s="42" t="str">
        <f t="shared" si="482"/>
        <v>d.investigar</v>
      </c>
      <c r="G1171" s="42" t="s">
        <v>7845</v>
      </c>
      <c r="H1171" s="41" t="s">
        <v>2121</v>
      </c>
      <c r="I1171" s="16" t="str">
        <f t="shared" si="475"/>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76"/>
        <v>Propriedade destinada a investigar: é.óptica</v>
      </c>
      <c r="V1171" s="5" t="str">
        <f t="shared" si="477"/>
        <v>Dado para investigar:  óptica  Deve ser formatado como (rdfs:Literal  or  xsd:string)</v>
      </c>
      <c r="W1171" s="75" t="s">
        <v>7902</v>
      </c>
      <c r="X1171" s="24" t="str">
        <f t="shared" si="483"/>
        <v>inves.152</v>
      </c>
      <c r="Y1171" s="24" t="str">
        <f t="shared" si="484"/>
        <v>Ação de investigar</v>
      </c>
      <c r="Z1171" s="77" t="s">
        <v>8067</v>
      </c>
      <c r="AA1171" s="25" t="str">
        <f t="shared" si="478"/>
        <v>categoria.revit</v>
      </c>
      <c r="AB1171" s="73" t="s">
        <v>7824</v>
      </c>
      <c r="AC1171" s="25" t="str">
        <f t="shared" si="479"/>
        <v>classe.ifc</v>
      </c>
      <c r="AD1171" s="74" t="s">
        <v>3469</v>
      </c>
      <c r="AE1171" s="25" t="str">
        <f t="shared" si="480"/>
        <v>propriedade</v>
      </c>
      <c r="AF1171" s="26" t="s">
        <v>7811</v>
      </c>
      <c r="AG1171" s="47" t="s">
        <v>8158</v>
      </c>
    </row>
    <row r="1172" spans="1:33" s="72" customFormat="1" ht="6.9" customHeight="1" x14ac:dyDescent="0.35">
      <c r="A1172" s="4">
        <f>ROW()</f>
        <v>1172</v>
      </c>
      <c r="B1172" s="9" t="s">
        <v>27</v>
      </c>
      <c r="C1172" s="55" t="str">
        <f t="shared" si="481"/>
        <v>p.investigar</v>
      </c>
      <c r="D1172" s="6" t="str">
        <f t="shared" si="485"/>
        <v>é.patologia.oral</v>
      </c>
      <c r="E1172" s="8" t="s">
        <v>28</v>
      </c>
      <c r="F1172" s="42" t="str">
        <f t="shared" si="482"/>
        <v>d.investigar</v>
      </c>
      <c r="G1172" s="42" t="s">
        <v>7851</v>
      </c>
      <c r="H1172" s="41" t="s">
        <v>2121</v>
      </c>
      <c r="I1172" s="16" t="str">
        <f t="shared" si="475"/>
        <v>null</v>
      </c>
      <c r="J1172" s="13" t="s">
        <v>0</v>
      </c>
      <c r="K1172" s="13" t="s">
        <v>0</v>
      </c>
      <c r="L1172" s="13" t="s">
        <v>0</v>
      </c>
      <c r="M1172" s="13" t="s">
        <v>0</v>
      </c>
      <c r="N1172" s="15" t="s">
        <v>0</v>
      </c>
      <c r="O1172" s="13" t="s">
        <v>0</v>
      </c>
      <c r="P1172" s="13" t="s">
        <v>0</v>
      </c>
      <c r="Q1172" s="13" t="s">
        <v>0</v>
      </c>
      <c r="R1172" s="15" t="s">
        <v>7930</v>
      </c>
      <c r="S1172" s="10" t="s">
        <v>1</v>
      </c>
      <c r="T1172" s="10" t="s">
        <v>32</v>
      </c>
      <c r="U1172" s="5" t="str">
        <f t="shared" si="476"/>
        <v>Propriedade destinada a investigar: é.patologia.oral</v>
      </c>
      <c r="V1172" s="5" t="str">
        <f t="shared" si="477"/>
        <v>Dado para investigar:  patologia.oral  Deve ser formatado como (rdfs:Literal  or  xsd:string)</v>
      </c>
      <c r="W1172" s="75" t="s">
        <v>7903</v>
      </c>
      <c r="X1172" s="24" t="str">
        <f t="shared" si="483"/>
        <v>inves.153</v>
      </c>
      <c r="Y1172" s="24" t="str">
        <f t="shared" si="484"/>
        <v>Ação de investigar</v>
      </c>
      <c r="Z1172" s="77" t="s">
        <v>8068</v>
      </c>
      <c r="AA1172" s="25" t="str">
        <f t="shared" si="478"/>
        <v>categoria.revit</v>
      </c>
      <c r="AB1172" s="73" t="s">
        <v>7824</v>
      </c>
      <c r="AC1172" s="25" t="str">
        <f t="shared" si="479"/>
        <v>classe.ifc</v>
      </c>
      <c r="AD1172" s="74" t="s">
        <v>3469</v>
      </c>
      <c r="AE1172" s="25" t="str">
        <f t="shared" si="480"/>
        <v>propriedade</v>
      </c>
      <c r="AF1172" s="26" t="s">
        <v>7800</v>
      </c>
      <c r="AG1172" s="47" t="s">
        <v>8159</v>
      </c>
    </row>
    <row r="1173" spans="1:33" s="72" customFormat="1" ht="6.9" customHeight="1" x14ac:dyDescent="0.35">
      <c r="A1173" s="4">
        <f>ROW()</f>
        <v>1173</v>
      </c>
      <c r="B1173" s="9" t="s">
        <v>27</v>
      </c>
      <c r="C1173" s="55" t="str">
        <f t="shared" si="481"/>
        <v>p.investigar</v>
      </c>
      <c r="D1173" s="6" t="str">
        <f t="shared" si="485"/>
        <v>é.pesquisa.geral</v>
      </c>
      <c r="E1173" s="8" t="s">
        <v>28</v>
      </c>
      <c r="F1173" s="42" t="str">
        <f t="shared" si="482"/>
        <v>d.investigar</v>
      </c>
      <c r="G1173" s="42" t="s">
        <v>7855</v>
      </c>
      <c r="H1173" s="41" t="s">
        <v>2121</v>
      </c>
      <c r="I1173" s="16" t="str">
        <f t="shared" si="475"/>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76"/>
        <v>Propriedade destinada a investigar: é.pesquisa.geral</v>
      </c>
      <c r="V1173" s="5" t="str">
        <f t="shared" si="477"/>
        <v>Dado para investigar:  pesquisa.geral  Deve ser formatado como (rdfs:Literal  or  xsd:string)</v>
      </c>
      <c r="W1173" s="75" t="s">
        <v>7904</v>
      </c>
      <c r="X1173" s="24" t="str">
        <f t="shared" si="483"/>
        <v>inves.154</v>
      </c>
      <c r="Y1173" s="24" t="str">
        <f t="shared" si="484"/>
        <v>Ação de investigar</v>
      </c>
      <c r="Z1173" s="77" t="s">
        <v>8069</v>
      </c>
      <c r="AA1173" s="25" t="str">
        <f t="shared" si="478"/>
        <v>categoria.revit</v>
      </c>
      <c r="AB1173" s="73" t="s">
        <v>7824</v>
      </c>
      <c r="AC1173" s="25" t="str">
        <f t="shared" si="479"/>
        <v>classe.ifc</v>
      </c>
      <c r="AD1173" s="74" t="s">
        <v>3469</v>
      </c>
      <c r="AE1173" s="25" t="str">
        <f t="shared" si="480"/>
        <v>propriedade</v>
      </c>
      <c r="AF1173" s="26" t="s">
        <v>7807</v>
      </c>
      <c r="AG1173" s="47" t="s">
        <v>8160</v>
      </c>
    </row>
    <row r="1174" spans="1:33" s="72" customFormat="1" ht="6.9" customHeight="1" x14ac:dyDescent="0.35">
      <c r="A1174" s="4">
        <f>ROW()</f>
        <v>1174</v>
      </c>
      <c r="B1174" s="9" t="s">
        <v>27</v>
      </c>
      <c r="C1174" s="55" t="str">
        <f t="shared" si="481"/>
        <v>p.investigar</v>
      </c>
      <c r="D1174" s="6" t="str">
        <f t="shared" si="485"/>
        <v>é.química</v>
      </c>
      <c r="E1174" s="8" t="s">
        <v>28</v>
      </c>
      <c r="F1174" s="42" t="str">
        <f t="shared" si="482"/>
        <v>d.investigar</v>
      </c>
      <c r="G1174" s="42" t="s">
        <v>7852</v>
      </c>
      <c r="H1174" s="41" t="s">
        <v>2121</v>
      </c>
      <c r="I1174" s="16" t="str">
        <f t="shared" si="475"/>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76"/>
        <v>Propriedade destinada a investigar: é.química</v>
      </c>
      <c r="V1174" s="5" t="str">
        <f t="shared" si="477"/>
        <v>Dado para investigar:  química  Deve ser formatado como (rdfs:Literal  or  xsd:string)</v>
      </c>
      <c r="W1174" s="75" t="s">
        <v>7905</v>
      </c>
      <c r="X1174" s="24" t="str">
        <f t="shared" si="483"/>
        <v>inves.155</v>
      </c>
      <c r="Y1174" s="24" t="str">
        <f t="shared" si="484"/>
        <v>Ação de investigar</v>
      </c>
      <c r="Z1174" s="77" t="s">
        <v>8070</v>
      </c>
      <c r="AA1174" s="25" t="str">
        <f t="shared" si="478"/>
        <v>categoria.revit</v>
      </c>
      <c r="AB1174" s="73" t="s">
        <v>7824</v>
      </c>
      <c r="AC1174" s="25" t="str">
        <f t="shared" si="479"/>
        <v>classe.ifc</v>
      </c>
      <c r="AD1174" s="74" t="s">
        <v>3469</v>
      </c>
      <c r="AE1174" s="25" t="str">
        <f t="shared" si="480"/>
        <v>propriedade</v>
      </c>
      <c r="AF1174" s="26" t="s">
        <v>7808</v>
      </c>
      <c r="AG1174" s="47" t="s">
        <v>8161</v>
      </c>
    </row>
    <row r="1175" spans="1:33" s="72" customFormat="1" ht="6.9" customHeight="1" x14ac:dyDescent="0.35">
      <c r="A1175" s="4">
        <f>ROW()</f>
        <v>1175</v>
      </c>
      <c r="B1175" s="9" t="s">
        <v>27</v>
      </c>
      <c r="C1175" s="55" t="str">
        <f t="shared" si="481"/>
        <v>p.investigar</v>
      </c>
      <c r="D1175" s="6" t="str">
        <f t="shared" si="485"/>
        <v>é.química.clínica</v>
      </c>
      <c r="E1175" s="8" t="s">
        <v>28</v>
      </c>
      <c r="F1175" s="42" t="str">
        <f t="shared" si="482"/>
        <v>d.investigar</v>
      </c>
      <c r="G1175" s="42" t="s">
        <v>7835</v>
      </c>
      <c r="H1175" s="41" t="s">
        <v>2121</v>
      </c>
      <c r="I1175" s="16" t="str">
        <f t="shared" si="475"/>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76"/>
        <v>Propriedade destinada a investigar: é.química.clínica</v>
      </c>
      <c r="V1175" s="5" t="str">
        <f t="shared" si="477"/>
        <v>Dado para investigar:  química.clínica  Deve ser formatado como (rdfs:Literal  or  xsd:string)</v>
      </c>
      <c r="W1175" s="75" t="s">
        <v>7906</v>
      </c>
      <c r="X1175" s="24" t="str">
        <f t="shared" si="483"/>
        <v>inves.156</v>
      </c>
      <c r="Y1175" s="24" t="str">
        <f t="shared" si="484"/>
        <v>Ação de investigar</v>
      </c>
      <c r="Z1175" s="77" t="s">
        <v>8071</v>
      </c>
      <c r="AA1175" s="25" t="str">
        <f t="shared" si="478"/>
        <v>categoria.revit</v>
      </c>
      <c r="AB1175" s="73" t="s">
        <v>7824</v>
      </c>
      <c r="AC1175" s="25" t="str">
        <f t="shared" si="479"/>
        <v>classe.ifc</v>
      </c>
      <c r="AD1175" s="74" t="s">
        <v>3469</v>
      </c>
      <c r="AE1175" s="25" t="str">
        <f t="shared" si="480"/>
        <v>propriedade</v>
      </c>
      <c r="AF1175" s="26" t="s">
        <v>7770</v>
      </c>
      <c r="AG1175" s="47" t="s">
        <v>8162</v>
      </c>
    </row>
    <row r="1176" spans="1:33" s="72" customFormat="1" ht="6.9" customHeight="1" x14ac:dyDescent="0.35">
      <c r="A1176" s="4">
        <f>ROW()</f>
        <v>1176</v>
      </c>
      <c r="B1176" s="9" t="s">
        <v>27</v>
      </c>
      <c r="C1176" s="55" t="str">
        <f t="shared" si="481"/>
        <v>p.investigar</v>
      </c>
      <c r="D1176" s="6" t="str">
        <f t="shared" si="485"/>
        <v>é.química.especial</v>
      </c>
      <c r="E1176" s="8" t="s">
        <v>28</v>
      </c>
      <c r="F1176" s="42" t="str">
        <f t="shared" si="482"/>
        <v>d.investigar</v>
      </c>
      <c r="G1176" s="42" t="s">
        <v>7836</v>
      </c>
      <c r="H1176" s="41" t="s">
        <v>2121</v>
      </c>
      <c r="I1176" s="16" t="str">
        <f t="shared" si="475"/>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76"/>
        <v>Propriedade destinada a investigar: é.química.especial</v>
      </c>
      <c r="V1176" s="5" t="str">
        <f t="shared" si="477"/>
        <v>Dado para investigar:  química.especial  Deve ser formatado como (rdfs:Literal  or  xsd:string)</v>
      </c>
      <c r="W1176" s="75" t="s">
        <v>7907</v>
      </c>
      <c r="X1176" s="24" t="str">
        <f t="shared" si="483"/>
        <v>inves.157</v>
      </c>
      <c r="Y1176" s="24" t="str">
        <f t="shared" si="484"/>
        <v>Ação de investigar</v>
      </c>
      <c r="Z1176" s="77" t="s">
        <v>8072</v>
      </c>
      <c r="AA1176" s="25" t="str">
        <f t="shared" si="478"/>
        <v>categoria.revit</v>
      </c>
      <c r="AB1176" s="73" t="s">
        <v>7824</v>
      </c>
      <c r="AC1176" s="25" t="str">
        <f t="shared" si="479"/>
        <v>classe.ifc</v>
      </c>
      <c r="AD1176" s="74" t="s">
        <v>3469</v>
      </c>
      <c r="AE1176" s="25" t="str">
        <f t="shared" si="480"/>
        <v>propriedade</v>
      </c>
      <c r="AF1176" s="26" t="s">
        <v>7786</v>
      </c>
      <c r="AG1176" s="47" t="s">
        <v>8163</v>
      </c>
    </row>
    <row r="1177" spans="1:33" s="72" customFormat="1" ht="6.9" customHeight="1" x14ac:dyDescent="0.35">
      <c r="A1177" s="4">
        <f>ROW()</f>
        <v>1177</v>
      </c>
      <c r="B1177" s="9" t="s">
        <v>27</v>
      </c>
      <c r="C1177" s="55" t="str">
        <f t="shared" si="481"/>
        <v>p.investigar</v>
      </c>
      <c r="D1177" s="6" t="str">
        <f t="shared" si="485"/>
        <v>é.radioatividade</v>
      </c>
      <c r="E1177" s="8" t="s">
        <v>28</v>
      </c>
      <c r="F1177" s="42" t="str">
        <f t="shared" si="482"/>
        <v>d.investigar</v>
      </c>
      <c r="G1177" s="42" t="s">
        <v>7854</v>
      </c>
      <c r="H1177" s="41" t="s">
        <v>2121</v>
      </c>
      <c r="I1177" s="16" t="str">
        <f t="shared" si="475"/>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76"/>
        <v>Propriedade destinada a investigar: é.radioatividade</v>
      </c>
      <c r="V1177" s="5" t="str">
        <f t="shared" si="477"/>
        <v>Dado para investigar:  radioatividade  Deve ser formatado como (rdfs:Literal  or  xsd:string)</v>
      </c>
      <c r="W1177" s="76" t="s">
        <v>7766</v>
      </c>
      <c r="X1177" s="24" t="str">
        <f t="shared" si="483"/>
        <v>inves.158</v>
      </c>
      <c r="Y1177" s="24" t="str">
        <f t="shared" si="484"/>
        <v>Ação de investigar</v>
      </c>
      <c r="Z1177" s="77" t="s">
        <v>8073</v>
      </c>
      <c r="AA1177" s="25" t="str">
        <f t="shared" si="478"/>
        <v>categoria.revit</v>
      </c>
      <c r="AB1177" s="73" t="s">
        <v>7824</v>
      </c>
      <c r="AC1177" s="25" t="str">
        <f t="shared" si="479"/>
        <v>classe.ifc</v>
      </c>
      <c r="AD1177" s="74" t="s">
        <v>3469</v>
      </c>
      <c r="AE1177" s="25" t="str">
        <f t="shared" si="480"/>
        <v>propriedade</v>
      </c>
      <c r="AF1177" s="26" t="s">
        <v>7812</v>
      </c>
      <c r="AG1177" s="47" t="s">
        <v>8164</v>
      </c>
    </row>
    <row r="1178" spans="1:33" s="72" customFormat="1" ht="6.9" customHeight="1" x14ac:dyDescent="0.35">
      <c r="A1178" s="4">
        <f>ROW()</f>
        <v>1178</v>
      </c>
      <c r="B1178" s="9" t="s">
        <v>27</v>
      </c>
      <c r="C1178" s="55" t="str">
        <f t="shared" si="481"/>
        <v>p.investigar</v>
      </c>
      <c r="D1178" s="6" t="str">
        <f t="shared" si="485"/>
        <v>é.santuário.de.primate</v>
      </c>
      <c r="E1178" s="8" t="s">
        <v>28</v>
      </c>
      <c r="F1178" s="42" t="str">
        <f t="shared" si="482"/>
        <v>d.investigar</v>
      </c>
      <c r="G1178" s="18" t="s">
        <v>7888</v>
      </c>
      <c r="H1178" s="41" t="s">
        <v>2121</v>
      </c>
      <c r="I1178" s="16" t="str">
        <f t="shared" si="475"/>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76"/>
        <v>Propriedade destinada a investigar: é.santuário.de.primate</v>
      </c>
      <c r="V1178" s="5" t="str">
        <f t="shared" si="477"/>
        <v>Dado para investigar:  santuário.de.primate  Deve ser formatado como (rdfs:Literal  or  xsd:string)</v>
      </c>
      <c r="W1178" s="5" t="s">
        <v>7764</v>
      </c>
      <c r="X1178" s="24" t="str">
        <f t="shared" si="483"/>
        <v>inves.159</v>
      </c>
      <c r="Y1178" s="24" t="str">
        <f t="shared" si="484"/>
        <v>Ação de investigar</v>
      </c>
      <c r="Z1178" s="77" t="s">
        <v>8074</v>
      </c>
      <c r="AA1178" s="25" t="str">
        <f t="shared" si="478"/>
        <v>categoria.revit</v>
      </c>
      <c r="AB1178" s="73" t="s">
        <v>7824</v>
      </c>
      <c r="AC1178" s="25" t="str">
        <f t="shared" si="479"/>
        <v>classe.ifc</v>
      </c>
      <c r="AD1178" s="74" t="s">
        <v>3469</v>
      </c>
      <c r="AE1178" s="25" t="str">
        <f t="shared" si="480"/>
        <v>propriedade</v>
      </c>
      <c r="AF1178" s="26" t="s">
        <v>7944</v>
      </c>
      <c r="AG1178" s="47" t="s">
        <v>8165</v>
      </c>
    </row>
    <row r="1179" spans="1:33" s="7" customFormat="1" ht="6.9" customHeight="1" x14ac:dyDescent="0.2">
      <c r="A1179" s="4">
        <f>ROW()</f>
        <v>1179</v>
      </c>
      <c r="B1179" s="9" t="s">
        <v>27</v>
      </c>
      <c r="C1179" s="55" t="str">
        <f t="shared" si="481"/>
        <v>p.investigar</v>
      </c>
      <c r="D1179" s="6" t="str">
        <f t="shared" si="485"/>
        <v>é.semicondutor</v>
      </c>
      <c r="E1179" s="8" t="s">
        <v>28</v>
      </c>
      <c r="F1179" s="42" t="str">
        <f t="shared" si="482"/>
        <v>d.investigar</v>
      </c>
      <c r="G1179" s="42" t="s">
        <v>7860</v>
      </c>
      <c r="H1179" s="41" t="s">
        <v>2121</v>
      </c>
      <c r="I1179" s="16" t="str">
        <f t="shared" si="475"/>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76"/>
        <v>Propriedade destinada a investigar: é.semicondutor</v>
      </c>
      <c r="V1179" s="5" t="str">
        <f t="shared" si="477"/>
        <v>Dado para investigar:  semicondutor  Deve ser formatado como (rdfs:Literal  or  xsd:string)</v>
      </c>
      <c r="W1179" s="75" t="s">
        <v>7908</v>
      </c>
      <c r="X1179" s="24" t="str">
        <f t="shared" si="483"/>
        <v>inves.160</v>
      </c>
      <c r="Y1179" s="24" t="str">
        <f t="shared" si="484"/>
        <v>Ação de investigar</v>
      </c>
      <c r="Z1179" s="77" t="s">
        <v>8075</v>
      </c>
      <c r="AA1179" s="25" t="str">
        <f t="shared" si="478"/>
        <v>categoria.revit</v>
      </c>
      <c r="AB1179" s="73" t="s">
        <v>7824</v>
      </c>
      <c r="AC1179" s="25" t="str">
        <f t="shared" si="479"/>
        <v>classe.ifc</v>
      </c>
      <c r="AD1179" s="74" t="s">
        <v>3469</v>
      </c>
      <c r="AE1179" s="25" t="str">
        <f t="shared" si="480"/>
        <v>propriedade</v>
      </c>
      <c r="AF1179" s="26" t="s">
        <v>7821</v>
      </c>
      <c r="AG1179" s="47" t="s">
        <v>8166</v>
      </c>
    </row>
    <row r="1180" spans="1:33" s="7" customFormat="1" ht="6.9" customHeight="1" x14ac:dyDescent="0.2">
      <c r="A1180" s="4">
        <f>ROW()</f>
        <v>1180</v>
      </c>
      <c r="B1180" s="9" t="s">
        <v>27</v>
      </c>
      <c r="C1180" s="55" t="str">
        <f t="shared" si="481"/>
        <v>p.investigar</v>
      </c>
      <c r="D1180" s="6" t="str">
        <f t="shared" si="485"/>
        <v>é.urinálise</v>
      </c>
      <c r="E1180" s="8" t="s">
        <v>28</v>
      </c>
      <c r="F1180" s="42" t="str">
        <f t="shared" si="482"/>
        <v>d.investigar</v>
      </c>
      <c r="G1180" s="42" t="s">
        <v>7833</v>
      </c>
      <c r="H1180" s="41" t="s">
        <v>2121</v>
      </c>
      <c r="I1180" s="16" t="str">
        <f t="shared" si="475"/>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76"/>
        <v>Propriedade destinada a investigar: é.urinálise</v>
      </c>
      <c r="V1180" s="5" t="str">
        <f t="shared" si="477"/>
        <v>Dado para investigar:  urinálise  Deve ser formatado como (rdfs:Literal  or  xsd:string)</v>
      </c>
      <c r="W1180" s="75" t="s">
        <v>7909</v>
      </c>
      <c r="X1180" s="24" t="str">
        <f t="shared" si="483"/>
        <v>inves.161</v>
      </c>
      <c r="Y1180" s="24" t="str">
        <f t="shared" si="484"/>
        <v>Ação de investigar</v>
      </c>
      <c r="Z1180" s="77" t="s">
        <v>8076</v>
      </c>
      <c r="AA1180" s="25" t="str">
        <f t="shared" si="478"/>
        <v>categoria.revit</v>
      </c>
      <c r="AB1180" s="73" t="s">
        <v>7824</v>
      </c>
      <c r="AC1180" s="25" t="str">
        <f t="shared" si="479"/>
        <v>classe.ifc</v>
      </c>
      <c r="AD1180" s="74" t="s">
        <v>3469</v>
      </c>
      <c r="AE1180" s="25" t="str">
        <f t="shared" si="480"/>
        <v>propriedade</v>
      </c>
      <c r="AF1180" s="26" t="s">
        <v>7787</v>
      </c>
      <c r="AG1180" s="47" t="s">
        <v>8167</v>
      </c>
    </row>
    <row r="1181" spans="1:33" ht="6.9" customHeight="1" x14ac:dyDescent="0.4">
      <c r="A1181" s="4">
        <f>ROW()</f>
        <v>1181</v>
      </c>
      <c r="B1181" s="9" t="s">
        <v>27</v>
      </c>
      <c r="C1181" s="55" t="str">
        <f t="shared" si="481"/>
        <v>p.investigar</v>
      </c>
      <c r="D1181" s="6" t="str">
        <f t="shared" si="485"/>
        <v>é.urologia</v>
      </c>
      <c r="E1181" s="8" t="s">
        <v>28</v>
      </c>
      <c r="F1181" s="42" t="str">
        <f t="shared" si="482"/>
        <v>d.investigar</v>
      </c>
      <c r="G1181" s="42" t="s">
        <v>7834</v>
      </c>
      <c r="H1181" s="41" t="s">
        <v>2121</v>
      </c>
      <c r="I1181" s="16" t="str">
        <f t="shared" si="475"/>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76"/>
        <v>Propriedade destinada a investigar: é.urologia</v>
      </c>
      <c r="V1181" s="5" t="str">
        <f t="shared" si="477"/>
        <v>Dado para investigar:  urologia  Deve ser formatado como (rdfs:Literal  or  xsd:string)</v>
      </c>
      <c r="W1181" s="75" t="s">
        <v>7910</v>
      </c>
      <c r="X1181" s="24" t="str">
        <f t="shared" si="483"/>
        <v>inves.162</v>
      </c>
      <c r="Y1181" s="24" t="str">
        <f t="shared" si="484"/>
        <v>Ação de investigar</v>
      </c>
      <c r="Z1181" s="77" t="s">
        <v>8077</v>
      </c>
      <c r="AA1181" s="25" t="str">
        <f t="shared" si="478"/>
        <v>categoria.revit</v>
      </c>
      <c r="AB1181" s="74" t="s">
        <v>7824</v>
      </c>
      <c r="AC1181" s="25" t="str">
        <f t="shared" si="479"/>
        <v>classe.ifc</v>
      </c>
      <c r="AD1181" s="74" t="s">
        <v>3469</v>
      </c>
      <c r="AE1181" s="25" t="str">
        <f t="shared" si="480"/>
        <v>propriedade</v>
      </c>
      <c r="AF1181" s="26" t="s">
        <v>7788</v>
      </c>
      <c r="AG1181" s="47" t="s">
        <v>8168</v>
      </c>
    </row>
    <row r="1182" spans="1:33" ht="6.9" customHeight="1" x14ac:dyDescent="0.4">
      <c r="A1182" s="4">
        <f>ROW()</f>
        <v>1182</v>
      </c>
      <c r="B1182" s="9" t="s">
        <v>27</v>
      </c>
      <c r="C1182" s="54" t="str">
        <f t="shared" si="464"/>
        <v>p.isolar</v>
      </c>
      <c r="D1182" s="6" t="str">
        <f t="shared" si="485"/>
        <v>é.equivalência.pb</v>
      </c>
      <c r="E1182" s="8" t="s">
        <v>28</v>
      </c>
      <c r="F1182" s="51" t="s">
        <v>3593</v>
      </c>
      <c r="G1182" s="17" t="s">
        <v>1949</v>
      </c>
      <c r="H1182" s="41" t="s">
        <v>2121</v>
      </c>
      <c r="I1182" s="16" t="str">
        <f t="shared" si="46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476"/>
        <v>Propriedade destinada a isolar: é.equivalência.pb</v>
      </c>
      <c r="V1182" s="5" t="str">
        <f t="shared" si="477"/>
        <v>Dado para isolar:  equivalência.pb  Deve ser formatado como (rdfs:Literal  or  xsd:string)</v>
      </c>
      <c r="W1182" s="5" t="s">
        <v>5890</v>
      </c>
      <c r="X1182" s="24" t="str">
        <f t="shared" si="483"/>
        <v>isola.100</v>
      </c>
      <c r="Y1182" s="24" t="str">
        <f t="shared" si="484"/>
        <v>Ação de isolar</v>
      </c>
      <c r="Z1182" s="47" t="s">
        <v>1951</v>
      </c>
      <c r="AA1182" s="25" t="str">
        <f t="shared" si="447"/>
        <v>null</v>
      </c>
      <c r="AB1182" s="26" t="s">
        <v>0</v>
      </c>
      <c r="AC1182" s="25" t="str">
        <f t="shared" si="448"/>
        <v>null</v>
      </c>
      <c r="AD1182" s="26" t="s">
        <v>0</v>
      </c>
      <c r="AE1182" s="25" t="str">
        <f t="shared" si="463"/>
        <v>null</v>
      </c>
      <c r="AF1182" s="26" t="s">
        <v>0</v>
      </c>
      <c r="AG1182" s="47" t="s">
        <v>2936</v>
      </c>
    </row>
    <row r="1183" spans="1:33" ht="6.9" customHeight="1" x14ac:dyDescent="0.4">
      <c r="A1183" s="4">
        <f>ROW()</f>
        <v>1183</v>
      </c>
      <c r="B1183" s="9" t="s">
        <v>27</v>
      </c>
      <c r="C1183" s="55" t="str">
        <f t="shared" si="464"/>
        <v>p.isolar</v>
      </c>
      <c r="D1183" s="6" t="str">
        <f t="shared" si="485"/>
        <v>é.proteção.radiológica.padrão</v>
      </c>
      <c r="E1183" s="8" t="s">
        <v>28</v>
      </c>
      <c r="F1183" s="42" t="str">
        <f>F1182</f>
        <v>d.isolar</v>
      </c>
      <c r="G1183" s="17" t="s">
        <v>1950</v>
      </c>
      <c r="H1183" s="41" t="s">
        <v>2121</v>
      </c>
      <c r="I1183" s="16" t="str">
        <f t="shared" si="465"/>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476"/>
        <v>Propriedade destinada a isolar: é.proteção.radiológica.padrão</v>
      </c>
      <c r="V1183" s="5" t="str">
        <f t="shared" si="477"/>
        <v>Dado para isolar:  proteção.radiológica.padrão  Deve ser formatado como (rdfs:Literal  or  xsd:string)</v>
      </c>
      <c r="W1183" s="5" t="s">
        <v>5891</v>
      </c>
      <c r="X1183" s="24" t="str">
        <f t="shared" si="483"/>
        <v>isola.101</v>
      </c>
      <c r="Y1183" s="24" t="str">
        <f t="shared" si="484"/>
        <v>Ação de isolar</v>
      </c>
      <c r="Z1183" s="47" t="s">
        <v>1952</v>
      </c>
      <c r="AA1183" s="25" t="str">
        <f t="shared" si="447"/>
        <v>null</v>
      </c>
      <c r="AB1183" s="26" t="s">
        <v>0</v>
      </c>
      <c r="AC1183" s="25" t="str">
        <f t="shared" si="448"/>
        <v>null</v>
      </c>
      <c r="AD1183" s="26" t="s">
        <v>0</v>
      </c>
      <c r="AE1183" s="25" t="str">
        <f t="shared" si="463"/>
        <v>null</v>
      </c>
      <c r="AF1183" s="26" t="s">
        <v>0</v>
      </c>
      <c r="AG1183" s="47" t="s">
        <v>2937</v>
      </c>
    </row>
    <row r="1184" spans="1:33" ht="6.9" customHeight="1" x14ac:dyDescent="0.4">
      <c r="A1184" s="4">
        <f>ROW()</f>
        <v>1184</v>
      </c>
      <c r="B1184" s="9" t="s">
        <v>27</v>
      </c>
      <c r="C1184" s="54" t="str">
        <f t="shared" si="464"/>
        <v>p.juntar</v>
      </c>
      <c r="D1184" s="6" t="str">
        <f t="shared" si="485"/>
        <v>é.junta</v>
      </c>
      <c r="E1184" s="8" t="s">
        <v>28</v>
      </c>
      <c r="F1184" s="51" t="s">
        <v>3594</v>
      </c>
      <c r="G1184" s="17" t="s">
        <v>4435</v>
      </c>
      <c r="H1184" s="42" t="s">
        <v>2121</v>
      </c>
      <c r="I1184" s="16" t="str">
        <f t="shared" si="465"/>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476"/>
        <v>Propriedade destinada a juntar: é.junta</v>
      </c>
      <c r="V1184" s="5" t="str">
        <f t="shared" si="477"/>
        <v>Dado para juntar:  junta  Deve ser formatado como (rdfs:Literal  or  xsd:string)</v>
      </c>
      <c r="W1184" s="5" t="s">
        <v>5892</v>
      </c>
      <c r="X1184" s="24" t="str">
        <f t="shared" si="483"/>
        <v>junta.100</v>
      </c>
      <c r="Y1184" s="24" t="str">
        <f t="shared" si="484"/>
        <v>Ação de juntar</v>
      </c>
      <c r="Z1184" s="47" t="s">
        <v>3975</v>
      </c>
      <c r="AA1184" s="25" t="str">
        <f t="shared" si="447"/>
        <v>null</v>
      </c>
      <c r="AB1184" s="26" t="s">
        <v>0</v>
      </c>
      <c r="AC1184" s="25" t="str">
        <f t="shared" si="448"/>
        <v>null</v>
      </c>
      <c r="AD1184" s="26" t="s">
        <v>0</v>
      </c>
      <c r="AE1184" s="25" t="str">
        <f t="shared" si="463"/>
        <v>null</v>
      </c>
      <c r="AF1184" s="26" t="s">
        <v>0</v>
      </c>
      <c r="AG1184" s="47" t="s">
        <v>4035</v>
      </c>
    </row>
    <row r="1185" spans="1:33" ht="6.9" customHeight="1" x14ac:dyDescent="0.4">
      <c r="A1185" s="4">
        <f>ROW()</f>
        <v>1185</v>
      </c>
      <c r="B1185" s="9" t="s">
        <v>27</v>
      </c>
      <c r="C1185" s="55" t="str">
        <f t="shared" si="464"/>
        <v>p.juntar</v>
      </c>
      <c r="D1185" s="6" t="str">
        <f t="shared" si="485"/>
        <v>é.junta.rosqueada</v>
      </c>
      <c r="E1185" s="8" t="s">
        <v>28</v>
      </c>
      <c r="F1185" s="42" t="str">
        <f t="shared" ref="F1185:F1197" si="486">F1184</f>
        <v>d.juntar</v>
      </c>
      <c r="G1185" s="17" t="s">
        <v>776</v>
      </c>
      <c r="H1185" s="42" t="s">
        <v>2121</v>
      </c>
      <c r="I1185" s="16" t="str">
        <f t="shared" si="465"/>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476"/>
        <v>Propriedade destinada a juntar: é.junta.rosqueada</v>
      </c>
      <c r="V1185" s="5" t="str">
        <f t="shared" si="477"/>
        <v>Dado para juntar:  junta.rosqueada  Deve ser formatado como (rdfs:Literal  or  xsd:string)</v>
      </c>
      <c r="W1185" s="5" t="s">
        <v>5893</v>
      </c>
      <c r="X1185" s="24" t="str">
        <f t="shared" si="483"/>
        <v>junta.101</v>
      </c>
      <c r="Y1185" s="24" t="str">
        <f t="shared" si="484"/>
        <v>Ação de juntar</v>
      </c>
      <c r="Z1185" s="47" t="s">
        <v>1570</v>
      </c>
      <c r="AA1185" s="25" t="str">
        <f t="shared" si="447"/>
        <v>null</v>
      </c>
      <c r="AB1185" s="26" t="s">
        <v>0</v>
      </c>
      <c r="AC1185" s="25" t="str">
        <f t="shared" si="448"/>
        <v>null</v>
      </c>
      <c r="AD1185" s="26" t="s">
        <v>0</v>
      </c>
      <c r="AE1185" s="25" t="str">
        <f t="shared" si="463"/>
        <v>null</v>
      </c>
      <c r="AF1185" s="26" t="s">
        <v>0</v>
      </c>
      <c r="AG1185" s="47" t="s">
        <v>2938</v>
      </c>
    </row>
    <row r="1186" spans="1:33" ht="6.9" customHeight="1" x14ac:dyDescent="0.4">
      <c r="A1186" s="4">
        <f>ROW()</f>
        <v>1186</v>
      </c>
      <c r="B1186" s="9" t="s">
        <v>27</v>
      </c>
      <c r="C1186" s="55" t="str">
        <f t="shared" si="464"/>
        <v>p.juntar</v>
      </c>
      <c r="D1186" s="6" t="str">
        <f t="shared" si="485"/>
        <v>é.junta.colada</v>
      </c>
      <c r="E1186" s="8" t="s">
        <v>28</v>
      </c>
      <c r="F1186" s="42" t="str">
        <f t="shared" si="486"/>
        <v>d.juntar</v>
      </c>
      <c r="G1186" s="17" t="s">
        <v>777</v>
      </c>
      <c r="H1186" s="42" t="s">
        <v>2121</v>
      </c>
      <c r="I1186" s="16" t="str">
        <f t="shared" si="46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76"/>
        <v>Propriedade destinada a juntar: é.junta.colada</v>
      </c>
      <c r="V1186" s="5" t="str">
        <f t="shared" si="477"/>
        <v>Dado para juntar:  junta.colada  Deve ser formatado como (rdfs:Literal  or  xsd:string)</v>
      </c>
      <c r="W1186" s="5" t="s">
        <v>5894</v>
      </c>
      <c r="X1186" s="24" t="str">
        <f t="shared" si="483"/>
        <v>junta.102</v>
      </c>
      <c r="Y1186" s="24" t="str">
        <f t="shared" si="484"/>
        <v>Ação de juntar</v>
      </c>
      <c r="Z1186" s="47" t="s">
        <v>1571</v>
      </c>
      <c r="AA1186" s="25" t="str">
        <f t="shared" si="447"/>
        <v>null</v>
      </c>
      <c r="AB1186" s="26" t="s">
        <v>0</v>
      </c>
      <c r="AC1186" s="25" t="str">
        <f t="shared" si="448"/>
        <v>null</v>
      </c>
      <c r="AD1186" s="26" t="s">
        <v>0</v>
      </c>
      <c r="AE1186" s="25" t="str">
        <f t="shared" si="463"/>
        <v>null</v>
      </c>
      <c r="AF1186" s="26" t="s">
        <v>0</v>
      </c>
      <c r="AG1186" s="47" t="s">
        <v>2939</v>
      </c>
    </row>
    <row r="1187" spans="1:33" ht="6.9" customHeight="1" x14ac:dyDescent="0.4">
      <c r="A1187" s="4">
        <f>ROW()</f>
        <v>1187</v>
      </c>
      <c r="B1187" s="9" t="s">
        <v>27</v>
      </c>
      <c r="C1187" s="55" t="str">
        <f t="shared" si="464"/>
        <v>p.juntar</v>
      </c>
      <c r="D1187" s="6" t="str">
        <f t="shared" si="485"/>
        <v>é.junta.soldada</v>
      </c>
      <c r="E1187" s="8" t="s">
        <v>28</v>
      </c>
      <c r="F1187" s="42" t="str">
        <f t="shared" si="486"/>
        <v>d.juntar</v>
      </c>
      <c r="G1187" s="17" t="s">
        <v>778</v>
      </c>
      <c r="H1187" s="42" t="s">
        <v>2121</v>
      </c>
      <c r="I1187" s="16" t="str">
        <f t="shared" si="465"/>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76"/>
        <v>Propriedade destinada a juntar: é.junta.soldada</v>
      </c>
      <c r="V1187" s="5" t="str">
        <f t="shared" si="477"/>
        <v>Dado para juntar:  junta.soldada  Deve ser formatado como (rdfs:Literal  or  xsd:string)</v>
      </c>
      <c r="W1187" s="5" t="s">
        <v>5895</v>
      </c>
      <c r="X1187" s="24" t="str">
        <f t="shared" si="483"/>
        <v>junta.103</v>
      </c>
      <c r="Y1187" s="24" t="str">
        <f t="shared" si="484"/>
        <v>Ação de juntar</v>
      </c>
      <c r="Z1187" s="47" t="s">
        <v>1572</v>
      </c>
      <c r="AA1187" s="25" t="str">
        <f t="shared" si="447"/>
        <v>null</v>
      </c>
      <c r="AB1187" s="26" t="s">
        <v>0</v>
      </c>
      <c r="AC1187" s="25" t="str">
        <f t="shared" si="448"/>
        <v>null</v>
      </c>
      <c r="AD1187" s="26" t="s">
        <v>0</v>
      </c>
      <c r="AE1187" s="25" t="str">
        <f t="shared" si="463"/>
        <v>null</v>
      </c>
      <c r="AF1187" s="26" t="s">
        <v>0</v>
      </c>
      <c r="AG1187" s="47" t="s">
        <v>2940</v>
      </c>
    </row>
    <row r="1188" spans="1:33" ht="6.9" customHeight="1" x14ac:dyDescent="0.4">
      <c r="A1188" s="4">
        <f>ROW()</f>
        <v>1188</v>
      </c>
      <c r="B1188" s="9" t="s">
        <v>27</v>
      </c>
      <c r="C1188" s="55" t="str">
        <f t="shared" si="464"/>
        <v>p.juntar</v>
      </c>
      <c r="D1188" s="6" t="str">
        <f t="shared" si="485"/>
        <v>é.junta.flangeada</v>
      </c>
      <c r="E1188" s="8" t="s">
        <v>28</v>
      </c>
      <c r="F1188" s="42" t="str">
        <f t="shared" si="486"/>
        <v>d.juntar</v>
      </c>
      <c r="G1188" s="17" t="s">
        <v>779</v>
      </c>
      <c r="H1188" s="42" t="s">
        <v>2121</v>
      </c>
      <c r="I1188" s="16" t="str">
        <f t="shared" si="465"/>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76"/>
        <v>Propriedade destinada a juntar: é.junta.flangeada</v>
      </c>
      <c r="V1188" s="5" t="str">
        <f t="shared" si="477"/>
        <v>Dado para juntar:  junta.flangeada  Deve ser formatado como (rdfs:Literal  or  xsd:string)</v>
      </c>
      <c r="W1188" s="5" t="s">
        <v>5896</v>
      </c>
      <c r="X1188" s="24" t="str">
        <f t="shared" si="483"/>
        <v>junta.104</v>
      </c>
      <c r="Y1188" s="24" t="str">
        <f t="shared" si="484"/>
        <v>Ação de juntar</v>
      </c>
      <c r="Z1188" s="47" t="s">
        <v>1573</v>
      </c>
      <c r="AA1188" s="25" t="str">
        <f t="shared" si="447"/>
        <v>null</v>
      </c>
      <c r="AB1188" s="26" t="s">
        <v>0</v>
      </c>
      <c r="AC1188" s="25" t="str">
        <f t="shared" si="448"/>
        <v>null</v>
      </c>
      <c r="AD1188" s="26" t="s">
        <v>0</v>
      </c>
      <c r="AE1188" s="25" t="str">
        <f t="shared" si="463"/>
        <v>null</v>
      </c>
      <c r="AF1188" s="26" t="s">
        <v>0</v>
      </c>
      <c r="AG1188" s="47" t="s">
        <v>2941</v>
      </c>
    </row>
    <row r="1189" spans="1:33" ht="6.9" customHeight="1" x14ac:dyDescent="0.4">
      <c r="A1189" s="4">
        <f>ROW()</f>
        <v>1189</v>
      </c>
      <c r="B1189" s="9" t="s">
        <v>27</v>
      </c>
      <c r="C1189" s="55" t="str">
        <f t="shared" si="464"/>
        <v>p.juntar</v>
      </c>
      <c r="D1189" s="6" t="str">
        <f t="shared" si="485"/>
        <v>é.junta.crimpada</v>
      </c>
      <c r="E1189" s="8" t="s">
        <v>28</v>
      </c>
      <c r="F1189" s="42" t="str">
        <f t="shared" si="486"/>
        <v>d.juntar</v>
      </c>
      <c r="G1189" s="17" t="s">
        <v>780</v>
      </c>
      <c r="H1189" s="42" t="s">
        <v>2121</v>
      </c>
      <c r="I1189" s="16" t="str">
        <f t="shared" si="46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76"/>
        <v>Propriedade destinada a juntar: é.junta.crimpada</v>
      </c>
      <c r="V1189" s="5" t="str">
        <f t="shared" si="477"/>
        <v>Dado para juntar:  junta.crimpada  Deve ser formatado como (rdfs:Literal  or  xsd:string)</v>
      </c>
      <c r="W1189" s="5" t="s">
        <v>5897</v>
      </c>
      <c r="X1189" s="24" t="str">
        <f t="shared" si="483"/>
        <v>junta.105</v>
      </c>
      <c r="Y1189" s="24" t="str">
        <f t="shared" si="484"/>
        <v>Ação de juntar</v>
      </c>
      <c r="Z1189" s="47" t="s">
        <v>1574</v>
      </c>
      <c r="AA1189" s="25" t="str">
        <f t="shared" si="447"/>
        <v>null</v>
      </c>
      <c r="AB1189" s="26" t="s">
        <v>0</v>
      </c>
      <c r="AC1189" s="25" t="str">
        <f t="shared" si="448"/>
        <v>null</v>
      </c>
      <c r="AD1189" s="26" t="s">
        <v>0</v>
      </c>
      <c r="AE1189" s="25" t="str">
        <f t="shared" si="463"/>
        <v>null</v>
      </c>
      <c r="AF1189" s="26" t="s">
        <v>0</v>
      </c>
      <c r="AG1189" s="47" t="s">
        <v>2942</v>
      </c>
    </row>
    <row r="1190" spans="1:33" ht="6.9" customHeight="1" x14ac:dyDescent="0.4">
      <c r="A1190" s="4">
        <f>ROW()</f>
        <v>1190</v>
      </c>
      <c r="B1190" s="9" t="s">
        <v>27</v>
      </c>
      <c r="C1190" s="55" t="str">
        <f t="shared" si="464"/>
        <v>p.juntar</v>
      </c>
      <c r="D1190" s="6" t="str">
        <f t="shared" si="485"/>
        <v>é.junta.de.encaixe</v>
      </c>
      <c r="E1190" s="8" t="s">
        <v>28</v>
      </c>
      <c r="F1190" s="42" t="str">
        <f t="shared" si="486"/>
        <v>d.juntar</v>
      </c>
      <c r="G1190" s="17" t="s">
        <v>781</v>
      </c>
      <c r="H1190" s="42" t="s">
        <v>2121</v>
      </c>
      <c r="I1190" s="16" t="str">
        <f t="shared" si="46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76"/>
        <v>Propriedade destinada a juntar: é.junta.de.encaixe</v>
      </c>
      <c r="V1190" s="5" t="str">
        <f t="shared" si="477"/>
        <v>Dado para juntar:  junta.de.encaixe  Deve ser formatado como (rdfs:Literal  or  xsd:string)</v>
      </c>
      <c r="W1190" s="5" t="s">
        <v>5898</v>
      </c>
      <c r="X1190" s="24" t="str">
        <f t="shared" si="483"/>
        <v>junta.106</v>
      </c>
      <c r="Y1190" s="24" t="str">
        <f t="shared" si="484"/>
        <v>Ação de juntar</v>
      </c>
      <c r="Z1190" s="47" t="s">
        <v>1575</v>
      </c>
      <c r="AA1190" s="25" t="str">
        <f t="shared" si="447"/>
        <v>null</v>
      </c>
      <c r="AB1190" s="26" t="s">
        <v>0</v>
      </c>
      <c r="AC1190" s="25" t="str">
        <f t="shared" si="448"/>
        <v>null</v>
      </c>
      <c r="AD1190" s="26" t="s">
        <v>0</v>
      </c>
      <c r="AE1190" s="25" t="str">
        <f t="shared" si="463"/>
        <v>null</v>
      </c>
      <c r="AF1190" s="26" t="s">
        <v>0</v>
      </c>
      <c r="AG1190" s="47" t="s">
        <v>2943</v>
      </c>
    </row>
    <row r="1191" spans="1:33" ht="6.9" customHeight="1" x14ac:dyDescent="0.4">
      <c r="A1191" s="4">
        <f>ROW()</f>
        <v>1191</v>
      </c>
      <c r="B1191" s="9" t="s">
        <v>27</v>
      </c>
      <c r="C1191" s="55" t="str">
        <f t="shared" si="464"/>
        <v>p.juntar</v>
      </c>
      <c r="D1191" s="6" t="str">
        <f t="shared" si="485"/>
        <v>é.junta.de.aperto</v>
      </c>
      <c r="E1191" s="8" t="s">
        <v>28</v>
      </c>
      <c r="F1191" s="42" t="str">
        <f t="shared" si="486"/>
        <v>d.juntar</v>
      </c>
      <c r="G1191" s="17" t="s">
        <v>782</v>
      </c>
      <c r="H1191" s="42" t="s">
        <v>2121</v>
      </c>
      <c r="I1191" s="16" t="str">
        <f t="shared" si="46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76"/>
        <v>Propriedade destinada a juntar: é.junta.de.aperto</v>
      </c>
      <c r="V1191" s="5" t="str">
        <f t="shared" si="477"/>
        <v>Dado para juntar:  junta.de.aperto  Deve ser formatado como (rdfs:Literal  or  xsd:string)</v>
      </c>
      <c r="W1191" s="5" t="s">
        <v>5899</v>
      </c>
      <c r="X1191" s="24" t="str">
        <f t="shared" si="483"/>
        <v>junta.107</v>
      </c>
      <c r="Y1191" s="24" t="str">
        <f t="shared" si="484"/>
        <v>Ação de juntar</v>
      </c>
      <c r="Z1191" s="47" t="s">
        <v>1576</v>
      </c>
      <c r="AA1191" s="25" t="str">
        <f t="shared" si="447"/>
        <v>null</v>
      </c>
      <c r="AB1191" s="26" t="s">
        <v>0</v>
      </c>
      <c r="AC1191" s="25" t="str">
        <f t="shared" si="448"/>
        <v>null</v>
      </c>
      <c r="AD1191" s="26" t="s">
        <v>0</v>
      </c>
      <c r="AE1191" s="25" t="str">
        <f t="shared" si="463"/>
        <v>null</v>
      </c>
      <c r="AF1191" s="26" t="s">
        <v>0</v>
      </c>
      <c r="AG1191" s="47" t="s">
        <v>2944</v>
      </c>
    </row>
    <row r="1192" spans="1:33" ht="6.9" customHeight="1" x14ac:dyDescent="0.4">
      <c r="A1192" s="4">
        <f>ROW()</f>
        <v>1192</v>
      </c>
      <c r="B1192" s="9" t="s">
        <v>27</v>
      </c>
      <c r="C1192" s="55" t="str">
        <f t="shared" si="464"/>
        <v>p.juntar</v>
      </c>
      <c r="D1192" s="6" t="str">
        <f t="shared" si="485"/>
        <v>é.junta.push-fit</v>
      </c>
      <c r="E1192" s="8" t="s">
        <v>28</v>
      </c>
      <c r="F1192" s="42" t="str">
        <f t="shared" si="486"/>
        <v>d.juntar</v>
      </c>
      <c r="G1192" s="17" t="s">
        <v>783</v>
      </c>
      <c r="H1192" s="42" t="s">
        <v>2121</v>
      </c>
      <c r="I1192" s="16" t="str">
        <f t="shared" si="46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76"/>
        <v>Propriedade destinada a juntar: é.junta.push-fit</v>
      </c>
      <c r="V1192" s="5" t="str">
        <f t="shared" si="477"/>
        <v>Dado para juntar:  junta.push-fit  Deve ser formatado como (rdfs:Literal  or  xsd:string)</v>
      </c>
      <c r="W1192" s="5" t="s">
        <v>5900</v>
      </c>
      <c r="X1192" s="24" t="str">
        <f t="shared" si="483"/>
        <v>junta.108</v>
      </c>
      <c r="Y1192" s="24" t="str">
        <f t="shared" si="484"/>
        <v>Ação de juntar</v>
      </c>
      <c r="Z1192" s="47" t="s">
        <v>1577</v>
      </c>
      <c r="AA1192" s="25" t="str">
        <f t="shared" si="447"/>
        <v>null</v>
      </c>
      <c r="AB1192" s="26" t="s">
        <v>0</v>
      </c>
      <c r="AC1192" s="25" t="str">
        <f t="shared" si="448"/>
        <v>null</v>
      </c>
      <c r="AD1192" s="26" t="s">
        <v>0</v>
      </c>
      <c r="AE1192" s="25" t="str">
        <f t="shared" si="463"/>
        <v>null</v>
      </c>
      <c r="AF1192" s="26" t="s">
        <v>0</v>
      </c>
      <c r="AG1192" s="47" t="s">
        <v>2945</v>
      </c>
    </row>
    <row r="1193" spans="1:33" ht="6.9" customHeight="1" x14ac:dyDescent="0.4">
      <c r="A1193" s="4">
        <f>ROW()</f>
        <v>1193</v>
      </c>
      <c r="B1193" s="9" t="s">
        <v>27</v>
      </c>
      <c r="C1193" s="55" t="str">
        <f t="shared" si="464"/>
        <v>p.juntar</v>
      </c>
      <c r="D1193" s="6" t="str">
        <f t="shared" si="485"/>
        <v>é.junta.elástica</v>
      </c>
      <c r="E1193" s="8" t="s">
        <v>28</v>
      </c>
      <c r="F1193" s="42" t="str">
        <f t="shared" si="486"/>
        <v>d.juntar</v>
      </c>
      <c r="G1193" s="17" t="s">
        <v>784</v>
      </c>
      <c r="H1193" s="42" t="s">
        <v>2121</v>
      </c>
      <c r="I1193" s="16" t="str">
        <f t="shared" si="46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76"/>
        <v>Propriedade destinada a juntar: é.junta.elástica</v>
      </c>
      <c r="V1193" s="5" t="str">
        <f t="shared" si="477"/>
        <v>Dado para juntar:  junta.elástica  Deve ser formatado como (rdfs:Literal  or  xsd:string)</v>
      </c>
      <c r="W1193" s="5" t="s">
        <v>5901</v>
      </c>
      <c r="X1193" s="24" t="str">
        <f t="shared" si="483"/>
        <v>junta.109</v>
      </c>
      <c r="Y1193" s="24" t="str">
        <f t="shared" si="484"/>
        <v>Ação de juntar</v>
      </c>
      <c r="Z1193" s="47" t="s">
        <v>1578</v>
      </c>
      <c r="AA1193" s="25" t="str">
        <f t="shared" si="447"/>
        <v>null</v>
      </c>
      <c r="AB1193" s="26" t="s">
        <v>0</v>
      </c>
      <c r="AC1193" s="25" t="str">
        <f t="shared" si="448"/>
        <v>null</v>
      </c>
      <c r="AD1193" s="26" t="s">
        <v>0</v>
      </c>
      <c r="AE1193" s="25" t="str">
        <f t="shared" si="463"/>
        <v>null</v>
      </c>
      <c r="AF1193" s="26" t="s">
        <v>0</v>
      </c>
      <c r="AG1193" s="47" t="s">
        <v>2946</v>
      </c>
    </row>
    <row r="1194" spans="1:33" ht="6.9" customHeight="1" x14ac:dyDescent="0.4">
      <c r="A1194" s="4">
        <f>ROW()</f>
        <v>1194</v>
      </c>
      <c r="B1194" s="9" t="s">
        <v>27</v>
      </c>
      <c r="C1194" s="55" t="str">
        <f t="shared" si="464"/>
        <v>p.juntar</v>
      </c>
      <c r="D1194" s="6" t="str">
        <f t="shared" si="485"/>
        <v>é.junta.travada.interna</v>
      </c>
      <c r="E1194" s="8" t="s">
        <v>28</v>
      </c>
      <c r="F1194" s="42" t="str">
        <f t="shared" si="486"/>
        <v>d.juntar</v>
      </c>
      <c r="G1194" s="17" t="s">
        <v>785</v>
      </c>
      <c r="H1194" s="42" t="s">
        <v>2121</v>
      </c>
      <c r="I1194" s="16" t="str">
        <f t="shared" si="46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76"/>
        <v>Propriedade destinada a juntar: é.junta.travada.interna</v>
      </c>
      <c r="V1194" s="5" t="str">
        <f t="shared" si="477"/>
        <v>Dado para juntar:  junta.travada.interna  Deve ser formatado como (rdfs:Literal  or  xsd:string)</v>
      </c>
      <c r="W1194" s="5" t="s">
        <v>5902</v>
      </c>
      <c r="X1194" s="24" t="str">
        <f t="shared" si="483"/>
        <v>junta.110</v>
      </c>
      <c r="Y1194" s="24" t="str">
        <f t="shared" si="484"/>
        <v>Ação de juntar</v>
      </c>
      <c r="Z1194" s="47" t="s">
        <v>1579</v>
      </c>
      <c r="AA1194" s="25" t="str">
        <f t="shared" si="447"/>
        <v>null</v>
      </c>
      <c r="AB1194" s="26" t="s">
        <v>0</v>
      </c>
      <c r="AC1194" s="25" t="str">
        <f t="shared" si="448"/>
        <v>null</v>
      </c>
      <c r="AD1194" s="26" t="s">
        <v>0</v>
      </c>
      <c r="AE1194" s="25" t="str">
        <f t="shared" si="463"/>
        <v>null</v>
      </c>
      <c r="AF1194" s="26" t="s">
        <v>0</v>
      </c>
      <c r="AG1194" s="47" t="s">
        <v>2947</v>
      </c>
    </row>
    <row r="1195" spans="1:33" ht="6.9" customHeight="1" x14ac:dyDescent="0.4">
      <c r="A1195" s="4">
        <f>ROW()</f>
        <v>1195</v>
      </c>
      <c r="B1195" s="9" t="s">
        <v>27</v>
      </c>
      <c r="C1195" s="55" t="str">
        <f t="shared" si="464"/>
        <v>p.juntar</v>
      </c>
      <c r="D1195" s="6" t="str">
        <f t="shared" si="485"/>
        <v>é.junta.travada.externa</v>
      </c>
      <c r="E1195" s="8" t="s">
        <v>28</v>
      </c>
      <c r="F1195" s="42" t="str">
        <f t="shared" si="486"/>
        <v>d.juntar</v>
      </c>
      <c r="G1195" s="17" t="s">
        <v>786</v>
      </c>
      <c r="H1195" s="42" t="s">
        <v>2121</v>
      </c>
      <c r="I1195" s="16" t="str">
        <f t="shared" si="46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76"/>
        <v>Propriedade destinada a juntar: é.junta.travada.externa</v>
      </c>
      <c r="V1195" s="5" t="str">
        <f t="shared" si="477"/>
        <v>Dado para juntar:  junta.travada.externa  Deve ser formatado como (rdfs:Literal  or  xsd:string)</v>
      </c>
      <c r="W1195" s="5" t="s">
        <v>5903</v>
      </c>
      <c r="X1195" s="24" t="str">
        <f t="shared" si="483"/>
        <v>junta.111</v>
      </c>
      <c r="Y1195" s="24" t="str">
        <f t="shared" si="484"/>
        <v>Ação de juntar</v>
      </c>
      <c r="Z1195" s="47" t="s">
        <v>1580</v>
      </c>
      <c r="AA1195" s="25" t="str">
        <f t="shared" si="447"/>
        <v>null</v>
      </c>
      <c r="AB1195" s="26" t="s">
        <v>0</v>
      </c>
      <c r="AC1195" s="25" t="str">
        <f t="shared" si="448"/>
        <v>null</v>
      </c>
      <c r="AD1195" s="26" t="s">
        <v>0</v>
      </c>
      <c r="AE1195" s="25" t="str">
        <f t="shared" si="463"/>
        <v>null</v>
      </c>
      <c r="AF1195" s="26" t="s">
        <v>0</v>
      </c>
      <c r="AG1195" s="47" t="s">
        <v>2948</v>
      </c>
    </row>
    <row r="1196" spans="1:33" ht="6.9" customHeight="1" x14ac:dyDescent="0.4">
      <c r="A1196" s="4">
        <f>ROW()</f>
        <v>1196</v>
      </c>
      <c r="B1196" s="9" t="s">
        <v>27</v>
      </c>
      <c r="C1196" s="55" t="str">
        <f t="shared" si="464"/>
        <v>p.juntar</v>
      </c>
      <c r="D1196" s="6" t="str">
        <f t="shared" si="485"/>
        <v>é.junta.mecânica</v>
      </c>
      <c r="E1196" s="8" t="s">
        <v>28</v>
      </c>
      <c r="F1196" s="42" t="str">
        <f t="shared" si="486"/>
        <v>d.juntar</v>
      </c>
      <c r="G1196" s="17" t="s">
        <v>787</v>
      </c>
      <c r="H1196" s="42" t="s">
        <v>2121</v>
      </c>
      <c r="I1196" s="16" t="str">
        <f t="shared" si="46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76"/>
        <v>Propriedade destinada a juntar: é.junta.mecânica</v>
      </c>
      <c r="V1196" s="5" t="str">
        <f t="shared" si="477"/>
        <v>Dado para juntar:  junta.mecânica  Deve ser formatado como (rdfs:Literal  or  xsd:string)</v>
      </c>
      <c r="W1196" s="5" t="s">
        <v>5904</v>
      </c>
      <c r="X1196" s="24" t="str">
        <f t="shared" si="483"/>
        <v>junta.112</v>
      </c>
      <c r="Y1196" s="24" t="str">
        <f t="shared" si="484"/>
        <v>Ação de juntar</v>
      </c>
      <c r="Z1196" s="47" t="s">
        <v>1581</v>
      </c>
      <c r="AA1196" s="25" t="str">
        <f t="shared" si="447"/>
        <v>null</v>
      </c>
      <c r="AB1196" s="26" t="s">
        <v>0</v>
      </c>
      <c r="AC1196" s="25" t="str">
        <f t="shared" si="448"/>
        <v>null</v>
      </c>
      <c r="AD1196" s="26" t="s">
        <v>0</v>
      </c>
      <c r="AE1196" s="25" t="str">
        <f t="shared" si="463"/>
        <v>null</v>
      </c>
      <c r="AF1196" s="26" t="s">
        <v>0</v>
      </c>
      <c r="AG1196" s="47" t="s">
        <v>2949</v>
      </c>
    </row>
    <row r="1197" spans="1:33" ht="6.9" customHeight="1" x14ac:dyDescent="0.4">
      <c r="A1197" s="4">
        <f>ROW()</f>
        <v>1197</v>
      </c>
      <c r="B1197" s="9" t="s">
        <v>27</v>
      </c>
      <c r="C1197" s="55" t="str">
        <f t="shared" si="464"/>
        <v>p.juntar</v>
      </c>
      <c r="D1197" s="6" t="str">
        <f t="shared" si="485"/>
        <v>é.junta.smu</v>
      </c>
      <c r="E1197" s="8" t="s">
        <v>28</v>
      </c>
      <c r="F1197" s="42" t="str">
        <f t="shared" si="486"/>
        <v>d.juntar</v>
      </c>
      <c r="G1197" s="17" t="s">
        <v>788</v>
      </c>
      <c r="H1197" s="42" t="s">
        <v>2121</v>
      </c>
      <c r="I1197" s="16" t="str">
        <f t="shared" si="46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76"/>
        <v>Propriedade destinada a juntar: é.junta.smu</v>
      </c>
      <c r="V1197" s="5" t="str">
        <f t="shared" si="477"/>
        <v>Dado para juntar:  junta.smu  Deve ser formatado como (rdfs:Literal  or  xsd:string)</v>
      </c>
      <c r="W1197" s="5" t="s">
        <v>5905</v>
      </c>
      <c r="X1197" s="24" t="str">
        <f t="shared" si="483"/>
        <v>junta.113</v>
      </c>
      <c r="Y1197" s="24" t="str">
        <f t="shared" si="484"/>
        <v>Ação de juntar</v>
      </c>
      <c r="Z1197" s="47" t="s">
        <v>1582</v>
      </c>
      <c r="AA1197" s="25" t="str">
        <f t="shared" si="447"/>
        <v>null</v>
      </c>
      <c r="AB1197" s="26" t="s">
        <v>0</v>
      </c>
      <c r="AC1197" s="25" t="str">
        <f t="shared" si="448"/>
        <v>null</v>
      </c>
      <c r="AD1197" s="26" t="s">
        <v>0</v>
      </c>
      <c r="AE1197" s="25" t="str">
        <f t="shared" si="463"/>
        <v>null</v>
      </c>
      <c r="AF1197" s="26" t="s">
        <v>0</v>
      </c>
      <c r="AG1197" s="47" t="s">
        <v>2950</v>
      </c>
    </row>
    <row r="1198" spans="1:33" ht="6.9" customHeight="1" x14ac:dyDescent="0.4">
      <c r="A1198" s="4">
        <f>ROW()</f>
        <v>1198</v>
      </c>
      <c r="B1198" s="9" t="s">
        <v>27</v>
      </c>
      <c r="C1198" s="54" t="str">
        <f t="shared" si="464"/>
        <v>p.legislar</v>
      </c>
      <c r="D1198" s="6" t="str">
        <f t="shared" si="485"/>
        <v>é.dou</v>
      </c>
      <c r="E1198" s="8" t="s">
        <v>28</v>
      </c>
      <c r="F1198" s="51" t="s">
        <v>3595</v>
      </c>
      <c r="G1198" s="17" t="s">
        <v>210</v>
      </c>
      <c r="H1198" s="42" t="s">
        <v>2121</v>
      </c>
      <c r="I1198" s="16" t="str">
        <f t="shared" si="465"/>
        <v>Functional</v>
      </c>
      <c r="J1198" s="15" t="s">
        <v>29</v>
      </c>
      <c r="K1198" s="15" t="s">
        <v>0</v>
      </c>
      <c r="L1198" s="15" t="s">
        <v>0</v>
      </c>
      <c r="M1198" s="15" t="s">
        <v>0</v>
      </c>
      <c r="N1198" s="15" t="s">
        <v>0</v>
      </c>
      <c r="O1198" s="15" t="s">
        <v>0</v>
      </c>
      <c r="P1198" s="15" t="s">
        <v>0</v>
      </c>
      <c r="Q1198" s="15" t="s">
        <v>0</v>
      </c>
      <c r="R1198" s="15" t="s">
        <v>789</v>
      </c>
      <c r="S1198" s="10" t="s">
        <v>1</v>
      </c>
      <c r="T1198" s="10" t="s">
        <v>32</v>
      </c>
      <c r="U1198" s="5" t="str">
        <f t="shared" si="476"/>
        <v>Propriedade destinada a legislar: é.dou</v>
      </c>
      <c r="V1198" s="5" t="str">
        <f t="shared" si="477"/>
        <v>Dado para legislar:  dou  Deve ser formatado como (rdfs:Literal  or  xsd:string)</v>
      </c>
      <c r="W1198" s="5" t="s">
        <v>5906</v>
      </c>
      <c r="X1198" s="24" t="str">
        <f t="shared" si="483"/>
        <v>legis.100</v>
      </c>
      <c r="Y1198" s="24" t="str">
        <f t="shared" si="484"/>
        <v>Ação de legislar</v>
      </c>
      <c r="Z1198" s="47" t="s">
        <v>1583</v>
      </c>
      <c r="AA1198" s="25" t="str">
        <f t="shared" si="447"/>
        <v>null</v>
      </c>
      <c r="AB1198" s="26" t="s">
        <v>0</v>
      </c>
      <c r="AC1198" s="25" t="str">
        <f t="shared" si="448"/>
        <v>null</v>
      </c>
      <c r="AD1198" s="26" t="s">
        <v>0</v>
      </c>
      <c r="AE1198" s="25" t="str">
        <f t="shared" si="463"/>
        <v>null</v>
      </c>
      <c r="AF1198" s="26" t="s">
        <v>0</v>
      </c>
      <c r="AG1198" s="47" t="s">
        <v>2951</v>
      </c>
    </row>
    <row r="1199" spans="1:33" ht="6.9" customHeight="1" x14ac:dyDescent="0.4">
      <c r="A1199" s="4">
        <f>ROW()</f>
        <v>1199</v>
      </c>
      <c r="B1199" s="9" t="s">
        <v>27</v>
      </c>
      <c r="C1199" s="55" t="str">
        <f t="shared" si="464"/>
        <v>p.legislar</v>
      </c>
      <c r="D1199" s="6" t="str">
        <f t="shared" si="485"/>
        <v>é.diário.oficial.da.união</v>
      </c>
      <c r="E1199" s="8" t="s">
        <v>28</v>
      </c>
      <c r="F1199" s="42" t="str">
        <f t="shared" ref="F1199:F1221" si="487">F1198</f>
        <v>d.legislar</v>
      </c>
      <c r="G1199" s="18" t="s">
        <v>790</v>
      </c>
      <c r="H1199" s="41" t="s">
        <v>2121</v>
      </c>
      <c r="I1199" s="16" t="str">
        <f t="shared" si="465"/>
        <v>Functional</v>
      </c>
      <c r="J1199" s="15" t="s">
        <v>29</v>
      </c>
      <c r="K1199" s="13" t="s">
        <v>0</v>
      </c>
      <c r="L1199" s="13" t="s">
        <v>0</v>
      </c>
      <c r="M1199" s="13" t="s">
        <v>0</v>
      </c>
      <c r="N1199" s="15" t="s">
        <v>0</v>
      </c>
      <c r="O1199" s="13" t="s">
        <v>0</v>
      </c>
      <c r="P1199" s="13" t="s">
        <v>0</v>
      </c>
      <c r="Q1199" s="13" t="s">
        <v>0</v>
      </c>
      <c r="R1199" s="15" t="s">
        <v>791</v>
      </c>
      <c r="S1199" s="10" t="s">
        <v>1</v>
      </c>
      <c r="T1199" s="10" t="s">
        <v>32</v>
      </c>
      <c r="U1199" s="5" t="str">
        <f t="shared" si="476"/>
        <v>Propriedade destinada a legislar: é.diário.oficial.da.união</v>
      </c>
      <c r="V1199" s="5" t="str">
        <f t="shared" si="477"/>
        <v>Dado para legislar:  diário.oficial.da.união  Deve ser formatado como (rdfs:Literal  or  xsd:string)</v>
      </c>
      <c r="W1199" s="5" t="s">
        <v>5906</v>
      </c>
      <c r="X1199" s="24" t="str">
        <f t="shared" si="483"/>
        <v>legis.101</v>
      </c>
      <c r="Y1199" s="24" t="str">
        <f t="shared" si="484"/>
        <v>Ação de legislar</v>
      </c>
      <c r="Z1199" s="47" t="s">
        <v>1584</v>
      </c>
      <c r="AA1199" s="25" t="str">
        <f t="shared" si="447"/>
        <v>null</v>
      </c>
      <c r="AB1199" s="26" t="s">
        <v>0</v>
      </c>
      <c r="AC1199" s="25" t="str">
        <f t="shared" si="448"/>
        <v>null</v>
      </c>
      <c r="AD1199" s="26" t="s">
        <v>0</v>
      </c>
      <c r="AE1199" s="25" t="str">
        <f t="shared" si="463"/>
        <v>null</v>
      </c>
      <c r="AF1199" s="26" t="s">
        <v>0</v>
      </c>
      <c r="AG1199" s="47" t="s">
        <v>2952</v>
      </c>
    </row>
    <row r="1200" spans="1:33" ht="6.9" customHeight="1" x14ac:dyDescent="0.4">
      <c r="A1200" s="4">
        <f>ROW()</f>
        <v>1200</v>
      </c>
      <c r="B1200" s="9" t="s">
        <v>27</v>
      </c>
      <c r="C1200" s="55" t="str">
        <f t="shared" si="464"/>
        <v>p.legislar</v>
      </c>
      <c r="D1200" s="6" t="str">
        <f t="shared" si="485"/>
        <v>é.esfera</v>
      </c>
      <c r="E1200" s="8" t="s">
        <v>28</v>
      </c>
      <c r="F1200" s="42" t="str">
        <f t="shared" si="487"/>
        <v>d.legislar</v>
      </c>
      <c r="G1200" s="18" t="s">
        <v>41</v>
      </c>
      <c r="H1200" s="41" t="s">
        <v>2121</v>
      </c>
      <c r="I1200" s="16" t="str">
        <f t="shared" si="46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76"/>
        <v>Propriedade destinada a legislar: é.esfera</v>
      </c>
      <c r="V1200" s="5" t="str">
        <f t="shared" si="477"/>
        <v>Dado para legislar:  esfera  Deve ser formatado como (rdfs:Literal  or  xsd:string)</v>
      </c>
      <c r="W1200" s="5" t="s">
        <v>5907</v>
      </c>
      <c r="X1200" s="24" t="str">
        <f t="shared" si="483"/>
        <v>legis.102</v>
      </c>
      <c r="Y1200" s="24" t="str">
        <f t="shared" si="484"/>
        <v>Ação de legislar</v>
      </c>
      <c r="Z1200" s="47" t="s">
        <v>1584</v>
      </c>
      <c r="AA1200" s="25" t="str">
        <f t="shared" si="447"/>
        <v>null</v>
      </c>
      <c r="AB1200" s="26" t="s">
        <v>0</v>
      </c>
      <c r="AC1200" s="25" t="str">
        <f t="shared" si="448"/>
        <v>null</v>
      </c>
      <c r="AD1200" s="26" t="s">
        <v>0</v>
      </c>
      <c r="AE1200" s="25" t="str">
        <f t="shared" si="463"/>
        <v>null</v>
      </c>
      <c r="AF1200" s="26" t="s">
        <v>0</v>
      </c>
      <c r="AG1200" s="47" t="s">
        <v>2952</v>
      </c>
    </row>
    <row r="1201" spans="1:33" ht="6.9" customHeight="1" x14ac:dyDescent="0.4">
      <c r="A1201" s="4">
        <f>ROW()</f>
        <v>1201</v>
      </c>
      <c r="B1201" s="9" t="s">
        <v>27</v>
      </c>
      <c r="C1201" s="55" t="str">
        <f t="shared" si="464"/>
        <v>p.legislar</v>
      </c>
      <c r="D1201" s="6" t="str">
        <f t="shared" si="485"/>
        <v>é.código.jurídico</v>
      </c>
      <c r="E1201" s="8" t="s">
        <v>28</v>
      </c>
      <c r="F1201" s="42" t="str">
        <f t="shared" si="487"/>
        <v>d.legislar</v>
      </c>
      <c r="G1201" s="18" t="s">
        <v>2318</v>
      </c>
      <c r="H1201" s="41" t="s">
        <v>2121</v>
      </c>
      <c r="I1201" s="16" t="str">
        <f t="shared" si="46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476"/>
        <v>Propriedade destinada a legislar: é.código.jurídico</v>
      </c>
      <c r="V1201" s="5" t="str">
        <f t="shared" si="477"/>
        <v>Dado para legislar:  código.jurídico  Deve ser formatado como (rdfs:Literal  or  xsd:string)</v>
      </c>
      <c r="W1201" s="5" t="s">
        <v>5908</v>
      </c>
      <c r="X1201" s="24" t="str">
        <f t="shared" si="483"/>
        <v>legis.103</v>
      </c>
      <c r="Y1201" s="24" t="str">
        <f t="shared" si="484"/>
        <v>Ação de legislar</v>
      </c>
      <c r="Z1201" s="47" t="s">
        <v>2316</v>
      </c>
      <c r="AA1201" s="25" t="str">
        <f t="shared" si="447"/>
        <v>null</v>
      </c>
      <c r="AB1201" s="26" t="s">
        <v>0</v>
      </c>
      <c r="AC1201" s="25" t="str">
        <f t="shared" si="448"/>
        <v>null</v>
      </c>
      <c r="AD1201" s="26" t="s">
        <v>0</v>
      </c>
      <c r="AE1201" s="25" t="str">
        <f t="shared" si="463"/>
        <v>null</v>
      </c>
      <c r="AF1201" s="26" t="s">
        <v>0</v>
      </c>
      <c r="AG1201" s="47" t="s">
        <v>2953</v>
      </c>
    </row>
    <row r="1202" spans="1:33" ht="6.9" customHeight="1" x14ac:dyDescent="0.4">
      <c r="A1202" s="4">
        <f>ROW()</f>
        <v>1202</v>
      </c>
      <c r="B1202" s="9" t="s">
        <v>27</v>
      </c>
      <c r="C1202" s="55" t="str">
        <f t="shared" si="464"/>
        <v>p.legislar</v>
      </c>
      <c r="D1202" s="6" t="str">
        <f t="shared" si="485"/>
        <v>é.lei</v>
      </c>
      <c r="E1202" s="8" t="s">
        <v>28</v>
      </c>
      <c r="F1202" s="42" t="str">
        <f t="shared" si="487"/>
        <v>d.legislar</v>
      </c>
      <c r="G1202" s="18" t="s">
        <v>2307</v>
      </c>
      <c r="H1202" s="41" t="s">
        <v>2121</v>
      </c>
      <c r="I1202" s="16" t="str">
        <f t="shared" si="46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476"/>
        <v>Propriedade destinada a legislar: é.lei</v>
      </c>
      <c r="V1202" s="5" t="str">
        <f t="shared" si="477"/>
        <v>Dado para legislar:  lei  Deve ser formatado como (rdfs:Literal  or  xsd:string)</v>
      </c>
      <c r="W1202" s="5" t="s">
        <v>5909</v>
      </c>
      <c r="X1202" s="24" t="str">
        <f t="shared" si="483"/>
        <v>legis.104</v>
      </c>
      <c r="Y1202" s="24" t="str">
        <f t="shared" si="484"/>
        <v>Ação de legislar</v>
      </c>
      <c r="Z1202" s="47" t="s">
        <v>2312</v>
      </c>
      <c r="AA1202" s="25" t="str">
        <f t="shared" si="447"/>
        <v>null</v>
      </c>
      <c r="AB1202" s="26" t="s">
        <v>0</v>
      </c>
      <c r="AC1202" s="25" t="str">
        <f t="shared" si="448"/>
        <v>null</v>
      </c>
      <c r="AD1202" s="26" t="s">
        <v>0</v>
      </c>
      <c r="AE1202" s="25" t="str">
        <f t="shared" si="463"/>
        <v>null</v>
      </c>
      <c r="AF1202" s="26" t="s">
        <v>0</v>
      </c>
      <c r="AG1202" s="47" t="s">
        <v>2954</v>
      </c>
    </row>
    <row r="1203" spans="1:33" ht="6.9" customHeight="1" x14ac:dyDescent="0.4">
      <c r="A1203" s="4">
        <f>ROW()</f>
        <v>1203</v>
      </c>
      <c r="B1203" s="9" t="s">
        <v>27</v>
      </c>
      <c r="C1203" s="55" t="str">
        <f t="shared" si="464"/>
        <v>p.legislar</v>
      </c>
      <c r="D1203" s="6" t="str">
        <f t="shared" si="485"/>
        <v>é.decreto</v>
      </c>
      <c r="E1203" s="8" t="s">
        <v>28</v>
      </c>
      <c r="F1203" s="42" t="str">
        <f t="shared" si="487"/>
        <v>d.legislar</v>
      </c>
      <c r="G1203" s="18" t="s">
        <v>2308</v>
      </c>
      <c r="H1203" s="41" t="s">
        <v>2121</v>
      </c>
      <c r="I1203" s="16" t="str">
        <f t="shared" si="46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476"/>
        <v>Propriedade destinada a legislar: é.decreto</v>
      </c>
      <c r="V1203" s="5" t="str">
        <f t="shared" si="477"/>
        <v>Dado para legislar:  decreto  Deve ser formatado como (rdfs:Literal  or  xsd:string)</v>
      </c>
      <c r="W1203" s="5" t="s">
        <v>5910</v>
      </c>
      <c r="X1203" s="24" t="str">
        <f t="shared" si="483"/>
        <v>legis.105</v>
      </c>
      <c r="Y1203" s="24" t="str">
        <f t="shared" si="484"/>
        <v>Ação de legislar</v>
      </c>
      <c r="Z1203" s="47" t="s">
        <v>2313</v>
      </c>
      <c r="AA1203" s="25" t="str">
        <f t="shared" si="447"/>
        <v>null</v>
      </c>
      <c r="AB1203" s="26" t="s">
        <v>0</v>
      </c>
      <c r="AC1203" s="25" t="str">
        <f t="shared" si="448"/>
        <v>null</v>
      </c>
      <c r="AD1203" s="26" t="s">
        <v>0</v>
      </c>
      <c r="AE1203" s="25" t="str">
        <f t="shared" si="463"/>
        <v>null</v>
      </c>
      <c r="AF1203" s="26" t="s">
        <v>0</v>
      </c>
      <c r="AG1203" s="47" t="s">
        <v>2955</v>
      </c>
    </row>
    <row r="1204" spans="1:33" ht="6.9" customHeight="1" x14ac:dyDescent="0.4">
      <c r="A1204" s="4">
        <f>ROW()</f>
        <v>1204</v>
      </c>
      <c r="B1204" s="9" t="s">
        <v>27</v>
      </c>
      <c r="C1204" s="55" t="str">
        <f t="shared" si="464"/>
        <v>p.legislar</v>
      </c>
      <c r="D1204" s="6" t="str">
        <f t="shared" si="485"/>
        <v>é.regulamentação</v>
      </c>
      <c r="E1204" s="8" t="s">
        <v>28</v>
      </c>
      <c r="F1204" s="42" t="str">
        <f t="shared" si="487"/>
        <v>d.legislar</v>
      </c>
      <c r="G1204" s="18" t="s">
        <v>2309</v>
      </c>
      <c r="H1204" s="41" t="s">
        <v>2121</v>
      </c>
      <c r="I1204" s="16" t="str">
        <f t="shared" si="46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76"/>
        <v>Propriedade destinada a legislar: é.regulamentação</v>
      </c>
      <c r="V1204" s="5" t="str">
        <f t="shared" si="477"/>
        <v>Dado para legislar:  regulamentação  Deve ser formatado como (rdfs:Literal  or  xsd:string)</v>
      </c>
      <c r="W1204" s="5" t="s">
        <v>5911</v>
      </c>
      <c r="X1204" s="24" t="str">
        <f t="shared" si="483"/>
        <v>legis.106</v>
      </c>
      <c r="Y1204" s="24" t="str">
        <f t="shared" si="484"/>
        <v>Ação de legislar</v>
      </c>
      <c r="Z1204" s="47" t="s">
        <v>2314</v>
      </c>
      <c r="AA1204" s="25" t="str">
        <f t="shared" si="447"/>
        <v>null</v>
      </c>
      <c r="AB1204" s="26" t="s">
        <v>0</v>
      </c>
      <c r="AC1204" s="25" t="str">
        <f t="shared" si="448"/>
        <v>null</v>
      </c>
      <c r="AD1204" s="26" t="s">
        <v>0</v>
      </c>
      <c r="AE1204" s="25" t="str">
        <f t="shared" si="463"/>
        <v>null</v>
      </c>
      <c r="AF1204" s="26" t="s">
        <v>0</v>
      </c>
      <c r="AG1204" s="47" t="s">
        <v>2956</v>
      </c>
    </row>
    <row r="1205" spans="1:33" ht="6.9" customHeight="1" x14ac:dyDescent="0.4">
      <c r="A1205" s="4">
        <f>ROW()</f>
        <v>1205</v>
      </c>
      <c r="B1205" s="9" t="s">
        <v>27</v>
      </c>
      <c r="C1205" s="55" t="str">
        <f t="shared" si="464"/>
        <v>p.legislar</v>
      </c>
      <c r="D1205" s="6" t="str">
        <f t="shared" si="485"/>
        <v>é.resolução.jurídica</v>
      </c>
      <c r="E1205" s="8" t="s">
        <v>28</v>
      </c>
      <c r="F1205" s="42" t="str">
        <f t="shared" si="487"/>
        <v>d.legislar</v>
      </c>
      <c r="G1205" s="18" t="s">
        <v>2319</v>
      </c>
      <c r="H1205" s="41" t="s">
        <v>2121</v>
      </c>
      <c r="I1205" s="16" t="str">
        <f t="shared" si="46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76"/>
        <v>Propriedade destinada a legislar: é.resolução.jurídica</v>
      </c>
      <c r="V1205" s="5" t="str">
        <f t="shared" si="477"/>
        <v>Dado para legislar:  resolução.jurídica  Deve ser formatado como (rdfs:Literal  or  xsd:string)</v>
      </c>
      <c r="W1205" s="5" t="s">
        <v>5912</v>
      </c>
      <c r="X1205" s="24" t="str">
        <f t="shared" si="483"/>
        <v>legis.107</v>
      </c>
      <c r="Y1205" s="24" t="str">
        <f t="shared" si="484"/>
        <v>Ação de legislar</v>
      </c>
      <c r="Z1205" s="47" t="s">
        <v>2315</v>
      </c>
      <c r="AA1205" s="25" t="str">
        <f t="shared" si="447"/>
        <v>null</v>
      </c>
      <c r="AB1205" s="26" t="s">
        <v>0</v>
      </c>
      <c r="AC1205" s="25" t="str">
        <f t="shared" si="448"/>
        <v>null</v>
      </c>
      <c r="AD1205" s="26" t="s">
        <v>0</v>
      </c>
      <c r="AE1205" s="25" t="str">
        <f t="shared" si="463"/>
        <v>null</v>
      </c>
      <c r="AF1205" s="26" t="s">
        <v>0</v>
      </c>
      <c r="AG1205" s="47" t="s">
        <v>2957</v>
      </c>
    </row>
    <row r="1206" spans="1:33" ht="6.9" customHeight="1" x14ac:dyDescent="0.4">
      <c r="A1206" s="4">
        <f>ROW()</f>
        <v>1206</v>
      </c>
      <c r="B1206" s="9" t="s">
        <v>27</v>
      </c>
      <c r="C1206" s="55" t="str">
        <f t="shared" si="464"/>
        <v>p.legislar</v>
      </c>
      <c r="D1206" s="6" t="str">
        <f t="shared" si="485"/>
        <v>é.poder</v>
      </c>
      <c r="E1206" s="8" t="s">
        <v>28</v>
      </c>
      <c r="F1206" s="42" t="str">
        <f t="shared" si="487"/>
        <v>d.legislar</v>
      </c>
      <c r="G1206" s="18" t="s">
        <v>42</v>
      </c>
      <c r="H1206" s="41" t="s">
        <v>2121</v>
      </c>
      <c r="I1206" s="16" t="str">
        <f t="shared" si="46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76"/>
        <v>Propriedade destinada a legislar: é.poder</v>
      </c>
      <c r="V1206" s="5" t="str">
        <f t="shared" si="477"/>
        <v>Dado para legislar:  poder  Deve ser formatado como (rdfs:Literal  or  xsd:string)</v>
      </c>
      <c r="W1206" s="5" t="s">
        <v>5913</v>
      </c>
      <c r="X1206" s="24" t="str">
        <f t="shared" si="483"/>
        <v>legis.108</v>
      </c>
      <c r="Y1206" s="24" t="str">
        <f t="shared" si="484"/>
        <v>Ação de legislar</v>
      </c>
      <c r="Z1206" s="47" t="s">
        <v>1585</v>
      </c>
      <c r="AA1206" s="25" t="str">
        <f t="shared" si="447"/>
        <v>null</v>
      </c>
      <c r="AB1206" s="26" t="s">
        <v>0</v>
      </c>
      <c r="AC1206" s="25" t="str">
        <f t="shared" si="448"/>
        <v>null</v>
      </c>
      <c r="AD1206" s="26" t="s">
        <v>0</v>
      </c>
      <c r="AE1206" s="25" t="str">
        <f t="shared" si="463"/>
        <v>null</v>
      </c>
      <c r="AF1206" s="26" t="s">
        <v>0</v>
      </c>
      <c r="AG1206" s="47" t="s">
        <v>2958</v>
      </c>
    </row>
    <row r="1207" spans="1:33" ht="6.9" customHeight="1" x14ac:dyDescent="0.4">
      <c r="A1207" s="4">
        <f>ROW()</f>
        <v>1207</v>
      </c>
      <c r="B1207" s="9" t="s">
        <v>27</v>
      </c>
      <c r="C1207" s="55" t="str">
        <f t="shared" si="464"/>
        <v>p.legislar</v>
      </c>
      <c r="D1207" s="6" t="str">
        <f t="shared" si="485"/>
        <v>é.portaria</v>
      </c>
      <c r="E1207" s="8" t="s">
        <v>28</v>
      </c>
      <c r="F1207" s="42" t="str">
        <f t="shared" si="487"/>
        <v>d.legislar</v>
      </c>
      <c r="G1207" s="17" t="s">
        <v>222</v>
      </c>
      <c r="H1207" s="42" t="s">
        <v>2121</v>
      </c>
      <c r="I1207" s="16" t="str">
        <f t="shared" si="46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476"/>
        <v>Propriedade destinada a legislar: é.portaria</v>
      </c>
      <c r="V1207" s="5" t="str">
        <f t="shared" si="477"/>
        <v>Dado para legislar:  portaria  Deve ser formatado como (rdfs:Literal  or  xsd:string)</v>
      </c>
      <c r="W1207" s="5" t="s">
        <v>5914</v>
      </c>
      <c r="X1207" s="24" t="str">
        <f t="shared" si="483"/>
        <v>legis.109</v>
      </c>
      <c r="Y1207" s="24" t="str">
        <f t="shared" si="484"/>
        <v>Ação de legislar</v>
      </c>
      <c r="Z1207" s="47" t="s">
        <v>1586</v>
      </c>
      <c r="AA1207" s="25" t="str">
        <f t="shared" si="447"/>
        <v>null</v>
      </c>
      <c r="AB1207" s="26" t="s">
        <v>0</v>
      </c>
      <c r="AC1207" s="25" t="str">
        <f t="shared" si="448"/>
        <v>null</v>
      </c>
      <c r="AD1207" s="26" t="s">
        <v>0</v>
      </c>
      <c r="AE1207" s="25" t="str">
        <f t="shared" si="463"/>
        <v>null</v>
      </c>
      <c r="AF1207" s="26" t="s">
        <v>0</v>
      </c>
      <c r="AG1207" s="47" t="s">
        <v>2959</v>
      </c>
    </row>
    <row r="1208" spans="1:33" ht="6.9" customHeight="1" x14ac:dyDescent="0.4">
      <c r="A1208" s="4">
        <f>ROW()</f>
        <v>1208</v>
      </c>
      <c r="B1208" s="9" t="s">
        <v>27</v>
      </c>
      <c r="C1208" s="55" t="str">
        <f t="shared" si="464"/>
        <v>p.legislar</v>
      </c>
      <c r="D1208" s="6" t="str">
        <f t="shared" si="485"/>
        <v>é.ementa</v>
      </c>
      <c r="E1208" s="8" t="s">
        <v>28</v>
      </c>
      <c r="F1208" s="42" t="str">
        <f t="shared" si="487"/>
        <v>d.legislar</v>
      </c>
      <c r="G1208" s="17" t="s">
        <v>213</v>
      </c>
      <c r="H1208" s="42" t="s">
        <v>2121</v>
      </c>
      <c r="I1208" s="16" t="str">
        <f t="shared" si="46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76"/>
        <v>Propriedade destinada a legislar: é.ementa</v>
      </c>
      <c r="V1208" s="5" t="str">
        <f t="shared" si="477"/>
        <v>Dado para legislar:  ementa  Deve ser formatado como (rdfs:Literal  or  xsd:string)</v>
      </c>
      <c r="W1208" s="5" t="s">
        <v>5915</v>
      </c>
      <c r="X1208" s="24" t="str">
        <f t="shared" si="483"/>
        <v>legis.110</v>
      </c>
      <c r="Y1208" s="24" t="str">
        <f t="shared" si="484"/>
        <v>Ação de legislar</v>
      </c>
      <c r="Z1208" s="47" t="s">
        <v>1587</v>
      </c>
      <c r="AA1208" s="25" t="str">
        <f t="shared" si="447"/>
        <v>null</v>
      </c>
      <c r="AB1208" s="26" t="s">
        <v>0</v>
      </c>
      <c r="AC1208" s="25" t="str">
        <f t="shared" si="448"/>
        <v>null</v>
      </c>
      <c r="AD1208" s="26" t="s">
        <v>0</v>
      </c>
      <c r="AE1208" s="25" t="str">
        <f t="shared" si="463"/>
        <v>null</v>
      </c>
      <c r="AF1208" s="26" t="s">
        <v>0</v>
      </c>
      <c r="AG1208" s="47" t="s">
        <v>2960</v>
      </c>
    </row>
    <row r="1209" spans="1:33" ht="6.9" customHeight="1" x14ac:dyDescent="0.4">
      <c r="A1209" s="4">
        <f>ROW()</f>
        <v>1209</v>
      </c>
      <c r="B1209" s="9" t="s">
        <v>27</v>
      </c>
      <c r="C1209" s="55" t="str">
        <f t="shared" si="464"/>
        <v>p.legislar</v>
      </c>
      <c r="D1209" s="6" t="str">
        <f t="shared" si="485"/>
        <v>é.seção</v>
      </c>
      <c r="E1209" s="8" t="s">
        <v>28</v>
      </c>
      <c r="F1209" s="42" t="str">
        <f t="shared" si="487"/>
        <v>d.legislar</v>
      </c>
      <c r="G1209" s="17" t="s">
        <v>2310</v>
      </c>
      <c r="H1209" s="42" t="s">
        <v>2121</v>
      </c>
      <c r="I1209" s="16" t="str">
        <f t="shared" si="46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76"/>
        <v>Propriedade destinada a legislar: é.seção</v>
      </c>
      <c r="V1209" s="5" t="str">
        <f t="shared" si="477"/>
        <v>Dado para legislar:  seção  Deve ser formatado como (rdfs:Literal  or  xsd:string)</v>
      </c>
      <c r="W1209" s="5" t="s">
        <v>5916</v>
      </c>
      <c r="X1209" s="24" t="str">
        <f t="shared" si="483"/>
        <v>legis.111</v>
      </c>
      <c r="Y1209" s="24" t="str">
        <f t="shared" si="484"/>
        <v>Ação de legislar</v>
      </c>
      <c r="Z1209" s="47" t="s">
        <v>2311</v>
      </c>
      <c r="AA1209" s="25" t="str">
        <f t="shared" si="447"/>
        <v>null</v>
      </c>
      <c r="AB1209" s="26" t="s">
        <v>0</v>
      </c>
      <c r="AC1209" s="25" t="str">
        <f t="shared" si="448"/>
        <v>null</v>
      </c>
      <c r="AD1209" s="26" t="s">
        <v>0</v>
      </c>
      <c r="AE1209" s="25" t="str">
        <f t="shared" si="463"/>
        <v>null</v>
      </c>
      <c r="AF1209" s="26" t="s">
        <v>0</v>
      </c>
      <c r="AG1209" s="47" t="s">
        <v>2961</v>
      </c>
    </row>
    <row r="1210" spans="1:33" ht="6.9" customHeight="1" x14ac:dyDescent="0.4">
      <c r="A1210" s="4">
        <f>ROW()</f>
        <v>1210</v>
      </c>
      <c r="B1210" s="9" t="s">
        <v>27</v>
      </c>
      <c r="C1210" s="55" t="str">
        <f t="shared" si="464"/>
        <v>p.legislar</v>
      </c>
      <c r="D1210" s="6" t="str">
        <f t="shared" si="485"/>
        <v>é.preâmbulo</v>
      </c>
      <c r="E1210" s="8" t="s">
        <v>28</v>
      </c>
      <c r="F1210" s="42" t="str">
        <f t="shared" si="487"/>
        <v>d.legislar</v>
      </c>
      <c r="G1210" s="17" t="s">
        <v>214</v>
      </c>
      <c r="H1210" s="42" t="s">
        <v>2121</v>
      </c>
      <c r="I1210" s="16" t="str">
        <f t="shared" si="465"/>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476"/>
        <v>Propriedade destinada a legislar: é.preâmbulo</v>
      </c>
      <c r="V1210" s="5" t="str">
        <f t="shared" si="477"/>
        <v>Dado para legislar:  preâmbulo  Deve ser formatado como (rdfs:Literal  or  xsd:string)</v>
      </c>
      <c r="W1210" s="5" t="s">
        <v>5917</v>
      </c>
      <c r="X1210" s="24" t="str">
        <f t="shared" si="483"/>
        <v>legis.112</v>
      </c>
      <c r="Y1210" s="24" t="str">
        <f t="shared" si="484"/>
        <v>Ação de legislar</v>
      </c>
      <c r="Z1210" s="47" t="s">
        <v>1588</v>
      </c>
      <c r="AA1210" s="25" t="str">
        <f t="shared" si="447"/>
        <v>null</v>
      </c>
      <c r="AB1210" s="26" t="s">
        <v>0</v>
      </c>
      <c r="AC1210" s="25" t="str">
        <f t="shared" si="448"/>
        <v>null</v>
      </c>
      <c r="AD1210" s="26" t="s">
        <v>0</v>
      </c>
      <c r="AE1210" s="25" t="str">
        <f t="shared" si="463"/>
        <v>null</v>
      </c>
      <c r="AF1210" s="26" t="s">
        <v>0</v>
      </c>
      <c r="AG1210" s="47" t="s">
        <v>2962</v>
      </c>
    </row>
    <row r="1211" spans="1:33" ht="6.9" customHeight="1" x14ac:dyDescent="0.4">
      <c r="A1211" s="4">
        <f>ROW()</f>
        <v>1211</v>
      </c>
      <c r="B1211" s="9" t="s">
        <v>27</v>
      </c>
      <c r="C1211" s="55" t="str">
        <f t="shared" si="464"/>
        <v>p.legislar</v>
      </c>
      <c r="D1211" s="6" t="str">
        <f t="shared" si="485"/>
        <v>é.artigo</v>
      </c>
      <c r="E1211" s="8" t="s">
        <v>28</v>
      </c>
      <c r="F1211" s="42" t="str">
        <f t="shared" si="487"/>
        <v>d.legislar</v>
      </c>
      <c r="G1211" s="17" t="s">
        <v>211</v>
      </c>
      <c r="H1211" s="42" t="s">
        <v>2121</v>
      </c>
      <c r="I1211" s="16" t="str">
        <f t="shared" si="465"/>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76"/>
        <v>Propriedade destinada a legislar: é.artigo</v>
      </c>
      <c r="V1211" s="5" t="str">
        <f t="shared" si="477"/>
        <v>Dado para legislar:  artigo  Deve ser formatado como (rdfs:Literal  or  xsd:string)</v>
      </c>
      <c r="W1211" s="5" t="s">
        <v>5918</v>
      </c>
      <c r="X1211" s="24" t="str">
        <f t="shared" si="483"/>
        <v>legis.113</v>
      </c>
      <c r="Y1211" s="24" t="str">
        <f t="shared" si="484"/>
        <v>Ação de legislar</v>
      </c>
      <c r="Z1211" s="47" t="s">
        <v>1589</v>
      </c>
      <c r="AA1211" s="25" t="str">
        <f t="shared" si="447"/>
        <v>null</v>
      </c>
      <c r="AB1211" s="26" t="s">
        <v>0</v>
      </c>
      <c r="AC1211" s="25" t="str">
        <f t="shared" si="448"/>
        <v>null</v>
      </c>
      <c r="AD1211" s="26" t="s">
        <v>0</v>
      </c>
      <c r="AE1211" s="25" t="str">
        <f t="shared" si="463"/>
        <v>null</v>
      </c>
      <c r="AF1211" s="26" t="s">
        <v>0</v>
      </c>
      <c r="AG1211" s="47" t="s">
        <v>2963</v>
      </c>
    </row>
    <row r="1212" spans="1:33" ht="6.9" customHeight="1" x14ac:dyDescent="0.4">
      <c r="A1212" s="4">
        <f>ROW()</f>
        <v>1212</v>
      </c>
      <c r="B1212" s="9" t="s">
        <v>27</v>
      </c>
      <c r="C1212" s="55" t="str">
        <f t="shared" si="464"/>
        <v>p.legislar</v>
      </c>
      <c r="D1212" s="6" t="str">
        <f t="shared" si="485"/>
        <v>é.inciso</v>
      </c>
      <c r="E1212" s="8" t="s">
        <v>28</v>
      </c>
      <c r="F1212" s="42" t="str">
        <f t="shared" si="487"/>
        <v>d.legislar</v>
      </c>
      <c r="G1212" s="17" t="s">
        <v>212</v>
      </c>
      <c r="H1212" s="42" t="s">
        <v>2121</v>
      </c>
      <c r="I1212" s="16" t="str">
        <f t="shared" si="465"/>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76"/>
        <v>Propriedade destinada a legislar: é.inciso</v>
      </c>
      <c r="V1212" s="5" t="str">
        <f t="shared" si="477"/>
        <v>Dado para legislar:  inciso  Deve ser formatado como (rdfs:Literal  or  xsd:string)</v>
      </c>
      <c r="W1212" s="5" t="s">
        <v>5919</v>
      </c>
      <c r="X1212" s="24" t="str">
        <f t="shared" si="483"/>
        <v>legis.114</v>
      </c>
      <c r="Y1212" s="24" t="str">
        <f t="shared" si="484"/>
        <v>Ação de legislar</v>
      </c>
      <c r="Z1212" s="47" t="s">
        <v>1590</v>
      </c>
      <c r="AA1212" s="25" t="str">
        <f t="shared" si="447"/>
        <v>null</v>
      </c>
      <c r="AB1212" s="26" t="s">
        <v>0</v>
      </c>
      <c r="AC1212" s="25" t="str">
        <f t="shared" si="448"/>
        <v>null</v>
      </c>
      <c r="AD1212" s="26" t="s">
        <v>0</v>
      </c>
      <c r="AE1212" s="25" t="str">
        <f t="shared" si="463"/>
        <v>null</v>
      </c>
      <c r="AF1212" s="26" t="s">
        <v>0</v>
      </c>
      <c r="AG1212" s="47" t="s">
        <v>2964</v>
      </c>
    </row>
    <row r="1213" spans="1:33" ht="6.9" customHeight="1" x14ac:dyDescent="0.4">
      <c r="A1213" s="4">
        <f>ROW()</f>
        <v>1213</v>
      </c>
      <c r="B1213" s="9" t="s">
        <v>27</v>
      </c>
      <c r="C1213" s="55" t="str">
        <f t="shared" si="464"/>
        <v>p.legislar</v>
      </c>
      <c r="D1213" s="6" t="str">
        <f t="shared" si="485"/>
        <v>é.disposição</v>
      </c>
      <c r="E1213" s="8" t="s">
        <v>28</v>
      </c>
      <c r="F1213" s="42" t="str">
        <f t="shared" si="487"/>
        <v>d.legislar</v>
      </c>
      <c r="G1213" s="17" t="s">
        <v>215</v>
      </c>
      <c r="H1213" s="42" t="s">
        <v>2121</v>
      </c>
      <c r="I1213" s="16" t="str">
        <f t="shared" si="46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76"/>
        <v>Propriedade destinada a legislar: é.disposição</v>
      </c>
      <c r="V1213" s="5" t="str">
        <f t="shared" si="477"/>
        <v>Dado para legislar:  disposição  Deve ser formatado como (rdfs:Literal  or  xsd:string)</v>
      </c>
      <c r="W1213" s="5" t="s">
        <v>5920</v>
      </c>
      <c r="X1213" s="24" t="str">
        <f t="shared" si="483"/>
        <v>legis.115</v>
      </c>
      <c r="Y1213" s="24" t="str">
        <f t="shared" si="484"/>
        <v>Ação de legislar</v>
      </c>
      <c r="Z1213" s="47" t="s">
        <v>1591</v>
      </c>
      <c r="AA1213" s="25" t="str">
        <f t="shared" si="447"/>
        <v>null</v>
      </c>
      <c r="AB1213" s="26" t="s">
        <v>0</v>
      </c>
      <c r="AC1213" s="25" t="str">
        <f t="shared" si="448"/>
        <v>null</v>
      </c>
      <c r="AD1213" s="26" t="s">
        <v>0</v>
      </c>
      <c r="AE1213" s="25" t="str">
        <f t="shared" si="463"/>
        <v>null</v>
      </c>
      <c r="AF1213" s="26" t="s">
        <v>0</v>
      </c>
      <c r="AG1213" s="47" t="s">
        <v>2965</v>
      </c>
    </row>
    <row r="1214" spans="1:33" ht="6.9" customHeight="1" x14ac:dyDescent="0.4">
      <c r="A1214" s="4">
        <f>ROW()</f>
        <v>1214</v>
      </c>
      <c r="B1214" s="9" t="s">
        <v>27</v>
      </c>
      <c r="C1214" s="55" t="str">
        <f t="shared" si="464"/>
        <v>p.legislar</v>
      </c>
      <c r="D1214" s="6" t="str">
        <f t="shared" si="485"/>
        <v>é.cláusula</v>
      </c>
      <c r="E1214" s="8" t="s">
        <v>28</v>
      </c>
      <c r="F1214" s="42" t="str">
        <f t="shared" si="487"/>
        <v>d.legislar</v>
      </c>
      <c r="G1214" s="17" t="s">
        <v>217</v>
      </c>
      <c r="H1214" s="42" t="s">
        <v>2121</v>
      </c>
      <c r="I1214" s="16" t="str">
        <f t="shared" si="46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76"/>
        <v>Propriedade destinada a legislar: é.cláusula</v>
      </c>
      <c r="V1214" s="5" t="str">
        <f t="shared" si="477"/>
        <v>Dado para legislar:  cláusula  Deve ser formatado como (rdfs:Literal  or  xsd:string)</v>
      </c>
      <c r="W1214" s="5" t="s">
        <v>5921</v>
      </c>
      <c r="X1214" s="24" t="str">
        <f t="shared" si="483"/>
        <v>legis.116</v>
      </c>
      <c r="Y1214" s="24" t="str">
        <f t="shared" si="484"/>
        <v>Ação de legislar</v>
      </c>
      <c r="Z1214" s="47" t="s">
        <v>1592</v>
      </c>
      <c r="AA1214" s="25" t="str">
        <f t="shared" si="447"/>
        <v>null</v>
      </c>
      <c r="AB1214" s="26" t="s">
        <v>0</v>
      </c>
      <c r="AC1214" s="25" t="str">
        <f t="shared" si="448"/>
        <v>null</v>
      </c>
      <c r="AD1214" s="26" t="s">
        <v>0</v>
      </c>
      <c r="AE1214" s="25" t="str">
        <f t="shared" si="463"/>
        <v>null</v>
      </c>
      <c r="AF1214" s="26" t="s">
        <v>0</v>
      </c>
      <c r="AG1214" s="47" t="s">
        <v>2966</v>
      </c>
    </row>
    <row r="1215" spans="1:33" ht="6.9" customHeight="1" x14ac:dyDescent="0.4">
      <c r="A1215" s="4">
        <f>ROW()</f>
        <v>1215</v>
      </c>
      <c r="B1215" s="9" t="s">
        <v>27</v>
      </c>
      <c r="C1215" s="55" t="str">
        <f t="shared" si="464"/>
        <v>p.legislar</v>
      </c>
      <c r="D1215" s="6" t="str">
        <f t="shared" si="485"/>
        <v>é.assinatura</v>
      </c>
      <c r="E1215" s="8" t="s">
        <v>28</v>
      </c>
      <c r="F1215" s="42" t="str">
        <f t="shared" si="487"/>
        <v>d.legislar</v>
      </c>
      <c r="G1215" s="17" t="s">
        <v>216</v>
      </c>
      <c r="H1215" s="42" t="s">
        <v>2121</v>
      </c>
      <c r="I1215" s="16" t="str">
        <f t="shared" si="46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76"/>
        <v>Propriedade destinada a legislar: é.assinatura</v>
      </c>
      <c r="V1215" s="5" t="str">
        <f t="shared" si="477"/>
        <v>Dado para legislar:  assinatura  Deve ser formatado como (rdfs:Literal  or  xsd:string)</v>
      </c>
      <c r="W1215" s="5" t="s">
        <v>5922</v>
      </c>
      <c r="X1215" s="24" t="str">
        <f t="shared" si="483"/>
        <v>legis.117</v>
      </c>
      <c r="Y1215" s="24" t="str">
        <f t="shared" si="484"/>
        <v>Ação de legislar</v>
      </c>
      <c r="Z1215" s="47" t="s">
        <v>1593</v>
      </c>
      <c r="AA1215" s="25" t="str">
        <f t="shared" si="447"/>
        <v>null</v>
      </c>
      <c r="AB1215" s="26" t="s">
        <v>0</v>
      </c>
      <c r="AC1215" s="25" t="str">
        <f t="shared" si="448"/>
        <v>null</v>
      </c>
      <c r="AD1215" s="26" t="s">
        <v>0</v>
      </c>
      <c r="AE1215" s="25" t="str">
        <f t="shared" si="463"/>
        <v>null</v>
      </c>
      <c r="AF1215" s="26" t="s">
        <v>0</v>
      </c>
      <c r="AG1215" s="47" t="s">
        <v>2967</v>
      </c>
    </row>
    <row r="1216" spans="1:33" ht="6.9" customHeight="1" x14ac:dyDescent="0.4">
      <c r="A1216" s="4">
        <f>ROW()</f>
        <v>1216</v>
      </c>
      <c r="B1216" s="9" t="s">
        <v>27</v>
      </c>
      <c r="C1216" s="55" t="str">
        <f t="shared" si="464"/>
        <v>p.legislar</v>
      </c>
      <c r="D1216" s="6" t="str">
        <f t="shared" si="485"/>
        <v>é.assinado.por</v>
      </c>
      <c r="E1216" s="8" t="s">
        <v>28</v>
      </c>
      <c r="F1216" s="42" t="str">
        <f t="shared" si="487"/>
        <v>d.legislar</v>
      </c>
      <c r="G1216" s="17" t="s">
        <v>792</v>
      </c>
      <c r="H1216" s="42" t="s">
        <v>2121</v>
      </c>
      <c r="I1216" s="16" t="str">
        <f t="shared" si="46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76"/>
        <v>Propriedade destinada a legislar: é.assinado.por</v>
      </c>
      <c r="V1216" s="5" t="str">
        <f t="shared" si="477"/>
        <v>Dado para legislar:  assinado.por  Deve ser formatado como (rdfs:Literal  or  xsd:string)</v>
      </c>
      <c r="W1216" s="5" t="s">
        <v>5923</v>
      </c>
      <c r="X1216" s="24" t="str">
        <f t="shared" si="483"/>
        <v>legis.118</v>
      </c>
      <c r="Y1216" s="24" t="str">
        <f t="shared" si="484"/>
        <v>Ação de legislar</v>
      </c>
      <c r="Z1216" s="47" t="s">
        <v>1594</v>
      </c>
      <c r="AA1216" s="25" t="str">
        <f t="shared" si="447"/>
        <v>null</v>
      </c>
      <c r="AB1216" s="26" t="s">
        <v>0</v>
      </c>
      <c r="AC1216" s="25" t="str">
        <f t="shared" si="448"/>
        <v>null</v>
      </c>
      <c r="AD1216" s="26" t="s">
        <v>0</v>
      </c>
      <c r="AE1216" s="25" t="str">
        <f t="shared" si="463"/>
        <v>null</v>
      </c>
      <c r="AF1216" s="26" t="s">
        <v>0</v>
      </c>
      <c r="AG1216" s="47" t="s">
        <v>2968</v>
      </c>
    </row>
    <row r="1217" spans="1:33" ht="6.9" customHeight="1" x14ac:dyDescent="0.4">
      <c r="A1217" s="4">
        <f>ROW()</f>
        <v>1217</v>
      </c>
      <c r="B1217" s="9" t="s">
        <v>27</v>
      </c>
      <c r="C1217" s="55" t="str">
        <f t="shared" si="464"/>
        <v>p.legislar</v>
      </c>
      <c r="D1217" s="6" t="str">
        <f t="shared" si="485"/>
        <v>é.assunto</v>
      </c>
      <c r="E1217" s="8" t="s">
        <v>28</v>
      </c>
      <c r="F1217" s="42" t="str">
        <f t="shared" si="487"/>
        <v>d.legislar</v>
      </c>
      <c r="G1217" s="18" t="s">
        <v>261</v>
      </c>
      <c r="H1217" s="41" t="s">
        <v>2121</v>
      </c>
      <c r="I1217" s="16" t="str">
        <f t="shared" si="46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476"/>
        <v>Propriedade destinada a legislar: é.assunto</v>
      </c>
      <c r="V1217" s="5" t="str">
        <f t="shared" si="477"/>
        <v>Dado para legislar:  assunto  Deve ser formatado como (rdfs:Literal  or  xsd:string)</v>
      </c>
      <c r="W1217" s="5" t="s">
        <v>5924</v>
      </c>
      <c r="X1217" s="24" t="str">
        <f t="shared" si="483"/>
        <v>legis.119</v>
      </c>
      <c r="Y1217" s="24" t="str">
        <f t="shared" si="484"/>
        <v>Ação de legislar</v>
      </c>
      <c r="Z1217" s="47" t="s">
        <v>1595</v>
      </c>
      <c r="AA1217" s="25" t="str">
        <f t="shared" ref="AA1217:AA1278" si="488">IF(AB1217="null", "null", "categoria.revit")</f>
        <v>null</v>
      </c>
      <c r="AB1217" s="26" t="s">
        <v>0</v>
      </c>
      <c r="AC1217" s="25" t="str">
        <f t="shared" ref="AC1217:AC1278" si="489">IF(AD1217="null", "null", "classe.ifc")</f>
        <v>null</v>
      </c>
      <c r="AD1217" s="26" t="s">
        <v>0</v>
      </c>
      <c r="AE1217" s="25" t="str">
        <f t="shared" si="463"/>
        <v>null</v>
      </c>
      <c r="AF1217" s="26" t="s">
        <v>0</v>
      </c>
      <c r="AG1217" s="47" t="s">
        <v>2969</v>
      </c>
    </row>
    <row r="1218" spans="1:33" ht="6.9" customHeight="1" x14ac:dyDescent="0.4">
      <c r="A1218" s="4">
        <f>ROW()</f>
        <v>1218</v>
      </c>
      <c r="B1218" s="9" t="s">
        <v>27</v>
      </c>
      <c r="C1218" s="55" t="str">
        <f t="shared" si="464"/>
        <v>p.legislar</v>
      </c>
      <c r="D1218" s="6" t="str">
        <f t="shared" si="485"/>
        <v>é.referendado.por</v>
      </c>
      <c r="E1218" s="8" t="s">
        <v>28</v>
      </c>
      <c r="F1218" s="42" t="str">
        <f t="shared" si="487"/>
        <v>d.legislar</v>
      </c>
      <c r="G1218" s="18" t="s">
        <v>793</v>
      </c>
      <c r="H1218" s="41" t="s">
        <v>2121</v>
      </c>
      <c r="I1218" s="16" t="str">
        <f t="shared" si="465"/>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ref="U1218:U1281" si="490">_xlfn.CONCAT("Propriedade destinada a ",MID(C1218,FIND("p.",C1218,1)+2,100),": ",D1218)</f>
        <v>Propriedade destinada a legislar: é.referendado.por</v>
      </c>
      <c r="V1218" s="5" t="str">
        <f t="shared" ref="V1218:V1281" si="491">_xlfn.CONCAT("Dado para ",MID(F1218,FIND("d.",F1218,1)+2,100),":  ",G1218, "  Deve ser formatado como (",H1218, ")")</f>
        <v>Dado para legislar:  referendado.por  Deve ser formatado como (rdfs:Literal  or  xsd:string)</v>
      </c>
      <c r="W1218" s="5" t="s">
        <v>5925</v>
      </c>
      <c r="X1218" s="24" t="str">
        <f t="shared" si="483"/>
        <v>legis.120</v>
      </c>
      <c r="Y1218" s="24" t="str">
        <f t="shared" si="484"/>
        <v>Ação de legislar</v>
      </c>
      <c r="Z1218" s="47" t="s">
        <v>1596</v>
      </c>
      <c r="AA1218" s="25" t="str">
        <f t="shared" si="488"/>
        <v>null</v>
      </c>
      <c r="AB1218" s="26" t="s">
        <v>0</v>
      </c>
      <c r="AC1218" s="25" t="str">
        <f t="shared" si="489"/>
        <v>null</v>
      </c>
      <c r="AD1218" s="26" t="s">
        <v>0</v>
      </c>
      <c r="AE1218" s="25" t="str">
        <f t="shared" si="463"/>
        <v>null</v>
      </c>
      <c r="AF1218" s="26" t="s">
        <v>0</v>
      </c>
      <c r="AG1218" s="47" t="s">
        <v>2970</v>
      </c>
    </row>
    <row r="1219" spans="1:33" ht="6.9" customHeight="1" x14ac:dyDescent="0.4">
      <c r="A1219" s="4">
        <f>ROW()</f>
        <v>1219</v>
      </c>
      <c r="B1219" s="9" t="s">
        <v>27</v>
      </c>
      <c r="C1219" s="55" t="str">
        <f t="shared" si="464"/>
        <v>p.legislar</v>
      </c>
      <c r="D1219" s="6" t="str">
        <f t="shared" si="485"/>
        <v>é.revogante.de</v>
      </c>
      <c r="E1219" s="8" t="s">
        <v>28</v>
      </c>
      <c r="F1219" s="42" t="str">
        <f t="shared" si="487"/>
        <v>d.legislar</v>
      </c>
      <c r="G1219" s="17" t="s">
        <v>794</v>
      </c>
      <c r="H1219" s="42" t="s">
        <v>2121</v>
      </c>
      <c r="I1219" s="16" t="str">
        <f t="shared" si="465"/>
        <v>null</v>
      </c>
      <c r="J1219" s="15" t="s">
        <v>0</v>
      </c>
      <c r="K1219" s="15" t="s">
        <v>0</v>
      </c>
      <c r="L1219" s="15" t="s">
        <v>0</v>
      </c>
      <c r="M1219" s="15" t="s">
        <v>0</v>
      </c>
      <c r="N1219" s="15" t="s">
        <v>0</v>
      </c>
      <c r="O1219" s="15" t="s">
        <v>0</v>
      </c>
      <c r="P1219" s="15" t="s">
        <v>0</v>
      </c>
      <c r="Q1219" s="15" t="s">
        <v>795</v>
      </c>
      <c r="R1219" s="15" t="s">
        <v>0</v>
      </c>
      <c r="S1219" s="10" t="s">
        <v>1</v>
      </c>
      <c r="T1219" s="10" t="s">
        <v>32</v>
      </c>
      <c r="U1219" s="5" t="str">
        <f t="shared" si="490"/>
        <v>Propriedade destinada a legislar: é.revogante.de</v>
      </c>
      <c r="V1219" s="5" t="str">
        <f t="shared" si="491"/>
        <v>Dado para legislar:  revogante.de  Deve ser formatado como (rdfs:Literal  or  xsd:string)</v>
      </c>
      <c r="W1219" s="5" t="s">
        <v>5926</v>
      </c>
      <c r="X1219" s="24" t="str">
        <f t="shared" ref="X1219:X1282" si="492">IF(F1218&lt;&gt;F1219,_xlfn.CONCAT(RIGHT(LEFT(F1219,7),5),".100"),_xlfn.CONCAT(RIGHT(LEFT(F1219,7),5),".",SUM(VALUE(RIGHT(X1218,3)),1)))</f>
        <v>legis.121</v>
      </c>
      <c r="Y1219" s="24" t="str">
        <f t="shared" ref="Y1219:Y1282" si="493">_xlfn.CONCAT("Ação de ", SUBSTITUTE(F1219, "d.",  ""))</f>
        <v>Ação de legislar</v>
      </c>
      <c r="Z1219" s="47" t="s">
        <v>1597</v>
      </c>
      <c r="AA1219" s="25" t="str">
        <f t="shared" si="488"/>
        <v>null</v>
      </c>
      <c r="AB1219" s="26" t="s">
        <v>0</v>
      </c>
      <c r="AC1219" s="25" t="str">
        <f t="shared" si="489"/>
        <v>null</v>
      </c>
      <c r="AD1219" s="26" t="s">
        <v>0</v>
      </c>
      <c r="AE1219" s="25" t="str">
        <f t="shared" si="463"/>
        <v>null</v>
      </c>
      <c r="AF1219" s="26" t="s">
        <v>0</v>
      </c>
      <c r="AG1219" s="47" t="s">
        <v>2971</v>
      </c>
    </row>
    <row r="1220" spans="1:33" ht="6.9" customHeight="1" x14ac:dyDescent="0.4">
      <c r="A1220" s="4">
        <f>ROW()</f>
        <v>1220</v>
      </c>
      <c r="B1220" s="9" t="s">
        <v>27</v>
      </c>
      <c r="C1220" s="55" t="str">
        <f t="shared" si="464"/>
        <v>p.legislar</v>
      </c>
      <c r="D1220" s="6" t="str">
        <f t="shared" si="485"/>
        <v>é.revogado.por</v>
      </c>
      <c r="E1220" s="8" t="s">
        <v>28</v>
      </c>
      <c r="F1220" s="42" t="str">
        <f t="shared" si="487"/>
        <v>d.legislar</v>
      </c>
      <c r="G1220" s="17" t="s">
        <v>796</v>
      </c>
      <c r="H1220" s="42" t="s">
        <v>2121</v>
      </c>
      <c r="I1220" s="16" t="str">
        <f t="shared" si="465"/>
        <v>null</v>
      </c>
      <c r="J1220" s="15" t="s">
        <v>0</v>
      </c>
      <c r="K1220" s="15" t="s">
        <v>0</v>
      </c>
      <c r="L1220" s="15" t="s">
        <v>0</v>
      </c>
      <c r="M1220" s="15" t="s">
        <v>0</v>
      </c>
      <c r="N1220" s="15" t="s">
        <v>0</v>
      </c>
      <c r="O1220" s="15" t="s">
        <v>0</v>
      </c>
      <c r="P1220" s="15" t="s">
        <v>0</v>
      </c>
      <c r="Q1220" s="13" t="s">
        <v>797</v>
      </c>
      <c r="R1220" s="15" t="s">
        <v>0</v>
      </c>
      <c r="S1220" s="10" t="s">
        <v>1</v>
      </c>
      <c r="T1220" s="10" t="s">
        <v>32</v>
      </c>
      <c r="U1220" s="5" t="str">
        <f t="shared" si="490"/>
        <v>Propriedade destinada a legislar: é.revogado.por</v>
      </c>
      <c r="V1220" s="5" t="str">
        <f t="shared" si="491"/>
        <v>Dado para legislar:  revogado.por  Deve ser formatado como (rdfs:Literal  or  xsd:string)</v>
      </c>
      <c r="W1220" s="5" t="s">
        <v>5927</v>
      </c>
      <c r="X1220" s="24" t="str">
        <f t="shared" si="492"/>
        <v>legis.122</v>
      </c>
      <c r="Y1220" s="24" t="str">
        <f t="shared" si="493"/>
        <v>Ação de legislar</v>
      </c>
      <c r="Z1220" s="47" t="s">
        <v>1598</v>
      </c>
      <c r="AA1220" s="25" t="str">
        <f t="shared" si="488"/>
        <v>null</v>
      </c>
      <c r="AB1220" s="26" t="s">
        <v>0</v>
      </c>
      <c r="AC1220" s="25" t="str">
        <f t="shared" si="489"/>
        <v>null</v>
      </c>
      <c r="AD1220" s="26" t="s">
        <v>0</v>
      </c>
      <c r="AE1220" s="25" t="str">
        <f t="shared" si="463"/>
        <v>null</v>
      </c>
      <c r="AF1220" s="26" t="s">
        <v>0</v>
      </c>
      <c r="AG1220" s="47" t="s">
        <v>2972</v>
      </c>
    </row>
    <row r="1221" spans="1:33" ht="6.9" customHeight="1" x14ac:dyDescent="0.4">
      <c r="A1221" s="4">
        <f>ROW()</f>
        <v>1221</v>
      </c>
      <c r="B1221" s="9" t="s">
        <v>27</v>
      </c>
      <c r="C1221" s="55" t="str">
        <f t="shared" si="464"/>
        <v>p.legislar</v>
      </c>
      <c r="D1221" s="6" t="str">
        <f t="shared" si="485"/>
        <v>é.vetado.por</v>
      </c>
      <c r="E1221" s="8" t="s">
        <v>28</v>
      </c>
      <c r="F1221" s="42" t="str">
        <f t="shared" si="487"/>
        <v>d.legislar</v>
      </c>
      <c r="G1221" s="17" t="s">
        <v>798</v>
      </c>
      <c r="H1221" s="42" t="s">
        <v>2121</v>
      </c>
      <c r="I1221" s="16" t="str">
        <f t="shared" si="465"/>
        <v>null</v>
      </c>
      <c r="J1221" s="15" t="s">
        <v>0</v>
      </c>
      <c r="K1221" s="15" t="s">
        <v>0</v>
      </c>
      <c r="L1221" s="15" t="s">
        <v>0</v>
      </c>
      <c r="M1221" s="15" t="s">
        <v>0</v>
      </c>
      <c r="N1221" s="15" t="s">
        <v>0</v>
      </c>
      <c r="O1221" s="15" t="s">
        <v>0</v>
      </c>
      <c r="P1221" s="15" t="s">
        <v>0</v>
      </c>
      <c r="Q1221" s="13" t="s">
        <v>797</v>
      </c>
      <c r="R1221" s="15" t="s">
        <v>0</v>
      </c>
      <c r="S1221" s="10" t="s">
        <v>1</v>
      </c>
      <c r="T1221" s="10" t="s">
        <v>32</v>
      </c>
      <c r="U1221" s="5" t="str">
        <f t="shared" si="490"/>
        <v>Propriedade destinada a legislar: é.vetado.por</v>
      </c>
      <c r="V1221" s="5" t="str">
        <f t="shared" si="491"/>
        <v>Dado para legislar:  vetado.por  Deve ser formatado como (rdfs:Literal  or  xsd:string)</v>
      </c>
      <c r="W1221" s="5" t="s">
        <v>5928</v>
      </c>
      <c r="X1221" s="24" t="str">
        <f t="shared" si="492"/>
        <v>legis.123</v>
      </c>
      <c r="Y1221" s="24" t="str">
        <f t="shared" si="493"/>
        <v>Ação de legislar</v>
      </c>
      <c r="Z1221" s="47" t="s">
        <v>1599</v>
      </c>
      <c r="AA1221" s="25" t="str">
        <f t="shared" si="488"/>
        <v>null</v>
      </c>
      <c r="AB1221" s="26" t="s">
        <v>0</v>
      </c>
      <c r="AC1221" s="25" t="str">
        <f t="shared" si="489"/>
        <v>null</v>
      </c>
      <c r="AD1221" s="26" t="s">
        <v>0</v>
      </c>
      <c r="AE1221" s="25" t="str">
        <f t="shared" si="463"/>
        <v>null</v>
      </c>
      <c r="AF1221" s="26" t="s">
        <v>0</v>
      </c>
      <c r="AG1221" s="47" t="s">
        <v>2973</v>
      </c>
    </row>
    <row r="1222" spans="1:33" ht="6.9" customHeight="1" x14ac:dyDescent="0.4">
      <c r="A1222" s="4">
        <f>ROW()</f>
        <v>1222</v>
      </c>
      <c r="B1222" s="9" t="s">
        <v>27</v>
      </c>
      <c r="C1222" s="54" t="str">
        <f t="shared" si="464"/>
        <v>p.licitar</v>
      </c>
      <c r="D1222" s="6" t="str">
        <f t="shared" si="485"/>
        <v>é.modalidade.concorrência</v>
      </c>
      <c r="E1222" s="8" t="s">
        <v>28</v>
      </c>
      <c r="F1222" s="50" t="s">
        <v>3596</v>
      </c>
      <c r="G1222" s="34" t="s">
        <v>1189</v>
      </c>
      <c r="H1222" s="41" t="s">
        <v>2121</v>
      </c>
      <c r="I1222" s="16" t="str">
        <f t="shared" si="465"/>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90"/>
        <v>Propriedade destinada a licitar: é.modalidade.concorrência</v>
      </c>
      <c r="V1222" s="5" t="str">
        <f t="shared" si="491"/>
        <v>Dado para licitar:  modalidade.concorrência  Deve ser formatado como (rdfs:Literal  or  xsd:string)</v>
      </c>
      <c r="W1222" s="5" t="s">
        <v>5929</v>
      </c>
      <c r="X1222" s="24" t="str">
        <f t="shared" si="492"/>
        <v>licit.100</v>
      </c>
      <c r="Y1222" s="24" t="str">
        <f t="shared" si="493"/>
        <v>Ação de licitar</v>
      </c>
      <c r="Z1222" s="47" t="s">
        <v>1600</v>
      </c>
      <c r="AA1222" s="25" t="str">
        <f t="shared" si="488"/>
        <v>null</v>
      </c>
      <c r="AB1222" s="26" t="s">
        <v>0</v>
      </c>
      <c r="AC1222" s="25" t="str">
        <f t="shared" si="489"/>
        <v>null</v>
      </c>
      <c r="AD1222" s="26" t="s">
        <v>0</v>
      </c>
      <c r="AE1222" s="25" t="str">
        <f t="shared" si="463"/>
        <v>null</v>
      </c>
      <c r="AF1222" s="26" t="s">
        <v>0</v>
      </c>
      <c r="AG1222" s="47" t="s">
        <v>2974</v>
      </c>
    </row>
    <row r="1223" spans="1:33" ht="6.9" customHeight="1" x14ac:dyDescent="0.4">
      <c r="A1223" s="4">
        <f>ROW()</f>
        <v>1223</v>
      </c>
      <c r="B1223" s="9" t="s">
        <v>27</v>
      </c>
      <c r="C1223" s="55" t="str">
        <f t="shared" si="464"/>
        <v>p.licitar</v>
      </c>
      <c r="D1223" s="6" t="str">
        <f t="shared" si="485"/>
        <v>é.modalidade.leilão</v>
      </c>
      <c r="E1223" s="8" t="s">
        <v>28</v>
      </c>
      <c r="F1223" s="42" t="str">
        <f t="shared" ref="F1223:F1254" si="494">F1222</f>
        <v>d.licitar</v>
      </c>
      <c r="G1223" s="34" t="s">
        <v>1190</v>
      </c>
      <c r="H1223" s="41" t="s">
        <v>2121</v>
      </c>
      <c r="I1223" s="16" t="str">
        <f t="shared" si="465"/>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90"/>
        <v>Propriedade destinada a licitar: é.modalidade.leilão</v>
      </c>
      <c r="V1223" s="5" t="str">
        <f t="shared" si="491"/>
        <v>Dado para licitar:  modalidade.leilão  Deve ser formatado como (rdfs:Literal  or  xsd:string)</v>
      </c>
      <c r="W1223" s="5" t="s">
        <v>5930</v>
      </c>
      <c r="X1223" s="24" t="str">
        <f t="shared" si="492"/>
        <v>licit.101</v>
      </c>
      <c r="Y1223" s="24" t="str">
        <f t="shared" si="493"/>
        <v>Ação de licitar</v>
      </c>
      <c r="Z1223" s="47" t="s">
        <v>1601</v>
      </c>
      <c r="AA1223" s="25" t="str">
        <f t="shared" si="488"/>
        <v>null</v>
      </c>
      <c r="AB1223" s="26" t="s">
        <v>0</v>
      </c>
      <c r="AC1223" s="25" t="str">
        <f t="shared" si="489"/>
        <v>null</v>
      </c>
      <c r="AD1223" s="26" t="s">
        <v>0</v>
      </c>
      <c r="AE1223" s="25" t="str">
        <f t="shared" si="463"/>
        <v>null</v>
      </c>
      <c r="AF1223" s="26" t="s">
        <v>0</v>
      </c>
      <c r="AG1223" s="47" t="s">
        <v>2975</v>
      </c>
    </row>
    <row r="1224" spans="1:33" ht="6.9" customHeight="1" x14ac:dyDescent="0.4">
      <c r="A1224" s="4">
        <f>ROW()</f>
        <v>1224</v>
      </c>
      <c r="B1224" s="9" t="s">
        <v>27</v>
      </c>
      <c r="C1224" s="55" t="str">
        <f t="shared" si="464"/>
        <v>p.licitar</v>
      </c>
      <c r="D1224" s="6" t="str">
        <f t="shared" si="485"/>
        <v>é.modalidade.pregão</v>
      </c>
      <c r="E1224" s="8" t="s">
        <v>28</v>
      </c>
      <c r="F1224" s="42" t="str">
        <f t="shared" si="494"/>
        <v>d.licitar</v>
      </c>
      <c r="G1224" s="34" t="s">
        <v>1191</v>
      </c>
      <c r="H1224" s="41" t="s">
        <v>2121</v>
      </c>
      <c r="I1224" s="16" t="str">
        <f t="shared" si="46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490"/>
        <v>Propriedade destinada a licitar: é.modalidade.pregão</v>
      </c>
      <c r="V1224" s="5" t="str">
        <f t="shared" si="491"/>
        <v>Dado para licitar:  modalidade.pregão  Deve ser formatado como (rdfs:Literal  or  xsd:string)</v>
      </c>
      <c r="W1224" s="5" t="s">
        <v>5931</v>
      </c>
      <c r="X1224" s="24" t="str">
        <f t="shared" si="492"/>
        <v>licit.102</v>
      </c>
      <c r="Y1224" s="24" t="str">
        <f t="shared" si="493"/>
        <v>Ação de licitar</v>
      </c>
      <c r="Z1224" s="47" t="s">
        <v>1602</v>
      </c>
      <c r="AA1224" s="25" t="str">
        <f t="shared" si="488"/>
        <v>null</v>
      </c>
      <c r="AB1224" s="26" t="s">
        <v>0</v>
      </c>
      <c r="AC1224" s="25" t="str">
        <f t="shared" si="489"/>
        <v>null</v>
      </c>
      <c r="AD1224" s="26" t="s">
        <v>0</v>
      </c>
      <c r="AE1224" s="25" t="str">
        <f t="shared" si="463"/>
        <v>null</v>
      </c>
      <c r="AF1224" s="26" t="s">
        <v>0</v>
      </c>
      <c r="AG1224" s="47" t="s">
        <v>2976</v>
      </c>
    </row>
    <row r="1225" spans="1:33" ht="6.9" customHeight="1" x14ac:dyDescent="0.4">
      <c r="A1225" s="4">
        <f>ROW()</f>
        <v>1225</v>
      </c>
      <c r="B1225" s="9" t="s">
        <v>27</v>
      </c>
      <c r="C1225" s="55" t="str">
        <f t="shared" si="464"/>
        <v>p.licitar</v>
      </c>
      <c r="D1225" s="6" t="str">
        <f t="shared" si="485"/>
        <v>é.modalidade.diálogo.competitivo</v>
      </c>
      <c r="E1225" s="8" t="s">
        <v>28</v>
      </c>
      <c r="F1225" s="42" t="str">
        <f t="shared" si="494"/>
        <v>d.licitar</v>
      </c>
      <c r="G1225" s="34" t="s">
        <v>1192</v>
      </c>
      <c r="H1225" s="41" t="s">
        <v>2121</v>
      </c>
      <c r="I1225" s="16" t="str">
        <f t="shared" si="46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90"/>
        <v>Propriedade destinada a licitar: é.modalidade.diálogo.competitivo</v>
      </c>
      <c r="V1225" s="5" t="str">
        <f t="shared" si="491"/>
        <v>Dado para licitar:  modalidade.diálogo.competitivo  Deve ser formatado como (rdfs:Literal  or  xsd:string)</v>
      </c>
      <c r="W1225" s="5" t="s">
        <v>5931</v>
      </c>
      <c r="X1225" s="24" t="str">
        <f t="shared" si="492"/>
        <v>licit.103</v>
      </c>
      <c r="Y1225" s="24" t="str">
        <f t="shared" si="493"/>
        <v>Ação de licitar</v>
      </c>
      <c r="Z1225" s="47" t="s">
        <v>1602</v>
      </c>
      <c r="AA1225" s="25" t="str">
        <f t="shared" si="488"/>
        <v>null</v>
      </c>
      <c r="AB1225" s="26" t="s">
        <v>0</v>
      </c>
      <c r="AC1225" s="25" t="str">
        <f t="shared" si="489"/>
        <v>null</v>
      </c>
      <c r="AD1225" s="26" t="s">
        <v>0</v>
      </c>
      <c r="AE1225" s="25" t="str">
        <f t="shared" si="463"/>
        <v>null</v>
      </c>
      <c r="AF1225" s="26" t="s">
        <v>0</v>
      </c>
      <c r="AG1225" s="47" t="s">
        <v>2976</v>
      </c>
    </row>
    <row r="1226" spans="1:33" ht="6.9" customHeight="1" x14ac:dyDescent="0.4">
      <c r="A1226" s="4">
        <f>ROW()</f>
        <v>1226</v>
      </c>
      <c r="B1226" s="9" t="s">
        <v>27</v>
      </c>
      <c r="C1226" s="55" t="str">
        <f t="shared" si="464"/>
        <v>p.licitar</v>
      </c>
      <c r="D1226" s="6" t="str">
        <f t="shared" si="485"/>
        <v>é.modalidade.credenciamento</v>
      </c>
      <c r="E1226" s="8" t="s">
        <v>28</v>
      </c>
      <c r="F1226" s="42" t="str">
        <f t="shared" si="494"/>
        <v>d.licitar</v>
      </c>
      <c r="G1226" s="34" t="s">
        <v>1193</v>
      </c>
      <c r="H1226" s="41" t="s">
        <v>2121</v>
      </c>
      <c r="I1226" s="16" t="str">
        <f t="shared" si="46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0"/>
        <v>Propriedade destinada a licitar: é.modalidade.credenciamento</v>
      </c>
      <c r="V1226" s="5" t="str">
        <f t="shared" si="491"/>
        <v>Dado para licitar:  modalidade.credenciamento  Deve ser formatado como (rdfs:Literal  or  xsd:string)</v>
      </c>
      <c r="W1226" s="5" t="s">
        <v>5932</v>
      </c>
      <c r="X1226" s="24" t="str">
        <f t="shared" si="492"/>
        <v>licit.104</v>
      </c>
      <c r="Y1226" s="24" t="str">
        <f t="shared" si="493"/>
        <v>Ação de licitar</v>
      </c>
      <c r="Z1226" s="47" t="s">
        <v>1603</v>
      </c>
      <c r="AA1226" s="25" t="str">
        <f t="shared" si="488"/>
        <v>null</v>
      </c>
      <c r="AB1226" s="26" t="s">
        <v>0</v>
      </c>
      <c r="AC1226" s="25" t="str">
        <f t="shared" si="489"/>
        <v>null</v>
      </c>
      <c r="AD1226" s="26" t="s">
        <v>0</v>
      </c>
      <c r="AE1226" s="25" t="str">
        <f t="shared" si="463"/>
        <v>null</v>
      </c>
      <c r="AF1226" s="26" t="s">
        <v>0</v>
      </c>
      <c r="AG1226" s="47" t="s">
        <v>2977</v>
      </c>
    </row>
    <row r="1227" spans="1:33" ht="6.9" customHeight="1" x14ac:dyDescent="0.4">
      <c r="A1227" s="4">
        <f>ROW()</f>
        <v>1227</v>
      </c>
      <c r="B1227" s="9" t="s">
        <v>27</v>
      </c>
      <c r="C1227" s="55" t="str">
        <f t="shared" si="464"/>
        <v>p.licitar</v>
      </c>
      <c r="D1227" s="6" t="str">
        <f t="shared" si="485"/>
        <v>é.pré-qualificação</v>
      </c>
      <c r="E1227" s="8" t="s">
        <v>28</v>
      </c>
      <c r="F1227" s="42" t="str">
        <f t="shared" si="494"/>
        <v>d.licitar</v>
      </c>
      <c r="G1227" s="34" t="s">
        <v>1194</v>
      </c>
      <c r="H1227" s="41" t="s">
        <v>2121</v>
      </c>
      <c r="I1227" s="16" t="str">
        <f t="shared" si="46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0"/>
        <v>Propriedade destinada a licitar: é.pré-qualificação</v>
      </c>
      <c r="V1227" s="5" t="str">
        <f t="shared" si="491"/>
        <v>Dado para licitar:  pré-qualificação  Deve ser formatado como (rdfs:Literal  or  xsd:string)</v>
      </c>
      <c r="W1227" s="5" t="s">
        <v>5933</v>
      </c>
      <c r="X1227" s="24" t="str">
        <f t="shared" si="492"/>
        <v>licit.105</v>
      </c>
      <c r="Y1227" s="24" t="str">
        <f t="shared" si="493"/>
        <v>Ação de licitar</v>
      </c>
      <c r="Z1227" s="47" t="s">
        <v>1604</v>
      </c>
      <c r="AA1227" s="25" t="str">
        <f t="shared" si="488"/>
        <v>null</v>
      </c>
      <c r="AB1227" s="26" t="s">
        <v>0</v>
      </c>
      <c r="AC1227" s="25" t="str">
        <f t="shared" si="489"/>
        <v>null</v>
      </c>
      <c r="AD1227" s="26" t="s">
        <v>0</v>
      </c>
      <c r="AE1227" s="25" t="str">
        <f t="shared" si="463"/>
        <v>null</v>
      </c>
      <c r="AF1227" s="26" t="s">
        <v>0</v>
      </c>
      <c r="AG1227" s="47" t="s">
        <v>2978</v>
      </c>
    </row>
    <row r="1228" spans="1:33" ht="6.9" customHeight="1" x14ac:dyDescent="0.4">
      <c r="A1228" s="4">
        <f>ROW()</f>
        <v>1228</v>
      </c>
      <c r="B1228" s="9" t="s">
        <v>27</v>
      </c>
      <c r="C1228" s="55" t="str">
        <f t="shared" si="464"/>
        <v>p.licitar</v>
      </c>
      <c r="D1228" s="6" t="str">
        <f t="shared" si="485"/>
        <v>é.registro.de.preço</v>
      </c>
      <c r="E1228" s="8" t="s">
        <v>28</v>
      </c>
      <c r="F1228" s="42" t="str">
        <f t="shared" si="494"/>
        <v>d.licitar</v>
      </c>
      <c r="G1228" s="34" t="s">
        <v>1195</v>
      </c>
      <c r="H1228" s="41" t="s">
        <v>2121</v>
      </c>
      <c r="I1228" s="16" t="str">
        <f t="shared" si="46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90"/>
        <v>Propriedade destinada a licitar: é.registro.de.preço</v>
      </c>
      <c r="V1228" s="5" t="str">
        <f t="shared" si="491"/>
        <v>Dado para licitar:  registro.de.preço  Deve ser formatado como (rdfs:Literal  or  xsd:string)</v>
      </c>
      <c r="W1228" s="5" t="s">
        <v>5934</v>
      </c>
      <c r="X1228" s="24" t="str">
        <f t="shared" si="492"/>
        <v>licit.106</v>
      </c>
      <c r="Y1228" s="24" t="str">
        <f t="shared" si="493"/>
        <v>Ação de licitar</v>
      </c>
      <c r="Z1228" s="47" t="s">
        <v>1605</v>
      </c>
      <c r="AA1228" s="25" t="str">
        <f t="shared" si="488"/>
        <v>null</v>
      </c>
      <c r="AB1228" s="26" t="s">
        <v>0</v>
      </c>
      <c r="AC1228" s="25" t="str">
        <f t="shared" si="489"/>
        <v>null</v>
      </c>
      <c r="AD1228" s="26" t="s">
        <v>0</v>
      </c>
      <c r="AE1228" s="25" t="str">
        <f t="shared" si="463"/>
        <v>null</v>
      </c>
      <c r="AF1228" s="26" t="s">
        <v>0</v>
      </c>
      <c r="AG1228" s="47" t="s">
        <v>2979</v>
      </c>
    </row>
    <row r="1229" spans="1:33" ht="6.9" customHeight="1" x14ac:dyDescent="0.4">
      <c r="A1229" s="4">
        <f>ROW()</f>
        <v>1229</v>
      </c>
      <c r="B1229" s="9" t="s">
        <v>27</v>
      </c>
      <c r="C1229" s="55" t="str">
        <f t="shared" si="464"/>
        <v>p.licitar</v>
      </c>
      <c r="D1229" s="6" t="str">
        <f t="shared" si="485"/>
        <v>é.ata.de.registro.de.preço</v>
      </c>
      <c r="E1229" s="8" t="s">
        <v>28</v>
      </c>
      <c r="F1229" s="42" t="str">
        <f t="shared" si="494"/>
        <v>d.licitar</v>
      </c>
      <c r="G1229" s="34" t="s">
        <v>1196</v>
      </c>
      <c r="H1229" s="41" t="s">
        <v>2121</v>
      </c>
      <c r="I1229" s="16" t="str">
        <f t="shared" si="46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0"/>
        <v>Propriedade destinada a licitar: é.ata.de.registro.de.preço</v>
      </c>
      <c r="V1229" s="5" t="str">
        <f t="shared" si="491"/>
        <v>Dado para licitar:  ata.de.registro.de.preço  Deve ser formatado como (rdfs:Literal  or  xsd:string)</v>
      </c>
      <c r="W1229" s="5" t="s">
        <v>5935</v>
      </c>
      <c r="X1229" s="24" t="str">
        <f t="shared" si="492"/>
        <v>licit.107</v>
      </c>
      <c r="Y1229" s="24" t="str">
        <f t="shared" si="493"/>
        <v>Ação de licitar</v>
      </c>
      <c r="Z1229" s="47" t="s">
        <v>1606</v>
      </c>
      <c r="AA1229" s="25" t="str">
        <f t="shared" si="488"/>
        <v>null</v>
      </c>
      <c r="AB1229" s="26" t="s">
        <v>0</v>
      </c>
      <c r="AC1229" s="25" t="str">
        <f t="shared" si="489"/>
        <v>null</v>
      </c>
      <c r="AD1229" s="26" t="s">
        <v>0</v>
      </c>
      <c r="AE1229" s="25" t="str">
        <f t="shared" si="463"/>
        <v>null</v>
      </c>
      <c r="AF1229" s="26" t="s">
        <v>0</v>
      </c>
      <c r="AG1229" s="47" t="s">
        <v>2980</v>
      </c>
    </row>
    <row r="1230" spans="1:33" ht="6.9" customHeight="1" x14ac:dyDescent="0.4">
      <c r="A1230" s="4">
        <f>ROW()</f>
        <v>1230</v>
      </c>
      <c r="B1230" s="9" t="s">
        <v>27</v>
      </c>
      <c r="C1230" s="55" t="str">
        <f t="shared" si="464"/>
        <v>p.licitar</v>
      </c>
      <c r="D1230" s="6" t="str">
        <f t="shared" si="485"/>
        <v>é.critério.de.julgamento</v>
      </c>
      <c r="E1230" s="8" t="s">
        <v>28</v>
      </c>
      <c r="F1230" s="42" t="str">
        <f t="shared" si="494"/>
        <v>d.licitar</v>
      </c>
      <c r="G1230" s="34" t="s">
        <v>1188</v>
      </c>
      <c r="H1230" s="41" t="s">
        <v>2121</v>
      </c>
      <c r="I1230" s="16" t="str">
        <f t="shared" si="46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0"/>
        <v>Propriedade destinada a licitar: é.critério.de.julgamento</v>
      </c>
      <c r="V1230" s="5" t="str">
        <f t="shared" si="491"/>
        <v>Dado para licitar:  critério.de.julgamento  Deve ser formatado como (rdfs:Literal  or  xsd:string)</v>
      </c>
      <c r="W1230" s="5" t="s">
        <v>5936</v>
      </c>
      <c r="X1230" s="24" t="str">
        <f t="shared" si="492"/>
        <v>licit.108</v>
      </c>
      <c r="Y1230" s="24" t="str">
        <f t="shared" si="493"/>
        <v>Ação de licitar</v>
      </c>
      <c r="Z1230" s="47" t="s">
        <v>1607</v>
      </c>
      <c r="AA1230" s="25" t="str">
        <f t="shared" si="488"/>
        <v>null</v>
      </c>
      <c r="AB1230" s="26" t="s">
        <v>0</v>
      </c>
      <c r="AC1230" s="25" t="str">
        <f t="shared" si="489"/>
        <v>null</v>
      </c>
      <c r="AD1230" s="26" t="s">
        <v>0</v>
      </c>
      <c r="AE1230" s="25" t="str">
        <f t="shared" si="463"/>
        <v>null</v>
      </c>
      <c r="AF1230" s="26" t="s">
        <v>0</v>
      </c>
      <c r="AG1230" s="47" t="s">
        <v>2981</v>
      </c>
    </row>
    <row r="1231" spans="1:33" ht="6.9" customHeight="1" x14ac:dyDescent="0.4">
      <c r="A1231" s="4">
        <f>ROW()</f>
        <v>1231</v>
      </c>
      <c r="B1231" s="9" t="s">
        <v>27</v>
      </c>
      <c r="C1231" s="55" t="str">
        <f t="shared" si="464"/>
        <v>p.licitar</v>
      </c>
      <c r="D1231" s="6" t="str">
        <f t="shared" ref="D1231:D1294" si="495">_xlfn.CONCAT("é.",G1231)</f>
        <v>é.menor.preço</v>
      </c>
      <c r="E1231" s="8" t="s">
        <v>28</v>
      </c>
      <c r="F1231" s="42" t="str">
        <f t="shared" si="494"/>
        <v>d.licitar</v>
      </c>
      <c r="G1231" s="34" t="s">
        <v>1182</v>
      </c>
      <c r="H1231" s="41" t="s">
        <v>2121</v>
      </c>
      <c r="I1231" s="16" t="str">
        <f t="shared" si="465"/>
        <v>null</v>
      </c>
      <c r="J1231" s="15" t="s">
        <v>0</v>
      </c>
      <c r="K1231" s="15" t="s">
        <v>0</v>
      </c>
      <c r="L1231" s="15" t="s">
        <v>0</v>
      </c>
      <c r="M1231" s="15" t="s">
        <v>0</v>
      </c>
      <c r="N1231" s="15" t="s">
        <v>0</v>
      </c>
      <c r="O1231" s="15" t="s">
        <v>0</v>
      </c>
      <c r="P1231" s="15" t="s">
        <v>0</v>
      </c>
      <c r="Q1231" s="15" t="s">
        <v>0</v>
      </c>
      <c r="R1231" s="15" t="s">
        <v>1206</v>
      </c>
      <c r="S1231" s="10" t="s">
        <v>1</v>
      </c>
      <c r="T1231" s="10" t="s">
        <v>32</v>
      </c>
      <c r="U1231" s="5" t="str">
        <f t="shared" si="490"/>
        <v>Propriedade destinada a licitar: é.menor.preço</v>
      </c>
      <c r="V1231" s="5" t="str">
        <f t="shared" si="491"/>
        <v>Dado para licitar:  menor.preço  Deve ser formatado como (rdfs:Literal  or  xsd:string)</v>
      </c>
      <c r="W1231" s="5" t="s">
        <v>5937</v>
      </c>
      <c r="X1231" s="24" t="str">
        <f t="shared" si="492"/>
        <v>licit.109</v>
      </c>
      <c r="Y1231" s="24" t="str">
        <f t="shared" si="493"/>
        <v>Ação de licitar</v>
      </c>
      <c r="Z1231" s="47" t="s">
        <v>1608</v>
      </c>
      <c r="AA1231" s="25" t="str">
        <f t="shared" si="488"/>
        <v>null</v>
      </c>
      <c r="AB1231" s="26" t="s">
        <v>0</v>
      </c>
      <c r="AC1231" s="25" t="str">
        <f t="shared" si="489"/>
        <v>null</v>
      </c>
      <c r="AD1231" s="26" t="s">
        <v>0</v>
      </c>
      <c r="AE1231" s="25" t="str">
        <f t="shared" si="463"/>
        <v>null</v>
      </c>
      <c r="AF1231" s="26" t="s">
        <v>0</v>
      </c>
      <c r="AG1231" s="47" t="s">
        <v>2982</v>
      </c>
    </row>
    <row r="1232" spans="1:33" ht="6.9" customHeight="1" x14ac:dyDescent="0.4">
      <c r="A1232" s="4">
        <f>ROW()</f>
        <v>1232</v>
      </c>
      <c r="B1232" s="9" t="s">
        <v>27</v>
      </c>
      <c r="C1232" s="55" t="str">
        <f t="shared" si="464"/>
        <v>p.licitar</v>
      </c>
      <c r="D1232" s="6" t="str">
        <f t="shared" si="495"/>
        <v>é.maior.desconto</v>
      </c>
      <c r="E1232" s="8" t="s">
        <v>28</v>
      </c>
      <c r="F1232" s="42" t="str">
        <f t="shared" si="494"/>
        <v>d.licitar</v>
      </c>
      <c r="G1232" s="34" t="s">
        <v>1183</v>
      </c>
      <c r="H1232" s="41" t="s">
        <v>2121</v>
      </c>
      <c r="I1232" s="16" t="str">
        <f t="shared" si="465"/>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490"/>
        <v>Propriedade destinada a licitar: é.maior.desconto</v>
      </c>
      <c r="V1232" s="5" t="str">
        <f t="shared" si="491"/>
        <v>Dado para licitar:  maior.desconto  Deve ser formatado como (rdfs:Literal  or  xsd:string)</v>
      </c>
      <c r="W1232" s="5" t="s">
        <v>5938</v>
      </c>
      <c r="X1232" s="24" t="str">
        <f t="shared" si="492"/>
        <v>licit.110</v>
      </c>
      <c r="Y1232" s="24" t="str">
        <f t="shared" si="493"/>
        <v>Ação de licitar</v>
      </c>
      <c r="Z1232" s="47" t="s">
        <v>1609</v>
      </c>
      <c r="AA1232" s="25" t="str">
        <f t="shared" si="488"/>
        <v>null</v>
      </c>
      <c r="AB1232" s="26" t="s">
        <v>0</v>
      </c>
      <c r="AC1232" s="25" t="str">
        <f t="shared" si="489"/>
        <v>null</v>
      </c>
      <c r="AD1232" s="26" t="s">
        <v>0</v>
      </c>
      <c r="AE1232" s="25" t="str">
        <f t="shared" ref="AE1232:AE1295" si="496">IF(AF1232="null", "null", "propriedade")</f>
        <v>null</v>
      </c>
      <c r="AF1232" s="26" t="s">
        <v>0</v>
      </c>
      <c r="AG1232" s="47" t="s">
        <v>2983</v>
      </c>
    </row>
    <row r="1233" spans="1:33" ht="6.9" customHeight="1" x14ac:dyDescent="0.4">
      <c r="A1233" s="4">
        <f>ROW()</f>
        <v>1233</v>
      </c>
      <c r="B1233" s="9" t="s">
        <v>27</v>
      </c>
      <c r="C1233" s="55" t="str">
        <f t="shared" si="464"/>
        <v>p.licitar</v>
      </c>
      <c r="D1233" s="6" t="str">
        <f t="shared" si="495"/>
        <v>é.melhor.técnica</v>
      </c>
      <c r="E1233" s="8" t="s">
        <v>28</v>
      </c>
      <c r="F1233" s="42" t="str">
        <f t="shared" si="494"/>
        <v>d.licitar</v>
      </c>
      <c r="G1233" s="34" t="s">
        <v>1203</v>
      </c>
      <c r="H1233" s="41" t="s">
        <v>2121</v>
      </c>
      <c r="I1233" s="16" t="str">
        <f t="shared" si="46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0"/>
        <v>Propriedade destinada a licitar: é.melhor.técnica</v>
      </c>
      <c r="V1233" s="5" t="str">
        <f t="shared" si="491"/>
        <v>Dado para licitar:  melhor.técnica  Deve ser formatado como (rdfs:Literal  or  xsd:string)</v>
      </c>
      <c r="W1233" s="5" t="s">
        <v>5939</v>
      </c>
      <c r="X1233" s="24" t="str">
        <f t="shared" si="492"/>
        <v>licit.111</v>
      </c>
      <c r="Y1233" s="24" t="str">
        <f t="shared" si="493"/>
        <v>Ação de licitar</v>
      </c>
      <c r="Z1233" s="47" t="s">
        <v>1610</v>
      </c>
      <c r="AA1233" s="25" t="str">
        <f t="shared" si="488"/>
        <v>null</v>
      </c>
      <c r="AB1233" s="26" t="s">
        <v>0</v>
      </c>
      <c r="AC1233" s="25" t="str">
        <f t="shared" si="489"/>
        <v>null</v>
      </c>
      <c r="AD1233" s="26" t="s">
        <v>0</v>
      </c>
      <c r="AE1233" s="25" t="str">
        <f t="shared" si="496"/>
        <v>null</v>
      </c>
      <c r="AF1233" s="26" t="s">
        <v>0</v>
      </c>
      <c r="AG1233" s="47" t="s">
        <v>2984</v>
      </c>
    </row>
    <row r="1234" spans="1:33" ht="6.9" customHeight="1" x14ac:dyDescent="0.4">
      <c r="A1234" s="4">
        <f>ROW()</f>
        <v>1234</v>
      </c>
      <c r="B1234" s="9" t="s">
        <v>27</v>
      </c>
      <c r="C1234" s="55" t="str">
        <f t="shared" si="464"/>
        <v>p.licitar</v>
      </c>
      <c r="D1234" s="6" t="str">
        <f t="shared" si="495"/>
        <v>é.melhor.conteúdo.artístico</v>
      </c>
      <c r="E1234" s="8" t="s">
        <v>28</v>
      </c>
      <c r="F1234" s="42" t="str">
        <f t="shared" si="494"/>
        <v>d.licitar</v>
      </c>
      <c r="G1234" s="34" t="s">
        <v>1187</v>
      </c>
      <c r="H1234" s="41" t="s">
        <v>2121</v>
      </c>
      <c r="I1234" s="16" t="str">
        <f t="shared" si="46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0"/>
        <v>Propriedade destinada a licitar: é.melhor.conteúdo.artístico</v>
      </c>
      <c r="V1234" s="5" t="str">
        <f t="shared" si="491"/>
        <v>Dado para licitar:  melhor.conteúdo.artístico  Deve ser formatado como (rdfs:Literal  or  xsd:string)</v>
      </c>
      <c r="W1234" s="5" t="s">
        <v>5940</v>
      </c>
      <c r="X1234" s="24" t="str">
        <f t="shared" si="492"/>
        <v>licit.112</v>
      </c>
      <c r="Y1234" s="24" t="str">
        <f t="shared" si="493"/>
        <v>Ação de licitar</v>
      </c>
      <c r="Z1234" s="47" t="s">
        <v>1611</v>
      </c>
      <c r="AA1234" s="25" t="str">
        <f t="shared" si="488"/>
        <v>null</v>
      </c>
      <c r="AB1234" s="26" t="s">
        <v>0</v>
      </c>
      <c r="AC1234" s="25" t="str">
        <f t="shared" si="489"/>
        <v>null</v>
      </c>
      <c r="AD1234" s="26" t="s">
        <v>0</v>
      </c>
      <c r="AE1234" s="25" t="str">
        <f t="shared" si="496"/>
        <v>null</v>
      </c>
      <c r="AF1234" s="26" t="s">
        <v>0</v>
      </c>
      <c r="AG1234" s="47" t="s">
        <v>2985</v>
      </c>
    </row>
    <row r="1235" spans="1:33" ht="6.9" customHeight="1" x14ac:dyDescent="0.4">
      <c r="A1235" s="4">
        <f>ROW()</f>
        <v>1235</v>
      </c>
      <c r="B1235" s="9" t="s">
        <v>27</v>
      </c>
      <c r="C1235" s="55" t="str">
        <f t="shared" ref="C1235:C1305" si="497">SUBSTITUTE(F1235,"d.","p.")</f>
        <v>p.licitar</v>
      </c>
      <c r="D1235" s="6" t="str">
        <f t="shared" si="495"/>
        <v>é.técnica.e.preço</v>
      </c>
      <c r="E1235" s="8" t="s">
        <v>28</v>
      </c>
      <c r="F1235" s="42" t="str">
        <f t="shared" si="494"/>
        <v>d.licitar</v>
      </c>
      <c r="G1235" s="34" t="s">
        <v>1184</v>
      </c>
      <c r="H1235" s="41" t="s">
        <v>2121</v>
      </c>
      <c r="I1235" s="16" t="str">
        <f t="shared" si="46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90"/>
        <v>Propriedade destinada a licitar: é.técnica.e.preço</v>
      </c>
      <c r="V1235" s="5" t="str">
        <f t="shared" si="491"/>
        <v>Dado para licitar:  técnica.e.preço  Deve ser formatado como (rdfs:Literal  or  xsd:string)</v>
      </c>
      <c r="W1235" s="5" t="s">
        <v>5941</v>
      </c>
      <c r="X1235" s="24" t="str">
        <f t="shared" si="492"/>
        <v>licit.113</v>
      </c>
      <c r="Y1235" s="24" t="str">
        <f t="shared" si="493"/>
        <v>Ação de licitar</v>
      </c>
      <c r="Z1235" s="47" t="s">
        <v>1612</v>
      </c>
      <c r="AA1235" s="25" t="str">
        <f t="shared" si="488"/>
        <v>null</v>
      </c>
      <c r="AB1235" s="26" t="s">
        <v>0</v>
      </c>
      <c r="AC1235" s="25" t="str">
        <f t="shared" si="489"/>
        <v>null</v>
      </c>
      <c r="AD1235" s="26" t="s">
        <v>0</v>
      </c>
      <c r="AE1235" s="25" t="str">
        <f t="shared" si="496"/>
        <v>null</v>
      </c>
      <c r="AF1235" s="26" t="s">
        <v>0</v>
      </c>
      <c r="AG1235" s="47" t="s">
        <v>2986</v>
      </c>
    </row>
    <row r="1236" spans="1:33" ht="6.9" customHeight="1" x14ac:dyDescent="0.4">
      <c r="A1236" s="4">
        <f>ROW()</f>
        <v>1236</v>
      </c>
      <c r="B1236" s="9" t="s">
        <v>27</v>
      </c>
      <c r="C1236" s="55" t="str">
        <f t="shared" si="497"/>
        <v>p.licitar</v>
      </c>
      <c r="D1236" s="6" t="str">
        <f t="shared" si="495"/>
        <v>é.maior.lance.do.leilão</v>
      </c>
      <c r="E1236" s="8" t="s">
        <v>28</v>
      </c>
      <c r="F1236" s="42" t="str">
        <f t="shared" si="494"/>
        <v>d.licitar</v>
      </c>
      <c r="G1236" s="34" t="s">
        <v>1185</v>
      </c>
      <c r="H1236" s="41" t="s">
        <v>2121</v>
      </c>
      <c r="I1236" s="16" t="str">
        <f t="shared" si="46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90"/>
        <v>Propriedade destinada a licitar: é.maior.lance.do.leilão</v>
      </c>
      <c r="V1236" s="5" t="str">
        <f t="shared" si="491"/>
        <v>Dado para licitar:  maior.lance.do.leilão  Deve ser formatado como (rdfs:Literal  or  xsd:string)</v>
      </c>
      <c r="W1236" s="5" t="s">
        <v>5942</v>
      </c>
      <c r="X1236" s="24" t="str">
        <f t="shared" si="492"/>
        <v>licit.114</v>
      </c>
      <c r="Y1236" s="24" t="str">
        <f t="shared" si="493"/>
        <v>Ação de licitar</v>
      </c>
      <c r="Z1236" s="47" t="s">
        <v>1613</v>
      </c>
      <c r="AA1236" s="25" t="str">
        <f t="shared" si="488"/>
        <v>null</v>
      </c>
      <c r="AB1236" s="26" t="s">
        <v>0</v>
      </c>
      <c r="AC1236" s="25" t="str">
        <f t="shared" si="489"/>
        <v>null</v>
      </c>
      <c r="AD1236" s="26" t="s">
        <v>0</v>
      </c>
      <c r="AE1236" s="25" t="str">
        <f t="shared" si="496"/>
        <v>null</v>
      </c>
      <c r="AF1236" s="26" t="s">
        <v>0</v>
      </c>
      <c r="AG1236" s="47" t="s">
        <v>2987</v>
      </c>
    </row>
    <row r="1237" spans="1:33" ht="6.9" customHeight="1" x14ac:dyDescent="0.4">
      <c r="A1237" s="4">
        <f>ROW()</f>
        <v>1237</v>
      </c>
      <c r="B1237" s="9" t="s">
        <v>27</v>
      </c>
      <c r="C1237" s="55" t="str">
        <f t="shared" si="497"/>
        <v>p.licitar</v>
      </c>
      <c r="D1237" s="6" t="str">
        <f t="shared" si="495"/>
        <v>é.maior.retorno.econômico</v>
      </c>
      <c r="E1237" s="8" t="s">
        <v>28</v>
      </c>
      <c r="F1237" s="42" t="str">
        <f t="shared" si="494"/>
        <v>d.licitar</v>
      </c>
      <c r="G1237" s="34" t="s">
        <v>1186</v>
      </c>
      <c r="H1237" s="41" t="s">
        <v>2121</v>
      </c>
      <c r="I1237" s="16" t="str">
        <f t="shared" si="46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0"/>
        <v>Propriedade destinada a licitar: é.maior.retorno.econômico</v>
      </c>
      <c r="V1237" s="5" t="str">
        <f t="shared" si="491"/>
        <v>Dado para licitar:  maior.retorno.econômico  Deve ser formatado como (rdfs:Literal  or  xsd:string)</v>
      </c>
      <c r="W1237" s="5" t="s">
        <v>5943</v>
      </c>
      <c r="X1237" s="24" t="str">
        <f t="shared" si="492"/>
        <v>licit.115</v>
      </c>
      <c r="Y1237" s="24" t="str">
        <f t="shared" si="493"/>
        <v>Ação de licitar</v>
      </c>
      <c r="Z1237" s="47" t="s">
        <v>1614</v>
      </c>
      <c r="AA1237" s="25" t="str">
        <f t="shared" si="488"/>
        <v>null</v>
      </c>
      <c r="AB1237" s="26" t="s">
        <v>0</v>
      </c>
      <c r="AC1237" s="25" t="str">
        <f t="shared" si="489"/>
        <v>null</v>
      </c>
      <c r="AD1237" s="26" t="s">
        <v>0</v>
      </c>
      <c r="AE1237" s="25" t="str">
        <f t="shared" si="496"/>
        <v>null</v>
      </c>
      <c r="AF1237" s="26" t="s">
        <v>0</v>
      </c>
      <c r="AG1237" s="47" t="s">
        <v>2988</v>
      </c>
    </row>
    <row r="1238" spans="1:33" ht="6.9" customHeight="1" x14ac:dyDescent="0.4">
      <c r="A1238" s="4">
        <f>ROW()</f>
        <v>1238</v>
      </c>
      <c r="B1238" s="9" t="s">
        <v>27</v>
      </c>
      <c r="C1238" s="55" t="str">
        <f t="shared" si="497"/>
        <v>p.licitar</v>
      </c>
      <c r="D1238" s="6" t="str">
        <f t="shared" si="495"/>
        <v>é.sitio.eletrônico.oficial</v>
      </c>
      <c r="E1238" s="8" t="s">
        <v>28</v>
      </c>
      <c r="F1238" s="42" t="str">
        <f t="shared" si="494"/>
        <v>d.licitar</v>
      </c>
      <c r="G1238" s="34" t="s">
        <v>1200</v>
      </c>
      <c r="H1238" s="41" t="s">
        <v>2121</v>
      </c>
      <c r="I1238" s="16" t="str">
        <f t="shared" si="465"/>
        <v>null</v>
      </c>
      <c r="J1238" s="15" t="s">
        <v>0</v>
      </c>
      <c r="K1238" s="15" t="s">
        <v>0</v>
      </c>
      <c r="L1238" s="15" t="s">
        <v>0</v>
      </c>
      <c r="M1238" s="15" t="s">
        <v>0</v>
      </c>
      <c r="N1238" s="15" t="s">
        <v>0</v>
      </c>
      <c r="O1238" s="15" t="s">
        <v>0</v>
      </c>
      <c r="P1238" s="15" t="s">
        <v>0</v>
      </c>
      <c r="Q1238" s="15" t="s">
        <v>0</v>
      </c>
      <c r="R1238" s="15" t="s">
        <v>1207</v>
      </c>
      <c r="S1238" s="10" t="s">
        <v>1</v>
      </c>
      <c r="T1238" s="10" t="s">
        <v>32</v>
      </c>
      <c r="U1238" s="5" t="str">
        <f t="shared" si="490"/>
        <v>Propriedade destinada a licitar: é.sitio.eletrônico.oficial</v>
      </c>
      <c r="V1238" s="5" t="str">
        <f t="shared" si="491"/>
        <v>Dado para licitar:  sitio.eletrônico.oficial  Deve ser formatado como (rdfs:Literal  or  xsd:string)</v>
      </c>
      <c r="W1238" s="5" t="s">
        <v>5944</v>
      </c>
      <c r="X1238" s="24" t="str">
        <f t="shared" si="492"/>
        <v>licit.116</v>
      </c>
      <c r="Y1238" s="24" t="str">
        <f t="shared" si="493"/>
        <v>Ação de licitar</v>
      </c>
      <c r="Z1238" s="47" t="s">
        <v>1615</v>
      </c>
      <c r="AA1238" s="25" t="str">
        <f t="shared" si="488"/>
        <v>null</v>
      </c>
      <c r="AB1238" s="26" t="s">
        <v>0</v>
      </c>
      <c r="AC1238" s="25" t="str">
        <f t="shared" si="489"/>
        <v>null</v>
      </c>
      <c r="AD1238" s="26" t="s">
        <v>0</v>
      </c>
      <c r="AE1238" s="25" t="str">
        <f t="shared" si="496"/>
        <v>null</v>
      </c>
      <c r="AF1238" s="26" t="s">
        <v>0</v>
      </c>
      <c r="AG1238" s="47" t="s">
        <v>2989</v>
      </c>
    </row>
    <row r="1239" spans="1:33" ht="6.9" customHeight="1" x14ac:dyDescent="0.4">
      <c r="A1239" s="4">
        <f>ROW()</f>
        <v>1239</v>
      </c>
      <c r="B1239" s="9" t="s">
        <v>27</v>
      </c>
      <c r="C1239" s="55" t="str">
        <f t="shared" si="497"/>
        <v>p.licitar</v>
      </c>
      <c r="D1239" s="6" t="str">
        <f t="shared" si="495"/>
        <v>é.contrato.de.eficiência</v>
      </c>
      <c r="E1239" s="8" t="s">
        <v>28</v>
      </c>
      <c r="F1239" s="42" t="str">
        <f t="shared" si="494"/>
        <v>d.licitar</v>
      </c>
      <c r="G1239" s="34" t="s">
        <v>1201</v>
      </c>
      <c r="H1239" s="41" t="s">
        <v>2121</v>
      </c>
      <c r="I1239" s="16" t="str">
        <f t="shared" si="46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0"/>
        <v>Propriedade destinada a licitar: é.contrato.de.eficiência</v>
      </c>
      <c r="V1239" s="5" t="str">
        <f t="shared" si="491"/>
        <v>Dado para licitar:  contrato.de.eficiência  Deve ser formatado como (rdfs:Literal  or  xsd:string)</v>
      </c>
      <c r="W1239" s="5" t="s">
        <v>5945</v>
      </c>
      <c r="X1239" s="24" t="str">
        <f t="shared" si="492"/>
        <v>licit.117</v>
      </c>
      <c r="Y1239" s="24" t="str">
        <f t="shared" si="493"/>
        <v>Ação de licitar</v>
      </c>
      <c r="Z1239" s="47" t="s">
        <v>1616</v>
      </c>
      <c r="AA1239" s="25" t="str">
        <f t="shared" si="488"/>
        <v>null</v>
      </c>
      <c r="AB1239" s="26" t="s">
        <v>0</v>
      </c>
      <c r="AC1239" s="25" t="str">
        <f t="shared" si="489"/>
        <v>null</v>
      </c>
      <c r="AD1239" s="26" t="s">
        <v>0</v>
      </c>
      <c r="AE1239" s="25" t="str">
        <f t="shared" si="496"/>
        <v>null</v>
      </c>
      <c r="AF1239" s="26" t="s">
        <v>0</v>
      </c>
      <c r="AG1239" s="47" t="s">
        <v>2990</v>
      </c>
    </row>
    <row r="1240" spans="1:33" ht="6.9" customHeight="1" x14ac:dyDescent="0.4">
      <c r="A1240" s="4">
        <f>ROW()</f>
        <v>1240</v>
      </c>
      <c r="B1240" s="9" t="s">
        <v>27</v>
      </c>
      <c r="C1240" s="55" t="str">
        <f t="shared" si="497"/>
        <v>p.licitar</v>
      </c>
      <c r="D1240" s="6" t="str">
        <f t="shared" si="495"/>
        <v>é.comissão.de.contratação</v>
      </c>
      <c r="E1240" s="8" t="s">
        <v>28</v>
      </c>
      <c r="F1240" s="42" t="str">
        <f t="shared" si="494"/>
        <v>d.licitar</v>
      </c>
      <c r="G1240" s="34" t="s">
        <v>1199</v>
      </c>
      <c r="H1240" s="41" t="s">
        <v>2121</v>
      </c>
      <c r="I1240" s="16" t="str">
        <f t="shared" si="46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0"/>
        <v>Propriedade destinada a licitar: é.comissão.de.contratação</v>
      </c>
      <c r="V1240" s="5" t="str">
        <f t="shared" si="491"/>
        <v>Dado para licitar:  comissão.de.contratação  Deve ser formatado como (rdfs:Literal  or  xsd:string)</v>
      </c>
      <c r="W1240" s="5" t="s">
        <v>5946</v>
      </c>
      <c r="X1240" s="24" t="str">
        <f t="shared" si="492"/>
        <v>licit.118</v>
      </c>
      <c r="Y1240" s="24" t="str">
        <f t="shared" si="493"/>
        <v>Ação de licitar</v>
      </c>
      <c r="Z1240" s="47" t="s">
        <v>1617</v>
      </c>
      <c r="AA1240" s="25" t="str">
        <f t="shared" si="488"/>
        <v>null</v>
      </c>
      <c r="AB1240" s="26" t="s">
        <v>0</v>
      </c>
      <c r="AC1240" s="25" t="str">
        <f t="shared" si="489"/>
        <v>null</v>
      </c>
      <c r="AD1240" s="26" t="s">
        <v>0</v>
      </c>
      <c r="AE1240" s="25" t="str">
        <f t="shared" si="496"/>
        <v>null</v>
      </c>
      <c r="AF1240" s="26" t="s">
        <v>0</v>
      </c>
      <c r="AG1240" s="47" t="s">
        <v>2991</v>
      </c>
    </row>
    <row r="1241" spans="1:33" ht="6.9" customHeight="1" x14ac:dyDescent="0.4">
      <c r="A1241" s="4">
        <f>ROW()</f>
        <v>1241</v>
      </c>
      <c r="B1241" s="9" t="s">
        <v>27</v>
      </c>
      <c r="C1241" s="55" t="str">
        <f t="shared" si="497"/>
        <v>p.licitar</v>
      </c>
      <c r="D1241" s="6" t="str">
        <f t="shared" si="495"/>
        <v>é.seguro-garantia</v>
      </c>
      <c r="E1241" s="8" t="s">
        <v>28</v>
      </c>
      <c r="F1241" s="42" t="str">
        <f t="shared" si="494"/>
        <v>d.licitar</v>
      </c>
      <c r="G1241" s="34" t="s">
        <v>1202</v>
      </c>
      <c r="H1241" s="41" t="s">
        <v>2121</v>
      </c>
      <c r="I1241" s="16" t="str">
        <f t="shared" si="46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0"/>
        <v>Propriedade destinada a licitar: é.seguro-garantia</v>
      </c>
      <c r="V1241" s="5" t="str">
        <f t="shared" si="491"/>
        <v>Dado para licitar:  seguro-garantia  Deve ser formatado como (rdfs:Literal  or  xsd:string)</v>
      </c>
      <c r="W1241" s="5" t="s">
        <v>5947</v>
      </c>
      <c r="X1241" s="24" t="str">
        <f t="shared" si="492"/>
        <v>licit.119</v>
      </c>
      <c r="Y1241" s="24" t="str">
        <f t="shared" si="493"/>
        <v>Ação de licitar</v>
      </c>
      <c r="Z1241" s="47" t="s">
        <v>1618</v>
      </c>
      <c r="AA1241" s="25" t="str">
        <f t="shared" si="488"/>
        <v>null</v>
      </c>
      <c r="AB1241" s="26" t="s">
        <v>0</v>
      </c>
      <c r="AC1241" s="25" t="str">
        <f t="shared" si="489"/>
        <v>null</v>
      </c>
      <c r="AD1241" s="26" t="s">
        <v>0</v>
      </c>
      <c r="AE1241" s="25" t="str">
        <f t="shared" si="496"/>
        <v>null</v>
      </c>
      <c r="AF1241" s="26" t="s">
        <v>0</v>
      </c>
      <c r="AG1241" s="47" t="s">
        <v>2992</v>
      </c>
    </row>
    <row r="1242" spans="1:33" ht="6.9" customHeight="1" x14ac:dyDescent="0.4">
      <c r="A1242" s="4">
        <f>ROW()</f>
        <v>1242</v>
      </c>
      <c r="B1242" s="9" t="s">
        <v>27</v>
      </c>
      <c r="C1242" s="55" t="str">
        <f t="shared" si="497"/>
        <v>p.licitar</v>
      </c>
      <c r="D1242" s="6" t="str">
        <f t="shared" si="495"/>
        <v>é.sobrepreço</v>
      </c>
      <c r="E1242" s="8" t="s">
        <v>28</v>
      </c>
      <c r="F1242" s="42" t="str">
        <f t="shared" si="494"/>
        <v>d.licitar</v>
      </c>
      <c r="G1242" s="34" t="s">
        <v>1197</v>
      </c>
      <c r="H1242" s="41" t="s">
        <v>2121</v>
      </c>
      <c r="I1242" s="16" t="str">
        <f t="shared" si="46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90"/>
        <v>Propriedade destinada a licitar: é.sobrepreço</v>
      </c>
      <c r="V1242" s="5" t="str">
        <f t="shared" si="491"/>
        <v>Dado para licitar:  sobrepreço  Deve ser formatado como (rdfs:Literal  or  xsd:string)</v>
      </c>
      <c r="W1242" s="5" t="s">
        <v>5948</v>
      </c>
      <c r="X1242" s="24" t="str">
        <f t="shared" si="492"/>
        <v>licit.120</v>
      </c>
      <c r="Y1242" s="24" t="str">
        <f t="shared" si="493"/>
        <v>Ação de licitar</v>
      </c>
      <c r="Z1242" s="47" t="s">
        <v>1619</v>
      </c>
      <c r="AA1242" s="25" t="str">
        <f t="shared" si="488"/>
        <v>null</v>
      </c>
      <c r="AB1242" s="26" t="s">
        <v>0</v>
      </c>
      <c r="AC1242" s="25" t="str">
        <f t="shared" si="489"/>
        <v>null</v>
      </c>
      <c r="AD1242" s="26" t="s">
        <v>0</v>
      </c>
      <c r="AE1242" s="25" t="str">
        <f t="shared" si="496"/>
        <v>null</v>
      </c>
      <c r="AF1242" s="26" t="s">
        <v>0</v>
      </c>
      <c r="AG1242" s="47" t="s">
        <v>2993</v>
      </c>
    </row>
    <row r="1243" spans="1:33" ht="6.9" customHeight="1" x14ac:dyDescent="0.4">
      <c r="A1243" s="4">
        <f>ROW()</f>
        <v>1243</v>
      </c>
      <c r="B1243" s="9" t="s">
        <v>27</v>
      </c>
      <c r="C1243" s="55" t="str">
        <f t="shared" si="497"/>
        <v>p.licitar</v>
      </c>
      <c r="D1243" s="6" t="str">
        <f t="shared" si="495"/>
        <v>é.superfaturamento</v>
      </c>
      <c r="E1243" s="8" t="s">
        <v>28</v>
      </c>
      <c r="F1243" s="42" t="str">
        <f t="shared" si="494"/>
        <v>d.licitar</v>
      </c>
      <c r="G1243" s="34" t="s">
        <v>1198</v>
      </c>
      <c r="H1243" s="41" t="s">
        <v>2121</v>
      </c>
      <c r="I1243" s="16" t="str">
        <f t="shared" ref="I1243:I1308" si="498">J1243</f>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0"/>
        <v>Propriedade destinada a licitar: é.superfaturamento</v>
      </c>
      <c r="V1243" s="5" t="str">
        <f t="shared" si="491"/>
        <v>Dado para licitar:  superfaturamento  Deve ser formatado como (rdfs:Literal  or  xsd:string)</v>
      </c>
      <c r="W1243" s="5" t="s">
        <v>5949</v>
      </c>
      <c r="X1243" s="24" t="str">
        <f t="shared" si="492"/>
        <v>licit.121</v>
      </c>
      <c r="Y1243" s="24" t="str">
        <f t="shared" si="493"/>
        <v>Ação de licitar</v>
      </c>
      <c r="Z1243" s="47" t="s">
        <v>1620</v>
      </c>
      <c r="AA1243" s="25" t="str">
        <f t="shared" si="488"/>
        <v>null</v>
      </c>
      <c r="AB1243" s="26" t="s">
        <v>0</v>
      </c>
      <c r="AC1243" s="25" t="str">
        <f t="shared" si="489"/>
        <v>null</v>
      </c>
      <c r="AD1243" s="26" t="s">
        <v>0</v>
      </c>
      <c r="AE1243" s="25" t="str">
        <f t="shared" si="496"/>
        <v>null</v>
      </c>
      <c r="AF1243" s="26" t="s">
        <v>0</v>
      </c>
      <c r="AG1243" s="47" t="s">
        <v>2994</v>
      </c>
    </row>
    <row r="1244" spans="1:33" ht="6.9" customHeight="1" x14ac:dyDescent="0.4">
      <c r="A1244" s="4">
        <f>ROW()</f>
        <v>1244</v>
      </c>
      <c r="B1244" s="9" t="s">
        <v>27</v>
      </c>
      <c r="C1244" s="55" t="str">
        <f t="shared" si="497"/>
        <v>p.licitar</v>
      </c>
      <c r="D1244" s="6" t="str">
        <f t="shared" si="495"/>
        <v>é.repactuação</v>
      </c>
      <c r="E1244" s="8" t="s">
        <v>28</v>
      </c>
      <c r="F1244" s="42" t="str">
        <f t="shared" si="494"/>
        <v>d.licitar</v>
      </c>
      <c r="G1244" s="34" t="s">
        <v>1204</v>
      </c>
      <c r="H1244" s="41" t="s">
        <v>2121</v>
      </c>
      <c r="I1244" s="16" t="str">
        <f t="shared" si="498"/>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0"/>
        <v>Propriedade destinada a licitar: é.repactuação</v>
      </c>
      <c r="V1244" s="5" t="str">
        <f t="shared" si="491"/>
        <v>Dado para licitar:  repactuação  Deve ser formatado como (rdfs:Literal  or  xsd:string)</v>
      </c>
      <c r="W1244" s="5" t="s">
        <v>5950</v>
      </c>
      <c r="X1244" s="24" t="str">
        <f t="shared" si="492"/>
        <v>licit.122</v>
      </c>
      <c r="Y1244" s="24" t="str">
        <f t="shared" si="493"/>
        <v>Ação de licitar</v>
      </c>
      <c r="Z1244" s="47" t="s">
        <v>1621</v>
      </c>
      <c r="AA1244" s="25" t="str">
        <f t="shared" si="488"/>
        <v>null</v>
      </c>
      <c r="AB1244" s="26" t="s">
        <v>0</v>
      </c>
      <c r="AC1244" s="25" t="str">
        <f t="shared" si="489"/>
        <v>null</v>
      </c>
      <c r="AD1244" s="26" t="s">
        <v>0</v>
      </c>
      <c r="AE1244" s="25" t="str">
        <f t="shared" si="496"/>
        <v>null</v>
      </c>
      <c r="AF1244" s="26" t="s">
        <v>0</v>
      </c>
      <c r="AG1244" s="47" t="s">
        <v>2995</v>
      </c>
    </row>
    <row r="1245" spans="1:33" ht="6.9" customHeight="1" x14ac:dyDescent="0.4">
      <c r="A1245" s="4">
        <f>ROW()</f>
        <v>1245</v>
      </c>
      <c r="B1245" s="9" t="s">
        <v>27</v>
      </c>
      <c r="C1245" s="55" t="str">
        <f t="shared" si="497"/>
        <v>p.licitar</v>
      </c>
      <c r="D1245" s="6" t="str">
        <f t="shared" si="495"/>
        <v>é.órgão.ou.entidade.gerenciadora</v>
      </c>
      <c r="E1245" s="8" t="s">
        <v>28</v>
      </c>
      <c r="F1245" s="42" t="str">
        <f t="shared" si="494"/>
        <v>d.licitar</v>
      </c>
      <c r="G1245" s="34" t="s">
        <v>1209</v>
      </c>
      <c r="H1245" s="41" t="s">
        <v>2121</v>
      </c>
      <c r="I1245" s="16" t="str">
        <f t="shared" si="498"/>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0"/>
        <v>Propriedade destinada a licitar: é.órgão.ou.entidade.gerenciadora</v>
      </c>
      <c r="V1245" s="5" t="str">
        <f t="shared" si="491"/>
        <v>Dado para licitar:  órgão.ou.entidade.gerenciadora  Deve ser formatado como (rdfs:Literal  or  xsd:string)</v>
      </c>
      <c r="W1245" s="5" t="s">
        <v>5951</v>
      </c>
      <c r="X1245" s="24" t="str">
        <f t="shared" si="492"/>
        <v>licit.123</v>
      </c>
      <c r="Y1245" s="24" t="str">
        <f t="shared" si="493"/>
        <v>Ação de licitar</v>
      </c>
      <c r="Z1245" s="47" t="s">
        <v>1622</v>
      </c>
      <c r="AA1245" s="25" t="str">
        <f t="shared" si="488"/>
        <v>null</v>
      </c>
      <c r="AB1245" s="26" t="s">
        <v>0</v>
      </c>
      <c r="AC1245" s="25" t="str">
        <f t="shared" si="489"/>
        <v>null</v>
      </c>
      <c r="AD1245" s="26" t="s">
        <v>0</v>
      </c>
      <c r="AE1245" s="25" t="str">
        <f t="shared" si="496"/>
        <v>null</v>
      </c>
      <c r="AF1245" s="26" t="s">
        <v>0</v>
      </c>
      <c r="AG1245" s="47" t="s">
        <v>2996</v>
      </c>
    </row>
    <row r="1246" spans="1:33" ht="6.9" customHeight="1" x14ac:dyDescent="0.4">
      <c r="A1246" s="4">
        <f>ROW()</f>
        <v>1246</v>
      </c>
      <c r="B1246" s="9" t="s">
        <v>27</v>
      </c>
      <c r="C1246" s="55" t="str">
        <f t="shared" si="497"/>
        <v>p.licitar</v>
      </c>
      <c r="D1246" s="6" t="str">
        <f t="shared" si="495"/>
        <v>é.órgão.ou.entidade.participante</v>
      </c>
      <c r="E1246" s="8" t="s">
        <v>28</v>
      </c>
      <c r="F1246" s="42" t="str">
        <f t="shared" si="494"/>
        <v>d.licitar</v>
      </c>
      <c r="G1246" s="34" t="s">
        <v>1210</v>
      </c>
      <c r="H1246" s="41" t="s">
        <v>2121</v>
      </c>
      <c r="I1246" s="16" t="str">
        <f t="shared" si="498"/>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0"/>
        <v>Propriedade destinada a licitar: é.órgão.ou.entidade.participante</v>
      </c>
      <c r="V1246" s="5" t="str">
        <f t="shared" si="491"/>
        <v>Dado para licitar:  órgão.ou.entidade.participante  Deve ser formatado como (rdfs:Literal  or  xsd:string)</v>
      </c>
      <c r="W1246" s="5" t="s">
        <v>5952</v>
      </c>
      <c r="X1246" s="24" t="str">
        <f t="shared" si="492"/>
        <v>licit.124</v>
      </c>
      <c r="Y1246" s="24" t="str">
        <f t="shared" si="493"/>
        <v>Ação de licitar</v>
      </c>
      <c r="Z1246" s="47" t="s">
        <v>1623</v>
      </c>
      <c r="AA1246" s="25" t="str">
        <f t="shared" si="488"/>
        <v>null</v>
      </c>
      <c r="AB1246" s="26" t="s">
        <v>0</v>
      </c>
      <c r="AC1246" s="25" t="str">
        <f t="shared" si="489"/>
        <v>null</v>
      </c>
      <c r="AD1246" s="26" t="s">
        <v>0</v>
      </c>
      <c r="AE1246" s="25" t="str">
        <f t="shared" si="496"/>
        <v>null</v>
      </c>
      <c r="AF1246" s="26" t="s">
        <v>0</v>
      </c>
      <c r="AG1246" s="47" t="s">
        <v>2997</v>
      </c>
    </row>
    <row r="1247" spans="1:33" ht="6.9" customHeight="1" x14ac:dyDescent="0.4">
      <c r="A1247" s="4">
        <f>ROW()</f>
        <v>1247</v>
      </c>
      <c r="B1247" s="9" t="s">
        <v>27</v>
      </c>
      <c r="C1247" s="55" t="str">
        <f t="shared" si="497"/>
        <v>p.licitar</v>
      </c>
      <c r="D1247" s="6" t="str">
        <f t="shared" si="495"/>
        <v>é.órgão.ou.entidade.não.participante</v>
      </c>
      <c r="E1247" s="8" t="s">
        <v>28</v>
      </c>
      <c r="F1247" s="42" t="str">
        <f t="shared" si="494"/>
        <v>d.licitar</v>
      </c>
      <c r="G1247" s="34" t="s">
        <v>1211</v>
      </c>
      <c r="H1247" s="41" t="s">
        <v>2121</v>
      </c>
      <c r="I1247" s="16" t="str">
        <f t="shared" si="498"/>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0"/>
        <v>Propriedade destinada a licitar: é.órgão.ou.entidade.não.participante</v>
      </c>
      <c r="V1247" s="5" t="str">
        <f t="shared" si="491"/>
        <v>Dado para licitar:  órgão.ou.entidade.não.participante  Deve ser formatado como (rdfs:Literal  or  xsd:string)</v>
      </c>
      <c r="W1247" s="5" t="s">
        <v>5953</v>
      </c>
      <c r="X1247" s="24" t="str">
        <f t="shared" si="492"/>
        <v>licit.125</v>
      </c>
      <c r="Y1247" s="24" t="str">
        <f t="shared" si="493"/>
        <v>Ação de licitar</v>
      </c>
      <c r="Z1247" s="47" t="s">
        <v>1624</v>
      </c>
      <c r="AA1247" s="25" t="str">
        <f t="shared" si="488"/>
        <v>null</v>
      </c>
      <c r="AB1247" s="26" t="s">
        <v>0</v>
      </c>
      <c r="AC1247" s="25" t="str">
        <f t="shared" si="489"/>
        <v>null</v>
      </c>
      <c r="AD1247" s="26" t="s">
        <v>0</v>
      </c>
      <c r="AE1247" s="25" t="str">
        <f t="shared" si="496"/>
        <v>null</v>
      </c>
      <c r="AF1247" s="26" t="s">
        <v>0</v>
      </c>
      <c r="AG1247" s="47" t="s">
        <v>2998</v>
      </c>
    </row>
    <row r="1248" spans="1:33" ht="6.9" customHeight="1" x14ac:dyDescent="0.4">
      <c r="A1248" s="4">
        <f>ROW()</f>
        <v>1248</v>
      </c>
      <c r="B1248" s="9" t="s">
        <v>27</v>
      </c>
      <c r="C1248" s="55" t="str">
        <f t="shared" si="497"/>
        <v>p.licitar</v>
      </c>
      <c r="D1248" s="6" t="str">
        <f t="shared" si="495"/>
        <v>é.fase.de.preparação</v>
      </c>
      <c r="E1248" s="8" t="s">
        <v>28</v>
      </c>
      <c r="F1248" s="42" t="str">
        <f t="shared" si="494"/>
        <v>d.licitar</v>
      </c>
      <c r="G1248" s="35" t="s">
        <v>4389</v>
      </c>
      <c r="H1248" s="41" t="s">
        <v>2121</v>
      </c>
      <c r="I1248" s="16" t="str">
        <f t="shared" si="49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0"/>
        <v>Propriedade destinada a licitar: é.fase.de.preparação</v>
      </c>
      <c r="V1248" s="5" t="str">
        <f t="shared" si="491"/>
        <v>Dado para licitar:  fase.de.preparação  Deve ser formatado como (rdfs:Literal  or  xsd:string)</v>
      </c>
      <c r="W1248" s="5" t="s">
        <v>5954</v>
      </c>
      <c r="X1248" s="24" t="str">
        <f t="shared" si="492"/>
        <v>licit.126</v>
      </c>
      <c r="Y1248" s="24" t="str">
        <f t="shared" si="493"/>
        <v>Ação de licitar</v>
      </c>
      <c r="Z1248" s="47" t="s">
        <v>1625</v>
      </c>
      <c r="AA1248" s="25" t="str">
        <f t="shared" si="488"/>
        <v>null</v>
      </c>
      <c r="AB1248" s="26" t="s">
        <v>0</v>
      </c>
      <c r="AC1248" s="25" t="str">
        <f t="shared" si="489"/>
        <v>null</v>
      </c>
      <c r="AD1248" s="26" t="s">
        <v>0</v>
      </c>
      <c r="AE1248" s="25" t="str">
        <f t="shared" si="496"/>
        <v>null</v>
      </c>
      <c r="AF1248" s="26" t="s">
        <v>0</v>
      </c>
      <c r="AG1248" s="47" t="s">
        <v>2999</v>
      </c>
    </row>
    <row r="1249" spans="1:33" ht="6.9" customHeight="1" x14ac:dyDescent="0.4">
      <c r="A1249" s="4">
        <f>ROW()</f>
        <v>1249</v>
      </c>
      <c r="B1249" s="9" t="s">
        <v>27</v>
      </c>
      <c r="C1249" s="55" t="str">
        <f t="shared" si="497"/>
        <v>p.licitar</v>
      </c>
      <c r="D1249" s="6" t="str">
        <f t="shared" si="495"/>
        <v>é.fase.de.divulgação.edital</v>
      </c>
      <c r="E1249" s="8" t="s">
        <v>28</v>
      </c>
      <c r="F1249" s="42" t="str">
        <f t="shared" si="494"/>
        <v>d.licitar</v>
      </c>
      <c r="G1249" s="35" t="s">
        <v>4388</v>
      </c>
      <c r="H1249" s="41" t="s">
        <v>2121</v>
      </c>
      <c r="I1249" s="16" t="str">
        <f t="shared" si="49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0"/>
        <v>Propriedade destinada a licitar: é.fase.de.divulgação.edital</v>
      </c>
      <c r="V1249" s="5" t="str">
        <f t="shared" si="491"/>
        <v>Dado para licitar:  fase.de.divulgação.edital  Deve ser formatado como (rdfs:Literal  or  xsd:string)</v>
      </c>
      <c r="W1249" s="5" t="s">
        <v>5955</v>
      </c>
      <c r="X1249" s="24" t="str">
        <f t="shared" si="492"/>
        <v>licit.127</v>
      </c>
      <c r="Y1249" s="24" t="str">
        <f t="shared" si="493"/>
        <v>Ação de licitar</v>
      </c>
      <c r="Z1249" s="47" t="s">
        <v>1626</v>
      </c>
      <c r="AA1249" s="25" t="str">
        <f t="shared" si="488"/>
        <v>null</v>
      </c>
      <c r="AB1249" s="26" t="s">
        <v>0</v>
      </c>
      <c r="AC1249" s="25" t="str">
        <f t="shared" si="489"/>
        <v>null</v>
      </c>
      <c r="AD1249" s="26" t="s">
        <v>0</v>
      </c>
      <c r="AE1249" s="25" t="str">
        <f t="shared" si="496"/>
        <v>null</v>
      </c>
      <c r="AF1249" s="26" t="s">
        <v>0</v>
      </c>
      <c r="AG1249" s="47" t="s">
        <v>3000</v>
      </c>
    </row>
    <row r="1250" spans="1:33" ht="6.9" customHeight="1" x14ac:dyDescent="0.4">
      <c r="A1250" s="4">
        <f>ROW()</f>
        <v>1250</v>
      </c>
      <c r="B1250" s="9" t="s">
        <v>27</v>
      </c>
      <c r="C1250" s="55" t="str">
        <f t="shared" si="497"/>
        <v>p.licitar</v>
      </c>
      <c r="D1250" s="6" t="str">
        <f t="shared" si="495"/>
        <v>é.fase.de.apresentação</v>
      </c>
      <c r="E1250" s="8" t="s">
        <v>28</v>
      </c>
      <c r="F1250" s="42" t="str">
        <f t="shared" si="494"/>
        <v>d.licitar</v>
      </c>
      <c r="G1250" s="35" t="s">
        <v>4390</v>
      </c>
      <c r="H1250" s="41" t="s">
        <v>2121</v>
      </c>
      <c r="I1250" s="16" t="str">
        <f t="shared" si="49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0"/>
        <v>Propriedade destinada a licitar: é.fase.de.apresentação</v>
      </c>
      <c r="V1250" s="5" t="str">
        <f t="shared" si="491"/>
        <v>Dado para licitar:  fase.de.apresentação  Deve ser formatado como (rdfs:Literal  or  xsd:string)</v>
      </c>
      <c r="W1250" s="5" t="s">
        <v>5956</v>
      </c>
      <c r="X1250" s="24" t="str">
        <f t="shared" si="492"/>
        <v>licit.128</v>
      </c>
      <c r="Y1250" s="24" t="str">
        <f t="shared" si="493"/>
        <v>Ação de licitar</v>
      </c>
      <c r="Z1250" s="47" t="s">
        <v>1627</v>
      </c>
      <c r="AA1250" s="25" t="str">
        <f t="shared" si="488"/>
        <v>null</v>
      </c>
      <c r="AB1250" s="26" t="s">
        <v>0</v>
      </c>
      <c r="AC1250" s="25" t="str">
        <f t="shared" si="489"/>
        <v>null</v>
      </c>
      <c r="AD1250" s="26" t="s">
        <v>0</v>
      </c>
      <c r="AE1250" s="25" t="str">
        <f t="shared" si="496"/>
        <v>null</v>
      </c>
      <c r="AF1250" s="26" t="s">
        <v>0</v>
      </c>
      <c r="AG1250" s="47" t="s">
        <v>3001</v>
      </c>
    </row>
    <row r="1251" spans="1:33" ht="6.9" customHeight="1" x14ac:dyDescent="0.4">
      <c r="A1251" s="4">
        <f>ROW()</f>
        <v>1251</v>
      </c>
      <c r="B1251" s="9" t="s">
        <v>27</v>
      </c>
      <c r="C1251" s="55" t="str">
        <f t="shared" si="497"/>
        <v>p.licitar</v>
      </c>
      <c r="D1251" s="6" t="str">
        <f t="shared" si="495"/>
        <v>é.fase.de.julgamento</v>
      </c>
      <c r="E1251" s="8" t="s">
        <v>28</v>
      </c>
      <c r="F1251" s="42" t="str">
        <f t="shared" si="494"/>
        <v>d.licitar</v>
      </c>
      <c r="G1251" s="35" t="s">
        <v>1212</v>
      </c>
      <c r="H1251" s="41" t="s">
        <v>2121</v>
      </c>
      <c r="I1251" s="16" t="str">
        <f t="shared" si="49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0"/>
        <v>Propriedade destinada a licitar: é.fase.de.julgamento</v>
      </c>
      <c r="V1251" s="5" t="str">
        <f t="shared" si="491"/>
        <v>Dado para licitar:  fase.de.julgamento  Deve ser formatado como (rdfs:Literal  or  xsd:string)</v>
      </c>
      <c r="W1251" s="5" t="s">
        <v>5957</v>
      </c>
      <c r="X1251" s="24" t="str">
        <f t="shared" si="492"/>
        <v>licit.129</v>
      </c>
      <c r="Y1251" s="24" t="str">
        <f t="shared" si="493"/>
        <v>Ação de licitar</v>
      </c>
      <c r="Z1251" s="47" t="s">
        <v>1628</v>
      </c>
      <c r="AA1251" s="25" t="str">
        <f t="shared" si="488"/>
        <v>null</v>
      </c>
      <c r="AB1251" s="26" t="s">
        <v>0</v>
      </c>
      <c r="AC1251" s="25" t="str">
        <f t="shared" si="489"/>
        <v>null</v>
      </c>
      <c r="AD1251" s="26" t="s">
        <v>0</v>
      </c>
      <c r="AE1251" s="25" t="str">
        <f t="shared" si="496"/>
        <v>null</v>
      </c>
      <c r="AF1251" s="26" t="s">
        <v>0</v>
      </c>
      <c r="AG1251" s="47" t="s">
        <v>3002</v>
      </c>
    </row>
    <row r="1252" spans="1:33" ht="6.9" customHeight="1" x14ac:dyDescent="0.4">
      <c r="A1252" s="4">
        <f>ROW()</f>
        <v>1252</v>
      </c>
      <c r="B1252" s="9" t="s">
        <v>27</v>
      </c>
      <c r="C1252" s="55" t="str">
        <f t="shared" si="497"/>
        <v>p.licitar</v>
      </c>
      <c r="D1252" s="6" t="str">
        <f t="shared" si="495"/>
        <v>é.fase.de.habilitação</v>
      </c>
      <c r="E1252" s="8" t="s">
        <v>28</v>
      </c>
      <c r="F1252" s="42" t="str">
        <f t="shared" si="494"/>
        <v>d.licitar</v>
      </c>
      <c r="G1252" s="35" t="s">
        <v>1213</v>
      </c>
      <c r="H1252" s="41" t="s">
        <v>2121</v>
      </c>
      <c r="I1252" s="16" t="str">
        <f t="shared" si="498"/>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0"/>
        <v>Propriedade destinada a licitar: é.fase.de.habilitação</v>
      </c>
      <c r="V1252" s="5" t="str">
        <f t="shared" si="491"/>
        <v>Dado para licitar:  fase.de.habilitação  Deve ser formatado como (rdfs:Literal  or  xsd:string)</v>
      </c>
      <c r="W1252" s="5" t="s">
        <v>5958</v>
      </c>
      <c r="X1252" s="24" t="str">
        <f t="shared" si="492"/>
        <v>licit.130</v>
      </c>
      <c r="Y1252" s="24" t="str">
        <f t="shared" si="493"/>
        <v>Ação de licitar</v>
      </c>
      <c r="Z1252" s="47" t="s">
        <v>1629</v>
      </c>
      <c r="AA1252" s="25" t="str">
        <f t="shared" si="488"/>
        <v>null</v>
      </c>
      <c r="AB1252" s="26" t="s">
        <v>0</v>
      </c>
      <c r="AC1252" s="25" t="str">
        <f t="shared" si="489"/>
        <v>null</v>
      </c>
      <c r="AD1252" s="26" t="s">
        <v>0</v>
      </c>
      <c r="AE1252" s="25" t="str">
        <f t="shared" si="496"/>
        <v>null</v>
      </c>
      <c r="AF1252" s="26" t="s">
        <v>0</v>
      </c>
      <c r="AG1252" s="47" t="s">
        <v>3003</v>
      </c>
    </row>
    <row r="1253" spans="1:33" ht="6.9" customHeight="1" x14ac:dyDescent="0.4">
      <c r="A1253" s="4">
        <f>ROW()</f>
        <v>1253</v>
      </c>
      <c r="B1253" s="9" t="s">
        <v>27</v>
      </c>
      <c r="C1253" s="55" t="str">
        <f t="shared" si="497"/>
        <v>p.licitar</v>
      </c>
      <c r="D1253" s="6" t="str">
        <f t="shared" si="495"/>
        <v>é.fase.recursal</v>
      </c>
      <c r="E1253" s="8" t="s">
        <v>28</v>
      </c>
      <c r="F1253" s="42" t="str">
        <f t="shared" si="494"/>
        <v>d.licitar</v>
      </c>
      <c r="G1253" s="35" t="s">
        <v>4392</v>
      </c>
      <c r="H1253" s="41" t="s">
        <v>2121</v>
      </c>
      <c r="I1253" s="16" t="str">
        <f t="shared" si="498"/>
        <v>null</v>
      </c>
      <c r="J1253" s="15" t="s">
        <v>0</v>
      </c>
      <c r="K1253" s="15" t="s">
        <v>0</v>
      </c>
      <c r="L1253" s="15" t="s">
        <v>0</v>
      </c>
      <c r="M1253" s="15" t="s">
        <v>0</v>
      </c>
      <c r="N1253" s="15" t="s">
        <v>0</v>
      </c>
      <c r="O1253" s="15" t="s">
        <v>0</v>
      </c>
      <c r="P1253" s="15" t="s">
        <v>0</v>
      </c>
      <c r="Q1253" s="15" t="s">
        <v>0</v>
      </c>
      <c r="R1253" s="15" t="s">
        <v>1215</v>
      </c>
      <c r="S1253" s="10" t="s">
        <v>1</v>
      </c>
      <c r="T1253" s="10" t="s">
        <v>32</v>
      </c>
      <c r="U1253" s="5" t="str">
        <f t="shared" si="490"/>
        <v>Propriedade destinada a licitar: é.fase.recursal</v>
      </c>
      <c r="V1253" s="5" t="str">
        <f t="shared" si="491"/>
        <v>Dado para licitar:  fase.recursal  Deve ser formatado como (rdfs:Literal  or  xsd:string)</v>
      </c>
      <c r="W1253" s="5" t="s">
        <v>5959</v>
      </c>
      <c r="X1253" s="24" t="str">
        <f t="shared" si="492"/>
        <v>licit.131</v>
      </c>
      <c r="Y1253" s="24" t="str">
        <f t="shared" si="493"/>
        <v>Ação de licitar</v>
      </c>
      <c r="Z1253" s="47" t="s">
        <v>1630</v>
      </c>
      <c r="AA1253" s="25" t="str">
        <f t="shared" si="488"/>
        <v>null</v>
      </c>
      <c r="AB1253" s="26" t="s">
        <v>0</v>
      </c>
      <c r="AC1253" s="25" t="str">
        <f t="shared" si="489"/>
        <v>null</v>
      </c>
      <c r="AD1253" s="26" t="s">
        <v>0</v>
      </c>
      <c r="AE1253" s="25" t="str">
        <f t="shared" si="496"/>
        <v>null</v>
      </c>
      <c r="AF1253" s="26" t="s">
        <v>0</v>
      </c>
      <c r="AG1253" s="47" t="s">
        <v>3004</v>
      </c>
    </row>
    <row r="1254" spans="1:33" ht="6.9" customHeight="1" x14ac:dyDescent="0.4">
      <c r="A1254" s="4">
        <f>ROW()</f>
        <v>1254</v>
      </c>
      <c r="B1254" s="9" t="s">
        <v>27</v>
      </c>
      <c r="C1254" s="55" t="str">
        <f t="shared" si="497"/>
        <v>p.licitar</v>
      </c>
      <c r="D1254" s="6" t="str">
        <f t="shared" si="495"/>
        <v>é.fase.de.homologação</v>
      </c>
      <c r="E1254" s="8" t="s">
        <v>28</v>
      </c>
      <c r="F1254" s="42" t="str">
        <f t="shared" si="494"/>
        <v>d.licitar</v>
      </c>
      <c r="G1254" s="35" t="s">
        <v>1217</v>
      </c>
      <c r="H1254" s="41" t="s">
        <v>2121</v>
      </c>
      <c r="I1254" s="16" t="str">
        <f t="shared" si="498"/>
        <v>null</v>
      </c>
      <c r="J1254" s="15" t="s">
        <v>0</v>
      </c>
      <c r="K1254" s="15" t="s">
        <v>0</v>
      </c>
      <c r="L1254" s="15" t="s">
        <v>0</v>
      </c>
      <c r="M1254" s="15" t="s">
        <v>0</v>
      </c>
      <c r="N1254" s="15" t="s">
        <v>0</v>
      </c>
      <c r="O1254" s="15" t="s">
        <v>0</v>
      </c>
      <c r="P1254" s="15" t="s">
        <v>0</v>
      </c>
      <c r="Q1254" s="15" t="s">
        <v>0</v>
      </c>
      <c r="R1254" s="15" t="s">
        <v>1216</v>
      </c>
      <c r="S1254" s="10" t="s">
        <v>1</v>
      </c>
      <c r="T1254" s="10" t="s">
        <v>32</v>
      </c>
      <c r="U1254" s="5" t="str">
        <f t="shared" si="490"/>
        <v>Propriedade destinada a licitar: é.fase.de.homologação</v>
      </c>
      <c r="V1254" s="5" t="str">
        <f t="shared" si="491"/>
        <v>Dado para licitar:  fase.de.homologação  Deve ser formatado como (rdfs:Literal  or  xsd:string)</v>
      </c>
      <c r="W1254" s="5" t="s">
        <v>5960</v>
      </c>
      <c r="X1254" s="24" t="str">
        <f t="shared" si="492"/>
        <v>licit.132</v>
      </c>
      <c r="Y1254" s="24" t="str">
        <f t="shared" si="493"/>
        <v>Ação de licitar</v>
      </c>
      <c r="Z1254" s="47" t="s">
        <v>1631</v>
      </c>
      <c r="AA1254" s="25" t="str">
        <f t="shared" si="488"/>
        <v>null</v>
      </c>
      <c r="AB1254" s="26" t="s">
        <v>0</v>
      </c>
      <c r="AC1254" s="25" t="str">
        <f t="shared" si="489"/>
        <v>null</v>
      </c>
      <c r="AD1254" s="26" t="s">
        <v>0</v>
      </c>
      <c r="AE1254" s="25" t="str">
        <f t="shared" si="496"/>
        <v>null</v>
      </c>
      <c r="AF1254" s="26" t="s">
        <v>0</v>
      </c>
      <c r="AG1254" s="47" t="s">
        <v>3005</v>
      </c>
    </row>
    <row r="1255" spans="1:33" ht="6.9" customHeight="1" x14ac:dyDescent="0.4">
      <c r="A1255" s="4">
        <f>ROW()</f>
        <v>1255</v>
      </c>
      <c r="B1255" s="9" t="s">
        <v>27</v>
      </c>
      <c r="C1255" s="54" t="str">
        <f t="shared" si="497"/>
        <v>p.linkar</v>
      </c>
      <c r="D1255" s="6" t="str">
        <f t="shared" si="495"/>
        <v>é.uri</v>
      </c>
      <c r="E1255" s="8" t="s">
        <v>28</v>
      </c>
      <c r="F1255" s="51" t="s">
        <v>3597</v>
      </c>
      <c r="G1255" s="18" t="s">
        <v>185</v>
      </c>
      <c r="H1255" s="41" t="s">
        <v>2121</v>
      </c>
      <c r="I1255" s="16" t="str">
        <f t="shared" si="498"/>
        <v>Functional</v>
      </c>
      <c r="J1255" s="14" t="s">
        <v>29</v>
      </c>
      <c r="K1255" s="13" t="s">
        <v>0</v>
      </c>
      <c r="L1255" s="13" t="s">
        <v>0</v>
      </c>
      <c r="M1255" s="13" t="s">
        <v>0</v>
      </c>
      <c r="N1255" s="13" t="s">
        <v>0</v>
      </c>
      <c r="O1255" s="13" t="s">
        <v>0</v>
      </c>
      <c r="P1255" s="13" t="s">
        <v>0</v>
      </c>
      <c r="Q1255" s="13" t="s">
        <v>0</v>
      </c>
      <c r="R1255" s="15" t="s">
        <v>1208</v>
      </c>
      <c r="S1255" s="10" t="s">
        <v>1</v>
      </c>
      <c r="T1255" s="10" t="s">
        <v>32</v>
      </c>
      <c r="U1255" s="5" t="str">
        <f t="shared" si="490"/>
        <v>Propriedade destinada a linkar: é.uri</v>
      </c>
      <c r="V1255" s="5" t="str">
        <f t="shared" si="491"/>
        <v>Dado para linkar:  uri  Deve ser formatado como (rdfs:Literal  or  xsd:string)</v>
      </c>
      <c r="W1255" s="5" t="s">
        <v>5961</v>
      </c>
      <c r="X1255" s="24" t="str">
        <f t="shared" si="492"/>
        <v>linka.100</v>
      </c>
      <c r="Y1255" s="24" t="str">
        <f t="shared" si="493"/>
        <v>Ação de linkar</v>
      </c>
      <c r="Z1255" s="47" t="s">
        <v>1632</v>
      </c>
      <c r="AA1255" s="25" t="str">
        <f t="shared" si="488"/>
        <v>null</v>
      </c>
      <c r="AB1255" s="26" t="s">
        <v>0</v>
      </c>
      <c r="AC1255" s="25" t="str">
        <f t="shared" si="489"/>
        <v>null</v>
      </c>
      <c r="AD1255" s="26" t="s">
        <v>0</v>
      </c>
      <c r="AE1255" s="25" t="str">
        <f t="shared" si="496"/>
        <v>propriedade</v>
      </c>
      <c r="AF1255" s="26" t="s">
        <v>2421</v>
      </c>
      <c r="AG1255" s="47" t="s">
        <v>3006</v>
      </c>
    </row>
    <row r="1256" spans="1:33" ht="6.9" customHeight="1" x14ac:dyDescent="0.4">
      <c r="A1256" s="4">
        <f>ROW()</f>
        <v>1256</v>
      </c>
      <c r="B1256" s="9" t="s">
        <v>27</v>
      </c>
      <c r="C1256" s="55" t="str">
        <f t="shared" si="497"/>
        <v>p.linkar</v>
      </c>
      <c r="D1256" s="6" t="str">
        <f t="shared" si="495"/>
        <v>é.urn</v>
      </c>
      <c r="E1256" s="8" t="s">
        <v>28</v>
      </c>
      <c r="F1256" s="42" t="str">
        <f>F1255</f>
        <v>d.linkar</v>
      </c>
      <c r="G1256" s="18" t="s">
        <v>186</v>
      </c>
      <c r="H1256" s="41" t="s">
        <v>2121</v>
      </c>
      <c r="I1256" s="16" t="str">
        <f t="shared" si="498"/>
        <v>Functional</v>
      </c>
      <c r="J1256" s="14" t="s">
        <v>29</v>
      </c>
      <c r="K1256" s="13" t="s">
        <v>0</v>
      </c>
      <c r="L1256" s="13" t="s">
        <v>0</v>
      </c>
      <c r="M1256" s="13" t="s">
        <v>0</v>
      </c>
      <c r="N1256" s="13" t="s">
        <v>0</v>
      </c>
      <c r="O1256" s="13" t="s">
        <v>0</v>
      </c>
      <c r="P1256" s="13" t="s">
        <v>0</v>
      </c>
      <c r="Q1256" s="13" t="s">
        <v>0</v>
      </c>
      <c r="R1256" s="15" t="s">
        <v>0</v>
      </c>
      <c r="S1256" s="10" t="s">
        <v>1</v>
      </c>
      <c r="T1256" s="10" t="s">
        <v>32</v>
      </c>
      <c r="U1256" s="5" t="str">
        <f t="shared" si="490"/>
        <v>Propriedade destinada a linkar: é.urn</v>
      </c>
      <c r="V1256" s="5" t="str">
        <f t="shared" si="491"/>
        <v>Dado para linkar:  urn  Deve ser formatado como (rdfs:Literal  or  xsd:string)</v>
      </c>
      <c r="W1256" s="5" t="s">
        <v>5962</v>
      </c>
      <c r="X1256" s="24" t="str">
        <f t="shared" si="492"/>
        <v>linka.101</v>
      </c>
      <c r="Y1256" s="24" t="str">
        <f t="shared" si="493"/>
        <v>Ação de linkar</v>
      </c>
      <c r="Z1256" s="47" t="s">
        <v>1633</v>
      </c>
      <c r="AA1256" s="25" t="str">
        <f t="shared" si="488"/>
        <v>null</v>
      </c>
      <c r="AB1256" s="26" t="s">
        <v>0</v>
      </c>
      <c r="AC1256" s="25" t="str">
        <f t="shared" si="489"/>
        <v>null</v>
      </c>
      <c r="AD1256" s="26" t="s">
        <v>0</v>
      </c>
      <c r="AE1256" s="25" t="str">
        <f t="shared" si="496"/>
        <v>propriedade</v>
      </c>
      <c r="AF1256" s="26" t="s">
        <v>2421</v>
      </c>
      <c r="AG1256" s="47" t="s">
        <v>3007</v>
      </c>
    </row>
    <row r="1257" spans="1:33" ht="6.9" customHeight="1" x14ac:dyDescent="0.4">
      <c r="A1257" s="4">
        <f>ROW()</f>
        <v>1257</v>
      </c>
      <c r="B1257" s="9" t="s">
        <v>27</v>
      </c>
      <c r="C1257" s="55" t="str">
        <f t="shared" si="497"/>
        <v>p.linkar</v>
      </c>
      <c r="D1257" s="6" t="str">
        <f t="shared" si="495"/>
        <v>é.url</v>
      </c>
      <c r="E1257" s="8" t="s">
        <v>28</v>
      </c>
      <c r="F1257" s="42" t="str">
        <f>F1256</f>
        <v>d.linkar</v>
      </c>
      <c r="G1257" s="18" t="s">
        <v>187</v>
      </c>
      <c r="H1257" s="41" t="s">
        <v>2121</v>
      </c>
      <c r="I1257" s="16" t="str">
        <f t="shared" si="498"/>
        <v>Functional</v>
      </c>
      <c r="J1257" s="14" t="s">
        <v>29</v>
      </c>
      <c r="K1257" s="13" t="s">
        <v>0</v>
      </c>
      <c r="L1257" s="13" t="s">
        <v>0</v>
      </c>
      <c r="M1257" s="13" t="s">
        <v>0</v>
      </c>
      <c r="N1257" s="13" t="s">
        <v>0</v>
      </c>
      <c r="O1257" s="13" t="s">
        <v>0</v>
      </c>
      <c r="P1257" s="13" t="s">
        <v>0</v>
      </c>
      <c r="Q1257" s="13" t="s">
        <v>0</v>
      </c>
      <c r="R1257" s="15" t="s">
        <v>0</v>
      </c>
      <c r="S1257" s="10" t="s">
        <v>1</v>
      </c>
      <c r="T1257" s="10" t="s">
        <v>32</v>
      </c>
      <c r="U1257" s="5" t="str">
        <f t="shared" si="490"/>
        <v>Propriedade destinada a linkar: é.url</v>
      </c>
      <c r="V1257" s="5" t="str">
        <f t="shared" si="491"/>
        <v>Dado para linkar:  url  Deve ser formatado como (rdfs:Literal  or  xsd:string)</v>
      </c>
      <c r="W1257" s="5" t="s">
        <v>5963</v>
      </c>
      <c r="X1257" s="24" t="str">
        <f t="shared" si="492"/>
        <v>linka.102</v>
      </c>
      <c r="Y1257" s="24" t="str">
        <f t="shared" si="493"/>
        <v>Ação de linkar</v>
      </c>
      <c r="Z1257" s="47" t="s">
        <v>1634</v>
      </c>
      <c r="AA1257" s="25" t="str">
        <f t="shared" si="488"/>
        <v>null</v>
      </c>
      <c r="AB1257" s="26" t="s">
        <v>0</v>
      </c>
      <c r="AC1257" s="25" t="str">
        <f t="shared" si="489"/>
        <v>null</v>
      </c>
      <c r="AD1257" s="26" t="s">
        <v>0</v>
      </c>
      <c r="AE1257" s="25" t="str">
        <f t="shared" si="496"/>
        <v>propriedade</v>
      </c>
      <c r="AF1257" s="26" t="s">
        <v>2411</v>
      </c>
      <c r="AG1257" s="47" t="s">
        <v>3008</v>
      </c>
    </row>
    <row r="1258" spans="1:33" ht="6.9" customHeight="1" x14ac:dyDescent="0.4">
      <c r="A1258" s="4">
        <f>ROW()</f>
        <v>1258</v>
      </c>
      <c r="B1258" s="9" t="s">
        <v>27</v>
      </c>
      <c r="C1258" s="55" t="str">
        <f t="shared" si="497"/>
        <v>p.linkar</v>
      </c>
      <c r="D1258" s="6" t="str">
        <f t="shared" si="495"/>
        <v>é.iri</v>
      </c>
      <c r="E1258" s="8" t="s">
        <v>28</v>
      </c>
      <c r="F1258" s="42" t="str">
        <f>F1257</f>
        <v>d.linkar</v>
      </c>
      <c r="G1258" s="18" t="s">
        <v>188</v>
      </c>
      <c r="H1258" s="41" t="s">
        <v>2121</v>
      </c>
      <c r="I1258" s="16" t="str">
        <f t="shared" si="498"/>
        <v>Functional</v>
      </c>
      <c r="J1258" s="14" t="s">
        <v>29</v>
      </c>
      <c r="K1258" s="13" t="s">
        <v>0</v>
      </c>
      <c r="L1258" s="13" t="s">
        <v>0</v>
      </c>
      <c r="M1258" s="13" t="s">
        <v>0</v>
      </c>
      <c r="N1258" s="13" t="s">
        <v>0</v>
      </c>
      <c r="O1258" s="13" t="s">
        <v>0</v>
      </c>
      <c r="P1258" s="13" t="s">
        <v>0</v>
      </c>
      <c r="Q1258" s="13" t="s">
        <v>0</v>
      </c>
      <c r="R1258" s="15" t="s">
        <v>0</v>
      </c>
      <c r="S1258" s="10" t="s">
        <v>1</v>
      </c>
      <c r="T1258" s="10" t="s">
        <v>32</v>
      </c>
      <c r="U1258" s="5" t="str">
        <f t="shared" si="490"/>
        <v>Propriedade destinada a linkar: é.iri</v>
      </c>
      <c r="V1258" s="5" t="str">
        <f t="shared" si="491"/>
        <v>Dado para linkar:  iri  Deve ser formatado como (rdfs:Literal  or  xsd:string)</v>
      </c>
      <c r="W1258" s="5" t="s">
        <v>5964</v>
      </c>
      <c r="X1258" s="24" t="str">
        <f t="shared" si="492"/>
        <v>linka.103</v>
      </c>
      <c r="Y1258" s="24" t="str">
        <f t="shared" si="493"/>
        <v>Ação de linkar</v>
      </c>
      <c r="Z1258" s="47" t="s">
        <v>1635</v>
      </c>
      <c r="AA1258" s="25" t="str">
        <f t="shared" si="488"/>
        <v>null</v>
      </c>
      <c r="AB1258" s="26" t="s">
        <v>0</v>
      </c>
      <c r="AC1258" s="25" t="str">
        <f t="shared" si="489"/>
        <v>null</v>
      </c>
      <c r="AD1258" s="26" t="s">
        <v>0</v>
      </c>
      <c r="AE1258" s="25" t="str">
        <f t="shared" si="496"/>
        <v>propriedade</v>
      </c>
      <c r="AF1258" s="26" t="s">
        <v>2421</v>
      </c>
      <c r="AG1258" s="47" t="s">
        <v>3009</v>
      </c>
    </row>
    <row r="1259" spans="1:33" ht="6.9" customHeight="1" x14ac:dyDescent="0.4">
      <c r="A1259" s="4">
        <f>ROW()</f>
        <v>1259</v>
      </c>
      <c r="B1259" s="9" t="s">
        <v>27</v>
      </c>
      <c r="C1259" s="55" t="str">
        <f t="shared" si="497"/>
        <v>p.linkar</v>
      </c>
      <c r="D1259" s="6" t="str">
        <f t="shared" si="495"/>
        <v>é.ipv4</v>
      </c>
      <c r="E1259" s="8" t="s">
        <v>28</v>
      </c>
      <c r="F1259" s="42" t="str">
        <f t="shared" ref="F1259:F1268" si="499">F1257</f>
        <v>d.linkar</v>
      </c>
      <c r="G1259" s="18" t="s">
        <v>189</v>
      </c>
      <c r="H1259" s="41" t="s">
        <v>2121</v>
      </c>
      <c r="I1259" s="16" t="str">
        <f t="shared" si="498"/>
        <v>Functional</v>
      </c>
      <c r="J1259" s="14" t="s">
        <v>29</v>
      </c>
      <c r="K1259" s="13" t="s">
        <v>0</v>
      </c>
      <c r="L1259" s="13" t="s">
        <v>0</v>
      </c>
      <c r="M1259" s="13" t="s">
        <v>0</v>
      </c>
      <c r="N1259" s="13" t="s">
        <v>0</v>
      </c>
      <c r="O1259" s="13" t="s">
        <v>0</v>
      </c>
      <c r="P1259" s="13" t="s">
        <v>0</v>
      </c>
      <c r="Q1259" s="13" t="s">
        <v>0</v>
      </c>
      <c r="R1259" s="15" t="s">
        <v>2403</v>
      </c>
      <c r="S1259" s="10" t="s">
        <v>1</v>
      </c>
      <c r="T1259" s="10" t="s">
        <v>32</v>
      </c>
      <c r="U1259" s="5" t="str">
        <f t="shared" si="490"/>
        <v>Propriedade destinada a linkar: é.ipv4</v>
      </c>
      <c r="V1259" s="5" t="str">
        <f t="shared" si="491"/>
        <v>Dado para linkar:  ipv4  Deve ser formatado como (rdfs:Literal  or  xsd:string)</v>
      </c>
      <c r="W1259" s="5" t="s">
        <v>5965</v>
      </c>
      <c r="X1259" s="24" t="str">
        <f t="shared" si="492"/>
        <v>linka.104</v>
      </c>
      <c r="Y1259" s="24" t="str">
        <f t="shared" si="493"/>
        <v>Ação de linkar</v>
      </c>
      <c r="Z1259" s="47" t="s">
        <v>1636</v>
      </c>
      <c r="AA1259" s="25" t="str">
        <f t="shared" si="488"/>
        <v>null</v>
      </c>
      <c r="AB1259" s="26" t="s">
        <v>0</v>
      </c>
      <c r="AC1259" s="25" t="str">
        <f t="shared" si="489"/>
        <v>null</v>
      </c>
      <c r="AD1259" s="26" t="s">
        <v>0</v>
      </c>
      <c r="AE1259" s="25" t="str">
        <f t="shared" si="496"/>
        <v>propriedade</v>
      </c>
      <c r="AF1259" s="26" t="s">
        <v>2402</v>
      </c>
      <c r="AG1259" s="47" t="s">
        <v>3010</v>
      </c>
    </row>
    <row r="1260" spans="1:33" ht="6.9" customHeight="1" x14ac:dyDescent="0.4">
      <c r="A1260" s="4">
        <f>ROW()</f>
        <v>1260</v>
      </c>
      <c r="B1260" s="9" t="s">
        <v>27</v>
      </c>
      <c r="C1260" s="55" t="str">
        <f t="shared" si="497"/>
        <v>p.linkar</v>
      </c>
      <c r="D1260" s="6" t="str">
        <f t="shared" si="495"/>
        <v>é.ipv6</v>
      </c>
      <c r="E1260" s="8" t="s">
        <v>28</v>
      </c>
      <c r="F1260" s="42" t="str">
        <f t="shared" si="499"/>
        <v>d.linkar</v>
      </c>
      <c r="G1260" s="18" t="s">
        <v>190</v>
      </c>
      <c r="H1260" s="41" t="s">
        <v>2121</v>
      </c>
      <c r="I1260" s="16" t="str">
        <f t="shared" si="498"/>
        <v>Functional</v>
      </c>
      <c r="J1260" s="14" t="s">
        <v>29</v>
      </c>
      <c r="K1260" s="13" t="s">
        <v>0</v>
      </c>
      <c r="L1260" s="13" t="s">
        <v>0</v>
      </c>
      <c r="M1260" s="13" t="s">
        <v>0</v>
      </c>
      <c r="N1260" s="13" t="s">
        <v>0</v>
      </c>
      <c r="O1260" s="13" t="s">
        <v>0</v>
      </c>
      <c r="P1260" s="13" t="s">
        <v>0</v>
      </c>
      <c r="Q1260" s="13" t="s">
        <v>0</v>
      </c>
      <c r="R1260" s="15" t="s">
        <v>2403</v>
      </c>
      <c r="S1260" s="10" t="s">
        <v>1</v>
      </c>
      <c r="T1260" s="10" t="s">
        <v>32</v>
      </c>
      <c r="U1260" s="5" t="str">
        <f t="shared" si="490"/>
        <v>Propriedade destinada a linkar: é.ipv6</v>
      </c>
      <c r="V1260" s="5" t="str">
        <f t="shared" si="491"/>
        <v>Dado para linkar:  ipv6  Deve ser formatado como (rdfs:Literal  or  xsd:string)</v>
      </c>
      <c r="W1260" s="5" t="s">
        <v>5966</v>
      </c>
      <c r="X1260" s="24" t="str">
        <f t="shared" si="492"/>
        <v>linka.105</v>
      </c>
      <c r="Y1260" s="24" t="str">
        <f t="shared" si="493"/>
        <v>Ação de linkar</v>
      </c>
      <c r="Z1260" s="47" t="s">
        <v>1637</v>
      </c>
      <c r="AA1260" s="25" t="str">
        <f t="shared" si="488"/>
        <v>null</v>
      </c>
      <c r="AB1260" s="26" t="s">
        <v>0</v>
      </c>
      <c r="AC1260" s="25" t="str">
        <f t="shared" si="489"/>
        <v>null</v>
      </c>
      <c r="AD1260" s="26" t="s">
        <v>0</v>
      </c>
      <c r="AE1260" s="25" t="str">
        <f t="shared" si="496"/>
        <v>propriedade</v>
      </c>
      <c r="AF1260" s="26" t="s">
        <v>2402</v>
      </c>
      <c r="AG1260" s="47" t="s">
        <v>3011</v>
      </c>
    </row>
    <row r="1261" spans="1:33" ht="6.9" customHeight="1" x14ac:dyDescent="0.4">
      <c r="A1261" s="4">
        <f>ROW()</f>
        <v>1261</v>
      </c>
      <c r="B1261" s="9" t="s">
        <v>27</v>
      </c>
      <c r="C1261" s="55" t="str">
        <f t="shared" si="497"/>
        <v>p.linkar</v>
      </c>
      <c r="D1261" s="6" t="str">
        <f t="shared" si="495"/>
        <v>é.endereço.ip</v>
      </c>
      <c r="E1261" s="8" t="s">
        <v>28</v>
      </c>
      <c r="F1261" s="42" t="str">
        <f t="shared" si="499"/>
        <v>d.linkar</v>
      </c>
      <c r="G1261" s="18" t="s">
        <v>2401</v>
      </c>
      <c r="H1261" s="41" t="s">
        <v>2121</v>
      </c>
      <c r="I1261" s="16" t="str">
        <f t="shared" si="498"/>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0"/>
        <v>Propriedade destinada a linkar: é.endereço.ip</v>
      </c>
      <c r="V1261" s="5" t="str">
        <f t="shared" si="491"/>
        <v>Dado para linkar:  endereço.ip  Deve ser formatado como (rdfs:Literal  or  xsd:string)</v>
      </c>
      <c r="W1261" s="5" t="s">
        <v>5967</v>
      </c>
      <c r="X1261" s="24" t="str">
        <f t="shared" si="492"/>
        <v>linka.106</v>
      </c>
      <c r="Y1261" s="24" t="str">
        <f t="shared" si="493"/>
        <v>Ação de linkar</v>
      </c>
      <c r="Z1261" s="47" t="s">
        <v>2404</v>
      </c>
      <c r="AA1261" s="25" t="str">
        <f t="shared" si="488"/>
        <v>null</v>
      </c>
      <c r="AB1261" s="26" t="s">
        <v>0</v>
      </c>
      <c r="AC1261" s="25" t="str">
        <f t="shared" si="489"/>
        <v>null</v>
      </c>
      <c r="AD1261" s="26" t="s">
        <v>0</v>
      </c>
      <c r="AE1261" s="25" t="str">
        <f t="shared" si="496"/>
        <v>propriedade</v>
      </c>
      <c r="AF1261" s="26" t="s">
        <v>2402</v>
      </c>
      <c r="AG1261" s="47" t="s">
        <v>3012</v>
      </c>
    </row>
    <row r="1262" spans="1:33" ht="6.9" customHeight="1" x14ac:dyDescent="0.4">
      <c r="A1262" s="4">
        <f>ROW()</f>
        <v>1262</v>
      </c>
      <c r="B1262" s="9" t="s">
        <v>27</v>
      </c>
      <c r="C1262" s="55" t="str">
        <f t="shared" si="497"/>
        <v>p.linkar</v>
      </c>
      <c r="D1262" s="6" t="str">
        <f t="shared" si="495"/>
        <v>é.hipervínculo</v>
      </c>
      <c r="E1262" s="8" t="s">
        <v>28</v>
      </c>
      <c r="F1262" s="42" t="str">
        <f t="shared" si="499"/>
        <v>d.linkar</v>
      </c>
      <c r="G1262" s="18" t="s">
        <v>191</v>
      </c>
      <c r="H1262" s="41" t="s">
        <v>2121</v>
      </c>
      <c r="I1262" s="16" t="str">
        <f t="shared" si="498"/>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0"/>
        <v>Propriedade destinada a linkar: é.hipervínculo</v>
      </c>
      <c r="V1262" s="5" t="str">
        <f t="shared" si="491"/>
        <v>Dado para linkar:  hipervínculo  Deve ser formatado como (rdfs:Literal  or  xsd:string)</v>
      </c>
      <c r="W1262" s="5" t="s">
        <v>5968</v>
      </c>
      <c r="X1262" s="24" t="str">
        <f t="shared" si="492"/>
        <v>linka.107</v>
      </c>
      <c r="Y1262" s="24" t="str">
        <f t="shared" si="493"/>
        <v>Ação de linkar</v>
      </c>
      <c r="Z1262" s="47" t="s">
        <v>1638</v>
      </c>
      <c r="AA1262" s="25" t="str">
        <f t="shared" si="488"/>
        <v>null</v>
      </c>
      <c r="AB1262" s="26" t="s">
        <v>0</v>
      </c>
      <c r="AC1262" s="25" t="str">
        <f t="shared" si="489"/>
        <v>null</v>
      </c>
      <c r="AD1262" s="26" t="s">
        <v>0</v>
      </c>
      <c r="AE1262" s="25" t="str">
        <f t="shared" si="496"/>
        <v>null</v>
      </c>
      <c r="AF1262" s="26" t="s">
        <v>0</v>
      </c>
      <c r="AG1262" s="47" t="s">
        <v>3013</v>
      </c>
    </row>
    <row r="1263" spans="1:33" ht="6.9" customHeight="1" x14ac:dyDescent="0.4">
      <c r="A1263" s="4">
        <f>ROW()</f>
        <v>1263</v>
      </c>
      <c r="B1263" s="9" t="s">
        <v>27</v>
      </c>
      <c r="C1263" s="55" t="str">
        <f t="shared" si="497"/>
        <v>p.linkar</v>
      </c>
      <c r="D1263" s="6" t="str">
        <f t="shared" si="495"/>
        <v>é.link</v>
      </c>
      <c r="E1263" s="8" t="s">
        <v>28</v>
      </c>
      <c r="F1263" s="42" t="str">
        <f t="shared" si="499"/>
        <v>d.linkar</v>
      </c>
      <c r="G1263" s="18" t="s">
        <v>192</v>
      </c>
      <c r="H1263" s="41" t="s">
        <v>2121</v>
      </c>
      <c r="I1263" s="16" t="str">
        <f t="shared" si="498"/>
        <v>Functional</v>
      </c>
      <c r="J1263" s="14" t="s">
        <v>29</v>
      </c>
      <c r="K1263" s="13" t="s">
        <v>0</v>
      </c>
      <c r="L1263" s="13" t="s">
        <v>0</v>
      </c>
      <c r="M1263" s="13" t="s">
        <v>0</v>
      </c>
      <c r="N1263" s="13" t="s">
        <v>0</v>
      </c>
      <c r="O1263" s="13" t="s">
        <v>0</v>
      </c>
      <c r="P1263" s="13" t="s">
        <v>0</v>
      </c>
      <c r="Q1263" s="13" t="s">
        <v>0</v>
      </c>
      <c r="R1263" s="15" t="s">
        <v>1207</v>
      </c>
      <c r="S1263" s="10" t="s">
        <v>1</v>
      </c>
      <c r="T1263" s="10" t="s">
        <v>32</v>
      </c>
      <c r="U1263" s="5" t="str">
        <f t="shared" si="490"/>
        <v>Propriedade destinada a linkar: é.link</v>
      </c>
      <c r="V1263" s="5" t="str">
        <f t="shared" si="491"/>
        <v>Dado para linkar:  link  Deve ser formatado como (rdfs:Literal  or  xsd:string)</v>
      </c>
      <c r="W1263" s="5" t="s">
        <v>5969</v>
      </c>
      <c r="X1263" s="24" t="str">
        <f t="shared" si="492"/>
        <v>linka.108</v>
      </c>
      <c r="Y1263" s="24" t="str">
        <f t="shared" si="493"/>
        <v>Ação de linkar</v>
      </c>
      <c r="Z1263" s="47" t="s">
        <v>1639</v>
      </c>
      <c r="AA1263" s="25" t="str">
        <f t="shared" si="488"/>
        <v>null</v>
      </c>
      <c r="AB1263" s="26" t="s">
        <v>0</v>
      </c>
      <c r="AC1263" s="25" t="str">
        <f t="shared" si="489"/>
        <v>null</v>
      </c>
      <c r="AD1263" s="26" t="s">
        <v>0</v>
      </c>
      <c r="AE1263" s="25" t="str">
        <f t="shared" si="496"/>
        <v>null</v>
      </c>
      <c r="AF1263" s="26" t="s">
        <v>0</v>
      </c>
      <c r="AG1263" s="47" t="s">
        <v>3014</v>
      </c>
    </row>
    <row r="1264" spans="1:33" ht="6.9" customHeight="1" x14ac:dyDescent="0.4">
      <c r="A1264" s="4">
        <f>ROW()</f>
        <v>1264</v>
      </c>
      <c r="B1264" s="9" t="s">
        <v>27</v>
      </c>
      <c r="C1264" s="55" t="str">
        <f t="shared" si="497"/>
        <v>p.linkar</v>
      </c>
      <c r="D1264" s="6" t="str">
        <f t="shared" si="495"/>
        <v>é.orcid</v>
      </c>
      <c r="E1264" s="8" t="s">
        <v>28</v>
      </c>
      <c r="F1264" s="42" t="str">
        <f t="shared" si="499"/>
        <v>d.linkar</v>
      </c>
      <c r="G1264" s="18" t="s">
        <v>193</v>
      </c>
      <c r="H1264" s="41" t="s">
        <v>2121</v>
      </c>
      <c r="I1264" s="16" t="str">
        <f t="shared" si="498"/>
        <v>Functional</v>
      </c>
      <c r="J1264" s="14" t="s">
        <v>29</v>
      </c>
      <c r="K1264" s="13" t="s">
        <v>281</v>
      </c>
      <c r="L1264" s="13" t="s">
        <v>0</v>
      </c>
      <c r="M1264" s="13" t="s">
        <v>0</v>
      </c>
      <c r="N1264" s="13" t="s">
        <v>0</v>
      </c>
      <c r="O1264" s="13" t="s">
        <v>0</v>
      </c>
      <c r="P1264" s="13" t="s">
        <v>0</v>
      </c>
      <c r="Q1264" s="13" t="s">
        <v>0</v>
      </c>
      <c r="R1264" s="15" t="s">
        <v>0</v>
      </c>
      <c r="S1264" s="10" t="s">
        <v>1</v>
      </c>
      <c r="T1264" s="10" t="s">
        <v>32</v>
      </c>
      <c r="U1264" s="5" t="str">
        <f t="shared" si="490"/>
        <v>Propriedade destinada a linkar: é.orcid</v>
      </c>
      <c r="V1264" s="5" t="str">
        <f t="shared" si="491"/>
        <v>Dado para linkar:  orcid  Deve ser formatado como (rdfs:Literal  or  xsd:string)</v>
      </c>
      <c r="W1264" s="5" t="s">
        <v>5970</v>
      </c>
      <c r="X1264" s="24" t="str">
        <f t="shared" si="492"/>
        <v>linka.109</v>
      </c>
      <c r="Y1264" s="24" t="str">
        <f t="shared" si="493"/>
        <v>Ação de linkar</v>
      </c>
      <c r="Z1264" s="47" t="s">
        <v>1640</v>
      </c>
      <c r="AA1264" s="25" t="str">
        <f t="shared" si="488"/>
        <v>null</v>
      </c>
      <c r="AB1264" s="26" t="s">
        <v>0</v>
      </c>
      <c r="AC1264" s="25" t="str">
        <f t="shared" si="489"/>
        <v>null</v>
      </c>
      <c r="AD1264" s="26" t="s">
        <v>0</v>
      </c>
      <c r="AE1264" s="25" t="str">
        <f t="shared" si="496"/>
        <v>null</v>
      </c>
      <c r="AF1264" s="26" t="s">
        <v>0</v>
      </c>
      <c r="AG1264" s="47" t="s">
        <v>3015</v>
      </c>
    </row>
    <row r="1265" spans="1:33" ht="6.9" customHeight="1" x14ac:dyDescent="0.4">
      <c r="A1265" s="4">
        <f>ROW()</f>
        <v>1265</v>
      </c>
      <c r="B1265" s="9" t="s">
        <v>27</v>
      </c>
      <c r="C1265" s="55" t="str">
        <f t="shared" si="497"/>
        <v>p.linkar</v>
      </c>
      <c r="D1265" s="6" t="str">
        <f t="shared" si="495"/>
        <v>é.lattes</v>
      </c>
      <c r="E1265" s="8" t="s">
        <v>28</v>
      </c>
      <c r="F1265" s="42" t="str">
        <f t="shared" si="499"/>
        <v>d.linkar</v>
      </c>
      <c r="G1265" s="18" t="s">
        <v>194</v>
      </c>
      <c r="H1265" s="41" t="s">
        <v>2121</v>
      </c>
      <c r="I1265" s="16" t="str">
        <f t="shared" si="498"/>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0"/>
        <v>Propriedade destinada a linkar: é.lattes</v>
      </c>
      <c r="V1265" s="5" t="str">
        <f t="shared" si="491"/>
        <v>Dado para linkar:  lattes  Deve ser formatado como (rdfs:Literal  or  xsd:string)</v>
      </c>
      <c r="W1265" s="5" t="s">
        <v>5971</v>
      </c>
      <c r="X1265" s="24" t="str">
        <f t="shared" si="492"/>
        <v>linka.110</v>
      </c>
      <c r="Y1265" s="24" t="str">
        <f t="shared" si="493"/>
        <v>Ação de linkar</v>
      </c>
      <c r="Z1265" s="47" t="s">
        <v>1641</v>
      </c>
      <c r="AA1265" s="25" t="str">
        <f t="shared" si="488"/>
        <v>null</v>
      </c>
      <c r="AB1265" s="26" t="s">
        <v>0</v>
      </c>
      <c r="AC1265" s="25" t="str">
        <f t="shared" si="489"/>
        <v>null</v>
      </c>
      <c r="AD1265" s="26" t="s">
        <v>0</v>
      </c>
      <c r="AE1265" s="25" t="str">
        <f t="shared" si="496"/>
        <v>null</v>
      </c>
      <c r="AF1265" s="26" t="s">
        <v>0</v>
      </c>
      <c r="AG1265" s="47" t="s">
        <v>3016</v>
      </c>
    </row>
    <row r="1266" spans="1:33" ht="6.9" customHeight="1" x14ac:dyDescent="0.4">
      <c r="A1266" s="4">
        <f>ROW()</f>
        <v>1266</v>
      </c>
      <c r="B1266" s="9" t="s">
        <v>27</v>
      </c>
      <c r="C1266" s="55" t="str">
        <f t="shared" si="497"/>
        <v>p.linkar</v>
      </c>
      <c r="D1266" s="6" t="str">
        <f t="shared" si="495"/>
        <v>é.protocolo.http</v>
      </c>
      <c r="E1266" s="8" t="s">
        <v>28</v>
      </c>
      <c r="F1266" s="42" t="str">
        <f t="shared" si="499"/>
        <v>d.linkar</v>
      </c>
      <c r="G1266" s="18" t="s">
        <v>799</v>
      </c>
      <c r="H1266" s="41" t="s">
        <v>2121</v>
      </c>
      <c r="I1266" s="16" t="str">
        <f t="shared" si="498"/>
        <v>null</v>
      </c>
      <c r="J1266" s="13" t="s">
        <v>0</v>
      </c>
      <c r="K1266" s="13" t="s">
        <v>0</v>
      </c>
      <c r="L1266" s="13" t="s">
        <v>0</v>
      </c>
      <c r="M1266" s="13" t="s">
        <v>0</v>
      </c>
      <c r="N1266" s="13" t="s">
        <v>0</v>
      </c>
      <c r="O1266" s="13" t="s">
        <v>0</v>
      </c>
      <c r="P1266" s="13" t="s">
        <v>0</v>
      </c>
      <c r="Q1266" s="13" t="s">
        <v>0</v>
      </c>
      <c r="R1266" s="15" t="s">
        <v>0</v>
      </c>
      <c r="S1266" s="10" t="s">
        <v>1</v>
      </c>
      <c r="T1266" s="10" t="s">
        <v>32</v>
      </c>
      <c r="U1266" s="5" t="str">
        <f t="shared" si="490"/>
        <v>Propriedade destinada a linkar: é.protocolo.http</v>
      </c>
      <c r="V1266" s="5" t="str">
        <f t="shared" si="491"/>
        <v>Dado para linkar:  protocolo.http  Deve ser formatado como (rdfs:Literal  or  xsd:string)</v>
      </c>
      <c r="W1266" s="5" t="s">
        <v>5972</v>
      </c>
      <c r="X1266" s="24" t="str">
        <f t="shared" si="492"/>
        <v>linka.111</v>
      </c>
      <c r="Y1266" s="24" t="str">
        <f t="shared" si="493"/>
        <v>Ação de linkar</v>
      </c>
      <c r="Z1266" s="47" t="s">
        <v>1642</v>
      </c>
      <c r="AA1266" s="25" t="str">
        <f t="shared" si="488"/>
        <v>null</v>
      </c>
      <c r="AB1266" s="26" t="s">
        <v>0</v>
      </c>
      <c r="AC1266" s="25" t="str">
        <f t="shared" si="489"/>
        <v>null</v>
      </c>
      <c r="AD1266" s="26" t="s">
        <v>0</v>
      </c>
      <c r="AE1266" s="25" t="str">
        <f t="shared" si="496"/>
        <v>null</v>
      </c>
      <c r="AF1266" s="26" t="s">
        <v>0</v>
      </c>
      <c r="AG1266" s="47" t="s">
        <v>3017</v>
      </c>
    </row>
    <row r="1267" spans="1:33" ht="6.9" customHeight="1" x14ac:dyDescent="0.4">
      <c r="A1267" s="4">
        <f>ROW()</f>
        <v>1267</v>
      </c>
      <c r="B1267" s="9" t="s">
        <v>27</v>
      </c>
      <c r="C1267" s="55" t="str">
        <f t="shared" si="497"/>
        <v>p.linkar</v>
      </c>
      <c r="D1267" s="6" t="str">
        <f t="shared" si="495"/>
        <v>é.protocolo.https</v>
      </c>
      <c r="E1267" s="8" t="s">
        <v>28</v>
      </c>
      <c r="F1267" s="42" t="str">
        <f t="shared" si="499"/>
        <v>d.linkar</v>
      </c>
      <c r="G1267" s="18" t="s">
        <v>800</v>
      </c>
      <c r="H1267" s="41" t="s">
        <v>2121</v>
      </c>
      <c r="I1267" s="16" t="str">
        <f t="shared" si="498"/>
        <v>null</v>
      </c>
      <c r="J1267" s="13" t="s">
        <v>0</v>
      </c>
      <c r="K1267" s="13" t="s">
        <v>0</v>
      </c>
      <c r="L1267" s="13" t="s">
        <v>0</v>
      </c>
      <c r="M1267" s="13" t="s">
        <v>0</v>
      </c>
      <c r="N1267" s="13" t="s">
        <v>0</v>
      </c>
      <c r="O1267" s="13" t="s">
        <v>0</v>
      </c>
      <c r="P1267" s="13" t="s">
        <v>0</v>
      </c>
      <c r="Q1267" s="13" t="s">
        <v>0</v>
      </c>
      <c r="R1267" s="15" t="s">
        <v>0</v>
      </c>
      <c r="S1267" s="10" t="s">
        <v>1</v>
      </c>
      <c r="T1267" s="10" t="s">
        <v>32</v>
      </c>
      <c r="U1267" s="5" t="str">
        <f t="shared" si="490"/>
        <v>Propriedade destinada a linkar: é.protocolo.https</v>
      </c>
      <c r="V1267" s="5" t="str">
        <f t="shared" si="491"/>
        <v>Dado para linkar:  protocolo.https  Deve ser formatado como (rdfs:Literal  or  xsd:string)</v>
      </c>
      <c r="W1267" s="5" t="s">
        <v>5973</v>
      </c>
      <c r="X1267" s="24" t="str">
        <f t="shared" si="492"/>
        <v>linka.112</v>
      </c>
      <c r="Y1267" s="24" t="str">
        <f t="shared" si="493"/>
        <v>Ação de linkar</v>
      </c>
      <c r="Z1267" s="47" t="s">
        <v>1643</v>
      </c>
      <c r="AA1267" s="25" t="str">
        <f t="shared" si="488"/>
        <v>null</v>
      </c>
      <c r="AB1267" s="26" t="s">
        <v>0</v>
      </c>
      <c r="AC1267" s="25" t="str">
        <f t="shared" si="489"/>
        <v>null</v>
      </c>
      <c r="AD1267" s="26" t="s">
        <v>0</v>
      </c>
      <c r="AE1267" s="25" t="str">
        <f t="shared" si="496"/>
        <v>null</v>
      </c>
      <c r="AF1267" s="26" t="s">
        <v>0</v>
      </c>
      <c r="AG1267" s="47" t="s">
        <v>3018</v>
      </c>
    </row>
    <row r="1268" spans="1:33" ht="6.9" customHeight="1" x14ac:dyDescent="0.4">
      <c r="A1268" s="4">
        <f>ROW()</f>
        <v>1268</v>
      </c>
      <c r="B1268" s="9" t="s">
        <v>27</v>
      </c>
      <c r="C1268" s="55" t="str">
        <f t="shared" si="497"/>
        <v>p.linkar</v>
      </c>
      <c r="D1268" s="6" t="str">
        <f t="shared" si="495"/>
        <v>é.protocolo.ftp</v>
      </c>
      <c r="E1268" s="8" t="s">
        <v>28</v>
      </c>
      <c r="F1268" s="42" t="str">
        <f t="shared" si="499"/>
        <v>d.linkar</v>
      </c>
      <c r="G1268" s="18" t="s">
        <v>801</v>
      </c>
      <c r="H1268" s="41" t="s">
        <v>2121</v>
      </c>
      <c r="I1268" s="16" t="str">
        <f t="shared" si="498"/>
        <v>null</v>
      </c>
      <c r="J1268" s="13" t="s">
        <v>0</v>
      </c>
      <c r="K1268" s="13" t="s">
        <v>0</v>
      </c>
      <c r="L1268" s="13" t="s">
        <v>0</v>
      </c>
      <c r="M1268" s="13" t="s">
        <v>0</v>
      </c>
      <c r="N1268" s="13" t="s">
        <v>0</v>
      </c>
      <c r="O1268" s="13" t="s">
        <v>0</v>
      </c>
      <c r="P1268" s="13" t="s">
        <v>0</v>
      </c>
      <c r="Q1268" s="13" t="s">
        <v>0</v>
      </c>
      <c r="R1268" s="15" t="s">
        <v>0</v>
      </c>
      <c r="S1268" s="10" t="s">
        <v>1</v>
      </c>
      <c r="T1268" s="10" t="s">
        <v>32</v>
      </c>
      <c r="U1268" s="5" t="str">
        <f t="shared" si="490"/>
        <v>Propriedade destinada a linkar: é.protocolo.ftp</v>
      </c>
      <c r="V1268" s="5" t="str">
        <f t="shared" si="491"/>
        <v>Dado para linkar:  protocolo.ftp  Deve ser formatado como (rdfs:Literal  or  xsd:string)</v>
      </c>
      <c r="W1268" s="5" t="s">
        <v>5974</v>
      </c>
      <c r="X1268" s="24" t="str">
        <f t="shared" si="492"/>
        <v>linka.113</v>
      </c>
      <c r="Y1268" s="24" t="str">
        <f t="shared" si="493"/>
        <v>Ação de linkar</v>
      </c>
      <c r="Z1268" s="47" t="s">
        <v>802</v>
      </c>
      <c r="AA1268" s="25" t="str">
        <f t="shared" si="488"/>
        <v>null</v>
      </c>
      <c r="AB1268" s="26" t="s">
        <v>0</v>
      </c>
      <c r="AC1268" s="25" t="str">
        <f t="shared" si="489"/>
        <v>null</v>
      </c>
      <c r="AD1268" s="26" t="s">
        <v>0</v>
      </c>
      <c r="AE1268" s="25" t="str">
        <f t="shared" si="496"/>
        <v>null</v>
      </c>
      <c r="AF1268" s="26" t="s">
        <v>0</v>
      </c>
      <c r="AG1268" s="47" t="s">
        <v>802</v>
      </c>
    </row>
    <row r="1269" spans="1:33" ht="6.9" customHeight="1" x14ac:dyDescent="0.4">
      <c r="A1269" s="4">
        <f>ROW()</f>
        <v>1269</v>
      </c>
      <c r="B1269" s="9" t="s">
        <v>27</v>
      </c>
      <c r="C1269" s="54" t="str">
        <f t="shared" si="497"/>
        <v>p.listar</v>
      </c>
      <c r="D1269" s="6" t="str">
        <f t="shared" si="495"/>
        <v>é.lista</v>
      </c>
      <c r="E1269" s="8" t="s">
        <v>28</v>
      </c>
      <c r="F1269" s="50" t="s">
        <v>3598</v>
      </c>
      <c r="G1269" s="17" t="s">
        <v>412</v>
      </c>
      <c r="H1269" s="41" t="s">
        <v>2121</v>
      </c>
      <c r="I1269" s="16" t="str">
        <f t="shared" si="49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90"/>
        <v>Propriedade destinada a listar: é.lista</v>
      </c>
      <c r="V1269" s="5" t="str">
        <f t="shared" si="491"/>
        <v>Dado para listar:  lista  Deve ser formatado como (rdfs:Literal  or  xsd:string)</v>
      </c>
      <c r="W1269" s="5" t="s">
        <v>5975</v>
      </c>
      <c r="X1269" s="24" t="str">
        <f t="shared" si="492"/>
        <v>lista.100</v>
      </c>
      <c r="Y1269" s="24" t="str">
        <f t="shared" si="493"/>
        <v>Ação de listar</v>
      </c>
      <c r="Z1269" s="47" t="s">
        <v>1644</v>
      </c>
      <c r="AA1269" s="25" t="str">
        <f t="shared" si="488"/>
        <v>null</v>
      </c>
      <c r="AB1269" s="26" t="s">
        <v>0</v>
      </c>
      <c r="AC1269" s="25" t="str">
        <f t="shared" si="489"/>
        <v>null</v>
      </c>
      <c r="AD1269" s="26" t="s">
        <v>0</v>
      </c>
      <c r="AE1269" s="25" t="str">
        <f t="shared" si="496"/>
        <v>null</v>
      </c>
      <c r="AF1269" s="26" t="s">
        <v>0</v>
      </c>
      <c r="AG1269" s="47" t="s">
        <v>3019</v>
      </c>
    </row>
    <row r="1270" spans="1:33" ht="6.9" customHeight="1" x14ac:dyDescent="0.4">
      <c r="A1270" s="4">
        <f>ROW()</f>
        <v>1270</v>
      </c>
      <c r="B1270" s="9" t="s">
        <v>27</v>
      </c>
      <c r="C1270" s="55" t="str">
        <f t="shared" si="497"/>
        <v>p.listar</v>
      </c>
      <c r="D1270" s="6" t="str">
        <f t="shared" si="495"/>
        <v>é.classificação</v>
      </c>
      <c r="E1270" s="8" t="s">
        <v>28</v>
      </c>
      <c r="F1270" s="42" t="str">
        <f>F1269</f>
        <v>d.listar</v>
      </c>
      <c r="G1270" s="17" t="s">
        <v>4391</v>
      </c>
      <c r="H1270" s="41" t="s">
        <v>2121</v>
      </c>
      <c r="I1270" s="16" t="str">
        <f t="shared" si="49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90"/>
        <v>Propriedade destinada a listar: é.classificação</v>
      </c>
      <c r="V1270" s="5" t="str">
        <f t="shared" si="491"/>
        <v>Dado para listar:  classificação  Deve ser formatado como (rdfs:Literal  or  xsd:string)</v>
      </c>
      <c r="W1270" s="5" t="s">
        <v>5976</v>
      </c>
      <c r="X1270" s="24" t="str">
        <f t="shared" si="492"/>
        <v>lista.101</v>
      </c>
      <c r="Y1270" s="24" t="str">
        <f t="shared" si="493"/>
        <v>Ação de listar</v>
      </c>
      <c r="Z1270" s="47" t="s">
        <v>1645</v>
      </c>
      <c r="AA1270" s="25" t="str">
        <f t="shared" si="488"/>
        <v>null</v>
      </c>
      <c r="AB1270" s="26" t="s">
        <v>0</v>
      </c>
      <c r="AC1270" s="25" t="str">
        <f t="shared" si="489"/>
        <v>null</v>
      </c>
      <c r="AD1270" s="26" t="s">
        <v>0</v>
      </c>
      <c r="AE1270" s="25" t="str">
        <f t="shared" si="496"/>
        <v>null</v>
      </c>
      <c r="AF1270" s="26" t="s">
        <v>0</v>
      </c>
      <c r="AG1270" s="47" t="s">
        <v>3020</v>
      </c>
    </row>
    <row r="1271" spans="1:33" ht="6.9" customHeight="1" x14ac:dyDescent="0.4">
      <c r="A1271" s="4">
        <f>ROW()</f>
        <v>1271</v>
      </c>
      <c r="B1271" s="9" t="s">
        <v>27</v>
      </c>
      <c r="C1271" s="55" t="str">
        <f t="shared" si="497"/>
        <v>p.listar</v>
      </c>
      <c r="D1271" s="6" t="str">
        <f t="shared" si="495"/>
        <v>é.ordenamento</v>
      </c>
      <c r="E1271" s="8" t="s">
        <v>28</v>
      </c>
      <c r="F1271" s="42" t="str">
        <f>F1270</f>
        <v>d.listar</v>
      </c>
      <c r="G1271" s="17" t="s">
        <v>415</v>
      </c>
      <c r="H1271" s="41" t="s">
        <v>2121</v>
      </c>
      <c r="I1271" s="16" t="str">
        <f t="shared" si="49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490"/>
        <v>Propriedade destinada a listar: é.ordenamento</v>
      </c>
      <c r="V1271" s="5" t="str">
        <f t="shared" si="491"/>
        <v>Dado para listar:  ordenamento  Deve ser formatado como (rdfs:Literal  or  xsd:string)</v>
      </c>
      <c r="W1271" s="5" t="s">
        <v>5977</v>
      </c>
      <c r="X1271" s="24" t="str">
        <f t="shared" si="492"/>
        <v>lista.102</v>
      </c>
      <c r="Y1271" s="24" t="str">
        <f t="shared" si="493"/>
        <v>Ação de listar</v>
      </c>
      <c r="Z1271" s="47" t="s">
        <v>1646</v>
      </c>
      <c r="AA1271" s="25" t="str">
        <f t="shared" si="488"/>
        <v>null</v>
      </c>
      <c r="AB1271" s="26" t="s">
        <v>0</v>
      </c>
      <c r="AC1271" s="25" t="str">
        <f t="shared" si="489"/>
        <v>null</v>
      </c>
      <c r="AD1271" s="26" t="s">
        <v>0</v>
      </c>
      <c r="AE1271" s="25" t="str">
        <f t="shared" si="496"/>
        <v>null</v>
      </c>
      <c r="AF1271" s="26" t="s">
        <v>0</v>
      </c>
      <c r="AG1271" s="47" t="s">
        <v>3021</v>
      </c>
    </row>
    <row r="1272" spans="1:33" ht="6.9" customHeight="1" x14ac:dyDescent="0.4">
      <c r="A1272" s="4">
        <f>ROW()</f>
        <v>1272</v>
      </c>
      <c r="B1272" s="9" t="s">
        <v>27</v>
      </c>
      <c r="C1272" s="55" t="str">
        <f t="shared" si="497"/>
        <v>p.listar</v>
      </c>
      <c r="D1272" s="6" t="str">
        <f t="shared" si="495"/>
        <v>é.ranqueamento</v>
      </c>
      <c r="E1272" s="8" t="s">
        <v>28</v>
      </c>
      <c r="F1272" s="42" t="str">
        <f>F1270</f>
        <v>d.listar</v>
      </c>
      <c r="G1272" s="17" t="s">
        <v>414</v>
      </c>
      <c r="H1272" s="41" t="s">
        <v>2121</v>
      </c>
      <c r="I1272" s="16" t="str">
        <f t="shared" si="498"/>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490"/>
        <v>Propriedade destinada a listar: é.ranqueamento</v>
      </c>
      <c r="V1272" s="5" t="str">
        <f t="shared" si="491"/>
        <v>Dado para listar:  ranqueamento  Deve ser formatado como (rdfs:Literal  or  xsd:string)</v>
      </c>
      <c r="W1272" s="5" t="s">
        <v>5978</v>
      </c>
      <c r="X1272" s="24" t="str">
        <f t="shared" si="492"/>
        <v>lista.103</v>
      </c>
      <c r="Y1272" s="24" t="str">
        <f t="shared" si="493"/>
        <v>Ação de listar</v>
      </c>
      <c r="Z1272" s="47" t="s">
        <v>1647</v>
      </c>
      <c r="AA1272" s="25" t="str">
        <f t="shared" si="488"/>
        <v>null</v>
      </c>
      <c r="AB1272" s="26" t="s">
        <v>0</v>
      </c>
      <c r="AC1272" s="25" t="str">
        <f t="shared" si="489"/>
        <v>null</v>
      </c>
      <c r="AD1272" s="26" t="s">
        <v>0</v>
      </c>
      <c r="AE1272" s="25" t="str">
        <f t="shared" si="496"/>
        <v>null</v>
      </c>
      <c r="AF1272" s="26" t="s">
        <v>0</v>
      </c>
      <c r="AG1272" s="47" t="s">
        <v>3022</v>
      </c>
    </row>
    <row r="1273" spans="1:33" ht="6.9" customHeight="1" x14ac:dyDescent="0.4">
      <c r="A1273" s="4">
        <f>ROW()</f>
        <v>1273</v>
      </c>
      <c r="B1273" s="9" t="s">
        <v>27</v>
      </c>
      <c r="C1273" s="54" t="str">
        <f t="shared" si="497"/>
        <v>p.litigiar</v>
      </c>
      <c r="D1273" s="6" t="str">
        <f t="shared" si="495"/>
        <v>é.petição.inicial</v>
      </c>
      <c r="E1273" s="8" t="s">
        <v>28</v>
      </c>
      <c r="F1273" s="50" t="s">
        <v>3599</v>
      </c>
      <c r="G1273" s="23" t="s">
        <v>1153</v>
      </c>
      <c r="H1273" s="41" t="s">
        <v>2121</v>
      </c>
      <c r="I1273" s="16" t="str">
        <f t="shared" si="498"/>
        <v>null</v>
      </c>
      <c r="J1273" s="15" t="s">
        <v>0</v>
      </c>
      <c r="K1273" s="13" t="s">
        <v>0</v>
      </c>
      <c r="L1273" s="13" t="s">
        <v>0</v>
      </c>
      <c r="M1273" s="13" t="s">
        <v>0</v>
      </c>
      <c r="N1273" s="15" t="s">
        <v>0</v>
      </c>
      <c r="O1273" s="13" t="s">
        <v>0</v>
      </c>
      <c r="P1273" s="13" t="s">
        <v>0</v>
      </c>
      <c r="Q1273" s="13" t="s">
        <v>0</v>
      </c>
      <c r="R1273" s="15" t="s">
        <v>0</v>
      </c>
      <c r="S1273" s="10" t="s">
        <v>1</v>
      </c>
      <c r="T1273" s="10" t="s">
        <v>32</v>
      </c>
      <c r="U1273" s="5" t="str">
        <f t="shared" si="490"/>
        <v>Propriedade destinada a litigiar: é.petição.inicial</v>
      </c>
      <c r="V1273" s="5" t="str">
        <f t="shared" si="491"/>
        <v>Dado para litigiar:  petição.inicial  Deve ser formatado como (rdfs:Literal  or  xsd:string)</v>
      </c>
      <c r="W1273" s="5" t="s">
        <v>5979</v>
      </c>
      <c r="X1273" s="24" t="str">
        <f t="shared" si="492"/>
        <v>litig.100</v>
      </c>
      <c r="Y1273" s="24" t="str">
        <f t="shared" si="493"/>
        <v>Ação de litigiar</v>
      </c>
      <c r="Z1273" s="47" t="s">
        <v>1650</v>
      </c>
      <c r="AA1273" s="25" t="str">
        <f t="shared" si="488"/>
        <v>null</v>
      </c>
      <c r="AB1273" s="26" t="s">
        <v>0</v>
      </c>
      <c r="AC1273" s="25" t="str">
        <f t="shared" si="489"/>
        <v>null</v>
      </c>
      <c r="AD1273" s="26" t="s">
        <v>0</v>
      </c>
      <c r="AE1273" s="25" t="str">
        <f t="shared" si="496"/>
        <v>null</v>
      </c>
      <c r="AF1273" s="26" t="s">
        <v>0</v>
      </c>
      <c r="AG1273" s="47" t="s">
        <v>3025</v>
      </c>
    </row>
    <row r="1274" spans="1:33" ht="6.9" customHeight="1" x14ac:dyDescent="0.4">
      <c r="A1274" s="4">
        <f>ROW()</f>
        <v>1274</v>
      </c>
      <c r="B1274" s="9" t="s">
        <v>27</v>
      </c>
      <c r="C1274" s="55" t="str">
        <f t="shared" si="497"/>
        <v>p.litigiar</v>
      </c>
      <c r="D1274" s="6" t="str">
        <f t="shared" si="495"/>
        <v>é.procuração</v>
      </c>
      <c r="E1274" s="8" t="s">
        <v>28</v>
      </c>
      <c r="F1274" s="42" t="str">
        <f t="shared" ref="F1274:F1283" si="500">F1273</f>
        <v>d.litigiar</v>
      </c>
      <c r="G1274" s="23" t="s">
        <v>2090</v>
      </c>
      <c r="H1274" s="41" t="s">
        <v>2121</v>
      </c>
      <c r="I1274" s="16" t="str">
        <f t="shared" si="498"/>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0"/>
        <v>Propriedade destinada a litigiar: é.procuração</v>
      </c>
      <c r="V1274" s="5" t="str">
        <f t="shared" si="491"/>
        <v>Dado para litigiar:  procuração  Deve ser formatado como (rdfs:Literal  or  xsd:string)</v>
      </c>
      <c r="W1274" s="5" t="s">
        <v>5980</v>
      </c>
      <c r="X1274" s="24" t="str">
        <f t="shared" si="492"/>
        <v>litig.101</v>
      </c>
      <c r="Y1274" s="24" t="str">
        <f t="shared" si="493"/>
        <v>Ação de litigiar</v>
      </c>
      <c r="Z1274" s="47" t="s">
        <v>1651</v>
      </c>
      <c r="AA1274" s="25" t="str">
        <f t="shared" si="488"/>
        <v>null</v>
      </c>
      <c r="AB1274" s="26" t="s">
        <v>0</v>
      </c>
      <c r="AC1274" s="25" t="str">
        <f t="shared" si="489"/>
        <v>null</v>
      </c>
      <c r="AD1274" s="26" t="s">
        <v>0</v>
      </c>
      <c r="AE1274" s="25" t="str">
        <f t="shared" si="496"/>
        <v>null</v>
      </c>
      <c r="AF1274" s="26" t="s">
        <v>0</v>
      </c>
      <c r="AG1274" s="47" t="s">
        <v>3026</v>
      </c>
    </row>
    <row r="1275" spans="1:33" ht="6.9" customHeight="1" x14ac:dyDescent="0.4">
      <c r="A1275" s="4">
        <f>ROW()</f>
        <v>1275</v>
      </c>
      <c r="B1275" s="9" t="s">
        <v>27</v>
      </c>
      <c r="C1275" s="55" t="str">
        <f t="shared" si="497"/>
        <v>p.litigiar</v>
      </c>
      <c r="D1275" s="6" t="str">
        <f t="shared" si="495"/>
        <v>é.termo.contratual</v>
      </c>
      <c r="E1275" s="8" t="s">
        <v>28</v>
      </c>
      <c r="F1275" s="42" t="str">
        <f t="shared" si="500"/>
        <v>d.litigiar</v>
      </c>
      <c r="G1275" s="23" t="s">
        <v>1161</v>
      </c>
      <c r="H1275" s="41" t="s">
        <v>2121</v>
      </c>
      <c r="I1275" s="16" t="str">
        <f t="shared" si="498"/>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90"/>
        <v>Propriedade destinada a litigiar: é.termo.contratual</v>
      </c>
      <c r="V1275" s="5" t="str">
        <f t="shared" si="491"/>
        <v>Dado para litigiar:  termo.contratual  Deve ser formatado como (rdfs:Literal  or  xsd:string)</v>
      </c>
      <c r="W1275" s="5" t="s">
        <v>5981</v>
      </c>
      <c r="X1275" s="24" t="str">
        <f t="shared" si="492"/>
        <v>litig.102</v>
      </c>
      <c r="Y1275" s="24" t="str">
        <f t="shared" si="493"/>
        <v>Ação de litigiar</v>
      </c>
      <c r="Z1275" s="47" t="s">
        <v>1652</v>
      </c>
      <c r="AA1275" s="25" t="str">
        <f t="shared" si="488"/>
        <v>null</v>
      </c>
      <c r="AB1275" s="26" t="s">
        <v>0</v>
      </c>
      <c r="AC1275" s="25" t="str">
        <f t="shared" si="489"/>
        <v>null</v>
      </c>
      <c r="AD1275" s="26" t="s">
        <v>0</v>
      </c>
      <c r="AE1275" s="25" t="str">
        <f t="shared" si="496"/>
        <v>null</v>
      </c>
      <c r="AF1275" s="26" t="s">
        <v>0</v>
      </c>
      <c r="AG1275" s="47" t="s">
        <v>3027</v>
      </c>
    </row>
    <row r="1276" spans="1:33" ht="6.9" customHeight="1" x14ac:dyDescent="0.4">
      <c r="A1276" s="4">
        <f>ROW()</f>
        <v>1276</v>
      </c>
      <c r="B1276" s="9" t="s">
        <v>27</v>
      </c>
      <c r="C1276" s="55" t="str">
        <f t="shared" si="497"/>
        <v>p.litigiar</v>
      </c>
      <c r="D1276" s="6" t="str">
        <f t="shared" si="495"/>
        <v>é.termo.de.uso</v>
      </c>
      <c r="E1276" s="8" t="s">
        <v>28</v>
      </c>
      <c r="F1276" s="42" t="str">
        <f t="shared" si="500"/>
        <v>d.litigiar</v>
      </c>
      <c r="G1276" s="23" t="s">
        <v>1155</v>
      </c>
      <c r="H1276" s="41" t="s">
        <v>2121</v>
      </c>
      <c r="I1276" s="16" t="str">
        <f t="shared" si="49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90"/>
        <v>Propriedade destinada a litigiar: é.termo.de.uso</v>
      </c>
      <c r="V1276" s="5" t="str">
        <f t="shared" si="491"/>
        <v>Dado para litigiar:  termo.de.uso  Deve ser formatado como (rdfs:Literal  or  xsd:string)</v>
      </c>
      <c r="W1276" s="5" t="s">
        <v>5982</v>
      </c>
      <c r="X1276" s="24" t="str">
        <f t="shared" si="492"/>
        <v>litig.103</v>
      </c>
      <c r="Y1276" s="24" t="str">
        <f t="shared" si="493"/>
        <v>Ação de litigiar</v>
      </c>
      <c r="Z1276" s="47" t="s">
        <v>1653</v>
      </c>
      <c r="AA1276" s="25" t="str">
        <f t="shared" si="488"/>
        <v>null</v>
      </c>
      <c r="AB1276" s="26" t="s">
        <v>0</v>
      </c>
      <c r="AC1276" s="25" t="str">
        <f t="shared" si="489"/>
        <v>null</v>
      </c>
      <c r="AD1276" s="26" t="s">
        <v>0</v>
      </c>
      <c r="AE1276" s="25" t="str">
        <f t="shared" si="496"/>
        <v>null</v>
      </c>
      <c r="AF1276" s="26" t="s">
        <v>0</v>
      </c>
      <c r="AG1276" s="47" t="s">
        <v>8297</v>
      </c>
    </row>
    <row r="1277" spans="1:33" ht="6.9" customHeight="1" x14ac:dyDescent="0.4">
      <c r="A1277" s="4">
        <f>ROW()</f>
        <v>1277</v>
      </c>
      <c r="B1277" s="9" t="s">
        <v>27</v>
      </c>
      <c r="C1277" s="55" t="str">
        <f t="shared" si="497"/>
        <v>p.litigiar</v>
      </c>
      <c r="D1277" s="6" t="str">
        <f t="shared" si="495"/>
        <v>é.termo.de.responsabilidade</v>
      </c>
      <c r="E1277" s="8" t="s">
        <v>28</v>
      </c>
      <c r="F1277" s="42" t="str">
        <f t="shared" si="500"/>
        <v>d.litigiar</v>
      </c>
      <c r="G1277" s="23" t="s">
        <v>1154</v>
      </c>
      <c r="H1277" s="41" t="s">
        <v>2121</v>
      </c>
      <c r="I1277" s="16" t="str">
        <f t="shared" si="49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90"/>
        <v>Propriedade destinada a litigiar: é.termo.de.responsabilidade</v>
      </c>
      <c r="V1277" s="5" t="str">
        <f t="shared" si="491"/>
        <v>Dado para litigiar:  termo.de.responsabilidade  Deve ser formatado como (rdfs:Literal  or  xsd:string)</v>
      </c>
      <c r="W1277" s="5" t="s">
        <v>5982</v>
      </c>
      <c r="X1277" s="24" t="str">
        <f t="shared" si="492"/>
        <v>litig.104</v>
      </c>
      <c r="Y1277" s="24" t="str">
        <f t="shared" si="493"/>
        <v>Ação de litigiar</v>
      </c>
      <c r="Z1277" s="47" t="s">
        <v>1653</v>
      </c>
      <c r="AA1277" s="25" t="str">
        <f t="shared" si="488"/>
        <v>null</v>
      </c>
      <c r="AB1277" s="26" t="s">
        <v>0</v>
      </c>
      <c r="AC1277" s="25" t="str">
        <f t="shared" si="489"/>
        <v>null</v>
      </c>
      <c r="AD1277" s="26" t="s">
        <v>0</v>
      </c>
      <c r="AE1277" s="25" t="str">
        <f t="shared" si="496"/>
        <v>null</v>
      </c>
      <c r="AF1277" s="26" t="s">
        <v>0</v>
      </c>
      <c r="AG1277" s="47" t="s">
        <v>8297</v>
      </c>
    </row>
    <row r="1278" spans="1:33" ht="6.9" customHeight="1" x14ac:dyDescent="0.4">
      <c r="A1278" s="4">
        <f>ROW()</f>
        <v>1278</v>
      </c>
      <c r="B1278" s="9" t="s">
        <v>27</v>
      </c>
      <c r="C1278" s="55" t="str">
        <f t="shared" si="497"/>
        <v>p.litigiar</v>
      </c>
      <c r="D1278" s="6" t="str">
        <f t="shared" si="495"/>
        <v>é.termo.de.política.de.privacidade</v>
      </c>
      <c r="E1278" s="8" t="s">
        <v>28</v>
      </c>
      <c r="F1278" s="42" t="str">
        <f t="shared" si="500"/>
        <v>d.litigiar</v>
      </c>
      <c r="G1278" s="23" t="s">
        <v>1156</v>
      </c>
      <c r="H1278" s="41" t="s">
        <v>2121</v>
      </c>
      <c r="I1278" s="16" t="str">
        <f t="shared" si="49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0"/>
        <v>Propriedade destinada a litigiar: é.termo.de.política.de.privacidade</v>
      </c>
      <c r="V1278" s="5" t="str">
        <f t="shared" si="491"/>
        <v>Dado para litigiar:  termo.de.política.de.privacidade  Deve ser formatado como (rdfs:Literal  or  xsd:string)</v>
      </c>
      <c r="W1278" s="5" t="s">
        <v>5982</v>
      </c>
      <c r="X1278" s="24" t="str">
        <f t="shared" si="492"/>
        <v>litig.105</v>
      </c>
      <c r="Y1278" s="24" t="str">
        <f t="shared" si="493"/>
        <v>Ação de litigiar</v>
      </c>
      <c r="Z1278" s="47" t="s">
        <v>1653</v>
      </c>
      <c r="AA1278" s="25" t="str">
        <f t="shared" si="488"/>
        <v>null</v>
      </c>
      <c r="AB1278" s="26" t="s">
        <v>0</v>
      </c>
      <c r="AC1278" s="25" t="str">
        <f t="shared" si="489"/>
        <v>null</v>
      </c>
      <c r="AD1278" s="26" t="s">
        <v>0</v>
      </c>
      <c r="AE1278" s="25" t="str">
        <f t="shared" si="496"/>
        <v>null</v>
      </c>
      <c r="AF1278" s="26" t="s">
        <v>0</v>
      </c>
      <c r="AG1278" s="47" t="s">
        <v>8297</v>
      </c>
    </row>
    <row r="1279" spans="1:33" ht="6.9" customHeight="1" x14ac:dyDescent="0.4">
      <c r="A1279" s="4">
        <f>ROW()</f>
        <v>1279</v>
      </c>
      <c r="B1279" s="9" t="s">
        <v>27</v>
      </c>
      <c r="C1279" s="55" t="str">
        <f t="shared" si="497"/>
        <v>p.litigiar</v>
      </c>
      <c r="D1279" s="6" t="str">
        <f t="shared" si="495"/>
        <v>é.acordo.de.acionista</v>
      </c>
      <c r="E1279" s="8" t="s">
        <v>28</v>
      </c>
      <c r="F1279" s="42" t="str">
        <f t="shared" si="500"/>
        <v>d.litigiar</v>
      </c>
      <c r="G1279" s="23" t="s">
        <v>1162</v>
      </c>
      <c r="H1279" s="41" t="s">
        <v>2121</v>
      </c>
      <c r="I1279" s="16" t="str">
        <f t="shared" si="49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0"/>
        <v>Propriedade destinada a litigiar: é.acordo.de.acionista</v>
      </c>
      <c r="V1279" s="5" t="str">
        <f t="shared" si="491"/>
        <v>Dado para litigiar:  acordo.de.acionista  Deve ser formatado como (rdfs:Literal  or  xsd:string)</v>
      </c>
      <c r="W1279" s="5" t="s">
        <v>5983</v>
      </c>
      <c r="X1279" s="24" t="str">
        <f t="shared" si="492"/>
        <v>litig.106</v>
      </c>
      <c r="Y1279" s="24" t="str">
        <f t="shared" si="493"/>
        <v>Ação de litigiar</v>
      </c>
      <c r="Z1279" s="47" t="s">
        <v>1654</v>
      </c>
      <c r="AA1279" s="25" t="str">
        <f t="shared" ref="AA1279:AA1346" si="501">IF(AB1279="null", "null", "categoria.revit")</f>
        <v>null</v>
      </c>
      <c r="AB1279" s="26" t="s">
        <v>0</v>
      </c>
      <c r="AC1279" s="25" t="str">
        <f t="shared" ref="AC1279:AC1346" si="502">IF(AD1279="null", "null", "classe.ifc")</f>
        <v>null</v>
      </c>
      <c r="AD1279" s="26" t="s">
        <v>0</v>
      </c>
      <c r="AE1279" s="25" t="str">
        <f t="shared" si="496"/>
        <v>null</v>
      </c>
      <c r="AF1279" s="26" t="s">
        <v>0</v>
      </c>
      <c r="AG1279" s="47" t="s">
        <v>8298</v>
      </c>
    </row>
    <row r="1280" spans="1:33" ht="6.9" customHeight="1" x14ac:dyDescent="0.4">
      <c r="A1280" s="4">
        <f>ROW()</f>
        <v>1280</v>
      </c>
      <c r="B1280" s="9" t="s">
        <v>27</v>
      </c>
      <c r="C1280" s="55" t="str">
        <f t="shared" si="497"/>
        <v>p.litigiar</v>
      </c>
      <c r="D1280" s="6" t="str">
        <f t="shared" si="495"/>
        <v>é.acordo.de.quotista</v>
      </c>
      <c r="E1280" s="8" t="s">
        <v>28</v>
      </c>
      <c r="F1280" s="42" t="str">
        <f t="shared" si="500"/>
        <v>d.litigiar</v>
      </c>
      <c r="G1280" s="23" t="s">
        <v>1157</v>
      </c>
      <c r="H1280" s="41" t="s">
        <v>2121</v>
      </c>
      <c r="I1280" s="16" t="str">
        <f t="shared" si="49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0"/>
        <v>Propriedade destinada a litigiar: é.acordo.de.quotista</v>
      </c>
      <c r="V1280" s="5" t="str">
        <f t="shared" si="491"/>
        <v>Dado para litigiar:  acordo.de.quotista  Deve ser formatado como (rdfs:Literal  or  xsd:string)</v>
      </c>
      <c r="W1280" s="5" t="s">
        <v>5983</v>
      </c>
      <c r="X1280" s="24" t="str">
        <f t="shared" si="492"/>
        <v>litig.107</v>
      </c>
      <c r="Y1280" s="24" t="str">
        <f t="shared" si="493"/>
        <v>Ação de litigiar</v>
      </c>
      <c r="Z1280" s="47" t="s">
        <v>1654</v>
      </c>
      <c r="AA1280" s="25" t="str">
        <f t="shared" si="501"/>
        <v>null</v>
      </c>
      <c r="AB1280" s="26" t="s">
        <v>0</v>
      </c>
      <c r="AC1280" s="25" t="str">
        <f t="shared" si="502"/>
        <v>null</v>
      </c>
      <c r="AD1280" s="26" t="s">
        <v>0</v>
      </c>
      <c r="AE1280" s="25" t="str">
        <f t="shared" si="496"/>
        <v>null</v>
      </c>
      <c r="AF1280" s="26" t="s">
        <v>0</v>
      </c>
      <c r="AG1280" s="47" t="s">
        <v>8298</v>
      </c>
    </row>
    <row r="1281" spans="1:33" ht="6.9" customHeight="1" x14ac:dyDescent="0.4">
      <c r="A1281" s="4">
        <f>ROW()</f>
        <v>1281</v>
      </c>
      <c r="B1281" s="9" t="s">
        <v>27</v>
      </c>
      <c r="C1281" s="55" t="str">
        <f t="shared" si="497"/>
        <v>p.litigiar</v>
      </c>
      <c r="D1281" s="6" t="str">
        <f t="shared" si="495"/>
        <v>é.acordo.de.confidencialidade</v>
      </c>
      <c r="E1281" s="8" t="s">
        <v>28</v>
      </c>
      <c r="F1281" s="42" t="str">
        <f t="shared" si="500"/>
        <v>d.litigiar</v>
      </c>
      <c r="G1281" s="23" t="s">
        <v>1158</v>
      </c>
      <c r="H1281" s="41" t="s">
        <v>2121</v>
      </c>
      <c r="I1281" s="16" t="str">
        <f t="shared" si="49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0"/>
        <v>Propriedade destinada a litigiar: é.acordo.de.confidencialidade</v>
      </c>
      <c r="V1281" s="5" t="str">
        <f t="shared" si="491"/>
        <v>Dado para litigiar:  acordo.de.confidencialidade  Deve ser formatado como (rdfs:Literal  or  xsd:string)</v>
      </c>
      <c r="W1281" s="5" t="s">
        <v>5984</v>
      </c>
      <c r="X1281" s="24" t="str">
        <f t="shared" si="492"/>
        <v>litig.108</v>
      </c>
      <c r="Y1281" s="24" t="str">
        <f t="shared" si="493"/>
        <v>Ação de litigiar</v>
      </c>
      <c r="Z1281" s="47" t="s">
        <v>1655</v>
      </c>
      <c r="AA1281" s="25" t="str">
        <f t="shared" si="501"/>
        <v>null</v>
      </c>
      <c r="AB1281" s="26" t="s">
        <v>0</v>
      </c>
      <c r="AC1281" s="25" t="str">
        <f t="shared" si="502"/>
        <v>null</v>
      </c>
      <c r="AD1281" s="26" t="s">
        <v>0</v>
      </c>
      <c r="AE1281" s="25" t="str">
        <f t="shared" si="496"/>
        <v>null</v>
      </c>
      <c r="AF1281" s="26" t="s">
        <v>0</v>
      </c>
      <c r="AG1281" s="47" t="s">
        <v>8299</v>
      </c>
    </row>
    <row r="1282" spans="1:33" ht="6.9" customHeight="1" x14ac:dyDescent="0.4">
      <c r="A1282" s="4">
        <f>ROW()</f>
        <v>1282</v>
      </c>
      <c r="B1282" s="9" t="s">
        <v>27</v>
      </c>
      <c r="C1282" s="55" t="str">
        <f t="shared" si="497"/>
        <v>p.litigiar</v>
      </c>
      <c r="D1282" s="6" t="str">
        <f t="shared" si="495"/>
        <v>é.prova.documental</v>
      </c>
      <c r="E1282" s="8" t="s">
        <v>28</v>
      </c>
      <c r="F1282" s="42" t="str">
        <f t="shared" si="500"/>
        <v>d.litigiar</v>
      </c>
      <c r="G1282" s="23" t="s">
        <v>1159</v>
      </c>
      <c r="H1282" s="41" t="s">
        <v>2121</v>
      </c>
      <c r="I1282" s="16" t="str">
        <f t="shared" si="49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45" si="503">_xlfn.CONCAT("Propriedade destinada a ",MID(C1282,FIND("p.",C1282,1)+2,100),": ",D1282)</f>
        <v>Propriedade destinada a litigiar: é.prova.documental</v>
      </c>
      <c r="V1282" s="5" t="str">
        <f t="shared" ref="V1282:V1345" si="504">_xlfn.CONCAT("Dado para ",MID(F1282,FIND("d.",F1282,1)+2,100),":  ",G1282, "  Deve ser formatado como (",H1282, ")")</f>
        <v>Dado para litigiar:  prova.documental  Deve ser formatado como (rdfs:Literal  or  xsd:string)</v>
      </c>
      <c r="W1282" s="5" t="s">
        <v>5985</v>
      </c>
      <c r="X1282" s="24" t="str">
        <f t="shared" si="492"/>
        <v>litig.109</v>
      </c>
      <c r="Y1282" s="24" t="str">
        <f t="shared" si="493"/>
        <v>Ação de litigiar</v>
      </c>
      <c r="Z1282" s="47" t="s">
        <v>1656</v>
      </c>
      <c r="AA1282" s="25" t="str">
        <f t="shared" si="501"/>
        <v>null</v>
      </c>
      <c r="AB1282" s="26" t="s">
        <v>0</v>
      </c>
      <c r="AC1282" s="25" t="str">
        <f t="shared" si="502"/>
        <v>null</v>
      </c>
      <c r="AD1282" s="26" t="s">
        <v>0</v>
      </c>
      <c r="AE1282" s="25" t="str">
        <f t="shared" si="496"/>
        <v>null</v>
      </c>
      <c r="AF1282" s="26" t="s">
        <v>0</v>
      </c>
      <c r="AG1282" s="47" t="s">
        <v>8300</v>
      </c>
    </row>
    <row r="1283" spans="1:33" ht="6.9" customHeight="1" x14ac:dyDescent="0.4">
      <c r="A1283" s="4">
        <f>ROW()</f>
        <v>1283</v>
      </c>
      <c r="B1283" s="9" t="s">
        <v>27</v>
      </c>
      <c r="C1283" s="55" t="str">
        <f t="shared" si="497"/>
        <v>p.litigiar</v>
      </c>
      <c r="D1283" s="6" t="str">
        <f t="shared" si="495"/>
        <v>é.laudo.pericial</v>
      </c>
      <c r="E1283" s="8" t="s">
        <v>28</v>
      </c>
      <c r="F1283" s="42" t="str">
        <f t="shared" si="500"/>
        <v>d.litigiar</v>
      </c>
      <c r="G1283" s="23" t="s">
        <v>1160</v>
      </c>
      <c r="H1283" s="41" t="s">
        <v>2121</v>
      </c>
      <c r="I1283" s="16" t="str">
        <f t="shared" si="498"/>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3"/>
        <v>Propriedade destinada a litigiar: é.laudo.pericial</v>
      </c>
      <c r="V1283" s="5" t="str">
        <f t="shared" si="504"/>
        <v>Dado para litigiar:  laudo.pericial  Deve ser formatado como (rdfs:Literal  or  xsd:string)</v>
      </c>
      <c r="W1283" s="5" t="s">
        <v>5986</v>
      </c>
      <c r="X1283" s="24" t="str">
        <f t="shared" ref="X1283:X1346" si="505">IF(F1282&lt;&gt;F1283,_xlfn.CONCAT(RIGHT(LEFT(F1283,7),5),".100"),_xlfn.CONCAT(RIGHT(LEFT(F1283,7),5),".",SUM(VALUE(RIGHT(X1282,3)),1)))</f>
        <v>litig.110</v>
      </c>
      <c r="Y1283" s="24" t="str">
        <f t="shared" ref="Y1283:Y1346" si="506">_xlfn.CONCAT("Ação de ", SUBSTITUTE(F1283, "d.",  ""))</f>
        <v>Ação de litigiar</v>
      </c>
      <c r="Z1283" s="47" t="s">
        <v>1657</v>
      </c>
      <c r="AA1283" s="25" t="str">
        <f t="shared" si="501"/>
        <v>null</v>
      </c>
      <c r="AB1283" s="26" t="s">
        <v>0</v>
      </c>
      <c r="AC1283" s="25" t="str">
        <f t="shared" si="502"/>
        <v>null</v>
      </c>
      <c r="AD1283" s="26" t="s">
        <v>0</v>
      </c>
      <c r="AE1283" s="25" t="str">
        <f t="shared" si="496"/>
        <v>null</v>
      </c>
      <c r="AF1283" s="26" t="s">
        <v>0</v>
      </c>
      <c r="AG1283" s="47" t="s">
        <v>8301</v>
      </c>
    </row>
    <row r="1284" spans="1:33" ht="6.9" customHeight="1" x14ac:dyDescent="0.4">
      <c r="A1284" s="4">
        <f>ROW()</f>
        <v>1284</v>
      </c>
      <c r="B1284" s="9" t="s">
        <v>27</v>
      </c>
      <c r="C1284" s="54" t="str">
        <f t="shared" si="497"/>
        <v>p.mapear</v>
      </c>
      <c r="D1284" s="6" t="str">
        <f t="shared" si="495"/>
        <v>é.número.de.célula</v>
      </c>
      <c r="E1284" s="8" t="s">
        <v>28</v>
      </c>
      <c r="F1284" s="50" t="s">
        <v>3600</v>
      </c>
      <c r="G1284" s="18" t="s">
        <v>805</v>
      </c>
      <c r="H1284" s="41" t="s">
        <v>2121</v>
      </c>
      <c r="I1284" s="16" t="str">
        <f t="shared" si="498"/>
        <v>Functional</v>
      </c>
      <c r="J1284" s="13" t="s">
        <v>29</v>
      </c>
      <c r="K1284" s="13" t="s">
        <v>0</v>
      </c>
      <c r="L1284" s="13" t="s">
        <v>0</v>
      </c>
      <c r="M1284" s="13" t="s">
        <v>0</v>
      </c>
      <c r="N1284" s="15" t="s">
        <v>0</v>
      </c>
      <c r="O1284" s="13" t="s">
        <v>0</v>
      </c>
      <c r="P1284" s="13" t="s">
        <v>0</v>
      </c>
      <c r="Q1284" s="13" t="s">
        <v>0</v>
      </c>
      <c r="R1284" s="15" t="s">
        <v>0</v>
      </c>
      <c r="S1284" s="10" t="s">
        <v>1</v>
      </c>
      <c r="T1284" s="10" t="s">
        <v>32</v>
      </c>
      <c r="U1284" s="5" t="str">
        <f t="shared" si="503"/>
        <v>Propriedade destinada a mapear: é.número.de.célula</v>
      </c>
      <c r="V1284" s="5" t="str">
        <f t="shared" si="504"/>
        <v>Dado para mapear:  número.de.célula  Deve ser formatado como (rdfs:Literal  or  xsd:string)</v>
      </c>
      <c r="W1284" s="5" t="s">
        <v>5987</v>
      </c>
      <c r="X1284" s="24" t="str">
        <f t="shared" si="505"/>
        <v>mapea.100</v>
      </c>
      <c r="Y1284" s="24" t="str">
        <f t="shared" si="506"/>
        <v>Ação de mapear</v>
      </c>
      <c r="Z1284" s="47" t="s">
        <v>1658</v>
      </c>
      <c r="AA1284" s="25" t="str">
        <f t="shared" si="501"/>
        <v>null</v>
      </c>
      <c r="AB1284" s="26" t="s">
        <v>0</v>
      </c>
      <c r="AC1284" s="25" t="str">
        <f t="shared" si="502"/>
        <v>null</v>
      </c>
      <c r="AD1284" s="26" t="s">
        <v>0</v>
      </c>
      <c r="AE1284" s="25" t="str">
        <f t="shared" si="496"/>
        <v>null</v>
      </c>
      <c r="AF1284" s="26" t="s">
        <v>0</v>
      </c>
      <c r="AG1284" s="47" t="s">
        <v>3028</v>
      </c>
    </row>
    <row r="1285" spans="1:33" ht="6.9" customHeight="1" x14ac:dyDescent="0.4">
      <c r="A1285" s="4">
        <f>ROW()</f>
        <v>1285</v>
      </c>
      <c r="B1285" s="9" t="s">
        <v>27</v>
      </c>
      <c r="C1285" s="55" t="str">
        <f t="shared" si="497"/>
        <v>p.mapear</v>
      </c>
      <c r="D1285" s="6" t="str">
        <f t="shared" si="495"/>
        <v>é.nome.do.mapa</v>
      </c>
      <c r="E1285" s="8" t="s">
        <v>28</v>
      </c>
      <c r="F1285" s="42" t="s">
        <v>3600</v>
      </c>
      <c r="G1285" s="18" t="s">
        <v>806</v>
      </c>
      <c r="H1285" s="41" t="s">
        <v>2121</v>
      </c>
      <c r="I1285" s="16" t="str">
        <f t="shared" si="498"/>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03"/>
        <v>Propriedade destinada a mapear: é.nome.do.mapa</v>
      </c>
      <c r="V1285" s="5" t="str">
        <f t="shared" si="504"/>
        <v>Dado para mapear:  nome.do.mapa  Deve ser formatado como (rdfs:Literal  or  xsd:string)</v>
      </c>
      <c r="W1285" s="5" t="s">
        <v>5988</v>
      </c>
      <c r="X1285" s="24" t="str">
        <f t="shared" si="505"/>
        <v>mapea.101</v>
      </c>
      <c r="Y1285" s="24" t="str">
        <f t="shared" si="506"/>
        <v>Ação de mapear</v>
      </c>
      <c r="Z1285" s="47" t="s">
        <v>1659</v>
      </c>
      <c r="AA1285" s="25" t="str">
        <f t="shared" si="501"/>
        <v>null</v>
      </c>
      <c r="AB1285" s="26" t="s">
        <v>0</v>
      </c>
      <c r="AC1285" s="25" t="str">
        <f t="shared" si="502"/>
        <v>null</v>
      </c>
      <c r="AD1285" s="26" t="s">
        <v>0</v>
      </c>
      <c r="AE1285" s="25" t="str">
        <f t="shared" si="496"/>
        <v>null</v>
      </c>
      <c r="AF1285" s="26" t="s">
        <v>0</v>
      </c>
      <c r="AG1285" s="47" t="s">
        <v>3029</v>
      </c>
    </row>
    <row r="1286" spans="1:33" ht="6.9" customHeight="1" x14ac:dyDescent="0.4">
      <c r="A1286" s="4">
        <f>ROW()</f>
        <v>1286</v>
      </c>
      <c r="B1286" s="9" t="s">
        <v>27</v>
      </c>
      <c r="C1286" s="55" t="str">
        <f t="shared" si="497"/>
        <v>p.mapear</v>
      </c>
      <c r="D1286" s="6" t="str">
        <f t="shared" si="495"/>
        <v>é.origem.do.mapa</v>
      </c>
      <c r="E1286" s="8" t="s">
        <v>28</v>
      </c>
      <c r="F1286" s="42" t="s">
        <v>3600</v>
      </c>
      <c r="G1286" s="18" t="s">
        <v>807</v>
      </c>
      <c r="H1286" s="41" t="s">
        <v>2121</v>
      </c>
      <c r="I1286" s="16" t="str">
        <f t="shared" si="498"/>
        <v>Functional</v>
      </c>
      <c r="J1286" s="13" t="s">
        <v>29</v>
      </c>
      <c r="K1286" s="13" t="s">
        <v>0</v>
      </c>
      <c r="L1286" s="13" t="s">
        <v>0</v>
      </c>
      <c r="M1286" s="13" t="s">
        <v>0</v>
      </c>
      <c r="N1286" s="15" t="s">
        <v>0</v>
      </c>
      <c r="O1286" s="13" t="s">
        <v>0</v>
      </c>
      <c r="P1286" s="13" t="s">
        <v>0</v>
      </c>
      <c r="Q1286" s="13" t="s">
        <v>0</v>
      </c>
      <c r="R1286" s="15" t="s">
        <v>0</v>
      </c>
      <c r="S1286" s="10" t="s">
        <v>1</v>
      </c>
      <c r="T1286" s="10" t="s">
        <v>32</v>
      </c>
      <c r="U1286" s="5" t="str">
        <f t="shared" si="503"/>
        <v>Propriedade destinada a mapear: é.origem.do.mapa</v>
      </c>
      <c r="V1286" s="5" t="str">
        <f t="shared" si="504"/>
        <v>Dado para mapear:  origem.do.mapa  Deve ser formatado como (rdfs:Literal  or  xsd:string)</v>
      </c>
      <c r="W1286" s="5" t="s">
        <v>5989</v>
      </c>
      <c r="X1286" s="24" t="str">
        <f t="shared" si="505"/>
        <v>mapea.102</v>
      </c>
      <c r="Y1286" s="24" t="str">
        <f t="shared" si="506"/>
        <v>Ação de mapear</v>
      </c>
      <c r="Z1286" s="47" t="s">
        <v>1660</v>
      </c>
      <c r="AA1286" s="25" t="str">
        <f t="shared" si="501"/>
        <v>null</v>
      </c>
      <c r="AB1286" s="26" t="s">
        <v>0</v>
      </c>
      <c r="AC1286" s="25" t="str">
        <f t="shared" si="502"/>
        <v>null</v>
      </c>
      <c r="AD1286" s="26" t="s">
        <v>0</v>
      </c>
      <c r="AE1286" s="25" t="str">
        <f t="shared" si="496"/>
        <v>null</v>
      </c>
      <c r="AF1286" s="26" t="s">
        <v>0</v>
      </c>
      <c r="AG1286" s="47" t="s">
        <v>4738</v>
      </c>
    </row>
    <row r="1287" spans="1:33" ht="6.9" customHeight="1" x14ac:dyDescent="0.4">
      <c r="A1287" s="4">
        <f>ROW()</f>
        <v>1287</v>
      </c>
      <c r="B1287" s="9" t="s">
        <v>27</v>
      </c>
      <c r="C1287" s="54" t="str">
        <f t="shared" si="497"/>
        <v>p.materializar</v>
      </c>
      <c r="D1287" s="6" t="str">
        <f t="shared" si="495"/>
        <v>é.material</v>
      </c>
      <c r="E1287" s="8" t="s">
        <v>28</v>
      </c>
      <c r="F1287" s="51" t="s">
        <v>3601</v>
      </c>
      <c r="G1287" s="17" t="s">
        <v>4436</v>
      </c>
      <c r="H1287" s="42" t="s">
        <v>2121</v>
      </c>
      <c r="I1287" s="16" t="str">
        <f t="shared" si="498"/>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503"/>
        <v>Propriedade destinada a materializar: é.material</v>
      </c>
      <c r="V1287" s="5" t="str">
        <f t="shared" si="504"/>
        <v>Dado para materializar:  material  Deve ser formatado como (rdfs:Literal  or  xsd:string)</v>
      </c>
      <c r="W1287" s="5" t="s">
        <v>5990</v>
      </c>
      <c r="X1287" s="24" t="str">
        <f t="shared" si="505"/>
        <v>mater.100</v>
      </c>
      <c r="Y1287" s="24" t="str">
        <f t="shared" si="506"/>
        <v>Ação de materializar</v>
      </c>
      <c r="Z1287" s="47" t="s">
        <v>3976</v>
      </c>
      <c r="AA1287" s="25" t="str">
        <f t="shared" si="501"/>
        <v>null</v>
      </c>
      <c r="AB1287" s="26" t="s">
        <v>0</v>
      </c>
      <c r="AC1287" s="25" t="str">
        <f t="shared" si="502"/>
        <v>null</v>
      </c>
      <c r="AD1287" s="26" t="s">
        <v>0</v>
      </c>
      <c r="AE1287" s="25" t="str">
        <f t="shared" si="496"/>
        <v>null</v>
      </c>
      <c r="AF1287" s="26" t="s">
        <v>0</v>
      </c>
      <c r="AG1287" s="47" t="s">
        <v>4036</v>
      </c>
    </row>
    <row r="1288" spans="1:33" ht="6.9" customHeight="1" x14ac:dyDescent="0.4">
      <c r="A1288" s="4">
        <f>ROW()</f>
        <v>1288</v>
      </c>
      <c r="B1288" s="9" t="s">
        <v>27</v>
      </c>
      <c r="C1288" s="55" t="str">
        <f t="shared" si="497"/>
        <v>p.materializar</v>
      </c>
      <c r="D1288" s="6" t="str">
        <f t="shared" si="495"/>
        <v>é.mapeamento.uv</v>
      </c>
      <c r="E1288" s="8" t="s">
        <v>28</v>
      </c>
      <c r="F1288" s="42" t="str">
        <f>F1287</f>
        <v>d.materializar</v>
      </c>
      <c r="G1288" s="17" t="s">
        <v>808</v>
      </c>
      <c r="H1288" s="42" t="s">
        <v>2121</v>
      </c>
      <c r="I1288" s="16" t="str">
        <f t="shared" si="498"/>
        <v>null</v>
      </c>
      <c r="J1288" s="15" t="s">
        <v>0</v>
      </c>
      <c r="K1288" s="15" t="s">
        <v>0</v>
      </c>
      <c r="L1288" s="15" t="s">
        <v>0</v>
      </c>
      <c r="M1288" s="15" t="s">
        <v>0</v>
      </c>
      <c r="N1288" s="15" t="s">
        <v>0</v>
      </c>
      <c r="O1288" s="15" t="s">
        <v>0</v>
      </c>
      <c r="P1288" s="15" t="s">
        <v>0</v>
      </c>
      <c r="Q1288" s="15" t="s">
        <v>0</v>
      </c>
      <c r="R1288" s="21" t="s">
        <v>3922</v>
      </c>
      <c r="S1288" s="10" t="s">
        <v>1</v>
      </c>
      <c r="T1288" s="10" t="s">
        <v>32</v>
      </c>
      <c r="U1288" s="5" t="str">
        <f t="shared" si="503"/>
        <v>Propriedade destinada a materializar: é.mapeamento.uv</v>
      </c>
      <c r="V1288" s="5" t="str">
        <f t="shared" si="504"/>
        <v>Dado para materializar:  mapeamento.uv  Deve ser formatado como (rdfs:Literal  or  xsd:string)</v>
      </c>
      <c r="W1288" s="5" t="s">
        <v>5991</v>
      </c>
      <c r="X1288" s="24" t="str">
        <f t="shared" si="505"/>
        <v>mater.101</v>
      </c>
      <c r="Y1288" s="24" t="str">
        <f t="shared" si="506"/>
        <v>Ação de materializar</v>
      </c>
      <c r="Z1288" s="47" t="s">
        <v>4092</v>
      </c>
      <c r="AA1288" s="25" t="str">
        <f t="shared" si="501"/>
        <v>null</v>
      </c>
      <c r="AB1288" s="26" t="s">
        <v>0</v>
      </c>
      <c r="AC1288" s="25" t="str">
        <f t="shared" si="502"/>
        <v>null</v>
      </c>
      <c r="AD1288" s="26" t="s">
        <v>0</v>
      </c>
      <c r="AE1288" s="25" t="str">
        <f t="shared" si="496"/>
        <v>null</v>
      </c>
      <c r="AF1288" s="26" t="s">
        <v>0</v>
      </c>
      <c r="AG1288" s="47" t="s">
        <v>8302</v>
      </c>
    </row>
    <row r="1289" spans="1:33" ht="6.9" customHeight="1" x14ac:dyDescent="0.4">
      <c r="A1289" s="4">
        <f>ROW()</f>
        <v>1289</v>
      </c>
      <c r="B1289" s="9" t="s">
        <v>27</v>
      </c>
      <c r="C1289" s="55" t="str">
        <f t="shared" si="497"/>
        <v>p.materializar</v>
      </c>
      <c r="D1289" s="6" t="str">
        <f t="shared" si="495"/>
        <v>é.concretagem</v>
      </c>
      <c r="E1289" s="8" t="s">
        <v>28</v>
      </c>
      <c r="F1289" s="42" t="str">
        <f>F1287</f>
        <v>d.materializar</v>
      </c>
      <c r="G1289" s="17" t="s">
        <v>255</v>
      </c>
      <c r="H1289" s="42" t="s">
        <v>2121</v>
      </c>
      <c r="I1289" s="16" t="str">
        <f t="shared" si="498"/>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503"/>
        <v>Propriedade destinada a materializar: é.concretagem</v>
      </c>
      <c r="V1289" s="5" t="str">
        <f t="shared" si="504"/>
        <v>Dado para materializar:  concretagem  Deve ser formatado como (rdfs:Literal  or  xsd:string)</v>
      </c>
      <c r="W1289" s="5" t="s">
        <v>5992</v>
      </c>
      <c r="X1289" s="24" t="str">
        <f t="shared" si="505"/>
        <v>mater.102</v>
      </c>
      <c r="Y1289" s="24" t="str">
        <f t="shared" si="506"/>
        <v>Ação de materializar</v>
      </c>
      <c r="Z1289" s="47" t="s">
        <v>1661</v>
      </c>
      <c r="AA1289" s="25" t="str">
        <f t="shared" si="501"/>
        <v>null</v>
      </c>
      <c r="AB1289" s="26" t="s">
        <v>0</v>
      </c>
      <c r="AC1289" s="25" t="str">
        <f t="shared" si="502"/>
        <v>null</v>
      </c>
      <c r="AD1289" s="26" t="s">
        <v>0</v>
      </c>
      <c r="AE1289" s="25" t="str">
        <f t="shared" si="496"/>
        <v>null</v>
      </c>
      <c r="AF1289" s="26" t="s">
        <v>0</v>
      </c>
      <c r="AG1289" s="47" t="s">
        <v>8303</v>
      </c>
    </row>
    <row r="1290" spans="1:33" ht="6.9" customHeight="1" x14ac:dyDescent="0.4">
      <c r="A1290" s="4">
        <f>ROW()</f>
        <v>1290</v>
      </c>
      <c r="B1290" s="9" t="s">
        <v>27</v>
      </c>
      <c r="C1290" s="55" t="str">
        <f t="shared" si="497"/>
        <v>p.materializar</v>
      </c>
      <c r="D1290" s="6" t="str">
        <f t="shared" si="495"/>
        <v>é.liga.de.aço</v>
      </c>
      <c r="E1290" s="8" t="s">
        <v>28</v>
      </c>
      <c r="F1290" s="42" t="str">
        <f>F1288</f>
        <v>d.materializar</v>
      </c>
      <c r="G1290" s="17" t="s">
        <v>1245</v>
      </c>
      <c r="H1290" s="42" t="s">
        <v>2121</v>
      </c>
      <c r="I1290" s="16" t="str">
        <f t="shared" si="49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03"/>
        <v>Propriedade destinada a materializar: é.liga.de.aço</v>
      </c>
      <c r="V1290" s="5" t="str">
        <f t="shared" si="504"/>
        <v>Dado para materializar:  liga.de.aço  Deve ser formatado como (rdfs:Literal  or  xsd:string)</v>
      </c>
      <c r="W1290" s="5" t="s">
        <v>5993</v>
      </c>
      <c r="X1290" s="24" t="str">
        <f t="shared" si="505"/>
        <v>mater.103</v>
      </c>
      <c r="Y1290" s="24" t="str">
        <f t="shared" si="506"/>
        <v>Ação de materializar</v>
      </c>
      <c r="Z1290" s="47" t="s">
        <v>1662</v>
      </c>
      <c r="AA1290" s="25" t="str">
        <f t="shared" si="501"/>
        <v>null</v>
      </c>
      <c r="AB1290" s="26" t="s">
        <v>0</v>
      </c>
      <c r="AC1290" s="25" t="str">
        <f t="shared" si="502"/>
        <v>null</v>
      </c>
      <c r="AD1290" s="26" t="s">
        <v>0</v>
      </c>
      <c r="AE1290" s="25" t="str">
        <f t="shared" si="496"/>
        <v>null</v>
      </c>
      <c r="AF1290" s="26" t="s">
        <v>0</v>
      </c>
      <c r="AG1290" s="47" t="s">
        <v>8304</v>
      </c>
    </row>
    <row r="1291" spans="1:33" ht="6.9" customHeight="1" x14ac:dyDescent="0.4">
      <c r="A1291" s="4">
        <f>ROW()</f>
        <v>1291</v>
      </c>
      <c r="B1291" s="9" t="s">
        <v>27</v>
      </c>
      <c r="C1291" s="54" t="str">
        <f t="shared" ref="C1291:C1294" si="507">SUBSTITUTE(F1291,"d.","p.")</f>
        <v>p.microfonar</v>
      </c>
      <c r="D1291" s="6" t="str">
        <f t="shared" si="495"/>
        <v>é.microfone</v>
      </c>
      <c r="E1291" s="8" t="s">
        <v>28</v>
      </c>
      <c r="F1291" s="51" t="s">
        <v>4229</v>
      </c>
      <c r="G1291" s="17" t="s">
        <v>4437</v>
      </c>
      <c r="H1291" s="42" t="s">
        <v>2121</v>
      </c>
      <c r="I1291" s="16" t="str">
        <f t="shared" ref="I1291:I1294" si="508">J1291</f>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03"/>
        <v>Propriedade destinada a microfonar: é.microfone</v>
      </c>
      <c r="V1291" s="5" t="str">
        <f t="shared" si="504"/>
        <v>Dado para microfonar:  microfone  Deve ser formatado como (rdfs:Literal  or  xsd:string)</v>
      </c>
      <c r="W1291" s="5" t="s">
        <v>5994</v>
      </c>
      <c r="X1291" s="24" t="str">
        <f t="shared" si="505"/>
        <v>micro.100</v>
      </c>
      <c r="Y1291" s="24" t="str">
        <f t="shared" si="506"/>
        <v>Ação de microfonar</v>
      </c>
      <c r="Z1291" s="47" t="s">
        <v>7383</v>
      </c>
      <c r="AA1291" s="25" t="str">
        <f t="shared" ref="AA1291:AA1294" si="509">IF(AB1291="null", "null", "categoria.revit")</f>
        <v>null</v>
      </c>
      <c r="AB1291" s="26" t="s">
        <v>0</v>
      </c>
      <c r="AC1291" s="25" t="str">
        <f t="shared" ref="AC1291:AC1294" si="510">IF(AD1291="null", "null", "classe.ifc")</f>
        <v>null</v>
      </c>
      <c r="AD1291" s="26" t="s">
        <v>0</v>
      </c>
      <c r="AE1291" s="25" t="str">
        <f t="shared" si="496"/>
        <v>null</v>
      </c>
      <c r="AF1291" s="26" t="s">
        <v>0</v>
      </c>
      <c r="AG1291" s="47" t="s">
        <v>4885</v>
      </c>
    </row>
    <row r="1292" spans="1:33" ht="6.9" customHeight="1" x14ac:dyDescent="0.4">
      <c r="A1292" s="4">
        <f>ROW()</f>
        <v>1292</v>
      </c>
      <c r="B1292" s="9" t="s">
        <v>27</v>
      </c>
      <c r="C1292" s="55" t="str">
        <f t="shared" si="507"/>
        <v>p.microfonar</v>
      </c>
      <c r="D1292" s="6" t="str">
        <f t="shared" si="495"/>
        <v>é.spl</v>
      </c>
      <c r="E1292" s="8" t="s">
        <v>28</v>
      </c>
      <c r="F1292" s="42" t="str">
        <f>F1291</f>
        <v>d.microfonar</v>
      </c>
      <c r="G1292" s="17" t="s">
        <v>4230</v>
      </c>
      <c r="H1292" s="42" t="s">
        <v>36</v>
      </c>
      <c r="I1292" s="16" t="str">
        <f t="shared" si="508"/>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03"/>
        <v>Propriedade destinada a microfonar: é.spl</v>
      </c>
      <c r="V1292" s="5" t="str">
        <f t="shared" si="504"/>
        <v>Dado para microfonar:  spl  Deve ser formatado como (xsd:double)</v>
      </c>
      <c r="W1292" s="5" t="s">
        <v>5995</v>
      </c>
      <c r="X1292" s="24" t="str">
        <f t="shared" si="505"/>
        <v>micro.101</v>
      </c>
      <c r="Y1292" s="24" t="str">
        <f t="shared" si="506"/>
        <v>Ação de microfonar</v>
      </c>
      <c r="Z1292" s="47" t="s">
        <v>7384</v>
      </c>
      <c r="AA1292" s="25" t="str">
        <f t="shared" si="509"/>
        <v>null</v>
      </c>
      <c r="AB1292" s="26" t="s">
        <v>0</v>
      </c>
      <c r="AC1292" s="25" t="str">
        <f t="shared" si="510"/>
        <v>null</v>
      </c>
      <c r="AD1292" s="26" t="s">
        <v>0</v>
      </c>
      <c r="AE1292" s="25" t="str">
        <f t="shared" si="496"/>
        <v>null</v>
      </c>
      <c r="AF1292" s="26" t="s">
        <v>0</v>
      </c>
      <c r="AG1292" s="47" t="s">
        <v>4886</v>
      </c>
    </row>
    <row r="1293" spans="1:33" ht="6.9" customHeight="1" x14ac:dyDescent="0.4">
      <c r="A1293" s="4">
        <f>ROW()</f>
        <v>1293</v>
      </c>
      <c r="B1293" s="9" t="s">
        <v>27</v>
      </c>
      <c r="C1293" s="55" t="str">
        <f t="shared" si="507"/>
        <v>p.microfonar</v>
      </c>
      <c r="D1293" s="6" t="str">
        <f t="shared" si="495"/>
        <v>é.impedância</v>
      </c>
      <c r="E1293" s="8" t="s">
        <v>28</v>
      </c>
      <c r="F1293" s="42" t="str">
        <f>F1291</f>
        <v>d.microfonar</v>
      </c>
      <c r="G1293" s="17" t="s">
        <v>4231</v>
      </c>
      <c r="H1293" s="42" t="s">
        <v>36</v>
      </c>
      <c r="I1293" s="16" t="str">
        <f t="shared" si="508"/>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503"/>
        <v>Propriedade destinada a microfonar: é.impedância</v>
      </c>
      <c r="V1293" s="5" t="str">
        <f t="shared" si="504"/>
        <v>Dado para microfonar:  impedância  Deve ser formatado como (xsd:double)</v>
      </c>
      <c r="W1293" s="5" t="s">
        <v>5996</v>
      </c>
      <c r="X1293" s="24" t="str">
        <f t="shared" si="505"/>
        <v>micro.102</v>
      </c>
      <c r="Y1293" s="24" t="str">
        <f t="shared" si="506"/>
        <v>Ação de microfonar</v>
      </c>
      <c r="Z1293" s="47" t="s">
        <v>7385</v>
      </c>
      <c r="AA1293" s="25" t="str">
        <f t="shared" si="509"/>
        <v>null</v>
      </c>
      <c r="AB1293" s="26" t="s">
        <v>0</v>
      </c>
      <c r="AC1293" s="25" t="str">
        <f t="shared" si="510"/>
        <v>null</v>
      </c>
      <c r="AD1293" s="26" t="s">
        <v>0</v>
      </c>
      <c r="AE1293" s="25" t="str">
        <f t="shared" si="496"/>
        <v>null</v>
      </c>
      <c r="AF1293" s="26" t="s">
        <v>0</v>
      </c>
      <c r="AG1293" s="47" t="s">
        <v>4887</v>
      </c>
    </row>
    <row r="1294" spans="1:33" ht="6.9" customHeight="1" x14ac:dyDescent="0.4">
      <c r="A1294" s="4">
        <f>ROW()</f>
        <v>1294</v>
      </c>
      <c r="B1294" s="9" t="s">
        <v>27</v>
      </c>
      <c r="C1294" s="55" t="str">
        <f t="shared" si="507"/>
        <v>p.microfonar</v>
      </c>
      <c r="D1294" s="6" t="str">
        <f t="shared" si="495"/>
        <v>é.microfone.tipo</v>
      </c>
      <c r="E1294" s="8" t="s">
        <v>28</v>
      </c>
      <c r="F1294" s="42" t="str">
        <f>F1292</f>
        <v>d.microfonar</v>
      </c>
      <c r="G1294" s="17" t="s">
        <v>4232</v>
      </c>
      <c r="H1294" s="42" t="s">
        <v>2121</v>
      </c>
      <c r="I1294" s="16" t="str">
        <f t="shared" si="508"/>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503"/>
        <v>Propriedade destinada a microfonar: é.microfone.tipo</v>
      </c>
      <c r="V1294" s="5" t="str">
        <f t="shared" si="504"/>
        <v>Dado para microfonar:  microfone.tipo  Deve ser formatado como (rdfs:Literal  or  xsd:string)</v>
      </c>
      <c r="W1294" s="5" t="s">
        <v>5997</v>
      </c>
      <c r="X1294" s="24" t="str">
        <f t="shared" si="505"/>
        <v>micro.103</v>
      </c>
      <c r="Y1294" s="24" t="str">
        <f t="shared" si="506"/>
        <v>Ação de microfonar</v>
      </c>
      <c r="Z1294" s="47" t="s">
        <v>7386</v>
      </c>
      <c r="AA1294" s="25" t="str">
        <f t="shared" si="509"/>
        <v>null</v>
      </c>
      <c r="AB1294" s="26" t="s">
        <v>0</v>
      </c>
      <c r="AC1294" s="25" t="str">
        <f t="shared" si="510"/>
        <v>null</v>
      </c>
      <c r="AD1294" s="26" t="s">
        <v>0</v>
      </c>
      <c r="AE1294" s="25" t="str">
        <f t="shared" si="496"/>
        <v>null</v>
      </c>
      <c r="AF1294" s="26" t="s">
        <v>0</v>
      </c>
      <c r="AG1294" s="47" t="s">
        <v>4888</v>
      </c>
    </row>
    <row r="1295" spans="1:33" ht="6.9" customHeight="1" x14ac:dyDescent="0.4">
      <c r="A1295" s="4">
        <f>ROW()</f>
        <v>1295</v>
      </c>
      <c r="B1295" s="9" t="s">
        <v>27</v>
      </c>
      <c r="C1295" s="54" t="str">
        <f t="shared" si="497"/>
        <v>p.mobiliar</v>
      </c>
      <c r="D1295" s="6" t="str">
        <f t="shared" ref="D1295:D1358" si="511">_xlfn.CONCAT("é.",G1295)</f>
        <v>é.mobiliário</v>
      </c>
      <c r="E1295" s="8" t="s">
        <v>28</v>
      </c>
      <c r="F1295" s="51" t="s">
        <v>3602</v>
      </c>
      <c r="G1295" s="18" t="s">
        <v>4438</v>
      </c>
      <c r="H1295" s="42" t="s">
        <v>2121</v>
      </c>
      <c r="I1295" s="16" t="str">
        <f t="shared" si="498"/>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503"/>
        <v>Propriedade destinada a mobiliar: é.mobiliário</v>
      </c>
      <c r="V1295" s="5" t="str">
        <f t="shared" si="504"/>
        <v>Dado para mobiliar:  mobiliário  Deve ser formatado como (rdfs:Literal  or  xsd:string)</v>
      </c>
      <c r="W1295" s="5" t="s">
        <v>5998</v>
      </c>
      <c r="X1295" s="24" t="str">
        <f t="shared" si="505"/>
        <v>mobil.100</v>
      </c>
      <c r="Y1295" s="24" t="str">
        <f t="shared" si="506"/>
        <v>Ação de mobiliar</v>
      </c>
      <c r="Z1295" s="47" t="s">
        <v>3977</v>
      </c>
      <c r="AA1295" s="25" t="str">
        <f t="shared" si="501"/>
        <v>categoria.revit</v>
      </c>
      <c r="AB1295" s="26" t="s">
        <v>3521</v>
      </c>
      <c r="AC1295" s="25" t="str">
        <f t="shared" si="502"/>
        <v>classe.ifc</v>
      </c>
      <c r="AD1295" s="26" t="s">
        <v>3473</v>
      </c>
      <c r="AE1295" s="25" t="str">
        <f t="shared" si="496"/>
        <v>null</v>
      </c>
      <c r="AF1295" s="26" t="s">
        <v>0</v>
      </c>
      <c r="AG1295" s="47" t="s">
        <v>4037</v>
      </c>
    </row>
    <row r="1296" spans="1:33" ht="6.9" customHeight="1" x14ac:dyDescent="0.4">
      <c r="A1296" s="4">
        <f>ROW()</f>
        <v>1296</v>
      </c>
      <c r="B1296" s="9" t="s">
        <v>27</v>
      </c>
      <c r="C1296" s="55" t="str">
        <f t="shared" si="497"/>
        <v>p.mobiliar</v>
      </c>
      <c r="D1296" s="6" t="str">
        <f t="shared" si="511"/>
        <v>é.ornamento</v>
      </c>
      <c r="E1296" s="8" t="s">
        <v>28</v>
      </c>
      <c r="F1296" s="42" t="str">
        <f t="shared" ref="F1296:F1304" si="512">F1295</f>
        <v>d.mobiliar</v>
      </c>
      <c r="G1296" s="18" t="s">
        <v>4439</v>
      </c>
      <c r="H1296" s="41" t="s">
        <v>2121</v>
      </c>
      <c r="I1296" s="16" t="str">
        <f t="shared" si="498"/>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03"/>
        <v>Propriedade destinada a mobiliar: é.ornamento</v>
      </c>
      <c r="V1296" s="5" t="str">
        <f t="shared" si="504"/>
        <v>Dado para mobiliar:  ornamento  Deve ser formatado como (rdfs:Literal  or  xsd:string)</v>
      </c>
      <c r="W1296" s="5" t="s">
        <v>5999</v>
      </c>
      <c r="X1296" s="24" t="str">
        <f t="shared" si="505"/>
        <v>mobil.101</v>
      </c>
      <c r="Y1296" s="24" t="str">
        <f t="shared" si="506"/>
        <v>Ação de mobiliar</v>
      </c>
      <c r="Z1296" s="47" t="s">
        <v>3978</v>
      </c>
      <c r="AA1296" s="25" t="str">
        <f t="shared" si="501"/>
        <v>categoria.revit</v>
      </c>
      <c r="AB1296" s="26" t="s">
        <v>3521</v>
      </c>
      <c r="AC1296" s="25" t="str">
        <f t="shared" si="502"/>
        <v>classe.ifc</v>
      </c>
      <c r="AD1296" s="26" t="s">
        <v>3473</v>
      </c>
      <c r="AE1296" s="25" t="str">
        <f t="shared" ref="AE1296:AE1358" si="513">IF(AF1296="null", "null", "propriedade")</f>
        <v>null</v>
      </c>
      <c r="AF1296" s="26" t="s">
        <v>0</v>
      </c>
      <c r="AG1296" s="47" t="s">
        <v>4038</v>
      </c>
    </row>
    <row r="1297" spans="1:33" ht="6.9" customHeight="1" x14ac:dyDescent="0.4">
      <c r="A1297" s="4">
        <f>ROW()</f>
        <v>1297</v>
      </c>
      <c r="B1297" s="9" t="s">
        <v>27</v>
      </c>
      <c r="C1297" s="55" t="str">
        <f t="shared" si="497"/>
        <v>p.mobiliar</v>
      </c>
      <c r="D1297" s="6" t="str">
        <f t="shared" si="511"/>
        <v>é.fixa</v>
      </c>
      <c r="E1297" s="8" t="s">
        <v>28</v>
      </c>
      <c r="F1297" s="42" t="str">
        <f t="shared" si="512"/>
        <v>d.mobiliar</v>
      </c>
      <c r="G1297" s="17" t="s">
        <v>312</v>
      </c>
      <c r="H1297" s="42" t="s">
        <v>37</v>
      </c>
      <c r="I1297" s="16" t="str">
        <f t="shared" si="498"/>
        <v>null</v>
      </c>
      <c r="J1297" s="15" t="s">
        <v>0</v>
      </c>
      <c r="K1297" s="15" t="s">
        <v>0</v>
      </c>
      <c r="L1297" s="15" t="s">
        <v>0</v>
      </c>
      <c r="M1297" s="15" t="s">
        <v>0</v>
      </c>
      <c r="N1297" s="15" t="s">
        <v>0</v>
      </c>
      <c r="O1297" s="15" t="s">
        <v>0</v>
      </c>
      <c r="P1297" s="15" t="s">
        <v>0</v>
      </c>
      <c r="Q1297" s="15" t="s">
        <v>0</v>
      </c>
      <c r="R1297" s="15" t="s">
        <v>7339</v>
      </c>
      <c r="S1297" s="10" t="s">
        <v>1</v>
      </c>
      <c r="T1297" s="10" t="s">
        <v>32</v>
      </c>
      <c r="U1297" s="5" t="str">
        <f t="shared" si="503"/>
        <v>Propriedade destinada a mobiliar: é.fixa</v>
      </c>
      <c r="V1297" s="5" t="str">
        <f t="shared" si="504"/>
        <v>Dado para mobiliar:  fixa  Deve ser formatado como (xsd:boolean)</v>
      </c>
      <c r="W1297" s="5" t="s">
        <v>6000</v>
      </c>
      <c r="X1297" s="24" t="str">
        <f t="shared" si="505"/>
        <v>mobil.102</v>
      </c>
      <c r="Y1297" s="24" t="str">
        <f t="shared" si="506"/>
        <v>Ação de mobiliar</v>
      </c>
      <c r="Z1297" s="47" t="s">
        <v>1685</v>
      </c>
      <c r="AA1297" s="25" t="str">
        <f t="shared" si="501"/>
        <v>categoria.revit</v>
      </c>
      <c r="AB1297" s="26" t="s">
        <v>3521</v>
      </c>
      <c r="AC1297" s="25" t="str">
        <f t="shared" si="502"/>
        <v>classe.ifc</v>
      </c>
      <c r="AD1297" s="26" t="s">
        <v>3473</v>
      </c>
      <c r="AE1297" s="25" t="str">
        <f t="shared" si="513"/>
        <v>null</v>
      </c>
      <c r="AF1297" s="26" t="s">
        <v>0</v>
      </c>
      <c r="AG1297" s="47" t="s">
        <v>3030</v>
      </c>
    </row>
    <row r="1298" spans="1:33" ht="6.9" customHeight="1" x14ac:dyDescent="0.4">
      <c r="A1298" s="4">
        <f>ROW()</f>
        <v>1298</v>
      </c>
      <c r="B1298" s="9" t="s">
        <v>27</v>
      </c>
      <c r="C1298" s="55" t="str">
        <f t="shared" si="497"/>
        <v>p.mobiliar</v>
      </c>
      <c r="D1298" s="6" t="str">
        <f t="shared" si="511"/>
        <v>é.móvel</v>
      </c>
      <c r="E1298" s="8" t="s">
        <v>28</v>
      </c>
      <c r="F1298" s="42" t="str">
        <f t="shared" si="512"/>
        <v>d.mobiliar</v>
      </c>
      <c r="G1298" s="17" t="s">
        <v>277</v>
      </c>
      <c r="H1298" s="42" t="s">
        <v>37</v>
      </c>
      <c r="I1298" s="16" t="str">
        <f t="shared" si="49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03"/>
        <v>Propriedade destinada a mobiliar: é.móvel</v>
      </c>
      <c r="V1298" s="5" t="str">
        <f t="shared" si="504"/>
        <v>Dado para mobiliar:  móvel  Deve ser formatado como (xsd:boolean)</v>
      </c>
      <c r="W1298" s="5" t="s">
        <v>6001</v>
      </c>
      <c r="X1298" s="24" t="str">
        <f t="shared" si="505"/>
        <v>mobil.103</v>
      </c>
      <c r="Y1298" s="24" t="str">
        <f t="shared" si="506"/>
        <v>Ação de mobiliar</v>
      </c>
      <c r="Z1298" s="47" t="s">
        <v>1686</v>
      </c>
      <c r="AA1298" s="25" t="str">
        <f t="shared" si="501"/>
        <v>categoria.revit</v>
      </c>
      <c r="AB1298" s="26" t="s">
        <v>3521</v>
      </c>
      <c r="AC1298" s="25" t="str">
        <f t="shared" si="502"/>
        <v>classe.ifc</v>
      </c>
      <c r="AD1298" s="26" t="s">
        <v>3473</v>
      </c>
      <c r="AE1298" s="25" t="str">
        <f t="shared" si="513"/>
        <v>null</v>
      </c>
      <c r="AF1298" s="26" t="s">
        <v>0</v>
      </c>
      <c r="AG1298" s="47" t="s">
        <v>3031</v>
      </c>
    </row>
    <row r="1299" spans="1:33" ht="6.9" customHeight="1" x14ac:dyDescent="0.4">
      <c r="A1299" s="4">
        <f>ROW()</f>
        <v>1299</v>
      </c>
      <c r="B1299" s="9" t="s">
        <v>27</v>
      </c>
      <c r="C1299" s="55" t="str">
        <f t="shared" si="497"/>
        <v>p.mobiliar</v>
      </c>
      <c r="D1299" s="6" t="str">
        <f t="shared" si="511"/>
        <v>é.doméstica</v>
      </c>
      <c r="E1299" s="8" t="s">
        <v>28</v>
      </c>
      <c r="F1299" s="42" t="str">
        <f t="shared" si="512"/>
        <v>d.mobiliar</v>
      </c>
      <c r="G1299" s="17" t="s">
        <v>400</v>
      </c>
      <c r="H1299" s="42" t="s">
        <v>37</v>
      </c>
      <c r="I1299" s="16" t="str">
        <f t="shared" si="49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03"/>
        <v>Propriedade destinada a mobiliar: é.doméstica</v>
      </c>
      <c r="V1299" s="5" t="str">
        <f t="shared" si="504"/>
        <v>Dado para mobiliar:  doméstica  Deve ser formatado como (xsd:boolean)</v>
      </c>
      <c r="W1299" s="5" t="s">
        <v>6002</v>
      </c>
      <c r="X1299" s="24" t="str">
        <f t="shared" si="505"/>
        <v>mobil.104</v>
      </c>
      <c r="Y1299" s="24" t="str">
        <f t="shared" si="506"/>
        <v>Ação de mobiliar</v>
      </c>
      <c r="Z1299" s="47" t="s">
        <v>1687</v>
      </c>
      <c r="AA1299" s="25" t="str">
        <f t="shared" si="501"/>
        <v>categoria.revit</v>
      </c>
      <c r="AB1299" s="26" t="s">
        <v>3521</v>
      </c>
      <c r="AC1299" s="25" t="str">
        <f t="shared" si="502"/>
        <v>classe.ifc</v>
      </c>
      <c r="AD1299" s="26" t="s">
        <v>3473</v>
      </c>
      <c r="AE1299" s="25" t="str">
        <f t="shared" si="513"/>
        <v>null</v>
      </c>
      <c r="AF1299" s="26" t="s">
        <v>0</v>
      </c>
      <c r="AG1299" s="47" t="s">
        <v>3032</v>
      </c>
    </row>
    <row r="1300" spans="1:33" ht="6.9" customHeight="1" x14ac:dyDescent="0.4">
      <c r="A1300" s="4">
        <f>ROW()</f>
        <v>1300</v>
      </c>
      <c r="B1300" s="9" t="s">
        <v>27</v>
      </c>
      <c r="C1300" s="55" t="str">
        <f t="shared" si="497"/>
        <v>p.mobiliar</v>
      </c>
      <c r="D1300" s="6" t="str">
        <f t="shared" si="511"/>
        <v>é.para.saúde</v>
      </c>
      <c r="E1300" s="8" t="s">
        <v>28</v>
      </c>
      <c r="F1300" s="42" t="str">
        <f t="shared" si="512"/>
        <v>d.mobiliar</v>
      </c>
      <c r="G1300" s="17" t="s">
        <v>811</v>
      </c>
      <c r="H1300" s="42" t="s">
        <v>37</v>
      </c>
      <c r="I1300" s="16" t="str">
        <f t="shared" si="49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03"/>
        <v>Propriedade destinada a mobiliar: é.para.saúde</v>
      </c>
      <c r="V1300" s="5" t="str">
        <f t="shared" si="504"/>
        <v>Dado para mobiliar:  para.saúde  Deve ser formatado como (xsd:boolean)</v>
      </c>
      <c r="W1300" s="5" t="s">
        <v>6003</v>
      </c>
      <c r="X1300" s="24" t="str">
        <f t="shared" si="505"/>
        <v>mobil.105</v>
      </c>
      <c r="Y1300" s="24" t="str">
        <f t="shared" si="506"/>
        <v>Ação de mobiliar</v>
      </c>
      <c r="Z1300" s="47" t="s">
        <v>1688</v>
      </c>
      <c r="AA1300" s="25" t="str">
        <f t="shared" si="501"/>
        <v>categoria.revit</v>
      </c>
      <c r="AB1300" s="26" t="s">
        <v>3521</v>
      </c>
      <c r="AC1300" s="25" t="str">
        <f t="shared" si="502"/>
        <v>classe.ifc</v>
      </c>
      <c r="AD1300" s="26" t="s">
        <v>3473</v>
      </c>
      <c r="AE1300" s="25" t="str">
        <f t="shared" si="513"/>
        <v>null</v>
      </c>
      <c r="AF1300" s="26" t="s">
        <v>0</v>
      </c>
      <c r="AG1300" s="47" t="s">
        <v>3033</v>
      </c>
    </row>
    <row r="1301" spans="1:33" ht="6.9" customHeight="1" x14ac:dyDescent="0.4">
      <c r="A1301" s="4">
        <f>ROW()</f>
        <v>1301</v>
      </c>
      <c r="B1301" s="9" t="s">
        <v>27</v>
      </c>
      <c r="C1301" s="55" t="str">
        <f t="shared" si="497"/>
        <v>p.mobiliar</v>
      </c>
      <c r="D1301" s="6" t="str">
        <f t="shared" si="511"/>
        <v>é.para.orientar</v>
      </c>
      <c r="E1301" s="8" t="s">
        <v>28</v>
      </c>
      <c r="F1301" s="42" t="str">
        <f t="shared" si="512"/>
        <v>d.mobiliar</v>
      </c>
      <c r="G1301" s="17" t="s">
        <v>812</v>
      </c>
      <c r="H1301" s="42" t="s">
        <v>37</v>
      </c>
      <c r="I1301" s="16" t="str">
        <f t="shared" si="49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03"/>
        <v>Propriedade destinada a mobiliar: é.para.orientar</v>
      </c>
      <c r="V1301" s="5" t="str">
        <f t="shared" si="504"/>
        <v>Dado para mobiliar:  para.orientar  Deve ser formatado como (xsd:boolean)</v>
      </c>
      <c r="W1301" s="5" t="s">
        <v>6004</v>
      </c>
      <c r="X1301" s="24" t="str">
        <f t="shared" si="505"/>
        <v>mobil.106</v>
      </c>
      <c r="Y1301" s="24" t="str">
        <f t="shared" si="506"/>
        <v>Ação de mobiliar</v>
      </c>
      <c r="Z1301" s="47" t="s">
        <v>1689</v>
      </c>
      <c r="AA1301" s="25" t="str">
        <f t="shared" si="501"/>
        <v>categoria.revit</v>
      </c>
      <c r="AB1301" s="26" t="s">
        <v>3521</v>
      </c>
      <c r="AC1301" s="25" t="str">
        <f t="shared" si="502"/>
        <v>classe.ifc</v>
      </c>
      <c r="AD1301" s="26" t="s">
        <v>3473</v>
      </c>
      <c r="AE1301" s="25" t="str">
        <f t="shared" si="513"/>
        <v>null</v>
      </c>
      <c r="AF1301" s="26" t="s">
        <v>0</v>
      </c>
      <c r="AG1301" s="47" t="s">
        <v>3034</v>
      </c>
    </row>
    <row r="1302" spans="1:33" ht="6.9" customHeight="1" x14ac:dyDescent="0.4">
      <c r="A1302" s="4">
        <f>ROW()</f>
        <v>1302</v>
      </c>
      <c r="B1302" s="9" t="s">
        <v>27</v>
      </c>
      <c r="C1302" s="55" t="str">
        <f t="shared" si="497"/>
        <v>p.mobiliar</v>
      </c>
      <c r="D1302" s="6" t="str">
        <f t="shared" si="511"/>
        <v>é.para.conforto</v>
      </c>
      <c r="E1302" s="8" t="s">
        <v>28</v>
      </c>
      <c r="F1302" s="42" t="str">
        <f t="shared" si="512"/>
        <v>d.mobiliar</v>
      </c>
      <c r="G1302" s="17" t="s">
        <v>813</v>
      </c>
      <c r="H1302" s="42" t="s">
        <v>37</v>
      </c>
      <c r="I1302" s="16" t="str">
        <f t="shared" si="49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03"/>
        <v>Propriedade destinada a mobiliar: é.para.conforto</v>
      </c>
      <c r="V1302" s="5" t="str">
        <f t="shared" si="504"/>
        <v>Dado para mobiliar:  para.conforto  Deve ser formatado como (xsd:boolean)</v>
      </c>
      <c r="W1302" s="5" t="s">
        <v>6005</v>
      </c>
      <c r="X1302" s="24" t="str">
        <f t="shared" si="505"/>
        <v>mobil.107</v>
      </c>
      <c r="Y1302" s="24" t="str">
        <f t="shared" si="506"/>
        <v>Ação de mobiliar</v>
      </c>
      <c r="Z1302" s="47" t="s">
        <v>1690</v>
      </c>
      <c r="AA1302" s="25" t="str">
        <f t="shared" si="501"/>
        <v>categoria.revit</v>
      </c>
      <c r="AB1302" s="26" t="s">
        <v>3521</v>
      </c>
      <c r="AC1302" s="25" t="str">
        <f t="shared" si="502"/>
        <v>classe.ifc</v>
      </c>
      <c r="AD1302" s="26" t="s">
        <v>3473</v>
      </c>
      <c r="AE1302" s="25" t="str">
        <f t="shared" si="513"/>
        <v>null</v>
      </c>
      <c r="AF1302" s="26" t="s">
        <v>0</v>
      </c>
      <c r="AG1302" s="47" t="s">
        <v>3035</v>
      </c>
    </row>
    <row r="1303" spans="1:33" ht="6.9" customHeight="1" x14ac:dyDescent="0.4">
      <c r="A1303" s="4">
        <f>ROW()</f>
        <v>1303</v>
      </c>
      <c r="B1303" s="9" t="s">
        <v>27</v>
      </c>
      <c r="C1303" s="55" t="str">
        <f t="shared" si="497"/>
        <v>p.mobiliar</v>
      </c>
      <c r="D1303" s="6" t="str">
        <f t="shared" si="511"/>
        <v>é.para.trabalhar</v>
      </c>
      <c r="E1303" s="8" t="s">
        <v>28</v>
      </c>
      <c r="F1303" s="42" t="str">
        <f t="shared" si="512"/>
        <v>d.mobiliar</v>
      </c>
      <c r="G1303" s="17" t="s">
        <v>814</v>
      </c>
      <c r="H1303" s="42" t="s">
        <v>37</v>
      </c>
      <c r="I1303" s="16" t="str">
        <f t="shared" si="49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03"/>
        <v>Propriedade destinada a mobiliar: é.para.trabalhar</v>
      </c>
      <c r="V1303" s="5" t="str">
        <f t="shared" si="504"/>
        <v>Dado para mobiliar:  para.trabalhar  Deve ser formatado como (xsd:boolean)</v>
      </c>
      <c r="W1303" s="5" t="s">
        <v>6006</v>
      </c>
      <c r="X1303" s="24" t="str">
        <f t="shared" si="505"/>
        <v>mobil.108</v>
      </c>
      <c r="Y1303" s="24" t="str">
        <f t="shared" si="506"/>
        <v>Ação de mobiliar</v>
      </c>
      <c r="Z1303" s="47" t="s">
        <v>1691</v>
      </c>
      <c r="AA1303" s="25" t="str">
        <f t="shared" si="501"/>
        <v>categoria.revit</v>
      </c>
      <c r="AB1303" s="26" t="s">
        <v>3522</v>
      </c>
      <c r="AC1303" s="25" t="str">
        <f t="shared" si="502"/>
        <v>classe.ifc</v>
      </c>
      <c r="AD1303" s="26" t="s">
        <v>3473</v>
      </c>
      <c r="AE1303" s="25" t="str">
        <f t="shared" si="513"/>
        <v>null</v>
      </c>
      <c r="AF1303" s="26" t="s">
        <v>0</v>
      </c>
      <c r="AG1303" s="47" t="s">
        <v>3036</v>
      </c>
    </row>
    <row r="1304" spans="1:33" ht="6.9" customHeight="1" x14ac:dyDescent="0.4">
      <c r="A1304" s="4">
        <f>ROW()</f>
        <v>1304</v>
      </c>
      <c r="B1304" s="9" t="s">
        <v>27</v>
      </c>
      <c r="C1304" s="55" t="str">
        <f t="shared" si="497"/>
        <v>p.mobiliar</v>
      </c>
      <c r="D1304" s="6" t="str">
        <f t="shared" si="511"/>
        <v>é.para.ornar</v>
      </c>
      <c r="E1304" s="8" t="s">
        <v>28</v>
      </c>
      <c r="F1304" s="42" t="str">
        <f t="shared" si="512"/>
        <v>d.mobiliar</v>
      </c>
      <c r="G1304" s="17" t="s">
        <v>815</v>
      </c>
      <c r="H1304" s="42" t="s">
        <v>37</v>
      </c>
      <c r="I1304" s="16" t="str">
        <f t="shared" si="498"/>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03"/>
        <v>Propriedade destinada a mobiliar: é.para.ornar</v>
      </c>
      <c r="V1304" s="5" t="str">
        <f t="shared" si="504"/>
        <v>Dado para mobiliar:  para.ornar  Deve ser formatado como (xsd:boolean)</v>
      </c>
      <c r="W1304" s="5" t="s">
        <v>6007</v>
      </c>
      <c r="X1304" s="24" t="str">
        <f t="shared" si="505"/>
        <v>mobil.109</v>
      </c>
      <c r="Y1304" s="24" t="str">
        <f t="shared" si="506"/>
        <v>Ação de mobiliar</v>
      </c>
      <c r="Z1304" s="47" t="s">
        <v>1692</v>
      </c>
      <c r="AA1304" s="25" t="str">
        <f t="shared" si="501"/>
        <v>categoria.revit</v>
      </c>
      <c r="AB1304" s="26" t="s">
        <v>3521</v>
      </c>
      <c r="AC1304" s="25" t="str">
        <f t="shared" si="502"/>
        <v>classe.ifc</v>
      </c>
      <c r="AD1304" s="26" t="s">
        <v>3473</v>
      </c>
      <c r="AE1304" s="25" t="str">
        <f t="shared" si="513"/>
        <v>null</v>
      </c>
      <c r="AF1304" s="26" t="s">
        <v>0</v>
      </c>
      <c r="AG1304" s="47" t="s">
        <v>3037</v>
      </c>
    </row>
    <row r="1305" spans="1:33" ht="6.9" customHeight="1" x14ac:dyDescent="0.4">
      <c r="A1305" s="4">
        <f>ROW()</f>
        <v>1305</v>
      </c>
      <c r="B1305" s="9" t="s">
        <v>27</v>
      </c>
      <c r="C1305" s="54" t="str">
        <f t="shared" si="497"/>
        <v>p.modular</v>
      </c>
      <c r="D1305" s="6" t="str">
        <f t="shared" si="511"/>
        <v>é.modulado</v>
      </c>
      <c r="E1305" s="8" t="s">
        <v>28</v>
      </c>
      <c r="F1305" s="51" t="s">
        <v>3603</v>
      </c>
      <c r="G1305" s="17" t="s">
        <v>157</v>
      </c>
      <c r="H1305" s="42" t="s">
        <v>37</v>
      </c>
      <c r="I1305" s="16" t="str">
        <f t="shared" si="498"/>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03"/>
        <v>Propriedade destinada a modular: é.modulado</v>
      </c>
      <c r="V1305" s="5" t="str">
        <f t="shared" si="504"/>
        <v>Dado para modular:  modulado  Deve ser formatado como (xsd:boolean)</v>
      </c>
      <c r="W1305" s="5" t="s">
        <v>6008</v>
      </c>
      <c r="X1305" s="24" t="str">
        <f t="shared" si="505"/>
        <v>modul.100</v>
      </c>
      <c r="Y1305" s="24" t="str">
        <f t="shared" si="506"/>
        <v>Ação de modular</v>
      </c>
      <c r="Z1305" s="47" t="s">
        <v>1693</v>
      </c>
      <c r="AA1305" s="25" t="str">
        <f t="shared" si="501"/>
        <v>null</v>
      </c>
      <c r="AB1305" s="26" t="s">
        <v>0</v>
      </c>
      <c r="AC1305" s="25" t="str">
        <f t="shared" si="502"/>
        <v>null</v>
      </c>
      <c r="AD1305" s="26" t="s">
        <v>0</v>
      </c>
      <c r="AE1305" s="25" t="str">
        <f t="shared" si="513"/>
        <v>null</v>
      </c>
      <c r="AF1305" s="26" t="s">
        <v>0</v>
      </c>
      <c r="AG1305" s="47" t="s">
        <v>3038</v>
      </c>
    </row>
    <row r="1306" spans="1:33" ht="6.9" customHeight="1" x14ac:dyDescent="0.4">
      <c r="A1306" s="4">
        <f>ROW()</f>
        <v>1306</v>
      </c>
      <c r="B1306" s="9" t="s">
        <v>27</v>
      </c>
      <c r="C1306" s="55" t="str">
        <f t="shared" ref="C1306:C1346" si="514">SUBSTITUTE(F1306,"d.","p.")</f>
        <v>p.modular</v>
      </c>
      <c r="D1306" s="6" t="str">
        <f t="shared" si="511"/>
        <v>é.módulo.a</v>
      </c>
      <c r="E1306" s="8" t="s">
        <v>28</v>
      </c>
      <c r="F1306" s="42" t="str">
        <f>F1305</f>
        <v>d.modular</v>
      </c>
      <c r="G1306" s="17" t="s">
        <v>816</v>
      </c>
      <c r="H1306" s="42" t="s">
        <v>33</v>
      </c>
      <c r="I1306" s="16" t="str">
        <f t="shared" si="498"/>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03"/>
        <v>Propriedade destinada a modular: é.módulo.a</v>
      </c>
      <c r="V1306" s="5" t="str">
        <f t="shared" si="504"/>
        <v>Dado para modular:  módulo.a  Deve ser formatado como (xsd:integer)</v>
      </c>
      <c r="W1306" s="5" t="s">
        <v>6009</v>
      </c>
      <c r="X1306" s="24" t="str">
        <f t="shared" si="505"/>
        <v>modul.101</v>
      </c>
      <c r="Y1306" s="24" t="str">
        <f t="shared" si="506"/>
        <v>Ação de modular</v>
      </c>
      <c r="Z1306" s="47" t="s">
        <v>1694</v>
      </c>
      <c r="AA1306" s="25" t="str">
        <f t="shared" si="501"/>
        <v>null</v>
      </c>
      <c r="AB1306" s="26" t="s">
        <v>0</v>
      </c>
      <c r="AC1306" s="25" t="str">
        <f t="shared" si="502"/>
        <v>null</v>
      </c>
      <c r="AD1306" s="26" t="s">
        <v>0</v>
      </c>
      <c r="AE1306" s="25" t="str">
        <f t="shared" si="513"/>
        <v>null</v>
      </c>
      <c r="AF1306" s="26" t="s">
        <v>0</v>
      </c>
      <c r="AG1306" s="47" t="s">
        <v>3039</v>
      </c>
    </row>
    <row r="1307" spans="1:33" ht="6.9" customHeight="1" x14ac:dyDescent="0.4">
      <c r="A1307" s="4">
        <f>ROW()</f>
        <v>1307</v>
      </c>
      <c r="B1307" s="9" t="s">
        <v>27</v>
      </c>
      <c r="C1307" s="55" t="str">
        <f t="shared" si="514"/>
        <v>p.modular</v>
      </c>
      <c r="D1307" s="6" t="str">
        <f t="shared" si="511"/>
        <v>é.módulo.b</v>
      </c>
      <c r="E1307" s="8" t="s">
        <v>28</v>
      </c>
      <c r="F1307" s="42" t="str">
        <f>F1306</f>
        <v>d.modular</v>
      </c>
      <c r="G1307" s="17" t="s">
        <v>817</v>
      </c>
      <c r="H1307" s="42" t="s">
        <v>33</v>
      </c>
      <c r="I1307" s="16" t="str">
        <f t="shared" si="49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03"/>
        <v>Propriedade destinada a modular: é.módulo.b</v>
      </c>
      <c r="V1307" s="5" t="str">
        <f t="shared" si="504"/>
        <v>Dado para modular:  módulo.b  Deve ser formatado como (xsd:integer)</v>
      </c>
      <c r="W1307" s="5" t="s">
        <v>6010</v>
      </c>
      <c r="X1307" s="24" t="str">
        <f t="shared" si="505"/>
        <v>modul.102</v>
      </c>
      <c r="Y1307" s="24" t="str">
        <f t="shared" si="506"/>
        <v>Ação de modular</v>
      </c>
      <c r="Z1307" s="47" t="s">
        <v>1695</v>
      </c>
      <c r="AA1307" s="25" t="str">
        <f t="shared" si="501"/>
        <v>null</v>
      </c>
      <c r="AB1307" s="26" t="s">
        <v>0</v>
      </c>
      <c r="AC1307" s="25" t="str">
        <f t="shared" si="502"/>
        <v>null</v>
      </c>
      <c r="AD1307" s="26" t="s">
        <v>0</v>
      </c>
      <c r="AE1307" s="25" t="str">
        <f t="shared" si="513"/>
        <v>null</v>
      </c>
      <c r="AF1307" s="26" t="s">
        <v>0</v>
      </c>
      <c r="AG1307" s="47" t="s">
        <v>3040</v>
      </c>
    </row>
    <row r="1308" spans="1:33" ht="6.9" customHeight="1" x14ac:dyDescent="0.4">
      <c r="A1308" s="4">
        <f>ROW()</f>
        <v>1308</v>
      </c>
      <c r="B1308" s="9" t="s">
        <v>27</v>
      </c>
      <c r="C1308" s="55" t="str">
        <f t="shared" si="514"/>
        <v>p.modular</v>
      </c>
      <c r="D1308" s="6" t="str">
        <f t="shared" si="511"/>
        <v>é.módulo.c</v>
      </c>
      <c r="E1308" s="8" t="s">
        <v>28</v>
      </c>
      <c r="F1308" s="42" t="str">
        <f>F1307</f>
        <v>d.modular</v>
      </c>
      <c r="G1308" s="17" t="s">
        <v>818</v>
      </c>
      <c r="H1308" s="42" t="s">
        <v>33</v>
      </c>
      <c r="I1308" s="16" t="str">
        <f t="shared" si="49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03"/>
        <v>Propriedade destinada a modular: é.módulo.c</v>
      </c>
      <c r="V1308" s="5" t="str">
        <f t="shared" si="504"/>
        <v>Dado para modular:  módulo.c  Deve ser formatado como (xsd:integer)</v>
      </c>
      <c r="W1308" s="5" t="s">
        <v>6011</v>
      </c>
      <c r="X1308" s="24" t="str">
        <f t="shared" si="505"/>
        <v>modul.103</v>
      </c>
      <c r="Y1308" s="24" t="str">
        <f t="shared" si="506"/>
        <v>Ação de modular</v>
      </c>
      <c r="Z1308" s="47" t="s">
        <v>1696</v>
      </c>
      <c r="AA1308" s="25" t="str">
        <f t="shared" si="501"/>
        <v>null</v>
      </c>
      <c r="AB1308" s="26" t="s">
        <v>0</v>
      </c>
      <c r="AC1308" s="25" t="str">
        <f t="shared" si="502"/>
        <v>null</v>
      </c>
      <c r="AD1308" s="26" t="s">
        <v>0</v>
      </c>
      <c r="AE1308" s="25" t="str">
        <f t="shared" si="513"/>
        <v>null</v>
      </c>
      <c r="AF1308" s="26" t="s">
        <v>0</v>
      </c>
      <c r="AG1308" s="47" t="s">
        <v>3041</v>
      </c>
    </row>
    <row r="1309" spans="1:33" ht="6.9" customHeight="1" x14ac:dyDescent="0.4">
      <c r="A1309" s="4">
        <f>ROW()</f>
        <v>1309</v>
      </c>
      <c r="B1309" s="9" t="s">
        <v>27</v>
      </c>
      <c r="C1309" s="55" t="str">
        <f t="shared" si="514"/>
        <v>p.modular</v>
      </c>
      <c r="D1309" s="6" t="str">
        <f t="shared" si="511"/>
        <v>é.módulo.d</v>
      </c>
      <c r="E1309" s="8" t="s">
        <v>28</v>
      </c>
      <c r="F1309" s="42" t="str">
        <f>F1308</f>
        <v>d.modular</v>
      </c>
      <c r="G1309" s="17" t="s">
        <v>819</v>
      </c>
      <c r="H1309" s="42" t="s">
        <v>33</v>
      </c>
      <c r="I1309" s="16" t="str">
        <f t="shared" ref="I1309:I1346" si="515">J1309</f>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03"/>
        <v>Propriedade destinada a modular: é.módulo.d</v>
      </c>
      <c r="V1309" s="5" t="str">
        <f t="shared" si="504"/>
        <v>Dado para modular:  módulo.d  Deve ser formatado como (xsd:integer)</v>
      </c>
      <c r="W1309" s="5" t="s">
        <v>6012</v>
      </c>
      <c r="X1309" s="24" t="str">
        <f t="shared" si="505"/>
        <v>modul.104</v>
      </c>
      <c r="Y1309" s="24" t="str">
        <f t="shared" si="506"/>
        <v>Ação de modular</v>
      </c>
      <c r="Z1309" s="47" t="s">
        <v>1697</v>
      </c>
      <c r="AA1309" s="25" t="str">
        <f t="shared" si="501"/>
        <v>null</v>
      </c>
      <c r="AB1309" s="26" t="s">
        <v>0</v>
      </c>
      <c r="AC1309" s="25" t="str">
        <f t="shared" si="502"/>
        <v>null</v>
      </c>
      <c r="AD1309" s="26" t="s">
        <v>0</v>
      </c>
      <c r="AE1309" s="25" t="str">
        <f t="shared" si="513"/>
        <v>null</v>
      </c>
      <c r="AF1309" s="26" t="s">
        <v>0</v>
      </c>
      <c r="AG1309" s="47" t="s">
        <v>3042</v>
      </c>
    </row>
    <row r="1310" spans="1:33" ht="6.9" customHeight="1" x14ac:dyDescent="0.4">
      <c r="A1310" s="4">
        <f>ROW()</f>
        <v>1310</v>
      </c>
      <c r="B1310" s="9" t="s">
        <v>27</v>
      </c>
      <c r="C1310" s="55" t="str">
        <f t="shared" si="514"/>
        <v>p.modular</v>
      </c>
      <c r="D1310" s="6" t="str">
        <f t="shared" si="511"/>
        <v>é.proporção</v>
      </c>
      <c r="E1310" s="8" t="s">
        <v>28</v>
      </c>
      <c r="F1310" s="42" t="str">
        <f>F1309</f>
        <v>d.modular</v>
      </c>
      <c r="G1310" s="17" t="s">
        <v>228</v>
      </c>
      <c r="H1310" s="42" t="s">
        <v>33</v>
      </c>
      <c r="I1310" s="16" t="str">
        <f t="shared" si="51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03"/>
        <v>Propriedade destinada a modular: é.proporção</v>
      </c>
      <c r="V1310" s="5" t="str">
        <f t="shared" si="504"/>
        <v>Dado para modular:  proporção  Deve ser formatado como (xsd:integer)</v>
      </c>
      <c r="W1310" s="5" t="s">
        <v>6013</v>
      </c>
      <c r="X1310" s="24" t="str">
        <f t="shared" si="505"/>
        <v>modul.105</v>
      </c>
      <c r="Y1310" s="24" t="str">
        <f t="shared" si="506"/>
        <v>Ação de modular</v>
      </c>
      <c r="Z1310" s="47" t="s">
        <v>1698</v>
      </c>
      <c r="AA1310" s="25" t="str">
        <f t="shared" si="501"/>
        <v>null</v>
      </c>
      <c r="AB1310" s="26" t="s">
        <v>0</v>
      </c>
      <c r="AC1310" s="25" t="str">
        <f t="shared" si="502"/>
        <v>null</v>
      </c>
      <c r="AD1310" s="26" t="s">
        <v>0</v>
      </c>
      <c r="AE1310" s="25" t="str">
        <f t="shared" si="513"/>
        <v>null</v>
      </c>
      <c r="AF1310" s="26" t="s">
        <v>0</v>
      </c>
      <c r="AG1310" s="47" t="s">
        <v>3043</v>
      </c>
    </row>
    <row r="1311" spans="1:33" ht="6.9" customHeight="1" x14ac:dyDescent="0.4">
      <c r="A1311" s="4">
        <f>ROW()</f>
        <v>1311</v>
      </c>
      <c r="B1311" s="9" t="s">
        <v>27</v>
      </c>
      <c r="C1311" s="54" t="str">
        <f t="shared" si="514"/>
        <v>p.montar</v>
      </c>
      <c r="D1311" s="6" t="str">
        <f t="shared" si="511"/>
        <v>é.apoio.de</v>
      </c>
      <c r="E1311" s="8" t="s">
        <v>28</v>
      </c>
      <c r="F1311" s="51" t="s">
        <v>3604</v>
      </c>
      <c r="G1311" s="17" t="s">
        <v>6961</v>
      </c>
      <c r="H1311" s="42" t="s">
        <v>2121</v>
      </c>
      <c r="I1311" s="16" t="str">
        <f t="shared" si="515"/>
        <v>null</v>
      </c>
      <c r="J1311" s="15" t="s">
        <v>0</v>
      </c>
      <c r="K1311" s="15" t="s">
        <v>0</v>
      </c>
      <c r="L1311" s="15" t="s">
        <v>0</v>
      </c>
      <c r="M1311" s="15" t="s">
        <v>0</v>
      </c>
      <c r="N1311" s="15" t="s">
        <v>0</v>
      </c>
      <c r="O1311" s="15" t="s">
        <v>0</v>
      </c>
      <c r="P1311" s="15" t="s">
        <v>0</v>
      </c>
      <c r="Q1311" s="15" t="s">
        <v>3937</v>
      </c>
      <c r="R1311" s="15" t="s">
        <v>0</v>
      </c>
      <c r="S1311" s="10" t="s">
        <v>1</v>
      </c>
      <c r="T1311" s="10" t="s">
        <v>32</v>
      </c>
      <c r="U1311" s="5" t="str">
        <f t="shared" si="503"/>
        <v>Propriedade destinada a montar: é.apoio.de</v>
      </c>
      <c r="V1311" s="5" t="str">
        <f t="shared" si="504"/>
        <v>Dado para montar:  apoio.de  Deve ser formatado como (rdfs:Literal  or  xsd:string)</v>
      </c>
      <c r="W1311" s="5" t="s">
        <v>6963</v>
      </c>
      <c r="X1311" s="24" t="str">
        <f t="shared" si="505"/>
        <v>monta.100</v>
      </c>
      <c r="Y1311" s="24" t="str">
        <f t="shared" si="506"/>
        <v>Ação de montar</v>
      </c>
      <c r="Z1311" s="47" t="s">
        <v>2117</v>
      </c>
      <c r="AA1311" s="25" t="str">
        <f t="shared" si="501"/>
        <v>null</v>
      </c>
      <c r="AB1311" s="26" t="s">
        <v>0</v>
      </c>
      <c r="AC1311" s="25" t="str">
        <f t="shared" si="502"/>
        <v>null</v>
      </c>
      <c r="AD1311" s="26" t="s">
        <v>0</v>
      </c>
      <c r="AE1311" s="25" t="str">
        <f t="shared" si="513"/>
        <v>null</v>
      </c>
      <c r="AF1311" s="26" t="s">
        <v>0</v>
      </c>
      <c r="AG1311" s="47" t="s">
        <v>3044</v>
      </c>
    </row>
    <row r="1312" spans="1:33" ht="6.9" customHeight="1" x14ac:dyDescent="0.4">
      <c r="A1312" s="4">
        <f>ROW()</f>
        <v>1312</v>
      </c>
      <c r="B1312" s="9" t="s">
        <v>27</v>
      </c>
      <c r="C1312" s="55" t="str">
        <f t="shared" ref="C1312:C1328" si="516">SUBSTITUTE(F1312,"d.","p.")</f>
        <v>p.montar</v>
      </c>
      <c r="D1312" s="6" t="str">
        <f t="shared" si="511"/>
        <v>é.apoiado.em</v>
      </c>
      <c r="E1312" s="8" t="s">
        <v>28</v>
      </c>
      <c r="F1312" s="42" t="str">
        <f>F1311</f>
        <v>d.montar</v>
      </c>
      <c r="G1312" s="17" t="s">
        <v>2249</v>
      </c>
      <c r="H1312" s="42" t="s">
        <v>2121</v>
      </c>
      <c r="I1312" s="16" t="str">
        <f t="shared" ref="I1312:I1328" si="517">J1312</f>
        <v>null</v>
      </c>
      <c r="J1312" s="15" t="s">
        <v>0</v>
      </c>
      <c r="K1312" s="15" t="s">
        <v>0</v>
      </c>
      <c r="L1312" s="15" t="s">
        <v>0</v>
      </c>
      <c r="M1312" s="15" t="s">
        <v>0</v>
      </c>
      <c r="N1312" s="15" t="s">
        <v>0</v>
      </c>
      <c r="O1312" s="15" t="s">
        <v>0</v>
      </c>
      <c r="P1312" s="15" t="s">
        <v>0</v>
      </c>
      <c r="Q1312" s="15" t="s">
        <v>6962</v>
      </c>
      <c r="R1312" s="15" t="s">
        <v>0</v>
      </c>
      <c r="S1312" s="10" t="s">
        <v>1</v>
      </c>
      <c r="T1312" s="10" t="s">
        <v>32</v>
      </c>
      <c r="U1312" s="5" t="str">
        <f t="shared" si="503"/>
        <v>Propriedade destinada a montar: é.apoiado.em</v>
      </c>
      <c r="V1312" s="5" t="str">
        <f t="shared" si="504"/>
        <v>Dado para montar:  apoiado.em  Deve ser formatado como (rdfs:Literal  or  xsd:string)</v>
      </c>
      <c r="W1312" s="5" t="s">
        <v>6014</v>
      </c>
      <c r="X1312" s="24" t="str">
        <f t="shared" si="505"/>
        <v>monta.101</v>
      </c>
      <c r="Y1312" s="24" t="str">
        <f t="shared" si="506"/>
        <v>Ação de montar</v>
      </c>
      <c r="Z1312" s="47" t="s">
        <v>2250</v>
      </c>
      <c r="AA1312" s="25" t="str">
        <f t="shared" ref="AA1312:AA1328" si="518">IF(AB1312="null", "null", "categoria.revit")</f>
        <v>null</v>
      </c>
      <c r="AB1312" s="26" t="s">
        <v>0</v>
      </c>
      <c r="AC1312" s="25" t="str">
        <f t="shared" ref="AC1312:AC1328" si="519">IF(AD1312="null", "null", "classe.ifc")</f>
        <v>null</v>
      </c>
      <c r="AD1312" s="26" t="s">
        <v>0</v>
      </c>
      <c r="AE1312" s="25" t="str">
        <f t="shared" si="513"/>
        <v>null</v>
      </c>
      <c r="AF1312" s="26" t="s">
        <v>0</v>
      </c>
      <c r="AG1312" s="47" t="s">
        <v>3045</v>
      </c>
    </row>
    <row r="1313" spans="1:33" ht="6.9" customHeight="1" x14ac:dyDescent="0.4">
      <c r="A1313" s="4">
        <f>ROW()</f>
        <v>1313</v>
      </c>
      <c r="B1313" s="9" t="s">
        <v>27</v>
      </c>
      <c r="C1313" s="55" t="str">
        <f t="shared" si="516"/>
        <v>p.montar</v>
      </c>
      <c r="D1313" s="6" t="str">
        <f t="shared" si="511"/>
        <v>é.banzo.inferior.de</v>
      </c>
      <c r="E1313" s="8" t="s">
        <v>28</v>
      </c>
      <c r="F1313" s="42" t="str">
        <f>F1312</f>
        <v>d.montar</v>
      </c>
      <c r="G1313" s="17" t="s">
        <v>2063</v>
      </c>
      <c r="H1313" s="42" t="s">
        <v>2121</v>
      </c>
      <c r="I1313" s="16" t="str">
        <f t="shared" si="51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03"/>
        <v>Propriedade destinada a montar: é.banzo.inferior.de</v>
      </c>
      <c r="V1313" s="5" t="str">
        <f t="shared" si="504"/>
        <v>Dado para montar:  banzo.inferior.de  Deve ser formatado como (rdfs:Literal  or  xsd:string)</v>
      </c>
      <c r="W1313" s="5" t="s">
        <v>6015</v>
      </c>
      <c r="X1313" s="24" t="str">
        <f t="shared" si="505"/>
        <v>monta.102</v>
      </c>
      <c r="Y1313" s="24" t="str">
        <f t="shared" si="506"/>
        <v>Ação de montar</v>
      </c>
      <c r="Z1313" s="47" t="s">
        <v>2069</v>
      </c>
      <c r="AA1313" s="25" t="str">
        <f t="shared" si="518"/>
        <v>null</v>
      </c>
      <c r="AB1313" s="26" t="s">
        <v>0</v>
      </c>
      <c r="AC1313" s="25" t="str">
        <f t="shared" si="519"/>
        <v>null</v>
      </c>
      <c r="AD1313" s="26" t="s">
        <v>0</v>
      </c>
      <c r="AE1313" s="25" t="str">
        <f t="shared" si="513"/>
        <v>null</v>
      </c>
      <c r="AF1313" s="26" t="s">
        <v>0</v>
      </c>
      <c r="AG1313" s="47" t="s">
        <v>3046</v>
      </c>
    </row>
    <row r="1314" spans="1:33" ht="6.9" customHeight="1" x14ac:dyDescent="0.4">
      <c r="A1314" s="4">
        <f>ROW()</f>
        <v>1314</v>
      </c>
      <c r="B1314" s="9" t="s">
        <v>27</v>
      </c>
      <c r="C1314" s="55" t="str">
        <f t="shared" si="516"/>
        <v>p.montar</v>
      </c>
      <c r="D1314" s="6" t="str">
        <f t="shared" si="511"/>
        <v>é.banzo.superior.de</v>
      </c>
      <c r="E1314" s="8" t="s">
        <v>28</v>
      </c>
      <c r="F1314" s="42" t="str">
        <f>F1313</f>
        <v>d.montar</v>
      </c>
      <c r="G1314" s="17" t="s">
        <v>2062</v>
      </c>
      <c r="H1314" s="42" t="s">
        <v>2121</v>
      </c>
      <c r="I1314" s="16" t="str">
        <f t="shared" si="51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03"/>
        <v>Propriedade destinada a montar: é.banzo.superior.de</v>
      </c>
      <c r="V1314" s="5" t="str">
        <f t="shared" si="504"/>
        <v>Dado para montar:  banzo.superior.de  Deve ser formatado como (rdfs:Literal  or  xsd:string)</v>
      </c>
      <c r="W1314" s="5" t="s">
        <v>6016</v>
      </c>
      <c r="X1314" s="24" t="str">
        <f t="shared" si="505"/>
        <v>monta.103</v>
      </c>
      <c r="Y1314" s="24" t="str">
        <f t="shared" si="506"/>
        <v>Ação de montar</v>
      </c>
      <c r="Z1314" s="47" t="s">
        <v>2068</v>
      </c>
      <c r="AA1314" s="25" t="str">
        <f t="shared" si="518"/>
        <v>null</v>
      </c>
      <c r="AB1314" s="26" t="s">
        <v>0</v>
      </c>
      <c r="AC1314" s="25" t="str">
        <f t="shared" si="519"/>
        <v>null</v>
      </c>
      <c r="AD1314" s="26" t="s">
        <v>0</v>
      </c>
      <c r="AE1314" s="25" t="str">
        <f t="shared" si="513"/>
        <v>null</v>
      </c>
      <c r="AF1314" s="26" t="s">
        <v>0</v>
      </c>
      <c r="AG1314" s="47" t="s">
        <v>3047</v>
      </c>
    </row>
    <row r="1315" spans="1:33" ht="6.9" customHeight="1" x14ac:dyDescent="0.4">
      <c r="A1315" s="4">
        <f>ROW()</f>
        <v>1315</v>
      </c>
      <c r="B1315" s="9" t="s">
        <v>27</v>
      </c>
      <c r="C1315" s="55" t="str">
        <f t="shared" si="516"/>
        <v>p.montar</v>
      </c>
      <c r="D1315" s="6" t="str">
        <f t="shared" si="511"/>
        <v>é.chapa.de</v>
      </c>
      <c r="E1315" s="8" t="s">
        <v>28</v>
      </c>
      <c r="F1315" s="42" t="str">
        <f t="shared" ref="F1315:F1328" si="520">F1314</f>
        <v>d.montar</v>
      </c>
      <c r="G1315" s="17" t="s">
        <v>1259</v>
      </c>
      <c r="H1315" s="42" t="s">
        <v>2121</v>
      </c>
      <c r="I1315" s="16" t="str">
        <f t="shared" si="51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03"/>
        <v>Propriedade destinada a montar: é.chapa.de</v>
      </c>
      <c r="V1315" s="5" t="str">
        <f t="shared" si="504"/>
        <v>Dado para montar:  chapa.de  Deve ser formatado como (rdfs:Literal  or  xsd:string)</v>
      </c>
      <c r="W1315" s="5" t="s">
        <v>6017</v>
      </c>
      <c r="X1315" s="24" t="str">
        <f t="shared" si="505"/>
        <v>monta.104</v>
      </c>
      <c r="Y1315" s="24" t="str">
        <f t="shared" si="506"/>
        <v>Ação de montar</v>
      </c>
      <c r="Z1315" s="47" t="s">
        <v>1699</v>
      </c>
      <c r="AA1315" s="25" t="str">
        <f t="shared" si="518"/>
        <v>null</v>
      </c>
      <c r="AB1315" s="26" t="s">
        <v>0</v>
      </c>
      <c r="AC1315" s="25" t="str">
        <f t="shared" si="519"/>
        <v>null</v>
      </c>
      <c r="AD1315" s="26" t="s">
        <v>0</v>
      </c>
      <c r="AE1315" s="25" t="str">
        <f t="shared" si="513"/>
        <v>null</v>
      </c>
      <c r="AF1315" s="26" t="s">
        <v>0</v>
      </c>
      <c r="AG1315" s="47" t="s">
        <v>3048</v>
      </c>
    </row>
    <row r="1316" spans="1:33" ht="6.9" customHeight="1" x14ac:dyDescent="0.4">
      <c r="A1316" s="4">
        <f>ROW()</f>
        <v>1316</v>
      </c>
      <c r="B1316" s="9" t="s">
        <v>27</v>
      </c>
      <c r="C1316" s="55" t="str">
        <f t="shared" si="516"/>
        <v>p.montar</v>
      </c>
      <c r="D1316" s="6" t="str">
        <f t="shared" si="511"/>
        <v>é.colocado.em</v>
      </c>
      <c r="E1316" s="8" t="s">
        <v>28</v>
      </c>
      <c r="F1316" s="42" t="str">
        <f t="shared" si="520"/>
        <v>d.montar</v>
      </c>
      <c r="G1316" s="17" t="s">
        <v>2119</v>
      </c>
      <c r="H1316" s="42" t="s">
        <v>2121</v>
      </c>
      <c r="I1316" s="16" t="str">
        <f t="shared" si="51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03"/>
        <v>Propriedade destinada a montar: é.colocado.em</v>
      </c>
      <c r="V1316" s="5" t="str">
        <f t="shared" si="504"/>
        <v>Dado para montar:  colocado.em  Deve ser formatado como (rdfs:Literal  or  xsd:string)</v>
      </c>
      <c r="W1316" s="5" t="s">
        <v>6018</v>
      </c>
      <c r="X1316" s="24" t="str">
        <f t="shared" si="505"/>
        <v>monta.105</v>
      </c>
      <c r="Y1316" s="24" t="str">
        <f t="shared" si="506"/>
        <v>Ação de montar</v>
      </c>
      <c r="Z1316" s="47" t="s">
        <v>1702</v>
      </c>
      <c r="AA1316" s="25" t="str">
        <f t="shared" si="518"/>
        <v>null</v>
      </c>
      <c r="AB1316" s="26" t="s">
        <v>0</v>
      </c>
      <c r="AC1316" s="25" t="str">
        <f t="shared" si="519"/>
        <v>null</v>
      </c>
      <c r="AD1316" s="26" t="s">
        <v>0</v>
      </c>
      <c r="AE1316" s="25" t="str">
        <f t="shared" si="513"/>
        <v>null</v>
      </c>
      <c r="AF1316" s="26" t="s">
        <v>0</v>
      </c>
      <c r="AG1316" s="47" t="s">
        <v>3049</v>
      </c>
    </row>
    <row r="1317" spans="1:33" ht="6.9" customHeight="1" x14ac:dyDescent="0.4">
      <c r="A1317" s="4">
        <f>ROW()</f>
        <v>1317</v>
      </c>
      <c r="B1317" s="9" t="s">
        <v>27</v>
      </c>
      <c r="C1317" s="55" t="str">
        <f t="shared" si="516"/>
        <v>p.montar</v>
      </c>
      <c r="D1317" s="6" t="str">
        <f t="shared" si="511"/>
        <v>é.componente.de</v>
      </c>
      <c r="E1317" s="8" t="s">
        <v>28</v>
      </c>
      <c r="F1317" s="42" t="str">
        <f t="shared" si="520"/>
        <v>d.montar</v>
      </c>
      <c r="G1317" s="17" t="s">
        <v>2051</v>
      </c>
      <c r="H1317" s="42" t="s">
        <v>2121</v>
      </c>
      <c r="I1317" s="16" t="str">
        <f t="shared" si="51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03"/>
        <v>Propriedade destinada a montar: é.componente.de</v>
      </c>
      <c r="V1317" s="5" t="str">
        <f t="shared" si="504"/>
        <v>Dado para montar:  componente.de  Deve ser formatado como (rdfs:Literal  or  xsd:string)</v>
      </c>
      <c r="W1317" s="5" t="s">
        <v>6019</v>
      </c>
      <c r="X1317" s="24" t="str">
        <f t="shared" si="505"/>
        <v>monta.106</v>
      </c>
      <c r="Y1317" s="24" t="str">
        <f t="shared" si="506"/>
        <v>Ação de montar</v>
      </c>
      <c r="Z1317" s="47" t="s">
        <v>2070</v>
      </c>
      <c r="AA1317" s="25" t="str">
        <f t="shared" si="518"/>
        <v>null</v>
      </c>
      <c r="AB1317" s="26" t="s">
        <v>0</v>
      </c>
      <c r="AC1317" s="25" t="str">
        <f t="shared" si="519"/>
        <v>null</v>
      </c>
      <c r="AD1317" s="26" t="s">
        <v>0</v>
      </c>
      <c r="AE1317" s="25" t="str">
        <f t="shared" si="513"/>
        <v>null</v>
      </c>
      <c r="AF1317" s="26" t="s">
        <v>0</v>
      </c>
      <c r="AG1317" s="47" t="s">
        <v>3050</v>
      </c>
    </row>
    <row r="1318" spans="1:33" ht="6.9" customHeight="1" x14ac:dyDescent="0.4">
      <c r="A1318" s="4">
        <f>ROW()</f>
        <v>1318</v>
      </c>
      <c r="B1318" s="9" t="s">
        <v>27</v>
      </c>
      <c r="C1318" s="55" t="str">
        <f t="shared" si="516"/>
        <v>p.montar</v>
      </c>
      <c r="D1318" s="6" t="str">
        <f t="shared" si="511"/>
        <v>é.contraventamento.de</v>
      </c>
      <c r="E1318" s="8" t="s">
        <v>28</v>
      </c>
      <c r="F1318" s="42" t="str">
        <f t="shared" si="520"/>
        <v>d.montar</v>
      </c>
      <c r="G1318" s="17" t="s">
        <v>2064</v>
      </c>
      <c r="H1318" s="42" t="s">
        <v>2121</v>
      </c>
      <c r="I1318" s="16" t="str">
        <f t="shared" si="51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03"/>
        <v>Propriedade destinada a montar: é.contraventamento.de</v>
      </c>
      <c r="V1318" s="5" t="str">
        <f t="shared" si="504"/>
        <v>Dado para montar:  contraventamento.de  Deve ser formatado como (rdfs:Literal  or  xsd:string)</v>
      </c>
      <c r="W1318" s="5" t="s">
        <v>6020</v>
      </c>
      <c r="X1318" s="24" t="str">
        <f t="shared" si="505"/>
        <v>monta.107</v>
      </c>
      <c r="Y1318" s="24" t="str">
        <f t="shared" si="506"/>
        <v>Ação de montar</v>
      </c>
      <c r="Z1318" s="47" t="s">
        <v>2065</v>
      </c>
      <c r="AA1318" s="25" t="str">
        <f t="shared" si="518"/>
        <v>null</v>
      </c>
      <c r="AB1318" s="26" t="s">
        <v>0</v>
      </c>
      <c r="AC1318" s="25" t="str">
        <f t="shared" si="519"/>
        <v>null</v>
      </c>
      <c r="AD1318" s="26" t="s">
        <v>0</v>
      </c>
      <c r="AE1318" s="25" t="str">
        <f t="shared" si="513"/>
        <v>null</v>
      </c>
      <c r="AF1318" s="26" t="s">
        <v>0</v>
      </c>
      <c r="AG1318" s="47" t="s">
        <v>3051</v>
      </c>
    </row>
    <row r="1319" spans="1:33" ht="6.9" customHeight="1" x14ac:dyDescent="0.4">
      <c r="A1319" s="4">
        <f>ROW()</f>
        <v>1319</v>
      </c>
      <c r="B1319" s="9" t="s">
        <v>27</v>
      </c>
      <c r="C1319" s="55" t="str">
        <f t="shared" si="516"/>
        <v>p.montar</v>
      </c>
      <c r="D1319" s="6" t="str">
        <f t="shared" si="511"/>
        <v>é.diagonal.de</v>
      </c>
      <c r="E1319" s="8" t="s">
        <v>28</v>
      </c>
      <c r="F1319" s="42" t="str">
        <f t="shared" si="520"/>
        <v>d.montar</v>
      </c>
      <c r="G1319" s="17" t="s">
        <v>2060</v>
      </c>
      <c r="H1319" s="42" t="s">
        <v>2121</v>
      </c>
      <c r="I1319" s="16" t="str">
        <f t="shared" si="51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03"/>
        <v>Propriedade destinada a montar: é.diagonal.de</v>
      </c>
      <c r="V1319" s="5" t="str">
        <f t="shared" si="504"/>
        <v>Dado para montar:  diagonal.de  Deve ser formatado como (rdfs:Literal  or  xsd:string)</v>
      </c>
      <c r="W1319" s="5" t="s">
        <v>6021</v>
      </c>
      <c r="X1319" s="24" t="str">
        <f t="shared" si="505"/>
        <v>monta.108</v>
      </c>
      <c r="Y1319" s="24" t="str">
        <f t="shared" si="506"/>
        <v>Ação de montar</v>
      </c>
      <c r="Z1319" s="47" t="s">
        <v>2066</v>
      </c>
      <c r="AA1319" s="25" t="str">
        <f t="shared" si="518"/>
        <v>null</v>
      </c>
      <c r="AB1319" s="26" t="s">
        <v>0</v>
      </c>
      <c r="AC1319" s="25" t="str">
        <f t="shared" si="519"/>
        <v>null</v>
      </c>
      <c r="AD1319" s="26" t="s">
        <v>0</v>
      </c>
      <c r="AE1319" s="25" t="str">
        <f t="shared" si="513"/>
        <v>null</v>
      </c>
      <c r="AF1319" s="26" t="s">
        <v>0</v>
      </c>
      <c r="AG1319" s="47" t="s">
        <v>3052</v>
      </c>
    </row>
    <row r="1320" spans="1:33" ht="6.9" customHeight="1" x14ac:dyDescent="0.4">
      <c r="A1320" s="4">
        <f>ROW()</f>
        <v>1320</v>
      </c>
      <c r="B1320" s="9" t="s">
        <v>27</v>
      </c>
      <c r="C1320" s="55" t="str">
        <f t="shared" si="516"/>
        <v>p.montar</v>
      </c>
      <c r="D1320" s="6" t="str">
        <f t="shared" si="511"/>
        <v>é.emplacada.com</v>
      </c>
      <c r="E1320" s="8" t="s">
        <v>28</v>
      </c>
      <c r="F1320" s="42" t="str">
        <f t="shared" si="520"/>
        <v>d.montar</v>
      </c>
      <c r="G1320" s="17" t="s">
        <v>6911</v>
      </c>
      <c r="H1320" s="42" t="s">
        <v>2121</v>
      </c>
      <c r="I1320" s="16" t="str">
        <f t="shared" si="517"/>
        <v>null</v>
      </c>
      <c r="J1320" s="15" t="s">
        <v>0</v>
      </c>
      <c r="K1320" s="15" t="s">
        <v>0</v>
      </c>
      <c r="L1320" s="15" t="s">
        <v>0</v>
      </c>
      <c r="M1320" s="15" t="s">
        <v>0</v>
      </c>
      <c r="N1320" s="15" t="s">
        <v>0</v>
      </c>
      <c r="O1320" s="15" t="s">
        <v>0</v>
      </c>
      <c r="P1320" s="15" t="s">
        <v>0</v>
      </c>
      <c r="Q1320" s="15" t="s">
        <v>0</v>
      </c>
      <c r="R1320" s="15" t="s">
        <v>6913</v>
      </c>
      <c r="S1320" s="10" t="s">
        <v>1</v>
      </c>
      <c r="T1320" s="10" t="s">
        <v>32</v>
      </c>
      <c r="U1320" s="5" t="str">
        <f t="shared" si="503"/>
        <v>Propriedade destinada a montar: é.emplacada.com</v>
      </c>
      <c r="V1320" s="5" t="str">
        <f t="shared" si="504"/>
        <v>Dado para montar:  emplacada.com  Deve ser formatado como (rdfs:Literal  or  xsd:string)</v>
      </c>
      <c r="W1320" s="5" t="s">
        <v>6908</v>
      </c>
      <c r="X1320" s="24" t="str">
        <f t="shared" si="505"/>
        <v>monta.109</v>
      </c>
      <c r="Y1320" s="24" t="str">
        <f t="shared" si="506"/>
        <v>Ação de montar</v>
      </c>
      <c r="Z1320" s="47" t="s">
        <v>6909</v>
      </c>
      <c r="AA1320" s="25" t="str">
        <f t="shared" si="518"/>
        <v>null</v>
      </c>
      <c r="AB1320" s="26" t="s">
        <v>0</v>
      </c>
      <c r="AC1320" s="25" t="str">
        <f t="shared" si="519"/>
        <v>null</v>
      </c>
      <c r="AD1320" s="26" t="s">
        <v>0</v>
      </c>
      <c r="AE1320" s="25" t="str">
        <f t="shared" si="513"/>
        <v>null</v>
      </c>
      <c r="AF1320" s="26" t="s">
        <v>0</v>
      </c>
      <c r="AG1320" s="47" t="s">
        <v>6910</v>
      </c>
    </row>
    <row r="1321" spans="1:33" ht="6.9" customHeight="1" x14ac:dyDescent="0.4">
      <c r="A1321" s="4">
        <f>ROW()</f>
        <v>1321</v>
      </c>
      <c r="B1321" s="9" t="s">
        <v>27</v>
      </c>
      <c r="C1321" s="55" t="str">
        <f t="shared" si="516"/>
        <v>p.montar</v>
      </c>
      <c r="D1321" s="6" t="str">
        <f t="shared" si="511"/>
        <v>é.emplacado.com</v>
      </c>
      <c r="E1321" s="8" t="s">
        <v>28</v>
      </c>
      <c r="F1321" s="42" t="str">
        <f t="shared" si="520"/>
        <v>d.montar</v>
      </c>
      <c r="G1321" s="17" t="s">
        <v>6907</v>
      </c>
      <c r="H1321" s="42" t="s">
        <v>2121</v>
      </c>
      <c r="I1321" s="16" t="str">
        <f t="shared" si="517"/>
        <v>null</v>
      </c>
      <c r="J1321" s="15" t="s">
        <v>0</v>
      </c>
      <c r="K1321" s="15" t="s">
        <v>0</v>
      </c>
      <c r="L1321" s="15" t="s">
        <v>0</v>
      </c>
      <c r="M1321" s="15" t="s">
        <v>0</v>
      </c>
      <c r="N1321" s="15" t="s">
        <v>0</v>
      </c>
      <c r="O1321" s="15" t="s">
        <v>0</v>
      </c>
      <c r="P1321" s="15" t="s">
        <v>0</v>
      </c>
      <c r="Q1321" s="15" t="s">
        <v>0</v>
      </c>
      <c r="R1321" s="15" t="s">
        <v>6912</v>
      </c>
      <c r="S1321" s="10" t="s">
        <v>1</v>
      </c>
      <c r="T1321" s="10" t="s">
        <v>32</v>
      </c>
      <c r="U1321" s="5" t="str">
        <f t="shared" si="503"/>
        <v>Propriedade destinada a montar: é.emplacado.com</v>
      </c>
      <c r="V1321" s="5" t="str">
        <f t="shared" si="504"/>
        <v>Dado para montar:  emplacado.com  Deve ser formatado como (rdfs:Literal  or  xsd:string)</v>
      </c>
      <c r="W1321" s="5" t="s">
        <v>6908</v>
      </c>
      <c r="X1321" s="24" t="str">
        <f t="shared" si="505"/>
        <v>monta.110</v>
      </c>
      <c r="Y1321" s="24" t="str">
        <f t="shared" si="506"/>
        <v>Ação de montar</v>
      </c>
      <c r="Z1321" s="47" t="s">
        <v>6909</v>
      </c>
      <c r="AA1321" s="25" t="str">
        <f t="shared" si="518"/>
        <v>null</v>
      </c>
      <c r="AB1321" s="26" t="s">
        <v>0</v>
      </c>
      <c r="AC1321" s="25" t="str">
        <f t="shared" si="519"/>
        <v>null</v>
      </c>
      <c r="AD1321" s="26" t="s">
        <v>0</v>
      </c>
      <c r="AE1321" s="25" t="str">
        <f t="shared" si="513"/>
        <v>null</v>
      </c>
      <c r="AF1321" s="26" t="s">
        <v>0</v>
      </c>
      <c r="AG1321" s="47" t="s">
        <v>6910</v>
      </c>
    </row>
    <row r="1322" spans="1:33" ht="6.9" customHeight="1" x14ac:dyDescent="0.4">
      <c r="A1322" s="4">
        <f>ROW()</f>
        <v>1322</v>
      </c>
      <c r="B1322" s="9" t="s">
        <v>27</v>
      </c>
      <c r="C1322" s="55" t="str">
        <f t="shared" si="516"/>
        <v>p.montar</v>
      </c>
      <c r="D1322" s="6" t="str">
        <f t="shared" si="511"/>
        <v>é.fixação.de</v>
      </c>
      <c r="E1322" s="8" t="s">
        <v>28</v>
      </c>
      <c r="F1322" s="42" t="str">
        <f t="shared" si="520"/>
        <v>d.montar</v>
      </c>
      <c r="G1322" s="17" t="s">
        <v>1260</v>
      </c>
      <c r="H1322" s="42" t="s">
        <v>2121</v>
      </c>
      <c r="I1322" s="16" t="str">
        <f t="shared" si="51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03"/>
        <v>Propriedade destinada a montar: é.fixação.de</v>
      </c>
      <c r="V1322" s="5" t="str">
        <f t="shared" si="504"/>
        <v>Dado para montar:  fixação.de  Deve ser formatado como (rdfs:Literal  or  xsd:string)</v>
      </c>
      <c r="W1322" s="5" t="s">
        <v>6022</v>
      </c>
      <c r="X1322" s="24" t="str">
        <f t="shared" si="505"/>
        <v>monta.111</v>
      </c>
      <c r="Y1322" s="24" t="str">
        <f t="shared" si="506"/>
        <v>Ação de montar</v>
      </c>
      <c r="Z1322" s="47" t="s">
        <v>1701</v>
      </c>
      <c r="AA1322" s="25" t="str">
        <f t="shared" si="518"/>
        <v>null</v>
      </c>
      <c r="AB1322" s="26" t="s">
        <v>0</v>
      </c>
      <c r="AC1322" s="25" t="str">
        <f t="shared" si="519"/>
        <v>null</v>
      </c>
      <c r="AD1322" s="26" t="s">
        <v>0</v>
      </c>
      <c r="AE1322" s="25" t="str">
        <f t="shared" si="513"/>
        <v>null</v>
      </c>
      <c r="AF1322" s="26" t="s">
        <v>0</v>
      </c>
      <c r="AG1322" s="47" t="s">
        <v>3053</v>
      </c>
    </row>
    <row r="1323" spans="1:33" ht="6.9" customHeight="1" x14ac:dyDescent="0.4">
      <c r="A1323" s="4">
        <f>ROW()</f>
        <v>1323</v>
      </c>
      <c r="B1323" s="9" t="s">
        <v>27</v>
      </c>
      <c r="C1323" s="55" t="str">
        <f t="shared" si="516"/>
        <v>p.montar</v>
      </c>
      <c r="D1323" s="6" t="str">
        <f t="shared" si="511"/>
        <v>é.fundação.de</v>
      </c>
      <c r="E1323" s="8" t="s">
        <v>28</v>
      </c>
      <c r="F1323" s="42" t="str">
        <f t="shared" si="520"/>
        <v>d.montar</v>
      </c>
      <c r="G1323" s="17" t="s">
        <v>2116</v>
      </c>
      <c r="H1323" s="42" t="s">
        <v>2121</v>
      </c>
      <c r="I1323" s="16" t="str">
        <f t="shared" si="51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03"/>
        <v>Propriedade destinada a montar: é.fundação.de</v>
      </c>
      <c r="V1323" s="5" t="str">
        <f t="shared" si="504"/>
        <v>Dado para montar:  fundação.de  Deve ser formatado como (rdfs:Literal  or  xsd:string)</v>
      </c>
      <c r="W1323" s="5" t="s">
        <v>6023</v>
      </c>
      <c r="X1323" s="24" t="str">
        <f t="shared" si="505"/>
        <v>monta.112</v>
      </c>
      <c r="Y1323" s="24" t="str">
        <f t="shared" si="506"/>
        <v>Ação de montar</v>
      </c>
      <c r="Z1323" s="47" t="s">
        <v>2120</v>
      </c>
      <c r="AA1323" s="25" t="str">
        <f t="shared" si="518"/>
        <v>null</v>
      </c>
      <c r="AB1323" s="26" t="s">
        <v>0</v>
      </c>
      <c r="AC1323" s="25" t="str">
        <f t="shared" si="519"/>
        <v>null</v>
      </c>
      <c r="AD1323" s="26" t="s">
        <v>0</v>
      </c>
      <c r="AE1323" s="25" t="str">
        <f t="shared" si="513"/>
        <v>null</v>
      </c>
      <c r="AF1323" s="26" t="s">
        <v>0</v>
      </c>
      <c r="AG1323" s="47" t="s">
        <v>3054</v>
      </c>
    </row>
    <row r="1324" spans="1:33" ht="6.9" customHeight="1" x14ac:dyDescent="0.4">
      <c r="A1324" s="4">
        <f>ROW()</f>
        <v>1324</v>
      </c>
      <c r="B1324" s="9" t="s">
        <v>27</v>
      </c>
      <c r="C1324" s="55" t="str">
        <f t="shared" si="516"/>
        <v>p.montar</v>
      </c>
      <c r="D1324" s="6" t="str">
        <f t="shared" si="511"/>
        <v>é.membro.de</v>
      </c>
      <c r="E1324" s="8" t="s">
        <v>28</v>
      </c>
      <c r="F1324" s="42" t="str">
        <f t="shared" si="520"/>
        <v>d.montar</v>
      </c>
      <c r="G1324" s="17" t="s">
        <v>990</v>
      </c>
      <c r="H1324" s="42" t="s">
        <v>2121</v>
      </c>
      <c r="I1324" s="16" t="str">
        <f t="shared" si="51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03"/>
        <v>Propriedade destinada a montar: é.membro.de</v>
      </c>
      <c r="V1324" s="5" t="str">
        <f t="shared" si="504"/>
        <v>Dado para montar:  membro.de  Deve ser formatado como (rdfs:Literal  or  xsd:string)</v>
      </c>
      <c r="W1324" s="5" t="s">
        <v>6024</v>
      </c>
      <c r="X1324" s="24" t="str">
        <f t="shared" si="505"/>
        <v>monta.113</v>
      </c>
      <c r="Y1324" s="24" t="str">
        <f t="shared" si="506"/>
        <v>Ação de montar</v>
      </c>
      <c r="Z1324" s="47" t="s">
        <v>1700</v>
      </c>
      <c r="AA1324" s="25" t="str">
        <f t="shared" si="518"/>
        <v>null</v>
      </c>
      <c r="AB1324" s="26" t="s">
        <v>0</v>
      </c>
      <c r="AC1324" s="25" t="str">
        <f t="shared" si="519"/>
        <v>null</v>
      </c>
      <c r="AD1324" s="26" t="s">
        <v>0</v>
      </c>
      <c r="AE1324" s="25" t="str">
        <f t="shared" si="513"/>
        <v>null</v>
      </c>
      <c r="AF1324" s="26" t="s">
        <v>0</v>
      </c>
      <c r="AG1324" s="47" t="s">
        <v>3055</v>
      </c>
    </row>
    <row r="1325" spans="1:33" ht="6.9" customHeight="1" x14ac:dyDescent="0.4">
      <c r="A1325" s="4">
        <f>ROW()</f>
        <v>1325</v>
      </c>
      <c r="B1325" s="9" t="s">
        <v>27</v>
      </c>
      <c r="C1325" s="55" t="str">
        <f t="shared" si="516"/>
        <v>p.montar</v>
      </c>
      <c r="D1325" s="6" t="str">
        <f t="shared" si="511"/>
        <v>é.mísula.de</v>
      </c>
      <c r="E1325" s="8" t="s">
        <v>28</v>
      </c>
      <c r="F1325" s="42" t="str">
        <f t="shared" si="520"/>
        <v>d.montar</v>
      </c>
      <c r="G1325" s="17" t="s">
        <v>2061</v>
      </c>
      <c r="H1325" s="42" t="s">
        <v>2121</v>
      </c>
      <c r="I1325" s="16" t="str">
        <f t="shared" si="51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03"/>
        <v>Propriedade destinada a montar: é.mísula.de</v>
      </c>
      <c r="V1325" s="5" t="str">
        <f t="shared" si="504"/>
        <v>Dado para montar:  mísula.de  Deve ser formatado como (rdfs:Literal  or  xsd:string)</v>
      </c>
      <c r="W1325" s="5" t="s">
        <v>6025</v>
      </c>
      <c r="X1325" s="24" t="str">
        <f t="shared" si="505"/>
        <v>monta.114</v>
      </c>
      <c r="Y1325" s="24" t="str">
        <f t="shared" si="506"/>
        <v>Ação de montar</v>
      </c>
      <c r="Z1325" s="47" t="s">
        <v>2067</v>
      </c>
      <c r="AA1325" s="25" t="str">
        <f t="shared" si="518"/>
        <v>null</v>
      </c>
      <c r="AB1325" s="26" t="s">
        <v>0</v>
      </c>
      <c r="AC1325" s="25" t="str">
        <f t="shared" si="519"/>
        <v>null</v>
      </c>
      <c r="AD1325" s="26" t="s">
        <v>0</v>
      </c>
      <c r="AE1325" s="25" t="str">
        <f t="shared" si="513"/>
        <v>null</v>
      </c>
      <c r="AF1325" s="26" t="s">
        <v>0</v>
      </c>
      <c r="AG1325" s="47" t="s">
        <v>3056</v>
      </c>
    </row>
    <row r="1326" spans="1:33" ht="6.9" customHeight="1" x14ac:dyDescent="0.4">
      <c r="A1326" s="4">
        <f>ROW()</f>
        <v>1326</v>
      </c>
      <c r="B1326" s="9" t="s">
        <v>27</v>
      </c>
      <c r="C1326" s="55" t="str">
        <f t="shared" si="516"/>
        <v>p.montar</v>
      </c>
      <c r="D1326" s="6" t="str">
        <f t="shared" si="511"/>
        <v>é.montante.de</v>
      </c>
      <c r="E1326" s="8" t="s">
        <v>28</v>
      </c>
      <c r="F1326" s="42" t="str">
        <f t="shared" si="520"/>
        <v>d.montar</v>
      </c>
      <c r="G1326" s="17" t="s">
        <v>1258</v>
      </c>
      <c r="H1326" s="42" t="s">
        <v>2121</v>
      </c>
      <c r="I1326" s="16" t="str">
        <f t="shared" si="51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03"/>
        <v>Propriedade destinada a montar: é.montante.de</v>
      </c>
      <c r="V1326" s="5" t="str">
        <f t="shared" si="504"/>
        <v>Dado para montar:  montante.de  Deve ser formatado como (rdfs:Literal  or  xsd:string)</v>
      </c>
      <c r="W1326" s="5" t="s">
        <v>6026</v>
      </c>
      <c r="X1326" s="24" t="str">
        <f t="shared" si="505"/>
        <v>monta.115</v>
      </c>
      <c r="Y1326" s="24" t="str">
        <f t="shared" si="506"/>
        <v>Ação de montar</v>
      </c>
      <c r="Z1326" s="47" t="s">
        <v>2071</v>
      </c>
      <c r="AA1326" s="25" t="str">
        <f t="shared" si="518"/>
        <v>null</v>
      </c>
      <c r="AB1326" s="26" t="s">
        <v>0</v>
      </c>
      <c r="AC1326" s="25" t="str">
        <f t="shared" si="519"/>
        <v>null</v>
      </c>
      <c r="AD1326" s="26" t="s">
        <v>0</v>
      </c>
      <c r="AE1326" s="25" t="str">
        <f t="shared" si="513"/>
        <v>null</v>
      </c>
      <c r="AF1326" s="26" t="s">
        <v>0</v>
      </c>
      <c r="AG1326" s="47" t="s">
        <v>3057</v>
      </c>
    </row>
    <row r="1327" spans="1:33" ht="6.9" customHeight="1" x14ac:dyDescent="0.4">
      <c r="A1327" s="4">
        <f>ROW()</f>
        <v>1327</v>
      </c>
      <c r="B1327" s="9" t="s">
        <v>27</v>
      </c>
      <c r="C1327" s="55" t="str">
        <f t="shared" si="516"/>
        <v>p.montar</v>
      </c>
      <c r="D1327" s="6" t="str">
        <f t="shared" si="511"/>
        <v>é.suportado.por</v>
      </c>
      <c r="E1327" s="8" t="s">
        <v>28</v>
      </c>
      <c r="F1327" s="42" t="str">
        <f t="shared" si="520"/>
        <v>d.montar</v>
      </c>
      <c r="G1327" s="17" t="s">
        <v>2251</v>
      </c>
      <c r="H1327" s="42" t="s">
        <v>2121</v>
      </c>
      <c r="I1327" s="16" t="str">
        <f t="shared" si="517"/>
        <v>null</v>
      </c>
      <c r="J1327" s="15" t="s">
        <v>0</v>
      </c>
      <c r="K1327" s="15" t="s">
        <v>0</v>
      </c>
      <c r="L1327" s="15" t="s">
        <v>0</v>
      </c>
      <c r="M1327" s="15" t="s">
        <v>0</v>
      </c>
      <c r="N1327" s="15" t="s">
        <v>0</v>
      </c>
      <c r="O1327" s="15" t="s">
        <v>0</v>
      </c>
      <c r="P1327" s="15" t="s">
        <v>0</v>
      </c>
      <c r="Q1327" s="15" t="s">
        <v>4094</v>
      </c>
      <c r="R1327" s="15" t="s">
        <v>0</v>
      </c>
      <c r="S1327" s="10" t="s">
        <v>1</v>
      </c>
      <c r="T1327" s="10" t="s">
        <v>32</v>
      </c>
      <c r="U1327" s="5" t="str">
        <f t="shared" si="503"/>
        <v>Propriedade destinada a montar: é.suportado.por</v>
      </c>
      <c r="V1327" s="5" t="str">
        <f t="shared" si="504"/>
        <v>Dado para montar:  suportado.por  Deve ser formatado como (rdfs:Literal  or  xsd:string)</v>
      </c>
      <c r="W1327" s="5" t="s">
        <v>6028</v>
      </c>
      <c r="X1327" s="24" t="str">
        <f t="shared" si="505"/>
        <v>monta.116</v>
      </c>
      <c r="Y1327" s="24" t="str">
        <f t="shared" si="506"/>
        <v>Ação de montar</v>
      </c>
      <c r="Z1327" s="47" t="s">
        <v>2252</v>
      </c>
      <c r="AA1327" s="25" t="str">
        <f t="shared" si="518"/>
        <v>null</v>
      </c>
      <c r="AB1327" s="26" t="s">
        <v>0</v>
      </c>
      <c r="AC1327" s="25" t="str">
        <f t="shared" si="519"/>
        <v>null</v>
      </c>
      <c r="AD1327" s="26" t="s">
        <v>0</v>
      </c>
      <c r="AE1327" s="25" t="str">
        <f t="shared" si="513"/>
        <v>null</v>
      </c>
      <c r="AF1327" s="26" t="s">
        <v>0</v>
      </c>
      <c r="AG1327" s="47" t="s">
        <v>3059</v>
      </c>
    </row>
    <row r="1328" spans="1:33" ht="6.9" customHeight="1" x14ac:dyDescent="0.4">
      <c r="A1328" s="4">
        <f>ROW()</f>
        <v>1328</v>
      </c>
      <c r="B1328" s="9" t="s">
        <v>27</v>
      </c>
      <c r="C1328" s="55" t="str">
        <f t="shared" si="516"/>
        <v>p.montar</v>
      </c>
      <c r="D1328" s="6" t="str">
        <f t="shared" si="511"/>
        <v>é.suporte.de</v>
      </c>
      <c r="E1328" s="8" t="s">
        <v>28</v>
      </c>
      <c r="F1328" s="42" t="str">
        <f t="shared" si="520"/>
        <v>d.montar</v>
      </c>
      <c r="G1328" s="17" t="s">
        <v>2115</v>
      </c>
      <c r="H1328" s="42" t="s">
        <v>2121</v>
      </c>
      <c r="I1328" s="16" t="str">
        <f t="shared" si="517"/>
        <v>null</v>
      </c>
      <c r="J1328" s="15" t="s">
        <v>0</v>
      </c>
      <c r="K1328" s="15" t="s">
        <v>0</v>
      </c>
      <c r="L1328" s="15" t="s">
        <v>0</v>
      </c>
      <c r="M1328" s="15" t="s">
        <v>0</v>
      </c>
      <c r="N1328" s="15" t="s">
        <v>0</v>
      </c>
      <c r="O1328" s="15" t="s">
        <v>0</v>
      </c>
      <c r="P1328" s="15" t="s">
        <v>0</v>
      </c>
      <c r="Q1328" s="15" t="s">
        <v>4093</v>
      </c>
      <c r="R1328" s="15" t="s">
        <v>0</v>
      </c>
      <c r="S1328" s="10" t="s">
        <v>1</v>
      </c>
      <c r="T1328" s="10" t="s">
        <v>32</v>
      </c>
      <c r="U1328" s="5" t="str">
        <f t="shared" si="503"/>
        <v>Propriedade destinada a montar: é.suporte.de</v>
      </c>
      <c r="V1328" s="5" t="str">
        <f t="shared" si="504"/>
        <v>Dado para montar:  suporte.de  Deve ser formatado como (rdfs:Literal  or  xsd:string)</v>
      </c>
      <c r="W1328" s="5" t="s">
        <v>6027</v>
      </c>
      <c r="X1328" s="24" t="str">
        <f t="shared" si="505"/>
        <v>monta.117</v>
      </c>
      <c r="Y1328" s="24" t="str">
        <f t="shared" si="506"/>
        <v>Ação de montar</v>
      </c>
      <c r="Z1328" s="47" t="s">
        <v>2118</v>
      </c>
      <c r="AA1328" s="25" t="str">
        <f t="shared" si="518"/>
        <v>null</v>
      </c>
      <c r="AB1328" s="26" t="s">
        <v>0</v>
      </c>
      <c r="AC1328" s="25" t="str">
        <f t="shared" si="519"/>
        <v>null</v>
      </c>
      <c r="AD1328" s="26" t="s">
        <v>0</v>
      </c>
      <c r="AE1328" s="25" t="str">
        <f t="shared" si="513"/>
        <v>null</v>
      </c>
      <c r="AF1328" s="26" t="s">
        <v>0</v>
      </c>
      <c r="AG1328" s="47" t="s">
        <v>3058</v>
      </c>
    </row>
    <row r="1329" spans="1:33" ht="6.9" customHeight="1" x14ac:dyDescent="0.4">
      <c r="A1329" s="4">
        <f>ROW()</f>
        <v>1329</v>
      </c>
      <c r="B1329" s="9" t="s">
        <v>27</v>
      </c>
      <c r="C1329" s="54" t="str">
        <f t="shared" si="514"/>
        <v>p.navegar</v>
      </c>
      <c r="D1329" s="6" t="str">
        <f t="shared" si="511"/>
        <v>é.eslora</v>
      </c>
      <c r="E1329" s="8" t="s">
        <v>28</v>
      </c>
      <c r="F1329" s="51" t="s">
        <v>3605</v>
      </c>
      <c r="G1329" s="17" t="s">
        <v>1960</v>
      </c>
      <c r="H1329" s="42" t="s">
        <v>36</v>
      </c>
      <c r="I1329" s="16" t="str">
        <f t="shared" si="51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03"/>
        <v>Propriedade destinada a navegar: é.eslora</v>
      </c>
      <c r="V1329" s="5" t="str">
        <f t="shared" si="504"/>
        <v>Dado para navegar:  eslora  Deve ser formatado como (xsd:double)</v>
      </c>
      <c r="W1329" s="5" t="s">
        <v>6964</v>
      </c>
      <c r="X1329" s="24" t="str">
        <f t="shared" si="505"/>
        <v>naveg.100</v>
      </c>
      <c r="Y1329" s="24" t="str">
        <f t="shared" si="506"/>
        <v>Ação de navegar</v>
      </c>
      <c r="Z1329" s="47" t="s">
        <v>1964</v>
      </c>
      <c r="AA1329" s="25" t="str">
        <f t="shared" si="501"/>
        <v>null</v>
      </c>
      <c r="AB1329" s="26" t="s">
        <v>0</v>
      </c>
      <c r="AC1329" s="25" t="str">
        <f t="shared" si="502"/>
        <v>null</v>
      </c>
      <c r="AD1329" s="26" t="s">
        <v>0</v>
      </c>
      <c r="AE1329" s="25" t="str">
        <f t="shared" si="513"/>
        <v>null</v>
      </c>
      <c r="AF1329" s="26" t="s">
        <v>0</v>
      </c>
      <c r="AG1329" s="47" t="s">
        <v>8281</v>
      </c>
    </row>
    <row r="1330" spans="1:33" ht="6.9" customHeight="1" x14ac:dyDescent="0.4">
      <c r="A1330" s="4">
        <f>ROW()</f>
        <v>1330</v>
      </c>
      <c r="B1330" s="9" t="s">
        <v>27</v>
      </c>
      <c r="C1330" s="55" t="str">
        <f t="shared" si="514"/>
        <v>p.navegar</v>
      </c>
      <c r="D1330" s="6" t="str">
        <f t="shared" si="511"/>
        <v>é.manga</v>
      </c>
      <c r="E1330" s="8" t="s">
        <v>28</v>
      </c>
      <c r="F1330" s="42" t="str">
        <f t="shared" ref="F1330:F1341" si="521">F1329</f>
        <v>d.navegar</v>
      </c>
      <c r="G1330" s="17" t="s">
        <v>1961</v>
      </c>
      <c r="H1330" s="42" t="s">
        <v>36</v>
      </c>
      <c r="I1330" s="16" t="str">
        <f t="shared" si="515"/>
        <v>null</v>
      </c>
      <c r="J1330" s="15" t="s">
        <v>0</v>
      </c>
      <c r="K1330" s="15" t="s">
        <v>0</v>
      </c>
      <c r="L1330" s="15" t="s">
        <v>0</v>
      </c>
      <c r="M1330" s="15" t="s">
        <v>0</v>
      </c>
      <c r="N1330" s="15" t="s">
        <v>0</v>
      </c>
      <c r="O1330" s="15" t="s">
        <v>0</v>
      </c>
      <c r="P1330" s="15" t="s">
        <v>0</v>
      </c>
      <c r="Q1330" s="15" t="s">
        <v>0</v>
      </c>
      <c r="R1330" s="15" t="s">
        <v>4095</v>
      </c>
      <c r="S1330" s="10" t="s">
        <v>1</v>
      </c>
      <c r="T1330" s="10" t="s">
        <v>32</v>
      </c>
      <c r="U1330" s="5" t="str">
        <f t="shared" si="503"/>
        <v>Propriedade destinada a navegar: é.manga</v>
      </c>
      <c r="V1330" s="5" t="str">
        <f t="shared" si="504"/>
        <v>Dado para navegar:  manga  Deve ser formatado como (xsd:double)</v>
      </c>
      <c r="W1330" s="5" t="s">
        <v>6029</v>
      </c>
      <c r="X1330" s="24" t="str">
        <f t="shared" si="505"/>
        <v>naveg.101</v>
      </c>
      <c r="Y1330" s="24" t="str">
        <f t="shared" si="506"/>
        <v>Ação de navegar</v>
      </c>
      <c r="Z1330" s="47" t="s">
        <v>1997</v>
      </c>
      <c r="AA1330" s="25" t="str">
        <f t="shared" si="501"/>
        <v>null</v>
      </c>
      <c r="AB1330" s="26" t="s">
        <v>0</v>
      </c>
      <c r="AC1330" s="25" t="str">
        <f t="shared" si="502"/>
        <v>null</v>
      </c>
      <c r="AD1330" s="26" t="s">
        <v>0</v>
      </c>
      <c r="AE1330" s="25" t="str">
        <f t="shared" si="513"/>
        <v>null</v>
      </c>
      <c r="AF1330" s="26" t="s">
        <v>0</v>
      </c>
      <c r="AG1330" s="47" t="s">
        <v>8282</v>
      </c>
    </row>
    <row r="1331" spans="1:33" ht="6.9" customHeight="1" x14ac:dyDescent="0.4">
      <c r="A1331" s="4">
        <f>ROW()</f>
        <v>1331</v>
      </c>
      <c r="B1331" s="9" t="s">
        <v>27</v>
      </c>
      <c r="C1331" s="55" t="str">
        <f t="shared" si="514"/>
        <v>p.navegar</v>
      </c>
      <c r="D1331" s="6" t="str">
        <f t="shared" si="511"/>
        <v>é.boca</v>
      </c>
      <c r="E1331" s="8" t="s">
        <v>28</v>
      </c>
      <c r="F1331" s="42" t="str">
        <f t="shared" si="521"/>
        <v>d.navegar</v>
      </c>
      <c r="G1331" s="17" t="s">
        <v>1996</v>
      </c>
      <c r="H1331" s="42" t="s">
        <v>36</v>
      </c>
      <c r="I1331" s="16" t="str">
        <f t="shared" si="515"/>
        <v>null</v>
      </c>
      <c r="J1331" s="15" t="s">
        <v>0</v>
      </c>
      <c r="K1331" s="15" t="s">
        <v>0</v>
      </c>
      <c r="L1331" s="15" t="s">
        <v>0</v>
      </c>
      <c r="M1331" s="15" t="s">
        <v>0</v>
      </c>
      <c r="N1331" s="15" t="s">
        <v>0</v>
      </c>
      <c r="O1331" s="15" t="s">
        <v>0</v>
      </c>
      <c r="P1331" s="15" t="s">
        <v>0</v>
      </c>
      <c r="Q1331" s="15" t="s">
        <v>0</v>
      </c>
      <c r="R1331" s="15" t="s">
        <v>4096</v>
      </c>
      <c r="S1331" s="10" t="s">
        <v>1</v>
      </c>
      <c r="T1331" s="10" t="s">
        <v>32</v>
      </c>
      <c r="U1331" s="5" t="str">
        <f t="shared" si="503"/>
        <v>Propriedade destinada a navegar: é.boca</v>
      </c>
      <c r="V1331" s="5" t="str">
        <f t="shared" si="504"/>
        <v>Dado para navegar:  boca  Deve ser formatado como (xsd:double)</v>
      </c>
      <c r="W1331" s="5" t="s">
        <v>6030</v>
      </c>
      <c r="X1331" s="24" t="str">
        <f t="shared" si="505"/>
        <v>naveg.102</v>
      </c>
      <c r="Y1331" s="24" t="str">
        <f t="shared" si="506"/>
        <v>Ação de navegar</v>
      </c>
      <c r="Z1331" s="47" t="s">
        <v>1998</v>
      </c>
      <c r="AA1331" s="25" t="str">
        <f t="shared" si="501"/>
        <v>null</v>
      </c>
      <c r="AB1331" s="26" t="s">
        <v>0</v>
      </c>
      <c r="AC1331" s="25" t="str">
        <f t="shared" si="502"/>
        <v>null</v>
      </c>
      <c r="AD1331" s="26" t="s">
        <v>0</v>
      </c>
      <c r="AE1331" s="25" t="str">
        <f t="shared" si="513"/>
        <v>null</v>
      </c>
      <c r="AF1331" s="26" t="s">
        <v>0</v>
      </c>
      <c r="AG1331" s="47" t="s">
        <v>8283</v>
      </c>
    </row>
    <row r="1332" spans="1:33" ht="6.9" customHeight="1" x14ac:dyDescent="0.4">
      <c r="A1332" s="4">
        <f>ROW()</f>
        <v>1332</v>
      </c>
      <c r="B1332" s="9" t="s">
        <v>27</v>
      </c>
      <c r="C1332" s="55" t="str">
        <f t="shared" si="514"/>
        <v>p.navegar</v>
      </c>
      <c r="D1332" s="6" t="str">
        <f t="shared" si="511"/>
        <v>é.calado</v>
      </c>
      <c r="E1332" s="8" t="s">
        <v>28</v>
      </c>
      <c r="F1332" s="42" t="str">
        <f t="shared" si="521"/>
        <v>d.navegar</v>
      </c>
      <c r="G1332" s="17" t="s">
        <v>1962</v>
      </c>
      <c r="H1332" s="42" t="s">
        <v>36</v>
      </c>
      <c r="I1332" s="16" t="str">
        <f t="shared" si="515"/>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03"/>
        <v>Propriedade destinada a navegar: é.calado</v>
      </c>
      <c r="V1332" s="5" t="str">
        <f t="shared" si="504"/>
        <v>Dado para navegar:  calado  Deve ser formatado como (xsd:double)</v>
      </c>
      <c r="W1332" s="5" t="s">
        <v>6031</v>
      </c>
      <c r="X1332" s="24" t="str">
        <f t="shared" si="505"/>
        <v>naveg.103</v>
      </c>
      <c r="Y1332" s="24" t="str">
        <f t="shared" si="506"/>
        <v>Ação de navegar</v>
      </c>
      <c r="Z1332" s="47" t="s">
        <v>1965</v>
      </c>
      <c r="AA1332" s="25" t="str">
        <f t="shared" si="501"/>
        <v>null</v>
      </c>
      <c r="AB1332" s="26" t="s">
        <v>0</v>
      </c>
      <c r="AC1332" s="25" t="str">
        <f t="shared" si="502"/>
        <v>null</v>
      </c>
      <c r="AD1332" s="26" t="s">
        <v>0</v>
      </c>
      <c r="AE1332" s="25" t="str">
        <f t="shared" si="513"/>
        <v>null</v>
      </c>
      <c r="AF1332" s="26" t="s">
        <v>0</v>
      </c>
      <c r="AG1332" s="47" t="s">
        <v>8284</v>
      </c>
    </row>
    <row r="1333" spans="1:33" ht="6.9" customHeight="1" x14ac:dyDescent="0.4">
      <c r="A1333" s="4">
        <f>ROW()</f>
        <v>1333</v>
      </c>
      <c r="B1333" s="9" t="s">
        <v>27</v>
      </c>
      <c r="C1333" s="55" t="str">
        <f t="shared" si="514"/>
        <v>p.navegar</v>
      </c>
      <c r="D1333" s="6" t="str">
        <f t="shared" si="511"/>
        <v>é.calado.canal</v>
      </c>
      <c r="E1333" s="8" t="s">
        <v>28</v>
      </c>
      <c r="F1333" s="42" t="str">
        <f t="shared" si="521"/>
        <v>d.navegar</v>
      </c>
      <c r="G1333" s="17" t="s">
        <v>1992</v>
      </c>
      <c r="H1333" s="42" t="s">
        <v>36</v>
      </c>
      <c r="I1333" s="16" t="str">
        <f t="shared" si="515"/>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03"/>
        <v>Propriedade destinada a navegar: é.calado.canal</v>
      </c>
      <c r="V1333" s="5" t="str">
        <f t="shared" si="504"/>
        <v>Dado para navegar:  calado.canal  Deve ser formatado como (xsd:double)</v>
      </c>
      <c r="W1333" s="5" t="s">
        <v>6032</v>
      </c>
      <c r="X1333" s="24" t="str">
        <f t="shared" si="505"/>
        <v>naveg.104</v>
      </c>
      <c r="Y1333" s="24" t="str">
        <f t="shared" si="506"/>
        <v>Ação de navegar</v>
      </c>
      <c r="Z1333" s="47" t="s">
        <v>1994</v>
      </c>
      <c r="AA1333" s="25" t="str">
        <f t="shared" si="501"/>
        <v>null</v>
      </c>
      <c r="AB1333" s="26" t="s">
        <v>0</v>
      </c>
      <c r="AC1333" s="25" t="str">
        <f t="shared" si="502"/>
        <v>null</v>
      </c>
      <c r="AD1333" s="26" t="s">
        <v>0</v>
      </c>
      <c r="AE1333" s="25" t="str">
        <f t="shared" si="513"/>
        <v>null</v>
      </c>
      <c r="AF1333" s="26" t="s">
        <v>0</v>
      </c>
      <c r="AG1333" s="47" t="s">
        <v>8285</v>
      </c>
    </row>
    <row r="1334" spans="1:33" ht="6.9" customHeight="1" x14ac:dyDescent="0.4">
      <c r="A1334" s="4">
        <f>ROW()</f>
        <v>1334</v>
      </c>
      <c r="B1334" s="9" t="s">
        <v>27</v>
      </c>
      <c r="C1334" s="55" t="str">
        <f t="shared" si="514"/>
        <v>p.navegar</v>
      </c>
      <c r="D1334" s="6" t="str">
        <f t="shared" si="511"/>
        <v>é.calado.berço</v>
      </c>
      <c r="E1334" s="8" t="s">
        <v>28</v>
      </c>
      <c r="F1334" s="42" t="str">
        <f t="shared" si="521"/>
        <v>d.navegar</v>
      </c>
      <c r="G1334" s="17" t="s">
        <v>1993</v>
      </c>
      <c r="H1334" s="42" t="s">
        <v>36</v>
      </c>
      <c r="I1334" s="16" t="str">
        <f t="shared" si="515"/>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03"/>
        <v>Propriedade destinada a navegar: é.calado.berço</v>
      </c>
      <c r="V1334" s="5" t="str">
        <f t="shared" si="504"/>
        <v>Dado para navegar:  calado.berço  Deve ser formatado como (xsd:double)</v>
      </c>
      <c r="W1334" s="5" t="s">
        <v>6033</v>
      </c>
      <c r="X1334" s="24" t="str">
        <f t="shared" si="505"/>
        <v>naveg.105</v>
      </c>
      <c r="Y1334" s="24" t="str">
        <f t="shared" si="506"/>
        <v>Ação de navegar</v>
      </c>
      <c r="Z1334" s="47" t="s">
        <v>1995</v>
      </c>
      <c r="AA1334" s="25" t="str">
        <f t="shared" si="501"/>
        <v>null</v>
      </c>
      <c r="AB1334" s="26" t="s">
        <v>0</v>
      </c>
      <c r="AC1334" s="25" t="str">
        <f t="shared" si="502"/>
        <v>null</v>
      </c>
      <c r="AD1334" s="26" t="s">
        <v>0</v>
      </c>
      <c r="AE1334" s="25" t="str">
        <f t="shared" si="513"/>
        <v>null</v>
      </c>
      <c r="AF1334" s="26" t="s">
        <v>0</v>
      </c>
      <c r="AG1334" s="47" t="s">
        <v>8286</v>
      </c>
    </row>
    <row r="1335" spans="1:33" ht="6.9" customHeight="1" x14ac:dyDescent="0.4">
      <c r="A1335" s="4">
        <f>ROW()</f>
        <v>1335</v>
      </c>
      <c r="B1335" s="9" t="s">
        <v>27</v>
      </c>
      <c r="C1335" s="55" t="str">
        <f t="shared" si="514"/>
        <v>p.navegar</v>
      </c>
      <c r="D1335" s="6" t="str">
        <f t="shared" si="511"/>
        <v>é.quantidade.de.berços</v>
      </c>
      <c r="E1335" s="8" t="s">
        <v>28</v>
      </c>
      <c r="F1335" s="42" t="str">
        <f t="shared" si="521"/>
        <v>d.navegar</v>
      </c>
      <c r="G1335" s="17" t="s">
        <v>1989</v>
      </c>
      <c r="H1335" s="42" t="s">
        <v>33</v>
      </c>
      <c r="I1335" s="16" t="str">
        <f t="shared" si="515"/>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03"/>
        <v>Propriedade destinada a navegar: é.quantidade.de.berços</v>
      </c>
      <c r="V1335" s="5" t="str">
        <f t="shared" si="504"/>
        <v>Dado para navegar:  quantidade.de.berços  Deve ser formatado como (xsd:integer)</v>
      </c>
      <c r="W1335" s="5" t="s">
        <v>6034</v>
      </c>
      <c r="X1335" s="24" t="str">
        <f t="shared" si="505"/>
        <v>naveg.106</v>
      </c>
      <c r="Y1335" s="24" t="str">
        <f t="shared" si="506"/>
        <v>Ação de navegar</v>
      </c>
      <c r="Z1335" s="47" t="s">
        <v>1991</v>
      </c>
      <c r="AA1335" s="25" t="str">
        <f t="shared" si="501"/>
        <v>null</v>
      </c>
      <c r="AB1335" s="26" t="s">
        <v>0</v>
      </c>
      <c r="AC1335" s="25" t="str">
        <f t="shared" si="502"/>
        <v>null</v>
      </c>
      <c r="AD1335" s="26" t="s">
        <v>0</v>
      </c>
      <c r="AE1335" s="25" t="str">
        <f t="shared" si="513"/>
        <v>null</v>
      </c>
      <c r="AF1335" s="26" t="s">
        <v>0</v>
      </c>
      <c r="AG1335" s="47" t="s">
        <v>8287</v>
      </c>
    </row>
    <row r="1336" spans="1:33" ht="6.9" customHeight="1" x14ac:dyDescent="0.4">
      <c r="A1336" s="4">
        <f>ROW()</f>
        <v>1336</v>
      </c>
      <c r="B1336" s="9" t="s">
        <v>27</v>
      </c>
      <c r="C1336" s="55" t="str">
        <f t="shared" si="514"/>
        <v>p.navegar</v>
      </c>
      <c r="D1336" s="6" t="str">
        <f t="shared" si="511"/>
        <v>é.tripulação</v>
      </c>
      <c r="E1336" s="8" t="s">
        <v>28</v>
      </c>
      <c r="F1336" s="42" t="str">
        <f t="shared" si="521"/>
        <v>d.navegar</v>
      </c>
      <c r="G1336" s="17" t="s">
        <v>1966</v>
      </c>
      <c r="H1336" s="42" t="s">
        <v>33</v>
      </c>
      <c r="I1336" s="16" t="str">
        <f t="shared" si="515"/>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03"/>
        <v>Propriedade destinada a navegar: é.tripulação</v>
      </c>
      <c r="V1336" s="5" t="str">
        <f t="shared" si="504"/>
        <v>Dado para navegar:  tripulação  Deve ser formatado como (xsd:integer)</v>
      </c>
      <c r="W1336" s="5" t="s">
        <v>6035</v>
      </c>
      <c r="X1336" s="24" t="str">
        <f t="shared" si="505"/>
        <v>naveg.107</v>
      </c>
      <c r="Y1336" s="24" t="str">
        <f t="shared" si="506"/>
        <v>Ação de navegar</v>
      </c>
      <c r="Z1336" s="47" t="s">
        <v>1967</v>
      </c>
      <c r="AA1336" s="25" t="str">
        <f t="shared" si="501"/>
        <v>null</v>
      </c>
      <c r="AB1336" s="26" t="s">
        <v>0</v>
      </c>
      <c r="AC1336" s="25" t="str">
        <f t="shared" si="502"/>
        <v>null</v>
      </c>
      <c r="AD1336" s="26" t="s">
        <v>0</v>
      </c>
      <c r="AE1336" s="25" t="str">
        <f t="shared" si="513"/>
        <v>null</v>
      </c>
      <c r="AF1336" s="26" t="s">
        <v>0</v>
      </c>
      <c r="AG1336" s="47" t="s">
        <v>3060</v>
      </c>
    </row>
    <row r="1337" spans="1:33" ht="6.9" customHeight="1" x14ac:dyDescent="0.4">
      <c r="A1337" s="4">
        <f>ROW()</f>
        <v>1337</v>
      </c>
      <c r="B1337" s="9" t="s">
        <v>27</v>
      </c>
      <c r="C1337" s="55" t="str">
        <f t="shared" si="514"/>
        <v>p.navegar</v>
      </c>
      <c r="D1337" s="6" t="str">
        <f t="shared" si="511"/>
        <v>é.tripulação.média</v>
      </c>
      <c r="E1337" s="8" t="s">
        <v>28</v>
      </c>
      <c r="F1337" s="42" t="str">
        <f t="shared" si="521"/>
        <v>d.navegar</v>
      </c>
      <c r="G1337" s="17" t="s">
        <v>1958</v>
      </c>
      <c r="H1337" s="42" t="s">
        <v>33</v>
      </c>
      <c r="I1337" s="16" t="str">
        <f t="shared" si="515"/>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03"/>
        <v>Propriedade destinada a navegar: é.tripulação.média</v>
      </c>
      <c r="V1337" s="5" t="str">
        <f t="shared" si="504"/>
        <v>Dado para navegar:  tripulação.média  Deve ser formatado como (xsd:integer)</v>
      </c>
      <c r="W1337" s="5" t="s">
        <v>6036</v>
      </c>
      <c r="X1337" s="24" t="str">
        <f t="shared" si="505"/>
        <v>naveg.108</v>
      </c>
      <c r="Y1337" s="24" t="str">
        <f t="shared" si="506"/>
        <v>Ação de navegar</v>
      </c>
      <c r="Z1337" s="47" t="s">
        <v>1959</v>
      </c>
      <c r="AA1337" s="25" t="str">
        <f t="shared" si="501"/>
        <v>null</v>
      </c>
      <c r="AB1337" s="26" t="s">
        <v>0</v>
      </c>
      <c r="AC1337" s="25" t="str">
        <f t="shared" si="502"/>
        <v>null</v>
      </c>
      <c r="AD1337" s="26" t="s">
        <v>0</v>
      </c>
      <c r="AE1337" s="25" t="str">
        <f t="shared" si="513"/>
        <v>null</v>
      </c>
      <c r="AF1337" s="26" t="s">
        <v>0</v>
      </c>
      <c r="AG1337" s="47" t="s">
        <v>3061</v>
      </c>
    </row>
    <row r="1338" spans="1:33" ht="6.9" customHeight="1" x14ac:dyDescent="0.4">
      <c r="A1338" s="4">
        <f>ROW()</f>
        <v>1338</v>
      </c>
      <c r="B1338" s="9" t="s">
        <v>27</v>
      </c>
      <c r="C1338" s="55" t="str">
        <f t="shared" si="514"/>
        <v>p.navegar</v>
      </c>
      <c r="D1338" s="6" t="str">
        <f t="shared" si="511"/>
        <v>é.dwt.mínimo</v>
      </c>
      <c r="E1338" s="8" t="s">
        <v>28</v>
      </c>
      <c r="F1338" s="42" t="str">
        <f t="shared" si="521"/>
        <v>d.navegar</v>
      </c>
      <c r="G1338" s="17" t="s">
        <v>1955</v>
      </c>
      <c r="H1338" s="42" t="s">
        <v>36</v>
      </c>
      <c r="I1338" s="16" t="str">
        <f t="shared" si="515"/>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03"/>
        <v>Propriedade destinada a navegar: é.dwt.mínimo</v>
      </c>
      <c r="V1338" s="5" t="str">
        <f t="shared" si="504"/>
        <v>Dado para navegar:  dwt.mínimo  Deve ser formatado como (xsd:double)</v>
      </c>
      <c r="W1338" s="5" t="s">
        <v>6037</v>
      </c>
      <c r="X1338" s="24" t="str">
        <f t="shared" si="505"/>
        <v>naveg.109</v>
      </c>
      <c r="Y1338" s="24" t="str">
        <f t="shared" si="506"/>
        <v>Ação de navegar</v>
      </c>
      <c r="Z1338" s="47" t="s">
        <v>1963</v>
      </c>
      <c r="AA1338" s="25" t="str">
        <f t="shared" si="501"/>
        <v>null</v>
      </c>
      <c r="AB1338" s="26" t="s">
        <v>0</v>
      </c>
      <c r="AC1338" s="25" t="str">
        <f t="shared" si="502"/>
        <v>null</v>
      </c>
      <c r="AD1338" s="26" t="s">
        <v>0</v>
      </c>
      <c r="AE1338" s="25" t="str">
        <f t="shared" si="513"/>
        <v>null</v>
      </c>
      <c r="AF1338" s="26" t="s">
        <v>0</v>
      </c>
      <c r="AG1338" s="47" t="s">
        <v>8288</v>
      </c>
    </row>
    <row r="1339" spans="1:33" ht="6.9" customHeight="1" x14ac:dyDescent="0.4">
      <c r="A1339" s="4">
        <f>ROW()</f>
        <v>1339</v>
      </c>
      <c r="B1339" s="9" t="s">
        <v>27</v>
      </c>
      <c r="C1339" s="55" t="str">
        <f t="shared" si="514"/>
        <v>p.navegar</v>
      </c>
      <c r="D1339" s="6" t="str">
        <f t="shared" si="511"/>
        <v>é.dwt.máximo</v>
      </c>
      <c r="E1339" s="8" t="s">
        <v>28</v>
      </c>
      <c r="F1339" s="42" t="str">
        <f t="shared" si="521"/>
        <v>d.navegar</v>
      </c>
      <c r="G1339" s="17" t="s">
        <v>1956</v>
      </c>
      <c r="H1339" s="42" t="s">
        <v>36</v>
      </c>
      <c r="I1339" s="16" t="str">
        <f t="shared" si="515"/>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03"/>
        <v>Propriedade destinada a navegar: é.dwt.máximo</v>
      </c>
      <c r="V1339" s="5" t="str">
        <f t="shared" si="504"/>
        <v>Dado para navegar:  dwt.máximo  Deve ser formatado como (xsd:double)</v>
      </c>
      <c r="W1339" s="5" t="s">
        <v>6038</v>
      </c>
      <c r="X1339" s="24" t="str">
        <f t="shared" si="505"/>
        <v>naveg.110</v>
      </c>
      <c r="Y1339" s="24" t="str">
        <f t="shared" si="506"/>
        <v>Ação de navegar</v>
      </c>
      <c r="Z1339" s="47" t="s">
        <v>1957</v>
      </c>
      <c r="AA1339" s="25" t="str">
        <f t="shared" si="501"/>
        <v>null</v>
      </c>
      <c r="AB1339" s="26" t="s">
        <v>0</v>
      </c>
      <c r="AC1339" s="25" t="str">
        <f t="shared" si="502"/>
        <v>null</v>
      </c>
      <c r="AD1339" s="26" t="s">
        <v>0</v>
      </c>
      <c r="AE1339" s="25" t="str">
        <f t="shared" si="513"/>
        <v>null</v>
      </c>
      <c r="AF1339" s="26" t="s">
        <v>0</v>
      </c>
      <c r="AG1339" s="47" t="s">
        <v>8289</v>
      </c>
    </row>
    <row r="1340" spans="1:33" ht="6.9" customHeight="1" x14ac:dyDescent="0.4">
      <c r="A1340" s="4">
        <f>ROW()</f>
        <v>1340</v>
      </c>
      <c r="B1340" s="9" t="s">
        <v>27</v>
      </c>
      <c r="C1340" s="55" t="str">
        <f t="shared" si="514"/>
        <v>p.navegar</v>
      </c>
      <c r="D1340" s="6" t="str">
        <f t="shared" si="511"/>
        <v>é.tonelagem.bruta</v>
      </c>
      <c r="E1340" s="8" t="s">
        <v>28</v>
      </c>
      <c r="F1340" s="42" t="str">
        <f t="shared" si="521"/>
        <v>d.navegar</v>
      </c>
      <c r="G1340" s="17" t="s">
        <v>2050</v>
      </c>
      <c r="H1340" s="42" t="s">
        <v>36</v>
      </c>
      <c r="I1340" s="16" t="str">
        <f t="shared" si="515"/>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03"/>
        <v>Propriedade destinada a navegar: é.tonelagem.bruta</v>
      </c>
      <c r="V1340" s="5" t="str">
        <f t="shared" si="504"/>
        <v>Dado para navegar:  tonelagem.bruta  Deve ser formatado como (xsd:double)</v>
      </c>
      <c r="W1340" s="5" t="s">
        <v>6039</v>
      </c>
      <c r="X1340" s="24" t="str">
        <f t="shared" si="505"/>
        <v>naveg.111</v>
      </c>
      <c r="Y1340" s="24" t="str">
        <f t="shared" si="506"/>
        <v>Ação de navegar</v>
      </c>
      <c r="Z1340" s="47" t="s">
        <v>1973</v>
      </c>
      <c r="AA1340" s="25" t="str">
        <f t="shared" si="501"/>
        <v>null</v>
      </c>
      <c r="AB1340" s="26" t="s">
        <v>0</v>
      </c>
      <c r="AC1340" s="25" t="str">
        <f t="shared" si="502"/>
        <v>null</v>
      </c>
      <c r="AD1340" s="26" t="s">
        <v>0</v>
      </c>
      <c r="AE1340" s="25" t="str">
        <f t="shared" si="513"/>
        <v>null</v>
      </c>
      <c r="AF1340" s="26" t="s">
        <v>0</v>
      </c>
      <c r="AG1340" s="47" t="s">
        <v>8290</v>
      </c>
    </row>
    <row r="1341" spans="1:33" ht="6.9" customHeight="1" x14ac:dyDescent="0.4">
      <c r="A1341" s="4">
        <f>ROW()</f>
        <v>1341</v>
      </c>
      <c r="B1341" s="9" t="s">
        <v>27</v>
      </c>
      <c r="C1341" s="55" t="str">
        <f t="shared" si="514"/>
        <v>p.navegar</v>
      </c>
      <c r="D1341" s="6" t="str">
        <f t="shared" si="511"/>
        <v>é.cais.acostável</v>
      </c>
      <c r="E1341" s="8" t="s">
        <v>28</v>
      </c>
      <c r="F1341" s="42" t="str">
        <f t="shared" si="521"/>
        <v>d.navegar</v>
      </c>
      <c r="G1341" s="17" t="s">
        <v>1988</v>
      </c>
      <c r="H1341" s="42" t="s">
        <v>36</v>
      </c>
      <c r="I1341" s="16" t="str">
        <f t="shared" si="515"/>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03"/>
        <v>Propriedade destinada a navegar: é.cais.acostável</v>
      </c>
      <c r="V1341" s="5" t="str">
        <f t="shared" si="504"/>
        <v>Dado para navegar:  cais.acostável  Deve ser formatado como (xsd:double)</v>
      </c>
      <c r="W1341" s="5" t="s">
        <v>6040</v>
      </c>
      <c r="X1341" s="24" t="str">
        <f t="shared" si="505"/>
        <v>naveg.112</v>
      </c>
      <c r="Y1341" s="24" t="str">
        <f t="shared" si="506"/>
        <v>Ação de navegar</v>
      </c>
      <c r="Z1341" s="47" t="s">
        <v>1990</v>
      </c>
      <c r="AA1341" s="25" t="str">
        <f t="shared" si="501"/>
        <v>null</v>
      </c>
      <c r="AB1341" s="26" t="s">
        <v>0</v>
      </c>
      <c r="AC1341" s="25" t="str">
        <f t="shared" si="502"/>
        <v>null</v>
      </c>
      <c r="AD1341" s="26" t="s">
        <v>0</v>
      </c>
      <c r="AE1341" s="25" t="str">
        <f t="shared" si="513"/>
        <v>null</v>
      </c>
      <c r="AF1341" s="26" t="s">
        <v>0</v>
      </c>
      <c r="AG1341" s="47" t="s">
        <v>8291</v>
      </c>
    </row>
    <row r="1342" spans="1:33" ht="6.9" customHeight="1" x14ac:dyDescent="0.4">
      <c r="A1342" s="4">
        <f>ROW()</f>
        <v>1342</v>
      </c>
      <c r="B1342" s="9" t="s">
        <v>27</v>
      </c>
      <c r="C1342" s="54" t="str">
        <f t="shared" si="514"/>
        <v>p.normatizar</v>
      </c>
      <c r="D1342" s="6" t="str">
        <f t="shared" si="511"/>
        <v>é.norma</v>
      </c>
      <c r="E1342" s="8" t="s">
        <v>28</v>
      </c>
      <c r="F1342" s="51" t="s">
        <v>3606</v>
      </c>
      <c r="G1342" s="17" t="s">
        <v>158</v>
      </c>
      <c r="H1342" s="42" t="s">
        <v>2121</v>
      </c>
      <c r="I1342" s="16" t="str">
        <f t="shared" si="515"/>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03"/>
        <v>Propriedade destinada a normatizar: é.norma</v>
      </c>
      <c r="V1342" s="5" t="str">
        <f t="shared" si="504"/>
        <v>Dado para normatizar:  norma  Deve ser formatado como (rdfs:Literal  or  xsd:string)</v>
      </c>
      <c r="W1342" s="5" t="s">
        <v>6041</v>
      </c>
      <c r="X1342" s="24" t="str">
        <f t="shared" si="505"/>
        <v>norma.100</v>
      </c>
      <c r="Y1342" s="24" t="str">
        <f t="shared" si="506"/>
        <v>Ação de normatizar</v>
      </c>
      <c r="Z1342" s="47" t="s">
        <v>1703</v>
      </c>
      <c r="AA1342" s="25" t="str">
        <f t="shared" si="501"/>
        <v>null</v>
      </c>
      <c r="AB1342" s="26" t="s">
        <v>0</v>
      </c>
      <c r="AC1342" s="25" t="str">
        <f t="shared" si="502"/>
        <v>null</v>
      </c>
      <c r="AD1342" s="26" t="s">
        <v>0</v>
      </c>
      <c r="AE1342" s="25" t="str">
        <f t="shared" si="513"/>
        <v>null</v>
      </c>
      <c r="AF1342" s="26" t="s">
        <v>0</v>
      </c>
      <c r="AG1342" s="47" t="s">
        <v>8292</v>
      </c>
    </row>
    <row r="1343" spans="1:33" ht="6.9" customHeight="1" x14ac:dyDescent="0.4">
      <c r="A1343" s="4">
        <f>ROW()</f>
        <v>1343</v>
      </c>
      <c r="B1343" s="9" t="s">
        <v>27</v>
      </c>
      <c r="C1343" s="55" t="str">
        <f t="shared" si="514"/>
        <v>p.normatizar</v>
      </c>
      <c r="D1343" s="6" t="str">
        <f t="shared" si="511"/>
        <v>é.parte</v>
      </c>
      <c r="E1343" s="8" t="s">
        <v>28</v>
      </c>
      <c r="F1343" s="42" t="str">
        <f>F1342</f>
        <v>d.normatizar</v>
      </c>
      <c r="G1343" s="17" t="s">
        <v>159</v>
      </c>
      <c r="H1343" s="42" t="s">
        <v>2121</v>
      </c>
      <c r="I1343" s="16" t="str">
        <f t="shared" si="51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03"/>
        <v>Propriedade destinada a normatizar: é.parte</v>
      </c>
      <c r="V1343" s="5" t="str">
        <f t="shared" si="504"/>
        <v>Dado para normatizar:  parte  Deve ser formatado como (rdfs:Literal  or  xsd:string)</v>
      </c>
      <c r="W1343" s="5" t="s">
        <v>6042</v>
      </c>
      <c r="X1343" s="24" t="str">
        <f t="shared" si="505"/>
        <v>norma.101</v>
      </c>
      <c r="Y1343" s="24" t="str">
        <f t="shared" si="506"/>
        <v>Ação de normatizar</v>
      </c>
      <c r="Z1343" s="47" t="s">
        <v>1704</v>
      </c>
      <c r="AA1343" s="25" t="str">
        <f t="shared" si="501"/>
        <v>null</v>
      </c>
      <c r="AB1343" s="26" t="s">
        <v>0</v>
      </c>
      <c r="AC1343" s="25" t="str">
        <f t="shared" si="502"/>
        <v>null</v>
      </c>
      <c r="AD1343" s="26" t="s">
        <v>0</v>
      </c>
      <c r="AE1343" s="25" t="str">
        <f t="shared" si="513"/>
        <v>null</v>
      </c>
      <c r="AF1343" s="26" t="s">
        <v>0</v>
      </c>
      <c r="AG1343" s="47" t="s">
        <v>8293</v>
      </c>
    </row>
    <row r="1344" spans="1:33" ht="6.9" customHeight="1" x14ac:dyDescent="0.4">
      <c r="A1344" s="4">
        <f>ROW()</f>
        <v>1344</v>
      </c>
      <c r="B1344" s="9" t="s">
        <v>27</v>
      </c>
      <c r="C1344" s="55" t="str">
        <f t="shared" si="514"/>
        <v>p.normatizar</v>
      </c>
      <c r="D1344" s="6" t="str">
        <f t="shared" si="511"/>
        <v>é.escopo</v>
      </c>
      <c r="E1344" s="8" t="s">
        <v>28</v>
      </c>
      <c r="F1344" s="42" t="str">
        <f>F1343</f>
        <v>d.normatizar</v>
      </c>
      <c r="G1344" s="17" t="s">
        <v>160</v>
      </c>
      <c r="H1344" s="42" t="s">
        <v>2121</v>
      </c>
      <c r="I1344" s="16" t="str">
        <f t="shared" si="51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03"/>
        <v>Propriedade destinada a normatizar: é.escopo</v>
      </c>
      <c r="V1344" s="5" t="str">
        <f t="shared" si="504"/>
        <v>Dado para normatizar:  escopo  Deve ser formatado como (rdfs:Literal  or  xsd:string)</v>
      </c>
      <c r="W1344" s="5" t="s">
        <v>6043</v>
      </c>
      <c r="X1344" s="24" t="str">
        <f t="shared" si="505"/>
        <v>norma.102</v>
      </c>
      <c r="Y1344" s="24" t="str">
        <f t="shared" si="506"/>
        <v>Ação de normatizar</v>
      </c>
      <c r="Z1344" s="47" t="s">
        <v>1705</v>
      </c>
      <c r="AA1344" s="25" t="str">
        <f t="shared" si="501"/>
        <v>null</v>
      </c>
      <c r="AB1344" s="26" t="s">
        <v>0</v>
      </c>
      <c r="AC1344" s="25" t="str">
        <f t="shared" si="502"/>
        <v>null</v>
      </c>
      <c r="AD1344" s="26" t="s">
        <v>0</v>
      </c>
      <c r="AE1344" s="25" t="str">
        <f t="shared" si="513"/>
        <v>null</v>
      </c>
      <c r="AF1344" s="26" t="s">
        <v>0</v>
      </c>
      <c r="AG1344" s="47" t="s">
        <v>8294</v>
      </c>
    </row>
    <row r="1345" spans="1:33" ht="6.9" customHeight="1" x14ac:dyDescent="0.4">
      <c r="A1345" s="4">
        <f>ROW()</f>
        <v>1345</v>
      </c>
      <c r="B1345" s="9" t="s">
        <v>27</v>
      </c>
      <c r="C1345" s="55" t="str">
        <f t="shared" si="514"/>
        <v>p.normatizar</v>
      </c>
      <c r="D1345" s="6" t="str">
        <f t="shared" si="511"/>
        <v>é.regulamento</v>
      </c>
      <c r="E1345" s="8" t="s">
        <v>28</v>
      </c>
      <c r="F1345" s="42" t="str">
        <f>F1344</f>
        <v>d.normatizar</v>
      </c>
      <c r="G1345" s="17" t="s">
        <v>161</v>
      </c>
      <c r="H1345" s="42" t="s">
        <v>2121</v>
      </c>
      <c r="I1345" s="16" t="str">
        <f t="shared" si="515"/>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03"/>
        <v>Propriedade destinada a normatizar: é.regulamento</v>
      </c>
      <c r="V1345" s="5" t="str">
        <f t="shared" si="504"/>
        <v>Dado para normatizar:  regulamento  Deve ser formatado como (rdfs:Literal  or  xsd:string)</v>
      </c>
      <c r="W1345" s="5" t="s">
        <v>6044</v>
      </c>
      <c r="X1345" s="24" t="str">
        <f t="shared" si="505"/>
        <v>norma.103</v>
      </c>
      <c r="Y1345" s="24" t="str">
        <f t="shared" si="506"/>
        <v>Ação de normatizar</v>
      </c>
      <c r="Z1345" s="47" t="s">
        <v>1706</v>
      </c>
      <c r="AA1345" s="25" t="str">
        <f t="shared" si="501"/>
        <v>null</v>
      </c>
      <c r="AB1345" s="26" t="s">
        <v>0</v>
      </c>
      <c r="AC1345" s="25" t="str">
        <f t="shared" si="502"/>
        <v>null</v>
      </c>
      <c r="AD1345" s="26" t="s">
        <v>0</v>
      </c>
      <c r="AE1345" s="25" t="str">
        <f t="shared" si="513"/>
        <v>null</v>
      </c>
      <c r="AF1345" s="26" t="s">
        <v>0</v>
      </c>
      <c r="AG1345" s="47" t="s">
        <v>8295</v>
      </c>
    </row>
    <row r="1346" spans="1:33" ht="6.9" customHeight="1" x14ac:dyDescent="0.4">
      <c r="A1346" s="4">
        <f>ROW()</f>
        <v>1346</v>
      </c>
      <c r="B1346" s="9" t="s">
        <v>27</v>
      </c>
      <c r="C1346" s="54" t="str">
        <f t="shared" si="514"/>
        <v>p.orçamentar</v>
      </c>
      <c r="D1346" s="6" t="str">
        <f t="shared" si="511"/>
        <v>é.aquisição</v>
      </c>
      <c r="E1346" s="8" t="s">
        <v>28</v>
      </c>
      <c r="F1346" s="51" t="s">
        <v>3607</v>
      </c>
      <c r="G1346" s="23" t="s">
        <v>409</v>
      </c>
      <c r="H1346" s="42" t="s">
        <v>2121</v>
      </c>
      <c r="I1346" s="16" t="str">
        <f t="shared" si="515"/>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U1409" si="522">_xlfn.CONCAT("Propriedade destinada a ",MID(C1346,FIND("p.",C1346,1)+2,100),": ",D1346)</f>
        <v>Propriedade destinada a orçamentar: é.aquisição</v>
      </c>
      <c r="V1346" s="5" t="str">
        <f t="shared" ref="V1346:V1409" si="523">_xlfn.CONCAT("Dado para ",MID(F1346,FIND("d.",F1346,1)+2,100),":  ",G1346, "  Deve ser formatado como (",H1346, ")")</f>
        <v>Dado para orçamentar:  aquisição  Deve ser formatado como (rdfs:Literal  or  xsd:string)</v>
      </c>
      <c r="W1346" s="5" t="s">
        <v>6045</v>
      </c>
      <c r="X1346" s="24" t="str">
        <f t="shared" si="505"/>
        <v>orçam.100</v>
      </c>
      <c r="Y1346" s="24" t="str">
        <f t="shared" si="506"/>
        <v>Ação de orçamentar</v>
      </c>
      <c r="Z1346" s="47" t="s">
        <v>1263</v>
      </c>
      <c r="AA1346" s="25" t="str">
        <f t="shared" si="501"/>
        <v>null</v>
      </c>
      <c r="AB1346" s="26" t="s">
        <v>0</v>
      </c>
      <c r="AC1346" s="25" t="str">
        <f t="shared" si="502"/>
        <v>null</v>
      </c>
      <c r="AD1346" s="26" t="s">
        <v>0</v>
      </c>
      <c r="AE1346" s="25" t="str">
        <f t="shared" si="513"/>
        <v>null</v>
      </c>
      <c r="AF1346" s="26" t="s">
        <v>0</v>
      </c>
      <c r="AG1346" s="47" t="s">
        <v>3062</v>
      </c>
    </row>
    <row r="1347" spans="1:33" ht="6.9" customHeight="1" x14ac:dyDescent="0.4">
      <c r="A1347" s="4">
        <f>ROW()</f>
        <v>1347</v>
      </c>
      <c r="B1347" s="9" t="s">
        <v>27</v>
      </c>
      <c r="C1347" s="55" t="str">
        <f t="shared" ref="C1347:C1380" si="524">SUBSTITUTE(F1347,"d.","p.")</f>
        <v>p.orçamentar</v>
      </c>
      <c r="D1347" s="6" t="str">
        <f t="shared" si="511"/>
        <v>é.auxílio.doença</v>
      </c>
      <c r="E1347" s="8" t="s">
        <v>28</v>
      </c>
      <c r="F1347" s="42" t="str">
        <f>F1346</f>
        <v>d.orçamentar</v>
      </c>
      <c r="G1347" s="23" t="s">
        <v>820</v>
      </c>
      <c r="H1347" s="41" t="s">
        <v>36</v>
      </c>
      <c r="I1347" s="16" t="str">
        <f t="shared" ref="I1347:I1380" si="525">J1347</f>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522"/>
        <v>Propriedade destinada a orçamentar: é.auxílio.doença</v>
      </c>
      <c r="V1347" s="5" t="str">
        <f t="shared" si="523"/>
        <v>Dado para orçamentar:  auxílio.doença  Deve ser formatado como (xsd:double)</v>
      </c>
      <c r="W1347" s="5" t="s">
        <v>6046</v>
      </c>
      <c r="X1347" s="24" t="str">
        <f t="shared" ref="X1347:X1410" si="526">IF(F1346&lt;&gt;F1347,_xlfn.CONCAT(RIGHT(LEFT(F1347,7),5),".100"),_xlfn.CONCAT(RIGHT(LEFT(F1347,7),5),".",SUM(VALUE(RIGHT(X1346,3)),1)))</f>
        <v>orçam.101</v>
      </c>
      <c r="Y1347" s="24" t="str">
        <f t="shared" ref="Y1347:Y1410" si="527">_xlfn.CONCAT("Ação de ", SUBSTITUTE(F1347, "d.",  ""))</f>
        <v>Ação de orçamentar</v>
      </c>
      <c r="Z1347" s="47" t="s">
        <v>1707</v>
      </c>
      <c r="AA1347" s="25" t="str">
        <f t="shared" ref="AA1347:AA1380" si="528">IF(AB1347="null", "null", "categoria.revit")</f>
        <v>null</v>
      </c>
      <c r="AB1347" s="26" t="s">
        <v>0</v>
      </c>
      <c r="AC1347" s="25" t="str">
        <f t="shared" ref="AC1347:AC1380" si="529">IF(AD1347="null", "null", "classe.ifc")</f>
        <v>null</v>
      </c>
      <c r="AD1347" s="26" t="s">
        <v>0</v>
      </c>
      <c r="AE1347" s="25" t="str">
        <f t="shared" si="513"/>
        <v>null</v>
      </c>
      <c r="AF1347" s="26" t="s">
        <v>0</v>
      </c>
      <c r="AG1347" s="47" t="s">
        <v>3063</v>
      </c>
    </row>
    <row r="1348" spans="1:33" ht="6.9" customHeight="1" x14ac:dyDescent="0.4">
      <c r="A1348" s="4">
        <f>ROW()</f>
        <v>1348</v>
      </c>
      <c r="B1348" s="9" t="s">
        <v>27</v>
      </c>
      <c r="C1348" s="55" t="str">
        <f t="shared" si="524"/>
        <v>p.orçamentar</v>
      </c>
      <c r="D1348" s="6" t="str">
        <f t="shared" si="511"/>
        <v>é.coeficiente</v>
      </c>
      <c r="E1348" s="8" t="s">
        <v>28</v>
      </c>
      <c r="F1348" s="42" t="str">
        <f t="shared" ref="F1348:F1406" si="530">F1347</f>
        <v>d.orçamentar</v>
      </c>
      <c r="G1348" s="23" t="s">
        <v>399</v>
      </c>
      <c r="H1348" s="41" t="s">
        <v>36</v>
      </c>
      <c r="I1348" s="16" t="str">
        <f t="shared" si="525"/>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22"/>
        <v>Propriedade destinada a orçamentar: é.coeficiente</v>
      </c>
      <c r="V1348" s="5" t="str">
        <f t="shared" si="523"/>
        <v>Dado para orçamentar:  coeficiente  Deve ser formatado como (xsd:double)</v>
      </c>
      <c r="W1348" s="5" t="s">
        <v>6047</v>
      </c>
      <c r="X1348" s="24" t="str">
        <f t="shared" si="526"/>
        <v>orçam.102</v>
      </c>
      <c r="Y1348" s="24" t="str">
        <f t="shared" si="527"/>
        <v>Ação de orçamentar</v>
      </c>
      <c r="Z1348" s="47" t="s">
        <v>1708</v>
      </c>
      <c r="AA1348" s="25" t="str">
        <f t="shared" si="528"/>
        <v>null</v>
      </c>
      <c r="AB1348" s="26" t="s">
        <v>0</v>
      </c>
      <c r="AC1348" s="25" t="str">
        <f t="shared" si="529"/>
        <v>null</v>
      </c>
      <c r="AD1348" s="26" t="s">
        <v>0</v>
      </c>
      <c r="AE1348" s="25" t="str">
        <f t="shared" si="513"/>
        <v>null</v>
      </c>
      <c r="AF1348" s="26" t="s">
        <v>0</v>
      </c>
      <c r="AG1348" s="47" t="s">
        <v>3064</v>
      </c>
    </row>
    <row r="1349" spans="1:33" ht="6.9" customHeight="1" x14ac:dyDescent="0.4">
      <c r="A1349" s="4">
        <f>ROW()</f>
        <v>1349</v>
      </c>
      <c r="B1349" s="9" t="s">
        <v>27</v>
      </c>
      <c r="C1349" s="55" t="str">
        <f t="shared" si="524"/>
        <v>p.orçamentar</v>
      </c>
      <c r="D1349" s="6" t="str">
        <f t="shared" si="511"/>
        <v>é.contribuição.previdenciária</v>
      </c>
      <c r="E1349" s="8" t="s">
        <v>28</v>
      </c>
      <c r="F1349" s="42" t="str">
        <f t="shared" si="530"/>
        <v>d.orçamentar</v>
      </c>
      <c r="G1349" s="23" t="s">
        <v>821</v>
      </c>
      <c r="H1349" s="41" t="s">
        <v>36</v>
      </c>
      <c r="I1349" s="16" t="str">
        <f t="shared" si="525"/>
        <v>null</v>
      </c>
      <c r="J1349" s="13" t="s">
        <v>0</v>
      </c>
      <c r="K1349" s="13" t="s">
        <v>0</v>
      </c>
      <c r="L1349" s="13" t="s">
        <v>0</v>
      </c>
      <c r="M1349" s="13" t="s">
        <v>0</v>
      </c>
      <c r="N1349" s="15" t="s">
        <v>0</v>
      </c>
      <c r="O1349" s="13" t="s">
        <v>0</v>
      </c>
      <c r="P1349" s="13" t="s">
        <v>0</v>
      </c>
      <c r="Q1349" s="13" t="s">
        <v>0</v>
      </c>
      <c r="R1349" s="15" t="s">
        <v>822</v>
      </c>
      <c r="S1349" s="10" t="s">
        <v>1</v>
      </c>
      <c r="T1349" s="10" t="s">
        <v>32</v>
      </c>
      <c r="U1349" s="5" t="str">
        <f t="shared" si="522"/>
        <v>Propriedade destinada a orçamentar: é.contribuição.previdenciária</v>
      </c>
      <c r="V1349" s="5" t="str">
        <f t="shared" si="523"/>
        <v>Dado para orçamentar:  contribuição.previdenciária  Deve ser formatado como (xsd:double)</v>
      </c>
      <c r="W1349" s="5" t="s">
        <v>6048</v>
      </c>
      <c r="X1349" s="24" t="str">
        <f t="shared" si="526"/>
        <v>orçam.103</v>
      </c>
      <c r="Y1349" s="24" t="str">
        <f t="shared" si="527"/>
        <v>Ação de orçamentar</v>
      </c>
      <c r="Z1349" s="47" t="s">
        <v>1709</v>
      </c>
      <c r="AA1349" s="25" t="str">
        <f t="shared" si="528"/>
        <v>null</v>
      </c>
      <c r="AB1349" s="26" t="s">
        <v>0</v>
      </c>
      <c r="AC1349" s="25" t="str">
        <f t="shared" si="529"/>
        <v>null</v>
      </c>
      <c r="AD1349" s="26" t="s">
        <v>0</v>
      </c>
      <c r="AE1349" s="25" t="str">
        <f t="shared" si="513"/>
        <v>null</v>
      </c>
      <c r="AF1349" s="26" t="s">
        <v>0</v>
      </c>
      <c r="AG1349" s="47" t="s">
        <v>3065</v>
      </c>
    </row>
    <row r="1350" spans="1:33" ht="6.9" customHeight="1" x14ac:dyDescent="0.4">
      <c r="A1350" s="4">
        <f>ROW()</f>
        <v>1350</v>
      </c>
      <c r="B1350" s="9" t="s">
        <v>27</v>
      </c>
      <c r="C1350" s="55" t="str">
        <f t="shared" si="524"/>
        <v>p.orçamentar</v>
      </c>
      <c r="D1350" s="6" t="str">
        <f t="shared" si="511"/>
        <v>é.custo.de.equipamento</v>
      </c>
      <c r="E1350" s="8" t="s">
        <v>28</v>
      </c>
      <c r="F1350" s="42" t="str">
        <f t="shared" si="530"/>
        <v>d.orçamentar</v>
      </c>
      <c r="G1350" s="23" t="s">
        <v>823</v>
      </c>
      <c r="H1350" s="41" t="s">
        <v>36</v>
      </c>
      <c r="I1350" s="16" t="str">
        <f t="shared" si="525"/>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22"/>
        <v>Propriedade destinada a orçamentar: é.custo.de.equipamento</v>
      </c>
      <c r="V1350" s="5" t="str">
        <f t="shared" si="523"/>
        <v>Dado para orçamentar:  custo.de.equipamento  Deve ser formatado como (xsd:double)</v>
      </c>
      <c r="W1350" s="5" t="s">
        <v>6049</v>
      </c>
      <c r="X1350" s="24" t="str">
        <f t="shared" si="526"/>
        <v>orçam.104</v>
      </c>
      <c r="Y1350" s="24" t="str">
        <f t="shared" si="527"/>
        <v>Ação de orçamentar</v>
      </c>
      <c r="Z1350" s="47" t="s">
        <v>1710</v>
      </c>
      <c r="AA1350" s="25" t="str">
        <f t="shared" si="528"/>
        <v>null</v>
      </c>
      <c r="AB1350" s="26" t="s">
        <v>0</v>
      </c>
      <c r="AC1350" s="25" t="str">
        <f t="shared" si="529"/>
        <v>null</v>
      </c>
      <c r="AD1350" s="26" t="s">
        <v>0</v>
      </c>
      <c r="AE1350" s="25" t="str">
        <f t="shared" si="513"/>
        <v>null</v>
      </c>
      <c r="AF1350" s="26" t="s">
        <v>0</v>
      </c>
      <c r="AG1350" s="47" t="s">
        <v>3066</v>
      </c>
    </row>
    <row r="1351" spans="1:33" ht="6.9" customHeight="1" x14ac:dyDescent="0.4">
      <c r="A1351" s="4">
        <f>ROW()</f>
        <v>1351</v>
      </c>
      <c r="B1351" s="9" t="s">
        <v>27</v>
      </c>
      <c r="C1351" s="55" t="str">
        <f t="shared" si="524"/>
        <v>p.orçamentar</v>
      </c>
      <c r="D1351" s="6" t="str">
        <f t="shared" si="511"/>
        <v>é.custo.de.mão.de.obra</v>
      </c>
      <c r="E1351" s="8" t="s">
        <v>28</v>
      </c>
      <c r="F1351" s="42" t="str">
        <f t="shared" si="530"/>
        <v>d.orçamentar</v>
      </c>
      <c r="G1351" s="23" t="s">
        <v>824</v>
      </c>
      <c r="H1351" s="41" t="s">
        <v>36</v>
      </c>
      <c r="I1351" s="16" t="str">
        <f t="shared" si="525"/>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522"/>
        <v>Propriedade destinada a orçamentar: é.custo.de.mão.de.obra</v>
      </c>
      <c r="V1351" s="5" t="str">
        <f t="shared" si="523"/>
        <v>Dado para orçamentar:  custo.de.mão.de.obra  Deve ser formatado como (xsd:double)</v>
      </c>
      <c r="W1351" s="5" t="s">
        <v>6050</v>
      </c>
      <c r="X1351" s="24" t="str">
        <f t="shared" si="526"/>
        <v>orçam.105</v>
      </c>
      <c r="Y1351" s="24" t="str">
        <f t="shared" si="527"/>
        <v>Ação de orçamentar</v>
      </c>
      <c r="Z1351" s="47" t="s">
        <v>1711</v>
      </c>
      <c r="AA1351" s="25" t="str">
        <f t="shared" si="528"/>
        <v>null</v>
      </c>
      <c r="AB1351" s="26" t="s">
        <v>0</v>
      </c>
      <c r="AC1351" s="25" t="str">
        <f t="shared" si="529"/>
        <v>null</v>
      </c>
      <c r="AD1351" s="26" t="s">
        <v>0</v>
      </c>
      <c r="AE1351" s="25" t="str">
        <f t="shared" si="513"/>
        <v>null</v>
      </c>
      <c r="AF1351" s="26" t="s">
        <v>0</v>
      </c>
      <c r="AG1351" s="47" t="s">
        <v>3067</v>
      </c>
    </row>
    <row r="1352" spans="1:33" ht="6.9" customHeight="1" x14ac:dyDescent="0.4">
      <c r="A1352" s="4">
        <f>ROW()</f>
        <v>1352</v>
      </c>
      <c r="B1352" s="9" t="s">
        <v>27</v>
      </c>
      <c r="C1352" s="55" t="str">
        <f t="shared" si="524"/>
        <v>p.orçamentar</v>
      </c>
      <c r="D1352" s="6" t="str">
        <f t="shared" si="511"/>
        <v>é.custo.de.material</v>
      </c>
      <c r="E1352" s="8" t="s">
        <v>28</v>
      </c>
      <c r="F1352" s="42" t="str">
        <f t="shared" si="530"/>
        <v>d.orçamentar</v>
      </c>
      <c r="G1352" s="23" t="s">
        <v>825</v>
      </c>
      <c r="H1352" s="41" t="s">
        <v>36</v>
      </c>
      <c r="I1352" s="16" t="str">
        <f t="shared" si="525"/>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522"/>
        <v>Propriedade destinada a orçamentar: é.custo.de.material</v>
      </c>
      <c r="V1352" s="5" t="str">
        <f t="shared" si="523"/>
        <v>Dado para orçamentar:  custo.de.material  Deve ser formatado como (xsd:double)</v>
      </c>
      <c r="W1352" s="5" t="s">
        <v>6051</v>
      </c>
      <c r="X1352" s="24" t="str">
        <f t="shared" si="526"/>
        <v>orçam.106</v>
      </c>
      <c r="Y1352" s="24" t="str">
        <f t="shared" si="527"/>
        <v>Ação de orçamentar</v>
      </c>
      <c r="Z1352" s="47" t="s">
        <v>1712</v>
      </c>
      <c r="AA1352" s="25" t="str">
        <f t="shared" si="528"/>
        <v>null</v>
      </c>
      <c r="AB1352" s="26" t="s">
        <v>0</v>
      </c>
      <c r="AC1352" s="25" t="str">
        <f t="shared" si="529"/>
        <v>null</v>
      </c>
      <c r="AD1352" s="26" t="s">
        <v>0</v>
      </c>
      <c r="AE1352" s="25" t="str">
        <f t="shared" si="513"/>
        <v>null</v>
      </c>
      <c r="AF1352" s="26" t="s">
        <v>0</v>
      </c>
      <c r="AG1352" s="47" t="s">
        <v>3068</v>
      </c>
    </row>
    <row r="1353" spans="1:33" ht="6.9" customHeight="1" x14ac:dyDescent="0.4">
      <c r="A1353" s="4">
        <f>ROW()</f>
        <v>1353</v>
      </c>
      <c r="B1353" s="9" t="s">
        <v>27</v>
      </c>
      <c r="C1353" s="55" t="str">
        <f t="shared" si="524"/>
        <v>p.orçamentar</v>
      </c>
      <c r="D1353" s="6" t="str">
        <f t="shared" si="511"/>
        <v>é.custo.de.serviço.terceirizado</v>
      </c>
      <c r="E1353" s="8" t="s">
        <v>28</v>
      </c>
      <c r="F1353" s="42" t="str">
        <f t="shared" si="530"/>
        <v>d.orçamentar</v>
      </c>
      <c r="G1353" s="23" t="s">
        <v>826</v>
      </c>
      <c r="H1353" s="41" t="s">
        <v>36</v>
      </c>
      <c r="I1353" s="16" t="str">
        <f t="shared" si="525"/>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522"/>
        <v>Propriedade destinada a orçamentar: é.custo.de.serviço.terceirizado</v>
      </c>
      <c r="V1353" s="5" t="str">
        <f t="shared" si="523"/>
        <v>Dado para orçamentar:  custo.de.serviço.terceirizado  Deve ser formatado como (xsd:double)</v>
      </c>
      <c r="W1353" s="5" t="s">
        <v>6052</v>
      </c>
      <c r="X1353" s="24" t="str">
        <f t="shared" si="526"/>
        <v>orçam.107</v>
      </c>
      <c r="Y1353" s="24" t="str">
        <f t="shared" si="527"/>
        <v>Ação de orçamentar</v>
      </c>
      <c r="Z1353" s="47" t="s">
        <v>1713</v>
      </c>
      <c r="AA1353" s="25" t="str">
        <f t="shared" si="528"/>
        <v>null</v>
      </c>
      <c r="AB1353" s="26" t="s">
        <v>0</v>
      </c>
      <c r="AC1353" s="25" t="str">
        <f t="shared" si="529"/>
        <v>null</v>
      </c>
      <c r="AD1353" s="26" t="s">
        <v>0</v>
      </c>
      <c r="AE1353" s="25" t="str">
        <f t="shared" si="513"/>
        <v>null</v>
      </c>
      <c r="AF1353" s="26" t="s">
        <v>0</v>
      </c>
      <c r="AG1353" s="47" t="s">
        <v>3069</v>
      </c>
    </row>
    <row r="1354" spans="1:33" ht="6.9" customHeight="1" x14ac:dyDescent="0.4">
      <c r="A1354" s="4">
        <f>ROW()</f>
        <v>1354</v>
      </c>
      <c r="B1354" s="9" t="s">
        <v>27</v>
      </c>
      <c r="C1354" s="55" t="str">
        <f t="shared" si="524"/>
        <v>p.orçamentar</v>
      </c>
      <c r="D1354" s="6" t="str">
        <f t="shared" si="511"/>
        <v>é.custo.total</v>
      </c>
      <c r="E1354" s="8" t="s">
        <v>28</v>
      </c>
      <c r="F1354" s="42" t="str">
        <f t="shared" si="530"/>
        <v>d.orçamentar</v>
      </c>
      <c r="G1354" s="23" t="s">
        <v>827</v>
      </c>
      <c r="H1354" s="41" t="s">
        <v>36</v>
      </c>
      <c r="I1354" s="16" t="str">
        <f t="shared" si="525"/>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22"/>
        <v>Propriedade destinada a orçamentar: é.custo.total</v>
      </c>
      <c r="V1354" s="5" t="str">
        <f t="shared" si="523"/>
        <v>Dado para orçamentar:  custo.total  Deve ser formatado como (xsd:double)</v>
      </c>
      <c r="W1354" s="5" t="s">
        <v>6053</v>
      </c>
      <c r="X1354" s="24" t="str">
        <f t="shared" si="526"/>
        <v>orçam.108</v>
      </c>
      <c r="Y1354" s="24" t="str">
        <f t="shared" si="527"/>
        <v>Ação de orçamentar</v>
      </c>
      <c r="Z1354" s="47" t="s">
        <v>1714</v>
      </c>
      <c r="AA1354" s="25" t="str">
        <f t="shared" si="528"/>
        <v>null</v>
      </c>
      <c r="AB1354" s="26" t="s">
        <v>0</v>
      </c>
      <c r="AC1354" s="25" t="str">
        <f t="shared" si="529"/>
        <v>null</v>
      </c>
      <c r="AD1354" s="26" t="s">
        <v>0</v>
      </c>
      <c r="AE1354" s="25" t="str">
        <f t="shared" si="513"/>
        <v>null</v>
      </c>
      <c r="AF1354" s="26" t="s">
        <v>0</v>
      </c>
      <c r="AG1354" s="47" t="s">
        <v>3070</v>
      </c>
    </row>
    <row r="1355" spans="1:33" ht="6.9" customHeight="1" x14ac:dyDescent="0.4">
      <c r="A1355" s="4">
        <f>ROW()</f>
        <v>1355</v>
      </c>
      <c r="B1355" s="9" t="s">
        <v>27</v>
      </c>
      <c r="C1355" s="55" t="str">
        <f t="shared" si="524"/>
        <v>p.orçamentar</v>
      </c>
      <c r="D1355" s="6" t="str">
        <f t="shared" si="511"/>
        <v>é.despesa.obrigatória</v>
      </c>
      <c r="E1355" s="8" t="s">
        <v>28</v>
      </c>
      <c r="F1355" s="42" t="str">
        <f t="shared" si="530"/>
        <v>d.orçamentar</v>
      </c>
      <c r="G1355" s="18" t="s">
        <v>828</v>
      </c>
      <c r="H1355" s="41" t="s">
        <v>36</v>
      </c>
      <c r="I1355" s="16" t="str">
        <f t="shared" si="525"/>
        <v>null</v>
      </c>
      <c r="J1355" s="13" t="s">
        <v>0</v>
      </c>
      <c r="K1355" s="13" t="s">
        <v>0</v>
      </c>
      <c r="L1355" s="13" t="s">
        <v>0</v>
      </c>
      <c r="M1355" s="13" t="s">
        <v>0</v>
      </c>
      <c r="N1355" s="15" t="s">
        <v>0</v>
      </c>
      <c r="O1355" s="13" t="s">
        <v>0</v>
      </c>
      <c r="P1355" s="13" t="s">
        <v>0</v>
      </c>
      <c r="Q1355" s="13" t="s">
        <v>0</v>
      </c>
      <c r="R1355" s="15" t="s">
        <v>4099</v>
      </c>
      <c r="S1355" s="10" t="s">
        <v>1</v>
      </c>
      <c r="T1355" s="10" t="s">
        <v>32</v>
      </c>
      <c r="U1355" s="5" t="str">
        <f t="shared" si="522"/>
        <v>Propriedade destinada a orçamentar: é.despesa.obrigatória</v>
      </c>
      <c r="V1355" s="5" t="str">
        <f t="shared" si="523"/>
        <v>Dado para orçamentar:  despesa.obrigatória  Deve ser formatado como (xsd:double)</v>
      </c>
      <c r="W1355" s="5" t="s">
        <v>6054</v>
      </c>
      <c r="X1355" s="24" t="str">
        <f t="shared" si="526"/>
        <v>orçam.109</v>
      </c>
      <c r="Y1355" s="24" t="str">
        <f t="shared" si="527"/>
        <v>Ação de orçamentar</v>
      </c>
      <c r="Z1355" s="47" t="s">
        <v>1715</v>
      </c>
      <c r="AA1355" s="25" t="str">
        <f t="shared" si="528"/>
        <v>null</v>
      </c>
      <c r="AB1355" s="26" t="s">
        <v>0</v>
      </c>
      <c r="AC1355" s="25" t="str">
        <f t="shared" si="529"/>
        <v>null</v>
      </c>
      <c r="AD1355" s="26" t="s">
        <v>0</v>
      </c>
      <c r="AE1355" s="25" t="str">
        <f t="shared" si="513"/>
        <v>null</v>
      </c>
      <c r="AF1355" s="26" t="s">
        <v>0</v>
      </c>
      <c r="AG1355" s="47" t="s">
        <v>4739</v>
      </c>
    </row>
    <row r="1356" spans="1:33" ht="6.9" customHeight="1" x14ac:dyDescent="0.4">
      <c r="A1356" s="4">
        <f>ROW()</f>
        <v>1356</v>
      </c>
      <c r="B1356" s="9" t="s">
        <v>27</v>
      </c>
      <c r="C1356" s="55" t="str">
        <f t="shared" si="524"/>
        <v>p.orçamentar</v>
      </c>
      <c r="D1356" s="6" t="str">
        <f t="shared" si="511"/>
        <v>é.empenho</v>
      </c>
      <c r="E1356" s="8" t="s">
        <v>28</v>
      </c>
      <c r="F1356" s="42" t="str">
        <f t="shared" si="530"/>
        <v>d.orçamentar</v>
      </c>
      <c r="G1356" s="18" t="s">
        <v>4097</v>
      </c>
      <c r="H1356" s="41" t="s">
        <v>36</v>
      </c>
      <c r="I1356" s="16" t="str">
        <f t="shared" si="525"/>
        <v>null</v>
      </c>
      <c r="J1356" s="13" t="s">
        <v>0</v>
      </c>
      <c r="K1356" s="13" t="s">
        <v>0</v>
      </c>
      <c r="L1356" s="13" t="s">
        <v>0</v>
      </c>
      <c r="M1356" s="13" t="s">
        <v>0</v>
      </c>
      <c r="N1356" s="15" t="s">
        <v>0</v>
      </c>
      <c r="O1356" s="13" t="s">
        <v>0</v>
      </c>
      <c r="P1356" s="13" t="s">
        <v>0</v>
      </c>
      <c r="Q1356" s="13" t="s">
        <v>0</v>
      </c>
      <c r="R1356" s="15" t="s">
        <v>4098</v>
      </c>
      <c r="S1356" s="10" t="s">
        <v>1</v>
      </c>
      <c r="T1356" s="10" t="s">
        <v>32</v>
      </c>
      <c r="U1356" s="5" t="str">
        <f t="shared" si="522"/>
        <v>Propriedade destinada a orçamentar: é.empenho</v>
      </c>
      <c r="V1356" s="5" t="str">
        <f t="shared" si="523"/>
        <v>Dado para orçamentar:  empenho  Deve ser formatado como (xsd:double)</v>
      </c>
      <c r="W1356" s="5" t="s">
        <v>6055</v>
      </c>
      <c r="X1356" s="24" t="str">
        <f t="shared" si="526"/>
        <v>orçam.110</v>
      </c>
      <c r="Y1356" s="24" t="str">
        <f t="shared" si="527"/>
        <v>Ação de orçamentar</v>
      </c>
      <c r="Z1356" s="47" t="s">
        <v>7133</v>
      </c>
      <c r="AA1356" s="25" t="str">
        <f t="shared" si="528"/>
        <v>null</v>
      </c>
      <c r="AB1356" s="26" t="s">
        <v>0</v>
      </c>
      <c r="AC1356" s="25" t="str">
        <f t="shared" si="529"/>
        <v>null</v>
      </c>
      <c r="AD1356" s="26" t="s">
        <v>0</v>
      </c>
      <c r="AE1356" s="25" t="str">
        <f t="shared" si="513"/>
        <v>null</v>
      </c>
      <c r="AF1356" s="26" t="s">
        <v>0</v>
      </c>
      <c r="AG1356" s="47" t="s">
        <v>4740</v>
      </c>
    </row>
    <row r="1357" spans="1:33" ht="6.9" customHeight="1" x14ac:dyDescent="0.4">
      <c r="A1357" s="4">
        <f>ROW()</f>
        <v>1357</v>
      </c>
      <c r="B1357" s="9" t="s">
        <v>27</v>
      </c>
      <c r="C1357" s="55" t="str">
        <f t="shared" si="524"/>
        <v>p.orçamentar</v>
      </c>
      <c r="D1357" s="6" t="str">
        <f t="shared" si="511"/>
        <v>é.encargo.social</v>
      </c>
      <c r="E1357" s="8" t="s">
        <v>28</v>
      </c>
      <c r="F1357" s="42" t="str">
        <f t="shared" si="530"/>
        <v>d.orçamentar</v>
      </c>
      <c r="G1357" s="18" t="s">
        <v>829</v>
      </c>
      <c r="H1357" s="41" t="s">
        <v>36</v>
      </c>
      <c r="I1357" s="16" t="str">
        <f t="shared" si="525"/>
        <v>null</v>
      </c>
      <c r="J1357" s="13" t="s">
        <v>0</v>
      </c>
      <c r="K1357" s="13" t="s">
        <v>0</v>
      </c>
      <c r="L1357" s="13" t="s">
        <v>0</v>
      </c>
      <c r="M1357" s="13" t="s">
        <v>0</v>
      </c>
      <c r="N1357" s="15" t="s">
        <v>0</v>
      </c>
      <c r="O1357" s="13" t="s">
        <v>0</v>
      </c>
      <c r="P1357" s="13" t="s">
        <v>0</v>
      </c>
      <c r="Q1357" s="13" t="s">
        <v>0</v>
      </c>
      <c r="R1357" s="15" t="s">
        <v>830</v>
      </c>
      <c r="S1357" s="10" t="s">
        <v>1</v>
      </c>
      <c r="T1357" s="10" t="s">
        <v>32</v>
      </c>
      <c r="U1357" s="5" t="str">
        <f t="shared" si="522"/>
        <v>Propriedade destinada a orçamentar: é.encargo.social</v>
      </c>
      <c r="V1357" s="5" t="str">
        <f t="shared" si="523"/>
        <v>Dado para orçamentar:  encargo.social  Deve ser formatado como (xsd:double)</v>
      </c>
      <c r="W1357" s="5" t="s">
        <v>6056</v>
      </c>
      <c r="X1357" s="24" t="str">
        <f t="shared" si="526"/>
        <v>orçam.111</v>
      </c>
      <c r="Y1357" s="24" t="str">
        <f t="shared" si="527"/>
        <v>Ação de orçamentar</v>
      </c>
      <c r="Z1357" s="47" t="s">
        <v>1716</v>
      </c>
      <c r="AA1357" s="25" t="str">
        <f t="shared" si="528"/>
        <v>null</v>
      </c>
      <c r="AB1357" s="26" t="s">
        <v>0</v>
      </c>
      <c r="AC1357" s="25" t="str">
        <f t="shared" si="529"/>
        <v>null</v>
      </c>
      <c r="AD1357" s="26" t="s">
        <v>0</v>
      </c>
      <c r="AE1357" s="25" t="str">
        <f t="shared" si="513"/>
        <v>null</v>
      </c>
      <c r="AF1357" s="26" t="s">
        <v>0</v>
      </c>
      <c r="AG1357" s="47" t="s">
        <v>3071</v>
      </c>
    </row>
    <row r="1358" spans="1:33" ht="6.9" customHeight="1" x14ac:dyDescent="0.4">
      <c r="A1358" s="4">
        <f>ROW()</f>
        <v>1358</v>
      </c>
      <c r="B1358" s="9" t="s">
        <v>27</v>
      </c>
      <c r="C1358" s="55" t="str">
        <f t="shared" si="524"/>
        <v>p.orçamentar</v>
      </c>
      <c r="D1358" s="6" t="str">
        <f t="shared" si="511"/>
        <v>é.imposto.de.valor.agregado</v>
      </c>
      <c r="E1358" s="8" t="s">
        <v>28</v>
      </c>
      <c r="F1358" s="42" t="str">
        <f t="shared" si="530"/>
        <v>d.orçamentar</v>
      </c>
      <c r="G1358" s="18" t="s">
        <v>831</v>
      </c>
      <c r="H1358" s="41" t="s">
        <v>36</v>
      </c>
      <c r="I1358" s="16" t="str">
        <f t="shared" si="525"/>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22"/>
        <v>Propriedade destinada a orçamentar: é.imposto.de.valor.agregado</v>
      </c>
      <c r="V1358" s="5" t="str">
        <f t="shared" si="523"/>
        <v>Dado para orçamentar:  imposto.de.valor.agregado  Deve ser formatado como (xsd:double)</v>
      </c>
      <c r="W1358" s="5" t="s">
        <v>6057</v>
      </c>
      <c r="X1358" s="24" t="str">
        <f t="shared" si="526"/>
        <v>orçam.112</v>
      </c>
      <c r="Y1358" s="24" t="str">
        <f t="shared" si="527"/>
        <v>Ação de orçamentar</v>
      </c>
      <c r="Z1358" s="47" t="s">
        <v>1717</v>
      </c>
      <c r="AA1358" s="25" t="str">
        <f t="shared" si="528"/>
        <v>null</v>
      </c>
      <c r="AB1358" s="26" t="s">
        <v>0</v>
      </c>
      <c r="AC1358" s="25" t="str">
        <f t="shared" si="529"/>
        <v>null</v>
      </c>
      <c r="AD1358" s="26" t="s">
        <v>0</v>
      </c>
      <c r="AE1358" s="25" t="str">
        <f t="shared" si="513"/>
        <v>null</v>
      </c>
      <c r="AF1358" s="26" t="s">
        <v>0</v>
      </c>
      <c r="AG1358" s="47" t="s">
        <v>8296</v>
      </c>
    </row>
    <row r="1359" spans="1:33" ht="6.9" customHeight="1" x14ac:dyDescent="0.4">
      <c r="A1359" s="4">
        <f>ROW()</f>
        <v>1359</v>
      </c>
      <c r="B1359" s="9" t="s">
        <v>27</v>
      </c>
      <c r="C1359" s="55" t="str">
        <f t="shared" si="524"/>
        <v>p.orçamentar</v>
      </c>
      <c r="D1359" s="6" t="str">
        <f t="shared" ref="D1359:D1422" si="531">_xlfn.CONCAT("é.",G1359)</f>
        <v>é.imposto.estadual</v>
      </c>
      <c r="E1359" s="8" t="s">
        <v>28</v>
      </c>
      <c r="F1359" s="42" t="str">
        <f t="shared" si="530"/>
        <v>d.orçamentar</v>
      </c>
      <c r="G1359" s="18" t="s">
        <v>832</v>
      </c>
      <c r="H1359" s="41" t="s">
        <v>36</v>
      </c>
      <c r="I1359" s="16" t="str">
        <f t="shared" si="525"/>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22"/>
        <v>Propriedade destinada a orçamentar: é.imposto.estadual</v>
      </c>
      <c r="V1359" s="5" t="str">
        <f t="shared" si="523"/>
        <v>Dado para orçamentar:  imposto.estadual  Deve ser formatado como (xsd:double)</v>
      </c>
      <c r="W1359" s="5" t="s">
        <v>6058</v>
      </c>
      <c r="X1359" s="24" t="str">
        <f t="shared" si="526"/>
        <v>orçam.113</v>
      </c>
      <c r="Y1359" s="24" t="str">
        <f t="shared" si="527"/>
        <v>Ação de orçamentar</v>
      </c>
      <c r="Z1359" s="47" t="s">
        <v>1718</v>
      </c>
      <c r="AA1359" s="25" t="str">
        <f t="shared" si="528"/>
        <v>null</v>
      </c>
      <c r="AB1359" s="26" t="s">
        <v>0</v>
      </c>
      <c r="AC1359" s="25" t="str">
        <f t="shared" si="529"/>
        <v>null</v>
      </c>
      <c r="AD1359" s="26" t="s">
        <v>0</v>
      </c>
      <c r="AE1359" s="25" t="str">
        <f t="shared" ref="AE1359:AE1422" si="532">IF(AF1359="null", "null", "propriedade")</f>
        <v>null</v>
      </c>
      <c r="AF1359" s="26" t="s">
        <v>0</v>
      </c>
      <c r="AG1359" s="47" t="s">
        <v>3072</v>
      </c>
    </row>
    <row r="1360" spans="1:33" ht="6.9" customHeight="1" x14ac:dyDescent="0.4">
      <c r="A1360" s="4">
        <f>ROW()</f>
        <v>1360</v>
      </c>
      <c r="B1360" s="9" t="s">
        <v>27</v>
      </c>
      <c r="C1360" s="55" t="str">
        <f t="shared" si="524"/>
        <v>p.orçamentar</v>
      </c>
      <c r="D1360" s="6" t="str">
        <f t="shared" si="531"/>
        <v>é.imposto.federal</v>
      </c>
      <c r="E1360" s="8" t="s">
        <v>28</v>
      </c>
      <c r="F1360" s="42" t="str">
        <f t="shared" si="530"/>
        <v>d.orçamentar</v>
      </c>
      <c r="G1360" s="18" t="s">
        <v>833</v>
      </c>
      <c r="H1360" s="41" t="s">
        <v>36</v>
      </c>
      <c r="I1360" s="16" t="str">
        <f t="shared" si="525"/>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22"/>
        <v>Propriedade destinada a orçamentar: é.imposto.federal</v>
      </c>
      <c r="V1360" s="5" t="str">
        <f t="shared" si="523"/>
        <v>Dado para orçamentar:  imposto.federal  Deve ser formatado como (xsd:double)</v>
      </c>
      <c r="W1360" s="5" t="s">
        <v>6059</v>
      </c>
      <c r="X1360" s="24" t="str">
        <f t="shared" si="526"/>
        <v>orçam.114</v>
      </c>
      <c r="Y1360" s="24" t="str">
        <f t="shared" si="527"/>
        <v>Ação de orçamentar</v>
      </c>
      <c r="Z1360" s="47" t="s">
        <v>1719</v>
      </c>
      <c r="AA1360" s="25" t="str">
        <f t="shared" si="528"/>
        <v>null</v>
      </c>
      <c r="AB1360" s="26" t="s">
        <v>0</v>
      </c>
      <c r="AC1360" s="25" t="str">
        <f t="shared" si="529"/>
        <v>null</v>
      </c>
      <c r="AD1360" s="26" t="s">
        <v>0</v>
      </c>
      <c r="AE1360" s="25" t="str">
        <f t="shared" si="532"/>
        <v>null</v>
      </c>
      <c r="AF1360" s="26" t="s">
        <v>0</v>
      </c>
      <c r="AG1360" s="47" t="s">
        <v>3073</v>
      </c>
    </row>
    <row r="1361" spans="1:33" ht="6.9" customHeight="1" x14ac:dyDescent="0.4">
      <c r="A1361" s="4">
        <f>ROW()</f>
        <v>1361</v>
      </c>
      <c r="B1361" s="9" t="s">
        <v>27</v>
      </c>
      <c r="C1361" s="55" t="str">
        <f t="shared" si="524"/>
        <v>p.orçamentar</v>
      </c>
      <c r="D1361" s="6" t="str">
        <f t="shared" si="531"/>
        <v>é.imposto.municipal</v>
      </c>
      <c r="E1361" s="8" t="s">
        <v>28</v>
      </c>
      <c r="F1361" s="42" t="str">
        <f t="shared" si="530"/>
        <v>d.orçamentar</v>
      </c>
      <c r="G1361" s="18" t="s">
        <v>834</v>
      </c>
      <c r="H1361" s="41" t="s">
        <v>36</v>
      </c>
      <c r="I1361" s="16" t="str">
        <f t="shared" si="525"/>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22"/>
        <v>Propriedade destinada a orçamentar: é.imposto.municipal</v>
      </c>
      <c r="V1361" s="5" t="str">
        <f t="shared" si="523"/>
        <v>Dado para orçamentar:  imposto.municipal  Deve ser formatado como (xsd:double)</v>
      </c>
      <c r="W1361" s="5" t="s">
        <v>6060</v>
      </c>
      <c r="X1361" s="24" t="str">
        <f t="shared" si="526"/>
        <v>orçam.115</v>
      </c>
      <c r="Y1361" s="24" t="str">
        <f t="shared" si="527"/>
        <v>Ação de orçamentar</v>
      </c>
      <c r="Z1361" s="47" t="s">
        <v>1720</v>
      </c>
      <c r="AA1361" s="25" t="str">
        <f t="shared" si="528"/>
        <v>null</v>
      </c>
      <c r="AB1361" s="26" t="s">
        <v>0</v>
      </c>
      <c r="AC1361" s="25" t="str">
        <f t="shared" si="529"/>
        <v>null</v>
      </c>
      <c r="AD1361" s="26" t="s">
        <v>0</v>
      </c>
      <c r="AE1361" s="25" t="str">
        <f t="shared" si="532"/>
        <v>null</v>
      </c>
      <c r="AF1361" s="26" t="s">
        <v>0</v>
      </c>
      <c r="AG1361" s="47" t="s">
        <v>3074</v>
      </c>
    </row>
    <row r="1362" spans="1:33" ht="6.9" customHeight="1" x14ac:dyDescent="0.4">
      <c r="A1362" s="4">
        <f>ROW()</f>
        <v>1362</v>
      </c>
      <c r="B1362" s="9" t="s">
        <v>27</v>
      </c>
      <c r="C1362" s="55" t="str">
        <f t="shared" si="524"/>
        <v>p.orçamentar</v>
      </c>
      <c r="D1362" s="6" t="str">
        <f t="shared" si="531"/>
        <v>é.item.codificado</v>
      </c>
      <c r="E1362" s="8" t="s">
        <v>28</v>
      </c>
      <c r="F1362" s="42" t="str">
        <f t="shared" si="530"/>
        <v>d.orçamentar</v>
      </c>
      <c r="G1362" s="23" t="s">
        <v>835</v>
      </c>
      <c r="H1362" s="42" t="s">
        <v>2121</v>
      </c>
      <c r="I1362" s="16" t="str">
        <f t="shared" si="525"/>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22"/>
        <v>Propriedade destinada a orçamentar: é.item.codificado</v>
      </c>
      <c r="V1362" s="5" t="str">
        <f t="shared" si="523"/>
        <v>Dado para orçamentar:  item.codificado  Deve ser formatado como (rdfs:Literal  or  xsd:string)</v>
      </c>
      <c r="W1362" s="5" t="s">
        <v>6067</v>
      </c>
      <c r="X1362" s="24" t="str">
        <f t="shared" si="526"/>
        <v>orçam.116</v>
      </c>
      <c r="Y1362" s="24" t="str">
        <f t="shared" si="527"/>
        <v>Ação de orçamentar</v>
      </c>
      <c r="Z1362" s="47" t="s">
        <v>2112</v>
      </c>
      <c r="AA1362" s="25" t="str">
        <f t="shared" si="528"/>
        <v>null</v>
      </c>
      <c r="AB1362" s="26" t="s">
        <v>0</v>
      </c>
      <c r="AC1362" s="25" t="str">
        <f t="shared" si="529"/>
        <v>null</v>
      </c>
      <c r="AD1362" s="26" t="s">
        <v>0</v>
      </c>
      <c r="AE1362" s="25" t="str">
        <f t="shared" si="532"/>
        <v>null</v>
      </c>
      <c r="AF1362" s="26" t="s">
        <v>0</v>
      </c>
      <c r="AG1362" s="47" t="s">
        <v>3075</v>
      </c>
    </row>
    <row r="1363" spans="1:33" ht="6.9" customHeight="1" x14ac:dyDescent="0.4">
      <c r="A1363" s="4">
        <f>ROW()</f>
        <v>1363</v>
      </c>
      <c r="B1363" s="9" t="s">
        <v>27</v>
      </c>
      <c r="C1363" s="55" t="str">
        <f t="shared" si="524"/>
        <v>p.orçamentar</v>
      </c>
      <c r="D1363" s="6" t="str">
        <f t="shared" si="531"/>
        <v>é.item.de.classe</v>
      </c>
      <c r="E1363" s="8" t="s">
        <v>28</v>
      </c>
      <c r="F1363" s="42" t="str">
        <f t="shared" si="530"/>
        <v>d.orçamentar</v>
      </c>
      <c r="G1363" s="23" t="s">
        <v>836</v>
      </c>
      <c r="H1363" s="42" t="s">
        <v>2121</v>
      </c>
      <c r="I1363" s="16" t="str">
        <f t="shared" si="525"/>
        <v>null</v>
      </c>
      <c r="J1363" s="13" t="s">
        <v>0</v>
      </c>
      <c r="K1363" s="13" t="s">
        <v>0</v>
      </c>
      <c r="L1363" s="13" t="s">
        <v>0</v>
      </c>
      <c r="M1363" s="13" t="s">
        <v>0</v>
      </c>
      <c r="N1363" s="15" t="s">
        <v>0</v>
      </c>
      <c r="O1363" s="13" t="s">
        <v>0</v>
      </c>
      <c r="P1363" s="13" t="s">
        <v>0</v>
      </c>
      <c r="Q1363" s="15" t="s">
        <v>0</v>
      </c>
      <c r="R1363" s="15" t="s">
        <v>0</v>
      </c>
      <c r="S1363" s="10" t="s">
        <v>1</v>
      </c>
      <c r="T1363" s="10" t="s">
        <v>32</v>
      </c>
      <c r="U1363" s="5" t="str">
        <f t="shared" si="522"/>
        <v>Propriedade destinada a orçamentar: é.item.de.classe</v>
      </c>
      <c r="V1363" s="5" t="str">
        <f t="shared" si="523"/>
        <v>Dado para orçamentar:  item.de.classe  Deve ser formatado como (rdfs:Literal  or  xsd:string)</v>
      </c>
      <c r="W1363" s="5" t="s">
        <v>6068</v>
      </c>
      <c r="X1363" s="24" t="str">
        <f t="shared" si="526"/>
        <v>orçam.117</v>
      </c>
      <c r="Y1363" s="24" t="str">
        <f t="shared" si="527"/>
        <v>Ação de orçamentar</v>
      </c>
      <c r="Z1363" s="47" t="s">
        <v>1721</v>
      </c>
      <c r="AA1363" s="25" t="str">
        <f t="shared" si="528"/>
        <v>null</v>
      </c>
      <c r="AB1363" s="26" t="s">
        <v>0</v>
      </c>
      <c r="AC1363" s="25" t="str">
        <f t="shared" si="529"/>
        <v>null</v>
      </c>
      <c r="AD1363" s="26" t="s">
        <v>0</v>
      </c>
      <c r="AE1363" s="25" t="str">
        <f t="shared" si="532"/>
        <v>null</v>
      </c>
      <c r="AF1363" s="26" t="s">
        <v>0</v>
      </c>
      <c r="AG1363" s="47" t="s">
        <v>3076</v>
      </c>
    </row>
    <row r="1364" spans="1:33" ht="6.9" customHeight="1" x14ac:dyDescent="0.4">
      <c r="A1364" s="4">
        <f>ROW()</f>
        <v>1364</v>
      </c>
      <c r="B1364" s="9" t="s">
        <v>27</v>
      </c>
      <c r="C1364" s="55" t="str">
        <f t="shared" si="524"/>
        <v>p.orçamentar</v>
      </c>
      <c r="D1364" s="6" t="str">
        <f t="shared" si="531"/>
        <v>é.item.de.composição</v>
      </c>
      <c r="E1364" s="8" t="s">
        <v>28</v>
      </c>
      <c r="F1364" s="42" t="str">
        <f t="shared" si="530"/>
        <v>d.orçamentar</v>
      </c>
      <c r="G1364" s="23" t="s">
        <v>837</v>
      </c>
      <c r="H1364" s="42" t="s">
        <v>2121</v>
      </c>
      <c r="I1364" s="16" t="str">
        <f t="shared" si="525"/>
        <v>null</v>
      </c>
      <c r="J1364" s="13" t="s">
        <v>0</v>
      </c>
      <c r="K1364" s="13" t="s">
        <v>0</v>
      </c>
      <c r="L1364" s="13" t="s">
        <v>0</v>
      </c>
      <c r="M1364" s="13" t="s">
        <v>0</v>
      </c>
      <c r="N1364" s="15" t="s">
        <v>0</v>
      </c>
      <c r="O1364" s="13" t="s">
        <v>0</v>
      </c>
      <c r="P1364" s="13" t="s">
        <v>0</v>
      </c>
      <c r="Q1364" s="15" t="s">
        <v>0</v>
      </c>
      <c r="R1364" s="15" t="s">
        <v>0</v>
      </c>
      <c r="S1364" s="10" t="s">
        <v>1</v>
      </c>
      <c r="T1364" s="10" t="s">
        <v>32</v>
      </c>
      <c r="U1364" s="5" t="str">
        <f t="shared" si="522"/>
        <v>Propriedade destinada a orçamentar: é.item.de.composição</v>
      </c>
      <c r="V1364" s="5" t="str">
        <f t="shared" si="523"/>
        <v>Dado para orçamentar:  item.de.composição  Deve ser formatado como (rdfs:Literal  or  xsd:string)</v>
      </c>
      <c r="W1364" s="5" t="s">
        <v>6069</v>
      </c>
      <c r="X1364" s="24" t="str">
        <f t="shared" si="526"/>
        <v>orçam.118</v>
      </c>
      <c r="Y1364" s="24" t="str">
        <f t="shared" si="527"/>
        <v>Ação de orçamentar</v>
      </c>
      <c r="Z1364" s="47" t="s">
        <v>1722</v>
      </c>
      <c r="AA1364" s="25" t="str">
        <f t="shared" si="528"/>
        <v>null</v>
      </c>
      <c r="AB1364" s="26" t="s">
        <v>0</v>
      </c>
      <c r="AC1364" s="25" t="str">
        <f t="shared" si="529"/>
        <v>null</v>
      </c>
      <c r="AD1364" s="26" t="s">
        <v>0</v>
      </c>
      <c r="AE1364" s="25" t="str">
        <f t="shared" si="532"/>
        <v>null</v>
      </c>
      <c r="AF1364" s="26" t="s">
        <v>0</v>
      </c>
      <c r="AG1364" s="47" t="s">
        <v>3077</v>
      </c>
    </row>
    <row r="1365" spans="1:33" ht="6.9" customHeight="1" x14ac:dyDescent="0.4">
      <c r="A1365" s="4">
        <f>ROW()</f>
        <v>1365</v>
      </c>
      <c r="B1365" s="9" t="s">
        <v>27</v>
      </c>
      <c r="C1365" s="55" t="str">
        <f t="shared" si="524"/>
        <v>p.orçamentar</v>
      </c>
      <c r="D1365" s="6" t="str">
        <f t="shared" si="531"/>
        <v>é.item.unidade</v>
      </c>
      <c r="E1365" s="8" t="s">
        <v>28</v>
      </c>
      <c r="F1365" s="42" t="str">
        <f t="shared" si="530"/>
        <v>d.orçamentar</v>
      </c>
      <c r="G1365" s="23" t="s">
        <v>838</v>
      </c>
      <c r="H1365" s="42" t="s">
        <v>2121</v>
      </c>
      <c r="I1365" s="16" t="str">
        <f t="shared" si="52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22"/>
        <v>Propriedade destinada a orçamentar: é.item.unidade</v>
      </c>
      <c r="V1365" s="5" t="str">
        <f t="shared" si="523"/>
        <v>Dado para orçamentar:  item.unidade  Deve ser formatado como (rdfs:Literal  or  xsd:string)</v>
      </c>
      <c r="W1365" s="5" t="s">
        <v>6070</v>
      </c>
      <c r="X1365" s="24" t="str">
        <f t="shared" si="526"/>
        <v>orçam.119</v>
      </c>
      <c r="Y1365" s="24" t="str">
        <f t="shared" si="527"/>
        <v>Ação de orçamentar</v>
      </c>
      <c r="Z1365" s="47" t="s">
        <v>1723</v>
      </c>
      <c r="AA1365" s="25" t="str">
        <f t="shared" si="528"/>
        <v>null</v>
      </c>
      <c r="AB1365" s="26" t="s">
        <v>0</v>
      </c>
      <c r="AC1365" s="25" t="str">
        <f t="shared" si="529"/>
        <v>null</v>
      </c>
      <c r="AD1365" s="26" t="s">
        <v>0</v>
      </c>
      <c r="AE1365" s="25" t="str">
        <f t="shared" si="532"/>
        <v>null</v>
      </c>
      <c r="AF1365" s="26" t="s">
        <v>0</v>
      </c>
      <c r="AG1365" s="47" t="s">
        <v>3078</v>
      </c>
    </row>
    <row r="1366" spans="1:33" ht="6.9" customHeight="1" x14ac:dyDescent="0.4">
      <c r="A1366" s="4">
        <f>ROW()</f>
        <v>1366</v>
      </c>
      <c r="B1366" s="9" t="s">
        <v>27</v>
      </c>
      <c r="C1366" s="55" t="str">
        <f t="shared" si="524"/>
        <v>p.orçamentar</v>
      </c>
      <c r="D1366" s="6" t="str">
        <f t="shared" si="531"/>
        <v>é.local.de.uso</v>
      </c>
      <c r="E1366" s="8" t="s">
        <v>28</v>
      </c>
      <c r="F1366" s="42" t="str">
        <f t="shared" si="530"/>
        <v>d.orçamentar</v>
      </c>
      <c r="G1366" s="23" t="s">
        <v>839</v>
      </c>
      <c r="H1366" s="42" t="s">
        <v>2121</v>
      </c>
      <c r="I1366" s="16" t="str">
        <f t="shared" si="525"/>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22"/>
        <v>Propriedade destinada a orçamentar: é.local.de.uso</v>
      </c>
      <c r="V1366" s="5" t="str">
        <f t="shared" si="523"/>
        <v>Dado para orçamentar:  local.de.uso  Deve ser formatado como (rdfs:Literal  or  xsd:string)</v>
      </c>
      <c r="W1366" s="5" t="s">
        <v>6071</v>
      </c>
      <c r="X1366" s="24" t="str">
        <f t="shared" si="526"/>
        <v>orçam.120</v>
      </c>
      <c r="Y1366" s="24" t="str">
        <f t="shared" si="527"/>
        <v>Ação de orçamentar</v>
      </c>
      <c r="Z1366" s="47" t="s">
        <v>1724</v>
      </c>
      <c r="AA1366" s="25" t="str">
        <f t="shared" si="528"/>
        <v>null</v>
      </c>
      <c r="AB1366" s="26" t="s">
        <v>0</v>
      </c>
      <c r="AC1366" s="25" t="str">
        <f t="shared" si="529"/>
        <v>null</v>
      </c>
      <c r="AD1366" s="26" t="s">
        <v>0</v>
      </c>
      <c r="AE1366" s="25" t="str">
        <f t="shared" si="532"/>
        <v>null</v>
      </c>
      <c r="AF1366" s="26" t="s">
        <v>0</v>
      </c>
      <c r="AG1366" s="47" t="s">
        <v>3079</v>
      </c>
    </row>
    <row r="1367" spans="1:33" ht="6.9" customHeight="1" x14ac:dyDescent="0.4">
      <c r="A1367" s="4">
        <f>ROW()</f>
        <v>1367</v>
      </c>
      <c r="B1367" s="9" t="s">
        <v>27</v>
      </c>
      <c r="C1367" s="55" t="str">
        <f t="shared" si="524"/>
        <v>p.orçamentar</v>
      </c>
      <c r="D1367" s="6" t="str">
        <f t="shared" si="531"/>
        <v>é.origem.do.preço</v>
      </c>
      <c r="E1367" s="8" t="s">
        <v>28</v>
      </c>
      <c r="F1367" s="42" t="str">
        <f t="shared" si="530"/>
        <v>d.orçamentar</v>
      </c>
      <c r="G1367" s="23" t="s">
        <v>840</v>
      </c>
      <c r="H1367" s="42" t="s">
        <v>2121</v>
      </c>
      <c r="I1367" s="16" t="str">
        <f t="shared" si="525"/>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22"/>
        <v>Propriedade destinada a orçamentar: é.origem.do.preço</v>
      </c>
      <c r="V1367" s="5" t="str">
        <f t="shared" si="523"/>
        <v>Dado para orçamentar:  origem.do.preço  Deve ser formatado como (rdfs:Literal  or  xsd:string)</v>
      </c>
      <c r="W1367" s="5" t="s">
        <v>6072</v>
      </c>
      <c r="X1367" s="24" t="str">
        <f t="shared" si="526"/>
        <v>orçam.121</v>
      </c>
      <c r="Y1367" s="24" t="str">
        <f t="shared" si="527"/>
        <v>Ação de orçamentar</v>
      </c>
      <c r="Z1367" s="47" t="s">
        <v>1725</v>
      </c>
      <c r="AA1367" s="25" t="str">
        <f t="shared" si="528"/>
        <v>null</v>
      </c>
      <c r="AB1367" s="26" t="s">
        <v>0</v>
      </c>
      <c r="AC1367" s="25" t="str">
        <f t="shared" si="529"/>
        <v>null</v>
      </c>
      <c r="AD1367" s="26" t="s">
        <v>0</v>
      </c>
      <c r="AE1367" s="25" t="str">
        <f t="shared" si="532"/>
        <v>null</v>
      </c>
      <c r="AF1367" s="26" t="s">
        <v>0</v>
      </c>
      <c r="AG1367" s="47" t="s">
        <v>3080</v>
      </c>
    </row>
    <row r="1368" spans="1:33" ht="6.9" customHeight="1" x14ac:dyDescent="0.4">
      <c r="A1368" s="4">
        <f>ROW()</f>
        <v>1368</v>
      </c>
      <c r="B1368" s="9" t="s">
        <v>27</v>
      </c>
      <c r="C1368" s="55" t="str">
        <f t="shared" si="524"/>
        <v>p.orçamentar</v>
      </c>
      <c r="D1368" s="6" t="str">
        <f t="shared" si="531"/>
        <v>é.percentual.de.equipamento</v>
      </c>
      <c r="E1368" s="8" t="s">
        <v>28</v>
      </c>
      <c r="F1368" s="42" t="str">
        <f t="shared" si="530"/>
        <v>d.orçamentar</v>
      </c>
      <c r="G1368" s="23" t="s">
        <v>841</v>
      </c>
      <c r="H1368" s="41" t="s">
        <v>36</v>
      </c>
      <c r="I1368" s="16" t="str">
        <f t="shared" si="525"/>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22"/>
        <v>Propriedade destinada a orçamentar: é.percentual.de.equipamento</v>
      </c>
      <c r="V1368" s="5" t="str">
        <f t="shared" si="523"/>
        <v>Dado para orçamentar:  percentual.de.equipamento  Deve ser formatado como (xsd:double)</v>
      </c>
      <c r="W1368" s="5" t="s">
        <v>6073</v>
      </c>
      <c r="X1368" s="24" t="str">
        <f t="shared" si="526"/>
        <v>orçam.122</v>
      </c>
      <c r="Y1368" s="24" t="str">
        <f t="shared" si="527"/>
        <v>Ação de orçamentar</v>
      </c>
      <c r="Z1368" s="47" t="s">
        <v>1726</v>
      </c>
      <c r="AA1368" s="25" t="str">
        <f t="shared" si="528"/>
        <v>null</v>
      </c>
      <c r="AB1368" s="26" t="s">
        <v>0</v>
      </c>
      <c r="AC1368" s="25" t="str">
        <f t="shared" si="529"/>
        <v>null</v>
      </c>
      <c r="AD1368" s="26" t="s">
        <v>0</v>
      </c>
      <c r="AE1368" s="25" t="str">
        <f t="shared" si="532"/>
        <v>null</v>
      </c>
      <c r="AF1368" s="26" t="s">
        <v>0</v>
      </c>
      <c r="AG1368" s="47" t="s">
        <v>3081</v>
      </c>
    </row>
    <row r="1369" spans="1:33" ht="6.9" customHeight="1" x14ac:dyDescent="0.4">
      <c r="A1369" s="4">
        <f>ROW()</f>
        <v>1369</v>
      </c>
      <c r="B1369" s="9" t="s">
        <v>27</v>
      </c>
      <c r="C1369" s="55" t="str">
        <f t="shared" si="524"/>
        <v>p.orçamentar</v>
      </c>
      <c r="D1369" s="6" t="str">
        <f t="shared" si="531"/>
        <v>é.percentual.de.mão.de.obra</v>
      </c>
      <c r="E1369" s="8" t="s">
        <v>28</v>
      </c>
      <c r="F1369" s="42" t="str">
        <f t="shared" si="530"/>
        <v>d.orçamentar</v>
      </c>
      <c r="G1369" s="23" t="s">
        <v>842</v>
      </c>
      <c r="H1369" s="41" t="s">
        <v>36</v>
      </c>
      <c r="I1369" s="16" t="str">
        <f t="shared" si="525"/>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22"/>
        <v>Propriedade destinada a orçamentar: é.percentual.de.mão.de.obra</v>
      </c>
      <c r="V1369" s="5" t="str">
        <f t="shared" si="523"/>
        <v>Dado para orçamentar:  percentual.de.mão.de.obra  Deve ser formatado como (xsd:double)</v>
      </c>
      <c r="W1369" s="5" t="s">
        <v>6074</v>
      </c>
      <c r="X1369" s="24" t="str">
        <f t="shared" si="526"/>
        <v>orçam.123</v>
      </c>
      <c r="Y1369" s="24" t="str">
        <f t="shared" si="527"/>
        <v>Ação de orçamentar</v>
      </c>
      <c r="Z1369" s="47" t="s">
        <v>1727</v>
      </c>
      <c r="AA1369" s="25" t="str">
        <f t="shared" si="528"/>
        <v>null</v>
      </c>
      <c r="AB1369" s="26" t="s">
        <v>0</v>
      </c>
      <c r="AC1369" s="25" t="str">
        <f t="shared" si="529"/>
        <v>null</v>
      </c>
      <c r="AD1369" s="26" t="s">
        <v>0</v>
      </c>
      <c r="AE1369" s="25" t="str">
        <f t="shared" si="532"/>
        <v>null</v>
      </c>
      <c r="AF1369" s="26" t="s">
        <v>0</v>
      </c>
      <c r="AG1369" s="47" t="s">
        <v>3082</v>
      </c>
    </row>
    <row r="1370" spans="1:33" ht="6.9" customHeight="1" x14ac:dyDescent="0.4">
      <c r="A1370" s="4">
        <f>ROW()</f>
        <v>1370</v>
      </c>
      <c r="B1370" s="9" t="s">
        <v>27</v>
      </c>
      <c r="C1370" s="55" t="str">
        <f t="shared" si="524"/>
        <v>p.orçamentar</v>
      </c>
      <c r="D1370" s="6" t="str">
        <f t="shared" si="531"/>
        <v>é.percentual.de.material</v>
      </c>
      <c r="E1370" s="8" t="s">
        <v>28</v>
      </c>
      <c r="F1370" s="42" t="str">
        <f t="shared" si="530"/>
        <v>d.orçamentar</v>
      </c>
      <c r="G1370" s="23" t="s">
        <v>843</v>
      </c>
      <c r="H1370" s="41" t="s">
        <v>36</v>
      </c>
      <c r="I1370" s="16" t="str">
        <f t="shared" si="525"/>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22"/>
        <v>Propriedade destinada a orçamentar: é.percentual.de.material</v>
      </c>
      <c r="V1370" s="5" t="str">
        <f t="shared" si="523"/>
        <v>Dado para orçamentar:  percentual.de.material  Deve ser formatado como (xsd:double)</v>
      </c>
      <c r="W1370" s="5" t="s">
        <v>6075</v>
      </c>
      <c r="X1370" s="24" t="str">
        <f t="shared" si="526"/>
        <v>orçam.124</v>
      </c>
      <c r="Y1370" s="24" t="str">
        <f t="shared" si="527"/>
        <v>Ação de orçamentar</v>
      </c>
      <c r="Z1370" s="47" t="s">
        <v>1728</v>
      </c>
      <c r="AA1370" s="25" t="str">
        <f t="shared" si="528"/>
        <v>null</v>
      </c>
      <c r="AB1370" s="26" t="s">
        <v>0</v>
      </c>
      <c r="AC1370" s="25" t="str">
        <f t="shared" si="529"/>
        <v>null</v>
      </c>
      <c r="AD1370" s="26" t="s">
        <v>0</v>
      </c>
      <c r="AE1370" s="25" t="str">
        <f t="shared" si="532"/>
        <v>null</v>
      </c>
      <c r="AF1370" s="26" t="s">
        <v>0</v>
      </c>
      <c r="AG1370" s="47" t="s">
        <v>3083</v>
      </c>
    </row>
    <row r="1371" spans="1:33" ht="6.9" customHeight="1" x14ac:dyDescent="0.4">
      <c r="A1371" s="4">
        <f>ROW()</f>
        <v>1371</v>
      </c>
      <c r="B1371" s="9" t="s">
        <v>27</v>
      </c>
      <c r="C1371" s="55" t="str">
        <f t="shared" si="524"/>
        <v>p.orçamentar</v>
      </c>
      <c r="D1371" s="6" t="str">
        <f t="shared" si="531"/>
        <v>é.percentual.de.serviço.terceirizado</v>
      </c>
      <c r="E1371" s="8" t="s">
        <v>28</v>
      </c>
      <c r="F1371" s="42" t="str">
        <f t="shared" si="530"/>
        <v>d.orçamentar</v>
      </c>
      <c r="G1371" s="23" t="s">
        <v>6965</v>
      </c>
      <c r="H1371" s="41" t="s">
        <v>36</v>
      </c>
      <c r="I1371" s="16" t="str">
        <f t="shared" si="525"/>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22"/>
        <v>Propriedade destinada a orçamentar: é.percentual.de.serviço.terceirizado</v>
      </c>
      <c r="V1371" s="5" t="str">
        <f t="shared" si="523"/>
        <v>Dado para orçamentar:  percentual.de.serviço.terceirizado  Deve ser formatado como (xsd:double)</v>
      </c>
      <c r="W1371" s="5" t="s">
        <v>6076</v>
      </c>
      <c r="X1371" s="24" t="str">
        <f t="shared" si="526"/>
        <v>orçam.125</v>
      </c>
      <c r="Y1371" s="24" t="str">
        <f t="shared" si="527"/>
        <v>Ação de orçamentar</v>
      </c>
      <c r="Z1371" s="47" t="s">
        <v>1729</v>
      </c>
      <c r="AA1371" s="25" t="str">
        <f t="shared" si="528"/>
        <v>null</v>
      </c>
      <c r="AB1371" s="26" t="s">
        <v>0</v>
      </c>
      <c r="AC1371" s="25" t="str">
        <f t="shared" si="529"/>
        <v>null</v>
      </c>
      <c r="AD1371" s="26" t="s">
        <v>0</v>
      </c>
      <c r="AE1371" s="25" t="str">
        <f t="shared" si="532"/>
        <v>null</v>
      </c>
      <c r="AF1371" s="26" t="s">
        <v>0</v>
      </c>
      <c r="AG1371" s="47" t="s">
        <v>3084</v>
      </c>
    </row>
    <row r="1372" spans="1:33" ht="6.9" customHeight="1" x14ac:dyDescent="0.4">
      <c r="A1372" s="4">
        <f>ROW()</f>
        <v>1372</v>
      </c>
      <c r="B1372" s="9" t="s">
        <v>27</v>
      </c>
      <c r="C1372" s="55" t="str">
        <f t="shared" si="524"/>
        <v>p.orçamentar</v>
      </c>
      <c r="D1372" s="6" t="str">
        <f t="shared" si="531"/>
        <v>é.preço</v>
      </c>
      <c r="E1372" s="8" t="s">
        <v>28</v>
      </c>
      <c r="F1372" s="42" t="str">
        <f t="shared" si="530"/>
        <v>d.orçamentar</v>
      </c>
      <c r="G1372" s="18" t="s">
        <v>162</v>
      </c>
      <c r="H1372" s="41" t="s">
        <v>36</v>
      </c>
      <c r="I1372" s="16" t="str">
        <f t="shared" si="525"/>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22"/>
        <v>Propriedade destinada a orçamentar: é.preço</v>
      </c>
      <c r="V1372" s="5" t="str">
        <f t="shared" si="523"/>
        <v>Dado para orçamentar:  preço  Deve ser formatado como (xsd:double)</v>
      </c>
      <c r="W1372" s="5" t="s">
        <v>6077</v>
      </c>
      <c r="X1372" s="24" t="str">
        <f t="shared" si="526"/>
        <v>orçam.126</v>
      </c>
      <c r="Y1372" s="24" t="str">
        <f t="shared" si="527"/>
        <v>Ação de orçamentar</v>
      </c>
      <c r="Z1372" s="47" t="s">
        <v>1730</v>
      </c>
      <c r="AA1372" s="25" t="str">
        <f t="shared" si="528"/>
        <v>null</v>
      </c>
      <c r="AB1372" s="26" t="s">
        <v>0</v>
      </c>
      <c r="AC1372" s="25" t="str">
        <f t="shared" si="529"/>
        <v>null</v>
      </c>
      <c r="AD1372" s="26" t="s">
        <v>0</v>
      </c>
      <c r="AE1372" s="25" t="str">
        <f t="shared" si="532"/>
        <v>null</v>
      </c>
      <c r="AF1372" s="26" t="s">
        <v>0</v>
      </c>
      <c r="AG1372" s="47" t="s">
        <v>3085</v>
      </c>
    </row>
    <row r="1373" spans="1:33" ht="6.9" customHeight="1" x14ac:dyDescent="0.4">
      <c r="A1373" s="4">
        <f>ROW()</f>
        <v>1373</v>
      </c>
      <c r="B1373" s="9" t="s">
        <v>27</v>
      </c>
      <c r="C1373" s="55" t="str">
        <f t="shared" si="524"/>
        <v>p.orçamentar</v>
      </c>
      <c r="D1373" s="6" t="str">
        <f t="shared" si="531"/>
        <v>é.preço.ofertado</v>
      </c>
      <c r="E1373" s="8" t="s">
        <v>28</v>
      </c>
      <c r="F1373" s="42" t="str">
        <f t="shared" si="530"/>
        <v>d.orçamentar</v>
      </c>
      <c r="G1373" s="18" t="s">
        <v>844</v>
      </c>
      <c r="H1373" s="41" t="s">
        <v>36</v>
      </c>
      <c r="I1373" s="16" t="str">
        <f t="shared" si="525"/>
        <v>null</v>
      </c>
      <c r="J1373" s="13" t="s">
        <v>0</v>
      </c>
      <c r="K1373" s="13" t="s">
        <v>0</v>
      </c>
      <c r="L1373" s="13" t="s">
        <v>0</v>
      </c>
      <c r="M1373" s="13" t="s">
        <v>0</v>
      </c>
      <c r="N1373" s="15" t="s">
        <v>0</v>
      </c>
      <c r="O1373" s="13" t="s">
        <v>0</v>
      </c>
      <c r="P1373" s="13" t="s">
        <v>0</v>
      </c>
      <c r="Q1373" s="13" t="s">
        <v>0</v>
      </c>
      <c r="R1373" s="15" t="s">
        <v>1205</v>
      </c>
      <c r="S1373" s="10" t="s">
        <v>1</v>
      </c>
      <c r="T1373" s="10" t="s">
        <v>32</v>
      </c>
      <c r="U1373" s="5" t="str">
        <f t="shared" si="522"/>
        <v>Propriedade destinada a orçamentar: é.preço.ofertado</v>
      </c>
      <c r="V1373" s="5" t="str">
        <f t="shared" si="523"/>
        <v>Dado para orçamentar:  preço.ofertado  Deve ser formatado como (xsd:double)</v>
      </c>
      <c r="W1373" s="5" t="s">
        <v>6078</v>
      </c>
      <c r="X1373" s="24" t="str">
        <f t="shared" si="526"/>
        <v>orçam.127</v>
      </c>
      <c r="Y1373" s="24" t="str">
        <f t="shared" si="527"/>
        <v>Ação de orçamentar</v>
      </c>
      <c r="Z1373" s="47" t="s">
        <v>1731</v>
      </c>
      <c r="AA1373" s="25" t="str">
        <f t="shared" si="528"/>
        <v>null</v>
      </c>
      <c r="AB1373" s="26" t="s">
        <v>0</v>
      </c>
      <c r="AC1373" s="25" t="str">
        <f t="shared" si="529"/>
        <v>null</v>
      </c>
      <c r="AD1373" s="26" t="s">
        <v>0</v>
      </c>
      <c r="AE1373" s="25" t="str">
        <f t="shared" si="532"/>
        <v>null</v>
      </c>
      <c r="AF1373" s="26" t="s">
        <v>0</v>
      </c>
      <c r="AG1373" s="47" t="s">
        <v>3086</v>
      </c>
    </row>
    <row r="1374" spans="1:33" ht="6.9" customHeight="1" x14ac:dyDescent="0.4">
      <c r="A1374" s="4">
        <f>ROW()</f>
        <v>1374</v>
      </c>
      <c r="B1374" s="9" t="s">
        <v>27</v>
      </c>
      <c r="C1374" s="55" t="str">
        <f t="shared" si="524"/>
        <v>p.orçamentar</v>
      </c>
      <c r="D1374" s="6" t="str">
        <f t="shared" si="531"/>
        <v>é.preço.unitário</v>
      </c>
      <c r="E1374" s="8" t="s">
        <v>28</v>
      </c>
      <c r="F1374" s="42" t="str">
        <f t="shared" si="530"/>
        <v>d.orçamentar</v>
      </c>
      <c r="G1374" s="23" t="s">
        <v>845</v>
      </c>
      <c r="H1374" s="41" t="s">
        <v>36</v>
      </c>
      <c r="I1374" s="16" t="str">
        <f t="shared" si="525"/>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22"/>
        <v>Propriedade destinada a orçamentar: é.preço.unitário</v>
      </c>
      <c r="V1374" s="5" t="str">
        <f t="shared" si="523"/>
        <v>Dado para orçamentar:  preço.unitário  Deve ser formatado como (xsd:double)</v>
      </c>
      <c r="W1374" s="5" t="s">
        <v>6079</v>
      </c>
      <c r="X1374" s="24" t="str">
        <f t="shared" si="526"/>
        <v>orçam.128</v>
      </c>
      <c r="Y1374" s="24" t="str">
        <f t="shared" si="527"/>
        <v>Ação de orçamentar</v>
      </c>
      <c r="Z1374" s="47" t="s">
        <v>1732</v>
      </c>
      <c r="AA1374" s="25" t="str">
        <f t="shared" si="528"/>
        <v>null</v>
      </c>
      <c r="AB1374" s="26" t="s">
        <v>0</v>
      </c>
      <c r="AC1374" s="25" t="str">
        <f t="shared" si="529"/>
        <v>null</v>
      </c>
      <c r="AD1374" s="26" t="s">
        <v>0</v>
      </c>
      <c r="AE1374" s="25" t="str">
        <f t="shared" si="532"/>
        <v>null</v>
      </c>
      <c r="AF1374" s="26" t="s">
        <v>0</v>
      </c>
      <c r="AG1374" s="47" t="s">
        <v>3087</v>
      </c>
    </row>
    <row r="1375" spans="1:33" ht="6.9" customHeight="1" x14ac:dyDescent="0.4">
      <c r="A1375" s="4">
        <f>ROW()</f>
        <v>1375</v>
      </c>
      <c r="B1375" s="9" t="s">
        <v>27</v>
      </c>
      <c r="C1375" s="55" t="str">
        <f t="shared" si="524"/>
        <v>p.orçamentar</v>
      </c>
      <c r="D1375" s="6" t="str">
        <f t="shared" si="531"/>
        <v>é.sinapi.agrupador</v>
      </c>
      <c r="E1375" s="8" t="s">
        <v>28</v>
      </c>
      <c r="F1375" s="42" t="str">
        <f t="shared" si="530"/>
        <v>d.orçamentar</v>
      </c>
      <c r="G1375" s="23" t="s">
        <v>846</v>
      </c>
      <c r="H1375" s="41" t="s">
        <v>36</v>
      </c>
      <c r="I1375" s="16" t="str">
        <f t="shared" si="525"/>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22"/>
        <v>Propriedade destinada a orçamentar: é.sinapi.agrupador</v>
      </c>
      <c r="V1375" s="5" t="str">
        <f t="shared" si="523"/>
        <v>Dado para orçamentar:  sinapi.agrupador  Deve ser formatado como (xsd:double)</v>
      </c>
      <c r="W1375" s="5" t="s">
        <v>6080</v>
      </c>
      <c r="X1375" s="24" t="str">
        <f t="shared" si="526"/>
        <v>orçam.129</v>
      </c>
      <c r="Y1375" s="24" t="str">
        <f t="shared" si="527"/>
        <v>Ação de orçamentar</v>
      </c>
      <c r="Z1375" s="47" t="s">
        <v>7202</v>
      </c>
      <c r="AA1375" s="25" t="str">
        <f t="shared" si="528"/>
        <v>null</v>
      </c>
      <c r="AB1375" s="26" t="s">
        <v>0</v>
      </c>
      <c r="AC1375" s="25" t="str">
        <f t="shared" si="529"/>
        <v>null</v>
      </c>
      <c r="AD1375" s="26" t="s">
        <v>0</v>
      </c>
      <c r="AE1375" s="25" t="str">
        <f t="shared" si="532"/>
        <v>null</v>
      </c>
      <c r="AF1375" s="26" t="s">
        <v>0</v>
      </c>
      <c r="AG1375" s="47" t="s">
        <v>3088</v>
      </c>
    </row>
    <row r="1376" spans="1:33" ht="6.9" customHeight="1" x14ac:dyDescent="0.4">
      <c r="A1376" s="4">
        <f>ROW()</f>
        <v>1376</v>
      </c>
      <c r="B1376" s="9" t="s">
        <v>27</v>
      </c>
      <c r="C1376" s="55" t="str">
        <f t="shared" si="524"/>
        <v>p.orçamentar</v>
      </c>
      <c r="D1376" s="6" t="str">
        <f t="shared" si="531"/>
        <v>é.sinapi.analítico</v>
      </c>
      <c r="E1376" s="8" t="s">
        <v>28</v>
      </c>
      <c r="F1376" s="42" t="str">
        <f t="shared" si="530"/>
        <v>d.orçamentar</v>
      </c>
      <c r="G1376" s="23" t="s">
        <v>847</v>
      </c>
      <c r="H1376" s="42" t="s">
        <v>2121</v>
      </c>
      <c r="I1376" s="16" t="str">
        <f t="shared" si="52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22"/>
        <v>Propriedade destinada a orçamentar: é.sinapi.analítico</v>
      </c>
      <c r="V1376" s="5" t="str">
        <f t="shared" si="523"/>
        <v>Dado para orçamentar:  sinapi.analítico  Deve ser formatado como (rdfs:Literal  or  xsd:string)</v>
      </c>
      <c r="W1376" s="5" t="s">
        <v>6081</v>
      </c>
      <c r="X1376" s="24" t="str">
        <f t="shared" si="526"/>
        <v>orçam.130</v>
      </c>
      <c r="Y1376" s="24" t="str">
        <f t="shared" si="527"/>
        <v>Ação de orçamentar</v>
      </c>
      <c r="Z1376" s="47" t="s">
        <v>7203</v>
      </c>
      <c r="AA1376" s="25" t="str">
        <f t="shared" si="528"/>
        <v>null</v>
      </c>
      <c r="AB1376" s="26" t="s">
        <v>0</v>
      </c>
      <c r="AC1376" s="25" t="str">
        <f t="shared" si="529"/>
        <v>null</v>
      </c>
      <c r="AD1376" s="26" t="s">
        <v>0</v>
      </c>
      <c r="AE1376" s="25" t="str">
        <f t="shared" si="532"/>
        <v>null</v>
      </c>
      <c r="AF1376" s="26" t="s">
        <v>0</v>
      </c>
      <c r="AG1376" s="47" t="s">
        <v>3089</v>
      </c>
    </row>
    <row r="1377" spans="1:33" ht="6.9" customHeight="1" x14ac:dyDescent="0.4">
      <c r="A1377" s="4">
        <f>ROW()</f>
        <v>1377</v>
      </c>
      <c r="B1377" s="9" t="s">
        <v>27</v>
      </c>
      <c r="C1377" s="55" t="str">
        <f t="shared" si="524"/>
        <v>p.orçamentar</v>
      </c>
      <c r="D1377" s="6" t="str">
        <f t="shared" si="531"/>
        <v>é.sinapi.categoria</v>
      </c>
      <c r="E1377" s="8" t="s">
        <v>28</v>
      </c>
      <c r="F1377" s="42" t="str">
        <f t="shared" si="530"/>
        <v>d.orçamentar</v>
      </c>
      <c r="G1377" s="68" t="s">
        <v>7104</v>
      </c>
      <c r="H1377" s="42" t="s">
        <v>2121</v>
      </c>
      <c r="I1377" s="16" t="str">
        <f t="shared" si="52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22"/>
        <v>Propriedade destinada a orçamentar: é.sinapi.categoria</v>
      </c>
      <c r="V1377" s="5" t="str">
        <f t="shared" si="523"/>
        <v>Dado para orçamentar:  sinapi.categoria  Deve ser formatado como (rdfs:Literal  or  xsd:string)</v>
      </c>
      <c r="W1377" s="5" t="s">
        <v>7092</v>
      </c>
      <c r="X1377" s="24" t="str">
        <f t="shared" si="526"/>
        <v>orçam.131</v>
      </c>
      <c r="Y1377" s="24" t="str">
        <f t="shared" si="527"/>
        <v>Ação de orçamentar</v>
      </c>
      <c r="Z1377" s="47" t="s">
        <v>7134</v>
      </c>
      <c r="AA1377" s="25" t="str">
        <f t="shared" si="528"/>
        <v>null</v>
      </c>
      <c r="AB1377" s="26" t="s">
        <v>0</v>
      </c>
      <c r="AC1377" s="25" t="str">
        <f t="shared" si="529"/>
        <v>null</v>
      </c>
      <c r="AD1377" s="26" t="s">
        <v>0</v>
      </c>
      <c r="AE1377" s="25" t="str">
        <f t="shared" si="532"/>
        <v>null</v>
      </c>
      <c r="AF1377" s="26" t="s">
        <v>0</v>
      </c>
      <c r="AG1377" s="47" t="s">
        <v>7116</v>
      </c>
    </row>
    <row r="1378" spans="1:33" ht="6.9" customHeight="1" x14ac:dyDescent="0.4">
      <c r="A1378" s="4">
        <f>ROW()</f>
        <v>1378</v>
      </c>
      <c r="B1378" s="9" t="s">
        <v>27</v>
      </c>
      <c r="C1378" s="55" t="str">
        <f t="shared" si="524"/>
        <v>p.orçamentar</v>
      </c>
      <c r="D1378" s="6" t="str">
        <f t="shared" si="531"/>
        <v>é.sinapi.código</v>
      </c>
      <c r="E1378" s="8" t="s">
        <v>28</v>
      </c>
      <c r="F1378" s="42" t="str">
        <f>F1375</f>
        <v>d.orçamentar</v>
      </c>
      <c r="G1378" s="68" t="s">
        <v>7194</v>
      </c>
      <c r="H1378" s="42" t="s">
        <v>2121</v>
      </c>
      <c r="I1378" s="16" t="str">
        <f t="shared" ref="I1378" si="533">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22"/>
        <v>Propriedade destinada a orçamentar: é.sinapi.código</v>
      </c>
      <c r="V1378" s="5" t="str">
        <f t="shared" si="523"/>
        <v>Dado para orçamentar:  sinapi.código  Deve ser formatado como (rdfs:Literal  or  xsd:string)</v>
      </c>
      <c r="W1378" s="5" t="s">
        <v>7195</v>
      </c>
      <c r="X1378" s="24" t="str">
        <f t="shared" si="526"/>
        <v>orçam.132</v>
      </c>
      <c r="Y1378" s="24" t="str">
        <f t="shared" si="527"/>
        <v>Ação de orçamentar</v>
      </c>
      <c r="Z1378" s="47" t="s">
        <v>7204</v>
      </c>
      <c r="AA1378" s="25" t="str">
        <f t="shared" ref="AA1378" si="534">IF(AB1378="null", "null", "categoria.revit")</f>
        <v>null</v>
      </c>
      <c r="AB1378" s="26" t="s">
        <v>0</v>
      </c>
      <c r="AC1378" s="25" t="str">
        <f t="shared" ref="AC1378" si="535">IF(AD1378="null", "null", "classe.ifc")</f>
        <v>null</v>
      </c>
      <c r="AD1378" s="26" t="s">
        <v>0</v>
      </c>
      <c r="AE1378" s="25" t="str">
        <f t="shared" si="532"/>
        <v>null</v>
      </c>
      <c r="AF1378" s="26" t="s">
        <v>0</v>
      </c>
      <c r="AG1378" s="47" t="s">
        <v>7209</v>
      </c>
    </row>
    <row r="1379" spans="1:33" ht="6.9" customHeight="1" x14ac:dyDescent="0.4">
      <c r="A1379" s="4">
        <f>ROW()</f>
        <v>1379</v>
      </c>
      <c r="B1379" s="9" t="s">
        <v>27</v>
      </c>
      <c r="C1379" s="55" t="str">
        <f t="shared" ref="C1379" si="536">SUBSTITUTE(F1379,"d.","p.")</f>
        <v>p.orçamentar</v>
      </c>
      <c r="D1379" s="6" t="str">
        <f t="shared" si="531"/>
        <v>é.sinapi.código.de.composição</v>
      </c>
      <c r="E1379" s="8" t="s">
        <v>28</v>
      </c>
      <c r="F1379" s="42" t="str">
        <f>F1376</f>
        <v>d.orçamentar</v>
      </c>
      <c r="G1379" s="68" t="s">
        <v>7148</v>
      </c>
      <c r="H1379" s="42" t="s">
        <v>2121</v>
      </c>
      <c r="I1379" s="16" t="str">
        <f t="shared" si="525"/>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22"/>
        <v>Propriedade destinada a orçamentar: é.sinapi.código.de.composição</v>
      </c>
      <c r="V1379" s="5" t="str">
        <f t="shared" si="523"/>
        <v>Dado para orçamentar:  sinapi.código.de.composição  Deve ser formatado como (rdfs:Literal  or  xsd:string)</v>
      </c>
      <c r="W1379" s="5" t="s">
        <v>7199</v>
      </c>
      <c r="X1379" s="24" t="str">
        <f t="shared" si="526"/>
        <v>orçam.133</v>
      </c>
      <c r="Y1379" s="24" t="str">
        <f t="shared" si="527"/>
        <v>Ação de orçamentar</v>
      </c>
      <c r="Z1379" s="47" t="s">
        <v>7207</v>
      </c>
      <c r="AA1379" s="25" t="str">
        <f t="shared" si="528"/>
        <v>null</v>
      </c>
      <c r="AB1379" s="26" t="s">
        <v>0</v>
      </c>
      <c r="AC1379" s="25" t="str">
        <f t="shared" si="529"/>
        <v>null</v>
      </c>
      <c r="AD1379" s="26" t="s">
        <v>0</v>
      </c>
      <c r="AE1379" s="25" t="str">
        <f t="shared" si="532"/>
        <v>null</v>
      </c>
      <c r="AF1379" s="26" t="s">
        <v>0</v>
      </c>
      <c r="AG1379" s="47" t="s">
        <v>7149</v>
      </c>
    </row>
    <row r="1380" spans="1:33" ht="6.9" customHeight="1" x14ac:dyDescent="0.4">
      <c r="A1380" s="4">
        <f>ROW()</f>
        <v>1380</v>
      </c>
      <c r="B1380" s="9" t="s">
        <v>27</v>
      </c>
      <c r="C1380" s="55" t="str">
        <f t="shared" si="524"/>
        <v>p.orçamentar</v>
      </c>
      <c r="D1380" s="6" t="str">
        <f t="shared" si="531"/>
        <v>é.sinapi.código.de.família</v>
      </c>
      <c r="E1380" s="8" t="s">
        <v>28</v>
      </c>
      <c r="F1380" s="42" t="str">
        <f>F1377</f>
        <v>d.orçamentar</v>
      </c>
      <c r="G1380" s="68" t="s">
        <v>7113</v>
      </c>
      <c r="H1380" s="42" t="s">
        <v>2121</v>
      </c>
      <c r="I1380" s="16" t="str">
        <f t="shared" si="525"/>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22"/>
        <v>Propriedade destinada a orçamentar: é.sinapi.código.de.família</v>
      </c>
      <c r="V1380" s="5" t="str">
        <f t="shared" si="523"/>
        <v>Dado para orçamentar:  sinapi.código.de.família  Deve ser formatado como (rdfs:Literal  or  xsd:string)</v>
      </c>
      <c r="W1380" s="5" t="s">
        <v>7200</v>
      </c>
      <c r="X1380" s="24" t="str">
        <f t="shared" si="526"/>
        <v>orçam.134</v>
      </c>
      <c r="Y1380" s="24" t="str">
        <f t="shared" si="527"/>
        <v>Ação de orçamentar</v>
      </c>
      <c r="Z1380" s="47" t="s">
        <v>7208</v>
      </c>
      <c r="AA1380" s="25" t="str">
        <f t="shared" si="528"/>
        <v>null</v>
      </c>
      <c r="AB1380" s="26" t="s">
        <v>0</v>
      </c>
      <c r="AC1380" s="25" t="str">
        <f t="shared" si="529"/>
        <v>null</v>
      </c>
      <c r="AD1380" s="26" t="s">
        <v>0</v>
      </c>
      <c r="AE1380" s="25" t="str">
        <f t="shared" si="532"/>
        <v>null</v>
      </c>
      <c r="AF1380" s="26" t="s">
        <v>0</v>
      </c>
      <c r="AG1380" s="47" t="s">
        <v>7150</v>
      </c>
    </row>
    <row r="1381" spans="1:33" ht="6.9" customHeight="1" x14ac:dyDescent="0.4">
      <c r="A1381" s="4">
        <f>ROW()</f>
        <v>1381</v>
      </c>
      <c r="B1381" s="9" t="s">
        <v>27</v>
      </c>
      <c r="C1381" s="55" t="str">
        <f t="shared" ref="C1381:C1406" si="537">SUBSTITUTE(F1381,"d.","p.")</f>
        <v>p.orçamentar</v>
      </c>
      <c r="D1381" s="6" t="str">
        <f t="shared" si="531"/>
        <v>é.sinapi.código.de.grupo</v>
      </c>
      <c r="E1381" s="8" t="s">
        <v>28</v>
      </c>
      <c r="F1381" s="42" t="str">
        <f t="shared" si="530"/>
        <v>d.orçamentar</v>
      </c>
      <c r="G1381" s="68" t="s">
        <v>7114</v>
      </c>
      <c r="H1381" s="42" t="s">
        <v>2121</v>
      </c>
      <c r="I1381" s="16" t="str">
        <f t="shared" ref="I1381:I1406" si="538">J1381</f>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22"/>
        <v>Propriedade destinada a orçamentar: é.sinapi.código.de.grupo</v>
      </c>
      <c r="V1381" s="5" t="str">
        <f t="shared" si="523"/>
        <v>Dado para orçamentar:  sinapi.código.de.grupo  Deve ser formatado como (rdfs:Literal  or  xsd:string)</v>
      </c>
      <c r="W1381" s="5" t="s">
        <v>7196</v>
      </c>
      <c r="X1381" s="24" t="str">
        <f t="shared" si="526"/>
        <v>orçam.135</v>
      </c>
      <c r="Y1381" s="24" t="str">
        <f t="shared" si="527"/>
        <v>Ação de orçamentar</v>
      </c>
      <c r="Z1381" s="47" t="s">
        <v>7205</v>
      </c>
      <c r="AA1381" s="25" t="str">
        <f t="shared" ref="AA1381:AA1406" si="539">IF(AB1381="null", "null", "categoria.revit")</f>
        <v>null</v>
      </c>
      <c r="AB1381" s="26" t="s">
        <v>0</v>
      </c>
      <c r="AC1381" s="25" t="str">
        <f t="shared" ref="AC1381:AC1406" si="540">IF(AD1381="null", "null", "classe.ifc")</f>
        <v>null</v>
      </c>
      <c r="AD1381" s="26" t="s">
        <v>0</v>
      </c>
      <c r="AE1381" s="25" t="str">
        <f t="shared" si="532"/>
        <v>null</v>
      </c>
      <c r="AF1381" s="26" t="s">
        <v>0</v>
      </c>
      <c r="AG1381" s="47" t="s">
        <v>7151</v>
      </c>
    </row>
    <row r="1382" spans="1:33" ht="6.9" customHeight="1" x14ac:dyDescent="0.4">
      <c r="A1382" s="4">
        <f>ROW()</f>
        <v>1382</v>
      </c>
      <c r="B1382" s="9" t="s">
        <v>27</v>
      </c>
      <c r="C1382" s="55" t="str">
        <f t="shared" si="537"/>
        <v>p.orçamentar</v>
      </c>
      <c r="D1382" s="6" t="str">
        <f t="shared" si="531"/>
        <v>é.sinapi.código.de.insumo</v>
      </c>
      <c r="E1382" s="8" t="s">
        <v>28</v>
      </c>
      <c r="F1382" s="42" t="str">
        <f t="shared" si="530"/>
        <v>d.orçamentar</v>
      </c>
      <c r="G1382" s="68" t="s">
        <v>7115</v>
      </c>
      <c r="H1382" s="42" t="s">
        <v>2121</v>
      </c>
      <c r="I1382" s="16" t="str">
        <f t="shared" si="53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22"/>
        <v>Propriedade destinada a orçamentar: é.sinapi.código.de.insumo</v>
      </c>
      <c r="V1382" s="5" t="str">
        <f t="shared" si="523"/>
        <v>Dado para orçamentar:  sinapi.código.de.insumo  Deve ser formatado como (rdfs:Literal  or  xsd:string)</v>
      </c>
      <c r="W1382" s="5" t="s">
        <v>7197</v>
      </c>
      <c r="X1382" s="24" t="str">
        <f t="shared" si="526"/>
        <v>orçam.136</v>
      </c>
      <c r="Y1382" s="24" t="str">
        <f t="shared" si="527"/>
        <v>Ação de orçamentar</v>
      </c>
      <c r="Z1382" s="47" t="s">
        <v>7206</v>
      </c>
      <c r="AA1382" s="25" t="str">
        <f t="shared" si="539"/>
        <v>null</v>
      </c>
      <c r="AB1382" s="26" t="s">
        <v>0</v>
      </c>
      <c r="AC1382" s="25" t="str">
        <f t="shared" si="540"/>
        <v>null</v>
      </c>
      <c r="AD1382" s="26" t="s">
        <v>0</v>
      </c>
      <c r="AE1382" s="25" t="str">
        <f t="shared" si="532"/>
        <v>null</v>
      </c>
      <c r="AF1382" s="26" t="s">
        <v>0</v>
      </c>
      <c r="AG1382" s="47" t="s">
        <v>7152</v>
      </c>
    </row>
    <row r="1383" spans="1:33" ht="6.9" customHeight="1" x14ac:dyDescent="0.4">
      <c r="A1383" s="4">
        <f>ROW()</f>
        <v>1383</v>
      </c>
      <c r="B1383" s="9" t="s">
        <v>27</v>
      </c>
      <c r="C1383" s="55" t="str">
        <f t="shared" si="537"/>
        <v>p.orçamentar</v>
      </c>
      <c r="D1383" s="6" t="str">
        <f t="shared" si="531"/>
        <v>é.sinapi.código.representativo</v>
      </c>
      <c r="E1383" s="8" t="s">
        <v>28</v>
      </c>
      <c r="F1383" s="42" t="str">
        <f t="shared" si="530"/>
        <v>d.orçamentar</v>
      </c>
      <c r="G1383" s="18" t="s">
        <v>848</v>
      </c>
      <c r="H1383" s="42" t="s">
        <v>2121</v>
      </c>
      <c r="I1383" s="16" t="str">
        <f t="shared" si="53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22"/>
        <v>Propriedade destinada a orçamentar: é.sinapi.código.representativo</v>
      </c>
      <c r="V1383" s="5" t="str">
        <f t="shared" si="523"/>
        <v>Dado para orçamentar:  sinapi.código.representativo  Deve ser formatado como (rdfs:Literal  or  xsd:string)</v>
      </c>
      <c r="W1383" s="5" t="s">
        <v>7198</v>
      </c>
      <c r="X1383" s="24" t="str">
        <f t="shared" si="526"/>
        <v>orçam.137</v>
      </c>
      <c r="Y1383" s="24" t="str">
        <f t="shared" si="527"/>
        <v>Ação de orçamentar</v>
      </c>
      <c r="Z1383" s="47" t="s">
        <v>7201</v>
      </c>
      <c r="AA1383" s="25" t="str">
        <f t="shared" si="539"/>
        <v>null</v>
      </c>
      <c r="AB1383" s="26" t="s">
        <v>0</v>
      </c>
      <c r="AC1383" s="25" t="str">
        <f t="shared" si="540"/>
        <v>null</v>
      </c>
      <c r="AD1383" s="26" t="s">
        <v>0</v>
      </c>
      <c r="AE1383" s="25" t="str">
        <f t="shared" si="532"/>
        <v>null</v>
      </c>
      <c r="AF1383" s="26" t="s">
        <v>0</v>
      </c>
      <c r="AG1383" s="47" t="s">
        <v>7127</v>
      </c>
    </row>
    <row r="1384" spans="1:33" ht="6.9" customHeight="1" x14ac:dyDescent="0.4">
      <c r="A1384" s="4">
        <f>ROW()</f>
        <v>1384</v>
      </c>
      <c r="B1384" s="9" t="s">
        <v>27</v>
      </c>
      <c r="C1384" s="55" t="str">
        <f t="shared" si="537"/>
        <v>p.orçamentar</v>
      </c>
      <c r="D1384" s="6" t="str">
        <f t="shared" si="531"/>
        <v>é.sinapi.data.de.emissão</v>
      </c>
      <c r="E1384" s="8" t="s">
        <v>28</v>
      </c>
      <c r="F1384" s="42" t="str">
        <f t="shared" si="530"/>
        <v>d.orçamentar</v>
      </c>
      <c r="G1384" s="68" t="s">
        <v>7112</v>
      </c>
      <c r="H1384" s="41" t="s">
        <v>34</v>
      </c>
      <c r="I1384" s="16" t="str">
        <f t="shared" si="53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22"/>
        <v>Propriedade destinada a orçamentar: é.sinapi.data.de.emissão</v>
      </c>
      <c r="V1384" s="5" t="str">
        <f t="shared" si="523"/>
        <v>Dado para orçamentar:  sinapi.data.de.emissão  Deve ser formatado como (xsd:dateTime)</v>
      </c>
      <c r="W1384" s="5" t="s">
        <v>7096</v>
      </c>
      <c r="X1384" s="24" t="str">
        <f t="shared" si="526"/>
        <v>orçam.138</v>
      </c>
      <c r="Y1384" s="24" t="str">
        <f t="shared" si="527"/>
        <v>Ação de orçamentar</v>
      </c>
      <c r="Z1384" s="47" t="s">
        <v>7135</v>
      </c>
      <c r="AA1384" s="25" t="str">
        <f t="shared" si="539"/>
        <v>null</v>
      </c>
      <c r="AB1384" s="26" t="s">
        <v>0</v>
      </c>
      <c r="AC1384" s="25" t="str">
        <f t="shared" si="540"/>
        <v>null</v>
      </c>
      <c r="AD1384" s="26" t="s">
        <v>0</v>
      </c>
      <c r="AE1384" s="25" t="str">
        <f t="shared" si="532"/>
        <v>null</v>
      </c>
      <c r="AF1384" s="26" t="s">
        <v>0</v>
      </c>
      <c r="AG1384" s="47" t="s">
        <v>7117</v>
      </c>
    </row>
    <row r="1385" spans="1:33" ht="6.9" customHeight="1" x14ac:dyDescent="0.4">
      <c r="A1385" s="4">
        <f>ROW()</f>
        <v>1385</v>
      </c>
      <c r="B1385" s="9" t="s">
        <v>27</v>
      </c>
      <c r="C1385" s="55" t="str">
        <f t="shared" si="537"/>
        <v>p.orçamentar</v>
      </c>
      <c r="D1385" s="6" t="str">
        <f t="shared" si="531"/>
        <v>é.sinapi.descrição.de.composição</v>
      </c>
      <c r="E1385" s="8" t="s">
        <v>28</v>
      </c>
      <c r="F1385" s="42" t="str">
        <f t="shared" si="530"/>
        <v>d.orçamentar</v>
      </c>
      <c r="G1385" s="68" t="s">
        <v>7109</v>
      </c>
      <c r="H1385" s="42" t="s">
        <v>2121</v>
      </c>
      <c r="I1385" s="16" t="str">
        <f t="shared" si="53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22"/>
        <v>Propriedade destinada a orçamentar: é.sinapi.descrição.de.composição</v>
      </c>
      <c r="V1385" s="5" t="str">
        <f t="shared" si="523"/>
        <v>Dado para orçamentar:  sinapi.descrição.de.composição  Deve ser formatado como (rdfs:Literal  or  xsd:string)</v>
      </c>
      <c r="W1385" s="5" t="s">
        <v>7099</v>
      </c>
      <c r="X1385" s="24" t="str">
        <f t="shared" si="526"/>
        <v>orçam.139</v>
      </c>
      <c r="Y1385" s="24" t="str">
        <f t="shared" si="527"/>
        <v>Ação de orçamentar</v>
      </c>
      <c r="Z1385" s="47" t="s">
        <v>7145</v>
      </c>
      <c r="AA1385" s="25" t="str">
        <f t="shared" si="539"/>
        <v>null</v>
      </c>
      <c r="AB1385" s="26" t="s">
        <v>0</v>
      </c>
      <c r="AC1385" s="25" t="str">
        <f t="shared" si="540"/>
        <v>null</v>
      </c>
      <c r="AD1385" s="26" t="s">
        <v>0</v>
      </c>
      <c r="AE1385" s="25" t="str">
        <f t="shared" si="532"/>
        <v>null</v>
      </c>
      <c r="AF1385" s="26" t="s">
        <v>0</v>
      </c>
      <c r="AG1385" s="47" t="s">
        <v>7118</v>
      </c>
    </row>
    <row r="1386" spans="1:33" ht="6.9" customHeight="1" x14ac:dyDescent="0.4">
      <c r="A1386" s="4">
        <f>ROW()</f>
        <v>1386</v>
      </c>
      <c r="B1386" s="9" t="s">
        <v>27</v>
      </c>
      <c r="C1386" s="55" t="str">
        <f t="shared" si="537"/>
        <v>p.orçamentar</v>
      </c>
      <c r="D1386" s="6" t="str">
        <f t="shared" si="531"/>
        <v>é.sinapi.descrição.de.grupo</v>
      </c>
      <c r="E1386" s="8" t="s">
        <v>28</v>
      </c>
      <c r="F1386" s="42" t="str">
        <f t="shared" si="530"/>
        <v>d.orçamentar</v>
      </c>
      <c r="G1386" s="68" t="s">
        <v>7110</v>
      </c>
      <c r="H1386" s="42" t="s">
        <v>2121</v>
      </c>
      <c r="I1386" s="16" t="str">
        <f t="shared" si="53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22"/>
        <v>Propriedade destinada a orçamentar: é.sinapi.descrição.de.grupo</v>
      </c>
      <c r="V1386" s="5" t="str">
        <f t="shared" si="523"/>
        <v>Dado para orçamentar:  sinapi.descrição.de.grupo  Deve ser formatado como (rdfs:Literal  or  xsd:string)</v>
      </c>
      <c r="W1386" s="5" t="s">
        <v>7101</v>
      </c>
      <c r="X1386" s="24" t="str">
        <f t="shared" si="526"/>
        <v>orçam.140</v>
      </c>
      <c r="Y1386" s="24" t="str">
        <f t="shared" si="527"/>
        <v>Ação de orçamentar</v>
      </c>
      <c r="Z1386" s="47" t="s">
        <v>7144</v>
      </c>
      <c r="AA1386" s="25" t="str">
        <f t="shared" si="539"/>
        <v>null</v>
      </c>
      <c r="AB1386" s="26" t="s">
        <v>0</v>
      </c>
      <c r="AC1386" s="25" t="str">
        <f t="shared" si="540"/>
        <v>null</v>
      </c>
      <c r="AD1386" s="26" t="s">
        <v>0</v>
      </c>
      <c r="AE1386" s="25" t="str">
        <f t="shared" si="532"/>
        <v>null</v>
      </c>
      <c r="AF1386" s="26" t="s">
        <v>0</v>
      </c>
      <c r="AG1386" s="47" t="s">
        <v>7119</v>
      </c>
    </row>
    <row r="1387" spans="1:33" ht="6.9" customHeight="1" x14ac:dyDescent="0.4">
      <c r="A1387" s="4">
        <f>ROW()</f>
        <v>1387</v>
      </c>
      <c r="B1387" s="9" t="s">
        <v>27</v>
      </c>
      <c r="C1387" s="55" t="str">
        <f t="shared" si="537"/>
        <v>p.orçamentar</v>
      </c>
      <c r="D1387" s="6" t="str">
        <f t="shared" si="531"/>
        <v>é.sinapi.descrição.de.insumo</v>
      </c>
      <c r="E1387" s="8" t="s">
        <v>28</v>
      </c>
      <c r="F1387" s="42" t="str">
        <f t="shared" si="530"/>
        <v>d.orçamentar</v>
      </c>
      <c r="G1387" s="68" t="s">
        <v>7111</v>
      </c>
      <c r="H1387" s="42" t="s">
        <v>2121</v>
      </c>
      <c r="I1387" s="16" t="str">
        <f t="shared" si="53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22"/>
        <v>Propriedade destinada a orçamentar: é.sinapi.descrição.de.insumo</v>
      </c>
      <c r="V1387" s="5" t="str">
        <f t="shared" si="523"/>
        <v>Dado para orçamentar:  sinapi.descrição.de.insumo  Deve ser formatado como (rdfs:Literal  or  xsd:string)</v>
      </c>
      <c r="W1387" s="5" t="s">
        <v>7094</v>
      </c>
      <c r="X1387" s="24" t="str">
        <f t="shared" si="526"/>
        <v>orçam.141</v>
      </c>
      <c r="Y1387" s="24" t="str">
        <f t="shared" si="527"/>
        <v>Ação de orçamentar</v>
      </c>
      <c r="Z1387" s="47" t="s">
        <v>7146</v>
      </c>
      <c r="AA1387" s="25" t="str">
        <f t="shared" si="539"/>
        <v>null</v>
      </c>
      <c r="AB1387" s="26" t="s">
        <v>0</v>
      </c>
      <c r="AC1387" s="25" t="str">
        <f t="shared" si="540"/>
        <v>null</v>
      </c>
      <c r="AD1387" s="26" t="s">
        <v>0</v>
      </c>
      <c r="AE1387" s="25" t="str">
        <f t="shared" si="532"/>
        <v>null</v>
      </c>
      <c r="AF1387" s="26" t="s">
        <v>0</v>
      </c>
      <c r="AG1387" s="47" t="s">
        <v>7120</v>
      </c>
    </row>
    <row r="1388" spans="1:33" ht="6.9" customHeight="1" x14ac:dyDescent="0.4">
      <c r="A1388" s="4">
        <f>ROW()</f>
        <v>1388</v>
      </c>
      <c r="B1388" s="9" t="s">
        <v>27</v>
      </c>
      <c r="C1388" s="55" t="str">
        <f t="shared" ref="C1388" si="541">SUBSTITUTE(F1388,"d.","p.")</f>
        <v>p.orçamentar</v>
      </c>
      <c r="D1388" s="6" t="str">
        <f t="shared" si="531"/>
        <v>é.sinapi.incidência</v>
      </c>
      <c r="E1388" s="8" t="s">
        <v>28</v>
      </c>
      <c r="F1388" s="42" t="str">
        <f t="shared" si="530"/>
        <v>d.orçamentar</v>
      </c>
      <c r="G1388" s="68" t="s">
        <v>7192</v>
      </c>
      <c r="H1388" s="42" t="s">
        <v>2121</v>
      </c>
      <c r="I1388" s="16" t="str">
        <f t="shared" ref="I1388" si="542">J1388</f>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22"/>
        <v>Propriedade destinada a orçamentar: é.sinapi.incidência</v>
      </c>
      <c r="V1388" s="5" t="str">
        <f t="shared" si="523"/>
        <v>Dado para orçamentar:  sinapi.incidência  Deve ser formatado como (rdfs:Literal  or  xsd:string)</v>
      </c>
      <c r="W1388" s="5" t="s">
        <v>7193</v>
      </c>
      <c r="X1388" s="24" t="str">
        <f t="shared" si="526"/>
        <v>orçam.142</v>
      </c>
      <c r="Y1388" s="24" t="str">
        <f t="shared" si="527"/>
        <v>Ação de orçamentar</v>
      </c>
      <c r="Z1388" s="47" t="s">
        <v>7387</v>
      </c>
      <c r="AA1388" s="25" t="str">
        <f t="shared" ref="AA1388" si="543">IF(AB1388="null", "null", "categoria.revit")</f>
        <v>null</v>
      </c>
      <c r="AB1388" s="26" t="s">
        <v>0</v>
      </c>
      <c r="AC1388" s="25" t="str">
        <f t="shared" ref="AC1388" si="544">IF(AD1388="null", "null", "classe.ifc")</f>
        <v>null</v>
      </c>
      <c r="AD1388" s="26" t="s">
        <v>0</v>
      </c>
      <c r="AE1388" s="25" t="str">
        <f t="shared" si="532"/>
        <v>null</v>
      </c>
      <c r="AF1388" s="26" t="s">
        <v>0</v>
      </c>
      <c r="AG1388" s="47" t="s">
        <v>7387</v>
      </c>
    </row>
    <row r="1389" spans="1:33" ht="6.9" customHeight="1" x14ac:dyDescent="0.4">
      <c r="A1389" s="4">
        <f>ROW()</f>
        <v>1389</v>
      </c>
      <c r="B1389" s="9" t="s">
        <v>27</v>
      </c>
      <c r="C1389" s="55" t="str">
        <f t="shared" si="537"/>
        <v>p.orçamentar</v>
      </c>
      <c r="D1389" s="6" t="str">
        <f t="shared" si="531"/>
        <v>é.sinapi.manutenção</v>
      </c>
      <c r="E1389" s="8" t="s">
        <v>28</v>
      </c>
      <c r="F1389" s="42" t="str">
        <f t="shared" si="530"/>
        <v>d.orçamentar</v>
      </c>
      <c r="G1389" s="68" t="s">
        <v>7107</v>
      </c>
      <c r="H1389" s="42" t="s">
        <v>2121</v>
      </c>
      <c r="I1389" s="16" t="str">
        <f t="shared" si="538"/>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22"/>
        <v>Propriedade destinada a orçamentar: é.sinapi.manutenção</v>
      </c>
      <c r="V1389" s="5" t="str">
        <f t="shared" si="523"/>
        <v>Dado para orçamentar:  sinapi.manutenção  Deve ser formatado como (rdfs:Literal  or  xsd:string)</v>
      </c>
      <c r="W1389" s="5" t="s">
        <v>7098</v>
      </c>
      <c r="X1389" s="24" t="str">
        <f t="shared" si="526"/>
        <v>orçam.143</v>
      </c>
      <c r="Y1389" s="24" t="str">
        <f t="shared" si="527"/>
        <v>Ação de orçamentar</v>
      </c>
      <c r="Z1389" s="47" t="s">
        <v>7136</v>
      </c>
      <c r="AA1389" s="25" t="str">
        <f t="shared" si="539"/>
        <v>null</v>
      </c>
      <c r="AB1389" s="26" t="s">
        <v>0</v>
      </c>
      <c r="AC1389" s="25" t="str">
        <f t="shared" si="540"/>
        <v>null</v>
      </c>
      <c r="AD1389" s="26" t="s">
        <v>0</v>
      </c>
      <c r="AE1389" s="25" t="str">
        <f t="shared" si="532"/>
        <v>null</v>
      </c>
      <c r="AF1389" s="26" t="s">
        <v>0</v>
      </c>
      <c r="AG1389" s="47" t="s">
        <v>7121</v>
      </c>
    </row>
    <row r="1390" spans="1:33" ht="6.9" customHeight="1" x14ac:dyDescent="0.4">
      <c r="A1390" s="4">
        <f>ROW()</f>
        <v>1390</v>
      </c>
      <c r="B1390" s="9" t="s">
        <v>27</v>
      </c>
      <c r="C1390" s="55" t="str">
        <f t="shared" si="537"/>
        <v>p.orçamentar</v>
      </c>
      <c r="D1390" s="6" t="str">
        <f t="shared" si="531"/>
        <v>é.sinapi.mês.de.referência</v>
      </c>
      <c r="E1390" s="8" t="s">
        <v>28</v>
      </c>
      <c r="F1390" s="42" t="str">
        <f t="shared" si="530"/>
        <v>d.orçamentar</v>
      </c>
      <c r="G1390" s="68" t="s">
        <v>7102</v>
      </c>
      <c r="H1390" s="41" t="s">
        <v>34</v>
      </c>
      <c r="I1390" s="16" t="str">
        <f t="shared" si="538"/>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22"/>
        <v>Propriedade destinada a orçamentar: é.sinapi.mês.de.referência</v>
      </c>
      <c r="V1390" s="5" t="str">
        <f t="shared" si="523"/>
        <v>Dado para orçamentar:  sinapi.mês.de.referência  Deve ser formatado como (xsd:dateTime)</v>
      </c>
      <c r="W1390" s="5" t="s">
        <v>7095</v>
      </c>
      <c r="X1390" s="24" t="str">
        <f t="shared" si="526"/>
        <v>orçam.144</v>
      </c>
      <c r="Y1390" s="24" t="str">
        <f t="shared" si="527"/>
        <v>Ação de orçamentar</v>
      </c>
      <c r="Z1390" s="47" t="s">
        <v>7137</v>
      </c>
      <c r="AA1390" s="25" t="str">
        <f t="shared" si="539"/>
        <v>null</v>
      </c>
      <c r="AB1390" s="26" t="s">
        <v>0</v>
      </c>
      <c r="AC1390" s="25" t="str">
        <f t="shared" si="540"/>
        <v>null</v>
      </c>
      <c r="AD1390" s="26" t="s">
        <v>0</v>
      </c>
      <c r="AE1390" s="25" t="str">
        <f t="shared" si="532"/>
        <v>null</v>
      </c>
      <c r="AF1390" s="26" t="s">
        <v>0</v>
      </c>
      <c r="AG1390" s="47" t="s">
        <v>7122</v>
      </c>
    </row>
    <row r="1391" spans="1:33" ht="6.9" customHeight="1" x14ac:dyDescent="0.4">
      <c r="A1391" s="4">
        <f>ROW()</f>
        <v>1391</v>
      </c>
      <c r="B1391" s="9" t="s">
        <v>27</v>
      </c>
      <c r="C1391" s="55" t="str">
        <f t="shared" ref="C1391" si="545">SUBSTITUTE(F1391,"d.","p.")</f>
        <v>p.orçamentar</v>
      </c>
      <c r="D1391" s="6" t="str">
        <f t="shared" si="531"/>
        <v>é.sinapi.origem.do.preço</v>
      </c>
      <c r="E1391" s="8" t="s">
        <v>28</v>
      </c>
      <c r="F1391" s="42" t="str">
        <f t="shared" si="530"/>
        <v>d.orçamentar</v>
      </c>
      <c r="G1391" s="68" t="s">
        <v>7154</v>
      </c>
      <c r="H1391" s="42" t="s">
        <v>2121</v>
      </c>
      <c r="I1391" s="16" t="str">
        <f t="shared" ref="I1391" si="546">J1391</f>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22"/>
        <v>Propriedade destinada a orçamentar: é.sinapi.origem.do.preço</v>
      </c>
      <c r="V1391" s="5" t="str">
        <f t="shared" si="523"/>
        <v>Dado para orçamentar:  sinapi.origem.do.preço  Deve ser formatado como (rdfs:Literal  or  xsd:string)</v>
      </c>
      <c r="W1391" s="5" t="s">
        <v>7153</v>
      </c>
      <c r="X1391" s="24" t="str">
        <f t="shared" si="526"/>
        <v>orçam.145</v>
      </c>
      <c r="Y1391" s="24" t="str">
        <f t="shared" si="527"/>
        <v>Ação de orçamentar</v>
      </c>
      <c r="Z1391" s="47" t="s">
        <v>7388</v>
      </c>
      <c r="AA1391" s="25" t="str">
        <f t="shared" ref="AA1391" si="547">IF(AB1391="null", "null", "categoria.revit")</f>
        <v>null</v>
      </c>
      <c r="AB1391" s="26" t="s">
        <v>0</v>
      </c>
      <c r="AC1391" s="25" t="str">
        <f t="shared" ref="AC1391" si="548">IF(AD1391="null", "null", "classe.ifc")</f>
        <v>null</v>
      </c>
      <c r="AD1391" s="26" t="s">
        <v>0</v>
      </c>
      <c r="AE1391" s="25" t="str">
        <f t="shared" si="532"/>
        <v>null</v>
      </c>
      <c r="AF1391" s="26" t="s">
        <v>0</v>
      </c>
      <c r="AG1391" s="47" t="s">
        <v>7423</v>
      </c>
    </row>
    <row r="1392" spans="1:33" ht="6.9" customHeight="1" x14ac:dyDescent="0.4">
      <c r="A1392" s="4">
        <f>ROW()</f>
        <v>1392</v>
      </c>
      <c r="B1392" s="9" t="s">
        <v>27</v>
      </c>
      <c r="C1392" s="55" t="str">
        <f t="shared" si="537"/>
        <v>p.orçamentar</v>
      </c>
      <c r="D1392" s="6" t="str">
        <f t="shared" si="531"/>
        <v>é.sinapi.situação</v>
      </c>
      <c r="E1392" s="8" t="s">
        <v>28</v>
      </c>
      <c r="F1392" s="42" t="str">
        <f t="shared" si="530"/>
        <v>d.orçamentar</v>
      </c>
      <c r="G1392" s="68" t="s">
        <v>7108</v>
      </c>
      <c r="H1392" s="42" t="s">
        <v>2121</v>
      </c>
      <c r="I1392" s="16" t="str">
        <f t="shared" si="538"/>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22"/>
        <v>Propriedade destinada a orçamentar: é.sinapi.situação</v>
      </c>
      <c r="V1392" s="5" t="str">
        <f t="shared" si="523"/>
        <v>Dado para orçamentar:  sinapi.situação  Deve ser formatado como (rdfs:Literal  or  xsd:string)</v>
      </c>
      <c r="W1392" s="5" t="s">
        <v>7100</v>
      </c>
      <c r="X1392" s="24" t="str">
        <f t="shared" si="526"/>
        <v>orçam.146</v>
      </c>
      <c r="Y1392" s="24" t="str">
        <f t="shared" si="527"/>
        <v>Ação de orçamentar</v>
      </c>
      <c r="Z1392" s="47" t="s">
        <v>7147</v>
      </c>
      <c r="AA1392" s="25" t="str">
        <f t="shared" si="539"/>
        <v>null</v>
      </c>
      <c r="AB1392" s="26" t="s">
        <v>0</v>
      </c>
      <c r="AC1392" s="25" t="str">
        <f t="shared" si="540"/>
        <v>null</v>
      </c>
      <c r="AD1392" s="26" t="s">
        <v>0</v>
      </c>
      <c r="AE1392" s="25" t="str">
        <f t="shared" si="532"/>
        <v>null</v>
      </c>
      <c r="AF1392" s="26" t="s">
        <v>0</v>
      </c>
      <c r="AG1392" s="47" t="s">
        <v>7123</v>
      </c>
    </row>
    <row r="1393" spans="1:33" ht="6.9" customHeight="1" x14ac:dyDescent="0.4">
      <c r="A1393" s="4">
        <f>ROW()</f>
        <v>1393</v>
      </c>
      <c r="B1393" s="9" t="s">
        <v>27</v>
      </c>
      <c r="C1393" s="55" t="str">
        <f t="shared" si="537"/>
        <v>p.orçamentar</v>
      </c>
      <c r="D1393" s="6" t="str">
        <f t="shared" si="531"/>
        <v>é.sinapi.tipo</v>
      </c>
      <c r="E1393" s="8" t="s">
        <v>28</v>
      </c>
      <c r="F1393" s="42" t="str">
        <f t="shared" si="530"/>
        <v>d.orçamentar</v>
      </c>
      <c r="G1393" s="68" t="s">
        <v>7105</v>
      </c>
      <c r="H1393" s="42" t="s">
        <v>2121</v>
      </c>
      <c r="I1393" s="16" t="str">
        <f t="shared" si="538"/>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22"/>
        <v>Propriedade destinada a orçamentar: é.sinapi.tipo</v>
      </c>
      <c r="V1393" s="5" t="str">
        <f t="shared" si="523"/>
        <v>Dado para orçamentar:  sinapi.tipo  Deve ser formatado como (rdfs:Literal  or  xsd:string)</v>
      </c>
      <c r="W1393" s="5" t="s">
        <v>7097</v>
      </c>
      <c r="X1393" s="24" t="str">
        <f t="shared" si="526"/>
        <v>orçam.147</v>
      </c>
      <c r="Y1393" s="24" t="str">
        <f t="shared" si="527"/>
        <v>Ação de orçamentar</v>
      </c>
      <c r="Z1393" s="47" t="s">
        <v>7138</v>
      </c>
      <c r="AA1393" s="25" t="str">
        <f t="shared" si="539"/>
        <v>null</v>
      </c>
      <c r="AB1393" s="26" t="s">
        <v>0</v>
      </c>
      <c r="AC1393" s="25" t="str">
        <f t="shared" si="540"/>
        <v>null</v>
      </c>
      <c r="AD1393" s="26" t="s">
        <v>0</v>
      </c>
      <c r="AE1393" s="25" t="str">
        <f t="shared" si="532"/>
        <v>null</v>
      </c>
      <c r="AF1393" s="26" t="s">
        <v>0</v>
      </c>
      <c r="AG1393" s="47" t="s">
        <v>7124</v>
      </c>
    </row>
    <row r="1394" spans="1:33" ht="6.9" customHeight="1" x14ac:dyDescent="0.4">
      <c r="A1394" s="4">
        <f>ROW()</f>
        <v>1394</v>
      </c>
      <c r="B1394" s="9" t="s">
        <v>27</v>
      </c>
      <c r="C1394" s="55" t="str">
        <f t="shared" si="537"/>
        <v>p.orçamentar</v>
      </c>
      <c r="D1394" s="6" t="str">
        <f t="shared" si="531"/>
        <v>é.sinapi.uf</v>
      </c>
      <c r="E1394" s="8" t="s">
        <v>28</v>
      </c>
      <c r="F1394" s="42" t="str">
        <f t="shared" si="530"/>
        <v>d.orçamentar</v>
      </c>
      <c r="G1394" s="68" t="s">
        <v>7106</v>
      </c>
      <c r="H1394" s="42" t="s">
        <v>2121</v>
      </c>
      <c r="I1394" s="16" t="str">
        <f t="shared" si="538"/>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22"/>
        <v>Propriedade destinada a orçamentar: é.sinapi.uf</v>
      </c>
      <c r="V1394" s="5" t="str">
        <f t="shared" si="523"/>
        <v>Dado para orçamentar:  sinapi.uf  Deve ser formatado como (rdfs:Literal  or  xsd:string)</v>
      </c>
      <c r="W1394" s="5" t="s">
        <v>7091</v>
      </c>
      <c r="X1394" s="24" t="str">
        <f t="shared" si="526"/>
        <v>orçam.148</v>
      </c>
      <c r="Y1394" s="24" t="str">
        <f t="shared" si="527"/>
        <v>Ação de orçamentar</v>
      </c>
      <c r="Z1394" s="47" t="s">
        <v>7139</v>
      </c>
      <c r="AA1394" s="25" t="str">
        <f t="shared" si="539"/>
        <v>null</v>
      </c>
      <c r="AB1394" s="26" t="s">
        <v>0</v>
      </c>
      <c r="AC1394" s="25" t="str">
        <f t="shared" si="540"/>
        <v>null</v>
      </c>
      <c r="AD1394" s="26" t="s">
        <v>0</v>
      </c>
      <c r="AE1394" s="25" t="str">
        <f t="shared" si="532"/>
        <v>null</v>
      </c>
      <c r="AF1394" s="26" t="s">
        <v>0</v>
      </c>
      <c r="AG1394" s="47" t="s">
        <v>7125</v>
      </c>
    </row>
    <row r="1395" spans="1:33" ht="6.9" customHeight="1" x14ac:dyDescent="0.4">
      <c r="A1395" s="4">
        <f>ROW()</f>
        <v>1395</v>
      </c>
      <c r="B1395" s="9" t="s">
        <v>27</v>
      </c>
      <c r="C1395" s="55" t="str">
        <f t="shared" si="537"/>
        <v>p.orçamentar</v>
      </c>
      <c r="D1395" s="6" t="str">
        <f t="shared" si="531"/>
        <v>é.sinapi.unidade</v>
      </c>
      <c r="E1395" s="8" t="s">
        <v>28</v>
      </c>
      <c r="F1395" s="42" t="str">
        <f t="shared" si="530"/>
        <v>d.orçamentar</v>
      </c>
      <c r="G1395" s="68" t="s">
        <v>7103</v>
      </c>
      <c r="H1395" s="42" t="s">
        <v>2121</v>
      </c>
      <c r="I1395" s="16" t="str">
        <f t="shared" si="538"/>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22"/>
        <v>Propriedade destinada a orçamentar: é.sinapi.unidade</v>
      </c>
      <c r="V1395" s="5" t="str">
        <f t="shared" si="523"/>
        <v>Dado para orçamentar:  sinapi.unidade  Deve ser formatado como (rdfs:Literal  or  xsd:string)</v>
      </c>
      <c r="W1395" s="5" t="s">
        <v>7093</v>
      </c>
      <c r="X1395" s="24" t="str">
        <f t="shared" si="526"/>
        <v>orçam.149</v>
      </c>
      <c r="Y1395" s="24" t="str">
        <f t="shared" si="527"/>
        <v>Ação de orçamentar</v>
      </c>
      <c r="Z1395" s="47" t="s">
        <v>7140</v>
      </c>
      <c r="AA1395" s="25" t="str">
        <f t="shared" si="539"/>
        <v>null</v>
      </c>
      <c r="AB1395" s="26" t="s">
        <v>0</v>
      </c>
      <c r="AC1395" s="25" t="str">
        <f t="shared" si="540"/>
        <v>null</v>
      </c>
      <c r="AD1395" s="26" t="s">
        <v>0</v>
      </c>
      <c r="AE1395" s="25" t="str">
        <f t="shared" si="532"/>
        <v>null</v>
      </c>
      <c r="AF1395" s="26" t="s">
        <v>0</v>
      </c>
      <c r="AG1395" s="47" t="s">
        <v>7126</v>
      </c>
    </row>
    <row r="1396" spans="1:33" ht="6.9" customHeight="1" x14ac:dyDescent="0.4">
      <c r="A1396" s="4">
        <f>ROW()</f>
        <v>1396</v>
      </c>
      <c r="B1396" s="9" t="s">
        <v>27</v>
      </c>
      <c r="C1396" s="55" t="str">
        <f t="shared" si="537"/>
        <v>p.orçamentar</v>
      </c>
      <c r="D1396" s="6" t="str">
        <f t="shared" si="531"/>
        <v>é.valor.da.comissão</v>
      </c>
      <c r="E1396" s="8" t="s">
        <v>28</v>
      </c>
      <c r="F1396" s="42" t="str">
        <f t="shared" si="530"/>
        <v>d.orçamentar</v>
      </c>
      <c r="G1396" s="18" t="s">
        <v>849</v>
      </c>
      <c r="H1396" s="41" t="s">
        <v>36</v>
      </c>
      <c r="I1396" s="16" t="str">
        <f t="shared" si="538"/>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22"/>
        <v>Propriedade destinada a orçamentar: é.valor.da.comissão</v>
      </c>
      <c r="V1396" s="5" t="str">
        <f t="shared" si="523"/>
        <v>Dado para orçamentar:  valor.da.comissão  Deve ser formatado como (xsd:double)</v>
      </c>
      <c r="W1396" s="5" t="s">
        <v>6082</v>
      </c>
      <c r="X1396" s="24" t="str">
        <f t="shared" si="526"/>
        <v>orçam.150</v>
      </c>
      <c r="Y1396" s="24" t="str">
        <f t="shared" si="527"/>
        <v>Ação de orçamentar</v>
      </c>
      <c r="Z1396" s="47" t="s">
        <v>1733</v>
      </c>
      <c r="AA1396" s="25" t="str">
        <f t="shared" si="539"/>
        <v>null</v>
      </c>
      <c r="AB1396" s="26" t="s">
        <v>0</v>
      </c>
      <c r="AC1396" s="25" t="str">
        <f t="shared" si="540"/>
        <v>null</v>
      </c>
      <c r="AD1396" s="26" t="s">
        <v>0</v>
      </c>
      <c r="AE1396" s="25" t="str">
        <f t="shared" si="532"/>
        <v>null</v>
      </c>
      <c r="AF1396" s="26" t="s">
        <v>0</v>
      </c>
      <c r="AG1396" s="47" t="s">
        <v>3090</v>
      </c>
    </row>
    <row r="1397" spans="1:33" ht="6.9" customHeight="1" x14ac:dyDescent="0.4">
      <c r="A1397" s="4">
        <f>ROW()</f>
        <v>1397</v>
      </c>
      <c r="B1397" s="9" t="s">
        <v>27</v>
      </c>
      <c r="C1397" s="55" t="str">
        <f t="shared" si="537"/>
        <v>p.orçamentar</v>
      </c>
      <c r="D1397" s="6" t="str">
        <f t="shared" si="531"/>
        <v>é.valor.da.gratificação</v>
      </c>
      <c r="E1397" s="8" t="s">
        <v>28</v>
      </c>
      <c r="F1397" s="42" t="str">
        <f t="shared" si="530"/>
        <v>d.orçamentar</v>
      </c>
      <c r="G1397" s="18" t="s">
        <v>850</v>
      </c>
      <c r="H1397" s="41" t="s">
        <v>36</v>
      </c>
      <c r="I1397" s="16" t="str">
        <f t="shared" si="538"/>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22"/>
        <v>Propriedade destinada a orçamentar: é.valor.da.gratificação</v>
      </c>
      <c r="V1397" s="5" t="str">
        <f t="shared" si="523"/>
        <v>Dado para orçamentar:  valor.da.gratificação  Deve ser formatado como (xsd:double)</v>
      </c>
      <c r="W1397" s="5" t="s">
        <v>6083</v>
      </c>
      <c r="X1397" s="24" t="str">
        <f t="shared" si="526"/>
        <v>orçam.151</v>
      </c>
      <c r="Y1397" s="24" t="str">
        <f t="shared" si="527"/>
        <v>Ação de orçamentar</v>
      </c>
      <c r="Z1397" s="47" t="s">
        <v>7141</v>
      </c>
      <c r="AA1397" s="25" t="str">
        <f t="shared" si="539"/>
        <v>null</v>
      </c>
      <c r="AB1397" s="26" t="s">
        <v>0</v>
      </c>
      <c r="AC1397" s="25" t="str">
        <f t="shared" si="540"/>
        <v>null</v>
      </c>
      <c r="AD1397" s="26" t="s">
        <v>0</v>
      </c>
      <c r="AE1397" s="25" t="str">
        <f t="shared" si="532"/>
        <v>null</v>
      </c>
      <c r="AF1397" s="26" t="s">
        <v>0</v>
      </c>
      <c r="AG1397" s="47" t="s">
        <v>3091</v>
      </c>
    </row>
    <row r="1398" spans="1:33" ht="6.9" customHeight="1" x14ac:dyDescent="0.4">
      <c r="A1398" s="4">
        <f>ROW()</f>
        <v>1398</v>
      </c>
      <c r="B1398" s="9" t="s">
        <v>27</v>
      </c>
      <c r="C1398" s="55" t="str">
        <f t="shared" si="537"/>
        <v>p.orçamentar</v>
      </c>
      <c r="D1398" s="6" t="str">
        <f t="shared" si="531"/>
        <v>é.valor.do.bônus</v>
      </c>
      <c r="E1398" s="8" t="s">
        <v>28</v>
      </c>
      <c r="F1398" s="42" t="str">
        <f t="shared" si="530"/>
        <v>d.orçamentar</v>
      </c>
      <c r="G1398" s="18" t="s">
        <v>853</v>
      </c>
      <c r="H1398" s="41" t="s">
        <v>36</v>
      </c>
      <c r="I1398" s="16" t="str">
        <f t="shared" si="538"/>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22"/>
        <v>Propriedade destinada a orçamentar: é.valor.do.bônus</v>
      </c>
      <c r="V1398" s="5" t="str">
        <f t="shared" si="523"/>
        <v>Dado para orçamentar:  valor.do.bônus  Deve ser formatado como (xsd:double)</v>
      </c>
      <c r="W1398" s="5" t="s">
        <v>6086</v>
      </c>
      <c r="X1398" s="24" t="str">
        <f t="shared" si="526"/>
        <v>orçam.152</v>
      </c>
      <c r="Y1398" s="24" t="str">
        <f t="shared" si="527"/>
        <v>Ação de orçamentar</v>
      </c>
      <c r="Z1398" s="47" t="s">
        <v>1734</v>
      </c>
      <c r="AA1398" s="25" t="str">
        <f t="shared" si="539"/>
        <v>null</v>
      </c>
      <c r="AB1398" s="26" t="s">
        <v>0</v>
      </c>
      <c r="AC1398" s="25" t="str">
        <f t="shared" si="540"/>
        <v>null</v>
      </c>
      <c r="AD1398" s="26" t="s">
        <v>0</v>
      </c>
      <c r="AE1398" s="25" t="str">
        <f t="shared" si="532"/>
        <v>null</v>
      </c>
      <c r="AF1398" s="26" t="s">
        <v>0</v>
      </c>
      <c r="AG1398" s="47" t="s">
        <v>3094</v>
      </c>
    </row>
    <row r="1399" spans="1:33" ht="6.9" customHeight="1" x14ac:dyDescent="0.4">
      <c r="A1399" s="4">
        <f>ROW()</f>
        <v>1399</v>
      </c>
      <c r="B1399" s="9" t="s">
        <v>27</v>
      </c>
      <c r="C1399" s="55" t="str">
        <f t="shared" si="537"/>
        <v>p.orçamentar</v>
      </c>
      <c r="D1399" s="6" t="str">
        <f t="shared" si="531"/>
        <v>é.valor.do.lucro</v>
      </c>
      <c r="E1399" s="8" t="s">
        <v>28</v>
      </c>
      <c r="F1399" s="42" t="str">
        <f t="shared" si="530"/>
        <v>d.orçamentar</v>
      </c>
      <c r="G1399" s="18" t="s">
        <v>851</v>
      </c>
      <c r="H1399" s="41" t="s">
        <v>36</v>
      </c>
      <c r="I1399" s="16" t="str">
        <f t="shared" si="538"/>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22"/>
        <v>Propriedade destinada a orçamentar: é.valor.do.lucro</v>
      </c>
      <c r="V1399" s="5" t="str">
        <f t="shared" si="523"/>
        <v>Dado para orçamentar:  valor.do.lucro  Deve ser formatado como (xsd:double)</v>
      </c>
      <c r="W1399" s="5" t="s">
        <v>6084</v>
      </c>
      <c r="X1399" s="24" t="str">
        <f t="shared" si="526"/>
        <v>orçam.153</v>
      </c>
      <c r="Y1399" s="24" t="str">
        <f t="shared" si="527"/>
        <v>Ação de orçamentar</v>
      </c>
      <c r="Z1399" s="47" t="s">
        <v>7142</v>
      </c>
      <c r="AA1399" s="25" t="str">
        <f t="shared" si="539"/>
        <v>null</v>
      </c>
      <c r="AB1399" s="26" t="s">
        <v>0</v>
      </c>
      <c r="AC1399" s="25" t="str">
        <f t="shared" si="540"/>
        <v>null</v>
      </c>
      <c r="AD1399" s="26" t="s">
        <v>0</v>
      </c>
      <c r="AE1399" s="25" t="str">
        <f t="shared" si="532"/>
        <v>null</v>
      </c>
      <c r="AF1399" s="26" t="s">
        <v>0</v>
      </c>
      <c r="AG1399" s="47" t="s">
        <v>3092</v>
      </c>
    </row>
    <row r="1400" spans="1:33" ht="6.9" customHeight="1" x14ac:dyDescent="0.4">
      <c r="A1400" s="4">
        <f>ROW()</f>
        <v>1400</v>
      </c>
      <c r="B1400" s="9" t="s">
        <v>27</v>
      </c>
      <c r="C1400" s="55" t="str">
        <f t="shared" si="537"/>
        <v>p.orçamentar</v>
      </c>
      <c r="D1400" s="6" t="str">
        <f t="shared" si="531"/>
        <v>é.valor.do.salário</v>
      </c>
      <c r="E1400" s="8" t="s">
        <v>28</v>
      </c>
      <c r="F1400" s="42" t="str">
        <f t="shared" si="530"/>
        <v>d.orçamentar</v>
      </c>
      <c r="G1400" s="18" t="s">
        <v>852</v>
      </c>
      <c r="H1400" s="41" t="s">
        <v>36</v>
      </c>
      <c r="I1400" s="16" t="str">
        <f t="shared" si="538"/>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22"/>
        <v>Propriedade destinada a orçamentar: é.valor.do.salário</v>
      </c>
      <c r="V1400" s="5" t="str">
        <f t="shared" si="523"/>
        <v>Dado para orçamentar:  valor.do.salário  Deve ser formatado como (xsd:double)</v>
      </c>
      <c r="W1400" s="5" t="s">
        <v>6085</v>
      </c>
      <c r="X1400" s="24" t="str">
        <f t="shared" si="526"/>
        <v>orçam.154</v>
      </c>
      <c r="Y1400" s="24" t="str">
        <f t="shared" si="527"/>
        <v>Ação de orçamentar</v>
      </c>
      <c r="Z1400" s="47" t="s">
        <v>7143</v>
      </c>
      <c r="AA1400" s="25" t="str">
        <f t="shared" si="539"/>
        <v>null</v>
      </c>
      <c r="AB1400" s="26" t="s">
        <v>0</v>
      </c>
      <c r="AC1400" s="25" t="str">
        <f t="shared" si="540"/>
        <v>null</v>
      </c>
      <c r="AD1400" s="26" t="s">
        <v>0</v>
      </c>
      <c r="AE1400" s="25" t="str">
        <f t="shared" si="532"/>
        <v>null</v>
      </c>
      <c r="AF1400" s="26" t="s">
        <v>0</v>
      </c>
      <c r="AG1400" s="47" t="s">
        <v>3093</v>
      </c>
    </row>
    <row r="1401" spans="1:33" ht="6.9" customHeight="1" x14ac:dyDescent="0.4">
      <c r="A1401" s="4">
        <f>ROW()</f>
        <v>1401</v>
      </c>
      <c r="B1401" s="9" t="s">
        <v>27</v>
      </c>
      <c r="C1401" s="55" t="str">
        <f t="shared" si="537"/>
        <v>p.orçamentar</v>
      </c>
      <c r="D1401" s="6" t="str">
        <f t="shared" si="531"/>
        <v>é.verba.de.bolsa.docente</v>
      </c>
      <c r="E1401" s="8" t="s">
        <v>28</v>
      </c>
      <c r="F1401" s="42" t="str">
        <f t="shared" si="530"/>
        <v>d.orçamentar</v>
      </c>
      <c r="G1401" s="23" t="s">
        <v>2077</v>
      </c>
      <c r="H1401" s="41" t="s">
        <v>36</v>
      </c>
      <c r="I1401" s="16" t="str">
        <f t="shared" si="538"/>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22"/>
        <v>Propriedade destinada a orçamentar: é.verba.de.bolsa.docente</v>
      </c>
      <c r="V1401" s="5" t="str">
        <f t="shared" si="523"/>
        <v>Dado para orçamentar:  verba.de.bolsa.docente  Deve ser formatado como (xsd:double)</v>
      </c>
      <c r="W1401" s="5" t="s">
        <v>6065</v>
      </c>
      <c r="X1401" s="24" t="str">
        <f t="shared" si="526"/>
        <v>orçam.155</v>
      </c>
      <c r="Y1401" s="24" t="str">
        <f t="shared" si="527"/>
        <v>Ação de orçamentar</v>
      </c>
      <c r="Z1401" s="47" t="s">
        <v>7128</v>
      </c>
      <c r="AA1401" s="25" t="str">
        <f t="shared" si="539"/>
        <v>null</v>
      </c>
      <c r="AB1401" s="26" t="s">
        <v>0</v>
      </c>
      <c r="AC1401" s="25" t="str">
        <f t="shared" si="540"/>
        <v>null</v>
      </c>
      <c r="AD1401" s="26" t="s">
        <v>0</v>
      </c>
      <c r="AE1401" s="25" t="str">
        <f t="shared" si="532"/>
        <v>null</v>
      </c>
      <c r="AF1401" s="26" t="s">
        <v>0</v>
      </c>
      <c r="AG1401" s="47" t="s">
        <v>4804</v>
      </c>
    </row>
    <row r="1402" spans="1:33" ht="6.9" customHeight="1" x14ac:dyDescent="0.4">
      <c r="A1402" s="4">
        <f>ROW()</f>
        <v>1402</v>
      </c>
      <c r="B1402" s="9" t="s">
        <v>27</v>
      </c>
      <c r="C1402" s="55" t="str">
        <f t="shared" si="537"/>
        <v>p.orçamentar</v>
      </c>
      <c r="D1402" s="6" t="str">
        <f t="shared" si="531"/>
        <v>é.verba.de.bolsa.estudante</v>
      </c>
      <c r="E1402" s="8" t="s">
        <v>28</v>
      </c>
      <c r="F1402" s="42" t="str">
        <f t="shared" si="530"/>
        <v>d.orçamentar</v>
      </c>
      <c r="G1402" s="23" t="s">
        <v>2076</v>
      </c>
      <c r="H1402" s="41" t="s">
        <v>36</v>
      </c>
      <c r="I1402" s="16" t="str">
        <f t="shared" si="538"/>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22"/>
        <v>Propriedade destinada a orçamentar: é.verba.de.bolsa.estudante</v>
      </c>
      <c r="V1402" s="5" t="str">
        <f t="shared" si="523"/>
        <v>Dado para orçamentar:  verba.de.bolsa.estudante  Deve ser formatado como (xsd:double)</v>
      </c>
      <c r="W1402" s="5" t="s">
        <v>6064</v>
      </c>
      <c r="X1402" s="24" t="str">
        <f t="shared" si="526"/>
        <v>orçam.156</v>
      </c>
      <c r="Y1402" s="24" t="str">
        <f t="shared" si="527"/>
        <v>Ação de orçamentar</v>
      </c>
      <c r="Z1402" s="47" t="s">
        <v>7132</v>
      </c>
      <c r="AA1402" s="25" t="str">
        <f t="shared" si="539"/>
        <v>null</v>
      </c>
      <c r="AB1402" s="26" t="s">
        <v>0</v>
      </c>
      <c r="AC1402" s="25" t="str">
        <f t="shared" si="540"/>
        <v>null</v>
      </c>
      <c r="AD1402" s="26" t="s">
        <v>0</v>
      </c>
      <c r="AE1402" s="25" t="str">
        <f t="shared" si="532"/>
        <v>null</v>
      </c>
      <c r="AF1402" s="26" t="s">
        <v>0</v>
      </c>
      <c r="AG1402" s="47" t="s">
        <v>4803</v>
      </c>
    </row>
    <row r="1403" spans="1:33" ht="6.9" customHeight="1" x14ac:dyDescent="0.4">
      <c r="A1403" s="4">
        <f>ROW()</f>
        <v>1403</v>
      </c>
      <c r="B1403" s="9" t="s">
        <v>27</v>
      </c>
      <c r="C1403" s="55" t="str">
        <f t="shared" si="537"/>
        <v>p.orçamentar</v>
      </c>
      <c r="D1403" s="6" t="str">
        <f t="shared" si="531"/>
        <v>é.verba.de.capacitação</v>
      </c>
      <c r="E1403" s="8" t="s">
        <v>28</v>
      </c>
      <c r="F1403" s="42" t="str">
        <f t="shared" si="530"/>
        <v>d.orçamentar</v>
      </c>
      <c r="G1403" s="23" t="s">
        <v>2074</v>
      </c>
      <c r="H1403" s="41" t="s">
        <v>36</v>
      </c>
      <c r="I1403" s="16" t="str">
        <f t="shared" si="538"/>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22"/>
        <v>Propriedade destinada a orçamentar: é.verba.de.capacitação</v>
      </c>
      <c r="V1403" s="5" t="str">
        <f t="shared" si="523"/>
        <v>Dado para orçamentar:  verba.de.capacitação  Deve ser formatado como (xsd:double)</v>
      </c>
      <c r="W1403" s="5" t="s">
        <v>6063</v>
      </c>
      <c r="X1403" s="24" t="str">
        <f t="shared" si="526"/>
        <v>orçam.157</v>
      </c>
      <c r="Y1403" s="24" t="str">
        <f t="shared" si="527"/>
        <v>Ação de orçamentar</v>
      </c>
      <c r="Z1403" s="47" t="s">
        <v>7129</v>
      </c>
      <c r="AA1403" s="25" t="str">
        <f t="shared" si="539"/>
        <v>null</v>
      </c>
      <c r="AB1403" s="26" t="s">
        <v>0</v>
      </c>
      <c r="AC1403" s="25" t="str">
        <f t="shared" si="540"/>
        <v>null</v>
      </c>
      <c r="AD1403" s="26" t="s">
        <v>0</v>
      </c>
      <c r="AE1403" s="25" t="str">
        <f t="shared" si="532"/>
        <v>null</v>
      </c>
      <c r="AF1403" s="26" t="s">
        <v>0</v>
      </c>
      <c r="AG1403" s="47" t="s">
        <v>4802</v>
      </c>
    </row>
    <row r="1404" spans="1:33" ht="6.9" customHeight="1" x14ac:dyDescent="0.4">
      <c r="A1404" s="4">
        <f>ROW()</f>
        <v>1404</v>
      </c>
      <c r="B1404" s="9" t="s">
        <v>27</v>
      </c>
      <c r="C1404" s="55" t="str">
        <f t="shared" si="537"/>
        <v>p.orçamentar</v>
      </c>
      <c r="D1404" s="6" t="str">
        <f t="shared" si="531"/>
        <v>é.verba.de.custeio</v>
      </c>
      <c r="E1404" s="8" t="s">
        <v>28</v>
      </c>
      <c r="F1404" s="42" t="str">
        <f t="shared" si="530"/>
        <v>d.orçamentar</v>
      </c>
      <c r="G1404" s="23" t="s">
        <v>2072</v>
      </c>
      <c r="H1404" s="41" t="s">
        <v>36</v>
      </c>
      <c r="I1404" s="16" t="str">
        <f t="shared" si="538"/>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22"/>
        <v>Propriedade destinada a orçamentar: é.verba.de.custeio</v>
      </c>
      <c r="V1404" s="5" t="str">
        <f t="shared" si="523"/>
        <v>Dado para orçamentar:  verba.de.custeio  Deve ser formatado como (xsd:double)</v>
      </c>
      <c r="W1404" s="5" t="s">
        <v>6062</v>
      </c>
      <c r="X1404" s="24" t="str">
        <f t="shared" si="526"/>
        <v>orçam.158</v>
      </c>
      <c r="Y1404" s="24" t="str">
        <f t="shared" si="527"/>
        <v>Ação de orçamentar</v>
      </c>
      <c r="Z1404" s="47" t="s">
        <v>7130</v>
      </c>
      <c r="AA1404" s="25" t="str">
        <f t="shared" si="539"/>
        <v>null</v>
      </c>
      <c r="AB1404" s="26" t="s">
        <v>0</v>
      </c>
      <c r="AC1404" s="25" t="str">
        <f t="shared" si="540"/>
        <v>null</v>
      </c>
      <c r="AD1404" s="26" t="s">
        <v>0</v>
      </c>
      <c r="AE1404" s="25" t="str">
        <f t="shared" si="532"/>
        <v>null</v>
      </c>
      <c r="AF1404" s="26" t="s">
        <v>0</v>
      </c>
      <c r="AG1404" s="47" t="s">
        <v>4801</v>
      </c>
    </row>
    <row r="1405" spans="1:33" ht="6.9" customHeight="1" x14ac:dyDescent="0.4">
      <c r="A1405" s="4">
        <f>ROW()</f>
        <v>1405</v>
      </c>
      <c r="B1405" s="9" t="s">
        <v>27</v>
      </c>
      <c r="C1405" s="55" t="str">
        <f t="shared" si="537"/>
        <v>p.orçamentar</v>
      </c>
      <c r="D1405" s="6" t="str">
        <f t="shared" si="531"/>
        <v>é.verba.de.equipamento</v>
      </c>
      <c r="E1405" s="8" t="s">
        <v>28</v>
      </c>
      <c r="F1405" s="42" t="str">
        <f t="shared" si="530"/>
        <v>d.orçamentar</v>
      </c>
      <c r="G1405" s="23" t="s">
        <v>2073</v>
      </c>
      <c r="H1405" s="41" t="s">
        <v>36</v>
      </c>
      <c r="I1405" s="16" t="str">
        <f t="shared" si="538"/>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22"/>
        <v>Propriedade destinada a orçamentar: é.verba.de.equipamento</v>
      </c>
      <c r="V1405" s="5" t="str">
        <f t="shared" si="523"/>
        <v>Dado para orçamentar:  verba.de.equipamento  Deve ser formatado como (xsd:double)</v>
      </c>
      <c r="W1405" s="5" t="s">
        <v>6061</v>
      </c>
      <c r="X1405" s="24" t="str">
        <f t="shared" si="526"/>
        <v>orçam.159</v>
      </c>
      <c r="Y1405" s="24" t="str">
        <f t="shared" si="527"/>
        <v>Ação de orçamentar</v>
      </c>
      <c r="Z1405" s="47" t="s">
        <v>7131</v>
      </c>
      <c r="AA1405" s="25" t="str">
        <f t="shared" si="539"/>
        <v>null</v>
      </c>
      <c r="AB1405" s="26" t="s">
        <v>0</v>
      </c>
      <c r="AC1405" s="25" t="str">
        <f t="shared" si="540"/>
        <v>null</v>
      </c>
      <c r="AD1405" s="26" t="s">
        <v>0</v>
      </c>
      <c r="AE1405" s="25" t="str">
        <f t="shared" si="532"/>
        <v>null</v>
      </c>
      <c r="AF1405" s="26" t="s">
        <v>0</v>
      </c>
      <c r="AG1405" s="47" t="s">
        <v>4800</v>
      </c>
    </row>
    <row r="1406" spans="1:33" ht="6.9" customHeight="1" x14ac:dyDescent="0.4">
      <c r="A1406" s="4">
        <f>ROW()</f>
        <v>1406</v>
      </c>
      <c r="B1406" s="9" t="s">
        <v>27</v>
      </c>
      <c r="C1406" s="55" t="str">
        <f t="shared" si="537"/>
        <v>p.orçamentar</v>
      </c>
      <c r="D1406" s="6" t="str">
        <f t="shared" si="531"/>
        <v>é.verba.de.material</v>
      </c>
      <c r="E1406" s="8" t="s">
        <v>28</v>
      </c>
      <c r="F1406" s="42" t="str">
        <f t="shared" si="530"/>
        <v>d.orçamentar</v>
      </c>
      <c r="G1406" s="23" t="s">
        <v>2075</v>
      </c>
      <c r="H1406" s="41" t="s">
        <v>36</v>
      </c>
      <c r="I1406" s="16" t="str">
        <f t="shared" si="538"/>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22"/>
        <v>Propriedade destinada a orçamentar: é.verba.de.material</v>
      </c>
      <c r="V1406" s="5" t="str">
        <f t="shared" si="523"/>
        <v>Dado para orçamentar:  verba.de.material  Deve ser formatado como (xsd:double)</v>
      </c>
      <c r="W1406" s="5" t="s">
        <v>6066</v>
      </c>
      <c r="X1406" s="24" t="str">
        <f t="shared" si="526"/>
        <v>orçam.160</v>
      </c>
      <c r="Y1406" s="24" t="str">
        <f t="shared" si="527"/>
        <v>Ação de orçamentar</v>
      </c>
      <c r="Z1406" s="47" t="s">
        <v>4605</v>
      </c>
      <c r="AA1406" s="25" t="str">
        <f t="shared" si="539"/>
        <v>null</v>
      </c>
      <c r="AB1406" s="26" t="s">
        <v>0</v>
      </c>
      <c r="AC1406" s="25" t="str">
        <f t="shared" si="540"/>
        <v>null</v>
      </c>
      <c r="AD1406" s="26" t="s">
        <v>0</v>
      </c>
      <c r="AE1406" s="25" t="str">
        <f t="shared" si="532"/>
        <v>null</v>
      </c>
      <c r="AF1406" s="26" t="s">
        <v>0</v>
      </c>
      <c r="AG1406" s="47" t="s">
        <v>4805</v>
      </c>
    </row>
    <row r="1407" spans="1:33" ht="6.9" customHeight="1" x14ac:dyDescent="0.4">
      <c r="A1407" s="4">
        <f>ROW()</f>
        <v>1407</v>
      </c>
      <c r="B1407" s="9" t="s">
        <v>27</v>
      </c>
      <c r="C1407" s="54" t="str">
        <f t="shared" ref="C1407:C1447" si="549">SUBSTITUTE(F1407,"d.","p.")</f>
        <v>p.orientar</v>
      </c>
      <c r="D1407" s="6" t="str">
        <f t="shared" si="531"/>
        <v>é.norte.verdadeiro</v>
      </c>
      <c r="E1407" s="8" t="s">
        <v>28</v>
      </c>
      <c r="F1407" s="51" t="s">
        <v>3608</v>
      </c>
      <c r="G1407" s="17" t="s">
        <v>854</v>
      </c>
      <c r="H1407" s="42" t="s">
        <v>36</v>
      </c>
      <c r="I1407" s="16" t="str">
        <f t="shared" ref="I1407:I1447" si="550">J1407</f>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22"/>
        <v>Propriedade destinada a orientar: é.norte.verdadeiro</v>
      </c>
      <c r="V1407" s="5" t="str">
        <f t="shared" si="523"/>
        <v>Dado para orientar:  norte.verdadeiro  Deve ser formatado como (xsd:double)</v>
      </c>
      <c r="W1407" s="5" t="s">
        <v>6087</v>
      </c>
      <c r="X1407" s="24" t="str">
        <f t="shared" si="526"/>
        <v>orien.100</v>
      </c>
      <c r="Y1407" s="24" t="str">
        <f t="shared" si="527"/>
        <v>Ação de orientar</v>
      </c>
      <c r="Z1407" s="47" t="s">
        <v>1735</v>
      </c>
      <c r="AA1407" s="25" t="str">
        <f t="shared" ref="AA1407:AA1428" si="551">IF(AB1407="null", "null", "categoria.revit")</f>
        <v>null</v>
      </c>
      <c r="AB1407" s="26" t="s">
        <v>0</v>
      </c>
      <c r="AC1407" s="25" t="str">
        <f t="shared" ref="AC1407:AC1428" si="552">IF(AD1407="null", "null", "classe.ifc")</f>
        <v>null</v>
      </c>
      <c r="AD1407" s="26" t="s">
        <v>0</v>
      </c>
      <c r="AE1407" s="25" t="str">
        <f t="shared" si="532"/>
        <v>null</v>
      </c>
      <c r="AF1407" s="26" t="s">
        <v>0</v>
      </c>
      <c r="AG1407" s="47" t="s">
        <v>3095</v>
      </c>
    </row>
    <row r="1408" spans="1:33" ht="6.9" customHeight="1" x14ac:dyDescent="0.4">
      <c r="A1408" s="4">
        <f>ROW()</f>
        <v>1408</v>
      </c>
      <c r="B1408" s="9" t="s">
        <v>27</v>
      </c>
      <c r="C1408" s="55" t="str">
        <f t="shared" si="549"/>
        <v>p.orientar</v>
      </c>
      <c r="D1408" s="6" t="str">
        <f t="shared" si="531"/>
        <v>é.norte.projetual</v>
      </c>
      <c r="E1408" s="8" t="s">
        <v>28</v>
      </c>
      <c r="F1408" s="42" t="str">
        <f t="shared" ref="F1408:F1420" si="553">F1407</f>
        <v>d.orientar</v>
      </c>
      <c r="G1408" s="18" t="s">
        <v>855</v>
      </c>
      <c r="H1408" s="42" t="s">
        <v>36</v>
      </c>
      <c r="I1408" s="16" t="str">
        <f t="shared" si="55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22"/>
        <v>Propriedade destinada a orientar: é.norte.projetual</v>
      </c>
      <c r="V1408" s="5" t="str">
        <f t="shared" si="523"/>
        <v>Dado para orientar:  norte.projetual  Deve ser formatado como (xsd:double)</v>
      </c>
      <c r="W1408" s="5" t="s">
        <v>6088</v>
      </c>
      <c r="X1408" s="24" t="str">
        <f t="shared" si="526"/>
        <v>orien.101</v>
      </c>
      <c r="Y1408" s="24" t="str">
        <f t="shared" si="527"/>
        <v>Ação de orientar</v>
      </c>
      <c r="Z1408" s="47" t="s">
        <v>1736</v>
      </c>
      <c r="AA1408" s="25" t="str">
        <f t="shared" si="551"/>
        <v>null</v>
      </c>
      <c r="AB1408" s="26" t="s">
        <v>0</v>
      </c>
      <c r="AC1408" s="25" t="str">
        <f t="shared" si="552"/>
        <v>null</v>
      </c>
      <c r="AD1408" s="26" t="s">
        <v>0</v>
      </c>
      <c r="AE1408" s="25" t="str">
        <f t="shared" si="532"/>
        <v>null</v>
      </c>
      <c r="AF1408" s="26" t="s">
        <v>0</v>
      </c>
      <c r="AG1408" s="47" t="s">
        <v>3096</v>
      </c>
    </row>
    <row r="1409" spans="1:33" ht="6.9" customHeight="1" x14ac:dyDescent="0.4">
      <c r="A1409" s="4">
        <f>ROW()</f>
        <v>1409</v>
      </c>
      <c r="B1409" s="9" t="s">
        <v>27</v>
      </c>
      <c r="C1409" s="55" t="str">
        <f t="shared" si="549"/>
        <v>p.orientar</v>
      </c>
      <c r="D1409" s="6" t="str">
        <f t="shared" si="531"/>
        <v>é.a.barlavento</v>
      </c>
      <c r="E1409" s="8" t="s">
        <v>28</v>
      </c>
      <c r="F1409" s="42" t="str">
        <f t="shared" si="553"/>
        <v>d.orientar</v>
      </c>
      <c r="G1409" s="18" t="s">
        <v>856</v>
      </c>
      <c r="H1409" s="42" t="s">
        <v>37</v>
      </c>
      <c r="I1409" s="16" t="str">
        <f t="shared" si="550"/>
        <v>null</v>
      </c>
      <c r="J1409" s="13" t="s">
        <v>0</v>
      </c>
      <c r="K1409" s="13" t="s">
        <v>0</v>
      </c>
      <c r="L1409" s="13" t="s">
        <v>0</v>
      </c>
      <c r="M1409" s="13" t="s">
        <v>0</v>
      </c>
      <c r="N1409" s="15" t="s">
        <v>0</v>
      </c>
      <c r="O1409" s="13" t="s">
        <v>0</v>
      </c>
      <c r="P1409" s="13" t="s">
        <v>0</v>
      </c>
      <c r="Q1409" s="13" t="s">
        <v>857</v>
      </c>
      <c r="R1409" s="15" t="s">
        <v>0</v>
      </c>
      <c r="S1409" s="10" t="s">
        <v>1</v>
      </c>
      <c r="T1409" s="10" t="s">
        <v>32</v>
      </c>
      <c r="U1409" s="5" t="str">
        <f t="shared" si="522"/>
        <v>Propriedade destinada a orientar: é.a.barlavento</v>
      </c>
      <c r="V1409" s="5" t="str">
        <f t="shared" si="523"/>
        <v>Dado para orientar:  a.barlavento  Deve ser formatado como (xsd:boolean)</v>
      </c>
      <c r="W1409" s="5" t="s">
        <v>6089</v>
      </c>
      <c r="X1409" s="24" t="str">
        <f t="shared" si="526"/>
        <v>orien.102</v>
      </c>
      <c r="Y1409" s="24" t="str">
        <f t="shared" si="527"/>
        <v>Ação de orientar</v>
      </c>
      <c r="Z1409" s="47" t="s">
        <v>1737</v>
      </c>
      <c r="AA1409" s="25" t="str">
        <f t="shared" si="551"/>
        <v>null</v>
      </c>
      <c r="AB1409" s="26" t="s">
        <v>0</v>
      </c>
      <c r="AC1409" s="25" t="str">
        <f t="shared" si="552"/>
        <v>null</v>
      </c>
      <c r="AD1409" s="26" t="s">
        <v>0</v>
      </c>
      <c r="AE1409" s="25" t="str">
        <f t="shared" si="532"/>
        <v>null</v>
      </c>
      <c r="AF1409" s="26" t="s">
        <v>0</v>
      </c>
      <c r="AG1409" s="47" t="s">
        <v>4741</v>
      </c>
    </row>
    <row r="1410" spans="1:33" ht="6.9" customHeight="1" x14ac:dyDescent="0.4">
      <c r="A1410" s="4">
        <f>ROW()</f>
        <v>1410</v>
      </c>
      <c r="B1410" s="9" t="s">
        <v>27</v>
      </c>
      <c r="C1410" s="55" t="str">
        <f t="shared" si="549"/>
        <v>p.orientar</v>
      </c>
      <c r="D1410" s="6" t="str">
        <f t="shared" si="531"/>
        <v>é.a.sotavento</v>
      </c>
      <c r="E1410" s="8" t="s">
        <v>28</v>
      </c>
      <c r="F1410" s="42" t="str">
        <f t="shared" si="553"/>
        <v>d.orientar</v>
      </c>
      <c r="G1410" s="18" t="s">
        <v>858</v>
      </c>
      <c r="H1410" s="42" t="s">
        <v>37</v>
      </c>
      <c r="I1410" s="16" t="str">
        <f t="shared" si="550"/>
        <v>null</v>
      </c>
      <c r="J1410" s="13" t="s">
        <v>0</v>
      </c>
      <c r="K1410" s="13" t="s">
        <v>0</v>
      </c>
      <c r="L1410" s="13" t="s">
        <v>0</v>
      </c>
      <c r="M1410" s="13" t="s">
        <v>0</v>
      </c>
      <c r="N1410" s="15" t="s">
        <v>0</v>
      </c>
      <c r="O1410" s="13" t="s">
        <v>0</v>
      </c>
      <c r="P1410" s="13" t="s">
        <v>0</v>
      </c>
      <c r="Q1410" s="13" t="s">
        <v>859</v>
      </c>
      <c r="R1410" s="15" t="s">
        <v>0</v>
      </c>
      <c r="S1410" s="10" t="s">
        <v>1</v>
      </c>
      <c r="T1410" s="10" t="s">
        <v>32</v>
      </c>
      <c r="U1410" s="5" t="str">
        <f t="shared" ref="U1410:U1473" si="554">_xlfn.CONCAT("Propriedade destinada a ",MID(C1410,FIND("p.",C1410,1)+2,100),": ",D1410)</f>
        <v>Propriedade destinada a orientar: é.a.sotavento</v>
      </c>
      <c r="V1410" s="5" t="str">
        <f t="shared" ref="V1410:V1473" si="555">_xlfn.CONCAT("Dado para ",MID(F1410,FIND("d.",F1410,1)+2,100),":  ",G1410, "  Deve ser formatado como (",H1410, ")")</f>
        <v>Dado para orientar:  a.sotavento  Deve ser formatado como (xsd:boolean)</v>
      </c>
      <c r="W1410" s="5" t="s">
        <v>6090</v>
      </c>
      <c r="X1410" s="24" t="str">
        <f t="shared" si="526"/>
        <v>orien.103</v>
      </c>
      <c r="Y1410" s="24" t="str">
        <f t="shared" si="527"/>
        <v>Ação de orientar</v>
      </c>
      <c r="Z1410" s="47" t="s">
        <v>1738</v>
      </c>
      <c r="AA1410" s="25" t="str">
        <f t="shared" si="551"/>
        <v>null</v>
      </c>
      <c r="AB1410" s="26" t="s">
        <v>0</v>
      </c>
      <c r="AC1410" s="25" t="str">
        <f t="shared" si="552"/>
        <v>null</v>
      </c>
      <c r="AD1410" s="26" t="s">
        <v>0</v>
      </c>
      <c r="AE1410" s="25" t="str">
        <f t="shared" si="532"/>
        <v>null</v>
      </c>
      <c r="AF1410" s="26" t="s">
        <v>0</v>
      </c>
      <c r="AG1410" s="47" t="s">
        <v>4742</v>
      </c>
    </row>
    <row r="1411" spans="1:33" ht="6.9" customHeight="1" x14ac:dyDescent="0.4">
      <c r="A1411" s="4">
        <f>ROW()</f>
        <v>1411</v>
      </c>
      <c r="B1411" s="9" t="s">
        <v>27</v>
      </c>
      <c r="C1411" s="55" t="str">
        <f t="shared" si="549"/>
        <v>p.orientar</v>
      </c>
      <c r="D1411" s="6" t="str">
        <f t="shared" si="531"/>
        <v>é.ao.norte</v>
      </c>
      <c r="E1411" s="8" t="s">
        <v>28</v>
      </c>
      <c r="F1411" s="42" t="str">
        <f t="shared" si="553"/>
        <v>d.orientar</v>
      </c>
      <c r="G1411" s="18" t="s">
        <v>860</v>
      </c>
      <c r="H1411" s="42" t="s">
        <v>37</v>
      </c>
      <c r="I1411" s="16" t="str">
        <f t="shared" si="550"/>
        <v>null</v>
      </c>
      <c r="J1411" s="13" t="s">
        <v>0</v>
      </c>
      <c r="K1411" s="13" t="s">
        <v>0</v>
      </c>
      <c r="L1411" s="13" t="s">
        <v>0</v>
      </c>
      <c r="M1411" s="13" t="s">
        <v>0</v>
      </c>
      <c r="N1411" s="15" t="s">
        <v>0</v>
      </c>
      <c r="O1411" s="13" t="s">
        <v>0</v>
      </c>
      <c r="P1411" s="13" t="s">
        <v>0</v>
      </c>
      <c r="Q1411" s="13" t="s">
        <v>861</v>
      </c>
      <c r="R1411" s="15" t="s">
        <v>0</v>
      </c>
      <c r="S1411" s="10" t="s">
        <v>1</v>
      </c>
      <c r="T1411" s="10" t="s">
        <v>32</v>
      </c>
      <c r="U1411" s="5" t="str">
        <f t="shared" si="554"/>
        <v>Propriedade destinada a orientar: é.ao.norte</v>
      </c>
      <c r="V1411" s="5" t="str">
        <f t="shared" si="555"/>
        <v>Dado para orientar:  ao.norte  Deve ser formatado como (xsd:boolean)</v>
      </c>
      <c r="W1411" s="5" t="s">
        <v>6091</v>
      </c>
      <c r="X1411" s="24" t="str">
        <f t="shared" ref="X1411:X1474" si="556">IF(F1410&lt;&gt;F1411,_xlfn.CONCAT(RIGHT(LEFT(F1411,7),5),".100"),_xlfn.CONCAT(RIGHT(LEFT(F1411,7),5),".",SUM(VALUE(RIGHT(X1410,3)),1)))</f>
        <v>orien.104</v>
      </c>
      <c r="Y1411" s="24" t="str">
        <f t="shared" ref="Y1411:Y1474" si="557">_xlfn.CONCAT("Ação de ", SUBSTITUTE(F1411, "d.",  ""))</f>
        <v>Ação de orientar</v>
      </c>
      <c r="Z1411" s="47" t="s">
        <v>1739</v>
      </c>
      <c r="AA1411" s="25" t="str">
        <f t="shared" si="551"/>
        <v>null</v>
      </c>
      <c r="AB1411" s="26" t="s">
        <v>0</v>
      </c>
      <c r="AC1411" s="25" t="str">
        <f t="shared" si="552"/>
        <v>null</v>
      </c>
      <c r="AD1411" s="26" t="s">
        <v>0</v>
      </c>
      <c r="AE1411" s="25" t="str">
        <f t="shared" si="532"/>
        <v>null</v>
      </c>
      <c r="AF1411" s="26" t="s">
        <v>0</v>
      </c>
      <c r="AG1411" s="47" t="s">
        <v>3097</v>
      </c>
    </row>
    <row r="1412" spans="1:33" ht="6.9" customHeight="1" x14ac:dyDescent="0.4">
      <c r="A1412" s="4">
        <f>ROW()</f>
        <v>1412</v>
      </c>
      <c r="B1412" s="9" t="s">
        <v>27</v>
      </c>
      <c r="C1412" s="55" t="str">
        <f t="shared" si="549"/>
        <v>p.orientar</v>
      </c>
      <c r="D1412" s="6" t="str">
        <f t="shared" si="531"/>
        <v>é.ao.oeste</v>
      </c>
      <c r="E1412" s="8" t="s">
        <v>28</v>
      </c>
      <c r="F1412" s="42" t="str">
        <f t="shared" si="553"/>
        <v>d.orientar</v>
      </c>
      <c r="G1412" s="18" t="s">
        <v>862</v>
      </c>
      <c r="H1412" s="42" t="s">
        <v>37</v>
      </c>
      <c r="I1412" s="16" t="str">
        <f t="shared" si="550"/>
        <v>null</v>
      </c>
      <c r="J1412" s="15" t="s">
        <v>0</v>
      </c>
      <c r="K1412" s="15" t="s">
        <v>0</v>
      </c>
      <c r="L1412" s="15" t="s">
        <v>0</v>
      </c>
      <c r="M1412" s="15" t="s">
        <v>0</v>
      </c>
      <c r="N1412" s="15" t="s">
        <v>0</v>
      </c>
      <c r="O1412" s="15" t="s">
        <v>0</v>
      </c>
      <c r="P1412" s="15" t="s">
        <v>0</v>
      </c>
      <c r="Q1412" s="13" t="s">
        <v>863</v>
      </c>
      <c r="R1412" s="20" t="s">
        <v>864</v>
      </c>
      <c r="S1412" s="10" t="s">
        <v>1</v>
      </c>
      <c r="T1412" s="10" t="s">
        <v>32</v>
      </c>
      <c r="U1412" s="5" t="str">
        <f t="shared" si="554"/>
        <v>Propriedade destinada a orientar: é.ao.oeste</v>
      </c>
      <c r="V1412" s="5" t="str">
        <f t="shared" si="555"/>
        <v>Dado para orientar:  ao.oeste  Deve ser formatado como (xsd:boolean)</v>
      </c>
      <c r="W1412" s="5" t="s">
        <v>6092</v>
      </c>
      <c r="X1412" s="24" t="str">
        <f t="shared" si="556"/>
        <v>orien.105</v>
      </c>
      <c r="Y1412" s="24" t="str">
        <f t="shared" si="557"/>
        <v>Ação de orientar</v>
      </c>
      <c r="Z1412" s="47" t="s">
        <v>1740</v>
      </c>
      <c r="AA1412" s="25" t="str">
        <f t="shared" si="551"/>
        <v>null</v>
      </c>
      <c r="AB1412" s="26" t="s">
        <v>0</v>
      </c>
      <c r="AC1412" s="25" t="str">
        <f t="shared" si="552"/>
        <v>null</v>
      </c>
      <c r="AD1412" s="26" t="s">
        <v>0</v>
      </c>
      <c r="AE1412" s="25" t="str">
        <f t="shared" si="532"/>
        <v>null</v>
      </c>
      <c r="AF1412" s="26" t="s">
        <v>0</v>
      </c>
      <c r="AG1412" s="47" t="s">
        <v>3098</v>
      </c>
    </row>
    <row r="1413" spans="1:33" ht="6.9" customHeight="1" x14ac:dyDescent="0.4">
      <c r="A1413" s="4">
        <f>ROW()</f>
        <v>1413</v>
      </c>
      <c r="B1413" s="9" t="s">
        <v>27</v>
      </c>
      <c r="C1413" s="55" t="str">
        <f t="shared" si="549"/>
        <v>p.orientar</v>
      </c>
      <c r="D1413" s="6" t="str">
        <f t="shared" si="531"/>
        <v>é.ao.sul</v>
      </c>
      <c r="E1413" s="8" t="s">
        <v>28</v>
      </c>
      <c r="F1413" s="42" t="str">
        <f t="shared" si="553"/>
        <v>d.orientar</v>
      </c>
      <c r="G1413" s="18" t="s">
        <v>865</v>
      </c>
      <c r="H1413" s="42" t="s">
        <v>37</v>
      </c>
      <c r="I1413" s="16" t="str">
        <f t="shared" si="550"/>
        <v>null</v>
      </c>
      <c r="J1413" s="15" t="s">
        <v>0</v>
      </c>
      <c r="K1413" s="15" t="s">
        <v>0</v>
      </c>
      <c r="L1413" s="15" t="s">
        <v>0</v>
      </c>
      <c r="M1413" s="15" t="s">
        <v>0</v>
      </c>
      <c r="N1413" s="15" t="s">
        <v>0</v>
      </c>
      <c r="O1413" s="15" t="s">
        <v>0</v>
      </c>
      <c r="P1413" s="15" t="s">
        <v>0</v>
      </c>
      <c r="Q1413" s="15" t="s">
        <v>866</v>
      </c>
      <c r="R1413" s="15" t="s">
        <v>0</v>
      </c>
      <c r="S1413" s="10" t="s">
        <v>1</v>
      </c>
      <c r="T1413" s="10" t="s">
        <v>32</v>
      </c>
      <c r="U1413" s="5" t="str">
        <f t="shared" si="554"/>
        <v>Propriedade destinada a orientar: é.ao.sul</v>
      </c>
      <c r="V1413" s="5" t="str">
        <f t="shared" si="555"/>
        <v>Dado para orientar:  ao.sul  Deve ser formatado como (xsd:boolean)</v>
      </c>
      <c r="W1413" s="5" t="s">
        <v>6093</v>
      </c>
      <c r="X1413" s="24" t="str">
        <f t="shared" si="556"/>
        <v>orien.106</v>
      </c>
      <c r="Y1413" s="24" t="str">
        <f t="shared" si="557"/>
        <v>Ação de orientar</v>
      </c>
      <c r="Z1413" s="47" t="s">
        <v>1741</v>
      </c>
      <c r="AA1413" s="25" t="str">
        <f t="shared" si="551"/>
        <v>null</v>
      </c>
      <c r="AB1413" s="26" t="s">
        <v>0</v>
      </c>
      <c r="AC1413" s="25" t="str">
        <f t="shared" si="552"/>
        <v>null</v>
      </c>
      <c r="AD1413" s="26" t="s">
        <v>0</v>
      </c>
      <c r="AE1413" s="25" t="str">
        <f t="shared" si="532"/>
        <v>null</v>
      </c>
      <c r="AF1413" s="26" t="s">
        <v>0</v>
      </c>
      <c r="AG1413" s="47" t="s">
        <v>3099</v>
      </c>
    </row>
    <row r="1414" spans="1:33" ht="6.9" customHeight="1" x14ac:dyDescent="0.4">
      <c r="A1414" s="4">
        <f>ROW()</f>
        <v>1414</v>
      </c>
      <c r="B1414" s="9" t="s">
        <v>27</v>
      </c>
      <c r="C1414" s="55" t="str">
        <f t="shared" si="549"/>
        <v>p.orientar</v>
      </c>
      <c r="D1414" s="6" t="str">
        <f t="shared" si="531"/>
        <v>é.ao.leste</v>
      </c>
      <c r="E1414" s="8" t="s">
        <v>28</v>
      </c>
      <c r="F1414" s="42" t="str">
        <f t="shared" si="553"/>
        <v>d.orientar</v>
      </c>
      <c r="G1414" s="18" t="s">
        <v>867</v>
      </c>
      <c r="H1414" s="42" t="s">
        <v>37</v>
      </c>
      <c r="I1414" s="16" t="str">
        <f t="shared" si="550"/>
        <v>null</v>
      </c>
      <c r="J1414" s="15" t="s">
        <v>0</v>
      </c>
      <c r="K1414" s="15" t="s">
        <v>0</v>
      </c>
      <c r="L1414" s="15" t="s">
        <v>0</v>
      </c>
      <c r="M1414" s="15" t="s">
        <v>0</v>
      </c>
      <c r="N1414" s="15" t="s">
        <v>0</v>
      </c>
      <c r="O1414" s="15" t="s">
        <v>0</v>
      </c>
      <c r="P1414" s="15" t="s">
        <v>0</v>
      </c>
      <c r="Q1414" s="15" t="s">
        <v>868</v>
      </c>
      <c r="R1414" s="20" t="s">
        <v>869</v>
      </c>
      <c r="S1414" s="10" t="s">
        <v>1</v>
      </c>
      <c r="T1414" s="10" t="s">
        <v>32</v>
      </c>
      <c r="U1414" s="5" t="str">
        <f t="shared" si="554"/>
        <v>Propriedade destinada a orientar: é.ao.leste</v>
      </c>
      <c r="V1414" s="5" t="str">
        <f t="shared" si="555"/>
        <v>Dado para orientar:  ao.leste  Deve ser formatado como (xsd:boolean)</v>
      </c>
      <c r="W1414" s="5" t="s">
        <v>6094</v>
      </c>
      <c r="X1414" s="24" t="str">
        <f t="shared" si="556"/>
        <v>orien.107</v>
      </c>
      <c r="Y1414" s="24" t="str">
        <f t="shared" si="557"/>
        <v>Ação de orientar</v>
      </c>
      <c r="Z1414" s="47" t="s">
        <v>1742</v>
      </c>
      <c r="AA1414" s="25" t="str">
        <f t="shared" si="551"/>
        <v>null</v>
      </c>
      <c r="AB1414" s="26" t="s">
        <v>0</v>
      </c>
      <c r="AC1414" s="25" t="str">
        <f t="shared" si="552"/>
        <v>null</v>
      </c>
      <c r="AD1414" s="26" t="s">
        <v>0</v>
      </c>
      <c r="AE1414" s="25" t="str">
        <f t="shared" si="532"/>
        <v>null</v>
      </c>
      <c r="AF1414" s="26" t="s">
        <v>0</v>
      </c>
      <c r="AG1414" s="47" t="s">
        <v>3100</v>
      </c>
    </row>
    <row r="1415" spans="1:33" ht="6.9" customHeight="1" x14ac:dyDescent="0.4">
      <c r="A1415" s="4">
        <f>ROW()</f>
        <v>1415</v>
      </c>
      <c r="B1415" s="9" t="s">
        <v>27</v>
      </c>
      <c r="C1415" s="55" t="str">
        <f t="shared" si="549"/>
        <v>p.orientar</v>
      </c>
      <c r="D1415" s="6" t="str">
        <f t="shared" si="531"/>
        <v>é.ao.noroeste</v>
      </c>
      <c r="E1415" s="8" t="s">
        <v>28</v>
      </c>
      <c r="F1415" s="42" t="str">
        <f t="shared" si="553"/>
        <v>d.orientar</v>
      </c>
      <c r="G1415" s="18" t="s">
        <v>870</v>
      </c>
      <c r="H1415" s="42" t="s">
        <v>37</v>
      </c>
      <c r="I1415" s="16" t="str">
        <f t="shared" si="550"/>
        <v>null</v>
      </c>
      <c r="J1415" s="15" t="s">
        <v>0</v>
      </c>
      <c r="K1415" s="15" t="s">
        <v>0</v>
      </c>
      <c r="L1415" s="15" t="s">
        <v>0</v>
      </c>
      <c r="M1415" s="15" t="s">
        <v>0</v>
      </c>
      <c r="N1415" s="15" t="s">
        <v>0</v>
      </c>
      <c r="O1415" s="15" t="s">
        <v>0</v>
      </c>
      <c r="P1415" s="15" t="s">
        <v>0</v>
      </c>
      <c r="Q1415" s="15" t="s">
        <v>871</v>
      </c>
      <c r="R1415" s="15" t="s">
        <v>0</v>
      </c>
      <c r="S1415" s="10" t="s">
        <v>1</v>
      </c>
      <c r="T1415" s="10" t="s">
        <v>32</v>
      </c>
      <c r="U1415" s="5" t="str">
        <f t="shared" si="554"/>
        <v>Propriedade destinada a orientar: é.ao.noroeste</v>
      </c>
      <c r="V1415" s="5" t="str">
        <f t="shared" si="555"/>
        <v>Dado para orientar:  ao.noroeste  Deve ser formatado como (xsd:boolean)</v>
      </c>
      <c r="W1415" s="5" t="s">
        <v>6095</v>
      </c>
      <c r="X1415" s="24" t="str">
        <f t="shared" si="556"/>
        <v>orien.108</v>
      </c>
      <c r="Y1415" s="24" t="str">
        <f t="shared" si="557"/>
        <v>Ação de orientar</v>
      </c>
      <c r="Z1415" s="47" t="s">
        <v>1743</v>
      </c>
      <c r="AA1415" s="25" t="str">
        <f t="shared" si="551"/>
        <v>null</v>
      </c>
      <c r="AB1415" s="26" t="s">
        <v>0</v>
      </c>
      <c r="AC1415" s="25" t="str">
        <f t="shared" si="552"/>
        <v>null</v>
      </c>
      <c r="AD1415" s="26" t="s">
        <v>0</v>
      </c>
      <c r="AE1415" s="25" t="str">
        <f t="shared" si="532"/>
        <v>null</v>
      </c>
      <c r="AF1415" s="26" t="s">
        <v>0</v>
      </c>
      <c r="AG1415" s="47" t="s">
        <v>3101</v>
      </c>
    </row>
    <row r="1416" spans="1:33" ht="6.9" customHeight="1" x14ac:dyDescent="0.4">
      <c r="A1416" s="4">
        <f>ROW()</f>
        <v>1416</v>
      </c>
      <c r="B1416" s="9" t="s">
        <v>27</v>
      </c>
      <c r="C1416" s="55" t="str">
        <f t="shared" si="549"/>
        <v>p.orientar</v>
      </c>
      <c r="D1416" s="6" t="str">
        <f t="shared" si="531"/>
        <v>é.ao.sudoeste</v>
      </c>
      <c r="E1416" s="8" t="s">
        <v>28</v>
      </c>
      <c r="F1416" s="42" t="str">
        <f t="shared" si="553"/>
        <v>d.orientar</v>
      </c>
      <c r="G1416" s="18" t="s">
        <v>6966</v>
      </c>
      <c r="H1416" s="42" t="s">
        <v>37</v>
      </c>
      <c r="I1416" s="16" t="str">
        <f t="shared" si="550"/>
        <v>null</v>
      </c>
      <c r="J1416" s="15" t="s">
        <v>0</v>
      </c>
      <c r="K1416" s="15" t="s">
        <v>0</v>
      </c>
      <c r="L1416" s="15" t="s">
        <v>0</v>
      </c>
      <c r="M1416" s="15" t="s">
        <v>0</v>
      </c>
      <c r="N1416" s="15" t="s">
        <v>0</v>
      </c>
      <c r="O1416" s="15" t="s">
        <v>0</v>
      </c>
      <c r="P1416" s="15" t="s">
        <v>0</v>
      </c>
      <c r="Q1416" s="15" t="s">
        <v>872</v>
      </c>
      <c r="R1416" s="15" t="s">
        <v>0</v>
      </c>
      <c r="S1416" s="10" t="s">
        <v>1</v>
      </c>
      <c r="T1416" s="10" t="s">
        <v>32</v>
      </c>
      <c r="U1416" s="5" t="str">
        <f t="shared" si="554"/>
        <v>Propriedade destinada a orientar: é.ao.sudoeste</v>
      </c>
      <c r="V1416" s="5" t="str">
        <f t="shared" si="555"/>
        <v>Dado para orientar:  ao.sudoeste  Deve ser formatado como (xsd:boolean)</v>
      </c>
      <c r="W1416" s="5" t="s">
        <v>6096</v>
      </c>
      <c r="X1416" s="24" t="str">
        <f t="shared" si="556"/>
        <v>orien.109</v>
      </c>
      <c r="Y1416" s="24" t="str">
        <f t="shared" si="557"/>
        <v>Ação de orientar</v>
      </c>
      <c r="Z1416" s="47" t="s">
        <v>1744</v>
      </c>
      <c r="AA1416" s="25" t="str">
        <f t="shared" si="551"/>
        <v>null</v>
      </c>
      <c r="AB1416" s="26" t="s">
        <v>0</v>
      </c>
      <c r="AC1416" s="25" t="str">
        <f t="shared" si="552"/>
        <v>null</v>
      </c>
      <c r="AD1416" s="26" t="s">
        <v>0</v>
      </c>
      <c r="AE1416" s="25" t="str">
        <f t="shared" si="532"/>
        <v>null</v>
      </c>
      <c r="AF1416" s="26" t="s">
        <v>0</v>
      </c>
      <c r="AG1416" s="47" t="s">
        <v>3102</v>
      </c>
    </row>
    <row r="1417" spans="1:33" ht="6.9" customHeight="1" x14ac:dyDescent="0.4">
      <c r="A1417" s="4">
        <f>ROW()</f>
        <v>1417</v>
      </c>
      <c r="B1417" s="9" t="s">
        <v>27</v>
      </c>
      <c r="C1417" s="55" t="str">
        <f t="shared" si="549"/>
        <v>p.orientar</v>
      </c>
      <c r="D1417" s="6" t="str">
        <f t="shared" si="531"/>
        <v>é.ao.suleste</v>
      </c>
      <c r="E1417" s="8" t="s">
        <v>28</v>
      </c>
      <c r="F1417" s="42" t="str">
        <f t="shared" si="553"/>
        <v>d.orientar</v>
      </c>
      <c r="G1417" s="18" t="s">
        <v>873</v>
      </c>
      <c r="H1417" s="42" t="s">
        <v>37</v>
      </c>
      <c r="I1417" s="16" t="str">
        <f t="shared" si="550"/>
        <v>null</v>
      </c>
      <c r="J1417" s="15" t="s">
        <v>0</v>
      </c>
      <c r="K1417" s="15" t="s">
        <v>0</v>
      </c>
      <c r="L1417" s="15" t="s">
        <v>0</v>
      </c>
      <c r="M1417" s="15" t="s">
        <v>0</v>
      </c>
      <c r="N1417" s="15" t="s">
        <v>0</v>
      </c>
      <c r="O1417" s="15" t="s">
        <v>0</v>
      </c>
      <c r="P1417" s="15" t="s">
        <v>0</v>
      </c>
      <c r="Q1417" s="15" t="s">
        <v>874</v>
      </c>
      <c r="R1417" s="15" t="s">
        <v>0</v>
      </c>
      <c r="S1417" s="10" t="s">
        <v>1</v>
      </c>
      <c r="T1417" s="10" t="s">
        <v>32</v>
      </c>
      <c r="U1417" s="5" t="str">
        <f t="shared" si="554"/>
        <v>Propriedade destinada a orientar: é.ao.suleste</v>
      </c>
      <c r="V1417" s="5" t="str">
        <f t="shared" si="555"/>
        <v>Dado para orientar:  ao.suleste  Deve ser formatado como (xsd:boolean)</v>
      </c>
      <c r="W1417" s="5" t="s">
        <v>6097</v>
      </c>
      <c r="X1417" s="24" t="str">
        <f t="shared" si="556"/>
        <v>orien.110</v>
      </c>
      <c r="Y1417" s="24" t="str">
        <f t="shared" si="557"/>
        <v>Ação de orientar</v>
      </c>
      <c r="Z1417" s="47" t="s">
        <v>1745</v>
      </c>
      <c r="AA1417" s="25" t="str">
        <f t="shared" si="551"/>
        <v>null</v>
      </c>
      <c r="AB1417" s="26" t="s">
        <v>0</v>
      </c>
      <c r="AC1417" s="25" t="str">
        <f t="shared" si="552"/>
        <v>null</v>
      </c>
      <c r="AD1417" s="26" t="s">
        <v>0</v>
      </c>
      <c r="AE1417" s="25" t="str">
        <f t="shared" si="532"/>
        <v>null</v>
      </c>
      <c r="AF1417" s="26" t="s">
        <v>0</v>
      </c>
      <c r="AG1417" s="47" t="s">
        <v>3103</v>
      </c>
    </row>
    <row r="1418" spans="1:33" ht="6.9" customHeight="1" x14ac:dyDescent="0.4">
      <c r="A1418" s="4">
        <f>ROW()</f>
        <v>1418</v>
      </c>
      <c r="B1418" s="9" t="s">
        <v>27</v>
      </c>
      <c r="C1418" s="55" t="str">
        <f t="shared" si="549"/>
        <v>p.orientar</v>
      </c>
      <c r="D1418" s="6" t="str">
        <f t="shared" si="531"/>
        <v>é.ao.nordeste</v>
      </c>
      <c r="E1418" s="8" t="s">
        <v>28</v>
      </c>
      <c r="F1418" s="42" t="str">
        <f t="shared" si="553"/>
        <v>d.orientar</v>
      </c>
      <c r="G1418" s="18" t="s">
        <v>875</v>
      </c>
      <c r="H1418" s="42" t="s">
        <v>37</v>
      </c>
      <c r="I1418" s="16" t="str">
        <f t="shared" si="550"/>
        <v>null</v>
      </c>
      <c r="J1418" s="15" t="s">
        <v>0</v>
      </c>
      <c r="K1418" s="15" t="s">
        <v>0</v>
      </c>
      <c r="L1418" s="15" t="s">
        <v>0</v>
      </c>
      <c r="M1418" s="15" t="s">
        <v>0</v>
      </c>
      <c r="N1418" s="15" t="s">
        <v>0</v>
      </c>
      <c r="O1418" s="15" t="s">
        <v>0</v>
      </c>
      <c r="P1418" s="15" t="s">
        <v>0</v>
      </c>
      <c r="Q1418" s="15" t="s">
        <v>6967</v>
      </c>
      <c r="R1418" s="15" t="s">
        <v>0</v>
      </c>
      <c r="S1418" s="10" t="s">
        <v>1</v>
      </c>
      <c r="T1418" s="10" t="s">
        <v>32</v>
      </c>
      <c r="U1418" s="5" t="str">
        <f t="shared" si="554"/>
        <v>Propriedade destinada a orientar: é.ao.nordeste</v>
      </c>
      <c r="V1418" s="5" t="str">
        <f t="shared" si="555"/>
        <v>Dado para orientar:  ao.nordeste  Deve ser formatado como (xsd:boolean)</v>
      </c>
      <c r="W1418" s="5" t="s">
        <v>6098</v>
      </c>
      <c r="X1418" s="24" t="str">
        <f t="shared" si="556"/>
        <v>orien.111</v>
      </c>
      <c r="Y1418" s="24" t="str">
        <f t="shared" si="557"/>
        <v>Ação de orientar</v>
      </c>
      <c r="Z1418" s="47" t="s">
        <v>1746</v>
      </c>
      <c r="AA1418" s="25" t="str">
        <f t="shared" si="551"/>
        <v>null</v>
      </c>
      <c r="AB1418" s="26" t="s">
        <v>0</v>
      </c>
      <c r="AC1418" s="25" t="str">
        <f t="shared" si="552"/>
        <v>null</v>
      </c>
      <c r="AD1418" s="26" t="s">
        <v>0</v>
      </c>
      <c r="AE1418" s="25" t="str">
        <f t="shared" si="532"/>
        <v>null</v>
      </c>
      <c r="AF1418" s="26" t="s">
        <v>0</v>
      </c>
      <c r="AG1418" s="47" t="s">
        <v>3104</v>
      </c>
    </row>
    <row r="1419" spans="1:33" ht="6.9" customHeight="1" x14ac:dyDescent="0.4">
      <c r="A1419" s="4">
        <f>ROW()</f>
        <v>1419</v>
      </c>
      <c r="B1419" s="9" t="s">
        <v>27</v>
      </c>
      <c r="C1419" s="55" t="str">
        <f t="shared" si="549"/>
        <v>p.orientar</v>
      </c>
      <c r="D1419" s="6" t="str">
        <f t="shared" si="531"/>
        <v>é.ao.nascente</v>
      </c>
      <c r="E1419" s="8" t="s">
        <v>28</v>
      </c>
      <c r="F1419" s="42" t="str">
        <f t="shared" si="553"/>
        <v>d.orientar</v>
      </c>
      <c r="G1419" s="18" t="s">
        <v>876</v>
      </c>
      <c r="H1419" s="42" t="s">
        <v>37</v>
      </c>
      <c r="I1419" s="16" t="str">
        <f t="shared" si="550"/>
        <v>null</v>
      </c>
      <c r="J1419" s="15" t="s">
        <v>0</v>
      </c>
      <c r="K1419" s="15" t="s">
        <v>0</v>
      </c>
      <c r="L1419" s="15" t="s">
        <v>0</v>
      </c>
      <c r="M1419" s="15" t="s">
        <v>0</v>
      </c>
      <c r="N1419" s="15" t="s">
        <v>0</v>
      </c>
      <c r="O1419" s="15" t="s">
        <v>0</v>
      </c>
      <c r="P1419" s="15" t="s">
        <v>0</v>
      </c>
      <c r="Q1419" s="15" t="s">
        <v>0</v>
      </c>
      <c r="R1419" s="15" t="s">
        <v>863</v>
      </c>
      <c r="S1419" s="10" t="s">
        <v>1</v>
      </c>
      <c r="T1419" s="10" t="s">
        <v>32</v>
      </c>
      <c r="U1419" s="5" t="str">
        <f t="shared" si="554"/>
        <v>Propriedade destinada a orientar: é.ao.nascente</v>
      </c>
      <c r="V1419" s="5" t="str">
        <f t="shared" si="555"/>
        <v>Dado para orientar:  ao.nascente  Deve ser formatado como (xsd:boolean)</v>
      </c>
      <c r="W1419" s="5" t="s">
        <v>6099</v>
      </c>
      <c r="X1419" s="24" t="str">
        <f t="shared" si="556"/>
        <v>orien.112</v>
      </c>
      <c r="Y1419" s="24" t="str">
        <f t="shared" si="557"/>
        <v>Ação de orientar</v>
      </c>
      <c r="Z1419" s="47" t="s">
        <v>1742</v>
      </c>
      <c r="AA1419" s="25" t="str">
        <f t="shared" si="551"/>
        <v>null</v>
      </c>
      <c r="AB1419" s="26" t="s">
        <v>0</v>
      </c>
      <c r="AC1419" s="25" t="str">
        <f t="shared" si="552"/>
        <v>null</v>
      </c>
      <c r="AD1419" s="26" t="s">
        <v>0</v>
      </c>
      <c r="AE1419" s="25" t="str">
        <f t="shared" si="532"/>
        <v>null</v>
      </c>
      <c r="AF1419" s="26" t="s">
        <v>0</v>
      </c>
      <c r="AG1419" s="47" t="s">
        <v>3105</v>
      </c>
    </row>
    <row r="1420" spans="1:33" ht="6.9" customHeight="1" x14ac:dyDescent="0.4">
      <c r="A1420" s="4">
        <f>ROW()</f>
        <v>1420</v>
      </c>
      <c r="B1420" s="9" t="s">
        <v>27</v>
      </c>
      <c r="C1420" s="55" t="str">
        <f t="shared" si="549"/>
        <v>p.orientar</v>
      </c>
      <c r="D1420" s="6" t="str">
        <f t="shared" si="531"/>
        <v>é.ao.poente</v>
      </c>
      <c r="E1420" s="8" t="s">
        <v>28</v>
      </c>
      <c r="F1420" s="42" t="str">
        <f t="shared" si="553"/>
        <v>d.orientar</v>
      </c>
      <c r="G1420" s="18" t="s">
        <v>877</v>
      </c>
      <c r="H1420" s="42" t="s">
        <v>37</v>
      </c>
      <c r="I1420" s="16" t="str">
        <f t="shared" si="550"/>
        <v>null</v>
      </c>
      <c r="J1420" s="15" t="s">
        <v>0</v>
      </c>
      <c r="K1420" s="15" t="s">
        <v>0</v>
      </c>
      <c r="L1420" s="15" t="s">
        <v>0</v>
      </c>
      <c r="M1420" s="15" t="s">
        <v>0</v>
      </c>
      <c r="N1420" s="15" t="s">
        <v>0</v>
      </c>
      <c r="O1420" s="15" t="s">
        <v>0</v>
      </c>
      <c r="P1420" s="15" t="s">
        <v>0</v>
      </c>
      <c r="Q1420" s="15" t="s">
        <v>0</v>
      </c>
      <c r="R1420" s="15" t="s">
        <v>868</v>
      </c>
      <c r="S1420" s="10" t="s">
        <v>1</v>
      </c>
      <c r="T1420" s="10" t="s">
        <v>32</v>
      </c>
      <c r="U1420" s="5" t="str">
        <f t="shared" si="554"/>
        <v>Propriedade destinada a orientar: é.ao.poente</v>
      </c>
      <c r="V1420" s="5" t="str">
        <f t="shared" si="555"/>
        <v>Dado para orientar:  ao.poente  Deve ser formatado como (xsd:boolean)</v>
      </c>
      <c r="W1420" s="5" t="s">
        <v>6100</v>
      </c>
      <c r="X1420" s="24" t="str">
        <f t="shared" si="556"/>
        <v>orien.113</v>
      </c>
      <c r="Y1420" s="24" t="str">
        <f t="shared" si="557"/>
        <v>Ação de orientar</v>
      </c>
      <c r="Z1420" s="47" t="s">
        <v>1740</v>
      </c>
      <c r="AA1420" s="25" t="str">
        <f t="shared" si="551"/>
        <v>null</v>
      </c>
      <c r="AB1420" s="26" t="s">
        <v>0</v>
      </c>
      <c r="AC1420" s="25" t="str">
        <f t="shared" si="552"/>
        <v>null</v>
      </c>
      <c r="AD1420" s="26" t="s">
        <v>0</v>
      </c>
      <c r="AE1420" s="25" t="str">
        <f t="shared" si="532"/>
        <v>null</v>
      </c>
      <c r="AF1420" s="26" t="s">
        <v>0</v>
      </c>
      <c r="AG1420" s="47" t="s">
        <v>3098</v>
      </c>
    </row>
    <row r="1421" spans="1:33" ht="6.9" customHeight="1" x14ac:dyDescent="0.4">
      <c r="A1421" s="4">
        <f>ROW()</f>
        <v>1421</v>
      </c>
      <c r="B1421" s="9" t="s">
        <v>27</v>
      </c>
      <c r="C1421" s="54" t="str">
        <f t="shared" si="549"/>
        <v>p.pagar</v>
      </c>
      <c r="D1421" s="6" t="str">
        <f t="shared" si="531"/>
        <v>é.despesa</v>
      </c>
      <c r="E1421" s="8" t="s">
        <v>28</v>
      </c>
      <c r="F1421" s="51" t="s">
        <v>3609</v>
      </c>
      <c r="G1421" s="18" t="s">
        <v>386</v>
      </c>
      <c r="H1421" s="42" t="s">
        <v>36</v>
      </c>
      <c r="I1421" s="16" t="str">
        <f t="shared" si="550"/>
        <v>null</v>
      </c>
      <c r="J1421" s="13" t="s">
        <v>0</v>
      </c>
      <c r="K1421" s="13" t="s">
        <v>0</v>
      </c>
      <c r="L1421" s="13" t="s">
        <v>0</v>
      </c>
      <c r="M1421" s="13" t="s">
        <v>0</v>
      </c>
      <c r="N1421" s="15" t="s">
        <v>0</v>
      </c>
      <c r="O1421" s="13" t="s">
        <v>0</v>
      </c>
      <c r="P1421" s="13" t="s">
        <v>0</v>
      </c>
      <c r="Q1421" s="13" t="s">
        <v>878</v>
      </c>
      <c r="R1421" s="15" t="s">
        <v>0</v>
      </c>
      <c r="S1421" s="10" t="s">
        <v>1</v>
      </c>
      <c r="T1421" s="10" t="s">
        <v>32</v>
      </c>
      <c r="U1421" s="5" t="str">
        <f t="shared" si="554"/>
        <v>Propriedade destinada a pagar: é.despesa</v>
      </c>
      <c r="V1421" s="5" t="str">
        <f t="shared" si="555"/>
        <v>Dado para pagar:  despesa  Deve ser formatado como (xsd:double)</v>
      </c>
      <c r="W1421" s="5" t="s">
        <v>6101</v>
      </c>
      <c r="X1421" s="24" t="str">
        <f t="shared" si="556"/>
        <v>pagar.100</v>
      </c>
      <c r="Y1421" s="24" t="str">
        <f t="shared" si="557"/>
        <v>Ação de pagar</v>
      </c>
      <c r="Z1421" s="47" t="s">
        <v>1747</v>
      </c>
      <c r="AA1421" s="25" t="str">
        <f t="shared" si="551"/>
        <v>null</v>
      </c>
      <c r="AB1421" s="26" t="s">
        <v>0</v>
      </c>
      <c r="AC1421" s="25" t="str">
        <f t="shared" si="552"/>
        <v>null</v>
      </c>
      <c r="AD1421" s="26" t="s">
        <v>0</v>
      </c>
      <c r="AE1421" s="25" t="str">
        <f t="shared" si="532"/>
        <v>null</v>
      </c>
      <c r="AF1421" s="26" t="s">
        <v>0</v>
      </c>
      <c r="AG1421" s="47" t="s">
        <v>8236</v>
      </c>
    </row>
    <row r="1422" spans="1:33" ht="6.9" customHeight="1" x14ac:dyDescent="0.4">
      <c r="A1422" s="4">
        <f>ROW()</f>
        <v>1422</v>
      </c>
      <c r="B1422" s="9" t="s">
        <v>27</v>
      </c>
      <c r="C1422" s="55" t="str">
        <f t="shared" si="549"/>
        <v>p.pagar</v>
      </c>
      <c r="D1422" s="6" t="str">
        <f t="shared" si="531"/>
        <v>é.nota.fiscal</v>
      </c>
      <c r="E1422" s="8" t="s">
        <v>28</v>
      </c>
      <c r="F1422" s="42" t="str">
        <f t="shared" ref="F1422:F1438" si="558">F1421</f>
        <v>d.pagar</v>
      </c>
      <c r="G1422" s="17" t="s">
        <v>879</v>
      </c>
      <c r="H1422" s="42" t="s">
        <v>2121</v>
      </c>
      <c r="I1422" s="16" t="str">
        <f t="shared" si="55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54"/>
        <v>Propriedade destinada a pagar: é.nota.fiscal</v>
      </c>
      <c r="V1422" s="5" t="str">
        <f t="shared" si="555"/>
        <v>Dado para pagar:  nota.fiscal  Deve ser formatado como (rdfs:Literal  or  xsd:string)</v>
      </c>
      <c r="W1422" s="5" t="s">
        <v>6102</v>
      </c>
      <c r="X1422" s="24" t="str">
        <f t="shared" si="556"/>
        <v>pagar.101</v>
      </c>
      <c r="Y1422" s="24" t="str">
        <f t="shared" si="557"/>
        <v>Ação de pagar</v>
      </c>
      <c r="Z1422" s="47" t="s">
        <v>1748</v>
      </c>
      <c r="AA1422" s="25" t="str">
        <f t="shared" si="551"/>
        <v>null</v>
      </c>
      <c r="AB1422" s="26" t="s">
        <v>0</v>
      </c>
      <c r="AC1422" s="25" t="str">
        <f t="shared" si="552"/>
        <v>null</v>
      </c>
      <c r="AD1422" s="26" t="s">
        <v>0</v>
      </c>
      <c r="AE1422" s="25" t="str">
        <f t="shared" si="532"/>
        <v>null</v>
      </c>
      <c r="AF1422" s="26" t="s">
        <v>0</v>
      </c>
      <c r="AG1422" s="47" t="s">
        <v>8238</v>
      </c>
    </row>
    <row r="1423" spans="1:33" ht="6.9" customHeight="1" x14ac:dyDescent="0.4">
      <c r="A1423" s="4">
        <f>ROW()</f>
        <v>1423</v>
      </c>
      <c r="B1423" s="9" t="s">
        <v>27</v>
      </c>
      <c r="C1423" s="55" t="str">
        <f t="shared" si="549"/>
        <v>p.pagar</v>
      </c>
      <c r="D1423" s="6" t="str">
        <f t="shared" ref="D1423:D1486" si="559">_xlfn.CONCAT("é.",G1423)</f>
        <v>é.nota.fiscal.eletrônica</v>
      </c>
      <c r="E1423" s="8" t="s">
        <v>28</v>
      </c>
      <c r="F1423" s="42" t="str">
        <f t="shared" si="558"/>
        <v>d.pagar</v>
      </c>
      <c r="G1423" s="17" t="s">
        <v>880</v>
      </c>
      <c r="H1423" s="42" t="s">
        <v>2121</v>
      </c>
      <c r="I1423" s="16" t="str">
        <f t="shared" si="55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54"/>
        <v>Propriedade destinada a pagar: é.nota.fiscal.eletrônica</v>
      </c>
      <c r="V1423" s="5" t="str">
        <f t="shared" si="555"/>
        <v>Dado para pagar:  nota.fiscal.eletrônica  Deve ser formatado como (rdfs:Literal  or  xsd:string)</v>
      </c>
      <c r="W1423" s="5" t="s">
        <v>6103</v>
      </c>
      <c r="X1423" s="24" t="str">
        <f t="shared" si="556"/>
        <v>pagar.102</v>
      </c>
      <c r="Y1423" s="24" t="str">
        <f t="shared" si="557"/>
        <v>Ação de pagar</v>
      </c>
      <c r="Z1423" s="47" t="s">
        <v>1749</v>
      </c>
      <c r="AA1423" s="25" t="str">
        <f t="shared" si="551"/>
        <v>null</v>
      </c>
      <c r="AB1423" s="26" t="s">
        <v>0</v>
      </c>
      <c r="AC1423" s="25" t="str">
        <f t="shared" si="552"/>
        <v>null</v>
      </c>
      <c r="AD1423" s="26" t="s">
        <v>0</v>
      </c>
      <c r="AE1423" s="25" t="str">
        <f t="shared" ref="AE1423:AE1486" si="560">IF(AF1423="null", "null", "propriedade")</f>
        <v>null</v>
      </c>
      <c r="AF1423" s="26" t="s">
        <v>0</v>
      </c>
      <c r="AG1423" s="47" t="s">
        <v>8239</v>
      </c>
    </row>
    <row r="1424" spans="1:33" ht="6.9" customHeight="1" x14ac:dyDescent="0.4">
      <c r="A1424" s="4">
        <f>ROW()</f>
        <v>1424</v>
      </c>
      <c r="B1424" s="9" t="s">
        <v>27</v>
      </c>
      <c r="C1424" s="55" t="str">
        <f t="shared" si="549"/>
        <v>p.pagar</v>
      </c>
      <c r="D1424" s="6" t="str">
        <f t="shared" si="559"/>
        <v>é.ordem.de.compra</v>
      </c>
      <c r="E1424" s="8" t="s">
        <v>28</v>
      </c>
      <c r="F1424" s="42" t="str">
        <f t="shared" si="558"/>
        <v>d.pagar</v>
      </c>
      <c r="G1424" s="18" t="s">
        <v>881</v>
      </c>
      <c r="H1424" s="41" t="s">
        <v>2121</v>
      </c>
      <c r="I1424" s="16" t="str">
        <f t="shared" si="55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54"/>
        <v>Propriedade destinada a pagar: é.ordem.de.compra</v>
      </c>
      <c r="V1424" s="5" t="str">
        <f t="shared" si="555"/>
        <v>Dado para pagar:  ordem.de.compra  Deve ser formatado como (rdfs:Literal  or  xsd:string)</v>
      </c>
      <c r="W1424" s="5" t="s">
        <v>6104</v>
      </c>
      <c r="X1424" s="24" t="str">
        <f t="shared" si="556"/>
        <v>pagar.103</v>
      </c>
      <c r="Y1424" s="24" t="str">
        <f t="shared" si="557"/>
        <v>Ação de pagar</v>
      </c>
      <c r="Z1424" s="47" t="s">
        <v>1750</v>
      </c>
      <c r="AA1424" s="25" t="str">
        <f t="shared" si="551"/>
        <v>null</v>
      </c>
      <c r="AB1424" s="26" t="s">
        <v>0</v>
      </c>
      <c r="AC1424" s="25" t="str">
        <f t="shared" si="552"/>
        <v>null</v>
      </c>
      <c r="AD1424" s="26" t="s">
        <v>0</v>
      </c>
      <c r="AE1424" s="25" t="str">
        <f t="shared" si="560"/>
        <v>null</v>
      </c>
      <c r="AF1424" s="26" t="s">
        <v>0</v>
      </c>
      <c r="AG1424" s="47" t="s">
        <v>8240</v>
      </c>
    </row>
    <row r="1425" spans="1:33" ht="6.9" customHeight="1" x14ac:dyDescent="0.4">
      <c r="A1425" s="4">
        <f>ROW()</f>
        <v>1425</v>
      </c>
      <c r="B1425" s="9" t="s">
        <v>27</v>
      </c>
      <c r="C1425" s="55" t="str">
        <f t="shared" si="549"/>
        <v>p.pagar</v>
      </c>
      <c r="D1425" s="6" t="str">
        <f t="shared" si="559"/>
        <v>é.ordem.de.serviço</v>
      </c>
      <c r="E1425" s="8" t="s">
        <v>28</v>
      </c>
      <c r="F1425" s="42" t="str">
        <f t="shared" si="558"/>
        <v>d.pagar</v>
      </c>
      <c r="G1425" s="18" t="s">
        <v>882</v>
      </c>
      <c r="H1425" s="41" t="s">
        <v>2121</v>
      </c>
      <c r="I1425" s="16" t="str">
        <f t="shared" si="550"/>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54"/>
        <v>Propriedade destinada a pagar: é.ordem.de.serviço</v>
      </c>
      <c r="V1425" s="5" t="str">
        <f t="shared" si="555"/>
        <v>Dado para pagar:  ordem.de.serviço  Deve ser formatado como (rdfs:Literal  or  xsd:string)</v>
      </c>
      <c r="W1425" s="5" t="s">
        <v>6105</v>
      </c>
      <c r="X1425" s="24" t="str">
        <f t="shared" si="556"/>
        <v>pagar.104</v>
      </c>
      <c r="Y1425" s="24" t="str">
        <f t="shared" si="557"/>
        <v>Ação de pagar</v>
      </c>
      <c r="Z1425" s="47" t="s">
        <v>1751</v>
      </c>
      <c r="AA1425" s="25" t="str">
        <f t="shared" si="551"/>
        <v>null</v>
      </c>
      <c r="AB1425" s="26" t="s">
        <v>0</v>
      </c>
      <c r="AC1425" s="25" t="str">
        <f t="shared" si="552"/>
        <v>null</v>
      </c>
      <c r="AD1425" s="26" t="s">
        <v>0</v>
      </c>
      <c r="AE1425" s="25" t="str">
        <f t="shared" si="560"/>
        <v>null</v>
      </c>
      <c r="AF1425" s="26" t="s">
        <v>0</v>
      </c>
      <c r="AG1425" s="47" t="s">
        <v>8237</v>
      </c>
    </row>
    <row r="1426" spans="1:33" ht="6.9" customHeight="1" x14ac:dyDescent="0.4">
      <c r="A1426" s="4">
        <f>ROW()</f>
        <v>1426</v>
      </c>
      <c r="B1426" s="9" t="s">
        <v>27</v>
      </c>
      <c r="C1426" s="55" t="str">
        <f t="shared" si="549"/>
        <v>p.pagar</v>
      </c>
      <c r="D1426" s="6" t="str">
        <f t="shared" si="559"/>
        <v>é.pagado.por</v>
      </c>
      <c r="E1426" s="8" t="s">
        <v>28</v>
      </c>
      <c r="F1426" s="42" t="str">
        <f t="shared" si="558"/>
        <v>d.pagar</v>
      </c>
      <c r="G1426" s="17" t="s">
        <v>883</v>
      </c>
      <c r="H1426" s="42" t="s">
        <v>2121</v>
      </c>
      <c r="I1426" s="16" t="str">
        <f t="shared" si="55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54"/>
        <v>Propriedade destinada a pagar: é.pagado.por</v>
      </c>
      <c r="V1426" s="5" t="str">
        <f t="shared" si="555"/>
        <v>Dado para pagar:  pagado.por  Deve ser formatado como (rdfs:Literal  or  xsd:string)</v>
      </c>
      <c r="W1426" s="5" t="s">
        <v>6106</v>
      </c>
      <c r="X1426" s="24" t="str">
        <f t="shared" si="556"/>
        <v>pagar.105</v>
      </c>
      <c r="Y1426" s="24" t="str">
        <f t="shared" si="557"/>
        <v>Ação de pagar</v>
      </c>
      <c r="Z1426" s="47" t="s">
        <v>1752</v>
      </c>
      <c r="AA1426" s="25" t="str">
        <f t="shared" si="551"/>
        <v>null</v>
      </c>
      <c r="AB1426" s="26" t="s">
        <v>0</v>
      </c>
      <c r="AC1426" s="25" t="str">
        <f t="shared" si="552"/>
        <v>null</v>
      </c>
      <c r="AD1426" s="26" t="s">
        <v>0</v>
      </c>
      <c r="AE1426" s="25" t="str">
        <f t="shared" si="560"/>
        <v>null</v>
      </c>
      <c r="AF1426" s="26" t="s">
        <v>0</v>
      </c>
      <c r="AG1426" s="47" t="s">
        <v>8241</v>
      </c>
    </row>
    <row r="1427" spans="1:33" ht="6.9" customHeight="1" x14ac:dyDescent="0.4">
      <c r="A1427" s="4">
        <f>ROW()</f>
        <v>1427</v>
      </c>
      <c r="B1427" s="9" t="s">
        <v>27</v>
      </c>
      <c r="C1427" s="55" t="str">
        <f t="shared" si="549"/>
        <v>p.pagar</v>
      </c>
      <c r="D1427" s="6" t="str">
        <f t="shared" si="559"/>
        <v>é.chave.pix</v>
      </c>
      <c r="E1427" s="8" t="s">
        <v>28</v>
      </c>
      <c r="F1427" s="42" t="str">
        <f t="shared" si="558"/>
        <v>d.pagar</v>
      </c>
      <c r="G1427" s="17" t="s">
        <v>884</v>
      </c>
      <c r="H1427" s="42" t="s">
        <v>2121</v>
      </c>
      <c r="I1427" s="16" t="str">
        <f t="shared" si="550"/>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54"/>
        <v>Propriedade destinada a pagar: é.chave.pix</v>
      </c>
      <c r="V1427" s="5" t="str">
        <f t="shared" si="555"/>
        <v>Dado para pagar:  chave.pix  Deve ser formatado como (rdfs:Literal  or  xsd:string)</v>
      </c>
      <c r="W1427" s="5" t="s">
        <v>6107</v>
      </c>
      <c r="X1427" s="24" t="str">
        <f t="shared" si="556"/>
        <v>pagar.106</v>
      </c>
      <c r="Y1427" s="24" t="str">
        <f t="shared" si="557"/>
        <v>Ação de pagar</v>
      </c>
      <c r="Z1427" s="47" t="s">
        <v>1753</v>
      </c>
      <c r="AA1427" s="25" t="str">
        <f t="shared" si="551"/>
        <v>null</v>
      </c>
      <c r="AB1427" s="26" t="s">
        <v>0</v>
      </c>
      <c r="AC1427" s="25" t="str">
        <f t="shared" si="552"/>
        <v>null</v>
      </c>
      <c r="AD1427" s="26" t="s">
        <v>0</v>
      </c>
      <c r="AE1427" s="25" t="str">
        <f t="shared" si="560"/>
        <v>null</v>
      </c>
      <c r="AF1427" s="26" t="s">
        <v>0</v>
      </c>
      <c r="AG1427" s="47" t="s">
        <v>8242</v>
      </c>
    </row>
    <row r="1428" spans="1:33" ht="6.9" customHeight="1" x14ac:dyDescent="0.4">
      <c r="A1428" s="4">
        <f>ROW()</f>
        <v>1428</v>
      </c>
      <c r="B1428" s="9" t="s">
        <v>27</v>
      </c>
      <c r="C1428" s="55" t="str">
        <f t="shared" si="549"/>
        <v>p.pagar</v>
      </c>
      <c r="D1428" s="6" t="str">
        <f t="shared" si="559"/>
        <v>é.recebido.por</v>
      </c>
      <c r="E1428" s="8" t="s">
        <v>28</v>
      </c>
      <c r="F1428" s="42" t="str">
        <f t="shared" si="558"/>
        <v>d.pagar</v>
      </c>
      <c r="G1428" s="17" t="s">
        <v>885</v>
      </c>
      <c r="H1428" s="42" t="s">
        <v>2121</v>
      </c>
      <c r="I1428" s="16" t="str">
        <f t="shared" si="550"/>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54"/>
        <v>Propriedade destinada a pagar: é.recebido.por</v>
      </c>
      <c r="V1428" s="5" t="str">
        <f t="shared" si="555"/>
        <v>Dado para pagar:  recebido.por  Deve ser formatado como (rdfs:Literal  or  xsd:string)</v>
      </c>
      <c r="W1428" s="5" t="s">
        <v>6108</v>
      </c>
      <c r="X1428" s="24" t="str">
        <f t="shared" si="556"/>
        <v>pagar.107</v>
      </c>
      <c r="Y1428" s="24" t="str">
        <f t="shared" si="557"/>
        <v>Ação de pagar</v>
      </c>
      <c r="Z1428" s="47" t="s">
        <v>1754</v>
      </c>
      <c r="AA1428" s="25" t="str">
        <f t="shared" si="551"/>
        <v>null</v>
      </c>
      <c r="AB1428" s="26" t="s">
        <v>0</v>
      </c>
      <c r="AC1428" s="25" t="str">
        <f t="shared" si="552"/>
        <v>null</v>
      </c>
      <c r="AD1428" s="26" t="s">
        <v>0</v>
      </c>
      <c r="AE1428" s="25" t="str">
        <f t="shared" si="560"/>
        <v>null</v>
      </c>
      <c r="AF1428" s="26" t="s">
        <v>0</v>
      </c>
      <c r="AG1428" s="47" t="s">
        <v>8243</v>
      </c>
    </row>
    <row r="1429" spans="1:33" ht="6.9" customHeight="1" x14ac:dyDescent="0.4">
      <c r="A1429" s="4">
        <f>ROW()</f>
        <v>1429</v>
      </c>
      <c r="B1429" s="9" t="s">
        <v>27</v>
      </c>
      <c r="C1429" s="55" t="str">
        <f t="shared" si="549"/>
        <v>p.pagar</v>
      </c>
      <c r="D1429" s="6" t="str">
        <f t="shared" si="559"/>
        <v>é.receita</v>
      </c>
      <c r="E1429" s="8" t="s">
        <v>28</v>
      </c>
      <c r="F1429" s="42" t="str">
        <f t="shared" si="558"/>
        <v>d.pagar</v>
      </c>
      <c r="G1429" s="18" t="s">
        <v>385</v>
      </c>
      <c r="H1429" s="42" t="s">
        <v>36</v>
      </c>
      <c r="I1429" s="16" t="str">
        <f t="shared" si="550"/>
        <v>null</v>
      </c>
      <c r="J1429" s="13" t="s">
        <v>0</v>
      </c>
      <c r="K1429" s="13" t="s">
        <v>0</v>
      </c>
      <c r="L1429" s="13" t="s">
        <v>0</v>
      </c>
      <c r="M1429" s="13" t="s">
        <v>0</v>
      </c>
      <c r="N1429" s="15" t="s">
        <v>0</v>
      </c>
      <c r="O1429" s="13" t="s">
        <v>0</v>
      </c>
      <c r="P1429" s="13" t="s">
        <v>0</v>
      </c>
      <c r="Q1429" s="13" t="s">
        <v>886</v>
      </c>
      <c r="R1429" s="15" t="s">
        <v>0</v>
      </c>
      <c r="S1429" s="10" t="s">
        <v>1</v>
      </c>
      <c r="T1429" s="10" t="s">
        <v>32</v>
      </c>
      <c r="U1429" s="5" t="str">
        <f t="shared" si="554"/>
        <v>Propriedade destinada a pagar: é.receita</v>
      </c>
      <c r="V1429" s="5" t="str">
        <f t="shared" si="555"/>
        <v>Dado para pagar:  receita  Deve ser formatado como (xsd:double)</v>
      </c>
      <c r="W1429" s="5" t="s">
        <v>6109</v>
      </c>
      <c r="X1429" s="24" t="str">
        <f t="shared" si="556"/>
        <v>pagar.108</v>
      </c>
      <c r="Y1429" s="24" t="str">
        <f t="shared" si="557"/>
        <v>Ação de pagar</v>
      </c>
      <c r="Z1429" s="47" t="s">
        <v>1755</v>
      </c>
      <c r="AA1429" s="25" t="str">
        <f t="shared" ref="AA1429:AA1492" si="561">IF(AB1429="null", "null", "categoria.revit")</f>
        <v>null</v>
      </c>
      <c r="AB1429" s="26" t="s">
        <v>0</v>
      </c>
      <c r="AC1429" s="25" t="str">
        <f t="shared" ref="AC1429:AC1492" si="562">IF(AD1429="null", "null", "classe.ifc")</f>
        <v>null</v>
      </c>
      <c r="AD1429" s="26" t="s">
        <v>0</v>
      </c>
      <c r="AE1429" s="25" t="str">
        <f t="shared" si="560"/>
        <v>null</v>
      </c>
      <c r="AF1429" s="26" t="s">
        <v>0</v>
      </c>
      <c r="AG1429" s="47" t="s">
        <v>8244</v>
      </c>
    </row>
    <row r="1430" spans="1:33" ht="6.9" customHeight="1" x14ac:dyDescent="0.4">
      <c r="A1430" s="4">
        <f>ROW()</f>
        <v>1430</v>
      </c>
      <c r="B1430" s="9" t="s">
        <v>27</v>
      </c>
      <c r="C1430" s="55" t="str">
        <f t="shared" si="549"/>
        <v>p.pagar</v>
      </c>
      <c r="D1430" s="6" t="str">
        <f t="shared" si="559"/>
        <v>é.recibo</v>
      </c>
      <c r="E1430" s="8" t="s">
        <v>28</v>
      </c>
      <c r="F1430" s="42" t="str">
        <f t="shared" si="558"/>
        <v>d.pagar</v>
      </c>
      <c r="G1430" s="17" t="s">
        <v>256</v>
      </c>
      <c r="H1430" s="42" t="s">
        <v>36</v>
      </c>
      <c r="I1430" s="16" t="str">
        <f t="shared" si="550"/>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554"/>
        <v>Propriedade destinada a pagar: é.recibo</v>
      </c>
      <c r="V1430" s="5" t="str">
        <f t="shared" si="555"/>
        <v>Dado para pagar:  recibo  Deve ser formatado como (xsd:double)</v>
      </c>
      <c r="W1430" s="5" t="s">
        <v>6110</v>
      </c>
      <c r="X1430" s="24" t="str">
        <f t="shared" si="556"/>
        <v>pagar.109</v>
      </c>
      <c r="Y1430" s="24" t="str">
        <f t="shared" si="557"/>
        <v>Ação de pagar</v>
      </c>
      <c r="Z1430" s="47" t="s">
        <v>1756</v>
      </c>
      <c r="AA1430" s="25" t="str">
        <f t="shared" si="561"/>
        <v>null</v>
      </c>
      <c r="AB1430" s="26" t="s">
        <v>0</v>
      </c>
      <c r="AC1430" s="25" t="str">
        <f t="shared" si="562"/>
        <v>null</v>
      </c>
      <c r="AD1430" s="26" t="s">
        <v>0</v>
      </c>
      <c r="AE1430" s="25" t="str">
        <f t="shared" si="560"/>
        <v>null</v>
      </c>
      <c r="AF1430" s="26" t="s">
        <v>0</v>
      </c>
      <c r="AG1430" s="47" t="s">
        <v>8245</v>
      </c>
    </row>
    <row r="1431" spans="1:33" ht="6.9" customHeight="1" x14ac:dyDescent="0.4">
      <c r="A1431" s="4">
        <f>ROW()</f>
        <v>1431</v>
      </c>
      <c r="B1431" s="9" t="s">
        <v>27</v>
      </c>
      <c r="C1431" s="55" t="str">
        <f t="shared" si="549"/>
        <v>p.pagar</v>
      </c>
      <c r="D1431" s="6" t="str">
        <f t="shared" si="559"/>
        <v>é.tesoureiro</v>
      </c>
      <c r="E1431" s="8" t="s">
        <v>28</v>
      </c>
      <c r="F1431" s="42" t="str">
        <f t="shared" si="558"/>
        <v>d.pagar</v>
      </c>
      <c r="G1431" s="17" t="s">
        <v>6968</v>
      </c>
      <c r="H1431" s="42" t="s">
        <v>2121</v>
      </c>
      <c r="I1431" s="16" t="str">
        <f t="shared" si="550"/>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554"/>
        <v>Propriedade destinada a pagar: é.tesoureiro</v>
      </c>
      <c r="V1431" s="5" t="str">
        <f t="shared" si="555"/>
        <v>Dado para pagar:  tesoureiro  Deve ser formatado como (rdfs:Literal  or  xsd:string)</v>
      </c>
      <c r="W1431" s="5" t="s">
        <v>6111</v>
      </c>
      <c r="X1431" s="24" t="str">
        <f t="shared" si="556"/>
        <v>pagar.110</v>
      </c>
      <c r="Y1431" s="24" t="str">
        <f t="shared" si="557"/>
        <v>Ação de pagar</v>
      </c>
      <c r="Z1431" s="47" t="s">
        <v>1757</v>
      </c>
      <c r="AA1431" s="25" t="str">
        <f t="shared" si="561"/>
        <v>null</v>
      </c>
      <c r="AB1431" s="26" t="s">
        <v>0</v>
      </c>
      <c r="AC1431" s="25" t="str">
        <f t="shared" si="562"/>
        <v>null</v>
      </c>
      <c r="AD1431" s="26" t="s">
        <v>0</v>
      </c>
      <c r="AE1431" s="25" t="str">
        <f t="shared" si="560"/>
        <v>null</v>
      </c>
      <c r="AF1431" s="26" t="s">
        <v>0</v>
      </c>
      <c r="AG1431" s="47" t="s">
        <v>8246</v>
      </c>
    </row>
    <row r="1432" spans="1:33" ht="6.9" customHeight="1" x14ac:dyDescent="0.4">
      <c r="A1432" s="4">
        <f>ROW()</f>
        <v>1432</v>
      </c>
      <c r="B1432" s="9" t="s">
        <v>27</v>
      </c>
      <c r="C1432" s="55" t="str">
        <f t="shared" si="549"/>
        <v>p.pagar</v>
      </c>
      <c r="D1432" s="6" t="str">
        <f t="shared" si="559"/>
        <v>é.valor.creditado</v>
      </c>
      <c r="E1432" s="8" t="s">
        <v>28</v>
      </c>
      <c r="F1432" s="42" t="str">
        <f t="shared" si="558"/>
        <v>d.pagar</v>
      </c>
      <c r="G1432" s="17" t="s">
        <v>887</v>
      </c>
      <c r="H1432" s="42" t="s">
        <v>36</v>
      </c>
      <c r="I1432" s="16" t="str">
        <f t="shared" si="550"/>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554"/>
        <v>Propriedade destinada a pagar: é.valor.creditado</v>
      </c>
      <c r="V1432" s="5" t="str">
        <f t="shared" si="555"/>
        <v>Dado para pagar:  valor.creditado  Deve ser formatado como (xsd:double)</v>
      </c>
      <c r="W1432" s="5" t="s">
        <v>6112</v>
      </c>
      <c r="X1432" s="24" t="str">
        <f t="shared" si="556"/>
        <v>pagar.111</v>
      </c>
      <c r="Y1432" s="24" t="str">
        <f t="shared" si="557"/>
        <v>Ação de pagar</v>
      </c>
      <c r="Z1432" s="47" t="s">
        <v>1758</v>
      </c>
      <c r="AA1432" s="25" t="str">
        <f t="shared" si="561"/>
        <v>null</v>
      </c>
      <c r="AB1432" s="26" t="s">
        <v>0</v>
      </c>
      <c r="AC1432" s="25" t="str">
        <f t="shared" si="562"/>
        <v>null</v>
      </c>
      <c r="AD1432" s="26" t="s">
        <v>0</v>
      </c>
      <c r="AE1432" s="25" t="str">
        <f t="shared" si="560"/>
        <v>null</v>
      </c>
      <c r="AF1432" s="26" t="s">
        <v>0</v>
      </c>
      <c r="AG1432" s="47" t="s">
        <v>8247</v>
      </c>
    </row>
    <row r="1433" spans="1:33" ht="6.9" customHeight="1" x14ac:dyDescent="0.4">
      <c r="A1433" s="4">
        <f>ROW()</f>
        <v>1433</v>
      </c>
      <c r="B1433" s="9" t="s">
        <v>27</v>
      </c>
      <c r="C1433" s="55" t="str">
        <f t="shared" si="549"/>
        <v>p.pagar</v>
      </c>
      <c r="D1433" s="6" t="str">
        <f t="shared" si="559"/>
        <v>é.valor.debitado</v>
      </c>
      <c r="E1433" s="8" t="s">
        <v>28</v>
      </c>
      <c r="F1433" s="42" t="str">
        <f t="shared" si="558"/>
        <v>d.pagar</v>
      </c>
      <c r="G1433" s="17" t="s">
        <v>888</v>
      </c>
      <c r="H1433" s="42" t="s">
        <v>36</v>
      </c>
      <c r="I1433" s="16" t="str">
        <f t="shared" si="550"/>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54"/>
        <v>Propriedade destinada a pagar: é.valor.debitado</v>
      </c>
      <c r="V1433" s="5" t="str">
        <f t="shared" si="555"/>
        <v>Dado para pagar:  valor.debitado  Deve ser formatado como (xsd:double)</v>
      </c>
      <c r="W1433" s="5" t="s">
        <v>6113</v>
      </c>
      <c r="X1433" s="24" t="str">
        <f t="shared" si="556"/>
        <v>pagar.112</v>
      </c>
      <c r="Y1433" s="24" t="str">
        <f t="shared" si="557"/>
        <v>Ação de pagar</v>
      </c>
      <c r="Z1433" s="47" t="s">
        <v>1759</v>
      </c>
      <c r="AA1433" s="25" t="str">
        <f t="shared" si="561"/>
        <v>null</v>
      </c>
      <c r="AB1433" s="26" t="s">
        <v>0</v>
      </c>
      <c r="AC1433" s="25" t="str">
        <f t="shared" si="562"/>
        <v>null</v>
      </c>
      <c r="AD1433" s="26" t="s">
        <v>0</v>
      </c>
      <c r="AE1433" s="25" t="str">
        <f t="shared" si="560"/>
        <v>null</v>
      </c>
      <c r="AF1433" s="26" t="s">
        <v>0</v>
      </c>
      <c r="AG1433" s="47" t="s">
        <v>8249</v>
      </c>
    </row>
    <row r="1434" spans="1:33" ht="6.9" customHeight="1" x14ac:dyDescent="0.4">
      <c r="A1434" s="4">
        <f>ROW()</f>
        <v>1434</v>
      </c>
      <c r="B1434" s="9" t="s">
        <v>27</v>
      </c>
      <c r="C1434" s="55" t="str">
        <f t="shared" si="549"/>
        <v>p.pagar</v>
      </c>
      <c r="D1434" s="6" t="str">
        <f t="shared" si="559"/>
        <v>é.valor.pagamento</v>
      </c>
      <c r="E1434" s="8" t="s">
        <v>28</v>
      </c>
      <c r="F1434" s="42" t="str">
        <f t="shared" si="558"/>
        <v>d.pagar</v>
      </c>
      <c r="G1434" s="17" t="s">
        <v>889</v>
      </c>
      <c r="H1434" s="42" t="s">
        <v>36</v>
      </c>
      <c r="I1434" s="16" t="str">
        <f t="shared" si="550"/>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54"/>
        <v>Propriedade destinada a pagar: é.valor.pagamento</v>
      </c>
      <c r="V1434" s="5" t="str">
        <f t="shared" si="555"/>
        <v>Dado para pagar:  valor.pagamento  Deve ser formatado como (xsd:double)</v>
      </c>
      <c r="W1434" s="5" t="s">
        <v>6114</v>
      </c>
      <c r="X1434" s="24" t="str">
        <f t="shared" si="556"/>
        <v>pagar.113</v>
      </c>
      <c r="Y1434" s="24" t="str">
        <f t="shared" si="557"/>
        <v>Ação de pagar</v>
      </c>
      <c r="Z1434" s="47" t="s">
        <v>1760</v>
      </c>
      <c r="AA1434" s="25" t="str">
        <f t="shared" si="561"/>
        <v>null</v>
      </c>
      <c r="AB1434" s="26" t="s">
        <v>0</v>
      </c>
      <c r="AC1434" s="25" t="str">
        <f t="shared" si="562"/>
        <v>null</v>
      </c>
      <c r="AD1434" s="26" t="s">
        <v>0</v>
      </c>
      <c r="AE1434" s="25" t="str">
        <f t="shared" si="560"/>
        <v>null</v>
      </c>
      <c r="AF1434" s="26" t="s">
        <v>0</v>
      </c>
      <c r="AG1434" s="47" t="s">
        <v>8248</v>
      </c>
    </row>
    <row r="1435" spans="1:33" ht="6.9" customHeight="1" x14ac:dyDescent="0.4">
      <c r="A1435" s="4">
        <f>ROW()</f>
        <v>1435</v>
      </c>
      <c r="B1435" s="9" t="s">
        <v>27</v>
      </c>
      <c r="C1435" s="55" t="str">
        <f t="shared" si="549"/>
        <v>p.pagar</v>
      </c>
      <c r="D1435" s="6" t="str">
        <f t="shared" si="559"/>
        <v>é.valor.pix</v>
      </c>
      <c r="E1435" s="8" t="s">
        <v>28</v>
      </c>
      <c r="F1435" s="42" t="str">
        <f t="shared" si="558"/>
        <v>d.pagar</v>
      </c>
      <c r="G1435" s="17" t="s">
        <v>890</v>
      </c>
      <c r="H1435" s="42" t="s">
        <v>36</v>
      </c>
      <c r="I1435" s="16" t="str">
        <f t="shared" si="550"/>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54"/>
        <v>Propriedade destinada a pagar: é.valor.pix</v>
      </c>
      <c r="V1435" s="5" t="str">
        <f t="shared" si="555"/>
        <v>Dado para pagar:  valor.pix  Deve ser formatado como (xsd:double)</v>
      </c>
      <c r="W1435" s="5" t="s">
        <v>6115</v>
      </c>
      <c r="X1435" s="24" t="str">
        <f t="shared" si="556"/>
        <v>pagar.114</v>
      </c>
      <c r="Y1435" s="24" t="str">
        <f t="shared" si="557"/>
        <v>Ação de pagar</v>
      </c>
      <c r="Z1435" s="47" t="s">
        <v>1761</v>
      </c>
      <c r="AA1435" s="25" t="str">
        <f t="shared" si="561"/>
        <v>null</v>
      </c>
      <c r="AB1435" s="26" t="s">
        <v>0</v>
      </c>
      <c r="AC1435" s="25" t="str">
        <f t="shared" si="562"/>
        <v>null</v>
      </c>
      <c r="AD1435" s="26" t="s">
        <v>0</v>
      </c>
      <c r="AE1435" s="25" t="str">
        <f t="shared" si="560"/>
        <v>null</v>
      </c>
      <c r="AF1435" s="26" t="s">
        <v>0</v>
      </c>
      <c r="AG1435" s="47" t="s">
        <v>8250</v>
      </c>
    </row>
    <row r="1436" spans="1:33" ht="6.9" customHeight="1" x14ac:dyDescent="0.4">
      <c r="A1436" s="4">
        <f>ROW()</f>
        <v>1436</v>
      </c>
      <c r="B1436" s="9" t="s">
        <v>27</v>
      </c>
      <c r="C1436" s="55" t="str">
        <f t="shared" si="549"/>
        <v>p.pagar</v>
      </c>
      <c r="D1436" s="6" t="str">
        <f t="shared" si="559"/>
        <v>é.valor.transferido</v>
      </c>
      <c r="E1436" s="8" t="s">
        <v>28</v>
      </c>
      <c r="F1436" s="42" t="str">
        <f t="shared" si="558"/>
        <v>d.pagar</v>
      </c>
      <c r="G1436" s="17" t="s">
        <v>891</v>
      </c>
      <c r="H1436" s="42" t="s">
        <v>36</v>
      </c>
      <c r="I1436" s="16" t="str">
        <f t="shared" si="550"/>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54"/>
        <v>Propriedade destinada a pagar: é.valor.transferido</v>
      </c>
      <c r="V1436" s="5" t="str">
        <f t="shared" si="555"/>
        <v>Dado para pagar:  valor.transferido  Deve ser formatado como (xsd:double)</v>
      </c>
      <c r="W1436" s="5" t="s">
        <v>6116</v>
      </c>
      <c r="X1436" s="24" t="str">
        <f t="shared" si="556"/>
        <v>pagar.115</v>
      </c>
      <c r="Y1436" s="24" t="str">
        <f t="shared" si="557"/>
        <v>Ação de pagar</v>
      </c>
      <c r="Z1436" s="47" t="s">
        <v>1762</v>
      </c>
      <c r="AA1436" s="25" t="str">
        <f t="shared" si="561"/>
        <v>null</v>
      </c>
      <c r="AB1436" s="26" t="s">
        <v>0</v>
      </c>
      <c r="AC1436" s="25" t="str">
        <f t="shared" si="562"/>
        <v>null</v>
      </c>
      <c r="AD1436" s="26" t="s">
        <v>0</v>
      </c>
      <c r="AE1436" s="25" t="str">
        <f t="shared" si="560"/>
        <v>null</v>
      </c>
      <c r="AF1436" s="26" t="s">
        <v>0</v>
      </c>
      <c r="AG1436" s="47" t="s">
        <v>8251</v>
      </c>
    </row>
    <row r="1437" spans="1:33" ht="6.9" customHeight="1" x14ac:dyDescent="0.4">
      <c r="A1437" s="4">
        <f>ROW()</f>
        <v>1437</v>
      </c>
      <c r="B1437" s="9" t="s">
        <v>27</v>
      </c>
      <c r="C1437" s="55" t="str">
        <f t="shared" si="549"/>
        <v>p.pagar</v>
      </c>
      <c r="D1437" s="6" t="str">
        <f t="shared" si="559"/>
        <v>é.moeda.nacional</v>
      </c>
      <c r="E1437" s="8" t="s">
        <v>28</v>
      </c>
      <c r="F1437" s="42" t="str">
        <f t="shared" si="558"/>
        <v>d.pagar</v>
      </c>
      <c r="G1437" s="17" t="s">
        <v>2038</v>
      </c>
      <c r="H1437" s="42" t="s">
        <v>36</v>
      </c>
      <c r="I1437" s="16" t="str">
        <f t="shared" si="550"/>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54"/>
        <v>Propriedade destinada a pagar: é.moeda.nacional</v>
      </c>
      <c r="V1437" s="5" t="str">
        <f t="shared" si="555"/>
        <v>Dado para pagar:  moeda.nacional  Deve ser formatado como (xsd:double)</v>
      </c>
      <c r="W1437" s="5" t="s">
        <v>6117</v>
      </c>
      <c r="X1437" s="24" t="str">
        <f t="shared" si="556"/>
        <v>pagar.116</v>
      </c>
      <c r="Y1437" s="24" t="str">
        <f t="shared" si="557"/>
        <v>Ação de pagar</v>
      </c>
      <c r="Z1437" s="47" t="s">
        <v>2040</v>
      </c>
      <c r="AA1437" s="25" t="str">
        <f t="shared" si="561"/>
        <v>null</v>
      </c>
      <c r="AB1437" s="26" t="s">
        <v>0</v>
      </c>
      <c r="AC1437" s="25" t="str">
        <f t="shared" si="562"/>
        <v>null</v>
      </c>
      <c r="AD1437" s="26" t="s">
        <v>0</v>
      </c>
      <c r="AE1437" s="25" t="str">
        <f t="shared" si="560"/>
        <v>null</v>
      </c>
      <c r="AF1437" s="26" t="s">
        <v>0</v>
      </c>
      <c r="AG1437" s="47" t="s">
        <v>8252</v>
      </c>
    </row>
    <row r="1438" spans="1:33" ht="6.9" customHeight="1" x14ac:dyDescent="0.4">
      <c r="A1438" s="4">
        <f>ROW()</f>
        <v>1438</v>
      </c>
      <c r="B1438" s="9" t="s">
        <v>27</v>
      </c>
      <c r="C1438" s="55" t="str">
        <f t="shared" si="549"/>
        <v>p.pagar</v>
      </c>
      <c r="D1438" s="6" t="str">
        <f t="shared" si="559"/>
        <v>é.criptomoeda</v>
      </c>
      <c r="E1438" s="8" t="s">
        <v>28</v>
      </c>
      <c r="F1438" s="42" t="str">
        <f t="shared" si="558"/>
        <v>d.pagar</v>
      </c>
      <c r="G1438" s="17" t="s">
        <v>2039</v>
      </c>
      <c r="H1438" s="42" t="s">
        <v>36</v>
      </c>
      <c r="I1438" s="16" t="str">
        <f t="shared" si="550"/>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54"/>
        <v>Propriedade destinada a pagar: é.criptomoeda</v>
      </c>
      <c r="V1438" s="5" t="str">
        <f t="shared" si="555"/>
        <v>Dado para pagar:  criptomoeda  Deve ser formatado como (xsd:double)</v>
      </c>
      <c r="W1438" s="5" t="s">
        <v>6118</v>
      </c>
      <c r="X1438" s="24" t="str">
        <f t="shared" si="556"/>
        <v>pagar.117</v>
      </c>
      <c r="Y1438" s="24" t="str">
        <f t="shared" si="557"/>
        <v>Ação de pagar</v>
      </c>
      <c r="Z1438" s="47" t="s">
        <v>2041</v>
      </c>
      <c r="AA1438" s="25" t="str">
        <f t="shared" si="561"/>
        <v>null</v>
      </c>
      <c r="AB1438" s="26" t="s">
        <v>0</v>
      </c>
      <c r="AC1438" s="25" t="str">
        <f t="shared" si="562"/>
        <v>null</v>
      </c>
      <c r="AD1438" s="26" t="s">
        <v>0</v>
      </c>
      <c r="AE1438" s="25" t="str">
        <f t="shared" si="560"/>
        <v>null</v>
      </c>
      <c r="AF1438" s="26" t="s">
        <v>0</v>
      </c>
      <c r="AG1438" s="47" t="s">
        <v>8253</v>
      </c>
    </row>
    <row r="1439" spans="1:33" ht="6.9" customHeight="1" x14ac:dyDescent="0.4">
      <c r="A1439" s="4">
        <f>ROW()</f>
        <v>1439</v>
      </c>
      <c r="B1439" s="9" t="s">
        <v>27</v>
      </c>
      <c r="C1439" s="54" t="str">
        <f t="shared" si="549"/>
        <v>p.particionar</v>
      </c>
      <c r="D1439" s="6" t="str">
        <f t="shared" si="559"/>
        <v>é.núcleo</v>
      </c>
      <c r="E1439" s="8" t="s">
        <v>28</v>
      </c>
      <c r="F1439" s="51" t="s">
        <v>3610</v>
      </c>
      <c r="G1439" s="17" t="s">
        <v>4440</v>
      </c>
      <c r="H1439" s="42" t="s">
        <v>2121</v>
      </c>
      <c r="I1439" s="16" t="str">
        <f t="shared" si="550"/>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54"/>
        <v>Propriedade destinada a particionar: é.núcleo</v>
      </c>
      <c r="V1439" s="5" t="str">
        <f t="shared" si="555"/>
        <v>Dado para particionar:  núcleo  Deve ser formatado como (rdfs:Literal  or  xsd:string)</v>
      </c>
      <c r="W1439" s="5" t="s">
        <v>6119</v>
      </c>
      <c r="X1439" s="24" t="str">
        <f t="shared" si="556"/>
        <v>parti.100</v>
      </c>
      <c r="Y1439" s="24" t="str">
        <f t="shared" si="557"/>
        <v>Ação de particionar</v>
      </c>
      <c r="Z1439" s="47" t="s">
        <v>1763</v>
      </c>
      <c r="AA1439" s="25" t="str">
        <f t="shared" si="561"/>
        <v>categoria.revit</v>
      </c>
      <c r="AB1439" s="26" t="s">
        <v>3523</v>
      </c>
      <c r="AC1439" s="25" t="str">
        <f t="shared" si="562"/>
        <v>classe.ifc</v>
      </c>
      <c r="AD1439" s="26" t="s">
        <v>3474</v>
      </c>
      <c r="AE1439" s="25" t="str">
        <f t="shared" si="560"/>
        <v>null</v>
      </c>
      <c r="AF1439" s="26" t="s">
        <v>0</v>
      </c>
      <c r="AG1439" s="47" t="s">
        <v>8254</v>
      </c>
    </row>
    <row r="1440" spans="1:33" ht="6.9" customHeight="1" x14ac:dyDescent="0.4">
      <c r="A1440" s="4">
        <f>ROW()</f>
        <v>1440</v>
      </c>
      <c r="B1440" s="9" t="s">
        <v>27</v>
      </c>
      <c r="C1440" s="55" t="str">
        <f t="shared" si="549"/>
        <v>p.particionar</v>
      </c>
      <c r="D1440" s="6" t="str">
        <f t="shared" si="559"/>
        <v>é.chapisco</v>
      </c>
      <c r="E1440" s="8" t="s">
        <v>28</v>
      </c>
      <c r="F1440" s="42" t="str">
        <f t="shared" ref="F1440:F1446" si="563">F1439</f>
        <v>d.particionar</v>
      </c>
      <c r="G1440" s="17" t="s">
        <v>4441</v>
      </c>
      <c r="H1440" s="41" t="s">
        <v>2121</v>
      </c>
      <c r="I1440" s="16" t="str">
        <f t="shared" si="55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54"/>
        <v>Propriedade destinada a particionar: é.chapisco</v>
      </c>
      <c r="V1440" s="5" t="str">
        <f t="shared" si="555"/>
        <v>Dado para particionar:  chapisco  Deve ser formatado como (rdfs:Literal  or  xsd:string)</v>
      </c>
      <c r="W1440" s="5" t="s">
        <v>6120</v>
      </c>
      <c r="X1440" s="24" t="str">
        <f t="shared" si="556"/>
        <v>parti.101</v>
      </c>
      <c r="Y1440" s="24" t="str">
        <f t="shared" si="557"/>
        <v>Ação de particionar</v>
      </c>
      <c r="Z1440" s="47" t="s">
        <v>1764</v>
      </c>
      <c r="AA1440" s="25" t="str">
        <f t="shared" si="561"/>
        <v>categoria.revit</v>
      </c>
      <c r="AB1440" s="26" t="s">
        <v>3523</v>
      </c>
      <c r="AC1440" s="25" t="str">
        <f t="shared" si="562"/>
        <v>classe.ifc</v>
      </c>
      <c r="AD1440" s="26" t="s">
        <v>3474</v>
      </c>
      <c r="AE1440" s="25" t="str">
        <f t="shared" si="560"/>
        <v>null</v>
      </c>
      <c r="AF1440" s="26" t="s">
        <v>0</v>
      </c>
      <c r="AG1440" s="47" t="s">
        <v>8255</v>
      </c>
    </row>
    <row r="1441" spans="1:33" ht="6.9" customHeight="1" x14ac:dyDescent="0.4">
      <c r="A1441" s="4">
        <f>ROW()</f>
        <v>1441</v>
      </c>
      <c r="B1441" s="9" t="s">
        <v>27</v>
      </c>
      <c r="C1441" s="55" t="str">
        <f t="shared" si="549"/>
        <v>p.particionar</v>
      </c>
      <c r="D1441" s="6" t="str">
        <f t="shared" si="559"/>
        <v>é.emboço</v>
      </c>
      <c r="E1441" s="8" t="s">
        <v>28</v>
      </c>
      <c r="F1441" s="42" t="str">
        <f t="shared" si="563"/>
        <v>d.particionar</v>
      </c>
      <c r="G1441" s="17" t="s">
        <v>4442</v>
      </c>
      <c r="H1441" s="41" t="s">
        <v>2121</v>
      </c>
      <c r="I1441" s="16" t="str">
        <f t="shared" si="55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54"/>
        <v>Propriedade destinada a particionar: é.emboço</v>
      </c>
      <c r="V1441" s="5" t="str">
        <f t="shared" si="555"/>
        <v>Dado para particionar:  emboço  Deve ser formatado como (rdfs:Literal  or  xsd:string)</v>
      </c>
      <c r="W1441" s="5" t="s">
        <v>6121</v>
      </c>
      <c r="X1441" s="24" t="str">
        <f t="shared" si="556"/>
        <v>parti.102</v>
      </c>
      <c r="Y1441" s="24" t="str">
        <f t="shared" si="557"/>
        <v>Ação de particionar</v>
      </c>
      <c r="Z1441" s="47" t="s">
        <v>1765</v>
      </c>
      <c r="AA1441" s="25" t="str">
        <f t="shared" si="561"/>
        <v>categoria.revit</v>
      </c>
      <c r="AB1441" s="26" t="s">
        <v>3523</v>
      </c>
      <c r="AC1441" s="25" t="str">
        <f t="shared" si="562"/>
        <v>classe.ifc</v>
      </c>
      <c r="AD1441" s="26" t="s">
        <v>3474</v>
      </c>
      <c r="AE1441" s="25" t="str">
        <f t="shared" si="560"/>
        <v>null</v>
      </c>
      <c r="AF1441" s="26" t="s">
        <v>0</v>
      </c>
      <c r="AG1441" s="47" t="s">
        <v>8256</v>
      </c>
    </row>
    <row r="1442" spans="1:33" ht="6.9" customHeight="1" x14ac:dyDescent="0.4">
      <c r="A1442" s="4">
        <f>ROW()</f>
        <v>1442</v>
      </c>
      <c r="B1442" s="9" t="s">
        <v>27</v>
      </c>
      <c r="C1442" s="55" t="str">
        <f t="shared" si="549"/>
        <v>p.particionar</v>
      </c>
      <c r="D1442" s="6" t="str">
        <f t="shared" si="559"/>
        <v>é.reboco</v>
      </c>
      <c r="E1442" s="8" t="s">
        <v>28</v>
      </c>
      <c r="F1442" s="42" t="str">
        <f t="shared" si="563"/>
        <v>d.particionar</v>
      </c>
      <c r="G1442" s="17" t="s">
        <v>4443</v>
      </c>
      <c r="H1442" s="41" t="s">
        <v>2121</v>
      </c>
      <c r="I1442" s="16" t="str">
        <f t="shared" si="55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54"/>
        <v>Propriedade destinada a particionar: é.reboco</v>
      </c>
      <c r="V1442" s="5" t="str">
        <f t="shared" si="555"/>
        <v>Dado para particionar:  reboco  Deve ser formatado como (rdfs:Literal  or  xsd:string)</v>
      </c>
      <c r="W1442" s="5" t="s">
        <v>6122</v>
      </c>
      <c r="X1442" s="24" t="str">
        <f t="shared" si="556"/>
        <v>parti.103</v>
      </c>
      <c r="Y1442" s="24" t="str">
        <f t="shared" si="557"/>
        <v>Ação de particionar</v>
      </c>
      <c r="Z1442" s="47" t="s">
        <v>1765</v>
      </c>
      <c r="AA1442" s="25" t="str">
        <f t="shared" si="561"/>
        <v>categoria.revit</v>
      </c>
      <c r="AB1442" s="26" t="s">
        <v>3523</v>
      </c>
      <c r="AC1442" s="25" t="str">
        <f t="shared" si="562"/>
        <v>classe.ifc</v>
      </c>
      <c r="AD1442" s="26" t="s">
        <v>3474</v>
      </c>
      <c r="AE1442" s="25" t="str">
        <f t="shared" si="560"/>
        <v>null</v>
      </c>
      <c r="AF1442" s="26" t="s">
        <v>0</v>
      </c>
      <c r="AG1442" s="47" t="s">
        <v>8256</v>
      </c>
    </row>
    <row r="1443" spans="1:33" ht="6.9" customHeight="1" x14ac:dyDescent="0.4">
      <c r="A1443" s="4">
        <f>ROW()</f>
        <v>1443</v>
      </c>
      <c r="B1443" s="9" t="s">
        <v>27</v>
      </c>
      <c r="C1443" s="55" t="str">
        <f t="shared" si="549"/>
        <v>p.particionar</v>
      </c>
      <c r="D1443" s="6" t="str">
        <f t="shared" si="559"/>
        <v>é.membrana</v>
      </c>
      <c r="E1443" s="8" t="s">
        <v>28</v>
      </c>
      <c r="F1443" s="42" t="str">
        <f t="shared" si="563"/>
        <v>d.particionar</v>
      </c>
      <c r="G1443" s="17" t="s">
        <v>4444</v>
      </c>
      <c r="H1443" s="41" t="s">
        <v>2121</v>
      </c>
      <c r="I1443" s="16" t="str">
        <f t="shared" si="55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54"/>
        <v>Propriedade destinada a particionar: é.membrana</v>
      </c>
      <c r="V1443" s="5" t="str">
        <f t="shared" si="555"/>
        <v>Dado para particionar:  membrana  Deve ser formatado como (rdfs:Literal  or  xsd:string)</v>
      </c>
      <c r="W1443" s="5" t="s">
        <v>6123</v>
      </c>
      <c r="X1443" s="24" t="str">
        <f t="shared" si="556"/>
        <v>parti.104</v>
      </c>
      <c r="Y1443" s="24" t="str">
        <f t="shared" si="557"/>
        <v>Ação de particionar</v>
      </c>
      <c r="Z1443" s="47" t="s">
        <v>1766</v>
      </c>
      <c r="AA1443" s="25" t="str">
        <f t="shared" si="561"/>
        <v>categoria.revit</v>
      </c>
      <c r="AB1443" s="26" t="s">
        <v>3523</v>
      </c>
      <c r="AC1443" s="25" t="str">
        <f t="shared" si="562"/>
        <v>classe.ifc</v>
      </c>
      <c r="AD1443" s="26" t="s">
        <v>3474</v>
      </c>
      <c r="AE1443" s="25" t="str">
        <f t="shared" si="560"/>
        <v>null</v>
      </c>
      <c r="AF1443" s="26" t="s">
        <v>0</v>
      </c>
      <c r="AG1443" s="47" t="s">
        <v>8257</v>
      </c>
    </row>
    <row r="1444" spans="1:33" ht="6.9" customHeight="1" x14ac:dyDescent="0.4">
      <c r="A1444" s="4">
        <f>ROW()</f>
        <v>1444</v>
      </c>
      <c r="B1444" s="9" t="s">
        <v>27</v>
      </c>
      <c r="C1444" s="55" t="str">
        <f t="shared" si="549"/>
        <v>p.particionar</v>
      </c>
      <c r="D1444" s="6" t="str">
        <f t="shared" si="559"/>
        <v>é.camada.ar</v>
      </c>
      <c r="E1444" s="8" t="s">
        <v>28</v>
      </c>
      <c r="F1444" s="42" t="str">
        <f t="shared" si="563"/>
        <v>d.particionar</v>
      </c>
      <c r="G1444" s="17" t="s">
        <v>4445</v>
      </c>
      <c r="H1444" s="41" t="s">
        <v>2121</v>
      </c>
      <c r="I1444" s="16" t="str">
        <f t="shared" si="55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54"/>
        <v>Propriedade destinada a particionar: é.camada.ar</v>
      </c>
      <c r="V1444" s="5" t="str">
        <f t="shared" si="555"/>
        <v>Dado para particionar:  camada.ar  Deve ser formatado como (rdfs:Literal  or  xsd:string)</v>
      </c>
      <c r="W1444" s="5" t="s">
        <v>6124</v>
      </c>
      <c r="X1444" s="24" t="str">
        <f t="shared" si="556"/>
        <v>parti.105</v>
      </c>
      <c r="Y1444" s="24" t="str">
        <f t="shared" si="557"/>
        <v>Ação de particionar</v>
      </c>
      <c r="Z1444" s="47" t="s">
        <v>1767</v>
      </c>
      <c r="AA1444" s="25" t="str">
        <f t="shared" si="561"/>
        <v>categoria.revit</v>
      </c>
      <c r="AB1444" s="26" t="s">
        <v>3523</v>
      </c>
      <c r="AC1444" s="25" t="str">
        <f t="shared" si="562"/>
        <v>classe.ifc</v>
      </c>
      <c r="AD1444" s="26" t="s">
        <v>3474</v>
      </c>
      <c r="AE1444" s="25" t="str">
        <f t="shared" si="560"/>
        <v>null</v>
      </c>
      <c r="AF1444" s="26" t="s">
        <v>0</v>
      </c>
      <c r="AG1444" s="47" t="s">
        <v>8258</v>
      </c>
    </row>
    <row r="1445" spans="1:33" ht="6.9" customHeight="1" x14ac:dyDescent="0.4">
      <c r="A1445" s="4">
        <f>ROW()</f>
        <v>1445</v>
      </c>
      <c r="B1445" s="9" t="s">
        <v>27</v>
      </c>
      <c r="C1445" s="55" t="str">
        <f t="shared" si="549"/>
        <v>p.particionar</v>
      </c>
      <c r="D1445" s="6" t="str">
        <f t="shared" si="559"/>
        <v>é.acabamento</v>
      </c>
      <c r="E1445" s="8" t="s">
        <v>28</v>
      </c>
      <c r="F1445" s="42" t="str">
        <f t="shared" si="563"/>
        <v>d.particionar</v>
      </c>
      <c r="G1445" s="17" t="s">
        <v>127</v>
      </c>
      <c r="H1445" s="41" t="s">
        <v>2121</v>
      </c>
      <c r="I1445" s="16" t="str">
        <f t="shared" si="55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54"/>
        <v>Propriedade destinada a particionar: é.acabamento</v>
      </c>
      <c r="V1445" s="5" t="str">
        <f t="shared" si="555"/>
        <v>Dado para particionar:  acabamento  Deve ser formatado como (rdfs:Literal  or  xsd:string)</v>
      </c>
      <c r="W1445" s="5" t="s">
        <v>6125</v>
      </c>
      <c r="X1445" s="24" t="str">
        <f t="shared" si="556"/>
        <v>parti.106</v>
      </c>
      <c r="Y1445" s="24" t="str">
        <f t="shared" si="557"/>
        <v>Ação de particionar</v>
      </c>
      <c r="Z1445" s="47" t="s">
        <v>1768</v>
      </c>
      <c r="AA1445" s="25" t="str">
        <f t="shared" si="561"/>
        <v>categoria.revit</v>
      </c>
      <c r="AB1445" s="26" t="s">
        <v>3523</v>
      </c>
      <c r="AC1445" s="25" t="str">
        <f t="shared" si="562"/>
        <v>classe.ifc</v>
      </c>
      <c r="AD1445" s="26" t="s">
        <v>3475</v>
      </c>
      <c r="AE1445" s="25" t="str">
        <f t="shared" si="560"/>
        <v>null</v>
      </c>
      <c r="AF1445" s="26" t="s">
        <v>0</v>
      </c>
      <c r="AG1445" s="47" t="s">
        <v>8259</v>
      </c>
    </row>
    <row r="1446" spans="1:33" ht="6.9" customHeight="1" x14ac:dyDescent="0.4">
      <c r="A1446" s="4">
        <f>ROW()</f>
        <v>1446</v>
      </c>
      <c r="B1446" s="9" t="s">
        <v>27</v>
      </c>
      <c r="C1446" s="55" t="str">
        <f t="shared" si="549"/>
        <v>p.particionar</v>
      </c>
      <c r="D1446" s="6" t="str">
        <f t="shared" si="559"/>
        <v>é.junta.de.dilatação</v>
      </c>
      <c r="E1446" s="8" t="s">
        <v>28</v>
      </c>
      <c r="F1446" s="42" t="str">
        <f t="shared" si="563"/>
        <v>d.particionar</v>
      </c>
      <c r="G1446" s="17" t="s">
        <v>6969</v>
      </c>
      <c r="H1446" s="41" t="s">
        <v>2121</v>
      </c>
      <c r="I1446" s="16" t="str">
        <f t="shared" si="55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54"/>
        <v>Propriedade destinada a particionar: é.junta.de.dilatação</v>
      </c>
      <c r="V1446" s="5" t="str">
        <f t="shared" si="555"/>
        <v>Dado para particionar:  junta.de.dilatação  Deve ser formatado como (rdfs:Literal  or  xsd:string)</v>
      </c>
      <c r="W1446" s="5" t="s">
        <v>6126</v>
      </c>
      <c r="X1446" s="24" t="str">
        <f t="shared" si="556"/>
        <v>parti.107</v>
      </c>
      <c r="Y1446" s="24" t="str">
        <f t="shared" si="557"/>
        <v>Ação de particionar</v>
      </c>
      <c r="Z1446" s="47" t="s">
        <v>1769</v>
      </c>
      <c r="AA1446" s="25" t="str">
        <f t="shared" si="561"/>
        <v>null</v>
      </c>
      <c r="AB1446" s="26" t="s">
        <v>0</v>
      </c>
      <c r="AC1446" s="25" t="str">
        <f t="shared" si="562"/>
        <v>null</v>
      </c>
      <c r="AD1446" s="26" t="s">
        <v>0</v>
      </c>
      <c r="AE1446" s="25" t="str">
        <f t="shared" si="560"/>
        <v>null</v>
      </c>
      <c r="AF1446" s="26" t="s">
        <v>0</v>
      </c>
      <c r="AG1446" s="47" t="s">
        <v>8260</v>
      </c>
    </row>
    <row r="1447" spans="1:33" ht="6.9" customHeight="1" x14ac:dyDescent="0.4">
      <c r="A1447" s="4">
        <f>ROW()</f>
        <v>1447</v>
      </c>
      <c r="B1447" s="9" t="s">
        <v>27</v>
      </c>
      <c r="C1447" s="54" t="str">
        <f t="shared" si="549"/>
        <v>p.passar</v>
      </c>
      <c r="D1447" s="6" t="str">
        <f t="shared" si="559"/>
        <v>é.porta</v>
      </c>
      <c r="E1447" s="8" t="s">
        <v>28</v>
      </c>
      <c r="F1447" s="51" t="s">
        <v>3611</v>
      </c>
      <c r="G1447" s="17" t="s">
        <v>4446</v>
      </c>
      <c r="H1447" s="42" t="s">
        <v>2121</v>
      </c>
      <c r="I1447" s="16" t="str">
        <f t="shared" si="55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54"/>
        <v>Propriedade destinada a passar: é.porta</v>
      </c>
      <c r="V1447" s="5" t="str">
        <f t="shared" si="555"/>
        <v>Dado para passar:  porta  Deve ser formatado como (rdfs:Literal  or  xsd:string)</v>
      </c>
      <c r="W1447" s="5" t="s">
        <v>6127</v>
      </c>
      <c r="X1447" s="24" t="str">
        <f t="shared" si="556"/>
        <v>passa.100</v>
      </c>
      <c r="Y1447" s="24" t="str">
        <f t="shared" si="557"/>
        <v>Ação de passar</v>
      </c>
      <c r="Z1447" s="47" t="s">
        <v>3979</v>
      </c>
      <c r="AA1447" s="25" t="str">
        <f t="shared" si="561"/>
        <v>categoria.revit</v>
      </c>
      <c r="AB1447" s="26" t="s">
        <v>3524</v>
      </c>
      <c r="AC1447" s="25" t="str">
        <f t="shared" si="562"/>
        <v>classe.ifc</v>
      </c>
      <c r="AD1447" s="26" t="s">
        <v>3476</v>
      </c>
      <c r="AE1447" s="25" t="str">
        <f t="shared" si="560"/>
        <v>null</v>
      </c>
      <c r="AF1447" s="26" t="s">
        <v>0</v>
      </c>
      <c r="AG1447" s="47" t="s">
        <v>4039</v>
      </c>
    </row>
    <row r="1448" spans="1:33" ht="6.9" customHeight="1" x14ac:dyDescent="0.4">
      <c r="A1448" s="4">
        <f>ROW()</f>
        <v>1448</v>
      </c>
      <c r="B1448" s="9" t="s">
        <v>27</v>
      </c>
      <c r="C1448" s="55" t="str">
        <f t="shared" ref="C1448:C1467" si="564">SUBSTITUTE(F1448,"d.","p.")</f>
        <v>p.passar</v>
      </c>
      <c r="D1448" s="6" t="str">
        <f t="shared" si="559"/>
        <v>é.pass.through</v>
      </c>
      <c r="E1448" s="8" t="s">
        <v>28</v>
      </c>
      <c r="F1448" s="42" t="str">
        <f t="shared" ref="F1448:F1467" si="565">F1447</f>
        <v>d.passar</v>
      </c>
      <c r="G1448" s="17" t="s">
        <v>905</v>
      </c>
      <c r="H1448" s="41" t="s">
        <v>37</v>
      </c>
      <c r="I1448" s="16" t="str">
        <f t="shared" ref="I1448:I1467" si="566">J1448</f>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54"/>
        <v>Propriedade destinada a passar: é.pass.through</v>
      </c>
      <c r="V1448" s="5" t="str">
        <f t="shared" si="555"/>
        <v>Dado para passar:  pass.through  Deve ser formatado como (xsd:boolean)</v>
      </c>
      <c r="W1448" s="5" t="s">
        <v>6128</v>
      </c>
      <c r="X1448" s="24" t="str">
        <f t="shared" si="556"/>
        <v>passa.101</v>
      </c>
      <c r="Y1448" s="24" t="str">
        <f t="shared" si="557"/>
        <v>Ação de passar</v>
      </c>
      <c r="Z1448" s="47" t="s">
        <v>4306</v>
      </c>
      <c r="AA1448" s="25" t="str">
        <f t="shared" ref="AA1448:AA1467" si="567">IF(AB1448="null", "null", "categoria.revit")</f>
        <v>categoria.revit</v>
      </c>
      <c r="AB1448" s="26" t="s">
        <v>3524</v>
      </c>
      <c r="AC1448" s="25" t="str">
        <f t="shared" ref="AC1448:AC1467" si="568">IF(AD1448="null", "null", "classe.ifc")</f>
        <v>classe.ifc</v>
      </c>
      <c r="AD1448" s="26" t="s">
        <v>3476</v>
      </c>
      <c r="AE1448" s="25" t="str">
        <f t="shared" si="560"/>
        <v>null</v>
      </c>
      <c r="AF1448" s="26" t="s">
        <v>0</v>
      </c>
      <c r="AG1448" s="47" t="s">
        <v>8261</v>
      </c>
    </row>
    <row r="1449" spans="1:33" ht="6.9" customHeight="1" x14ac:dyDescent="0.4">
      <c r="A1449" s="4">
        <f>ROW()</f>
        <v>1449</v>
      </c>
      <c r="B1449" s="9" t="s">
        <v>27</v>
      </c>
      <c r="C1449" s="55" t="str">
        <f t="shared" si="564"/>
        <v>p.passar</v>
      </c>
      <c r="D1449" s="6" t="str">
        <f t="shared" si="559"/>
        <v>é.pass.through.de.sala.limpa</v>
      </c>
      <c r="E1449" s="8" t="s">
        <v>28</v>
      </c>
      <c r="F1449" s="42" t="str">
        <f t="shared" si="565"/>
        <v>d.passar</v>
      </c>
      <c r="G1449" s="17" t="s">
        <v>906</v>
      </c>
      <c r="H1449" s="41" t="s">
        <v>37</v>
      </c>
      <c r="I1449" s="16" t="str">
        <f t="shared" si="56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54"/>
        <v>Propriedade destinada a passar: é.pass.through.de.sala.limpa</v>
      </c>
      <c r="V1449" s="5" t="str">
        <f t="shared" si="555"/>
        <v>Dado para passar:  pass.through.de.sala.limpa  Deve ser formatado como (xsd:boolean)</v>
      </c>
      <c r="W1449" s="5" t="s">
        <v>6129</v>
      </c>
      <c r="X1449" s="24" t="str">
        <f t="shared" si="556"/>
        <v>passa.102</v>
      </c>
      <c r="Y1449" s="24" t="str">
        <f t="shared" si="557"/>
        <v>Ação de passar</v>
      </c>
      <c r="Z1449" s="47" t="s">
        <v>4307</v>
      </c>
      <c r="AA1449" s="25" t="str">
        <f t="shared" si="567"/>
        <v>categoria.revit</v>
      </c>
      <c r="AB1449" s="26" t="s">
        <v>3524</v>
      </c>
      <c r="AC1449" s="25" t="str">
        <f t="shared" si="568"/>
        <v>classe.ifc</v>
      </c>
      <c r="AD1449" s="26" t="s">
        <v>3476</v>
      </c>
      <c r="AE1449" s="25" t="str">
        <f t="shared" si="560"/>
        <v>null</v>
      </c>
      <c r="AF1449" s="26" t="s">
        <v>0</v>
      </c>
      <c r="AG1449" s="47" t="s">
        <v>8262</v>
      </c>
    </row>
    <row r="1450" spans="1:33" ht="6.9" customHeight="1" x14ac:dyDescent="0.4">
      <c r="A1450" s="4">
        <f>ROW()</f>
        <v>1450</v>
      </c>
      <c r="B1450" s="9" t="s">
        <v>27</v>
      </c>
      <c r="C1450" s="55" t="str">
        <f t="shared" si="564"/>
        <v>p.passar</v>
      </c>
      <c r="D1450" s="6" t="str">
        <f t="shared" si="559"/>
        <v>é.pass.through.de.transferência</v>
      </c>
      <c r="E1450" s="8" t="s">
        <v>28</v>
      </c>
      <c r="F1450" s="42" t="str">
        <f t="shared" si="565"/>
        <v>d.passar</v>
      </c>
      <c r="G1450" s="17" t="s">
        <v>907</v>
      </c>
      <c r="H1450" s="41" t="s">
        <v>37</v>
      </c>
      <c r="I1450" s="16" t="str">
        <f t="shared" si="56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54"/>
        <v>Propriedade destinada a passar: é.pass.through.de.transferência</v>
      </c>
      <c r="V1450" s="5" t="str">
        <f t="shared" si="555"/>
        <v>Dado para passar:  pass.through.de.transferência  Deve ser formatado como (xsd:boolean)</v>
      </c>
      <c r="W1450" s="5" t="s">
        <v>6130</v>
      </c>
      <c r="X1450" s="24" t="str">
        <f t="shared" si="556"/>
        <v>passa.103</v>
      </c>
      <c r="Y1450" s="24" t="str">
        <f t="shared" si="557"/>
        <v>Ação de passar</v>
      </c>
      <c r="Z1450" s="47" t="s">
        <v>4309</v>
      </c>
      <c r="AA1450" s="25" t="str">
        <f t="shared" si="567"/>
        <v>categoria.revit</v>
      </c>
      <c r="AB1450" s="26" t="s">
        <v>3524</v>
      </c>
      <c r="AC1450" s="25" t="str">
        <f t="shared" si="568"/>
        <v>classe.ifc</v>
      </c>
      <c r="AD1450" s="26" t="s">
        <v>3476</v>
      </c>
      <c r="AE1450" s="25" t="str">
        <f t="shared" si="560"/>
        <v>null</v>
      </c>
      <c r="AF1450" s="26" t="s">
        <v>0</v>
      </c>
      <c r="AG1450" s="47" t="s">
        <v>8263</v>
      </c>
    </row>
    <row r="1451" spans="1:33" ht="6.9" customHeight="1" x14ac:dyDescent="0.4">
      <c r="A1451" s="4">
        <f>ROW()</f>
        <v>1451</v>
      </c>
      <c r="B1451" s="9" t="s">
        <v>27</v>
      </c>
      <c r="C1451" s="55" t="str">
        <f t="shared" si="564"/>
        <v>p.passar</v>
      </c>
      <c r="D1451" s="6" t="str">
        <f t="shared" si="559"/>
        <v>é.passaprato</v>
      </c>
      <c r="E1451" s="8" t="s">
        <v>28</v>
      </c>
      <c r="F1451" s="42" t="str">
        <f t="shared" si="565"/>
        <v>d.passar</v>
      </c>
      <c r="G1451" s="17" t="s">
        <v>163</v>
      </c>
      <c r="H1451" s="41" t="s">
        <v>37</v>
      </c>
      <c r="I1451" s="16" t="str">
        <f t="shared" si="56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54"/>
        <v>Propriedade destinada a passar: é.passaprato</v>
      </c>
      <c r="V1451" s="5" t="str">
        <f t="shared" si="555"/>
        <v>Dado para passar:  passaprato  Deve ser formatado como (xsd:boolean)</v>
      </c>
      <c r="W1451" s="5" t="s">
        <v>6131</v>
      </c>
      <c r="X1451" s="24" t="str">
        <f t="shared" si="556"/>
        <v>passa.104</v>
      </c>
      <c r="Y1451" s="24" t="str">
        <f t="shared" si="557"/>
        <v>Ação de passar</v>
      </c>
      <c r="Z1451" s="47" t="s">
        <v>4308</v>
      </c>
      <c r="AA1451" s="25" t="str">
        <f t="shared" si="567"/>
        <v>categoria.revit</v>
      </c>
      <c r="AB1451" s="26" t="s">
        <v>3524</v>
      </c>
      <c r="AC1451" s="25" t="str">
        <f t="shared" si="568"/>
        <v>classe.ifc</v>
      </c>
      <c r="AD1451" s="26" t="s">
        <v>3476</v>
      </c>
      <c r="AE1451" s="25" t="str">
        <f t="shared" si="560"/>
        <v>null</v>
      </c>
      <c r="AF1451" s="26" t="s">
        <v>0</v>
      </c>
      <c r="AG1451" s="47" t="s">
        <v>8264</v>
      </c>
    </row>
    <row r="1452" spans="1:33" ht="6.9" customHeight="1" x14ac:dyDescent="0.4">
      <c r="A1452" s="4">
        <f>ROW()</f>
        <v>1452</v>
      </c>
      <c r="B1452" s="9" t="s">
        <v>27</v>
      </c>
      <c r="C1452" s="55" t="str">
        <f t="shared" si="564"/>
        <v>p.passar</v>
      </c>
      <c r="D1452" s="6" t="str">
        <f t="shared" si="559"/>
        <v>é.porta.acústica</v>
      </c>
      <c r="E1452" s="8" t="s">
        <v>28</v>
      </c>
      <c r="F1452" s="42" t="str">
        <f t="shared" si="565"/>
        <v>d.passar</v>
      </c>
      <c r="G1452" s="17" t="s">
        <v>898</v>
      </c>
      <c r="H1452" s="41" t="s">
        <v>37</v>
      </c>
      <c r="I1452" s="16" t="str">
        <f t="shared" si="56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54"/>
        <v>Propriedade destinada a passar: é.porta.acústica</v>
      </c>
      <c r="V1452" s="5" t="str">
        <f t="shared" si="555"/>
        <v>Dado para passar:  porta.acústica  Deve ser formatado como (xsd:boolean)</v>
      </c>
      <c r="W1452" s="5" t="s">
        <v>6132</v>
      </c>
      <c r="X1452" s="24" t="str">
        <f t="shared" si="556"/>
        <v>passa.105</v>
      </c>
      <c r="Y1452" s="24" t="str">
        <f t="shared" si="557"/>
        <v>Ação de passar</v>
      </c>
      <c r="Z1452" s="47" t="s">
        <v>1777</v>
      </c>
      <c r="AA1452" s="25" t="str">
        <f t="shared" si="567"/>
        <v>categoria.revit</v>
      </c>
      <c r="AB1452" s="26" t="s">
        <v>3524</v>
      </c>
      <c r="AC1452" s="25" t="str">
        <f t="shared" si="568"/>
        <v>classe.ifc</v>
      </c>
      <c r="AD1452" s="26" t="s">
        <v>3476</v>
      </c>
      <c r="AE1452" s="25" t="str">
        <f t="shared" si="560"/>
        <v>null</v>
      </c>
      <c r="AF1452" s="26" t="s">
        <v>0</v>
      </c>
      <c r="AG1452" s="47" t="s">
        <v>8265</v>
      </c>
    </row>
    <row r="1453" spans="1:33" ht="6.9" customHeight="1" x14ac:dyDescent="0.4">
      <c r="A1453" s="4">
        <f>ROW()</f>
        <v>1453</v>
      </c>
      <c r="B1453" s="9" t="s">
        <v>27</v>
      </c>
      <c r="C1453" s="55" t="str">
        <f t="shared" si="564"/>
        <v>p.passar</v>
      </c>
      <c r="D1453" s="6" t="str">
        <f t="shared" si="559"/>
        <v>é.porta.blindada</v>
      </c>
      <c r="E1453" s="8" t="s">
        <v>28</v>
      </c>
      <c r="F1453" s="42" t="str">
        <f t="shared" si="565"/>
        <v>d.passar</v>
      </c>
      <c r="G1453" s="17" t="s">
        <v>899</v>
      </c>
      <c r="H1453" s="41" t="s">
        <v>37</v>
      </c>
      <c r="I1453" s="16" t="str">
        <f t="shared" si="56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54"/>
        <v>Propriedade destinada a passar: é.porta.blindada</v>
      </c>
      <c r="V1453" s="5" t="str">
        <f t="shared" si="555"/>
        <v>Dado para passar:  porta.blindada  Deve ser formatado como (xsd:boolean)</v>
      </c>
      <c r="W1453" s="5" t="s">
        <v>6133</v>
      </c>
      <c r="X1453" s="24" t="str">
        <f t="shared" si="556"/>
        <v>passa.106</v>
      </c>
      <c r="Y1453" s="24" t="str">
        <f t="shared" si="557"/>
        <v>Ação de passar</v>
      </c>
      <c r="Z1453" s="47" t="s">
        <v>1779</v>
      </c>
      <c r="AA1453" s="25" t="str">
        <f t="shared" si="567"/>
        <v>categoria.revit</v>
      </c>
      <c r="AB1453" s="26" t="s">
        <v>3524</v>
      </c>
      <c r="AC1453" s="25" t="str">
        <f t="shared" si="568"/>
        <v>classe.ifc</v>
      </c>
      <c r="AD1453" s="26" t="s">
        <v>3476</v>
      </c>
      <c r="AE1453" s="25" t="str">
        <f t="shared" si="560"/>
        <v>null</v>
      </c>
      <c r="AF1453" s="26" t="s">
        <v>0</v>
      </c>
      <c r="AG1453" s="47" t="s">
        <v>8266</v>
      </c>
    </row>
    <row r="1454" spans="1:33" ht="6.9" customHeight="1" x14ac:dyDescent="0.4">
      <c r="A1454" s="4">
        <f>ROW()</f>
        <v>1454</v>
      </c>
      <c r="B1454" s="9" t="s">
        <v>27</v>
      </c>
      <c r="C1454" s="55" t="str">
        <f t="shared" si="564"/>
        <v>p.passar</v>
      </c>
      <c r="D1454" s="6" t="str">
        <f t="shared" si="559"/>
        <v>é.porta.com.bandeira</v>
      </c>
      <c r="E1454" s="8" t="s">
        <v>28</v>
      </c>
      <c r="F1454" s="42" t="str">
        <f t="shared" si="565"/>
        <v>d.passar</v>
      </c>
      <c r="G1454" s="17" t="s">
        <v>894</v>
      </c>
      <c r="H1454" s="41" t="s">
        <v>37</v>
      </c>
      <c r="I1454" s="16" t="str">
        <f t="shared" si="56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54"/>
        <v>Propriedade destinada a passar: é.porta.com.bandeira</v>
      </c>
      <c r="V1454" s="5" t="str">
        <f t="shared" si="555"/>
        <v>Dado para passar:  porta.com.bandeira  Deve ser formatado como (xsd:boolean)</v>
      </c>
      <c r="W1454" s="5" t="s">
        <v>6134</v>
      </c>
      <c r="X1454" s="24" t="str">
        <f t="shared" si="556"/>
        <v>passa.107</v>
      </c>
      <c r="Y1454" s="24" t="str">
        <f t="shared" si="557"/>
        <v>Ação de passar</v>
      </c>
      <c r="Z1454" s="47" t="s">
        <v>1773</v>
      </c>
      <c r="AA1454" s="25" t="str">
        <f t="shared" si="567"/>
        <v>categoria.revit</v>
      </c>
      <c r="AB1454" s="26" t="s">
        <v>3524</v>
      </c>
      <c r="AC1454" s="25" t="str">
        <f t="shared" si="568"/>
        <v>classe.ifc</v>
      </c>
      <c r="AD1454" s="26" t="s">
        <v>3476</v>
      </c>
      <c r="AE1454" s="25" t="str">
        <f t="shared" si="560"/>
        <v>null</v>
      </c>
      <c r="AF1454" s="26" t="s">
        <v>0</v>
      </c>
      <c r="AG1454" s="47" t="s">
        <v>8267</v>
      </c>
    </row>
    <row r="1455" spans="1:33" ht="6.9" customHeight="1" x14ac:dyDescent="0.4">
      <c r="A1455" s="4">
        <f>ROW()</f>
        <v>1455</v>
      </c>
      <c r="B1455" s="9" t="s">
        <v>27</v>
      </c>
      <c r="C1455" s="55" t="str">
        <f t="shared" si="564"/>
        <v>p.passar</v>
      </c>
      <c r="D1455" s="6" t="str">
        <f t="shared" si="559"/>
        <v>é.porta.com.visor</v>
      </c>
      <c r="E1455" s="8" t="s">
        <v>28</v>
      </c>
      <c r="F1455" s="42" t="str">
        <f t="shared" si="565"/>
        <v>d.passar</v>
      </c>
      <c r="G1455" s="17" t="s">
        <v>896</v>
      </c>
      <c r="H1455" s="41" t="s">
        <v>37</v>
      </c>
      <c r="I1455" s="16" t="str">
        <f t="shared" si="56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54"/>
        <v>Propriedade destinada a passar: é.porta.com.visor</v>
      </c>
      <c r="V1455" s="5" t="str">
        <f t="shared" si="555"/>
        <v>Dado para passar:  porta.com.visor  Deve ser formatado como (xsd:boolean)</v>
      </c>
      <c r="W1455" s="5" t="s">
        <v>6135</v>
      </c>
      <c r="X1455" s="24" t="str">
        <f t="shared" si="556"/>
        <v>passa.108</v>
      </c>
      <c r="Y1455" s="24" t="str">
        <f t="shared" si="557"/>
        <v>Ação de passar</v>
      </c>
      <c r="Z1455" s="47" t="s">
        <v>1775</v>
      </c>
      <c r="AA1455" s="25" t="str">
        <f t="shared" si="567"/>
        <v>categoria.revit</v>
      </c>
      <c r="AB1455" s="26" t="s">
        <v>3524</v>
      </c>
      <c r="AC1455" s="25" t="str">
        <f t="shared" si="568"/>
        <v>classe.ifc</v>
      </c>
      <c r="AD1455" s="26" t="s">
        <v>3476</v>
      </c>
      <c r="AE1455" s="25" t="str">
        <f t="shared" si="560"/>
        <v>null</v>
      </c>
      <c r="AF1455" s="26" t="s">
        <v>0</v>
      </c>
      <c r="AG1455" s="47" t="s">
        <v>8268</v>
      </c>
    </row>
    <row r="1456" spans="1:33" ht="6.9" customHeight="1" x14ac:dyDescent="0.4">
      <c r="A1456" s="4">
        <f>ROW()</f>
        <v>1456</v>
      </c>
      <c r="B1456" s="9" t="s">
        <v>27</v>
      </c>
      <c r="C1456" s="55" t="str">
        <f t="shared" si="564"/>
        <v>p.passar</v>
      </c>
      <c r="D1456" s="6" t="str">
        <f t="shared" si="559"/>
        <v>é.porta.cortafogo</v>
      </c>
      <c r="E1456" s="8" t="s">
        <v>28</v>
      </c>
      <c r="F1456" s="42" t="str">
        <f t="shared" si="565"/>
        <v>d.passar</v>
      </c>
      <c r="G1456" s="17" t="s">
        <v>897</v>
      </c>
      <c r="H1456" s="41" t="s">
        <v>37</v>
      </c>
      <c r="I1456" s="16" t="str">
        <f t="shared" si="56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54"/>
        <v>Propriedade destinada a passar: é.porta.cortafogo</v>
      </c>
      <c r="V1456" s="5" t="str">
        <f t="shared" si="555"/>
        <v>Dado para passar:  porta.cortafogo  Deve ser formatado como (xsd:boolean)</v>
      </c>
      <c r="W1456" s="5" t="s">
        <v>6136</v>
      </c>
      <c r="X1456" s="24" t="str">
        <f t="shared" si="556"/>
        <v>passa.109</v>
      </c>
      <c r="Y1456" s="24" t="str">
        <f t="shared" si="557"/>
        <v>Ação de passar</v>
      </c>
      <c r="Z1456" s="47" t="s">
        <v>1776</v>
      </c>
      <c r="AA1456" s="25" t="str">
        <f t="shared" si="567"/>
        <v>categoria.revit</v>
      </c>
      <c r="AB1456" s="26" t="s">
        <v>3524</v>
      </c>
      <c r="AC1456" s="25" t="str">
        <f t="shared" si="568"/>
        <v>classe.ifc</v>
      </c>
      <c r="AD1456" s="26" t="s">
        <v>3476</v>
      </c>
      <c r="AE1456" s="25" t="str">
        <f t="shared" si="560"/>
        <v>null</v>
      </c>
      <c r="AF1456" s="26" t="s">
        <v>0</v>
      </c>
      <c r="AG1456" s="47" t="s">
        <v>8269</v>
      </c>
    </row>
    <row r="1457" spans="1:33" ht="6.9" customHeight="1" x14ac:dyDescent="0.4">
      <c r="A1457" s="4">
        <f>ROW()</f>
        <v>1457</v>
      </c>
      <c r="B1457" s="9" t="s">
        <v>27</v>
      </c>
      <c r="C1457" s="55" t="str">
        <f t="shared" si="564"/>
        <v>p.passar</v>
      </c>
      <c r="D1457" s="6" t="str">
        <f t="shared" si="559"/>
        <v>é.porta.de.biossegurança</v>
      </c>
      <c r="E1457" s="8" t="s">
        <v>28</v>
      </c>
      <c r="F1457" s="42" t="str">
        <f t="shared" si="565"/>
        <v>d.passar</v>
      </c>
      <c r="G1457" s="17" t="s">
        <v>6970</v>
      </c>
      <c r="H1457" s="41" t="s">
        <v>37</v>
      </c>
      <c r="I1457" s="16" t="str">
        <f t="shared" si="56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54"/>
        <v>Propriedade destinada a passar: é.porta.de.biossegurança</v>
      </c>
      <c r="V1457" s="5" t="str">
        <f t="shared" si="555"/>
        <v>Dado para passar:  porta.de.biossegurança  Deve ser formatado como (xsd:boolean)</v>
      </c>
      <c r="W1457" s="5" t="s">
        <v>6137</v>
      </c>
      <c r="X1457" s="24" t="str">
        <f t="shared" si="556"/>
        <v>passa.110</v>
      </c>
      <c r="Y1457" s="24" t="str">
        <f t="shared" si="557"/>
        <v>Ação de passar</v>
      </c>
      <c r="Z1457" s="47" t="s">
        <v>1778</v>
      </c>
      <c r="AA1457" s="25" t="str">
        <f t="shared" si="567"/>
        <v>categoria.revit</v>
      </c>
      <c r="AB1457" s="26" t="s">
        <v>3524</v>
      </c>
      <c r="AC1457" s="25" t="str">
        <f t="shared" si="568"/>
        <v>classe.ifc</v>
      </c>
      <c r="AD1457" s="26" t="s">
        <v>3476</v>
      </c>
      <c r="AE1457" s="25" t="str">
        <f t="shared" si="560"/>
        <v>null</v>
      </c>
      <c r="AF1457" s="26" t="s">
        <v>0</v>
      </c>
      <c r="AG1457" s="47" t="s">
        <v>8270</v>
      </c>
    </row>
    <row r="1458" spans="1:33" ht="6.9" customHeight="1" x14ac:dyDescent="0.4">
      <c r="A1458" s="4">
        <f>ROW()</f>
        <v>1458</v>
      </c>
      <c r="B1458" s="9" t="s">
        <v>27</v>
      </c>
      <c r="C1458" s="55" t="str">
        <f t="shared" si="564"/>
        <v>p.passar</v>
      </c>
      <c r="D1458" s="6" t="str">
        <f t="shared" si="559"/>
        <v>é.porta.de.correr</v>
      </c>
      <c r="E1458" s="8" t="s">
        <v>28</v>
      </c>
      <c r="F1458" s="42" t="str">
        <f t="shared" si="565"/>
        <v>d.passar</v>
      </c>
      <c r="G1458" s="17" t="s">
        <v>895</v>
      </c>
      <c r="H1458" s="41" t="s">
        <v>37</v>
      </c>
      <c r="I1458" s="16" t="str">
        <f t="shared" si="56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54"/>
        <v>Propriedade destinada a passar: é.porta.de.correr</v>
      </c>
      <c r="V1458" s="5" t="str">
        <f t="shared" si="555"/>
        <v>Dado para passar:  porta.de.correr  Deve ser formatado como (xsd:boolean)</v>
      </c>
      <c r="W1458" s="5" t="s">
        <v>6138</v>
      </c>
      <c r="X1458" s="24" t="str">
        <f t="shared" si="556"/>
        <v>passa.111</v>
      </c>
      <c r="Y1458" s="24" t="str">
        <f t="shared" si="557"/>
        <v>Ação de passar</v>
      </c>
      <c r="Z1458" s="47" t="s">
        <v>1774</v>
      </c>
      <c r="AA1458" s="25" t="str">
        <f t="shared" si="567"/>
        <v>categoria.revit</v>
      </c>
      <c r="AB1458" s="26" t="s">
        <v>3524</v>
      </c>
      <c r="AC1458" s="25" t="str">
        <f t="shared" si="568"/>
        <v>classe.ifc</v>
      </c>
      <c r="AD1458" s="26" t="s">
        <v>3476</v>
      </c>
      <c r="AE1458" s="25" t="str">
        <f t="shared" si="560"/>
        <v>null</v>
      </c>
      <c r="AF1458" s="26" t="s">
        <v>0</v>
      </c>
      <c r="AG1458" s="47" t="s">
        <v>8271</v>
      </c>
    </row>
    <row r="1459" spans="1:33" ht="6.9" customHeight="1" x14ac:dyDescent="0.4">
      <c r="A1459" s="4">
        <f>ROW()</f>
        <v>1459</v>
      </c>
      <c r="B1459" s="9" t="s">
        <v>27</v>
      </c>
      <c r="C1459" s="55" t="str">
        <f t="shared" si="564"/>
        <v>p.passar</v>
      </c>
      <c r="D1459" s="6" t="str">
        <f t="shared" si="559"/>
        <v>é.porta.de.elevador</v>
      </c>
      <c r="E1459" s="8" t="s">
        <v>28</v>
      </c>
      <c r="F1459" s="42" t="str">
        <f t="shared" si="565"/>
        <v>d.passar</v>
      </c>
      <c r="G1459" s="17" t="s">
        <v>903</v>
      </c>
      <c r="H1459" s="41" t="s">
        <v>37</v>
      </c>
      <c r="I1459" s="16" t="str">
        <f t="shared" si="56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54"/>
        <v>Propriedade destinada a passar: é.porta.de.elevador</v>
      </c>
      <c r="V1459" s="5" t="str">
        <f t="shared" si="555"/>
        <v>Dado para passar:  porta.de.elevador  Deve ser formatado como (xsd:boolean)</v>
      </c>
      <c r="W1459" s="5" t="s">
        <v>6139</v>
      </c>
      <c r="X1459" s="24" t="str">
        <f t="shared" si="556"/>
        <v>passa.112</v>
      </c>
      <c r="Y1459" s="24" t="str">
        <f t="shared" si="557"/>
        <v>Ação de passar</v>
      </c>
      <c r="Z1459" s="47" t="s">
        <v>1784</v>
      </c>
      <c r="AA1459" s="25" t="str">
        <f t="shared" si="567"/>
        <v>categoria.revit</v>
      </c>
      <c r="AB1459" s="26" t="s">
        <v>3524</v>
      </c>
      <c r="AC1459" s="25" t="str">
        <f t="shared" si="568"/>
        <v>classe.ifc</v>
      </c>
      <c r="AD1459" s="26" t="s">
        <v>3476</v>
      </c>
      <c r="AE1459" s="25" t="str">
        <f t="shared" si="560"/>
        <v>null</v>
      </c>
      <c r="AF1459" s="26" t="s">
        <v>0</v>
      </c>
      <c r="AG1459" s="47" t="s">
        <v>8272</v>
      </c>
    </row>
    <row r="1460" spans="1:33" ht="6.9" customHeight="1" x14ac:dyDescent="0.4">
      <c r="A1460" s="4">
        <f>ROW()</f>
        <v>1460</v>
      </c>
      <c r="B1460" s="9" t="s">
        <v>27</v>
      </c>
      <c r="C1460" s="55" t="str">
        <f t="shared" si="564"/>
        <v>p.passar</v>
      </c>
      <c r="D1460" s="6" t="str">
        <f t="shared" si="559"/>
        <v>é.porta.dupla.assimétrica</v>
      </c>
      <c r="E1460" s="8" t="s">
        <v>28</v>
      </c>
      <c r="F1460" s="42" t="str">
        <f t="shared" si="565"/>
        <v>d.passar</v>
      </c>
      <c r="G1460" s="17" t="s">
        <v>6971</v>
      </c>
      <c r="H1460" s="41" t="s">
        <v>37</v>
      </c>
      <c r="I1460" s="16" t="str">
        <f t="shared" si="56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54"/>
        <v>Propriedade destinada a passar: é.porta.dupla.assimétrica</v>
      </c>
      <c r="V1460" s="5" t="str">
        <f t="shared" si="555"/>
        <v>Dado para passar:  porta.dupla.assimétrica  Deve ser formatado como (xsd:boolean)</v>
      </c>
      <c r="W1460" s="5" t="s">
        <v>6140</v>
      </c>
      <c r="X1460" s="24" t="str">
        <f t="shared" si="556"/>
        <v>passa.113</v>
      </c>
      <c r="Y1460" s="24" t="str">
        <f t="shared" si="557"/>
        <v>Ação de passar</v>
      </c>
      <c r="Z1460" s="47" t="s">
        <v>1772</v>
      </c>
      <c r="AA1460" s="25" t="str">
        <f t="shared" si="567"/>
        <v>categoria.revit</v>
      </c>
      <c r="AB1460" s="26" t="s">
        <v>3524</v>
      </c>
      <c r="AC1460" s="25" t="str">
        <f t="shared" si="568"/>
        <v>classe.ifc</v>
      </c>
      <c r="AD1460" s="26" t="s">
        <v>3476</v>
      </c>
      <c r="AE1460" s="25" t="str">
        <f t="shared" si="560"/>
        <v>null</v>
      </c>
      <c r="AF1460" s="26" t="s">
        <v>0</v>
      </c>
      <c r="AG1460" s="47" t="s">
        <v>8273</v>
      </c>
    </row>
    <row r="1461" spans="1:33" ht="6.9" customHeight="1" x14ac:dyDescent="0.4">
      <c r="A1461" s="4">
        <f>ROW()</f>
        <v>1461</v>
      </c>
      <c r="B1461" s="9" t="s">
        <v>27</v>
      </c>
      <c r="C1461" s="55" t="str">
        <f t="shared" si="564"/>
        <v>p.passar</v>
      </c>
      <c r="D1461" s="6" t="str">
        <f t="shared" si="559"/>
        <v>é.porta.dupla.simétrica</v>
      </c>
      <c r="E1461" s="8" t="s">
        <v>28</v>
      </c>
      <c r="F1461" s="42" t="str">
        <f t="shared" si="565"/>
        <v>d.passar</v>
      </c>
      <c r="G1461" s="17" t="s">
        <v>893</v>
      </c>
      <c r="H1461" s="41" t="s">
        <v>37</v>
      </c>
      <c r="I1461" s="16" t="str">
        <f t="shared" si="56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54"/>
        <v>Propriedade destinada a passar: é.porta.dupla.simétrica</v>
      </c>
      <c r="V1461" s="5" t="str">
        <f t="shared" si="555"/>
        <v>Dado para passar:  porta.dupla.simétrica  Deve ser formatado como (xsd:boolean)</v>
      </c>
      <c r="W1461" s="5" t="s">
        <v>6141</v>
      </c>
      <c r="X1461" s="24" t="str">
        <f t="shared" si="556"/>
        <v>passa.114</v>
      </c>
      <c r="Y1461" s="24" t="str">
        <f t="shared" si="557"/>
        <v>Ação de passar</v>
      </c>
      <c r="Z1461" s="47" t="s">
        <v>1771</v>
      </c>
      <c r="AA1461" s="25" t="str">
        <f t="shared" si="567"/>
        <v>categoria.revit</v>
      </c>
      <c r="AB1461" s="26" t="s">
        <v>3524</v>
      </c>
      <c r="AC1461" s="25" t="str">
        <f t="shared" si="568"/>
        <v>classe.ifc</v>
      </c>
      <c r="AD1461" s="26" t="s">
        <v>3476</v>
      </c>
      <c r="AE1461" s="25" t="str">
        <f t="shared" si="560"/>
        <v>null</v>
      </c>
      <c r="AF1461" s="26" t="s">
        <v>0</v>
      </c>
      <c r="AG1461" s="47" t="s">
        <v>8274</v>
      </c>
    </row>
    <row r="1462" spans="1:33" ht="6.9" customHeight="1" x14ac:dyDescent="0.4">
      <c r="A1462" s="4">
        <f>ROW()</f>
        <v>1462</v>
      </c>
      <c r="B1462" s="9" t="s">
        <v>27</v>
      </c>
      <c r="C1462" s="55" t="str">
        <f t="shared" si="564"/>
        <v>p.passar</v>
      </c>
      <c r="D1462" s="6" t="str">
        <f t="shared" si="559"/>
        <v>é.porta.giratória</v>
      </c>
      <c r="E1462" s="8" t="s">
        <v>28</v>
      </c>
      <c r="F1462" s="42" t="str">
        <f t="shared" si="565"/>
        <v>d.passar</v>
      </c>
      <c r="G1462" s="17" t="s">
        <v>901</v>
      </c>
      <c r="H1462" s="41" t="s">
        <v>37</v>
      </c>
      <c r="I1462" s="16" t="str">
        <f t="shared" si="56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54"/>
        <v>Propriedade destinada a passar: é.porta.giratória</v>
      </c>
      <c r="V1462" s="5" t="str">
        <f t="shared" si="555"/>
        <v>Dado para passar:  porta.giratória  Deve ser formatado como (xsd:boolean)</v>
      </c>
      <c r="W1462" s="5" t="s">
        <v>6142</v>
      </c>
      <c r="X1462" s="24" t="str">
        <f t="shared" si="556"/>
        <v>passa.115</v>
      </c>
      <c r="Y1462" s="24" t="str">
        <f t="shared" si="557"/>
        <v>Ação de passar</v>
      </c>
      <c r="Z1462" s="47" t="s">
        <v>1782</v>
      </c>
      <c r="AA1462" s="25" t="str">
        <f t="shared" si="567"/>
        <v>categoria.revit</v>
      </c>
      <c r="AB1462" s="26" t="s">
        <v>3524</v>
      </c>
      <c r="AC1462" s="25" t="str">
        <f t="shared" si="568"/>
        <v>classe.ifc</v>
      </c>
      <c r="AD1462" s="26" t="s">
        <v>3476</v>
      </c>
      <c r="AE1462" s="25" t="str">
        <f t="shared" si="560"/>
        <v>null</v>
      </c>
      <c r="AF1462" s="26" t="s">
        <v>0</v>
      </c>
      <c r="AG1462" s="47" t="s">
        <v>8275</v>
      </c>
    </row>
    <row r="1463" spans="1:33" ht="6.9" customHeight="1" x14ac:dyDescent="0.4">
      <c r="A1463" s="4">
        <f>ROW()</f>
        <v>1463</v>
      </c>
      <c r="B1463" s="9" t="s">
        <v>27</v>
      </c>
      <c r="C1463" s="55" t="str">
        <f t="shared" si="564"/>
        <v>p.passar</v>
      </c>
      <c r="D1463" s="6" t="str">
        <f t="shared" si="559"/>
        <v>é.porta.sanfonada</v>
      </c>
      <c r="E1463" s="8" t="s">
        <v>28</v>
      </c>
      <c r="F1463" s="42" t="str">
        <f t="shared" si="565"/>
        <v>d.passar</v>
      </c>
      <c r="G1463" s="17" t="s">
        <v>902</v>
      </c>
      <c r="H1463" s="41" t="s">
        <v>37</v>
      </c>
      <c r="I1463" s="16" t="str">
        <f t="shared" si="56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54"/>
        <v>Propriedade destinada a passar: é.porta.sanfonada</v>
      </c>
      <c r="V1463" s="5" t="str">
        <f t="shared" si="555"/>
        <v>Dado para passar:  porta.sanfonada  Deve ser formatado como (xsd:boolean)</v>
      </c>
      <c r="W1463" s="5" t="s">
        <v>6143</v>
      </c>
      <c r="X1463" s="24" t="str">
        <f t="shared" si="556"/>
        <v>passa.116</v>
      </c>
      <c r="Y1463" s="24" t="str">
        <f t="shared" si="557"/>
        <v>Ação de passar</v>
      </c>
      <c r="Z1463" s="47" t="s">
        <v>1783</v>
      </c>
      <c r="AA1463" s="25" t="str">
        <f t="shared" si="567"/>
        <v>categoria.revit</v>
      </c>
      <c r="AB1463" s="26" t="s">
        <v>3524</v>
      </c>
      <c r="AC1463" s="25" t="str">
        <f t="shared" si="568"/>
        <v>classe.ifc</v>
      </c>
      <c r="AD1463" s="26" t="s">
        <v>3476</v>
      </c>
      <c r="AE1463" s="25" t="str">
        <f t="shared" si="560"/>
        <v>null</v>
      </c>
      <c r="AF1463" s="26" t="s">
        <v>0</v>
      </c>
      <c r="AG1463" s="47" t="s">
        <v>8276</v>
      </c>
    </row>
    <row r="1464" spans="1:33" ht="6.9" customHeight="1" x14ac:dyDescent="0.4">
      <c r="A1464" s="4">
        <f>ROW()</f>
        <v>1464</v>
      </c>
      <c r="B1464" s="9" t="s">
        <v>27</v>
      </c>
      <c r="C1464" s="55" t="str">
        <f t="shared" si="564"/>
        <v>p.passar</v>
      </c>
      <c r="D1464" s="6" t="str">
        <f t="shared" si="559"/>
        <v>é.porta.seccional</v>
      </c>
      <c r="E1464" s="8" t="s">
        <v>28</v>
      </c>
      <c r="F1464" s="42" t="str">
        <f t="shared" si="565"/>
        <v>d.passar</v>
      </c>
      <c r="G1464" s="17" t="s">
        <v>904</v>
      </c>
      <c r="H1464" s="41" t="s">
        <v>37</v>
      </c>
      <c r="I1464" s="16" t="str">
        <f t="shared" si="56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54"/>
        <v>Propriedade destinada a passar: é.porta.seccional</v>
      </c>
      <c r="V1464" s="5" t="str">
        <f t="shared" si="555"/>
        <v>Dado para passar:  porta.seccional  Deve ser formatado como (xsd:boolean)</v>
      </c>
      <c r="W1464" s="5" t="s">
        <v>6144</v>
      </c>
      <c r="X1464" s="24" t="str">
        <f t="shared" si="556"/>
        <v>passa.117</v>
      </c>
      <c r="Y1464" s="24" t="str">
        <f t="shared" si="557"/>
        <v>Ação de passar</v>
      </c>
      <c r="Z1464" s="47" t="s">
        <v>1785</v>
      </c>
      <c r="AA1464" s="25" t="str">
        <f t="shared" si="567"/>
        <v>categoria.revit</v>
      </c>
      <c r="AB1464" s="26" t="s">
        <v>3524</v>
      </c>
      <c r="AC1464" s="25" t="str">
        <f t="shared" si="568"/>
        <v>classe.ifc</v>
      </c>
      <c r="AD1464" s="26" t="s">
        <v>3476</v>
      </c>
      <c r="AE1464" s="25" t="str">
        <f t="shared" si="560"/>
        <v>null</v>
      </c>
      <c r="AF1464" s="26" t="s">
        <v>0</v>
      </c>
      <c r="AG1464" s="47" t="s">
        <v>8277</v>
      </c>
    </row>
    <row r="1465" spans="1:33" ht="6.9" customHeight="1" x14ac:dyDescent="0.4">
      <c r="A1465" s="4">
        <f>ROW()</f>
        <v>1465</v>
      </c>
      <c r="B1465" s="9" t="s">
        <v>27</v>
      </c>
      <c r="C1465" s="55" t="str">
        <f t="shared" si="564"/>
        <v>p.passar</v>
      </c>
      <c r="D1465" s="6" t="str">
        <f t="shared" si="559"/>
        <v>é.porta.simples</v>
      </c>
      <c r="E1465" s="8" t="s">
        <v>28</v>
      </c>
      <c r="F1465" s="42" t="str">
        <f t="shared" si="565"/>
        <v>d.passar</v>
      </c>
      <c r="G1465" s="17" t="s">
        <v>892</v>
      </c>
      <c r="H1465" s="41" t="s">
        <v>37</v>
      </c>
      <c r="I1465" s="16" t="str">
        <f t="shared" si="56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54"/>
        <v>Propriedade destinada a passar: é.porta.simples</v>
      </c>
      <c r="V1465" s="5" t="str">
        <f t="shared" si="555"/>
        <v>Dado para passar:  porta.simples  Deve ser formatado como (xsd:boolean)</v>
      </c>
      <c r="W1465" s="5" t="s">
        <v>6145</v>
      </c>
      <c r="X1465" s="24" t="str">
        <f t="shared" si="556"/>
        <v>passa.118</v>
      </c>
      <c r="Y1465" s="24" t="str">
        <f t="shared" si="557"/>
        <v>Ação de passar</v>
      </c>
      <c r="Z1465" s="47" t="s">
        <v>1770</v>
      </c>
      <c r="AA1465" s="25" t="str">
        <f t="shared" si="567"/>
        <v>categoria.revit</v>
      </c>
      <c r="AB1465" s="26" t="s">
        <v>3524</v>
      </c>
      <c r="AC1465" s="25" t="str">
        <f t="shared" si="568"/>
        <v>classe.ifc</v>
      </c>
      <c r="AD1465" s="26" t="s">
        <v>3476</v>
      </c>
      <c r="AE1465" s="25" t="str">
        <f t="shared" si="560"/>
        <v>null</v>
      </c>
      <c r="AF1465" s="26" t="s">
        <v>0</v>
      </c>
      <c r="AG1465" s="47" t="s">
        <v>8278</v>
      </c>
    </row>
    <row r="1466" spans="1:33" ht="6.9" customHeight="1" x14ac:dyDescent="0.4">
      <c r="A1466" s="4">
        <f>ROW()</f>
        <v>1466</v>
      </c>
      <c r="B1466" s="9" t="s">
        <v>27</v>
      </c>
      <c r="C1466" s="55" t="str">
        <f t="shared" si="564"/>
        <v>p.passar</v>
      </c>
      <c r="D1466" s="6" t="str">
        <f t="shared" si="559"/>
        <v>é.porta.vaivém</v>
      </c>
      <c r="E1466" s="8" t="s">
        <v>28</v>
      </c>
      <c r="F1466" s="42" t="str">
        <f t="shared" si="565"/>
        <v>d.passar</v>
      </c>
      <c r="G1466" s="17" t="s">
        <v>6972</v>
      </c>
      <c r="H1466" s="41" t="s">
        <v>37</v>
      </c>
      <c r="I1466" s="16" t="str">
        <f t="shared" si="56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54"/>
        <v>Propriedade destinada a passar: é.porta.vaivém</v>
      </c>
      <c r="V1466" s="5" t="str">
        <f t="shared" si="555"/>
        <v>Dado para passar:  porta.vaivém  Deve ser formatado como (xsd:boolean)</v>
      </c>
      <c r="W1466" s="5" t="s">
        <v>6973</v>
      </c>
      <c r="X1466" s="24" t="str">
        <f t="shared" si="556"/>
        <v>passa.119</v>
      </c>
      <c r="Y1466" s="24" t="str">
        <f t="shared" si="557"/>
        <v>Ação de passar</v>
      </c>
      <c r="Z1466" s="47" t="s">
        <v>1781</v>
      </c>
      <c r="AA1466" s="25" t="str">
        <f t="shared" si="567"/>
        <v>categoria.revit</v>
      </c>
      <c r="AB1466" s="26" t="s">
        <v>3524</v>
      </c>
      <c r="AC1466" s="25" t="str">
        <f t="shared" si="568"/>
        <v>classe.ifc</v>
      </c>
      <c r="AD1466" s="26" t="s">
        <v>3476</v>
      </c>
      <c r="AE1466" s="25" t="str">
        <f t="shared" si="560"/>
        <v>null</v>
      </c>
      <c r="AF1466" s="26" t="s">
        <v>0</v>
      </c>
      <c r="AG1466" s="47" t="s">
        <v>8279</v>
      </c>
    </row>
    <row r="1467" spans="1:33" ht="6.9" customHeight="1" x14ac:dyDescent="0.4">
      <c r="A1467" s="4">
        <f>ROW()</f>
        <v>1467</v>
      </c>
      <c r="B1467" s="9" t="s">
        <v>27</v>
      </c>
      <c r="C1467" s="55" t="str">
        <f t="shared" si="564"/>
        <v>p.passar</v>
      </c>
      <c r="D1467" s="6" t="str">
        <f t="shared" si="559"/>
        <v>é.porta.ventilada</v>
      </c>
      <c r="E1467" s="8" t="s">
        <v>28</v>
      </c>
      <c r="F1467" s="42" t="str">
        <f t="shared" si="565"/>
        <v>d.passar</v>
      </c>
      <c r="G1467" s="17" t="s">
        <v>900</v>
      </c>
      <c r="H1467" s="41" t="s">
        <v>37</v>
      </c>
      <c r="I1467" s="16" t="str">
        <f t="shared" si="56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54"/>
        <v>Propriedade destinada a passar: é.porta.ventilada</v>
      </c>
      <c r="V1467" s="5" t="str">
        <f t="shared" si="555"/>
        <v>Dado para passar:  porta.ventilada  Deve ser formatado como (xsd:boolean)</v>
      </c>
      <c r="W1467" s="5" t="s">
        <v>6146</v>
      </c>
      <c r="X1467" s="24" t="str">
        <f t="shared" si="556"/>
        <v>passa.120</v>
      </c>
      <c r="Y1467" s="24" t="str">
        <f t="shared" si="557"/>
        <v>Ação de passar</v>
      </c>
      <c r="Z1467" s="47" t="s">
        <v>1780</v>
      </c>
      <c r="AA1467" s="25" t="str">
        <f t="shared" si="567"/>
        <v>categoria.revit</v>
      </c>
      <c r="AB1467" s="26" t="s">
        <v>3524</v>
      </c>
      <c r="AC1467" s="25" t="str">
        <f t="shared" si="568"/>
        <v>classe.ifc</v>
      </c>
      <c r="AD1467" s="26" t="s">
        <v>3476</v>
      </c>
      <c r="AE1467" s="25" t="str">
        <f t="shared" si="560"/>
        <v>null</v>
      </c>
      <c r="AF1467" s="26" t="s">
        <v>0</v>
      </c>
      <c r="AG1467" s="47" t="s">
        <v>8280</v>
      </c>
    </row>
    <row r="1468" spans="1:33" ht="6.9" customHeight="1" x14ac:dyDescent="0.4">
      <c r="A1468" s="4">
        <f>ROW()</f>
        <v>1468</v>
      </c>
      <c r="B1468" s="9" t="s">
        <v>27</v>
      </c>
      <c r="C1468" s="54" t="str">
        <f t="shared" ref="C1468:C1506" si="569">SUBSTITUTE(F1468,"d.","p.")</f>
        <v>p.perfilar</v>
      </c>
      <c r="D1468" s="6" t="str">
        <f t="shared" si="559"/>
        <v>é.perfil</v>
      </c>
      <c r="E1468" s="8" t="s">
        <v>28</v>
      </c>
      <c r="F1468" s="50" t="s">
        <v>3612</v>
      </c>
      <c r="G1468" s="18" t="s">
        <v>4447</v>
      </c>
      <c r="H1468" s="42" t="s">
        <v>2121</v>
      </c>
      <c r="I1468" s="16" t="str">
        <f t="shared" ref="I1468:I1506" si="570">J1468</f>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554"/>
        <v>Propriedade destinada a perfilar: é.perfil</v>
      </c>
      <c r="V1468" s="5" t="str">
        <f t="shared" si="555"/>
        <v>Dado para perfilar:  perfil  Deve ser formatado como (rdfs:Literal  or  xsd:string)</v>
      </c>
      <c r="W1468" s="5" t="s">
        <v>6147</v>
      </c>
      <c r="X1468" s="24" t="str">
        <f t="shared" si="556"/>
        <v>perfi.100</v>
      </c>
      <c r="Y1468" s="24" t="str">
        <f t="shared" si="557"/>
        <v>Ação de perfilar</v>
      </c>
      <c r="Z1468" s="47" t="s">
        <v>3980</v>
      </c>
      <c r="AA1468" s="25" t="str">
        <f t="shared" si="561"/>
        <v>null</v>
      </c>
      <c r="AB1468" s="26" t="s">
        <v>0</v>
      </c>
      <c r="AC1468" s="25" t="str">
        <f t="shared" si="562"/>
        <v>null</v>
      </c>
      <c r="AD1468" s="26" t="s">
        <v>0</v>
      </c>
      <c r="AE1468" s="25" t="str">
        <f t="shared" si="560"/>
        <v>null</v>
      </c>
      <c r="AF1468" s="26" t="s">
        <v>0</v>
      </c>
      <c r="AG1468" s="47" t="s">
        <v>4040</v>
      </c>
    </row>
    <row r="1469" spans="1:33" ht="6.9" customHeight="1" x14ac:dyDescent="0.4">
      <c r="A1469" s="4">
        <f>ROW()</f>
        <v>1469</v>
      </c>
      <c r="B1469" s="9" t="s">
        <v>27</v>
      </c>
      <c r="C1469" s="55" t="str">
        <f t="shared" si="569"/>
        <v>p.perfilar</v>
      </c>
      <c r="D1469" s="6" t="str">
        <f t="shared" si="559"/>
        <v>é.perfil.circular</v>
      </c>
      <c r="E1469" s="8" t="s">
        <v>28</v>
      </c>
      <c r="F1469" s="42" t="str">
        <f t="shared" ref="F1469:F1480" si="571">F1468</f>
        <v>d.perfilar</v>
      </c>
      <c r="G1469" s="18" t="s">
        <v>908</v>
      </c>
      <c r="H1469" s="42" t="s">
        <v>2121</v>
      </c>
      <c r="I1469" s="16" t="str">
        <f t="shared" si="57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554"/>
        <v>Propriedade destinada a perfilar: é.perfil.circular</v>
      </c>
      <c r="V1469" s="5" t="str">
        <f t="shared" si="555"/>
        <v>Dado para perfilar:  perfil.circular  Deve ser formatado como (rdfs:Literal  or  xsd:string)</v>
      </c>
      <c r="W1469" s="5" t="s">
        <v>6148</v>
      </c>
      <c r="X1469" s="24" t="str">
        <f t="shared" si="556"/>
        <v>perfi.101</v>
      </c>
      <c r="Y1469" s="24" t="str">
        <f t="shared" si="557"/>
        <v>Ação de perfilar</v>
      </c>
      <c r="Z1469" s="47" t="s">
        <v>7040</v>
      </c>
      <c r="AA1469" s="25" t="str">
        <f t="shared" si="561"/>
        <v>null</v>
      </c>
      <c r="AB1469" s="26" t="s">
        <v>0</v>
      </c>
      <c r="AC1469" s="25" t="str">
        <f t="shared" si="562"/>
        <v>null</v>
      </c>
      <c r="AD1469" s="26" t="s">
        <v>0</v>
      </c>
      <c r="AE1469" s="25" t="str">
        <f t="shared" si="560"/>
        <v>null</v>
      </c>
      <c r="AF1469" s="26" t="s">
        <v>0</v>
      </c>
      <c r="AG1469" s="47" t="s">
        <v>4317</v>
      </c>
    </row>
    <row r="1470" spans="1:33" ht="6.9" customHeight="1" x14ac:dyDescent="0.4">
      <c r="A1470" s="4">
        <f>ROW()</f>
        <v>1470</v>
      </c>
      <c r="B1470" s="9" t="s">
        <v>27</v>
      </c>
      <c r="C1470" s="55" t="str">
        <f t="shared" si="569"/>
        <v>p.perfilar</v>
      </c>
      <c r="D1470" s="6" t="str">
        <f t="shared" si="559"/>
        <v>é.perfil.elíptico</v>
      </c>
      <c r="E1470" s="8" t="s">
        <v>28</v>
      </c>
      <c r="F1470" s="42" t="str">
        <f t="shared" si="571"/>
        <v>d.perfilar</v>
      </c>
      <c r="G1470" s="18" t="s">
        <v>909</v>
      </c>
      <c r="H1470" s="42" t="s">
        <v>2121</v>
      </c>
      <c r="I1470" s="16" t="str">
        <f t="shared" si="570"/>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554"/>
        <v>Propriedade destinada a perfilar: é.perfil.elíptico</v>
      </c>
      <c r="V1470" s="5" t="str">
        <f t="shared" si="555"/>
        <v>Dado para perfilar:  perfil.elíptico  Deve ser formatado como (rdfs:Literal  or  xsd:string)</v>
      </c>
      <c r="W1470" s="5" t="s">
        <v>6149</v>
      </c>
      <c r="X1470" s="24" t="str">
        <f t="shared" si="556"/>
        <v>perfi.102</v>
      </c>
      <c r="Y1470" s="24" t="str">
        <f t="shared" si="557"/>
        <v>Ação de perfilar</v>
      </c>
      <c r="Z1470" s="47" t="s">
        <v>4324</v>
      </c>
      <c r="AA1470" s="25" t="str">
        <f t="shared" si="561"/>
        <v>null</v>
      </c>
      <c r="AB1470" s="26" t="s">
        <v>0</v>
      </c>
      <c r="AC1470" s="25" t="str">
        <f t="shared" si="562"/>
        <v>null</v>
      </c>
      <c r="AD1470" s="26" t="s">
        <v>0</v>
      </c>
      <c r="AE1470" s="25" t="str">
        <f t="shared" si="560"/>
        <v>null</v>
      </c>
      <c r="AF1470" s="26" t="s">
        <v>0</v>
      </c>
      <c r="AG1470" s="47" t="s">
        <v>4836</v>
      </c>
    </row>
    <row r="1471" spans="1:33" ht="6.9" customHeight="1" x14ac:dyDescent="0.4">
      <c r="A1471" s="4">
        <f>ROW()</f>
        <v>1471</v>
      </c>
      <c r="B1471" s="9" t="s">
        <v>27</v>
      </c>
      <c r="C1471" s="55" t="str">
        <f t="shared" si="569"/>
        <v>p.perfilar</v>
      </c>
      <c r="D1471" s="6" t="str">
        <f t="shared" si="559"/>
        <v>é.perfil.estrela</v>
      </c>
      <c r="E1471" s="8" t="s">
        <v>28</v>
      </c>
      <c r="F1471" s="42" t="str">
        <f t="shared" si="571"/>
        <v>d.perfilar</v>
      </c>
      <c r="G1471" s="18" t="s">
        <v>910</v>
      </c>
      <c r="H1471" s="42" t="s">
        <v>2121</v>
      </c>
      <c r="I1471" s="16" t="str">
        <f t="shared" si="57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554"/>
        <v>Propriedade destinada a perfilar: é.perfil.estrela</v>
      </c>
      <c r="V1471" s="5" t="str">
        <f t="shared" si="555"/>
        <v>Dado para perfilar:  perfil.estrela  Deve ser formatado como (rdfs:Literal  or  xsd:string)</v>
      </c>
      <c r="W1471" s="5" t="s">
        <v>6150</v>
      </c>
      <c r="X1471" s="24" t="str">
        <f t="shared" si="556"/>
        <v>perfi.103</v>
      </c>
      <c r="Y1471" s="24" t="str">
        <f t="shared" si="557"/>
        <v>Ação de perfilar</v>
      </c>
      <c r="Z1471" s="47" t="s">
        <v>4319</v>
      </c>
      <c r="AA1471" s="25" t="str">
        <f t="shared" si="561"/>
        <v>null</v>
      </c>
      <c r="AB1471" s="26" t="s">
        <v>0</v>
      </c>
      <c r="AC1471" s="25" t="str">
        <f t="shared" si="562"/>
        <v>null</v>
      </c>
      <c r="AD1471" s="26" t="s">
        <v>0</v>
      </c>
      <c r="AE1471" s="25" t="str">
        <f t="shared" si="560"/>
        <v>null</v>
      </c>
      <c r="AF1471" s="26" t="s">
        <v>0</v>
      </c>
      <c r="AG1471" s="47" t="s">
        <v>4310</v>
      </c>
    </row>
    <row r="1472" spans="1:33" ht="6.9" customHeight="1" x14ac:dyDescent="0.4">
      <c r="A1472" s="4">
        <f>ROW()</f>
        <v>1472</v>
      </c>
      <c r="B1472" s="9" t="s">
        <v>27</v>
      </c>
      <c r="C1472" s="55" t="str">
        <f t="shared" si="569"/>
        <v>p.perfilar</v>
      </c>
      <c r="D1472" s="6" t="str">
        <f t="shared" si="559"/>
        <v>é.perfil.fractal</v>
      </c>
      <c r="E1472" s="8" t="s">
        <v>28</v>
      </c>
      <c r="F1472" s="42" t="str">
        <f t="shared" si="571"/>
        <v>d.perfilar</v>
      </c>
      <c r="G1472" s="18" t="s">
        <v>911</v>
      </c>
      <c r="H1472" s="42" t="s">
        <v>2121</v>
      </c>
      <c r="I1472" s="16" t="str">
        <f t="shared" si="57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554"/>
        <v>Propriedade destinada a perfilar: é.perfil.fractal</v>
      </c>
      <c r="V1472" s="5" t="str">
        <f t="shared" si="555"/>
        <v>Dado para perfilar:  perfil.fractal  Deve ser formatado como (rdfs:Literal  or  xsd:string)</v>
      </c>
      <c r="W1472" s="5" t="s">
        <v>6151</v>
      </c>
      <c r="X1472" s="24" t="str">
        <f t="shared" si="556"/>
        <v>perfi.104</v>
      </c>
      <c r="Y1472" s="24" t="str">
        <f t="shared" si="557"/>
        <v>Ação de perfilar</v>
      </c>
      <c r="Z1472" s="47" t="s">
        <v>4325</v>
      </c>
      <c r="AA1472" s="25" t="str">
        <f t="shared" si="561"/>
        <v>null</v>
      </c>
      <c r="AB1472" s="26" t="s">
        <v>0</v>
      </c>
      <c r="AC1472" s="25" t="str">
        <f t="shared" si="562"/>
        <v>null</v>
      </c>
      <c r="AD1472" s="26" t="s">
        <v>0</v>
      </c>
      <c r="AE1472" s="25" t="str">
        <f t="shared" si="560"/>
        <v>null</v>
      </c>
      <c r="AF1472" s="26" t="s">
        <v>0</v>
      </c>
      <c r="AG1472" s="47" t="s">
        <v>4315</v>
      </c>
    </row>
    <row r="1473" spans="1:33" ht="6.9" customHeight="1" x14ac:dyDescent="0.4">
      <c r="A1473" s="4">
        <f>ROW()</f>
        <v>1473</v>
      </c>
      <c r="B1473" s="9" t="s">
        <v>27</v>
      </c>
      <c r="C1473" s="55" t="str">
        <f t="shared" si="569"/>
        <v>p.perfilar</v>
      </c>
      <c r="D1473" s="6" t="str">
        <f t="shared" si="559"/>
        <v>é.perfil.orgânico</v>
      </c>
      <c r="E1473" s="8" t="s">
        <v>28</v>
      </c>
      <c r="F1473" s="42" t="str">
        <f t="shared" si="571"/>
        <v>d.perfilar</v>
      </c>
      <c r="G1473" s="18" t="s">
        <v>6974</v>
      </c>
      <c r="H1473" s="42" t="s">
        <v>2121</v>
      </c>
      <c r="I1473" s="16" t="str">
        <f t="shared" si="570"/>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554"/>
        <v>Propriedade destinada a perfilar: é.perfil.orgânico</v>
      </c>
      <c r="V1473" s="5" t="str">
        <f t="shared" si="555"/>
        <v>Dado para perfilar:  perfil.orgânico  Deve ser formatado como (rdfs:Literal  or  xsd:string)</v>
      </c>
      <c r="W1473" s="5" t="s">
        <v>6152</v>
      </c>
      <c r="X1473" s="24" t="str">
        <f t="shared" si="556"/>
        <v>perfi.105</v>
      </c>
      <c r="Y1473" s="24" t="str">
        <f t="shared" si="557"/>
        <v>Ação de perfilar</v>
      </c>
      <c r="Z1473" s="47" t="s">
        <v>4326</v>
      </c>
      <c r="AA1473" s="25" t="str">
        <f t="shared" si="561"/>
        <v>null</v>
      </c>
      <c r="AB1473" s="26" t="s">
        <v>0</v>
      </c>
      <c r="AC1473" s="25" t="str">
        <f t="shared" si="562"/>
        <v>null</v>
      </c>
      <c r="AD1473" s="26" t="s">
        <v>0</v>
      </c>
      <c r="AE1473" s="25" t="str">
        <f t="shared" si="560"/>
        <v>null</v>
      </c>
      <c r="AF1473" s="26" t="s">
        <v>0</v>
      </c>
      <c r="AG1473" s="47" t="s">
        <v>4316</v>
      </c>
    </row>
    <row r="1474" spans="1:33" ht="6.9" customHeight="1" x14ac:dyDescent="0.4">
      <c r="A1474" s="4">
        <f>ROW()</f>
        <v>1474</v>
      </c>
      <c r="B1474" s="9" t="s">
        <v>27</v>
      </c>
      <c r="C1474" s="55" t="str">
        <f t="shared" si="569"/>
        <v>p.perfilar</v>
      </c>
      <c r="D1474" s="6" t="str">
        <f t="shared" si="559"/>
        <v>é.perfil.poligonal</v>
      </c>
      <c r="E1474" s="8" t="s">
        <v>28</v>
      </c>
      <c r="F1474" s="42" t="str">
        <f t="shared" si="571"/>
        <v>d.perfilar</v>
      </c>
      <c r="G1474" s="18" t="s">
        <v>912</v>
      </c>
      <c r="H1474" s="42" t="s">
        <v>2121</v>
      </c>
      <c r="I1474" s="16" t="str">
        <f t="shared" si="570"/>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537" si="572">_xlfn.CONCAT("Propriedade destinada a ",MID(C1474,FIND("p.",C1474,1)+2,100),": ",D1474)</f>
        <v>Propriedade destinada a perfilar: é.perfil.poligonal</v>
      </c>
      <c r="V1474" s="5" t="str">
        <f t="shared" ref="V1474:V1537" si="573">_xlfn.CONCAT("Dado para ",MID(F1474,FIND("d.",F1474,1)+2,100),":  ",G1474, "  Deve ser formatado como (",H1474, ")")</f>
        <v>Dado para perfilar:  perfil.poligonal  Deve ser formatado como (rdfs:Literal  or  xsd:string)</v>
      </c>
      <c r="W1474" s="5" t="s">
        <v>6153</v>
      </c>
      <c r="X1474" s="24" t="str">
        <f t="shared" si="556"/>
        <v>perfi.106</v>
      </c>
      <c r="Y1474" s="24" t="str">
        <f t="shared" si="557"/>
        <v>Ação de perfilar</v>
      </c>
      <c r="Z1474" s="47" t="s">
        <v>4320</v>
      </c>
      <c r="AA1474" s="25" t="str">
        <f t="shared" si="561"/>
        <v>null</v>
      </c>
      <c r="AB1474" s="26" t="s">
        <v>0</v>
      </c>
      <c r="AC1474" s="25" t="str">
        <f t="shared" si="562"/>
        <v>null</v>
      </c>
      <c r="AD1474" s="26" t="s">
        <v>0</v>
      </c>
      <c r="AE1474" s="25" t="str">
        <f t="shared" si="560"/>
        <v>null</v>
      </c>
      <c r="AF1474" s="26" t="s">
        <v>0</v>
      </c>
      <c r="AG1474" s="47" t="s">
        <v>4311</v>
      </c>
    </row>
    <row r="1475" spans="1:33" ht="6.9" customHeight="1" x14ac:dyDescent="0.4">
      <c r="A1475" s="4">
        <f>ROW()</f>
        <v>1475</v>
      </c>
      <c r="B1475" s="9" t="s">
        <v>27</v>
      </c>
      <c r="C1475" s="55" t="str">
        <f t="shared" si="569"/>
        <v>p.perfilar</v>
      </c>
      <c r="D1475" s="6" t="str">
        <f t="shared" si="559"/>
        <v>é.perfil.polígono</v>
      </c>
      <c r="E1475" s="8" t="s">
        <v>28</v>
      </c>
      <c r="F1475" s="42" t="str">
        <f t="shared" si="571"/>
        <v>d.perfilar</v>
      </c>
      <c r="G1475" s="18" t="s">
        <v>913</v>
      </c>
      <c r="H1475" s="42" t="s">
        <v>2121</v>
      </c>
      <c r="I1475" s="16" t="str">
        <f t="shared" si="570"/>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572"/>
        <v>Propriedade destinada a perfilar: é.perfil.polígono</v>
      </c>
      <c r="V1475" s="5" t="str">
        <f t="shared" si="573"/>
        <v>Dado para perfilar:  perfil.polígono  Deve ser formatado como (rdfs:Literal  or  xsd:string)</v>
      </c>
      <c r="W1475" s="5" t="s">
        <v>6154</v>
      </c>
      <c r="X1475" s="24" t="str">
        <f t="shared" ref="X1475:X1538" si="574">IF(F1474&lt;&gt;F1475,_xlfn.CONCAT(RIGHT(LEFT(F1475,7),5),".100"),_xlfn.CONCAT(RIGHT(LEFT(F1475,7),5),".",SUM(VALUE(RIGHT(X1474,3)),1)))</f>
        <v>perfi.107</v>
      </c>
      <c r="Y1475" s="24" t="str">
        <f t="shared" ref="Y1475:Y1538" si="575">_xlfn.CONCAT("Ação de ", SUBSTITUTE(F1475, "d.",  ""))</f>
        <v>Ação de perfilar</v>
      </c>
      <c r="Z1475" s="47" t="s">
        <v>4321</v>
      </c>
      <c r="AA1475" s="25" t="str">
        <f t="shared" si="561"/>
        <v>null</v>
      </c>
      <c r="AB1475" s="26" t="s">
        <v>0</v>
      </c>
      <c r="AC1475" s="25" t="str">
        <f t="shared" si="562"/>
        <v>null</v>
      </c>
      <c r="AD1475" s="26" t="s">
        <v>0</v>
      </c>
      <c r="AE1475" s="25" t="str">
        <f t="shared" si="560"/>
        <v>null</v>
      </c>
      <c r="AF1475" s="26" t="s">
        <v>0</v>
      </c>
      <c r="AG1475" s="47" t="s">
        <v>4312</v>
      </c>
    </row>
    <row r="1476" spans="1:33" ht="6.9" customHeight="1" x14ac:dyDescent="0.4">
      <c r="A1476" s="4">
        <f>ROW()</f>
        <v>1476</v>
      </c>
      <c r="B1476" s="9" t="s">
        <v>27</v>
      </c>
      <c r="C1476" s="55" t="str">
        <f t="shared" si="569"/>
        <v>p.perfilar</v>
      </c>
      <c r="D1476" s="6" t="str">
        <f t="shared" si="559"/>
        <v>é.perfil.quadrado</v>
      </c>
      <c r="E1476" s="8" t="s">
        <v>28</v>
      </c>
      <c r="F1476" s="42" t="str">
        <f t="shared" si="571"/>
        <v>d.perfilar</v>
      </c>
      <c r="G1476" s="18" t="s">
        <v>914</v>
      </c>
      <c r="H1476" s="42" t="s">
        <v>2121</v>
      </c>
      <c r="I1476" s="16" t="str">
        <f t="shared" si="570"/>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572"/>
        <v>Propriedade destinada a perfilar: é.perfil.quadrado</v>
      </c>
      <c r="V1476" s="5" t="str">
        <f t="shared" si="573"/>
        <v>Dado para perfilar:  perfil.quadrado  Deve ser formatado como (rdfs:Literal  or  xsd:string)</v>
      </c>
      <c r="W1476" s="5" t="s">
        <v>6155</v>
      </c>
      <c r="X1476" s="24" t="str">
        <f t="shared" si="574"/>
        <v>perfi.108</v>
      </c>
      <c r="Y1476" s="24" t="str">
        <f t="shared" si="575"/>
        <v>Ação de perfilar</v>
      </c>
      <c r="Z1476" s="47" t="s">
        <v>4322</v>
      </c>
      <c r="AA1476" s="25" t="str">
        <f t="shared" si="561"/>
        <v>null</v>
      </c>
      <c r="AB1476" s="26" t="s">
        <v>0</v>
      </c>
      <c r="AC1476" s="25" t="str">
        <f t="shared" si="562"/>
        <v>null</v>
      </c>
      <c r="AD1476" s="26" t="s">
        <v>0</v>
      </c>
      <c r="AE1476" s="25" t="str">
        <f t="shared" si="560"/>
        <v>null</v>
      </c>
      <c r="AF1476" s="26" t="s">
        <v>0</v>
      </c>
      <c r="AG1476" s="47" t="s">
        <v>4313</v>
      </c>
    </row>
    <row r="1477" spans="1:33" ht="6.9" customHeight="1" x14ac:dyDescent="0.4">
      <c r="A1477" s="4">
        <f>ROW()</f>
        <v>1477</v>
      </c>
      <c r="B1477" s="9" t="s">
        <v>27</v>
      </c>
      <c r="C1477" s="55" t="str">
        <f t="shared" si="569"/>
        <v>p.perfilar</v>
      </c>
      <c r="D1477" s="6" t="str">
        <f t="shared" si="559"/>
        <v>é.perfil.regular</v>
      </c>
      <c r="E1477" s="8" t="s">
        <v>28</v>
      </c>
      <c r="F1477" s="42" t="str">
        <f t="shared" si="571"/>
        <v>d.perfilar</v>
      </c>
      <c r="G1477" s="18" t="s">
        <v>915</v>
      </c>
      <c r="H1477" s="42" t="s">
        <v>2121</v>
      </c>
      <c r="I1477" s="16" t="str">
        <f t="shared" si="57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572"/>
        <v>Propriedade destinada a perfilar: é.perfil.regular</v>
      </c>
      <c r="V1477" s="5" t="str">
        <f t="shared" si="573"/>
        <v>Dado para perfilar:  perfil.regular  Deve ser formatado como (rdfs:Literal  or  xsd:string)</v>
      </c>
      <c r="W1477" s="5" t="s">
        <v>6156</v>
      </c>
      <c r="X1477" s="24" t="str">
        <f t="shared" si="574"/>
        <v>perfi.109</v>
      </c>
      <c r="Y1477" s="24" t="str">
        <f t="shared" si="575"/>
        <v>Ação de perfilar</v>
      </c>
      <c r="Z1477" s="47" t="s">
        <v>1786</v>
      </c>
      <c r="AA1477" s="25" t="str">
        <f t="shared" si="561"/>
        <v>null</v>
      </c>
      <c r="AB1477" s="26" t="s">
        <v>0</v>
      </c>
      <c r="AC1477" s="25" t="str">
        <f t="shared" si="562"/>
        <v>null</v>
      </c>
      <c r="AD1477" s="26" t="s">
        <v>0</v>
      </c>
      <c r="AE1477" s="25" t="str">
        <f t="shared" si="560"/>
        <v>null</v>
      </c>
      <c r="AF1477" s="26" t="s">
        <v>0</v>
      </c>
      <c r="AG1477" s="47" t="s">
        <v>3106</v>
      </c>
    </row>
    <row r="1478" spans="1:33" ht="6.9" customHeight="1" x14ac:dyDescent="0.4">
      <c r="A1478" s="4">
        <f>ROW()</f>
        <v>1478</v>
      </c>
      <c r="B1478" s="9" t="s">
        <v>27</v>
      </c>
      <c r="C1478" s="55" t="str">
        <f t="shared" si="569"/>
        <v>p.perfilar</v>
      </c>
      <c r="D1478" s="6" t="str">
        <f t="shared" si="559"/>
        <v>é.perfil.retangular</v>
      </c>
      <c r="E1478" s="8" t="s">
        <v>28</v>
      </c>
      <c r="F1478" s="42" t="str">
        <f t="shared" si="571"/>
        <v>d.perfilar</v>
      </c>
      <c r="G1478" s="18" t="s">
        <v>916</v>
      </c>
      <c r="H1478" s="42" t="s">
        <v>2121</v>
      </c>
      <c r="I1478" s="16" t="str">
        <f t="shared" si="57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72"/>
        <v>Propriedade destinada a perfilar: é.perfil.retangular</v>
      </c>
      <c r="V1478" s="5" t="str">
        <f t="shared" si="573"/>
        <v>Dado para perfilar:  perfil.retangular  Deve ser formatado como (rdfs:Literal  or  xsd:string)</v>
      </c>
      <c r="W1478" s="5" t="s">
        <v>6157</v>
      </c>
      <c r="X1478" s="24" t="str">
        <f t="shared" si="574"/>
        <v>perfi.110</v>
      </c>
      <c r="Y1478" s="24" t="str">
        <f t="shared" si="575"/>
        <v>Ação de perfilar</v>
      </c>
      <c r="Z1478" s="47" t="s">
        <v>4323</v>
      </c>
      <c r="AA1478" s="25" t="str">
        <f t="shared" si="561"/>
        <v>null</v>
      </c>
      <c r="AB1478" s="26" t="s">
        <v>0</v>
      </c>
      <c r="AC1478" s="25" t="str">
        <f t="shared" si="562"/>
        <v>null</v>
      </c>
      <c r="AD1478" s="26" t="s">
        <v>0</v>
      </c>
      <c r="AE1478" s="25" t="str">
        <f t="shared" si="560"/>
        <v>null</v>
      </c>
      <c r="AF1478" s="26" t="s">
        <v>0</v>
      </c>
      <c r="AG1478" s="47" t="s">
        <v>4314</v>
      </c>
    </row>
    <row r="1479" spans="1:33" ht="6.9" customHeight="1" x14ac:dyDescent="0.4">
      <c r="A1479" s="4">
        <f>ROW()</f>
        <v>1479</v>
      </c>
      <c r="B1479" s="9" t="s">
        <v>27</v>
      </c>
      <c r="C1479" s="55" t="str">
        <f t="shared" si="569"/>
        <v>p.perfilar</v>
      </c>
      <c r="D1479" s="6" t="str">
        <f t="shared" si="559"/>
        <v>é.módulo.do.período</v>
      </c>
      <c r="E1479" s="8" t="s">
        <v>28</v>
      </c>
      <c r="F1479" s="42" t="str">
        <f t="shared" si="571"/>
        <v>d.perfilar</v>
      </c>
      <c r="G1479" s="18" t="s">
        <v>917</v>
      </c>
      <c r="H1479" s="42" t="s">
        <v>2121</v>
      </c>
      <c r="I1479" s="16" t="str">
        <f t="shared" si="57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72"/>
        <v>Propriedade destinada a perfilar: é.módulo.do.período</v>
      </c>
      <c r="V1479" s="5" t="str">
        <f t="shared" si="573"/>
        <v>Dado para perfilar:  módulo.do.período  Deve ser formatado como (rdfs:Literal  or  xsd:string)</v>
      </c>
      <c r="W1479" s="5" t="s">
        <v>6158</v>
      </c>
      <c r="X1479" s="24" t="str">
        <f t="shared" si="574"/>
        <v>perfi.111</v>
      </c>
      <c r="Y1479" s="24" t="str">
        <f t="shared" si="575"/>
        <v>Ação de perfilar</v>
      </c>
      <c r="Z1479" s="47" t="s">
        <v>1787</v>
      </c>
      <c r="AA1479" s="25" t="str">
        <f t="shared" si="561"/>
        <v>null</v>
      </c>
      <c r="AB1479" s="26" t="s">
        <v>0</v>
      </c>
      <c r="AC1479" s="25" t="str">
        <f t="shared" si="562"/>
        <v>null</v>
      </c>
      <c r="AD1479" s="26" t="s">
        <v>0</v>
      </c>
      <c r="AE1479" s="25" t="str">
        <f t="shared" si="560"/>
        <v>null</v>
      </c>
      <c r="AF1479" s="26" t="s">
        <v>0</v>
      </c>
      <c r="AG1479" s="47" t="s">
        <v>3107</v>
      </c>
    </row>
    <row r="1480" spans="1:33" ht="6.9" customHeight="1" x14ac:dyDescent="0.4">
      <c r="A1480" s="4">
        <f>ROW()</f>
        <v>1480</v>
      </c>
      <c r="B1480" s="9" t="s">
        <v>27</v>
      </c>
      <c r="C1480" s="55" t="str">
        <f t="shared" si="569"/>
        <v>p.perfilar</v>
      </c>
      <c r="D1480" s="6" t="str">
        <f t="shared" si="559"/>
        <v>é.ritmo</v>
      </c>
      <c r="E1480" s="8" t="s">
        <v>28</v>
      </c>
      <c r="F1480" s="42" t="str">
        <f t="shared" si="571"/>
        <v>d.perfilar</v>
      </c>
      <c r="G1480" s="18" t="s">
        <v>384</v>
      </c>
      <c r="H1480" s="42" t="s">
        <v>2121</v>
      </c>
      <c r="I1480" s="16" t="str">
        <f t="shared" si="57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72"/>
        <v>Propriedade destinada a perfilar: é.ritmo</v>
      </c>
      <c r="V1480" s="5" t="str">
        <f t="shared" si="573"/>
        <v>Dado para perfilar:  ritmo  Deve ser formatado como (rdfs:Literal  or  xsd:string)</v>
      </c>
      <c r="W1480" s="5" t="s">
        <v>6159</v>
      </c>
      <c r="X1480" s="24" t="str">
        <f t="shared" si="574"/>
        <v>perfi.112</v>
      </c>
      <c r="Y1480" s="24" t="str">
        <f t="shared" si="575"/>
        <v>Ação de perfilar</v>
      </c>
      <c r="Z1480" s="47" t="s">
        <v>4327</v>
      </c>
      <c r="AA1480" s="25" t="str">
        <f t="shared" si="561"/>
        <v>null</v>
      </c>
      <c r="AB1480" s="26" t="s">
        <v>0</v>
      </c>
      <c r="AC1480" s="25" t="str">
        <f t="shared" si="562"/>
        <v>null</v>
      </c>
      <c r="AD1480" s="26" t="s">
        <v>0</v>
      </c>
      <c r="AE1480" s="25" t="str">
        <f t="shared" si="560"/>
        <v>null</v>
      </c>
      <c r="AF1480" s="26" t="s">
        <v>0</v>
      </c>
      <c r="AG1480" s="47" t="s">
        <v>4318</v>
      </c>
    </row>
    <row r="1481" spans="1:33" ht="6.9" customHeight="1" x14ac:dyDescent="0.4">
      <c r="A1481" s="4">
        <f>ROW()</f>
        <v>1481</v>
      </c>
      <c r="B1481" s="9" t="s">
        <v>27</v>
      </c>
      <c r="C1481" s="54" t="str">
        <f t="shared" si="569"/>
        <v>p.permitir</v>
      </c>
      <c r="D1481" s="6" t="str">
        <f t="shared" si="559"/>
        <v>é.permitida</v>
      </c>
      <c r="E1481" s="8" t="s">
        <v>28</v>
      </c>
      <c r="F1481" s="51" t="s">
        <v>3613</v>
      </c>
      <c r="G1481" s="17" t="s">
        <v>293</v>
      </c>
      <c r="H1481" s="42" t="s">
        <v>37</v>
      </c>
      <c r="I1481" s="16" t="str">
        <f t="shared" si="570"/>
        <v>null</v>
      </c>
      <c r="J1481" s="15" t="s">
        <v>0</v>
      </c>
      <c r="K1481" s="15" t="s">
        <v>0</v>
      </c>
      <c r="L1481" s="15" t="s">
        <v>0</v>
      </c>
      <c r="M1481" s="15" t="s">
        <v>0</v>
      </c>
      <c r="N1481" s="15" t="s">
        <v>0</v>
      </c>
      <c r="O1481" s="15" t="s">
        <v>0</v>
      </c>
      <c r="P1481" s="15" t="s">
        <v>0</v>
      </c>
      <c r="Q1481" s="15" t="s">
        <v>918</v>
      </c>
      <c r="R1481" s="15" t="s">
        <v>919</v>
      </c>
      <c r="S1481" s="10" t="s">
        <v>1</v>
      </c>
      <c r="T1481" s="10" t="s">
        <v>32</v>
      </c>
      <c r="U1481" s="5" t="str">
        <f t="shared" si="572"/>
        <v>Propriedade destinada a permitir: é.permitida</v>
      </c>
      <c r="V1481" s="5" t="str">
        <f t="shared" si="573"/>
        <v>Dado para permitir:  permitida  Deve ser formatado como (xsd:boolean)</v>
      </c>
      <c r="W1481" s="5" t="s">
        <v>6160</v>
      </c>
      <c r="X1481" s="24" t="str">
        <f t="shared" si="574"/>
        <v>permi.100</v>
      </c>
      <c r="Y1481" s="24" t="str">
        <f t="shared" si="575"/>
        <v>Ação de permitir</v>
      </c>
      <c r="Z1481" s="47" t="s">
        <v>1788</v>
      </c>
      <c r="AA1481" s="25" t="str">
        <f t="shared" si="561"/>
        <v>null</v>
      </c>
      <c r="AB1481" s="26" t="s">
        <v>0</v>
      </c>
      <c r="AC1481" s="25" t="str">
        <f t="shared" si="562"/>
        <v>null</v>
      </c>
      <c r="AD1481" s="26" t="s">
        <v>0</v>
      </c>
      <c r="AE1481" s="25" t="str">
        <f t="shared" si="560"/>
        <v>null</v>
      </c>
      <c r="AF1481" s="26" t="s">
        <v>0</v>
      </c>
      <c r="AG1481" s="47" t="s">
        <v>8210</v>
      </c>
    </row>
    <row r="1482" spans="1:33" ht="6.9" customHeight="1" x14ac:dyDescent="0.4">
      <c r="A1482" s="4">
        <f>ROW()</f>
        <v>1482</v>
      </c>
      <c r="B1482" s="9" t="s">
        <v>27</v>
      </c>
      <c r="C1482" s="55" t="str">
        <f t="shared" si="569"/>
        <v>p.permitir</v>
      </c>
      <c r="D1482" s="6" t="str">
        <f t="shared" si="559"/>
        <v>é.proibida</v>
      </c>
      <c r="E1482" s="8" t="s">
        <v>28</v>
      </c>
      <c r="F1482" s="42" t="str">
        <f t="shared" ref="F1482:F1500" si="576">F1481</f>
        <v>d.permitir</v>
      </c>
      <c r="G1482" s="17" t="s">
        <v>294</v>
      </c>
      <c r="H1482" s="42" t="s">
        <v>37</v>
      </c>
      <c r="I1482" s="16" t="str">
        <f t="shared" si="57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72"/>
        <v>Propriedade destinada a permitir: é.proibida</v>
      </c>
      <c r="V1482" s="5" t="str">
        <f t="shared" si="573"/>
        <v>Dado para permitir:  proibida  Deve ser formatado como (xsd:boolean)</v>
      </c>
      <c r="W1482" s="5" t="s">
        <v>6161</v>
      </c>
      <c r="X1482" s="24" t="str">
        <f t="shared" si="574"/>
        <v>permi.101</v>
      </c>
      <c r="Y1482" s="24" t="str">
        <f t="shared" si="575"/>
        <v>Ação de permitir</v>
      </c>
      <c r="Z1482" s="47" t="s">
        <v>1789</v>
      </c>
      <c r="AA1482" s="25" t="str">
        <f t="shared" si="561"/>
        <v>null</v>
      </c>
      <c r="AB1482" s="26" t="s">
        <v>0</v>
      </c>
      <c r="AC1482" s="25" t="str">
        <f t="shared" si="562"/>
        <v>null</v>
      </c>
      <c r="AD1482" s="26" t="s">
        <v>0</v>
      </c>
      <c r="AE1482" s="25" t="str">
        <f t="shared" si="560"/>
        <v>null</v>
      </c>
      <c r="AF1482" s="26" t="s">
        <v>0</v>
      </c>
      <c r="AG1482" s="47" t="s">
        <v>8211</v>
      </c>
    </row>
    <row r="1483" spans="1:33" ht="6.9" customHeight="1" x14ac:dyDescent="0.4">
      <c r="A1483" s="4">
        <f>ROW()</f>
        <v>1483</v>
      </c>
      <c r="B1483" s="9" t="s">
        <v>27</v>
      </c>
      <c r="C1483" s="55" t="str">
        <f t="shared" si="569"/>
        <v>p.permitir</v>
      </c>
      <c r="D1483" s="6" t="str">
        <f t="shared" si="559"/>
        <v>é.autorizada</v>
      </c>
      <c r="E1483" s="8" t="s">
        <v>28</v>
      </c>
      <c r="F1483" s="42" t="str">
        <f t="shared" si="576"/>
        <v>d.permitir</v>
      </c>
      <c r="G1483" s="17" t="s">
        <v>295</v>
      </c>
      <c r="H1483" s="42" t="s">
        <v>37</v>
      </c>
      <c r="I1483" s="16" t="str">
        <f t="shared" si="57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572"/>
        <v>Propriedade destinada a permitir: é.autorizada</v>
      </c>
      <c r="V1483" s="5" t="str">
        <f t="shared" si="573"/>
        <v>Dado para permitir:  autorizada  Deve ser formatado como (xsd:boolean)</v>
      </c>
      <c r="W1483" s="5" t="s">
        <v>6162</v>
      </c>
      <c r="X1483" s="24" t="str">
        <f t="shared" si="574"/>
        <v>permi.102</v>
      </c>
      <c r="Y1483" s="24" t="str">
        <f t="shared" si="575"/>
        <v>Ação de permitir</v>
      </c>
      <c r="Z1483" s="47" t="s">
        <v>1790</v>
      </c>
      <c r="AA1483" s="25" t="str">
        <f t="shared" si="561"/>
        <v>null</v>
      </c>
      <c r="AB1483" s="26" t="s">
        <v>0</v>
      </c>
      <c r="AC1483" s="25" t="str">
        <f t="shared" si="562"/>
        <v>null</v>
      </c>
      <c r="AD1483" s="26" t="s">
        <v>0</v>
      </c>
      <c r="AE1483" s="25" t="str">
        <f t="shared" si="560"/>
        <v>null</v>
      </c>
      <c r="AF1483" s="26" t="s">
        <v>0</v>
      </c>
      <c r="AG1483" s="47" t="s">
        <v>8212</v>
      </c>
    </row>
    <row r="1484" spans="1:33" ht="6.9" customHeight="1" x14ac:dyDescent="0.4">
      <c r="A1484" s="4">
        <f>ROW()</f>
        <v>1484</v>
      </c>
      <c r="B1484" s="9" t="s">
        <v>27</v>
      </c>
      <c r="C1484" s="55" t="str">
        <f t="shared" si="569"/>
        <v>p.permitir</v>
      </c>
      <c r="D1484" s="6" t="str">
        <f t="shared" si="559"/>
        <v>é.homologada</v>
      </c>
      <c r="E1484" s="8" t="s">
        <v>28</v>
      </c>
      <c r="F1484" s="42" t="str">
        <f t="shared" si="576"/>
        <v>d.permitir</v>
      </c>
      <c r="G1484" s="18" t="s">
        <v>296</v>
      </c>
      <c r="H1484" s="42" t="s">
        <v>37</v>
      </c>
      <c r="I1484" s="16" t="str">
        <f t="shared" si="570"/>
        <v>null</v>
      </c>
      <c r="J1484" s="13" t="s">
        <v>0</v>
      </c>
      <c r="K1484" s="13" t="s">
        <v>0</v>
      </c>
      <c r="L1484" s="13" t="s">
        <v>0</v>
      </c>
      <c r="M1484" s="13" t="s">
        <v>0</v>
      </c>
      <c r="N1484" s="15" t="s">
        <v>0</v>
      </c>
      <c r="O1484" s="13" t="s">
        <v>0</v>
      </c>
      <c r="P1484" s="13" t="s">
        <v>0</v>
      </c>
      <c r="Q1484" s="13" t="s">
        <v>0</v>
      </c>
      <c r="R1484" s="15" t="s">
        <v>1218</v>
      </c>
      <c r="S1484" s="10" t="s">
        <v>1</v>
      </c>
      <c r="T1484" s="10" t="s">
        <v>32</v>
      </c>
      <c r="U1484" s="5" t="str">
        <f t="shared" si="572"/>
        <v>Propriedade destinada a permitir: é.homologada</v>
      </c>
      <c r="V1484" s="5" t="str">
        <f t="shared" si="573"/>
        <v>Dado para permitir:  homologada  Deve ser formatado como (xsd:boolean)</v>
      </c>
      <c r="W1484" s="5" t="s">
        <v>6163</v>
      </c>
      <c r="X1484" s="24" t="str">
        <f t="shared" si="574"/>
        <v>permi.103</v>
      </c>
      <c r="Y1484" s="24" t="str">
        <f t="shared" si="575"/>
        <v>Ação de permitir</v>
      </c>
      <c r="Z1484" s="47" t="s">
        <v>1791</v>
      </c>
      <c r="AA1484" s="25" t="str">
        <f t="shared" si="561"/>
        <v>null</v>
      </c>
      <c r="AB1484" s="26" t="s">
        <v>0</v>
      </c>
      <c r="AC1484" s="25" t="str">
        <f t="shared" si="562"/>
        <v>null</v>
      </c>
      <c r="AD1484" s="26" t="s">
        <v>0</v>
      </c>
      <c r="AE1484" s="25" t="str">
        <f t="shared" si="560"/>
        <v>null</v>
      </c>
      <c r="AF1484" s="26" t="s">
        <v>0</v>
      </c>
      <c r="AG1484" s="47" t="s">
        <v>8213</v>
      </c>
    </row>
    <row r="1485" spans="1:33" ht="6.9" customHeight="1" x14ac:dyDescent="0.4">
      <c r="A1485" s="4">
        <f>ROW()</f>
        <v>1485</v>
      </c>
      <c r="B1485" s="9" t="s">
        <v>27</v>
      </c>
      <c r="C1485" s="55" t="str">
        <f t="shared" si="569"/>
        <v>p.permitir</v>
      </c>
      <c r="D1485" s="6" t="str">
        <f t="shared" si="559"/>
        <v>é.habilitado.para</v>
      </c>
      <c r="E1485" s="8" t="s">
        <v>28</v>
      </c>
      <c r="F1485" s="42" t="str">
        <f t="shared" si="576"/>
        <v>d.permitir</v>
      </c>
      <c r="G1485" s="18" t="s">
        <v>1986</v>
      </c>
      <c r="H1485" s="42" t="s">
        <v>2121</v>
      </c>
      <c r="I1485" s="16" t="str">
        <f t="shared" si="570"/>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72"/>
        <v>Propriedade destinada a permitir: é.habilitado.para</v>
      </c>
      <c r="V1485" s="5" t="str">
        <f t="shared" si="573"/>
        <v>Dado para permitir:  habilitado.para  Deve ser formatado como (rdfs:Literal  or  xsd:string)</v>
      </c>
      <c r="W1485" s="5" t="s">
        <v>6164</v>
      </c>
      <c r="X1485" s="24" t="str">
        <f t="shared" si="574"/>
        <v>permi.104</v>
      </c>
      <c r="Y1485" s="24" t="str">
        <f t="shared" si="575"/>
        <v>Ação de permitir</v>
      </c>
      <c r="Z1485" s="47" t="s">
        <v>1987</v>
      </c>
      <c r="AA1485" s="25" t="str">
        <f t="shared" si="561"/>
        <v>null</v>
      </c>
      <c r="AB1485" s="26" t="s">
        <v>0</v>
      </c>
      <c r="AC1485" s="25" t="str">
        <f t="shared" si="562"/>
        <v>null</v>
      </c>
      <c r="AD1485" s="26" t="s">
        <v>0</v>
      </c>
      <c r="AE1485" s="25" t="str">
        <f t="shared" si="560"/>
        <v>null</v>
      </c>
      <c r="AF1485" s="26" t="s">
        <v>0</v>
      </c>
      <c r="AG1485" s="47" t="s">
        <v>8214</v>
      </c>
    </row>
    <row r="1486" spans="1:33" ht="6.9" customHeight="1" x14ac:dyDescent="0.4">
      <c r="A1486" s="4">
        <f>ROW()</f>
        <v>1486</v>
      </c>
      <c r="B1486" s="9" t="s">
        <v>27</v>
      </c>
      <c r="C1486" s="55" t="str">
        <f t="shared" si="569"/>
        <v>p.permitir</v>
      </c>
      <c r="D1486" s="6" t="str">
        <f t="shared" si="559"/>
        <v>é.ativa</v>
      </c>
      <c r="E1486" s="8" t="s">
        <v>28</v>
      </c>
      <c r="F1486" s="42" t="str">
        <f t="shared" si="576"/>
        <v>d.permitir</v>
      </c>
      <c r="G1486" s="18" t="s">
        <v>290</v>
      </c>
      <c r="H1486" s="42" t="s">
        <v>37</v>
      </c>
      <c r="I1486" s="16" t="str">
        <f t="shared" si="570"/>
        <v>null</v>
      </c>
      <c r="J1486" s="13" t="s">
        <v>0</v>
      </c>
      <c r="K1486" s="13" t="s">
        <v>0</v>
      </c>
      <c r="L1486" s="13" t="s">
        <v>0</v>
      </c>
      <c r="M1486" s="13" t="s">
        <v>0</v>
      </c>
      <c r="N1486" s="15" t="s">
        <v>0</v>
      </c>
      <c r="O1486" s="13" t="s">
        <v>0</v>
      </c>
      <c r="P1486" s="13" t="s">
        <v>0</v>
      </c>
      <c r="Q1486" s="13" t="s">
        <v>920</v>
      </c>
      <c r="R1486" s="15" t="s">
        <v>0</v>
      </c>
      <c r="S1486" s="10" t="s">
        <v>1</v>
      </c>
      <c r="T1486" s="10" t="s">
        <v>32</v>
      </c>
      <c r="U1486" s="5" t="str">
        <f t="shared" si="572"/>
        <v>Propriedade destinada a permitir: é.ativa</v>
      </c>
      <c r="V1486" s="5" t="str">
        <f t="shared" si="573"/>
        <v>Dado para permitir:  ativa  Deve ser formatado como (xsd:boolean)</v>
      </c>
      <c r="W1486" s="5" t="s">
        <v>6165</v>
      </c>
      <c r="X1486" s="24" t="str">
        <f t="shared" si="574"/>
        <v>permi.105</v>
      </c>
      <c r="Y1486" s="24" t="str">
        <f t="shared" si="575"/>
        <v>Ação de permitir</v>
      </c>
      <c r="Z1486" s="47" t="s">
        <v>1792</v>
      </c>
      <c r="AA1486" s="25" t="str">
        <f t="shared" si="561"/>
        <v>null</v>
      </c>
      <c r="AB1486" s="26" t="s">
        <v>0</v>
      </c>
      <c r="AC1486" s="25" t="str">
        <f t="shared" si="562"/>
        <v>null</v>
      </c>
      <c r="AD1486" s="26" t="s">
        <v>0</v>
      </c>
      <c r="AE1486" s="25" t="str">
        <f t="shared" si="560"/>
        <v>null</v>
      </c>
      <c r="AF1486" s="26" t="s">
        <v>0</v>
      </c>
      <c r="AG1486" s="47" t="s">
        <v>8215</v>
      </c>
    </row>
    <row r="1487" spans="1:33" ht="6.9" customHeight="1" x14ac:dyDescent="0.4">
      <c r="A1487" s="4">
        <f>ROW()</f>
        <v>1487</v>
      </c>
      <c r="B1487" s="9" t="s">
        <v>27</v>
      </c>
      <c r="C1487" s="55" t="str">
        <f t="shared" si="569"/>
        <v>p.permitir</v>
      </c>
      <c r="D1487" s="6" t="str">
        <f t="shared" ref="D1487:D1550" si="577">_xlfn.CONCAT("é.",G1487)</f>
        <v>é.concedida</v>
      </c>
      <c r="E1487" s="8" t="s">
        <v>28</v>
      </c>
      <c r="F1487" s="42" t="str">
        <f t="shared" si="576"/>
        <v>d.permitir</v>
      </c>
      <c r="G1487" s="18" t="s">
        <v>297</v>
      </c>
      <c r="H1487" s="42" t="s">
        <v>37</v>
      </c>
      <c r="I1487" s="16" t="str">
        <f t="shared" si="570"/>
        <v>null</v>
      </c>
      <c r="J1487" s="13" t="s">
        <v>0</v>
      </c>
      <c r="K1487" s="13" t="s">
        <v>0</v>
      </c>
      <c r="L1487" s="13" t="s">
        <v>0</v>
      </c>
      <c r="M1487" s="13" t="s">
        <v>0</v>
      </c>
      <c r="N1487" s="15" t="s">
        <v>0</v>
      </c>
      <c r="O1487" s="13" t="s">
        <v>0</v>
      </c>
      <c r="P1487" s="13" t="s">
        <v>0</v>
      </c>
      <c r="Q1487" s="13" t="s">
        <v>0</v>
      </c>
      <c r="R1487" s="15" t="s">
        <v>919</v>
      </c>
      <c r="S1487" s="10" t="s">
        <v>1</v>
      </c>
      <c r="T1487" s="10" t="s">
        <v>32</v>
      </c>
      <c r="U1487" s="5" t="str">
        <f t="shared" si="572"/>
        <v>Propriedade destinada a permitir: é.concedida</v>
      </c>
      <c r="V1487" s="5" t="str">
        <f t="shared" si="573"/>
        <v>Dado para permitir:  concedida  Deve ser formatado como (xsd:boolean)</v>
      </c>
      <c r="W1487" s="5" t="s">
        <v>6166</v>
      </c>
      <c r="X1487" s="24" t="str">
        <f t="shared" si="574"/>
        <v>permi.106</v>
      </c>
      <c r="Y1487" s="24" t="str">
        <f t="shared" si="575"/>
        <v>Ação de permitir</v>
      </c>
      <c r="Z1487" s="47" t="s">
        <v>1793</v>
      </c>
      <c r="AA1487" s="25" t="str">
        <f t="shared" si="561"/>
        <v>null</v>
      </c>
      <c r="AB1487" s="26" t="s">
        <v>0</v>
      </c>
      <c r="AC1487" s="25" t="str">
        <f t="shared" si="562"/>
        <v>null</v>
      </c>
      <c r="AD1487" s="26" t="s">
        <v>0</v>
      </c>
      <c r="AE1487" s="25" t="str">
        <f t="shared" ref="AE1487:AE1540" si="578">IF(AF1487="null", "null", "propriedade")</f>
        <v>null</v>
      </c>
      <c r="AF1487" s="26" t="s">
        <v>0</v>
      </c>
      <c r="AG1487" s="47" t="s">
        <v>8216</v>
      </c>
    </row>
    <row r="1488" spans="1:33" ht="6.9" customHeight="1" x14ac:dyDescent="0.4">
      <c r="A1488" s="4">
        <f>ROW()</f>
        <v>1488</v>
      </c>
      <c r="B1488" s="9" t="s">
        <v>27</v>
      </c>
      <c r="C1488" s="55" t="str">
        <f t="shared" si="569"/>
        <v>p.permitir</v>
      </c>
      <c r="D1488" s="6" t="str">
        <f t="shared" si="577"/>
        <v>é.pendente</v>
      </c>
      <c r="E1488" s="8" t="s">
        <v>28</v>
      </c>
      <c r="F1488" s="42" t="str">
        <f t="shared" si="576"/>
        <v>d.permitir</v>
      </c>
      <c r="G1488" s="18" t="s">
        <v>289</v>
      </c>
      <c r="H1488" s="42" t="s">
        <v>37</v>
      </c>
      <c r="I1488" s="16" t="str">
        <f t="shared" si="57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72"/>
        <v>Propriedade destinada a permitir: é.pendente</v>
      </c>
      <c r="V1488" s="5" t="str">
        <f t="shared" si="573"/>
        <v>Dado para permitir:  pendente  Deve ser formatado como (xsd:boolean)</v>
      </c>
      <c r="W1488" s="5" t="s">
        <v>6167</v>
      </c>
      <c r="X1488" s="24" t="str">
        <f t="shared" si="574"/>
        <v>permi.107</v>
      </c>
      <c r="Y1488" s="24" t="str">
        <f t="shared" si="575"/>
        <v>Ação de permitir</v>
      </c>
      <c r="Z1488" s="47" t="s">
        <v>1794</v>
      </c>
      <c r="AA1488" s="25" t="str">
        <f t="shared" si="561"/>
        <v>null</v>
      </c>
      <c r="AB1488" s="26" t="s">
        <v>0</v>
      </c>
      <c r="AC1488" s="25" t="str">
        <f t="shared" si="562"/>
        <v>null</v>
      </c>
      <c r="AD1488" s="26" t="s">
        <v>0</v>
      </c>
      <c r="AE1488" s="25" t="str">
        <f t="shared" si="578"/>
        <v>null</v>
      </c>
      <c r="AF1488" s="26" t="s">
        <v>0</v>
      </c>
      <c r="AG1488" s="47" t="s">
        <v>8217</v>
      </c>
    </row>
    <row r="1489" spans="1:33" ht="6.9" customHeight="1" x14ac:dyDescent="0.4">
      <c r="A1489" s="4">
        <f>ROW()</f>
        <v>1489</v>
      </c>
      <c r="B1489" s="9" t="s">
        <v>27</v>
      </c>
      <c r="C1489" s="55" t="str">
        <f t="shared" si="569"/>
        <v>p.permitir</v>
      </c>
      <c r="D1489" s="6" t="str">
        <f t="shared" si="577"/>
        <v>é.suspensa</v>
      </c>
      <c r="E1489" s="8" t="s">
        <v>28</v>
      </c>
      <c r="F1489" s="42" t="str">
        <f t="shared" si="576"/>
        <v>d.permitir</v>
      </c>
      <c r="G1489" s="18" t="s">
        <v>298</v>
      </c>
      <c r="H1489" s="42" t="s">
        <v>37</v>
      </c>
      <c r="I1489" s="16" t="str">
        <f t="shared" si="57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72"/>
        <v>Propriedade destinada a permitir: é.suspensa</v>
      </c>
      <c r="V1489" s="5" t="str">
        <f t="shared" si="573"/>
        <v>Dado para permitir:  suspensa  Deve ser formatado como (xsd:boolean)</v>
      </c>
      <c r="W1489" s="5" t="s">
        <v>6168</v>
      </c>
      <c r="X1489" s="24" t="str">
        <f t="shared" si="574"/>
        <v>permi.108</v>
      </c>
      <c r="Y1489" s="24" t="str">
        <f t="shared" si="575"/>
        <v>Ação de permitir</v>
      </c>
      <c r="Z1489" s="47" t="s">
        <v>1795</v>
      </c>
      <c r="AA1489" s="25" t="str">
        <f t="shared" si="561"/>
        <v>null</v>
      </c>
      <c r="AB1489" s="26" t="s">
        <v>0</v>
      </c>
      <c r="AC1489" s="25" t="str">
        <f t="shared" si="562"/>
        <v>null</v>
      </c>
      <c r="AD1489" s="26" t="s">
        <v>0</v>
      </c>
      <c r="AE1489" s="25" t="str">
        <f t="shared" si="578"/>
        <v>null</v>
      </c>
      <c r="AF1489" s="26" t="s">
        <v>0</v>
      </c>
      <c r="AG1489" s="47" t="s">
        <v>8218</v>
      </c>
    </row>
    <row r="1490" spans="1:33" ht="6.9" customHeight="1" x14ac:dyDescent="0.4">
      <c r="A1490" s="4">
        <f>ROW()</f>
        <v>1490</v>
      </c>
      <c r="B1490" s="9" t="s">
        <v>27</v>
      </c>
      <c r="C1490" s="55" t="str">
        <f t="shared" si="569"/>
        <v>p.permitir</v>
      </c>
      <c r="D1490" s="6" t="str">
        <f t="shared" si="577"/>
        <v>é.expirada</v>
      </c>
      <c r="E1490" s="8" t="s">
        <v>28</v>
      </c>
      <c r="F1490" s="42" t="str">
        <f t="shared" si="576"/>
        <v>d.permitir</v>
      </c>
      <c r="G1490" s="18" t="s">
        <v>291</v>
      </c>
      <c r="H1490" s="42" t="s">
        <v>37</v>
      </c>
      <c r="I1490" s="16" t="str">
        <f t="shared" si="57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72"/>
        <v>Propriedade destinada a permitir: é.expirada</v>
      </c>
      <c r="V1490" s="5" t="str">
        <f t="shared" si="573"/>
        <v>Dado para permitir:  expirada  Deve ser formatado como (xsd:boolean)</v>
      </c>
      <c r="W1490" s="5" t="s">
        <v>6169</v>
      </c>
      <c r="X1490" s="24" t="str">
        <f t="shared" si="574"/>
        <v>permi.109</v>
      </c>
      <c r="Y1490" s="24" t="str">
        <f t="shared" si="575"/>
        <v>Ação de permitir</v>
      </c>
      <c r="Z1490" s="47" t="s">
        <v>1796</v>
      </c>
      <c r="AA1490" s="25" t="str">
        <f t="shared" si="561"/>
        <v>null</v>
      </c>
      <c r="AB1490" s="26" t="s">
        <v>0</v>
      </c>
      <c r="AC1490" s="25" t="str">
        <f t="shared" si="562"/>
        <v>null</v>
      </c>
      <c r="AD1490" s="26" t="s">
        <v>0</v>
      </c>
      <c r="AE1490" s="25" t="str">
        <f t="shared" si="578"/>
        <v>null</v>
      </c>
      <c r="AF1490" s="26" t="s">
        <v>0</v>
      </c>
      <c r="AG1490" s="47" t="s">
        <v>8219</v>
      </c>
    </row>
    <row r="1491" spans="1:33" ht="6.9" customHeight="1" x14ac:dyDescent="0.4">
      <c r="A1491" s="4">
        <f>ROW()</f>
        <v>1491</v>
      </c>
      <c r="B1491" s="9" t="s">
        <v>27</v>
      </c>
      <c r="C1491" s="55" t="str">
        <f t="shared" si="569"/>
        <v>p.permitir</v>
      </c>
      <c r="D1491" s="6" t="str">
        <f t="shared" si="577"/>
        <v>é.deferida</v>
      </c>
      <c r="E1491" s="8" t="s">
        <v>28</v>
      </c>
      <c r="F1491" s="42" t="str">
        <f t="shared" si="576"/>
        <v>d.permitir</v>
      </c>
      <c r="G1491" s="18" t="s">
        <v>1129</v>
      </c>
      <c r="H1491" s="42" t="s">
        <v>37</v>
      </c>
      <c r="I1491" s="16" t="str">
        <f t="shared" si="570"/>
        <v>null</v>
      </c>
      <c r="J1491" s="13" t="s">
        <v>0</v>
      </c>
      <c r="K1491" s="13" t="s">
        <v>0</v>
      </c>
      <c r="L1491" s="13" t="s">
        <v>0</v>
      </c>
      <c r="M1491" s="13" t="s">
        <v>0</v>
      </c>
      <c r="N1491" s="15" t="s">
        <v>0</v>
      </c>
      <c r="O1491" s="13" t="s">
        <v>0</v>
      </c>
      <c r="P1491" s="13" t="s">
        <v>0</v>
      </c>
      <c r="Q1491" s="13" t="s">
        <v>1130</v>
      </c>
      <c r="R1491" s="15" t="s">
        <v>919</v>
      </c>
      <c r="S1491" s="10" t="s">
        <v>1</v>
      </c>
      <c r="T1491" s="10" t="s">
        <v>32</v>
      </c>
      <c r="U1491" s="5" t="str">
        <f t="shared" si="572"/>
        <v>Propriedade destinada a permitir: é.deferida</v>
      </c>
      <c r="V1491" s="5" t="str">
        <f t="shared" si="573"/>
        <v>Dado para permitir:  deferida  Deve ser formatado como (xsd:boolean)</v>
      </c>
      <c r="W1491" s="5" t="s">
        <v>6170</v>
      </c>
      <c r="X1491" s="24" t="str">
        <f t="shared" si="574"/>
        <v>permi.110</v>
      </c>
      <c r="Y1491" s="24" t="str">
        <f t="shared" si="575"/>
        <v>Ação de permitir</v>
      </c>
      <c r="Z1491" s="47" t="s">
        <v>1797</v>
      </c>
      <c r="AA1491" s="25" t="str">
        <f t="shared" si="561"/>
        <v>null</v>
      </c>
      <c r="AB1491" s="26" t="s">
        <v>0</v>
      </c>
      <c r="AC1491" s="25" t="str">
        <f t="shared" si="562"/>
        <v>null</v>
      </c>
      <c r="AD1491" s="26" t="s">
        <v>0</v>
      </c>
      <c r="AE1491" s="25" t="str">
        <f t="shared" si="578"/>
        <v>null</v>
      </c>
      <c r="AF1491" s="26" t="s">
        <v>0</v>
      </c>
      <c r="AG1491" s="47" t="s">
        <v>8220</v>
      </c>
    </row>
    <row r="1492" spans="1:33" ht="6.9" customHeight="1" x14ac:dyDescent="0.4">
      <c r="A1492" s="4">
        <f>ROW()</f>
        <v>1492</v>
      </c>
      <c r="B1492" s="9" t="s">
        <v>27</v>
      </c>
      <c r="C1492" s="55" t="str">
        <f t="shared" si="569"/>
        <v>p.permitir</v>
      </c>
      <c r="D1492" s="6" t="str">
        <f t="shared" si="577"/>
        <v>é.rejeitada</v>
      </c>
      <c r="E1492" s="8" t="s">
        <v>28</v>
      </c>
      <c r="F1492" s="42" t="str">
        <f t="shared" si="576"/>
        <v>d.permitir</v>
      </c>
      <c r="G1492" s="18" t="s">
        <v>300</v>
      </c>
      <c r="H1492" s="42" t="s">
        <v>37</v>
      </c>
      <c r="I1492" s="16" t="str">
        <f t="shared" si="570"/>
        <v>null</v>
      </c>
      <c r="J1492" s="13" t="s">
        <v>0</v>
      </c>
      <c r="K1492" s="13" t="s">
        <v>0</v>
      </c>
      <c r="L1492" s="13" t="s">
        <v>0</v>
      </c>
      <c r="M1492" s="13" t="s">
        <v>0</v>
      </c>
      <c r="N1492" s="15" t="s">
        <v>0</v>
      </c>
      <c r="O1492" s="13" t="s">
        <v>0</v>
      </c>
      <c r="P1492" s="13" t="s">
        <v>0</v>
      </c>
      <c r="Q1492" s="15" t="s">
        <v>919</v>
      </c>
      <c r="R1492" s="15" t="s">
        <v>1130</v>
      </c>
      <c r="S1492" s="10" t="s">
        <v>1</v>
      </c>
      <c r="T1492" s="10" t="s">
        <v>32</v>
      </c>
      <c r="U1492" s="5" t="str">
        <f t="shared" si="572"/>
        <v>Propriedade destinada a permitir: é.rejeitada</v>
      </c>
      <c r="V1492" s="5" t="str">
        <f t="shared" si="573"/>
        <v>Dado para permitir:  rejeitada  Deve ser formatado como (xsd:boolean)</v>
      </c>
      <c r="W1492" s="5" t="s">
        <v>6171</v>
      </c>
      <c r="X1492" s="24" t="str">
        <f t="shared" si="574"/>
        <v>permi.111</v>
      </c>
      <c r="Y1492" s="24" t="str">
        <f t="shared" si="575"/>
        <v>Ação de permitir</v>
      </c>
      <c r="Z1492" s="47" t="s">
        <v>1798</v>
      </c>
      <c r="AA1492" s="25" t="str">
        <f t="shared" si="561"/>
        <v>null</v>
      </c>
      <c r="AB1492" s="26" t="s">
        <v>0</v>
      </c>
      <c r="AC1492" s="25" t="str">
        <f t="shared" si="562"/>
        <v>null</v>
      </c>
      <c r="AD1492" s="26" t="s">
        <v>0</v>
      </c>
      <c r="AE1492" s="25" t="str">
        <f t="shared" si="578"/>
        <v>null</v>
      </c>
      <c r="AF1492" s="26" t="s">
        <v>0</v>
      </c>
      <c r="AG1492" s="47" t="s">
        <v>8221</v>
      </c>
    </row>
    <row r="1493" spans="1:33" ht="6.9" customHeight="1" x14ac:dyDescent="0.4">
      <c r="A1493" s="4">
        <f>ROW()</f>
        <v>1493</v>
      </c>
      <c r="B1493" s="9" t="s">
        <v>27</v>
      </c>
      <c r="C1493" s="55" t="str">
        <f t="shared" si="569"/>
        <v>p.permitir</v>
      </c>
      <c r="D1493" s="6" t="str">
        <f t="shared" si="577"/>
        <v>é.indeferida</v>
      </c>
      <c r="E1493" s="8" t="s">
        <v>28</v>
      </c>
      <c r="F1493" s="42" t="str">
        <f t="shared" si="576"/>
        <v>d.permitir</v>
      </c>
      <c r="G1493" s="18" t="s">
        <v>1131</v>
      </c>
      <c r="H1493" s="42" t="s">
        <v>37</v>
      </c>
      <c r="I1493" s="16" t="str">
        <f t="shared" si="570"/>
        <v>null</v>
      </c>
      <c r="J1493" s="13" t="s">
        <v>0</v>
      </c>
      <c r="K1493" s="13" t="s">
        <v>0</v>
      </c>
      <c r="L1493" s="13" t="s">
        <v>0</v>
      </c>
      <c r="M1493" s="13" t="s">
        <v>0</v>
      </c>
      <c r="N1493" s="15" t="s">
        <v>0</v>
      </c>
      <c r="O1493" s="13" t="s">
        <v>0</v>
      </c>
      <c r="P1493" s="13" t="s">
        <v>0</v>
      </c>
      <c r="Q1493" s="15" t="s">
        <v>919</v>
      </c>
      <c r="R1493" s="15" t="s">
        <v>0</v>
      </c>
      <c r="S1493" s="10" t="s">
        <v>1</v>
      </c>
      <c r="T1493" s="10" t="s">
        <v>32</v>
      </c>
      <c r="U1493" s="5" t="str">
        <f t="shared" si="572"/>
        <v>Propriedade destinada a permitir: é.indeferida</v>
      </c>
      <c r="V1493" s="5" t="str">
        <f t="shared" si="573"/>
        <v>Dado para permitir:  indeferida  Deve ser formatado como (xsd:boolean)</v>
      </c>
      <c r="W1493" s="5" t="s">
        <v>6172</v>
      </c>
      <c r="X1493" s="24" t="str">
        <f t="shared" si="574"/>
        <v>permi.112</v>
      </c>
      <c r="Y1493" s="24" t="str">
        <f t="shared" si="575"/>
        <v>Ação de permitir</v>
      </c>
      <c r="Z1493" s="47" t="s">
        <v>1799</v>
      </c>
      <c r="AA1493" s="25" t="str">
        <f t="shared" ref="AA1493:AA1547" si="579">IF(AB1493="null", "null", "categoria.revit")</f>
        <v>null</v>
      </c>
      <c r="AB1493" s="26" t="s">
        <v>0</v>
      </c>
      <c r="AC1493" s="25" t="str">
        <f t="shared" ref="AC1493:AC1547" si="580">IF(AD1493="null", "null", "classe.ifc")</f>
        <v>null</v>
      </c>
      <c r="AD1493" s="26" t="s">
        <v>0</v>
      </c>
      <c r="AE1493" s="25" t="str">
        <f t="shared" si="578"/>
        <v>null</v>
      </c>
      <c r="AF1493" s="26" t="s">
        <v>0</v>
      </c>
      <c r="AG1493" s="47" t="s">
        <v>8222</v>
      </c>
    </row>
    <row r="1494" spans="1:33" ht="6.9" customHeight="1" x14ac:dyDescent="0.4">
      <c r="A1494" s="4">
        <f>ROW()</f>
        <v>1494</v>
      </c>
      <c r="B1494" s="9" t="s">
        <v>27</v>
      </c>
      <c r="C1494" s="55" t="str">
        <f t="shared" si="569"/>
        <v>p.permitir</v>
      </c>
      <c r="D1494" s="6" t="str">
        <f t="shared" si="577"/>
        <v>é.implícita</v>
      </c>
      <c r="E1494" s="8" t="s">
        <v>28</v>
      </c>
      <c r="F1494" s="42" t="str">
        <f t="shared" si="576"/>
        <v>d.permitir</v>
      </c>
      <c r="G1494" s="18" t="s">
        <v>299</v>
      </c>
      <c r="H1494" s="42" t="s">
        <v>37</v>
      </c>
      <c r="I1494" s="16" t="str">
        <f t="shared" si="570"/>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72"/>
        <v>Propriedade destinada a permitir: é.implícita</v>
      </c>
      <c r="V1494" s="5" t="str">
        <f t="shared" si="573"/>
        <v>Dado para permitir:  implícita  Deve ser formatado como (xsd:boolean)</v>
      </c>
      <c r="W1494" s="5" t="s">
        <v>6173</v>
      </c>
      <c r="X1494" s="24" t="str">
        <f t="shared" si="574"/>
        <v>permi.113</v>
      </c>
      <c r="Y1494" s="24" t="str">
        <f t="shared" si="575"/>
        <v>Ação de permitir</v>
      </c>
      <c r="Z1494" s="47" t="s">
        <v>1800</v>
      </c>
      <c r="AA1494" s="25" t="str">
        <f t="shared" si="579"/>
        <v>null</v>
      </c>
      <c r="AB1494" s="26" t="s">
        <v>0</v>
      </c>
      <c r="AC1494" s="25" t="str">
        <f t="shared" si="580"/>
        <v>null</v>
      </c>
      <c r="AD1494" s="26" t="s">
        <v>0</v>
      </c>
      <c r="AE1494" s="25" t="str">
        <f t="shared" si="578"/>
        <v>null</v>
      </c>
      <c r="AF1494" s="26" t="s">
        <v>0</v>
      </c>
      <c r="AG1494" s="47" t="s">
        <v>8223</v>
      </c>
    </row>
    <row r="1495" spans="1:33" ht="6.9" customHeight="1" x14ac:dyDescent="0.4">
      <c r="A1495" s="4">
        <f>ROW()</f>
        <v>1495</v>
      </c>
      <c r="B1495" s="9" t="s">
        <v>27</v>
      </c>
      <c r="C1495" s="55" t="str">
        <f t="shared" si="569"/>
        <v>p.permitir</v>
      </c>
      <c r="D1495" s="6" t="str">
        <f t="shared" si="577"/>
        <v>é.verbal</v>
      </c>
      <c r="E1495" s="8" t="s">
        <v>28</v>
      </c>
      <c r="F1495" s="42" t="str">
        <f t="shared" si="576"/>
        <v>d.permitir</v>
      </c>
      <c r="G1495" s="18" t="s">
        <v>292</v>
      </c>
      <c r="H1495" s="42" t="s">
        <v>37</v>
      </c>
      <c r="I1495" s="16" t="str">
        <f t="shared" si="570"/>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72"/>
        <v>Propriedade destinada a permitir: é.verbal</v>
      </c>
      <c r="V1495" s="5" t="str">
        <f t="shared" si="573"/>
        <v>Dado para permitir:  verbal  Deve ser formatado como (xsd:boolean)</v>
      </c>
      <c r="W1495" s="5" t="s">
        <v>6174</v>
      </c>
      <c r="X1495" s="24" t="str">
        <f t="shared" si="574"/>
        <v>permi.114</v>
      </c>
      <c r="Y1495" s="24" t="str">
        <f t="shared" si="575"/>
        <v>Ação de permitir</v>
      </c>
      <c r="Z1495" s="47" t="s">
        <v>1801</v>
      </c>
      <c r="AA1495" s="25" t="str">
        <f t="shared" si="579"/>
        <v>null</v>
      </c>
      <c r="AB1495" s="26" t="s">
        <v>0</v>
      </c>
      <c r="AC1495" s="25" t="str">
        <f t="shared" si="580"/>
        <v>null</v>
      </c>
      <c r="AD1495" s="26" t="s">
        <v>0</v>
      </c>
      <c r="AE1495" s="25" t="str">
        <f t="shared" si="578"/>
        <v>null</v>
      </c>
      <c r="AF1495" s="26" t="s">
        <v>0</v>
      </c>
      <c r="AG1495" s="47" t="s">
        <v>8224</v>
      </c>
    </row>
    <row r="1496" spans="1:33" ht="6.9" customHeight="1" x14ac:dyDescent="0.4">
      <c r="A1496" s="4">
        <f>ROW()</f>
        <v>1496</v>
      </c>
      <c r="B1496" s="9" t="s">
        <v>27</v>
      </c>
      <c r="C1496" s="55" t="str">
        <f t="shared" si="569"/>
        <v>p.permitir</v>
      </c>
      <c r="D1496" s="6" t="str">
        <f t="shared" si="577"/>
        <v>é.visto.refugiado</v>
      </c>
      <c r="E1496" s="8" t="s">
        <v>28</v>
      </c>
      <c r="F1496" s="42" t="str">
        <f t="shared" si="576"/>
        <v>d.permitir</v>
      </c>
      <c r="G1496" s="18" t="s">
        <v>921</v>
      </c>
      <c r="H1496" s="42" t="s">
        <v>37</v>
      </c>
      <c r="I1496" s="16" t="str">
        <f t="shared" si="57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572"/>
        <v>Propriedade destinada a permitir: é.visto.refugiado</v>
      </c>
      <c r="V1496" s="5" t="str">
        <f t="shared" si="573"/>
        <v>Dado para permitir:  visto.refugiado  Deve ser formatado como (xsd:boolean)</v>
      </c>
      <c r="W1496" s="5" t="s">
        <v>6175</v>
      </c>
      <c r="X1496" s="24" t="str">
        <f t="shared" si="574"/>
        <v>permi.115</v>
      </c>
      <c r="Y1496" s="24" t="str">
        <f t="shared" si="575"/>
        <v>Ação de permitir</v>
      </c>
      <c r="Z1496" s="47" t="s">
        <v>1802</v>
      </c>
      <c r="AA1496" s="25" t="str">
        <f t="shared" si="579"/>
        <v>null</v>
      </c>
      <c r="AB1496" s="26" t="s">
        <v>0</v>
      </c>
      <c r="AC1496" s="25" t="str">
        <f t="shared" si="580"/>
        <v>null</v>
      </c>
      <c r="AD1496" s="26" t="s">
        <v>0</v>
      </c>
      <c r="AE1496" s="25" t="str">
        <f t="shared" si="578"/>
        <v>null</v>
      </c>
      <c r="AF1496" s="26" t="s">
        <v>0</v>
      </c>
      <c r="AG1496" s="47" t="s">
        <v>8225</v>
      </c>
    </row>
    <row r="1497" spans="1:33" ht="6.9" customHeight="1" x14ac:dyDescent="0.4">
      <c r="A1497" s="4">
        <f>ROW()</f>
        <v>1497</v>
      </c>
      <c r="B1497" s="9" t="s">
        <v>27</v>
      </c>
      <c r="C1497" s="55" t="str">
        <f t="shared" si="569"/>
        <v>p.permitir</v>
      </c>
      <c r="D1497" s="6" t="str">
        <f t="shared" si="577"/>
        <v>é.visto.permanente</v>
      </c>
      <c r="E1497" s="8" t="s">
        <v>28</v>
      </c>
      <c r="F1497" s="42" t="str">
        <f t="shared" si="576"/>
        <v>d.permitir</v>
      </c>
      <c r="G1497" s="18" t="s">
        <v>922</v>
      </c>
      <c r="H1497" s="42" t="s">
        <v>37</v>
      </c>
      <c r="I1497" s="16" t="str">
        <f t="shared" si="570"/>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572"/>
        <v>Propriedade destinada a permitir: é.visto.permanente</v>
      </c>
      <c r="V1497" s="5" t="str">
        <f t="shared" si="573"/>
        <v>Dado para permitir:  visto.permanente  Deve ser formatado como (xsd:boolean)</v>
      </c>
      <c r="W1497" s="5" t="s">
        <v>6176</v>
      </c>
      <c r="X1497" s="24" t="str">
        <f t="shared" si="574"/>
        <v>permi.116</v>
      </c>
      <c r="Y1497" s="24" t="str">
        <f t="shared" si="575"/>
        <v>Ação de permitir</v>
      </c>
      <c r="Z1497" s="47" t="s">
        <v>1803</v>
      </c>
      <c r="AA1497" s="25" t="str">
        <f t="shared" si="579"/>
        <v>null</v>
      </c>
      <c r="AB1497" s="26" t="s">
        <v>0</v>
      </c>
      <c r="AC1497" s="25" t="str">
        <f t="shared" si="580"/>
        <v>null</v>
      </c>
      <c r="AD1497" s="26" t="s">
        <v>0</v>
      </c>
      <c r="AE1497" s="25" t="str">
        <f t="shared" si="578"/>
        <v>null</v>
      </c>
      <c r="AF1497" s="26" t="s">
        <v>0</v>
      </c>
      <c r="AG1497" s="47" t="s">
        <v>8226</v>
      </c>
    </row>
    <row r="1498" spans="1:33" ht="6.9" customHeight="1" x14ac:dyDescent="0.4">
      <c r="A1498" s="4">
        <f>ROW()</f>
        <v>1498</v>
      </c>
      <c r="B1498" s="9" t="s">
        <v>27</v>
      </c>
      <c r="C1498" s="55" t="str">
        <f t="shared" si="569"/>
        <v>p.permitir</v>
      </c>
      <c r="D1498" s="6" t="str">
        <f t="shared" si="577"/>
        <v>é.visto.temporário</v>
      </c>
      <c r="E1498" s="8" t="s">
        <v>28</v>
      </c>
      <c r="F1498" s="42" t="str">
        <f t="shared" si="576"/>
        <v>d.permitir</v>
      </c>
      <c r="G1498" s="18" t="s">
        <v>923</v>
      </c>
      <c r="H1498" s="42" t="s">
        <v>37</v>
      </c>
      <c r="I1498" s="16" t="str">
        <f t="shared" si="570"/>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572"/>
        <v>Propriedade destinada a permitir: é.visto.temporário</v>
      </c>
      <c r="V1498" s="5" t="str">
        <f t="shared" si="573"/>
        <v>Dado para permitir:  visto.temporário  Deve ser formatado como (xsd:boolean)</v>
      </c>
      <c r="W1498" s="5" t="s">
        <v>6177</v>
      </c>
      <c r="X1498" s="24" t="str">
        <f t="shared" si="574"/>
        <v>permi.117</v>
      </c>
      <c r="Y1498" s="24" t="str">
        <f t="shared" si="575"/>
        <v>Ação de permitir</v>
      </c>
      <c r="Z1498" s="47" t="s">
        <v>1804</v>
      </c>
      <c r="AA1498" s="25" t="str">
        <f t="shared" si="579"/>
        <v>null</v>
      </c>
      <c r="AB1498" s="26" t="s">
        <v>0</v>
      </c>
      <c r="AC1498" s="25" t="str">
        <f t="shared" si="580"/>
        <v>null</v>
      </c>
      <c r="AD1498" s="26" t="s">
        <v>0</v>
      </c>
      <c r="AE1498" s="25" t="str">
        <f t="shared" si="578"/>
        <v>null</v>
      </c>
      <c r="AF1498" s="26" t="s">
        <v>0</v>
      </c>
      <c r="AG1498" s="47" t="s">
        <v>8227</v>
      </c>
    </row>
    <row r="1499" spans="1:33" ht="6.9" customHeight="1" x14ac:dyDescent="0.4">
      <c r="A1499" s="4">
        <f>ROW()</f>
        <v>1499</v>
      </c>
      <c r="B1499" s="9" t="s">
        <v>27</v>
      </c>
      <c r="C1499" s="55" t="str">
        <f t="shared" si="569"/>
        <v>p.permitir</v>
      </c>
      <c r="D1499" s="6" t="str">
        <f t="shared" si="577"/>
        <v>é.visto.turístico</v>
      </c>
      <c r="E1499" s="8" t="s">
        <v>28</v>
      </c>
      <c r="F1499" s="42" t="str">
        <f t="shared" si="576"/>
        <v>d.permitir</v>
      </c>
      <c r="G1499" s="18" t="s">
        <v>924</v>
      </c>
      <c r="H1499" s="42" t="s">
        <v>37</v>
      </c>
      <c r="I1499" s="16" t="str">
        <f t="shared" si="570"/>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572"/>
        <v>Propriedade destinada a permitir: é.visto.turístico</v>
      </c>
      <c r="V1499" s="5" t="str">
        <f t="shared" si="573"/>
        <v>Dado para permitir:  visto.turístico  Deve ser formatado como (xsd:boolean)</v>
      </c>
      <c r="W1499" s="5" t="s">
        <v>6178</v>
      </c>
      <c r="X1499" s="24" t="str">
        <f t="shared" si="574"/>
        <v>permi.118</v>
      </c>
      <c r="Y1499" s="24" t="str">
        <f t="shared" si="575"/>
        <v>Ação de permitir</v>
      </c>
      <c r="Z1499" s="47" t="s">
        <v>1805</v>
      </c>
      <c r="AA1499" s="25" t="str">
        <f t="shared" si="579"/>
        <v>null</v>
      </c>
      <c r="AB1499" s="26" t="s">
        <v>0</v>
      </c>
      <c r="AC1499" s="25" t="str">
        <f t="shared" si="580"/>
        <v>null</v>
      </c>
      <c r="AD1499" s="26" t="s">
        <v>0</v>
      </c>
      <c r="AE1499" s="25" t="str">
        <f t="shared" si="578"/>
        <v>null</v>
      </c>
      <c r="AF1499" s="26" t="s">
        <v>0</v>
      </c>
      <c r="AG1499" s="47" t="s">
        <v>8228</v>
      </c>
    </row>
    <row r="1500" spans="1:33" ht="6.9" customHeight="1" x14ac:dyDescent="0.4">
      <c r="A1500" s="4">
        <f>ROW()</f>
        <v>1500</v>
      </c>
      <c r="B1500" s="9" t="s">
        <v>27</v>
      </c>
      <c r="C1500" s="55" t="str">
        <f t="shared" si="569"/>
        <v>p.permitir</v>
      </c>
      <c r="D1500" s="6" t="str">
        <f t="shared" si="577"/>
        <v>é.visto.de.trânsito</v>
      </c>
      <c r="E1500" s="8" t="s">
        <v>28</v>
      </c>
      <c r="F1500" s="42" t="str">
        <f t="shared" si="576"/>
        <v>d.permitir</v>
      </c>
      <c r="G1500" s="18" t="s">
        <v>1132</v>
      </c>
      <c r="H1500" s="42" t="s">
        <v>37</v>
      </c>
      <c r="I1500" s="16" t="str">
        <f t="shared" si="570"/>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72"/>
        <v>Propriedade destinada a permitir: é.visto.de.trânsito</v>
      </c>
      <c r="V1500" s="5" t="str">
        <f t="shared" si="573"/>
        <v>Dado para permitir:  visto.de.trânsito  Deve ser formatado como (xsd:boolean)</v>
      </c>
      <c r="W1500" s="5" t="s">
        <v>6179</v>
      </c>
      <c r="X1500" s="24" t="str">
        <f t="shared" si="574"/>
        <v>permi.119</v>
      </c>
      <c r="Y1500" s="24" t="str">
        <f t="shared" si="575"/>
        <v>Ação de permitir</v>
      </c>
      <c r="Z1500" s="47" t="s">
        <v>1806</v>
      </c>
      <c r="AA1500" s="25" t="str">
        <f t="shared" si="579"/>
        <v>null</v>
      </c>
      <c r="AB1500" s="26" t="s">
        <v>0</v>
      </c>
      <c r="AC1500" s="25" t="str">
        <f t="shared" si="580"/>
        <v>null</v>
      </c>
      <c r="AD1500" s="26" t="s">
        <v>0</v>
      </c>
      <c r="AE1500" s="25" t="str">
        <f t="shared" si="578"/>
        <v>null</v>
      </c>
      <c r="AF1500" s="26" t="s">
        <v>0</v>
      </c>
      <c r="AG1500" s="47" t="s">
        <v>8229</v>
      </c>
    </row>
    <row r="1501" spans="1:33" ht="6.9" customHeight="1" x14ac:dyDescent="0.4">
      <c r="A1501" s="4">
        <f>ROW()</f>
        <v>1501</v>
      </c>
      <c r="B1501" s="9" t="s">
        <v>27</v>
      </c>
      <c r="C1501" s="54" t="str">
        <f t="shared" si="569"/>
        <v>p.pesar</v>
      </c>
      <c r="D1501" s="6" t="str">
        <f t="shared" si="577"/>
        <v>é.densidade</v>
      </c>
      <c r="E1501" s="8" t="s">
        <v>28</v>
      </c>
      <c r="F1501" s="51" t="s">
        <v>3614</v>
      </c>
      <c r="G1501" s="17" t="s">
        <v>164</v>
      </c>
      <c r="H1501" s="42" t="s">
        <v>36</v>
      </c>
      <c r="I1501" s="16" t="str">
        <f t="shared" si="57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572"/>
        <v>Propriedade destinada a pesar: é.densidade</v>
      </c>
      <c r="V1501" s="5" t="str">
        <f t="shared" si="573"/>
        <v>Dado para pesar:  densidade  Deve ser formatado como (xsd:double)</v>
      </c>
      <c r="W1501" s="5" t="s">
        <v>6180</v>
      </c>
      <c r="X1501" s="24" t="str">
        <f t="shared" si="574"/>
        <v>pesar.100</v>
      </c>
      <c r="Y1501" s="24" t="str">
        <f t="shared" si="575"/>
        <v>Ação de pesar</v>
      </c>
      <c r="Z1501" s="47" t="s">
        <v>1807</v>
      </c>
      <c r="AA1501" s="25" t="str">
        <f t="shared" si="579"/>
        <v>null</v>
      </c>
      <c r="AB1501" s="26" t="s">
        <v>0</v>
      </c>
      <c r="AC1501" s="25" t="str">
        <f t="shared" si="580"/>
        <v>null</v>
      </c>
      <c r="AD1501" s="26" t="s">
        <v>0</v>
      </c>
      <c r="AE1501" s="25" t="str">
        <f t="shared" si="578"/>
        <v>null</v>
      </c>
      <c r="AF1501" s="26" t="s">
        <v>0</v>
      </c>
      <c r="AG1501" s="47" t="s">
        <v>8230</v>
      </c>
    </row>
    <row r="1502" spans="1:33" ht="6.9" customHeight="1" x14ac:dyDescent="0.4">
      <c r="A1502" s="4">
        <f>ROW()</f>
        <v>1502</v>
      </c>
      <c r="B1502" s="9" t="s">
        <v>27</v>
      </c>
      <c r="C1502" s="55" t="str">
        <f t="shared" si="569"/>
        <v>p.pesar</v>
      </c>
      <c r="D1502" s="6" t="str">
        <f t="shared" si="577"/>
        <v>é.massa</v>
      </c>
      <c r="E1502" s="8" t="s">
        <v>28</v>
      </c>
      <c r="F1502" s="42" t="str">
        <f>F1501</f>
        <v>d.pesar</v>
      </c>
      <c r="G1502" s="17" t="s">
        <v>165</v>
      </c>
      <c r="H1502" s="42" t="s">
        <v>36</v>
      </c>
      <c r="I1502" s="16" t="str">
        <f t="shared" si="57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572"/>
        <v>Propriedade destinada a pesar: é.massa</v>
      </c>
      <c r="V1502" s="5" t="str">
        <f t="shared" si="573"/>
        <v>Dado para pesar:  massa  Deve ser formatado como (xsd:double)</v>
      </c>
      <c r="W1502" s="5" t="s">
        <v>6181</v>
      </c>
      <c r="X1502" s="24" t="str">
        <f t="shared" si="574"/>
        <v>pesar.101</v>
      </c>
      <c r="Y1502" s="24" t="str">
        <f t="shared" si="575"/>
        <v>Ação de pesar</v>
      </c>
      <c r="Z1502" s="47" t="s">
        <v>1808</v>
      </c>
      <c r="AA1502" s="25" t="str">
        <f t="shared" si="579"/>
        <v>null</v>
      </c>
      <c r="AB1502" s="26" t="s">
        <v>0</v>
      </c>
      <c r="AC1502" s="25" t="str">
        <f t="shared" si="580"/>
        <v>null</v>
      </c>
      <c r="AD1502" s="26" t="s">
        <v>0</v>
      </c>
      <c r="AE1502" s="25" t="str">
        <f t="shared" si="578"/>
        <v>null</v>
      </c>
      <c r="AF1502" s="26" t="s">
        <v>0</v>
      </c>
      <c r="AG1502" s="47" t="s">
        <v>8231</v>
      </c>
    </row>
    <row r="1503" spans="1:33" ht="6.9" customHeight="1" x14ac:dyDescent="0.4">
      <c r="A1503" s="4">
        <f>ROW()</f>
        <v>1503</v>
      </c>
      <c r="B1503" s="9" t="s">
        <v>27</v>
      </c>
      <c r="C1503" s="55" t="str">
        <f t="shared" si="569"/>
        <v>p.pesar</v>
      </c>
      <c r="D1503" s="6" t="str">
        <f t="shared" si="577"/>
        <v>é.peso</v>
      </c>
      <c r="E1503" s="8" t="s">
        <v>28</v>
      </c>
      <c r="F1503" s="42" t="str">
        <f>F1502</f>
        <v>d.pesar</v>
      </c>
      <c r="G1503" s="17" t="s">
        <v>166</v>
      </c>
      <c r="H1503" s="42" t="s">
        <v>36</v>
      </c>
      <c r="I1503" s="16" t="str">
        <f t="shared" si="57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572"/>
        <v>Propriedade destinada a pesar: é.peso</v>
      </c>
      <c r="V1503" s="5" t="str">
        <f t="shared" si="573"/>
        <v>Dado para pesar:  peso  Deve ser formatado como (xsd:double)</v>
      </c>
      <c r="W1503" s="5" t="s">
        <v>6182</v>
      </c>
      <c r="X1503" s="24" t="str">
        <f t="shared" si="574"/>
        <v>pesar.102</v>
      </c>
      <c r="Y1503" s="24" t="str">
        <f t="shared" si="575"/>
        <v>Ação de pesar</v>
      </c>
      <c r="Z1503" s="47" t="s">
        <v>1809</v>
      </c>
      <c r="AA1503" s="25" t="str">
        <f t="shared" si="579"/>
        <v>null</v>
      </c>
      <c r="AB1503" s="26" t="s">
        <v>0</v>
      </c>
      <c r="AC1503" s="25" t="str">
        <f t="shared" si="580"/>
        <v>null</v>
      </c>
      <c r="AD1503" s="26" t="s">
        <v>0</v>
      </c>
      <c r="AE1503" s="25" t="str">
        <f t="shared" si="578"/>
        <v>null</v>
      </c>
      <c r="AF1503" s="26" t="s">
        <v>0</v>
      </c>
      <c r="AG1503" s="47" t="s">
        <v>8232</v>
      </c>
    </row>
    <row r="1504" spans="1:33" ht="6.9" customHeight="1" x14ac:dyDescent="0.4">
      <c r="A1504" s="4">
        <f>ROW()</f>
        <v>1504</v>
      </c>
      <c r="B1504" s="9" t="s">
        <v>27</v>
      </c>
      <c r="C1504" s="55" t="str">
        <f t="shared" si="569"/>
        <v>p.pesar</v>
      </c>
      <c r="D1504" s="6" t="str">
        <f t="shared" si="577"/>
        <v>é.peso.médio</v>
      </c>
      <c r="E1504" s="8" t="s">
        <v>28</v>
      </c>
      <c r="F1504" s="42" t="str">
        <f>F1503</f>
        <v>d.pesar</v>
      </c>
      <c r="G1504" s="17" t="s">
        <v>1266</v>
      </c>
      <c r="H1504" s="42" t="s">
        <v>36</v>
      </c>
      <c r="I1504" s="16" t="str">
        <f t="shared" si="57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572"/>
        <v>Propriedade destinada a pesar: é.peso.médio</v>
      </c>
      <c r="V1504" s="5" t="str">
        <f t="shared" si="573"/>
        <v>Dado para pesar:  peso.médio  Deve ser formatado como (xsd:double)</v>
      </c>
      <c r="W1504" s="5" t="s">
        <v>6183</v>
      </c>
      <c r="X1504" s="24" t="str">
        <f t="shared" si="574"/>
        <v>pesar.103</v>
      </c>
      <c r="Y1504" s="24" t="str">
        <f t="shared" si="575"/>
        <v>Ação de pesar</v>
      </c>
      <c r="Z1504" s="47" t="s">
        <v>1810</v>
      </c>
      <c r="AA1504" s="25" t="str">
        <f t="shared" si="579"/>
        <v>null</v>
      </c>
      <c r="AB1504" s="26" t="s">
        <v>0</v>
      </c>
      <c r="AC1504" s="25" t="str">
        <f t="shared" si="580"/>
        <v>null</v>
      </c>
      <c r="AD1504" s="26" t="s">
        <v>0</v>
      </c>
      <c r="AE1504" s="25" t="str">
        <f t="shared" si="578"/>
        <v>null</v>
      </c>
      <c r="AF1504" s="26" t="s">
        <v>0</v>
      </c>
      <c r="AG1504" s="47" t="s">
        <v>8233</v>
      </c>
    </row>
    <row r="1505" spans="1:33" ht="6.9" customHeight="1" x14ac:dyDescent="0.4">
      <c r="A1505" s="4">
        <f>ROW()</f>
        <v>1505</v>
      </c>
      <c r="B1505" s="9" t="s">
        <v>27</v>
      </c>
      <c r="C1505" s="55" t="str">
        <f t="shared" si="569"/>
        <v>p.pesar</v>
      </c>
      <c r="D1505" s="6" t="str">
        <f t="shared" si="577"/>
        <v>é.peso.por.metro</v>
      </c>
      <c r="E1505" s="8" t="s">
        <v>28</v>
      </c>
      <c r="F1505" s="42" t="str">
        <f>F1504</f>
        <v>d.pesar</v>
      </c>
      <c r="G1505" s="17" t="s">
        <v>1222</v>
      </c>
      <c r="H1505" s="42" t="s">
        <v>36</v>
      </c>
      <c r="I1505" s="16" t="str">
        <f t="shared" si="57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572"/>
        <v>Propriedade destinada a pesar: é.peso.por.metro</v>
      </c>
      <c r="V1505" s="5" t="str">
        <f t="shared" si="573"/>
        <v>Dado para pesar:  peso.por.metro  Deve ser formatado como (xsd:double)</v>
      </c>
      <c r="W1505" s="5" t="s">
        <v>6184</v>
      </c>
      <c r="X1505" s="24" t="str">
        <f t="shared" si="574"/>
        <v>pesar.104</v>
      </c>
      <c r="Y1505" s="24" t="str">
        <f t="shared" si="575"/>
        <v>Ação de pesar</v>
      </c>
      <c r="Z1505" s="47" t="s">
        <v>1811</v>
      </c>
      <c r="AA1505" s="25" t="str">
        <f t="shared" si="579"/>
        <v>null</v>
      </c>
      <c r="AB1505" s="26" t="s">
        <v>0</v>
      </c>
      <c r="AC1505" s="25" t="str">
        <f t="shared" si="580"/>
        <v>null</v>
      </c>
      <c r="AD1505" s="26" t="s">
        <v>0</v>
      </c>
      <c r="AE1505" s="25" t="str">
        <f t="shared" si="578"/>
        <v>null</v>
      </c>
      <c r="AF1505" s="26" t="s">
        <v>0</v>
      </c>
      <c r="AG1505" s="47" t="s">
        <v>8234</v>
      </c>
    </row>
    <row r="1506" spans="1:33" ht="6.9" customHeight="1" x14ac:dyDescent="0.4">
      <c r="A1506" s="4">
        <f>ROW()</f>
        <v>1506</v>
      </c>
      <c r="B1506" s="9" t="s">
        <v>27</v>
      </c>
      <c r="C1506" s="55" t="str">
        <f t="shared" si="569"/>
        <v>p.pesar</v>
      </c>
      <c r="D1506" s="6" t="str">
        <f t="shared" si="577"/>
        <v>é.massa.linear</v>
      </c>
      <c r="E1506" s="8" t="s">
        <v>28</v>
      </c>
      <c r="F1506" s="42" t="str">
        <f>F1505</f>
        <v>d.pesar</v>
      </c>
      <c r="G1506" s="17" t="s">
        <v>1249</v>
      </c>
      <c r="H1506" s="42" t="s">
        <v>36</v>
      </c>
      <c r="I1506" s="16" t="str">
        <f t="shared" si="57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572"/>
        <v>Propriedade destinada a pesar: é.massa.linear</v>
      </c>
      <c r="V1506" s="5" t="str">
        <f t="shared" si="573"/>
        <v>Dado para pesar:  massa.linear  Deve ser formatado como (xsd:double)</v>
      </c>
      <c r="W1506" s="5" t="s">
        <v>6185</v>
      </c>
      <c r="X1506" s="24" t="str">
        <f t="shared" si="574"/>
        <v>pesar.105</v>
      </c>
      <c r="Y1506" s="24" t="str">
        <f t="shared" si="575"/>
        <v>Ação de pesar</v>
      </c>
      <c r="Z1506" s="47" t="s">
        <v>1812</v>
      </c>
      <c r="AA1506" s="25" t="str">
        <f t="shared" si="579"/>
        <v>null</v>
      </c>
      <c r="AB1506" s="26" t="s">
        <v>0</v>
      </c>
      <c r="AC1506" s="25" t="str">
        <f t="shared" si="580"/>
        <v>null</v>
      </c>
      <c r="AD1506" s="26" t="s">
        <v>0</v>
      </c>
      <c r="AE1506" s="25" t="str">
        <f t="shared" si="578"/>
        <v>null</v>
      </c>
      <c r="AF1506" s="26" t="s">
        <v>0</v>
      </c>
      <c r="AG1506" s="47" t="s">
        <v>8235</v>
      </c>
    </row>
    <row r="1507" spans="1:33" ht="6.9" customHeight="1" x14ac:dyDescent="0.4">
      <c r="A1507" s="4">
        <f>ROW()</f>
        <v>1507</v>
      </c>
      <c r="B1507" s="9" t="s">
        <v>27</v>
      </c>
      <c r="C1507" s="54" t="str">
        <f t="shared" ref="C1507:C1517" si="581">SUBSTITUTE(F1507,"d.","p.")</f>
        <v>p.pintar</v>
      </c>
      <c r="D1507" s="6" t="str">
        <f t="shared" si="577"/>
        <v>é.demão</v>
      </c>
      <c r="E1507" s="8" t="s">
        <v>28</v>
      </c>
      <c r="F1507" s="51" t="s">
        <v>3615</v>
      </c>
      <c r="G1507" s="17" t="s">
        <v>7529</v>
      </c>
      <c r="H1507" s="42" t="s">
        <v>33</v>
      </c>
      <c r="I1507" s="16" t="str">
        <f t="shared" ref="I1507:I1518" si="582">J1507</f>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572"/>
        <v>Propriedade destinada a pintar: é.demão</v>
      </c>
      <c r="V1507" s="5" t="str">
        <f t="shared" si="573"/>
        <v>Dado para pintar:  demão  Deve ser formatado como (xsd:integer)</v>
      </c>
      <c r="W1507" s="5" t="s">
        <v>7539</v>
      </c>
      <c r="X1507" s="24" t="str">
        <f t="shared" si="574"/>
        <v>pinta.100</v>
      </c>
      <c r="Y1507" s="24" t="str">
        <f t="shared" si="575"/>
        <v>Ação de pintar</v>
      </c>
      <c r="Z1507" s="47" t="s">
        <v>8078</v>
      </c>
      <c r="AA1507" s="25" t="str">
        <f t="shared" ref="AA1507:AA1518" si="583">IF(AB1507="null", "null", "categoria.revit")</f>
        <v>null</v>
      </c>
      <c r="AB1507" s="26" t="s">
        <v>0</v>
      </c>
      <c r="AC1507" s="25" t="str">
        <f t="shared" ref="AC1507:AC1518" si="584">IF(AD1507="null", "null", "classe.ifc")</f>
        <v>null</v>
      </c>
      <c r="AD1507" s="26" t="s">
        <v>0</v>
      </c>
      <c r="AE1507" s="25" t="str">
        <f t="shared" ref="AE1507:AE1517" si="585">IF(AF1507="null", "null", "propriedade")</f>
        <v>null</v>
      </c>
      <c r="AF1507" s="26" t="s">
        <v>0</v>
      </c>
      <c r="AG1507" s="47" t="s">
        <v>8169</v>
      </c>
    </row>
    <row r="1508" spans="1:33" ht="6.9" customHeight="1" x14ac:dyDescent="0.4">
      <c r="A1508" s="4">
        <f>ROW()</f>
        <v>1508</v>
      </c>
      <c r="B1508" s="9" t="s">
        <v>27</v>
      </c>
      <c r="C1508" s="55" t="str">
        <f t="shared" si="581"/>
        <v>p.pintar</v>
      </c>
      <c r="D1508" s="6" t="str">
        <f t="shared" si="577"/>
        <v>é.demão.acabamento</v>
      </c>
      <c r="E1508" s="8" t="s">
        <v>28</v>
      </c>
      <c r="F1508" s="42" t="str">
        <f>F1507</f>
        <v>d.pintar</v>
      </c>
      <c r="G1508" s="17" t="s">
        <v>7534</v>
      </c>
      <c r="H1508" s="42" t="s">
        <v>2121</v>
      </c>
      <c r="I1508" s="16" t="str">
        <f t="shared" si="582"/>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572"/>
        <v>Propriedade destinada a pintar: é.demão.acabamento</v>
      </c>
      <c r="V1508" s="5" t="str">
        <f t="shared" si="573"/>
        <v>Dado para pintar:  demão.acabamento  Deve ser formatado como (rdfs:Literal  or  xsd:string)</v>
      </c>
      <c r="W1508" s="5" t="s">
        <v>7535</v>
      </c>
      <c r="X1508" s="24" t="str">
        <f t="shared" si="574"/>
        <v>pinta.101</v>
      </c>
      <c r="Y1508" s="24" t="str">
        <f t="shared" si="575"/>
        <v>Ação de pintar</v>
      </c>
      <c r="Z1508" s="47" t="s">
        <v>8079</v>
      </c>
      <c r="AA1508" s="25" t="str">
        <f t="shared" si="583"/>
        <v>null</v>
      </c>
      <c r="AB1508" s="26" t="s">
        <v>0</v>
      </c>
      <c r="AC1508" s="25" t="str">
        <f t="shared" si="584"/>
        <v>null</v>
      </c>
      <c r="AD1508" s="26" t="s">
        <v>0</v>
      </c>
      <c r="AE1508" s="25" t="str">
        <f t="shared" si="585"/>
        <v>null</v>
      </c>
      <c r="AF1508" s="26" t="s">
        <v>0</v>
      </c>
      <c r="AG1508" s="47" t="s">
        <v>8170</v>
      </c>
    </row>
    <row r="1509" spans="1:33" ht="6.9" customHeight="1" x14ac:dyDescent="0.4">
      <c r="A1509" s="4">
        <f>ROW()</f>
        <v>1509</v>
      </c>
      <c r="B1509" s="9" t="s">
        <v>27</v>
      </c>
      <c r="C1509" s="55" t="str">
        <f t="shared" si="581"/>
        <v>p.pintar</v>
      </c>
      <c r="D1509" s="6" t="str">
        <f t="shared" si="577"/>
        <v>é.demão.anticorrosiva</v>
      </c>
      <c r="E1509" s="8" t="s">
        <v>28</v>
      </c>
      <c r="F1509" s="42" t="str">
        <f t="shared" ref="F1509:F1517" si="586">F1508</f>
        <v>d.pintar</v>
      </c>
      <c r="G1509" s="17" t="s">
        <v>7540</v>
      </c>
      <c r="H1509" s="42" t="s">
        <v>2121</v>
      </c>
      <c r="I1509" s="16" t="str">
        <f t="shared" si="58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572"/>
        <v>Propriedade destinada a pintar: é.demão.anticorrosiva</v>
      </c>
      <c r="V1509" s="5" t="str">
        <f t="shared" si="573"/>
        <v>Dado para pintar:  demão.anticorrosiva  Deve ser formatado como (rdfs:Literal  or  xsd:string)</v>
      </c>
      <c r="W1509" s="5" t="s">
        <v>7546</v>
      </c>
      <c r="X1509" s="24" t="str">
        <f t="shared" si="574"/>
        <v>pinta.102</v>
      </c>
      <c r="Y1509" s="24" t="str">
        <f t="shared" si="575"/>
        <v>Ação de pintar</v>
      </c>
      <c r="Z1509" s="47" t="s">
        <v>8080</v>
      </c>
      <c r="AA1509" s="25" t="str">
        <f t="shared" si="583"/>
        <v>null</v>
      </c>
      <c r="AB1509" s="26" t="s">
        <v>0</v>
      </c>
      <c r="AC1509" s="25" t="str">
        <f t="shared" si="584"/>
        <v>null</v>
      </c>
      <c r="AD1509" s="26" t="s">
        <v>0</v>
      </c>
      <c r="AE1509" s="25" t="str">
        <f t="shared" si="585"/>
        <v>null</v>
      </c>
      <c r="AF1509" s="26" t="s">
        <v>0</v>
      </c>
      <c r="AG1509" s="47" t="s">
        <v>8171</v>
      </c>
    </row>
    <row r="1510" spans="1:33" ht="6.9" customHeight="1" x14ac:dyDescent="0.4">
      <c r="A1510" s="4">
        <f>ROW()</f>
        <v>1510</v>
      </c>
      <c r="B1510" s="9" t="s">
        <v>27</v>
      </c>
      <c r="C1510" s="55" t="str">
        <f t="shared" si="581"/>
        <v>p.pintar</v>
      </c>
      <c r="D1510" s="6" t="str">
        <f t="shared" si="577"/>
        <v>é.demão.antifungo</v>
      </c>
      <c r="E1510" s="8" t="s">
        <v>28</v>
      </c>
      <c r="F1510" s="42" t="str">
        <f t="shared" si="586"/>
        <v>d.pintar</v>
      </c>
      <c r="G1510" s="17" t="s">
        <v>7541</v>
      </c>
      <c r="H1510" s="42" t="s">
        <v>2121</v>
      </c>
      <c r="I1510" s="16" t="str">
        <f t="shared" si="58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572"/>
        <v>Propriedade destinada a pintar: é.demão.antifungo</v>
      </c>
      <c r="V1510" s="5" t="str">
        <f t="shared" si="573"/>
        <v>Dado para pintar:  demão.antifungo  Deve ser formatado como (rdfs:Literal  or  xsd:string)</v>
      </c>
      <c r="W1510" s="5" t="s">
        <v>7544</v>
      </c>
      <c r="X1510" s="24" t="str">
        <f t="shared" si="574"/>
        <v>pinta.103</v>
      </c>
      <c r="Y1510" s="24" t="str">
        <f t="shared" si="575"/>
        <v>Ação de pintar</v>
      </c>
      <c r="Z1510" s="47" t="s">
        <v>8081</v>
      </c>
      <c r="AA1510" s="25" t="str">
        <f t="shared" si="583"/>
        <v>null</v>
      </c>
      <c r="AB1510" s="26" t="s">
        <v>0</v>
      </c>
      <c r="AC1510" s="25" t="str">
        <f t="shared" si="584"/>
        <v>null</v>
      </c>
      <c r="AD1510" s="26" t="s">
        <v>0</v>
      </c>
      <c r="AE1510" s="25" t="str">
        <f t="shared" si="585"/>
        <v>null</v>
      </c>
      <c r="AF1510" s="26" t="s">
        <v>0</v>
      </c>
      <c r="AG1510" s="47" t="s">
        <v>8172</v>
      </c>
    </row>
    <row r="1511" spans="1:33" ht="6.9" customHeight="1" x14ac:dyDescent="0.4">
      <c r="A1511" s="4">
        <f>ROW()</f>
        <v>1511</v>
      </c>
      <c r="B1511" s="9" t="s">
        <v>27</v>
      </c>
      <c r="C1511" s="55" t="str">
        <f t="shared" si="581"/>
        <v>p.pintar</v>
      </c>
      <c r="D1511" s="6" t="str">
        <f t="shared" si="577"/>
        <v>é.demão.eletrostática</v>
      </c>
      <c r="E1511" s="8" t="s">
        <v>28</v>
      </c>
      <c r="F1511" s="42" t="str">
        <f t="shared" si="586"/>
        <v>d.pintar</v>
      </c>
      <c r="G1511" s="17" t="s">
        <v>7542</v>
      </c>
      <c r="H1511" s="42" t="s">
        <v>2121</v>
      </c>
      <c r="I1511" s="16" t="str">
        <f t="shared" si="582"/>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572"/>
        <v>Propriedade destinada a pintar: é.demão.eletrostática</v>
      </c>
      <c r="V1511" s="5" t="str">
        <f t="shared" si="573"/>
        <v>Dado para pintar:  demão.eletrostática  Deve ser formatado como (rdfs:Literal  or  xsd:string)</v>
      </c>
      <c r="W1511" s="5" t="s">
        <v>7543</v>
      </c>
      <c r="X1511" s="24" t="str">
        <f t="shared" si="574"/>
        <v>pinta.104</v>
      </c>
      <c r="Y1511" s="24" t="str">
        <f t="shared" si="575"/>
        <v>Ação de pintar</v>
      </c>
      <c r="Z1511" s="47" t="s">
        <v>8082</v>
      </c>
      <c r="AA1511" s="25" t="str">
        <f t="shared" si="583"/>
        <v>null</v>
      </c>
      <c r="AB1511" s="26" t="s">
        <v>0</v>
      </c>
      <c r="AC1511" s="25" t="str">
        <f t="shared" si="584"/>
        <v>null</v>
      </c>
      <c r="AD1511" s="26" t="s">
        <v>0</v>
      </c>
      <c r="AE1511" s="25" t="str">
        <f t="shared" si="585"/>
        <v>null</v>
      </c>
      <c r="AF1511" s="26" t="s">
        <v>0</v>
      </c>
      <c r="AG1511" s="47" t="s">
        <v>8173</v>
      </c>
    </row>
    <row r="1512" spans="1:33" ht="6.9" customHeight="1" x14ac:dyDescent="0.4">
      <c r="A1512" s="4">
        <f>ROW()</f>
        <v>1512</v>
      </c>
      <c r="B1512" s="9" t="s">
        <v>27</v>
      </c>
      <c r="C1512" s="55" t="str">
        <f t="shared" si="581"/>
        <v>p.pintar</v>
      </c>
      <c r="D1512" s="6" t="str">
        <f t="shared" si="577"/>
        <v>é.demão.intermédia</v>
      </c>
      <c r="E1512" s="8" t="s">
        <v>28</v>
      </c>
      <c r="F1512" s="42" t="str">
        <f t="shared" si="586"/>
        <v>d.pintar</v>
      </c>
      <c r="G1512" s="17" t="s">
        <v>7533</v>
      </c>
      <c r="H1512" s="42" t="s">
        <v>2121</v>
      </c>
      <c r="I1512" s="16" t="str">
        <f t="shared" si="58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572"/>
        <v>Propriedade destinada a pintar: é.demão.intermédia</v>
      </c>
      <c r="V1512" s="5" t="str">
        <f t="shared" si="573"/>
        <v>Dado para pintar:  demão.intermédia  Deve ser formatado como (rdfs:Literal  or  xsd:string)</v>
      </c>
      <c r="W1512" s="5" t="s">
        <v>7538</v>
      </c>
      <c r="X1512" s="24" t="str">
        <f t="shared" si="574"/>
        <v>pinta.105</v>
      </c>
      <c r="Y1512" s="24" t="str">
        <f t="shared" si="575"/>
        <v>Ação de pintar</v>
      </c>
      <c r="Z1512" s="47" t="s">
        <v>8083</v>
      </c>
      <c r="AA1512" s="25" t="str">
        <f t="shared" si="583"/>
        <v>null</v>
      </c>
      <c r="AB1512" s="26" t="s">
        <v>0</v>
      </c>
      <c r="AC1512" s="25" t="str">
        <f t="shared" si="584"/>
        <v>null</v>
      </c>
      <c r="AD1512" s="26" t="s">
        <v>0</v>
      </c>
      <c r="AE1512" s="25" t="str">
        <f t="shared" si="585"/>
        <v>null</v>
      </c>
      <c r="AF1512" s="26" t="s">
        <v>0</v>
      </c>
      <c r="AG1512" s="47" t="s">
        <v>8174</v>
      </c>
    </row>
    <row r="1513" spans="1:33" ht="6.9" customHeight="1" x14ac:dyDescent="0.4">
      <c r="A1513" s="4">
        <f>ROW()</f>
        <v>1513</v>
      </c>
      <c r="B1513" s="9" t="s">
        <v>27</v>
      </c>
      <c r="C1513" s="55" t="str">
        <f t="shared" si="581"/>
        <v>p.pintar</v>
      </c>
      <c r="D1513" s="6" t="str">
        <f t="shared" si="577"/>
        <v>é.demão.primer</v>
      </c>
      <c r="E1513" s="8" t="s">
        <v>28</v>
      </c>
      <c r="F1513" s="42" t="str">
        <f t="shared" si="586"/>
        <v>d.pintar</v>
      </c>
      <c r="G1513" s="17" t="s">
        <v>7532</v>
      </c>
      <c r="H1513" s="42" t="s">
        <v>2121</v>
      </c>
      <c r="I1513" s="16" t="str">
        <f t="shared" si="58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572"/>
        <v>Propriedade destinada a pintar: é.demão.primer</v>
      </c>
      <c r="V1513" s="5" t="str">
        <f t="shared" si="573"/>
        <v>Dado para pintar:  demão.primer  Deve ser formatado como (rdfs:Literal  or  xsd:string)</v>
      </c>
      <c r="W1513" s="5" t="s">
        <v>7537</v>
      </c>
      <c r="X1513" s="24" t="str">
        <f t="shared" si="574"/>
        <v>pinta.106</v>
      </c>
      <c r="Y1513" s="24" t="str">
        <f t="shared" si="575"/>
        <v>Ação de pintar</v>
      </c>
      <c r="Z1513" s="47" t="s">
        <v>8084</v>
      </c>
      <c r="AA1513" s="25" t="str">
        <f t="shared" si="583"/>
        <v>null</v>
      </c>
      <c r="AB1513" s="26" t="s">
        <v>0</v>
      </c>
      <c r="AC1513" s="25" t="str">
        <f t="shared" si="584"/>
        <v>null</v>
      </c>
      <c r="AD1513" s="26" t="s">
        <v>0</v>
      </c>
      <c r="AE1513" s="25" t="str">
        <f t="shared" si="585"/>
        <v>null</v>
      </c>
      <c r="AF1513" s="26" t="s">
        <v>0</v>
      </c>
      <c r="AG1513" s="47" t="s">
        <v>8175</v>
      </c>
    </row>
    <row r="1514" spans="1:33" ht="6.9" customHeight="1" x14ac:dyDescent="0.4">
      <c r="A1514" s="4">
        <f>ROW()</f>
        <v>1514</v>
      </c>
      <c r="B1514" s="9" t="s">
        <v>27</v>
      </c>
      <c r="C1514" s="55" t="str">
        <f t="shared" si="581"/>
        <v>p.pintar</v>
      </c>
      <c r="D1514" s="6" t="str">
        <f t="shared" si="577"/>
        <v>é.demão.rendimento</v>
      </c>
      <c r="E1514" s="8" t="s">
        <v>28</v>
      </c>
      <c r="F1514" s="42" t="str">
        <f t="shared" si="586"/>
        <v>d.pintar</v>
      </c>
      <c r="G1514" s="17" t="s">
        <v>7548</v>
      </c>
      <c r="H1514" s="42" t="s">
        <v>36</v>
      </c>
      <c r="I1514" s="16" t="str">
        <f t="shared" si="582"/>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572"/>
        <v>Propriedade destinada a pintar: é.demão.rendimento</v>
      </c>
      <c r="V1514" s="5" t="str">
        <f t="shared" si="573"/>
        <v>Dado para pintar:  demão.rendimento  Deve ser formatado como (xsd:double)</v>
      </c>
      <c r="W1514" s="5" t="s">
        <v>5361</v>
      </c>
      <c r="X1514" s="24" t="str">
        <f t="shared" si="574"/>
        <v>pinta.107</v>
      </c>
      <c r="Y1514" s="24" t="str">
        <f t="shared" si="575"/>
        <v>Ação de pintar</v>
      </c>
      <c r="Z1514" s="47" t="s">
        <v>1389</v>
      </c>
      <c r="AA1514" s="25" t="str">
        <f t="shared" si="583"/>
        <v>null</v>
      </c>
      <c r="AB1514" s="26" t="s">
        <v>0</v>
      </c>
      <c r="AC1514" s="25" t="str">
        <f t="shared" si="584"/>
        <v>null</v>
      </c>
      <c r="AD1514" s="26" t="s">
        <v>0</v>
      </c>
      <c r="AE1514" s="25" t="str">
        <f t="shared" si="585"/>
        <v>null</v>
      </c>
      <c r="AF1514" s="26" t="s">
        <v>0</v>
      </c>
      <c r="AG1514" s="47" t="s">
        <v>4682</v>
      </c>
    </row>
    <row r="1515" spans="1:33" ht="6.9" customHeight="1" x14ac:dyDescent="0.4">
      <c r="A1515" s="4">
        <f>ROW()</f>
        <v>1515</v>
      </c>
      <c r="B1515" s="9" t="s">
        <v>27</v>
      </c>
      <c r="C1515" s="55" t="str">
        <f t="shared" si="581"/>
        <v>p.pintar</v>
      </c>
      <c r="D1515" s="6" t="str">
        <f t="shared" si="577"/>
        <v>é.demão.selador</v>
      </c>
      <c r="E1515" s="8" t="s">
        <v>28</v>
      </c>
      <c r="F1515" s="42" t="str">
        <f t="shared" si="586"/>
        <v>d.pintar</v>
      </c>
      <c r="G1515" s="17" t="s">
        <v>7531</v>
      </c>
      <c r="H1515" s="42" t="s">
        <v>2121</v>
      </c>
      <c r="I1515" s="16" t="str">
        <f t="shared" si="58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572"/>
        <v>Propriedade destinada a pintar: é.demão.selador</v>
      </c>
      <c r="V1515" s="5" t="str">
        <f t="shared" si="573"/>
        <v>Dado para pintar:  demão.selador  Deve ser formatado como (rdfs:Literal  or  xsd:string)</v>
      </c>
      <c r="W1515" s="5" t="s">
        <v>7536</v>
      </c>
      <c r="X1515" s="24" t="str">
        <f t="shared" si="574"/>
        <v>pinta.108</v>
      </c>
      <c r="Y1515" s="24" t="str">
        <f t="shared" si="575"/>
        <v>Ação de pintar</v>
      </c>
      <c r="Z1515" s="47" t="s">
        <v>8085</v>
      </c>
      <c r="AA1515" s="25" t="str">
        <f t="shared" si="583"/>
        <v>null</v>
      </c>
      <c r="AB1515" s="26" t="s">
        <v>0</v>
      </c>
      <c r="AC1515" s="25" t="str">
        <f t="shared" si="584"/>
        <v>null</v>
      </c>
      <c r="AD1515" s="26" t="s">
        <v>0</v>
      </c>
      <c r="AE1515" s="25" t="str">
        <f t="shared" si="585"/>
        <v>null</v>
      </c>
      <c r="AF1515" s="26" t="s">
        <v>0</v>
      </c>
      <c r="AG1515" s="47" t="s">
        <v>8176</v>
      </c>
    </row>
    <row r="1516" spans="1:33" ht="6.9" customHeight="1" x14ac:dyDescent="0.4">
      <c r="A1516" s="4">
        <f>ROW()</f>
        <v>1516</v>
      </c>
      <c r="B1516" s="9" t="s">
        <v>27</v>
      </c>
      <c r="C1516" s="55" t="str">
        <f t="shared" si="581"/>
        <v>p.pintar</v>
      </c>
      <c r="D1516" s="6" t="str">
        <f t="shared" si="577"/>
        <v>é.demão.verniz</v>
      </c>
      <c r="E1516" s="8" t="s">
        <v>28</v>
      </c>
      <c r="F1516" s="42" t="str">
        <f t="shared" si="586"/>
        <v>d.pintar</v>
      </c>
      <c r="G1516" s="17" t="s">
        <v>7545</v>
      </c>
      <c r="H1516" s="42" t="s">
        <v>2121</v>
      </c>
      <c r="I1516" s="16" t="str">
        <f t="shared" si="58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72"/>
        <v>Propriedade destinada a pintar: é.demão.verniz</v>
      </c>
      <c r="V1516" s="5" t="str">
        <f t="shared" si="573"/>
        <v>Dado para pintar:  demão.verniz  Deve ser formatado como (rdfs:Literal  or  xsd:string)</v>
      </c>
      <c r="W1516" s="5" t="s">
        <v>7547</v>
      </c>
      <c r="X1516" s="24" t="str">
        <f t="shared" si="574"/>
        <v>pinta.109</v>
      </c>
      <c r="Y1516" s="24" t="str">
        <f t="shared" si="575"/>
        <v>Ação de pintar</v>
      </c>
      <c r="Z1516" s="47" t="s">
        <v>8086</v>
      </c>
      <c r="AA1516" s="25" t="str">
        <f t="shared" si="583"/>
        <v>null</v>
      </c>
      <c r="AB1516" s="26" t="s">
        <v>0</v>
      </c>
      <c r="AC1516" s="25" t="str">
        <f t="shared" si="584"/>
        <v>null</v>
      </c>
      <c r="AD1516" s="26" t="s">
        <v>0</v>
      </c>
      <c r="AE1516" s="25" t="str">
        <f t="shared" si="585"/>
        <v>null</v>
      </c>
      <c r="AF1516" s="26" t="s">
        <v>0</v>
      </c>
      <c r="AG1516" s="47" t="s">
        <v>8177</v>
      </c>
    </row>
    <row r="1517" spans="1:33" ht="6.9" customHeight="1" x14ac:dyDescent="0.4">
      <c r="A1517" s="4">
        <f>ROW()</f>
        <v>1517</v>
      </c>
      <c r="B1517" s="9" t="s">
        <v>27</v>
      </c>
      <c r="C1517" s="55" t="str">
        <f t="shared" si="581"/>
        <v>p.pintar</v>
      </c>
      <c r="D1517" s="6" t="str">
        <f t="shared" si="577"/>
        <v>é.demãos.de.tinta</v>
      </c>
      <c r="E1517" s="8" t="s">
        <v>28</v>
      </c>
      <c r="F1517" s="42" t="str">
        <f t="shared" si="586"/>
        <v>d.pintar</v>
      </c>
      <c r="G1517" s="17" t="s">
        <v>618</v>
      </c>
      <c r="H1517" s="42" t="s">
        <v>33</v>
      </c>
      <c r="I1517" s="16" t="str">
        <f t="shared" si="58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72"/>
        <v>Propriedade destinada a pintar: é.demãos.de.tinta</v>
      </c>
      <c r="V1517" s="5" t="str">
        <f t="shared" si="573"/>
        <v>Dado para pintar:  demãos.de.tinta  Deve ser formatado como (xsd:integer)</v>
      </c>
      <c r="W1517" s="5" t="s">
        <v>7530</v>
      </c>
      <c r="X1517" s="24" t="str">
        <f t="shared" si="574"/>
        <v>pinta.110</v>
      </c>
      <c r="Y1517" s="24" t="str">
        <f t="shared" si="575"/>
        <v>Ação de pintar</v>
      </c>
      <c r="Z1517" s="47" t="s">
        <v>8087</v>
      </c>
      <c r="AA1517" s="25" t="str">
        <f t="shared" si="583"/>
        <v>null</v>
      </c>
      <c r="AB1517" s="26" t="s">
        <v>0</v>
      </c>
      <c r="AC1517" s="25" t="str">
        <f t="shared" si="584"/>
        <v>null</v>
      </c>
      <c r="AD1517" s="26" t="s">
        <v>0</v>
      </c>
      <c r="AE1517" s="25" t="str">
        <f t="shared" si="585"/>
        <v>null</v>
      </c>
      <c r="AF1517" s="26" t="s">
        <v>0</v>
      </c>
      <c r="AG1517" s="47" t="s">
        <v>8178</v>
      </c>
    </row>
    <row r="1518" spans="1:33" ht="6.9" customHeight="1" x14ac:dyDescent="0.4">
      <c r="A1518" s="4">
        <f>ROW()</f>
        <v>1518</v>
      </c>
      <c r="B1518" s="9" t="s">
        <v>27</v>
      </c>
      <c r="C1518" s="54" t="str">
        <f t="shared" ref="C1518:C1570" si="587">SUBSTITUTE(F1518,"d.","p.")</f>
        <v>p.planejar</v>
      </c>
      <c r="D1518" s="6" t="str">
        <f t="shared" si="577"/>
        <v>é.antes.de</v>
      </c>
      <c r="E1518" s="8" t="s">
        <v>28</v>
      </c>
      <c r="F1518" s="51" t="s">
        <v>3616</v>
      </c>
      <c r="G1518" s="18" t="s">
        <v>928</v>
      </c>
      <c r="H1518" s="42" t="s">
        <v>2121</v>
      </c>
      <c r="I1518" s="16" t="str">
        <f t="shared" si="582"/>
        <v>null</v>
      </c>
      <c r="J1518" s="13" t="s">
        <v>0</v>
      </c>
      <c r="K1518" s="13" t="s">
        <v>0</v>
      </c>
      <c r="L1518" s="13" t="s">
        <v>31</v>
      </c>
      <c r="M1518" s="13" t="s">
        <v>0</v>
      </c>
      <c r="N1518" s="13" t="s">
        <v>270</v>
      </c>
      <c r="O1518" s="13" t="s">
        <v>0</v>
      </c>
      <c r="P1518" s="13" t="s">
        <v>271</v>
      </c>
      <c r="Q1518" s="13" t="s">
        <v>929</v>
      </c>
      <c r="R1518" s="15" t="s">
        <v>0</v>
      </c>
      <c r="S1518" s="10" t="s">
        <v>1</v>
      </c>
      <c r="T1518" s="10" t="s">
        <v>32</v>
      </c>
      <c r="U1518" s="5" t="str">
        <f t="shared" si="572"/>
        <v>Propriedade destinada a planejar: é.antes.de</v>
      </c>
      <c r="V1518" s="5" t="str">
        <f t="shared" si="573"/>
        <v>Dado para planejar:  antes.de  Deve ser formatado como (rdfs:Literal  or  xsd:string)</v>
      </c>
      <c r="W1518" s="5" t="s">
        <v>6187</v>
      </c>
      <c r="X1518" s="24" t="str">
        <f t="shared" si="574"/>
        <v>plane.100</v>
      </c>
      <c r="Y1518" s="24" t="str">
        <f t="shared" si="575"/>
        <v>Ação de planejar</v>
      </c>
      <c r="Z1518" s="47" t="s">
        <v>1814</v>
      </c>
      <c r="AA1518" s="25" t="str">
        <f t="shared" si="583"/>
        <v>null</v>
      </c>
      <c r="AB1518" s="26" t="s">
        <v>0</v>
      </c>
      <c r="AC1518" s="25" t="str">
        <f t="shared" si="584"/>
        <v>null</v>
      </c>
      <c r="AD1518" s="26" t="s">
        <v>0</v>
      </c>
      <c r="AE1518" s="25" t="str">
        <f t="shared" si="578"/>
        <v>null</v>
      </c>
      <c r="AF1518" s="26" t="s">
        <v>0</v>
      </c>
      <c r="AG1518" s="47" t="s">
        <v>3109</v>
      </c>
    </row>
    <row r="1519" spans="1:33" ht="6.9" customHeight="1" x14ac:dyDescent="0.4">
      <c r="A1519" s="4">
        <f>ROW()</f>
        <v>1519</v>
      </c>
      <c r="B1519" s="9" t="s">
        <v>27</v>
      </c>
      <c r="C1519" s="55" t="str">
        <f t="shared" si="587"/>
        <v>p.planejar</v>
      </c>
      <c r="D1519" s="6" t="str">
        <f t="shared" si="577"/>
        <v>é.depois.de</v>
      </c>
      <c r="E1519" s="8" t="s">
        <v>28</v>
      </c>
      <c r="F1519" s="42" t="str">
        <f>F1518</f>
        <v>d.planejar</v>
      </c>
      <c r="G1519" s="18" t="s">
        <v>926</v>
      </c>
      <c r="H1519" s="42" t="s">
        <v>2121</v>
      </c>
      <c r="I1519" s="16" t="str">
        <f t="shared" ref="I1519:I1520" si="588">J1519</f>
        <v>null</v>
      </c>
      <c r="J1519" s="13" t="s">
        <v>0</v>
      </c>
      <c r="K1519" s="13" t="s">
        <v>0</v>
      </c>
      <c r="L1519" s="13" t="s">
        <v>31</v>
      </c>
      <c r="M1519" s="13" t="s">
        <v>0</v>
      </c>
      <c r="N1519" s="13" t="s">
        <v>270</v>
      </c>
      <c r="O1519" s="13" t="s">
        <v>0</v>
      </c>
      <c r="P1519" s="13" t="s">
        <v>271</v>
      </c>
      <c r="Q1519" s="13" t="s">
        <v>927</v>
      </c>
      <c r="R1519" s="15" t="s">
        <v>0</v>
      </c>
      <c r="S1519" s="10" t="s">
        <v>1</v>
      </c>
      <c r="T1519" s="10" t="s">
        <v>32</v>
      </c>
      <c r="U1519" s="5" t="str">
        <f t="shared" si="572"/>
        <v>Propriedade destinada a planejar: é.depois.de</v>
      </c>
      <c r="V1519" s="5" t="str">
        <f t="shared" si="573"/>
        <v>Dado para planejar:  depois.de  Deve ser formatado como (rdfs:Literal  or  xsd:string)</v>
      </c>
      <c r="W1519" s="5" t="s">
        <v>6188</v>
      </c>
      <c r="X1519" s="24" t="str">
        <f t="shared" si="574"/>
        <v>plane.101</v>
      </c>
      <c r="Y1519" s="24" t="str">
        <f t="shared" si="575"/>
        <v>Ação de planejar</v>
      </c>
      <c r="Z1519" s="47" t="s">
        <v>1813</v>
      </c>
      <c r="AA1519" s="25" t="str">
        <f t="shared" ref="AA1519:AA1520" si="589">IF(AB1519="null", "null", "categoria.revit")</f>
        <v>null</v>
      </c>
      <c r="AB1519" s="26" t="s">
        <v>0</v>
      </c>
      <c r="AC1519" s="25" t="str">
        <f t="shared" ref="AC1519:AC1520" si="590">IF(AD1519="null", "null", "classe.ifc")</f>
        <v>null</v>
      </c>
      <c r="AD1519" s="26" t="s">
        <v>0</v>
      </c>
      <c r="AE1519" s="25" t="str">
        <f t="shared" si="578"/>
        <v>null</v>
      </c>
      <c r="AF1519" s="26" t="s">
        <v>0</v>
      </c>
      <c r="AG1519" s="47" t="s">
        <v>3108</v>
      </c>
    </row>
    <row r="1520" spans="1:33" ht="6.9" customHeight="1" x14ac:dyDescent="0.4">
      <c r="A1520" s="4">
        <f>ROW()</f>
        <v>1520</v>
      </c>
      <c r="B1520" s="9" t="s">
        <v>27</v>
      </c>
      <c r="C1520" s="55" t="str">
        <f t="shared" si="587"/>
        <v>p.planejar</v>
      </c>
      <c r="D1520" s="6" t="str">
        <f t="shared" si="577"/>
        <v>é.ciclo.de.vida</v>
      </c>
      <c r="E1520" s="8" t="s">
        <v>28</v>
      </c>
      <c r="F1520" s="42" t="str">
        <f t="shared" ref="F1520:F1527" si="591">F1519</f>
        <v>d.planejar</v>
      </c>
      <c r="G1520" s="17" t="s">
        <v>1055</v>
      </c>
      <c r="H1520" s="42" t="s">
        <v>2121</v>
      </c>
      <c r="I1520" s="16" t="str">
        <f t="shared" si="588"/>
        <v>null</v>
      </c>
      <c r="J1520" s="15" t="s">
        <v>0</v>
      </c>
      <c r="K1520" s="15" t="s">
        <v>0</v>
      </c>
      <c r="L1520" s="15" t="s">
        <v>0</v>
      </c>
      <c r="M1520" s="15" t="s">
        <v>0</v>
      </c>
      <c r="N1520" s="15" t="s">
        <v>0</v>
      </c>
      <c r="O1520" s="15" t="s">
        <v>0</v>
      </c>
      <c r="P1520" s="15" t="s">
        <v>0</v>
      </c>
      <c r="Q1520" s="15" t="s">
        <v>0</v>
      </c>
      <c r="R1520" s="15" t="s">
        <v>1128</v>
      </c>
      <c r="S1520" s="10" t="s">
        <v>1</v>
      </c>
      <c r="T1520" s="10" t="s">
        <v>32</v>
      </c>
      <c r="U1520" s="5" t="str">
        <f t="shared" si="572"/>
        <v>Propriedade destinada a planejar: é.ciclo.de.vida</v>
      </c>
      <c r="V1520" s="5" t="str">
        <f t="shared" si="573"/>
        <v>Dado para planejar:  ciclo.de.vida  Deve ser formatado como (rdfs:Literal  or  xsd:string)</v>
      </c>
      <c r="W1520" s="5" t="s">
        <v>6189</v>
      </c>
      <c r="X1520" s="24" t="str">
        <f t="shared" si="574"/>
        <v>plane.102</v>
      </c>
      <c r="Y1520" s="24" t="str">
        <f t="shared" si="575"/>
        <v>Ação de planejar</v>
      </c>
      <c r="Z1520" s="47" t="s">
        <v>3807</v>
      </c>
      <c r="AA1520" s="25" t="str">
        <f t="shared" si="589"/>
        <v>null</v>
      </c>
      <c r="AB1520" s="26" t="s">
        <v>0</v>
      </c>
      <c r="AC1520" s="25" t="str">
        <f t="shared" si="590"/>
        <v>null</v>
      </c>
      <c r="AD1520" s="26" t="s">
        <v>0</v>
      </c>
      <c r="AE1520" s="25" t="str">
        <f t="shared" si="578"/>
        <v>null</v>
      </c>
      <c r="AF1520" s="26" t="s">
        <v>0</v>
      </c>
      <c r="AG1520" s="47" t="s">
        <v>3855</v>
      </c>
    </row>
    <row r="1521" spans="1:33" ht="6.9" customHeight="1" x14ac:dyDescent="0.4">
      <c r="A1521" s="4">
        <f>ROW()</f>
        <v>1521</v>
      </c>
      <c r="B1521" s="9" t="s">
        <v>27</v>
      </c>
      <c r="C1521" s="55" t="str">
        <f t="shared" si="587"/>
        <v>p.planejar</v>
      </c>
      <c r="D1521" s="6" t="str">
        <f t="shared" si="577"/>
        <v>é.concomitante.a</v>
      </c>
      <c r="E1521" s="8" t="s">
        <v>28</v>
      </c>
      <c r="F1521" s="42" t="str">
        <f t="shared" si="591"/>
        <v>d.planejar</v>
      </c>
      <c r="G1521" s="18" t="s">
        <v>930</v>
      </c>
      <c r="H1521" s="42" t="s">
        <v>2121</v>
      </c>
      <c r="I1521" s="16" t="str">
        <f t="shared" ref="I1521:I1527" si="592">J1521</f>
        <v>null</v>
      </c>
      <c r="J1521" s="13" t="s">
        <v>0</v>
      </c>
      <c r="K1521" s="13" t="s">
        <v>0</v>
      </c>
      <c r="L1521" s="13" t="s">
        <v>31</v>
      </c>
      <c r="M1521" s="13" t="s">
        <v>35</v>
      </c>
      <c r="N1521" s="15" t="s">
        <v>0</v>
      </c>
      <c r="O1521" s="13" t="s">
        <v>0</v>
      </c>
      <c r="P1521" s="13" t="s">
        <v>0</v>
      </c>
      <c r="Q1521" s="13" t="s">
        <v>0</v>
      </c>
      <c r="R1521" s="15" t="s">
        <v>0</v>
      </c>
      <c r="S1521" s="10" t="s">
        <v>1</v>
      </c>
      <c r="T1521" s="10" t="s">
        <v>32</v>
      </c>
      <c r="U1521" s="5" t="str">
        <f t="shared" si="572"/>
        <v>Propriedade destinada a planejar: é.concomitante.a</v>
      </c>
      <c r="V1521" s="5" t="str">
        <f t="shared" si="573"/>
        <v>Dado para planejar:  concomitante.a  Deve ser formatado como (rdfs:Literal  or  xsd:string)</v>
      </c>
      <c r="W1521" s="5" t="s">
        <v>6190</v>
      </c>
      <c r="X1521" s="24" t="str">
        <f t="shared" si="574"/>
        <v>plane.103</v>
      </c>
      <c r="Y1521" s="24" t="str">
        <f t="shared" si="575"/>
        <v>Ação de planejar</v>
      </c>
      <c r="Z1521" s="47" t="s">
        <v>1815</v>
      </c>
      <c r="AA1521" s="25" t="str">
        <f t="shared" ref="AA1521:AA1527" si="593">IF(AB1521="null", "null", "categoria.revit")</f>
        <v>null</v>
      </c>
      <c r="AB1521" s="26" t="s">
        <v>0</v>
      </c>
      <c r="AC1521" s="25" t="str">
        <f t="shared" ref="AC1521:AC1527" si="594">IF(AD1521="null", "null", "classe.ifc")</f>
        <v>null</v>
      </c>
      <c r="AD1521" s="26" t="s">
        <v>0</v>
      </c>
      <c r="AE1521" s="25" t="str">
        <f t="shared" si="578"/>
        <v>null</v>
      </c>
      <c r="AF1521" s="26" t="s">
        <v>0</v>
      </c>
      <c r="AG1521" s="47" t="s">
        <v>3110</v>
      </c>
    </row>
    <row r="1522" spans="1:33" ht="6.9" customHeight="1" x14ac:dyDescent="0.4">
      <c r="A1522" s="4">
        <f>ROW()</f>
        <v>1522</v>
      </c>
      <c r="B1522" s="9" t="s">
        <v>27</v>
      </c>
      <c r="C1522" s="55" t="str">
        <f t="shared" si="587"/>
        <v>p.planejar</v>
      </c>
      <c r="D1522" s="6" t="str">
        <f t="shared" si="577"/>
        <v>é.cronometrado</v>
      </c>
      <c r="E1522" s="8" t="s">
        <v>28</v>
      </c>
      <c r="F1522" s="42" t="str">
        <f t="shared" si="591"/>
        <v>d.planejar</v>
      </c>
      <c r="G1522" s="18" t="s">
        <v>2492</v>
      </c>
      <c r="H1522" s="42" t="s">
        <v>2121</v>
      </c>
      <c r="I1522" s="16" t="str">
        <f t="shared" si="592"/>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572"/>
        <v>Propriedade destinada a planejar: é.cronometrado</v>
      </c>
      <c r="V1522" s="5" t="str">
        <f t="shared" si="573"/>
        <v>Dado para planejar:  cronometrado  Deve ser formatado como (rdfs:Literal  or  xsd:string)</v>
      </c>
      <c r="W1522" s="5" t="s">
        <v>6191</v>
      </c>
      <c r="X1522" s="24" t="str">
        <f t="shared" si="574"/>
        <v>plane.104</v>
      </c>
      <c r="Y1522" s="24" t="str">
        <f t="shared" si="575"/>
        <v>Ação de planejar</v>
      </c>
      <c r="Z1522" s="47" t="s">
        <v>2493</v>
      </c>
      <c r="AA1522" s="25" t="str">
        <f t="shared" si="593"/>
        <v>null</v>
      </c>
      <c r="AB1522" s="26" t="s">
        <v>0</v>
      </c>
      <c r="AC1522" s="25" t="str">
        <f t="shared" si="594"/>
        <v>null</v>
      </c>
      <c r="AD1522" s="26" t="s">
        <v>0</v>
      </c>
      <c r="AE1522" s="25" t="str">
        <f t="shared" si="578"/>
        <v>null</v>
      </c>
      <c r="AF1522" s="26" t="s">
        <v>0</v>
      </c>
      <c r="AG1522" s="47" t="s">
        <v>3111</v>
      </c>
    </row>
    <row r="1523" spans="1:33" ht="6.9" customHeight="1" x14ac:dyDescent="0.4">
      <c r="A1523" s="4">
        <f>ROW()</f>
        <v>1523</v>
      </c>
      <c r="B1523" s="9" t="s">
        <v>27</v>
      </c>
      <c r="C1523" s="55" t="str">
        <f t="shared" si="587"/>
        <v>p.planejar</v>
      </c>
      <c r="D1523" s="6" t="str">
        <f t="shared" si="577"/>
        <v>é.evento</v>
      </c>
      <c r="E1523" s="8" t="s">
        <v>28</v>
      </c>
      <c r="F1523" s="42" t="str">
        <f t="shared" si="591"/>
        <v>d.planejar</v>
      </c>
      <c r="G1523" s="18" t="s">
        <v>197</v>
      </c>
      <c r="H1523" s="42" t="s">
        <v>2121</v>
      </c>
      <c r="I1523" s="16" t="str">
        <f t="shared" si="592"/>
        <v>null</v>
      </c>
      <c r="J1523" s="13" t="s">
        <v>0</v>
      </c>
      <c r="K1523" s="13" t="s">
        <v>0</v>
      </c>
      <c r="L1523" s="13" t="s">
        <v>0</v>
      </c>
      <c r="M1523" s="13" t="s">
        <v>0</v>
      </c>
      <c r="N1523" s="15" t="s">
        <v>0</v>
      </c>
      <c r="O1523" s="13" t="s">
        <v>0</v>
      </c>
      <c r="P1523" s="13" t="s">
        <v>0</v>
      </c>
      <c r="Q1523" s="13" t="s">
        <v>0</v>
      </c>
      <c r="R1523" s="20" t="s">
        <v>1076</v>
      </c>
      <c r="S1523" s="10" t="s">
        <v>1</v>
      </c>
      <c r="T1523" s="10" t="s">
        <v>32</v>
      </c>
      <c r="U1523" s="5" t="str">
        <f t="shared" si="572"/>
        <v>Propriedade destinada a planejar: é.evento</v>
      </c>
      <c r="V1523" s="5" t="str">
        <f t="shared" si="573"/>
        <v>Dado para planejar:  evento  Deve ser formatado como (rdfs:Literal  or  xsd:string)</v>
      </c>
      <c r="W1523" s="5" t="s">
        <v>6192</v>
      </c>
      <c r="X1523" s="24" t="str">
        <f t="shared" si="574"/>
        <v>plane.105</v>
      </c>
      <c r="Y1523" s="24" t="str">
        <f t="shared" si="575"/>
        <v>Ação de planejar</v>
      </c>
      <c r="Z1523" s="47" t="s">
        <v>1818</v>
      </c>
      <c r="AA1523" s="25" t="str">
        <f t="shared" si="593"/>
        <v>null</v>
      </c>
      <c r="AB1523" s="26" t="s">
        <v>0</v>
      </c>
      <c r="AC1523" s="25" t="str">
        <f t="shared" si="594"/>
        <v>null</v>
      </c>
      <c r="AD1523" s="26" t="s">
        <v>0</v>
      </c>
      <c r="AE1523" s="25" t="str">
        <f t="shared" si="578"/>
        <v>null</v>
      </c>
      <c r="AF1523" s="26" t="s">
        <v>0</v>
      </c>
      <c r="AG1523" s="47" t="s">
        <v>3114</v>
      </c>
    </row>
    <row r="1524" spans="1:33" ht="6.9" customHeight="1" x14ac:dyDescent="0.4">
      <c r="A1524" s="4">
        <f>ROW()</f>
        <v>1524</v>
      </c>
      <c r="B1524" s="9" t="s">
        <v>27</v>
      </c>
      <c r="C1524" s="55" t="str">
        <f t="shared" si="587"/>
        <v>p.planejar</v>
      </c>
      <c r="D1524" s="6" t="str">
        <f t="shared" si="577"/>
        <v>é.evento.final</v>
      </c>
      <c r="E1524" s="8" t="s">
        <v>28</v>
      </c>
      <c r="F1524" s="42" t="str">
        <f t="shared" si="591"/>
        <v>d.planejar</v>
      </c>
      <c r="G1524" s="18" t="s">
        <v>933</v>
      </c>
      <c r="H1524" s="42" t="s">
        <v>2121</v>
      </c>
      <c r="I1524" s="16" t="str">
        <f t="shared" si="592"/>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572"/>
        <v>Propriedade destinada a planejar: é.evento.final</v>
      </c>
      <c r="V1524" s="5" t="str">
        <f t="shared" si="573"/>
        <v>Dado para planejar:  evento.final  Deve ser formatado como (rdfs:Literal  or  xsd:string)</v>
      </c>
      <c r="W1524" s="5" t="s">
        <v>6193</v>
      </c>
      <c r="X1524" s="24" t="str">
        <f t="shared" si="574"/>
        <v>plane.106</v>
      </c>
      <c r="Y1524" s="24" t="str">
        <f t="shared" si="575"/>
        <v>Ação de planejar</v>
      </c>
      <c r="Z1524" s="47" t="s">
        <v>1819</v>
      </c>
      <c r="AA1524" s="25" t="str">
        <f t="shared" si="593"/>
        <v>null</v>
      </c>
      <c r="AB1524" s="26" t="s">
        <v>0</v>
      </c>
      <c r="AC1524" s="25" t="str">
        <f t="shared" si="594"/>
        <v>null</v>
      </c>
      <c r="AD1524" s="26" t="s">
        <v>0</v>
      </c>
      <c r="AE1524" s="25" t="str">
        <f t="shared" si="578"/>
        <v>null</v>
      </c>
      <c r="AF1524" s="26" t="s">
        <v>0</v>
      </c>
      <c r="AG1524" s="47" t="s">
        <v>3115</v>
      </c>
    </row>
    <row r="1525" spans="1:33" ht="6.9" customHeight="1" x14ac:dyDescent="0.4">
      <c r="A1525" s="4">
        <f>ROW()</f>
        <v>1525</v>
      </c>
      <c r="B1525" s="9" t="s">
        <v>27</v>
      </c>
      <c r="C1525" s="55" t="str">
        <f t="shared" si="587"/>
        <v>p.planejar</v>
      </c>
      <c r="D1525" s="6" t="str">
        <f t="shared" si="577"/>
        <v>é.evento.inicial</v>
      </c>
      <c r="E1525" s="8" t="s">
        <v>28</v>
      </c>
      <c r="F1525" s="42" t="str">
        <f t="shared" si="591"/>
        <v>d.planejar</v>
      </c>
      <c r="G1525" s="18" t="s">
        <v>932</v>
      </c>
      <c r="H1525" s="42" t="s">
        <v>2121</v>
      </c>
      <c r="I1525" s="16" t="str">
        <f t="shared" si="592"/>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572"/>
        <v>Propriedade destinada a planejar: é.evento.inicial</v>
      </c>
      <c r="V1525" s="5" t="str">
        <f t="shared" si="573"/>
        <v>Dado para planejar:  evento.inicial  Deve ser formatado como (rdfs:Literal  or  xsd:string)</v>
      </c>
      <c r="W1525" s="5" t="s">
        <v>6194</v>
      </c>
      <c r="X1525" s="24" t="str">
        <f t="shared" si="574"/>
        <v>plane.107</v>
      </c>
      <c r="Y1525" s="24" t="str">
        <f t="shared" si="575"/>
        <v>Ação de planejar</v>
      </c>
      <c r="Z1525" s="47" t="s">
        <v>1817</v>
      </c>
      <c r="AA1525" s="25" t="str">
        <f t="shared" si="593"/>
        <v>null</v>
      </c>
      <c r="AB1525" s="26" t="s">
        <v>0</v>
      </c>
      <c r="AC1525" s="25" t="str">
        <f t="shared" si="594"/>
        <v>null</v>
      </c>
      <c r="AD1525" s="26" t="s">
        <v>0</v>
      </c>
      <c r="AE1525" s="25" t="str">
        <f t="shared" si="578"/>
        <v>null</v>
      </c>
      <c r="AF1525" s="26" t="s">
        <v>0</v>
      </c>
      <c r="AG1525" s="47" t="s">
        <v>3113</v>
      </c>
    </row>
    <row r="1526" spans="1:33" ht="6.9" customHeight="1" x14ac:dyDescent="0.4">
      <c r="A1526" s="4">
        <f>ROW()</f>
        <v>1526</v>
      </c>
      <c r="B1526" s="9" t="s">
        <v>27</v>
      </c>
      <c r="C1526" s="55" t="str">
        <f t="shared" si="587"/>
        <v>p.planejar</v>
      </c>
      <c r="D1526" s="6" t="str">
        <f t="shared" si="577"/>
        <v>é.simultâneo.a</v>
      </c>
      <c r="E1526" s="8" t="s">
        <v>28</v>
      </c>
      <c r="F1526" s="42" t="str">
        <f t="shared" si="591"/>
        <v>d.planejar</v>
      </c>
      <c r="G1526" s="18" t="s">
        <v>931</v>
      </c>
      <c r="H1526" s="42" t="s">
        <v>2121</v>
      </c>
      <c r="I1526" s="16" t="str">
        <f t="shared" si="592"/>
        <v>null</v>
      </c>
      <c r="J1526" s="13" t="s">
        <v>0</v>
      </c>
      <c r="K1526" s="13" t="s">
        <v>0</v>
      </c>
      <c r="L1526" s="13" t="s">
        <v>31</v>
      </c>
      <c r="M1526" s="13" t="s">
        <v>35</v>
      </c>
      <c r="N1526" s="15" t="s">
        <v>0</v>
      </c>
      <c r="O1526" s="13" t="s">
        <v>0</v>
      </c>
      <c r="P1526" s="13" t="s">
        <v>0</v>
      </c>
      <c r="Q1526" s="13" t="s">
        <v>0</v>
      </c>
      <c r="R1526" s="15" t="s">
        <v>0</v>
      </c>
      <c r="S1526" s="10" t="s">
        <v>1</v>
      </c>
      <c r="T1526" s="10" t="s">
        <v>32</v>
      </c>
      <c r="U1526" s="5" t="str">
        <f t="shared" si="572"/>
        <v>Propriedade destinada a planejar: é.simultâneo.a</v>
      </c>
      <c r="V1526" s="5" t="str">
        <f t="shared" si="573"/>
        <v>Dado para planejar:  simultâneo.a  Deve ser formatado como (rdfs:Literal  or  xsd:string)</v>
      </c>
      <c r="W1526" s="5" t="s">
        <v>6195</v>
      </c>
      <c r="X1526" s="24" t="str">
        <f t="shared" si="574"/>
        <v>plane.108</v>
      </c>
      <c r="Y1526" s="24" t="str">
        <f t="shared" si="575"/>
        <v>Ação de planejar</v>
      </c>
      <c r="Z1526" s="47" t="s">
        <v>1816</v>
      </c>
      <c r="AA1526" s="25" t="str">
        <f t="shared" si="593"/>
        <v>null</v>
      </c>
      <c r="AB1526" s="26" t="s">
        <v>0</v>
      </c>
      <c r="AC1526" s="25" t="str">
        <f t="shared" si="594"/>
        <v>null</v>
      </c>
      <c r="AD1526" s="26" t="s">
        <v>0</v>
      </c>
      <c r="AE1526" s="25" t="str">
        <f t="shared" si="578"/>
        <v>null</v>
      </c>
      <c r="AF1526" s="26" t="s">
        <v>0</v>
      </c>
      <c r="AG1526" s="47" t="s">
        <v>3112</v>
      </c>
    </row>
    <row r="1527" spans="1:33" ht="6.9" customHeight="1" x14ac:dyDescent="0.4">
      <c r="A1527" s="4">
        <f>ROW()</f>
        <v>1527</v>
      </c>
      <c r="B1527" s="9" t="s">
        <v>27</v>
      </c>
      <c r="C1527" s="55" t="str">
        <f>SUBSTITUTE(F1527,"d.","p.")</f>
        <v>p.planejar</v>
      </c>
      <c r="D1527" s="6" t="str">
        <f t="shared" si="577"/>
        <v>é.vida.útil</v>
      </c>
      <c r="E1527" s="8" t="s">
        <v>28</v>
      </c>
      <c r="F1527" s="42" t="str">
        <f t="shared" si="591"/>
        <v>d.planejar</v>
      </c>
      <c r="G1527" s="18" t="s">
        <v>934</v>
      </c>
      <c r="H1527" s="42" t="s">
        <v>2121</v>
      </c>
      <c r="I1527" s="16" t="str">
        <f t="shared" si="592"/>
        <v>null</v>
      </c>
      <c r="J1527" s="13" t="s">
        <v>0</v>
      </c>
      <c r="K1527" s="13" t="s">
        <v>0</v>
      </c>
      <c r="L1527" s="13" t="s">
        <v>0</v>
      </c>
      <c r="M1527" s="13" t="s">
        <v>0</v>
      </c>
      <c r="N1527" s="15" t="s">
        <v>0</v>
      </c>
      <c r="O1527" s="13" t="s">
        <v>0</v>
      </c>
      <c r="P1527" s="13" t="s">
        <v>0</v>
      </c>
      <c r="Q1527" s="13" t="s">
        <v>0</v>
      </c>
      <c r="R1527" s="15" t="s">
        <v>1075</v>
      </c>
      <c r="S1527" s="10" t="s">
        <v>1</v>
      </c>
      <c r="T1527" s="10" t="s">
        <v>32</v>
      </c>
      <c r="U1527" s="5" t="str">
        <f t="shared" si="572"/>
        <v>Propriedade destinada a planejar: é.vida.útil</v>
      </c>
      <c r="V1527" s="5" t="str">
        <f t="shared" si="573"/>
        <v>Dado para planejar:  vida.útil  Deve ser formatado como (rdfs:Literal  or  xsd:string)</v>
      </c>
      <c r="W1527" s="5" t="s">
        <v>6196</v>
      </c>
      <c r="X1527" s="24" t="str">
        <f t="shared" si="574"/>
        <v>plane.109</v>
      </c>
      <c r="Y1527" s="24" t="str">
        <f t="shared" si="575"/>
        <v>Ação de planejar</v>
      </c>
      <c r="Z1527" s="47" t="s">
        <v>1820</v>
      </c>
      <c r="AA1527" s="25" t="str">
        <f t="shared" si="593"/>
        <v>null</v>
      </c>
      <c r="AB1527" s="26" t="s">
        <v>0</v>
      </c>
      <c r="AC1527" s="25" t="str">
        <f t="shared" si="594"/>
        <v>null</v>
      </c>
      <c r="AD1527" s="26" t="s">
        <v>0</v>
      </c>
      <c r="AE1527" s="25" t="str">
        <f t="shared" si="578"/>
        <v>null</v>
      </c>
      <c r="AF1527" s="26" t="s">
        <v>0</v>
      </c>
      <c r="AG1527" s="47" t="s">
        <v>3116</v>
      </c>
    </row>
    <row r="1528" spans="1:33" ht="6.9" customHeight="1" x14ac:dyDescent="0.4">
      <c r="A1528" s="4">
        <f>ROW()</f>
        <v>1528</v>
      </c>
      <c r="B1528" s="9" t="s">
        <v>27</v>
      </c>
      <c r="C1528" s="54" t="str">
        <f t="shared" si="587"/>
        <v xml:space="preserve">p.posicionar </v>
      </c>
      <c r="D1528" s="6" t="str">
        <f t="shared" si="577"/>
        <v>é.centralizado</v>
      </c>
      <c r="E1528" s="8" t="s">
        <v>28</v>
      </c>
      <c r="F1528" s="50" t="s">
        <v>3617</v>
      </c>
      <c r="G1528" s="18" t="s">
        <v>231</v>
      </c>
      <c r="H1528" s="42" t="s">
        <v>2121</v>
      </c>
      <c r="I1528" s="16" t="str">
        <f t="shared" ref="I1528:I1573" si="595">J1528</f>
        <v>null</v>
      </c>
      <c r="J1528" s="13" t="s">
        <v>0</v>
      </c>
      <c r="K1528" s="13" t="s">
        <v>0</v>
      </c>
      <c r="L1528" s="13" t="s">
        <v>0</v>
      </c>
      <c r="M1528" s="13" t="s">
        <v>35</v>
      </c>
      <c r="N1528" s="15" t="s">
        <v>0</v>
      </c>
      <c r="O1528" s="13" t="s">
        <v>0</v>
      </c>
      <c r="P1528" s="13" t="s">
        <v>0</v>
      </c>
      <c r="Q1528" s="13" t="s">
        <v>0</v>
      </c>
      <c r="R1528" s="15" t="s">
        <v>0</v>
      </c>
      <c r="S1528" s="10" t="s">
        <v>1</v>
      </c>
      <c r="T1528" s="10" t="s">
        <v>32</v>
      </c>
      <c r="U1528" s="5" t="str">
        <f t="shared" si="572"/>
        <v>Propriedade destinada a posicionar : é.centralizado</v>
      </c>
      <c r="V1528" s="5" t="str">
        <f t="shared" si="573"/>
        <v>Dado para posicionar :  centralizado  Deve ser formatado como (rdfs:Literal  or  xsd:string)</v>
      </c>
      <c r="W1528" s="5" t="s">
        <v>6197</v>
      </c>
      <c r="X1528" s="24" t="str">
        <f t="shared" si="574"/>
        <v>posic.100</v>
      </c>
      <c r="Y1528" s="24" t="str">
        <f t="shared" si="575"/>
        <v xml:space="preserve">Ação de posicionar </v>
      </c>
      <c r="Z1528" s="47" t="s">
        <v>1821</v>
      </c>
      <c r="AA1528" s="25" t="str">
        <f t="shared" si="579"/>
        <v>null</v>
      </c>
      <c r="AB1528" s="26" t="s">
        <v>0</v>
      </c>
      <c r="AC1528" s="25" t="str">
        <f t="shared" si="580"/>
        <v>null</v>
      </c>
      <c r="AD1528" s="26" t="s">
        <v>0</v>
      </c>
      <c r="AE1528" s="25" t="str">
        <f t="shared" si="578"/>
        <v>null</v>
      </c>
      <c r="AF1528" s="26" t="s">
        <v>0</v>
      </c>
      <c r="AG1528" s="47" t="s">
        <v>3117</v>
      </c>
    </row>
    <row r="1529" spans="1:33" ht="6.9" customHeight="1" x14ac:dyDescent="0.4">
      <c r="A1529" s="4">
        <f>ROW()</f>
        <v>1529</v>
      </c>
      <c r="B1529" s="9" t="s">
        <v>27</v>
      </c>
      <c r="C1529" s="55" t="str">
        <f t="shared" si="587"/>
        <v xml:space="preserve">p.posicionar </v>
      </c>
      <c r="D1529" s="6" t="str">
        <f t="shared" si="577"/>
        <v>é.perimetral</v>
      </c>
      <c r="E1529" s="8" t="s">
        <v>28</v>
      </c>
      <c r="F1529" s="42" t="str">
        <f t="shared" ref="F1529:F1556" si="596">F1528</f>
        <v xml:space="preserve">d.posicionar </v>
      </c>
      <c r="G1529" s="18" t="s">
        <v>232</v>
      </c>
      <c r="H1529" s="42" t="s">
        <v>2121</v>
      </c>
      <c r="I1529" s="16" t="str">
        <f t="shared" si="595"/>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572"/>
        <v>Propriedade destinada a posicionar : é.perimetral</v>
      </c>
      <c r="V1529" s="5" t="str">
        <f t="shared" si="573"/>
        <v>Dado para posicionar :  perimetral  Deve ser formatado como (rdfs:Literal  or  xsd:string)</v>
      </c>
      <c r="W1529" s="5" t="s">
        <v>6198</v>
      </c>
      <c r="X1529" s="24" t="str">
        <f t="shared" si="574"/>
        <v>posic.101</v>
      </c>
      <c r="Y1529" s="24" t="str">
        <f t="shared" si="575"/>
        <v xml:space="preserve">Ação de posicionar </v>
      </c>
      <c r="Z1529" s="47" t="s">
        <v>1822</v>
      </c>
      <c r="AA1529" s="25" t="str">
        <f t="shared" si="579"/>
        <v>null</v>
      </c>
      <c r="AB1529" s="26" t="s">
        <v>0</v>
      </c>
      <c r="AC1529" s="25" t="str">
        <f t="shared" si="580"/>
        <v>null</v>
      </c>
      <c r="AD1529" s="26" t="s">
        <v>0</v>
      </c>
      <c r="AE1529" s="25" t="str">
        <f t="shared" si="578"/>
        <v>null</v>
      </c>
      <c r="AF1529" s="26" t="s">
        <v>0</v>
      </c>
      <c r="AG1529" s="47" t="s">
        <v>3118</v>
      </c>
    </row>
    <row r="1530" spans="1:33" ht="6.9" customHeight="1" x14ac:dyDescent="0.4">
      <c r="A1530" s="4">
        <f>ROW()</f>
        <v>1530</v>
      </c>
      <c r="B1530" s="9" t="s">
        <v>27</v>
      </c>
      <c r="C1530" s="55" t="str">
        <f t="shared" si="587"/>
        <v xml:space="preserve">p.posicionar </v>
      </c>
      <c r="D1530" s="6" t="str">
        <f t="shared" si="577"/>
        <v>é.equidistante.a</v>
      </c>
      <c r="E1530" s="8" t="s">
        <v>28</v>
      </c>
      <c r="F1530" s="42" t="str">
        <f t="shared" si="596"/>
        <v xml:space="preserve">d.posicionar </v>
      </c>
      <c r="G1530" s="18" t="s">
        <v>935</v>
      </c>
      <c r="H1530" s="42" t="s">
        <v>2121</v>
      </c>
      <c r="I1530" s="16" t="str">
        <f t="shared" si="595"/>
        <v>null</v>
      </c>
      <c r="J1530" s="13" t="s">
        <v>0</v>
      </c>
      <c r="K1530" s="13" t="s">
        <v>0</v>
      </c>
      <c r="L1530" s="13" t="s">
        <v>0</v>
      </c>
      <c r="M1530" s="13" t="s">
        <v>35</v>
      </c>
      <c r="N1530" s="15" t="s">
        <v>0</v>
      </c>
      <c r="O1530" s="13" t="s">
        <v>0</v>
      </c>
      <c r="P1530" s="13" t="s">
        <v>0</v>
      </c>
      <c r="Q1530" s="13" t="s">
        <v>0</v>
      </c>
      <c r="R1530" s="15" t="s">
        <v>0</v>
      </c>
      <c r="S1530" s="10" t="s">
        <v>1</v>
      </c>
      <c r="T1530" s="10" t="s">
        <v>32</v>
      </c>
      <c r="U1530" s="5" t="str">
        <f t="shared" si="572"/>
        <v>Propriedade destinada a posicionar : é.equidistante.a</v>
      </c>
      <c r="V1530" s="5" t="str">
        <f t="shared" si="573"/>
        <v>Dado para posicionar :  equidistante.a  Deve ser formatado como (rdfs:Literal  or  xsd:string)</v>
      </c>
      <c r="W1530" s="5" t="s">
        <v>6199</v>
      </c>
      <c r="X1530" s="24" t="str">
        <f t="shared" si="574"/>
        <v>posic.102</v>
      </c>
      <c r="Y1530" s="24" t="str">
        <f t="shared" si="575"/>
        <v xml:space="preserve">Ação de posicionar </v>
      </c>
      <c r="Z1530" s="47" t="s">
        <v>1823</v>
      </c>
      <c r="AA1530" s="25" t="str">
        <f t="shared" si="579"/>
        <v>null</v>
      </c>
      <c r="AB1530" s="26" t="s">
        <v>0</v>
      </c>
      <c r="AC1530" s="25" t="str">
        <f t="shared" si="580"/>
        <v>null</v>
      </c>
      <c r="AD1530" s="26" t="s">
        <v>0</v>
      </c>
      <c r="AE1530" s="25" t="str">
        <f t="shared" si="578"/>
        <v>null</v>
      </c>
      <c r="AF1530" s="26" t="s">
        <v>0</v>
      </c>
      <c r="AG1530" s="47" t="s">
        <v>3119</v>
      </c>
    </row>
    <row r="1531" spans="1:33" ht="6.9" customHeight="1" x14ac:dyDescent="0.4">
      <c r="A1531" s="4">
        <f>ROW()</f>
        <v>1531</v>
      </c>
      <c r="B1531" s="9" t="s">
        <v>27</v>
      </c>
      <c r="C1531" s="55" t="str">
        <f t="shared" si="587"/>
        <v xml:space="preserve">p.posicionar </v>
      </c>
      <c r="D1531" s="6" t="str">
        <f t="shared" si="577"/>
        <v>é.ortogonal.a</v>
      </c>
      <c r="E1531" s="8" t="s">
        <v>28</v>
      </c>
      <c r="F1531" s="42" t="str">
        <f t="shared" si="596"/>
        <v xml:space="preserve">d.posicionar </v>
      </c>
      <c r="G1531" s="18" t="s">
        <v>936</v>
      </c>
      <c r="H1531" s="42" t="s">
        <v>2121</v>
      </c>
      <c r="I1531" s="16" t="str">
        <f t="shared" si="595"/>
        <v>null</v>
      </c>
      <c r="J1531" s="13" t="s">
        <v>0</v>
      </c>
      <c r="K1531" s="13" t="s">
        <v>0</v>
      </c>
      <c r="L1531" s="13" t="s">
        <v>0</v>
      </c>
      <c r="M1531" s="13" t="s">
        <v>35</v>
      </c>
      <c r="N1531" s="15" t="s">
        <v>0</v>
      </c>
      <c r="O1531" s="13" t="s">
        <v>0</v>
      </c>
      <c r="P1531" s="13" t="s">
        <v>271</v>
      </c>
      <c r="Q1531" s="13" t="s">
        <v>0</v>
      </c>
      <c r="R1531" s="15" t="s">
        <v>0</v>
      </c>
      <c r="S1531" s="10" t="s">
        <v>1</v>
      </c>
      <c r="T1531" s="10" t="s">
        <v>32</v>
      </c>
      <c r="U1531" s="5" t="str">
        <f t="shared" si="572"/>
        <v>Propriedade destinada a posicionar : é.ortogonal.a</v>
      </c>
      <c r="V1531" s="5" t="str">
        <f t="shared" si="573"/>
        <v>Dado para posicionar :  ortogonal.a  Deve ser formatado como (rdfs:Literal  or  xsd:string)</v>
      </c>
      <c r="W1531" s="5" t="s">
        <v>6200</v>
      </c>
      <c r="X1531" s="24" t="str">
        <f t="shared" si="574"/>
        <v>posic.103</v>
      </c>
      <c r="Y1531" s="24" t="str">
        <f t="shared" si="575"/>
        <v xml:space="preserve">Ação de posicionar </v>
      </c>
      <c r="Z1531" s="47" t="s">
        <v>1824</v>
      </c>
      <c r="AA1531" s="25" t="str">
        <f t="shared" si="579"/>
        <v>null</v>
      </c>
      <c r="AB1531" s="26" t="s">
        <v>0</v>
      </c>
      <c r="AC1531" s="25" t="str">
        <f t="shared" si="580"/>
        <v>null</v>
      </c>
      <c r="AD1531" s="26" t="s">
        <v>0</v>
      </c>
      <c r="AE1531" s="25" t="str">
        <f t="shared" si="578"/>
        <v>null</v>
      </c>
      <c r="AF1531" s="26" t="s">
        <v>0</v>
      </c>
      <c r="AG1531" s="47" t="s">
        <v>3120</v>
      </c>
    </row>
    <row r="1532" spans="1:33" ht="6.9" customHeight="1" x14ac:dyDescent="0.4">
      <c r="A1532" s="4">
        <f>ROW()</f>
        <v>1532</v>
      </c>
      <c r="B1532" s="9" t="s">
        <v>27</v>
      </c>
      <c r="C1532" s="55" t="str">
        <f t="shared" si="587"/>
        <v xml:space="preserve">p.posicionar </v>
      </c>
      <c r="D1532" s="6" t="str">
        <f t="shared" si="577"/>
        <v>é.perpendicular.a</v>
      </c>
      <c r="E1532" s="8" t="s">
        <v>28</v>
      </c>
      <c r="F1532" s="42" t="str">
        <f t="shared" si="596"/>
        <v xml:space="preserve">d.posicionar </v>
      </c>
      <c r="G1532" s="18" t="s">
        <v>937</v>
      </c>
      <c r="H1532" s="42" t="s">
        <v>2121</v>
      </c>
      <c r="I1532" s="16" t="str">
        <f t="shared" si="595"/>
        <v>null</v>
      </c>
      <c r="J1532" s="13" t="s">
        <v>0</v>
      </c>
      <c r="K1532" s="13" t="s">
        <v>0</v>
      </c>
      <c r="L1532" s="13" t="s">
        <v>0</v>
      </c>
      <c r="M1532" s="13" t="s">
        <v>35</v>
      </c>
      <c r="N1532" s="15" t="s">
        <v>0</v>
      </c>
      <c r="O1532" s="13" t="s">
        <v>0</v>
      </c>
      <c r="P1532" s="13" t="s">
        <v>271</v>
      </c>
      <c r="Q1532" s="13" t="s">
        <v>0</v>
      </c>
      <c r="R1532" s="15" t="s">
        <v>0</v>
      </c>
      <c r="S1532" s="10" t="s">
        <v>1</v>
      </c>
      <c r="T1532" s="10" t="s">
        <v>32</v>
      </c>
      <c r="U1532" s="5" t="str">
        <f t="shared" si="572"/>
        <v>Propriedade destinada a posicionar : é.perpendicular.a</v>
      </c>
      <c r="V1532" s="5" t="str">
        <f t="shared" si="573"/>
        <v>Dado para posicionar :  perpendicular.a  Deve ser formatado como (rdfs:Literal  or  xsd:string)</v>
      </c>
      <c r="W1532" s="5" t="s">
        <v>6201</v>
      </c>
      <c r="X1532" s="24" t="str">
        <f t="shared" si="574"/>
        <v>posic.104</v>
      </c>
      <c r="Y1532" s="24" t="str">
        <f t="shared" si="575"/>
        <v xml:space="preserve">Ação de posicionar </v>
      </c>
      <c r="Z1532" s="47" t="s">
        <v>1825</v>
      </c>
      <c r="AA1532" s="25" t="str">
        <f t="shared" si="579"/>
        <v>null</v>
      </c>
      <c r="AB1532" s="26" t="s">
        <v>0</v>
      </c>
      <c r="AC1532" s="25" t="str">
        <f t="shared" si="580"/>
        <v>null</v>
      </c>
      <c r="AD1532" s="26" t="s">
        <v>0</v>
      </c>
      <c r="AE1532" s="25" t="str">
        <f t="shared" si="578"/>
        <v>null</v>
      </c>
      <c r="AF1532" s="26" t="s">
        <v>0</v>
      </c>
      <c r="AG1532" s="47" t="s">
        <v>3121</v>
      </c>
    </row>
    <row r="1533" spans="1:33" ht="6.9" customHeight="1" x14ac:dyDescent="0.4">
      <c r="A1533" s="4">
        <f>ROW()</f>
        <v>1533</v>
      </c>
      <c r="B1533" s="9" t="s">
        <v>27</v>
      </c>
      <c r="C1533" s="55" t="str">
        <f t="shared" si="587"/>
        <v xml:space="preserve">p.posicionar </v>
      </c>
      <c r="D1533" s="6" t="str">
        <f t="shared" si="577"/>
        <v>é.adjacente.a</v>
      </c>
      <c r="E1533" s="8" t="s">
        <v>28</v>
      </c>
      <c r="F1533" s="42" t="str">
        <f t="shared" si="596"/>
        <v xml:space="preserve">d.posicionar </v>
      </c>
      <c r="G1533" s="18" t="s">
        <v>938</v>
      </c>
      <c r="H1533" s="42" t="s">
        <v>2121</v>
      </c>
      <c r="I1533" s="16" t="str">
        <f t="shared" si="595"/>
        <v>null</v>
      </c>
      <c r="J1533" s="13" t="s">
        <v>0</v>
      </c>
      <c r="K1533" s="13" t="s">
        <v>0</v>
      </c>
      <c r="L1533" s="13" t="s">
        <v>0</v>
      </c>
      <c r="M1533" s="13" t="s">
        <v>35</v>
      </c>
      <c r="N1533" s="15" t="s">
        <v>0</v>
      </c>
      <c r="O1533" s="13" t="s">
        <v>0</v>
      </c>
      <c r="P1533" s="13" t="s">
        <v>271</v>
      </c>
      <c r="Q1533" s="13" t="s">
        <v>0</v>
      </c>
      <c r="R1533" s="15" t="s">
        <v>939</v>
      </c>
      <c r="S1533" s="10" t="s">
        <v>1</v>
      </c>
      <c r="T1533" s="10" t="s">
        <v>32</v>
      </c>
      <c r="U1533" s="5" t="str">
        <f t="shared" si="572"/>
        <v>Propriedade destinada a posicionar : é.adjacente.a</v>
      </c>
      <c r="V1533" s="5" t="str">
        <f t="shared" si="573"/>
        <v>Dado para posicionar :  adjacente.a  Deve ser formatado como (rdfs:Literal  or  xsd:string)</v>
      </c>
      <c r="W1533" s="5" t="s">
        <v>6202</v>
      </c>
      <c r="X1533" s="24" t="str">
        <f t="shared" si="574"/>
        <v>posic.105</v>
      </c>
      <c r="Y1533" s="24" t="str">
        <f t="shared" si="575"/>
        <v xml:space="preserve">Ação de posicionar </v>
      </c>
      <c r="Z1533" s="47" t="s">
        <v>1826</v>
      </c>
      <c r="AA1533" s="25" t="str">
        <f t="shared" si="579"/>
        <v>null</v>
      </c>
      <c r="AB1533" s="26" t="s">
        <v>0</v>
      </c>
      <c r="AC1533" s="25" t="str">
        <f t="shared" si="580"/>
        <v>null</v>
      </c>
      <c r="AD1533" s="26" t="s">
        <v>0</v>
      </c>
      <c r="AE1533" s="25" t="str">
        <f t="shared" si="578"/>
        <v>null</v>
      </c>
      <c r="AF1533" s="26" t="s">
        <v>0</v>
      </c>
      <c r="AG1533" s="47" t="s">
        <v>3122</v>
      </c>
    </row>
    <row r="1534" spans="1:33" ht="6.9" customHeight="1" x14ac:dyDescent="0.4">
      <c r="A1534" s="4">
        <f>ROW()</f>
        <v>1534</v>
      </c>
      <c r="B1534" s="9" t="s">
        <v>27</v>
      </c>
      <c r="C1534" s="55" t="str">
        <f t="shared" si="587"/>
        <v xml:space="preserve">p.posicionar </v>
      </c>
      <c r="D1534" s="6" t="str">
        <f t="shared" si="577"/>
        <v>é.contíguo.a</v>
      </c>
      <c r="E1534" s="8" t="s">
        <v>28</v>
      </c>
      <c r="F1534" s="42" t="str">
        <f t="shared" si="596"/>
        <v xml:space="preserve">d.posicionar </v>
      </c>
      <c r="G1534" s="18" t="s">
        <v>940</v>
      </c>
      <c r="H1534" s="42" t="s">
        <v>2121</v>
      </c>
      <c r="I1534" s="16" t="str">
        <f t="shared" si="595"/>
        <v>null</v>
      </c>
      <c r="J1534" s="13" t="s">
        <v>0</v>
      </c>
      <c r="K1534" s="13" t="s">
        <v>0</v>
      </c>
      <c r="L1534" s="13" t="s">
        <v>0</v>
      </c>
      <c r="M1534" s="13" t="s">
        <v>35</v>
      </c>
      <c r="N1534" s="15" t="s">
        <v>0</v>
      </c>
      <c r="O1534" s="13" t="s">
        <v>0</v>
      </c>
      <c r="P1534" s="13" t="s">
        <v>271</v>
      </c>
      <c r="Q1534" s="13" t="s">
        <v>0</v>
      </c>
      <c r="R1534" s="15" t="s">
        <v>0</v>
      </c>
      <c r="S1534" s="10" t="s">
        <v>1</v>
      </c>
      <c r="T1534" s="10" t="s">
        <v>32</v>
      </c>
      <c r="U1534" s="5" t="str">
        <f t="shared" si="572"/>
        <v>Propriedade destinada a posicionar : é.contíguo.a</v>
      </c>
      <c r="V1534" s="5" t="str">
        <f t="shared" si="573"/>
        <v>Dado para posicionar :  contíguo.a  Deve ser formatado como (rdfs:Literal  or  xsd:string)</v>
      </c>
      <c r="W1534" s="5" t="s">
        <v>6203</v>
      </c>
      <c r="X1534" s="24" t="str">
        <f t="shared" si="574"/>
        <v>posic.106</v>
      </c>
      <c r="Y1534" s="24" t="str">
        <f t="shared" si="575"/>
        <v xml:space="preserve">Ação de posicionar </v>
      </c>
      <c r="Z1534" s="47" t="s">
        <v>1827</v>
      </c>
      <c r="AA1534" s="25" t="str">
        <f t="shared" si="579"/>
        <v>null</v>
      </c>
      <c r="AB1534" s="26" t="s">
        <v>0</v>
      </c>
      <c r="AC1534" s="25" t="str">
        <f t="shared" si="580"/>
        <v>null</v>
      </c>
      <c r="AD1534" s="26" t="s">
        <v>0</v>
      </c>
      <c r="AE1534" s="25" t="str">
        <f t="shared" si="578"/>
        <v>null</v>
      </c>
      <c r="AF1534" s="26" t="s">
        <v>0</v>
      </c>
      <c r="AG1534" s="47" t="s">
        <v>3123</v>
      </c>
    </row>
    <row r="1535" spans="1:33" ht="6.9" customHeight="1" x14ac:dyDescent="0.4">
      <c r="A1535" s="4">
        <f>ROW()</f>
        <v>1535</v>
      </c>
      <c r="B1535" s="9" t="s">
        <v>27</v>
      </c>
      <c r="C1535" s="55" t="str">
        <f t="shared" si="587"/>
        <v xml:space="preserve">p.posicionar </v>
      </c>
      <c r="D1535" s="6" t="str">
        <f t="shared" si="577"/>
        <v>é.próximo.a</v>
      </c>
      <c r="E1535" s="8" t="s">
        <v>28</v>
      </c>
      <c r="F1535" s="42" t="str">
        <f t="shared" si="596"/>
        <v xml:space="preserve">d.posicionar </v>
      </c>
      <c r="G1535" s="18" t="s">
        <v>941</v>
      </c>
      <c r="H1535" s="42" t="s">
        <v>2121</v>
      </c>
      <c r="I1535" s="16" t="str">
        <f t="shared" si="595"/>
        <v>null</v>
      </c>
      <c r="J1535" s="13" t="s">
        <v>0</v>
      </c>
      <c r="K1535" s="13" t="s">
        <v>0</v>
      </c>
      <c r="L1535" s="13" t="s">
        <v>0</v>
      </c>
      <c r="M1535" s="13" t="s">
        <v>35</v>
      </c>
      <c r="N1535" s="15" t="s">
        <v>0</v>
      </c>
      <c r="O1535" s="13" t="s">
        <v>0</v>
      </c>
      <c r="P1535" s="13" t="s">
        <v>271</v>
      </c>
      <c r="Q1535" s="13" t="s">
        <v>942</v>
      </c>
      <c r="R1535" s="15" t="s">
        <v>0</v>
      </c>
      <c r="S1535" s="10" t="s">
        <v>1</v>
      </c>
      <c r="T1535" s="10" t="s">
        <v>32</v>
      </c>
      <c r="U1535" s="5" t="str">
        <f t="shared" si="572"/>
        <v>Propriedade destinada a posicionar : é.próximo.a</v>
      </c>
      <c r="V1535" s="5" t="str">
        <f t="shared" si="573"/>
        <v>Dado para posicionar :  próximo.a  Deve ser formatado como (rdfs:Literal  or  xsd:string)</v>
      </c>
      <c r="W1535" s="5" t="s">
        <v>6204</v>
      </c>
      <c r="X1535" s="24" t="str">
        <f t="shared" si="574"/>
        <v>posic.107</v>
      </c>
      <c r="Y1535" s="24" t="str">
        <f t="shared" si="575"/>
        <v xml:space="preserve">Ação de posicionar </v>
      </c>
      <c r="Z1535" s="47" t="s">
        <v>1828</v>
      </c>
      <c r="AA1535" s="25" t="str">
        <f t="shared" si="579"/>
        <v>null</v>
      </c>
      <c r="AB1535" s="26" t="s">
        <v>0</v>
      </c>
      <c r="AC1535" s="25" t="str">
        <f t="shared" si="580"/>
        <v>null</v>
      </c>
      <c r="AD1535" s="26" t="s">
        <v>0</v>
      </c>
      <c r="AE1535" s="25" t="str">
        <f t="shared" si="578"/>
        <v>null</v>
      </c>
      <c r="AF1535" s="26" t="s">
        <v>0</v>
      </c>
      <c r="AG1535" s="47" t="s">
        <v>3124</v>
      </c>
    </row>
    <row r="1536" spans="1:33" ht="6.9" customHeight="1" x14ac:dyDescent="0.4">
      <c r="A1536" s="4">
        <f>ROW()</f>
        <v>1536</v>
      </c>
      <c r="B1536" s="9" t="s">
        <v>27</v>
      </c>
      <c r="C1536" s="55" t="str">
        <f t="shared" si="587"/>
        <v xml:space="preserve">p.posicionar </v>
      </c>
      <c r="D1536" s="6" t="str">
        <f t="shared" si="577"/>
        <v>é.longe.a</v>
      </c>
      <c r="E1536" s="8" t="s">
        <v>28</v>
      </c>
      <c r="F1536" s="42" t="str">
        <f t="shared" si="596"/>
        <v xml:space="preserve">d.posicionar </v>
      </c>
      <c r="G1536" s="18" t="s">
        <v>943</v>
      </c>
      <c r="H1536" s="42" t="s">
        <v>2121</v>
      </c>
      <c r="I1536" s="16" t="str">
        <f t="shared" si="595"/>
        <v>null</v>
      </c>
      <c r="J1536" s="13" t="s">
        <v>0</v>
      </c>
      <c r="K1536" s="13" t="s">
        <v>0</v>
      </c>
      <c r="L1536" s="13" t="s">
        <v>0</v>
      </c>
      <c r="M1536" s="13" t="s">
        <v>35</v>
      </c>
      <c r="N1536" s="15" t="s">
        <v>0</v>
      </c>
      <c r="O1536" s="13" t="s">
        <v>0</v>
      </c>
      <c r="P1536" s="13" t="s">
        <v>271</v>
      </c>
      <c r="Q1536" s="13" t="s">
        <v>944</v>
      </c>
      <c r="R1536" s="15" t="s">
        <v>0</v>
      </c>
      <c r="S1536" s="10" t="s">
        <v>1</v>
      </c>
      <c r="T1536" s="10" t="s">
        <v>32</v>
      </c>
      <c r="U1536" s="5" t="str">
        <f t="shared" si="572"/>
        <v>Propriedade destinada a posicionar : é.longe.a</v>
      </c>
      <c r="V1536" s="5" t="str">
        <f t="shared" si="573"/>
        <v>Dado para posicionar :  longe.a  Deve ser formatado como (rdfs:Literal  or  xsd:string)</v>
      </c>
      <c r="W1536" s="5" t="s">
        <v>6205</v>
      </c>
      <c r="X1536" s="24" t="str">
        <f t="shared" si="574"/>
        <v>posic.108</v>
      </c>
      <c r="Y1536" s="24" t="str">
        <f t="shared" si="575"/>
        <v xml:space="preserve">Ação de posicionar </v>
      </c>
      <c r="Z1536" s="47" t="s">
        <v>1829</v>
      </c>
      <c r="AA1536" s="25" t="str">
        <f t="shared" si="579"/>
        <v>null</v>
      </c>
      <c r="AB1536" s="26" t="s">
        <v>0</v>
      </c>
      <c r="AC1536" s="25" t="str">
        <f t="shared" si="580"/>
        <v>null</v>
      </c>
      <c r="AD1536" s="26" t="s">
        <v>0</v>
      </c>
      <c r="AE1536" s="25" t="str">
        <f t="shared" si="578"/>
        <v>null</v>
      </c>
      <c r="AF1536" s="26" t="s">
        <v>0</v>
      </c>
      <c r="AG1536" s="47" t="s">
        <v>3125</v>
      </c>
    </row>
    <row r="1537" spans="1:33" ht="6.9" customHeight="1" x14ac:dyDescent="0.4">
      <c r="A1537" s="4">
        <f>ROW()</f>
        <v>1537</v>
      </c>
      <c r="B1537" s="9" t="s">
        <v>27</v>
      </c>
      <c r="C1537" s="55" t="str">
        <f t="shared" si="587"/>
        <v xml:space="preserve">p.posicionar </v>
      </c>
      <c r="D1537" s="6" t="str">
        <f t="shared" si="577"/>
        <v>é.tangente.a</v>
      </c>
      <c r="E1537" s="8" t="s">
        <v>28</v>
      </c>
      <c r="F1537" s="42" t="str">
        <f t="shared" si="596"/>
        <v xml:space="preserve">d.posicionar </v>
      </c>
      <c r="G1537" s="18" t="s">
        <v>945</v>
      </c>
      <c r="H1537" s="42" t="s">
        <v>2121</v>
      </c>
      <c r="I1537" s="16" t="str">
        <f t="shared" si="595"/>
        <v>null</v>
      </c>
      <c r="J1537" s="13" t="s">
        <v>0</v>
      </c>
      <c r="K1537" s="13" t="s">
        <v>0</v>
      </c>
      <c r="L1537" s="13" t="s">
        <v>0</v>
      </c>
      <c r="M1537" s="13" t="s">
        <v>0</v>
      </c>
      <c r="N1537" s="15" t="s">
        <v>0</v>
      </c>
      <c r="O1537" s="13" t="s">
        <v>0</v>
      </c>
      <c r="P1537" s="13" t="s">
        <v>271</v>
      </c>
      <c r="Q1537" s="13" t="s">
        <v>0</v>
      </c>
      <c r="R1537" s="15" t="s">
        <v>0</v>
      </c>
      <c r="S1537" s="10" t="s">
        <v>1</v>
      </c>
      <c r="T1537" s="10" t="s">
        <v>32</v>
      </c>
      <c r="U1537" s="5" t="str">
        <f t="shared" si="572"/>
        <v>Propriedade destinada a posicionar : é.tangente.a</v>
      </c>
      <c r="V1537" s="5" t="str">
        <f t="shared" si="573"/>
        <v>Dado para posicionar :  tangente.a  Deve ser formatado como (rdfs:Literal  or  xsd:string)</v>
      </c>
      <c r="W1537" s="5" t="s">
        <v>6206</v>
      </c>
      <c r="X1537" s="24" t="str">
        <f t="shared" si="574"/>
        <v>posic.109</v>
      </c>
      <c r="Y1537" s="24" t="str">
        <f t="shared" si="575"/>
        <v xml:space="preserve">Ação de posicionar </v>
      </c>
      <c r="Z1537" s="47" t="s">
        <v>1830</v>
      </c>
      <c r="AA1537" s="25" t="str">
        <f t="shared" si="579"/>
        <v>null</v>
      </c>
      <c r="AB1537" s="26" t="s">
        <v>0</v>
      </c>
      <c r="AC1537" s="25" t="str">
        <f t="shared" si="580"/>
        <v>null</v>
      </c>
      <c r="AD1537" s="26" t="s">
        <v>0</v>
      </c>
      <c r="AE1537" s="25" t="str">
        <f t="shared" si="578"/>
        <v>null</v>
      </c>
      <c r="AF1537" s="26" t="s">
        <v>0</v>
      </c>
      <c r="AG1537" s="47" t="s">
        <v>3126</v>
      </c>
    </row>
    <row r="1538" spans="1:33" ht="6.9" customHeight="1" x14ac:dyDescent="0.4">
      <c r="A1538" s="4">
        <f>ROW()</f>
        <v>1538</v>
      </c>
      <c r="B1538" s="9" t="s">
        <v>27</v>
      </c>
      <c r="C1538" s="55" t="str">
        <f t="shared" si="587"/>
        <v xml:space="preserve">p.posicionar </v>
      </c>
      <c r="D1538" s="6" t="str">
        <f t="shared" si="577"/>
        <v>é.dentro.de</v>
      </c>
      <c r="E1538" s="8" t="s">
        <v>28</v>
      </c>
      <c r="F1538" s="42" t="str">
        <f t="shared" si="596"/>
        <v xml:space="preserve">d.posicionar </v>
      </c>
      <c r="G1538" s="18" t="s">
        <v>946</v>
      </c>
      <c r="H1538" s="41" t="s">
        <v>2121</v>
      </c>
      <c r="I1538" s="16" t="str">
        <f t="shared" si="595"/>
        <v>null</v>
      </c>
      <c r="J1538" s="13" t="s">
        <v>0</v>
      </c>
      <c r="K1538" s="13" t="s">
        <v>0</v>
      </c>
      <c r="L1538" s="13" t="s">
        <v>31</v>
      </c>
      <c r="M1538" s="13" t="s">
        <v>0</v>
      </c>
      <c r="N1538" s="15" t="s">
        <v>0</v>
      </c>
      <c r="O1538" s="13" t="s">
        <v>0</v>
      </c>
      <c r="P1538" s="13" t="s">
        <v>271</v>
      </c>
      <c r="Q1538" s="13" t="s">
        <v>0</v>
      </c>
      <c r="R1538" s="15" t="s">
        <v>0</v>
      </c>
      <c r="S1538" s="10" t="s">
        <v>1</v>
      </c>
      <c r="T1538" s="10" t="s">
        <v>32</v>
      </c>
      <c r="U1538" s="5" t="str">
        <f t="shared" ref="U1538:U1601" si="597">_xlfn.CONCAT("Propriedade destinada a ",MID(C1538,FIND("p.",C1538,1)+2,100),": ",D1538)</f>
        <v>Propriedade destinada a posicionar : é.dentro.de</v>
      </c>
      <c r="V1538" s="5" t="str">
        <f t="shared" ref="V1538:V1601" si="598">_xlfn.CONCAT("Dado para ",MID(F1538,FIND("d.",F1538,1)+2,100),":  ",G1538, "  Deve ser formatado como (",H1538, ")")</f>
        <v>Dado para posicionar :  dentro.de  Deve ser formatado como (rdfs:Literal  or  xsd:string)</v>
      </c>
      <c r="W1538" s="5" t="s">
        <v>6207</v>
      </c>
      <c r="X1538" s="24" t="str">
        <f t="shared" si="574"/>
        <v>posic.110</v>
      </c>
      <c r="Y1538" s="24" t="str">
        <f t="shared" si="575"/>
        <v xml:space="preserve">Ação de posicionar </v>
      </c>
      <c r="Z1538" s="47" t="s">
        <v>1831</v>
      </c>
      <c r="AA1538" s="25" t="str">
        <f t="shared" si="579"/>
        <v>null</v>
      </c>
      <c r="AB1538" s="26" t="s">
        <v>0</v>
      </c>
      <c r="AC1538" s="25" t="str">
        <f t="shared" si="580"/>
        <v>null</v>
      </c>
      <c r="AD1538" s="26" t="s">
        <v>0</v>
      </c>
      <c r="AE1538" s="25" t="str">
        <f t="shared" si="578"/>
        <v>null</v>
      </c>
      <c r="AF1538" s="26" t="s">
        <v>0</v>
      </c>
      <c r="AG1538" s="47" t="s">
        <v>3127</v>
      </c>
    </row>
    <row r="1539" spans="1:33" ht="6.9" customHeight="1" x14ac:dyDescent="0.4">
      <c r="A1539" s="4">
        <f>ROW()</f>
        <v>1539</v>
      </c>
      <c r="B1539" s="9" t="s">
        <v>27</v>
      </c>
      <c r="C1539" s="55" t="str">
        <f t="shared" si="587"/>
        <v xml:space="preserve">p.posicionar </v>
      </c>
      <c r="D1539" s="6" t="str">
        <f t="shared" si="577"/>
        <v>é.fora.de</v>
      </c>
      <c r="E1539" s="8" t="s">
        <v>28</v>
      </c>
      <c r="F1539" s="42" t="str">
        <f t="shared" si="596"/>
        <v xml:space="preserve">d.posicionar </v>
      </c>
      <c r="G1539" s="18" t="s">
        <v>947</v>
      </c>
      <c r="H1539" s="41" t="s">
        <v>2121</v>
      </c>
      <c r="I1539" s="16" t="str">
        <f t="shared" si="595"/>
        <v>null</v>
      </c>
      <c r="J1539" s="13" t="s">
        <v>0</v>
      </c>
      <c r="K1539" s="13" t="s">
        <v>0</v>
      </c>
      <c r="L1539" s="13" t="s">
        <v>0</v>
      </c>
      <c r="M1539" s="13" t="s">
        <v>35</v>
      </c>
      <c r="N1539" s="15" t="s">
        <v>0</v>
      </c>
      <c r="O1539" s="13" t="s">
        <v>0</v>
      </c>
      <c r="P1539" s="13" t="s">
        <v>0</v>
      </c>
      <c r="Q1539" s="13" t="s">
        <v>0</v>
      </c>
      <c r="R1539" s="15" t="s">
        <v>0</v>
      </c>
      <c r="S1539" s="10" t="s">
        <v>1</v>
      </c>
      <c r="T1539" s="10" t="s">
        <v>32</v>
      </c>
      <c r="U1539" s="5" t="str">
        <f t="shared" si="597"/>
        <v>Propriedade destinada a posicionar : é.fora.de</v>
      </c>
      <c r="V1539" s="5" t="str">
        <f t="shared" si="598"/>
        <v>Dado para posicionar :  fora.de  Deve ser formatado como (rdfs:Literal  or  xsd:string)</v>
      </c>
      <c r="W1539" s="5" t="s">
        <v>6208</v>
      </c>
      <c r="X1539" s="24" t="str">
        <f t="shared" ref="X1539:X1602" si="599">IF(F1538&lt;&gt;F1539,_xlfn.CONCAT(RIGHT(LEFT(F1539,7),5),".100"),_xlfn.CONCAT(RIGHT(LEFT(F1539,7),5),".",SUM(VALUE(RIGHT(X1538,3)),1)))</f>
        <v>posic.111</v>
      </c>
      <c r="Y1539" s="24" t="str">
        <f t="shared" ref="Y1539:Y1602" si="600">_xlfn.CONCAT("Ação de ", SUBSTITUTE(F1539, "d.",  ""))</f>
        <v xml:space="preserve">Ação de posicionar </v>
      </c>
      <c r="Z1539" s="47" t="s">
        <v>1832</v>
      </c>
      <c r="AA1539" s="25" t="str">
        <f t="shared" si="579"/>
        <v>null</v>
      </c>
      <c r="AB1539" s="26" t="s">
        <v>0</v>
      </c>
      <c r="AC1539" s="25" t="str">
        <f t="shared" si="580"/>
        <v>null</v>
      </c>
      <c r="AD1539" s="26" t="s">
        <v>0</v>
      </c>
      <c r="AE1539" s="25" t="str">
        <f t="shared" si="578"/>
        <v>null</v>
      </c>
      <c r="AF1539" s="26" t="s">
        <v>0</v>
      </c>
      <c r="AG1539" s="47" t="s">
        <v>3128</v>
      </c>
    </row>
    <row r="1540" spans="1:33" ht="6.9" customHeight="1" x14ac:dyDescent="0.4">
      <c r="A1540" s="4">
        <f>ROW()</f>
        <v>1540</v>
      </c>
      <c r="B1540" s="9" t="s">
        <v>27</v>
      </c>
      <c r="C1540" s="55" t="str">
        <f t="shared" si="587"/>
        <v xml:space="preserve">p.posicionar </v>
      </c>
      <c r="D1540" s="6" t="str">
        <f t="shared" si="577"/>
        <v>é.frontal</v>
      </c>
      <c r="E1540" s="8" t="s">
        <v>28</v>
      </c>
      <c r="F1540" s="42" t="str">
        <f t="shared" si="596"/>
        <v xml:space="preserve">d.posicionar </v>
      </c>
      <c r="G1540" s="18" t="s">
        <v>267</v>
      </c>
      <c r="H1540" s="42" t="s">
        <v>2121</v>
      </c>
      <c r="I1540" s="16" t="str">
        <f t="shared" si="595"/>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597"/>
        <v>Propriedade destinada a posicionar : é.frontal</v>
      </c>
      <c r="V1540" s="5" t="str">
        <f t="shared" si="598"/>
        <v>Dado para posicionar :  frontal  Deve ser formatado como (rdfs:Literal  or  xsd:string)</v>
      </c>
      <c r="W1540" s="5" t="s">
        <v>6209</v>
      </c>
      <c r="X1540" s="24" t="str">
        <f t="shared" si="599"/>
        <v>posic.112</v>
      </c>
      <c r="Y1540" s="24" t="str">
        <f t="shared" si="600"/>
        <v xml:space="preserve">Ação de posicionar </v>
      </c>
      <c r="Z1540" s="47" t="s">
        <v>1833</v>
      </c>
      <c r="AA1540" s="25" t="str">
        <f t="shared" si="579"/>
        <v>null</v>
      </c>
      <c r="AB1540" s="26" t="s">
        <v>0</v>
      </c>
      <c r="AC1540" s="25" t="str">
        <f t="shared" si="580"/>
        <v>null</v>
      </c>
      <c r="AD1540" s="26" t="s">
        <v>0</v>
      </c>
      <c r="AE1540" s="25" t="str">
        <f t="shared" si="578"/>
        <v>null</v>
      </c>
      <c r="AF1540" s="26" t="s">
        <v>0</v>
      </c>
      <c r="AG1540" s="47" t="s">
        <v>3129</v>
      </c>
    </row>
    <row r="1541" spans="1:33" ht="6.9" customHeight="1" x14ac:dyDescent="0.4">
      <c r="A1541" s="4">
        <f>ROW()</f>
        <v>1541</v>
      </c>
      <c r="B1541" s="9" t="s">
        <v>27</v>
      </c>
      <c r="C1541" s="55" t="str">
        <f t="shared" si="587"/>
        <v xml:space="preserve">p.posicionar </v>
      </c>
      <c r="D1541" s="6" t="str">
        <f t="shared" si="577"/>
        <v>é.lateral</v>
      </c>
      <c r="E1541" s="8" t="s">
        <v>28</v>
      </c>
      <c r="F1541" s="42" t="str">
        <f t="shared" si="596"/>
        <v xml:space="preserve">d.posicionar </v>
      </c>
      <c r="G1541" s="18" t="s">
        <v>268</v>
      </c>
      <c r="H1541" s="42" t="s">
        <v>2121</v>
      </c>
      <c r="I1541" s="16" t="str">
        <f t="shared" si="595"/>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597"/>
        <v>Propriedade destinada a posicionar : é.lateral</v>
      </c>
      <c r="V1541" s="5" t="str">
        <f t="shared" si="598"/>
        <v>Dado para posicionar :  lateral  Deve ser formatado como (rdfs:Literal  or  xsd:string)</v>
      </c>
      <c r="W1541" s="5" t="s">
        <v>6210</v>
      </c>
      <c r="X1541" s="24" t="str">
        <f t="shared" si="599"/>
        <v>posic.113</v>
      </c>
      <c r="Y1541" s="24" t="str">
        <f t="shared" si="600"/>
        <v xml:space="preserve">Ação de posicionar </v>
      </c>
      <c r="Z1541" s="47" t="s">
        <v>1834</v>
      </c>
      <c r="AA1541" s="25" t="str">
        <f t="shared" si="579"/>
        <v>null</v>
      </c>
      <c r="AB1541" s="26" t="s">
        <v>0</v>
      </c>
      <c r="AC1541" s="25" t="str">
        <f t="shared" si="580"/>
        <v>null</v>
      </c>
      <c r="AD1541" s="26" t="s">
        <v>0</v>
      </c>
      <c r="AE1541" s="25" t="str">
        <f t="shared" ref="AE1541:AE1609" si="601">IF(AF1541="null", "null", "propriedade")</f>
        <v>null</v>
      </c>
      <c r="AF1541" s="26" t="s">
        <v>0</v>
      </c>
      <c r="AG1541" s="47" t="s">
        <v>3130</v>
      </c>
    </row>
    <row r="1542" spans="1:33" ht="6.9" customHeight="1" x14ac:dyDescent="0.4">
      <c r="A1542" s="4">
        <f>ROW()</f>
        <v>1542</v>
      </c>
      <c r="B1542" s="9" t="s">
        <v>27</v>
      </c>
      <c r="C1542" s="55" t="str">
        <f t="shared" si="587"/>
        <v xml:space="preserve">p.posicionar </v>
      </c>
      <c r="D1542" s="6" t="str">
        <f t="shared" si="577"/>
        <v>é.posterior</v>
      </c>
      <c r="E1542" s="8" t="s">
        <v>28</v>
      </c>
      <c r="F1542" s="42" t="str">
        <f t="shared" si="596"/>
        <v xml:space="preserve">d.posicionar </v>
      </c>
      <c r="G1542" s="18" t="s">
        <v>269</v>
      </c>
      <c r="H1542" s="42" t="s">
        <v>2121</v>
      </c>
      <c r="I1542" s="16" t="str">
        <f t="shared" si="595"/>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597"/>
        <v>Propriedade destinada a posicionar : é.posterior</v>
      </c>
      <c r="V1542" s="5" t="str">
        <f t="shared" si="598"/>
        <v>Dado para posicionar :  posterior  Deve ser formatado como (rdfs:Literal  or  xsd:string)</v>
      </c>
      <c r="W1542" s="5" t="s">
        <v>6211</v>
      </c>
      <c r="X1542" s="24" t="str">
        <f t="shared" si="599"/>
        <v>posic.114</v>
      </c>
      <c r="Y1542" s="24" t="str">
        <f t="shared" si="600"/>
        <v xml:space="preserve">Ação de posicionar </v>
      </c>
      <c r="Z1542" s="47" t="s">
        <v>1835</v>
      </c>
      <c r="AA1542" s="25" t="str">
        <f t="shared" si="579"/>
        <v>null</v>
      </c>
      <c r="AB1542" s="26" t="s">
        <v>0</v>
      </c>
      <c r="AC1542" s="25" t="str">
        <f t="shared" si="580"/>
        <v>null</v>
      </c>
      <c r="AD1542" s="26" t="s">
        <v>0</v>
      </c>
      <c r="AE1542" s="25" t="str">
        <f t="shared" si="601"/>
        <v>null</v>
      </c>
      <c r="AF1542" s="26" t="s">
        <v>0</v>
      </c>
      <c r="AG1542" s="47" t="s">
        <v>3131</v>
      </c>
    </row>
    <row r="1543" spans="1:33" ht="6.9" customHeight="1" x14ac:dyDescent="0.4">
      <c r="A1543" s="4">
        <f>ROW()</f>
        <v>1543</v>
      </c>
      <c r="B1543" s="9" t="s">
        <v>27</v>
      </c>
      <c r="C1543" s="55" t="str">
        <f t="shared" si="587"/>
        <v xml:space="preserve">p.posicionar </v>
      </c>
      <c r="D1543" s="6" t="str">
        <f t="shared" si="577"/>
        <v>é.vertical</v>
      </c>
      <c r="E1543" s="8" t="s">
        <v>28</v>
      </c>
      <c r="F1543" s="42" t="str">
        <f t="shared" si="596"/>
        <v xml:space="preserve">d.posicionar </v>
      </c>
      <c r="G1543" s="18" t="s">
        <v>229</v>
      </c>
      <c r="H1543" s="41" t="s">
        <v>2121</v>
      </c>
      <c r="I1543" s="16" t="str">
        <f t="shared" si="595"/>
        <v>null</v>
      </c>
      <c r="J1543" s="13" t="s">
        <v>0</v>
      </c>
      <c r="K1543" s="13" t="s">
        <v>0</v>
      </c>
      <c r="L1543" s="13" t="s">
        <v>0</v>
      </c>
      <c r="M1543" s="13" t="s">
        <v>0</v>
      </c>
      <c r="N1543" s="15" t="s">
        <v>0</v>
      </c>
      <c r="O1543" s="13" t="s">
        <v>0</v>
      </c>
      <c r="P1543" s="13" t="s">
        <v>0</v>
      </c>
      <c r="Q1543" s="13" t="s">
        <v>0</v>
      </c>
      <c r="R1543" s="15" t="s">
        <v>948</v>
      </c>
      <c r="S1543" s="10" t="s">
        <v>1</v>
      </c>
      <c r="T1543" s="10" t="s">
        <v>32</v>
      </c>
      <c r="U1543" s="5" t="str">
        <f t="shared" si="597"/>
        <v>Propriedade destinada a posicionar : é.vertical</v>
      </c>
      <c r="V1543" s="5" t="str">
        <f t="shared" si="598"/>
        <v>Dado para posicionar :  vertical  Deve ser formatado como (rdfs:Literal  or  xsd:string)</v>
      </c>
      <c r="W1543" s="5" t="s">
        <v>6212</v>
      </c>
      <c r="X1543" s="24" t="str">
        <f t="shared" si="599"/>
        <v>posic.115</v>
      </c>
      <c r="Y1543" s="24" t="str">
        <f t="shared" si="600"/>
        <v xml:space="preserve">Ação de posicionar </v>
      </c>
      <c r="Z1543" s="47" t="s">
        <v>1836</v>
      </c>
      <c r="AA1543" s="25" t="str">
        <f t="shared" si="579"/>
        <v>null</v>
      </c>
      <c r="AB1543" s="26" t="s">
        <v>0</v>
      </c>
      <c r="AC1543" s="25" t="str">
        <f t="shared" si="580"/>
        <v>null</v>
      </c>
      <c r="AD1543" s="26" t="s">
        <v>0</v>
      </c>
      <c r="AE1543" s="25" t="str">
        <f t="shared" si="601"/>
        <v>null</v>
      </c>
      <c r="AF1543" s="26" t="s">
        <v>0</v>
      </c>
      <c r="AG1543" s="47" t="s">
        <v>3132</v>
      </c>
    </row>
    <row r="1544" spans="1:33" ht="6.9" customHeight="1" x14ac:dyDescent="0.4">
      <c r="A1544" s="4">
        <f>ROW()</f>
        <v>1544</v>
      </c>
      <c r="B1544" s="9" t="s">
        <v>27</v>
      </c>
      <c r="C1544" s="55" t="str">
        <f t="shared" si="587"/>
        <v xml:space="preserve">p.posicionar </v>
      </c>
      <c r="D1544" s="6" t="str">
        <f t="shared" si="577"/>
        <v>é.no.prumo</v>
      </c>
      <c r="E1544" s="8" t="s">
        <v>28</v>
      </c>
      <c r="F1544" s="42" t="str">
        <f t="shared" si="596"/>
        <v xml:space="preserve">d.posicionar </v>
      </c>
      <c r="G1544" s="18" t="s">
        <v>949</v>
      </c>
      <c r="H1544" s="41" t="s">
        <v>2121</v>
      </c>
      <c r="I1544" s="16" t="str">
        <f t="shared" si="595"/>
        <v>null</v>
      </c>
      <c r="J1544" s="13" t="s">
        <v>0</v>
      </c>
      <c r="K1544" s="13" t="s">
        <v>0</v>
      </c>
      <c r="L1544" s="13" t="s">
        <v>0</v>
      </c>
      <c r="M1544" s="13" t="s">
        <v>0</v>
      </c>
      <c r="N1544" s="15" t="s">
        <v>0</v>
      </c>
      <c r="O1544" s="13" t="s">
        <v>0</v>
      </c>
      <c r="P1544" s="13" t="s">
        <v>0</v>
      </c>
      <c r="Q1544" s="13" t="s">
        <v>0</v>
      </c>
      <c r="R1544" s="15" t="s">
        <v>950</v>
      </c>
      <c r="S1544" s="10" t="s">
        <v>1</v>
      </c>
      <c r="T1544" s="10" t="s">
        <v>32</v>
      </c>
      <c r="U1544" s="5" t="str">
        <f t="shared" si="597"/>
        <v>Propriedade destinada a posicionar : é.no.prumo</v>
      </c>
      <c r="V1544" s="5" t="str">
        <f t="shared" si="598"/>
        <v>Dado para posicionar :  no.prumo  Deve ser formatado como (rdfs:Literal  or  xsd:string)</v>
      </c>
      <c r="W1544" s="5" t="s">
        <v>6213</v>
      </c>
      <c r="X1544" s="24" t="str">
        <f t="shared" si="599"/>
        <v>posic.116</v>
      </c>
      <c r="Y1544" s="24" t="str">
        <f t="shared" si="600"/>
        <v xml:space="preserve">Ação de posicionar </v>
      </c>
      <c r="Z1544" s="47" t="s">
        <v>1837</v>
      </c>
      <c r="AA1544" s="25" t="str">
        <f t="shared" si="579"/>
        <v>null</v>
      </c>
      <c r="AB1544" s="26" t="s">
        <v>0</v>
      </c>
      <c r="AC1544" s="25" t="str">
        <f t="shared" si="580"/>
        <v>null</v>
      </c>
      <c r="AD1544" s="26" t="s">
        <v>0</v>
      </c>
      <c r="AE1544" s="25" t="str">
        <f t="shared" si="601"/>
        <v>null</v>
      </c>
      <c r="AF1544" s="26" t="s">
        <v>0</v>
      </c>
      <c r="AG1544" s="47" t="s">
        <v>3133</v>
      </c>
    </row>
    <row r="1545" spans="1:33" ht="6.9" customHeight="1" x14ac:dyDescent="0.4">
      <c r="A1545" s="4">
        <f>ROW()</f>
        <v>1545</v>
      </c>
      <c r="B1545" s="9" t="s">
        <v>27</v>
      </c>
      <c r="C1545" s="55" t="str">
        <f t="shared" si="587"/>
        <v xml:space="preserve">p.posicionar </v>
      </c>
      <c r="D1545" s="6" t="str">
        <f t="shared" si="577"/>
        <v>é.horizontal</v>
      </c>
      <c r="E1545" s="8" t="s">
        <v>28</v>
      </c>
      <c r="F1545" s="42" t="str">
        <f t="shared" si="596"/>
        <v xml:space="preserve">d.posicionar </v>
      </c>
      <c r="G1545" s="18" t="s">
        <v>230</v>
      </c>
      <c r="H1545" s="41" t="s">
        <v>2121</v>
      </c>
      <c r="I1545" s="16" t="str">
        <f t="shared" si="595"/>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597"/>
        <v>Propriedade destinada a posicionar : é.horizontal</v>
      </c>
      <c r="V1545" s="5" t="str">
        <f t="shared" si="598"/>
        <v>Dado para posicionar :  horizontal  Deve ser formatado como (rdfs:Literal  or  xsd:string)</v>
      </c>
      <c r="W1545" s="5" t="s">
        <v>6214</v>
      </c>
      <c r="X1545" s="24" t="str">
        <f t="shared" si="599"/>
        <v>posic.117</v>
      </c>
      <c r="Y1545" s="24" t="str">
        <f t="shared" si="600"/>
        <v xml:space="preserve">Ação de posicionar </v>
      </c>
      <c r="Z1545" s="47" t="s">
        <v>1838</v>
      </c>
      <c r="AA1545" s="25" t="str">
        <f t="shared" si="579"/>
        <v>null</v>
      </c>
      <c r="AB1545" s="26" t="s">
        <v>0</v>
      </c>
      <c r="AC1545" s="25" t="str">
        <f t="shared" si="580"/>
        <v>null</v>
      </c>
      <c r="AD1545" s="26" t="s">
        <v>0</v>
      </c>
      <c r="AE1545" s="25" t="str">
        <f t="shared" si="601"/>
        <v>null</v>
      </c>
      <c r="AF1545" s="26" t="s">
        <v>0</v>
      </c>
      <c r="AG1545" s="47" t="s">
        <v>3134</v>
      </c>
    </row>
    <row r="1546" spans="1:33" ht="6.9" customHeight="1" x14ac:dyDescent="0.4">
      <c r="A1546" s="4">
        <f>ROW()</f>
        <v>1546</v>
      </c>
      <c r="B1546" s="9" t="s">
        <v>27</v>
      </c>
      <c r="C1546" s="55" t="str">
        <f t="shared" si="587"/>
        <v xml:space="preserve">p.posicionar </v>
      </c>
      <c r="D1546" s="6" t="str">
        <f t="shared" si="577"/>
        <v>é.inclinado</v>
      </c>
      <c r="E1546" s="8" t="s">
        <v>28</v>
      </c>
      <c r="F1546" s="42" t="str">
        <f t="shared" si="596"/>
        <v xml:space="preserve">d.posicionar </v>
      </c>
      <c r="G1546" s="18" t="s">
        <v>233</v>
      </c>
      <c r="H1546" s="41" t="s">
        <v>2121</v>
      </c>
      <c r="I1546" s="16" t="str">
        <f t="shared" si="595"/>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597"/>
        <v>Propriedade destinada a posicionar : é.inclinado</v>
      </c>
      <c r="V1546" s="5" t="str">
        <f t="shared" si="598"/>
        <v>Dado para posicionar :  inclinado  Deve ser formatado como (rdfs:Literal  or  xsd:string)</v>
      </c>
      <c r="W1546" s="5" t="s">
        <v>6215</v>
      </c>
      <c r="X1546" s="24" t="str">
        <f t="shared" si="599"/>
        <v>posic.118</v>
      </c>
      <c r="Y1546" s="24" t="str">
        <f t="shared" si="600"/>
        <v xml:space="preserve">Ação de posicionar </v>
      </c>
      <c r="Z1546" s="47" t="s">
        <v>1839</v>
      </c>
      <c r="AA1546" s="25" t="str">
        <f t="shared" si="579"/>
        <v>null</v>
      </c>
      <c r="AB1546" s="26" t="s">
        <v>0</v>
      </c>
      <c r="AC1546" s="25" t="str">
        <f t="shared" si="580"/>
        <v>null</v>
      </c>
      <c r="AD1546" s="26" t="s">
        <v>0</v>
      </c>
      <c r="AE1546" s="25" t="str">
        <f t="shared" si="601"/>
        <v>null</v>
      </c>
      <c r="AF1546" s="26" t="s">
        <v>0</v>
      </c>
      <c r="AG1546" s="47" t="s">
        <v>3135</v>
      </c>
    </row>
    <row r="1547" spans="1:33" ht="6.9" customHeight="1" x14ac:dyDescent="0.4">
      <c r="A1547" s="4">
        <f>ROW()</f>
        <v>1547</v>
      </c>
      <c r="B1547" s="9" t="s">
        <v>27</v>
      </c>
      <c r="C1547" s="55" t="str">
        <f t="shared" si="587"/>
        <v xml:space="preserve">p.posicionar </v>
      </c>
      <c r="D1547" s="6" t="str">
        <f t="shared" si="577"/>
        <v>é.paralelo.a</v>
      </c>
      <c r="E1547" s="8" t="s">
        <v>28</v>
      </c>
      <c r="F1547" s="42" t="str">
        <f t="shared" si="596"/>
        <v xml:space="preserve">d.posicionar </v>
      </c>
      <c r="G1547" s="18" t="s">
        <v>951</v>
      </c>
      <c r="H1547" s="41" t="s">
        <v>2121</v>
      </c>
      <c r="I1547" s="16" t="str">
        <f t="shared" si="595"/>
        <v>null</v>
      </c>
      <c r="J1547" s="13" t="s">
        <v>0</v>
      </c>
      <c r="K1547" s="13" t="s">
        <v>0</v>
      </c>
      <c r="L1547" s="13" t="s">
        <v>0</v>
      </c>
      <c r="M1547" s="13" t="s">
        <v>35</v>
      </c>
      <c r="N1547" s="15" t="s">
        <v>0</v>
      </c>
      <c r="O1547" s="13" t="s">
        <v>0</v>
      </c>
      <c r="P1547" s="13" t="s">
        <v>271</v>
      </c>
      <c r="Q1547" s="13" t="s">
        <v>0</v>
      </c>
      <c r="R1547" s="15" t="s">
        <v>0</v>
      </c>
      <c r="S1547" s="10" t="s">
        <v>1</v>
      </c>
      <c r="T1547" s="10" t="s">
        <v>32</v>
      </c>
      <c r="U1547" s="5" t="str">
        <f t="shared" si="597"/>
        <v>Propriedade destinada a posicionar : é.paralelo.a</v>
      </c>
      <c r="V1547" s="5" t="str">
        <f t="shared" si="598"/>
        <v>Dado para posicionar :  paralelo.a  Deve ser formatado como (rdfs:Literal  or  xsd:string)</v>
      </c>
      <c r="W1547" s="5" t="s">
        <v>6216</v>
      </c>
      <c r="X1547" s="24" t="str">
        <f t="shared" si="599"/>
        <v>posic.119</v>
      </c>
      <c r="Y1547" s="24" t="str">
        <f t="shared" si="600"/>
        <v xml:space="preserve">Ação de posicionar </v>
      </c>
      <c r="Z1547" s="47" t="s">
        <v>1840</v>
      </c>
      <c r="AA1547" s="25" t="str">
        <f t="shared" si="579"/>
        <v>null</v>
      </c>
      <c r="AB1547" s="26" t="s">
        <v>0</v>
      </c>
      <c r="AC1547" s="25" t="str">
        <f t="shared" si="580"/>
        <v>null</v>
      </c>
      <c r="AD1547" s="26" t="s">
        <v>0</v>
      </c>
      <c r="AE1547" s="25" t="str">
        <f t="shared" si="601"/>
        <v>null</v>
      </c>
      <c r="AF1547" s="26" t="s">
        <v>0</v>
      </c>
      <c r="AG1547" s="47" t="s">
        <v>3136</v>
      </c>
    </row>
    <row r="1548" spans="1:33" ht="6.9" customHeight="1" x14ac:dyDescent="0.4">
      <c r="A1548" s="4">
        <f>ROW()</f>
        <v>1548</v>
      </c>
      <c r="B1548" s="9" t="s">
        <v>27</v>
      </c>
      <c r="C1548" s="55" t="str">
        <f t="shared" si="587"/>
        <v xml:space="preserve">p.posicionar </v>
      </c>
      <c r="D1548" s="6" t="str">
        <f t="shared" si="577"/>
        <v>é.abaixo.de</v>
      </c>
      <c r="E1548" s="8" t="s">
        <v>28</v>
      </c>
      <c r="F1548" s="42" t="str">
        <f t="shared" si="596"/>
        <v xml:space="preserve">d.posicionar </v>
      </c>
      <c r="G1548" s="18" t="s">
        <v>952</v>
      </c>
      <c r="H1548" s="42" t="s">
        <v>2121</v>
      </c>
      <c r="I1548" s="16" t="str">
        <f t="shared" si="595"/>
        <v>null</v>
      </c>
      <c r="J1548" s="13" t="s">
        <v>0</v>
      </c>
      <c r="K1548" s="13" t="s">
        <v>0</v>
      </c>
      <c r="L1548" s="13" t="s">
        <v>0</v>
      </c>
      <c r="M1548" s="13" t="s">
        <v>0</v>
      </c>
      <c r="N1548" s="13" t="s">
        <v>270</v>
      </c>
      <c r="O1548" s="13" t="s">
        <v>0</v>
      </c>
      <c r="P1548" s="13" t="s">
        <v>271</v>
      </c>
      <c r="Q1548" s="13" t="s">
        <v>2052</v>
      </c>
      <c r="R1548" s="15" t="s">
        <v>0</v>
      </c>
      <c r="S1548" s="10" t="s">
        <v>1</v>
      </c>
      <c r="T1548" s="10" t="s">
        <v>32</v>
      </c>
      <c r="U1548" s="5" t="str">
        <f t="shared" si="597"/>
        <v>Propriedade destinada a posicionar : é.abaixo.de</v>
      </c>
      <c r="V1548" s="5" t="str">
        <f t="shared" si="598"/>
        <v>Dado para posicionar :  abaixo.de  Deve ser formatado como (rdfs:Literal  or  xsd:string)</v>
      </c>
      <c r="W1548" s="5" t="s">
        <v>6217</v>
      </c>
      <c r="X1548" s="24" t="str">
        <f t="shared" si="599"/>
        <v>posic.120</v>
      </c>
      <c r="Y1548" s="24" t="str">
        <f t="shared" si="600"/>
        <v xml:space="preserve">Ação de posicionar </v>
      </c>
      <c r="Z1548" s="47" t="s">
        <v>1841</v>
      </c>
      <c r="AA1548" s="25" t="str">
        <f t="shared" ref="AA1548:AA1619" si="602">IF(AB1548="null", "null", "categoria.revit")</f>
        <v>null</v>
      </c>
      <c r="AB1548" s="26" t="s">
        <v>0</v>
      </c>
      <c r="AC1548" s="25" t="str">
        <f t="shared" ref="AC1548:AC1619" si="603">IF(AD1548="null", "null", "classe.ifc")</f>
        <v>null</v>
      </c>
      <c r="AD1548" s="26" t="s">
        <v>0</v>
      </c>
      <c r="AE1548" s="25" t="str">
        <f t="shared" si="601"/>
        <v>null</v>
      </c>
      <c r="AF1548" s="26" t="s">
        <v>0</v>
      </c>
      <c r="AG1548" s="47" t="s">
        <v>3137</v>
      </c>
    </row>
    <row r="1549" spans="1:33" ht="6.9" customHeight="1" x14ac:dyDescent="0.4">
      <c r="A1549" s="4">
        <f>ROW()</f>
        <v>1549</v>
      </c>
      <c r="B1549" s="9" t="s">
        <v>27</v>
      </c>
      <c r="C1549" s="55" t="str">
        <f t="shared" si="587"/>
        <v xml:space="preserve">p.posicionar </v>
      </c>
      <c r="D1549" s="6" t="str">
        <f t="shared" si="577"/>
        <v>é.acima.de</v>
      </c>
      <c r="E1549" s="8" t="s">
        <v>28</v>
      </c>
      <c r="F1549" s="42" t="str">
        <f t="shared" si="596"/>
        <v xml:space="preserve">d.posicionar </v>
      </c>
      <c r="G1549" s="18" t="s">
        <v>953</v>
      </c>
      <c r="H1549" s="42" t="s">
        <v>2121</v>
      </c>
      <c r="I1549" s="16" t="str">
        <f t="shared" si="595"/>
        <v>null</v>
      </c>
      <c r="J1549" s="13" t="s">
        <v>0</v>
      </c>
      <c r="K1549" s="13" t="s">
        <v>0</v>
      </c>
      <c r="L1549" s="13" t="s">
        <v>0</v>
      </c>
      <c r="M1549" s="13" t="s">
        <v>0</v>
      </c>
      <c r="N1549" s="13" t="s">
        <v>270</v>
      </c>
      <c r="O1549" s="13" t="s">
        <v>0</v>
      </c>
      <c r="P1549" s="13" t="s">
        <v>271</v>
      </c>
      <c r="Q1549" s="13" t="s">
        <v>2053</v>
      </c>
      <c r="R1549" s="15" t="s">
        <v>0</v>
      </c>
      <c r="S1549" s="10" t="s">
        <v>1</v>
      </c>
      <c r="T1549" s="10" t="s">
        <v>32</v>
      </c>
      <c r="U1549" s="5" t="str">
        <f t="shared" si="597"/>
        <v>Propriedade destinada a posicionar : é.acima.de</v>
      </c>
      <c r="V1549" s="5" t="str">
        <f t="shared" si="598"/>
        <v>Dado para posicionar :  acima.de  Deve ser formatado como (rdfs:Literal  or  xsd:string)</v>
      </c>
      <c r="W1549" s="5" t="s">
        <v>6218</v>
      </c>
      <c r="X1549" s="24" t="str">
        <f t="shared" si="599"/>
        <v>posic.121</v>
      </c>
      <c r="Y1549" s="24" t="str">
        <f t="shared" si="600"/>
        <v xml:space="preserve">Ação de posicionar </v>
      </c>
      <c r="Z1549" s="47" t="s">
        <v>1842</v>
      </c>
      <c r="AA1549" s="25" t="str">
        <f t="shared" si="602"/>
        <v>null</v>
      </c>
      <c r="AB1549" s="26" t="s">
        <v>0</v>
      </c>
      <c r="AC1549" s="25" t="str">
        <f t="shared" si="603"/>
        <v>null</v>
      </c>
      <c r="AD1549" s="26" t="s">
        <v>0</v>
      </c>
      <c r="AE1549" s="25" t="str">
        <f t="shared" si="601"/>
        <v>null</v>
      </c>
      <c r="AF1549" s="26" t="s">
        <v>0</v>
      </c>
      <c r="AG1549" s="47" t="s">
        <v>3138</v>
      </c>
    </row>
    <row r="1550" spans="1:33" ht="6.9" customHeight="1" x14ac:dyDescent="0.4">
      <c r="A1550" s="4">
        <f>ROW()</f>
        <v>1550</v>
      </c>
      <c r="B1550" s="9" t="s">
        <v>27</v>
      </c>
      <c r="C1550" s="55" t="str">
        <f t="shared" si="587"/>
        <v xml:space="preserve">p.posicionar </v>
      </c>
      <c r="D1550" s="6" t="str">
        <f t="shared" si="577"/>
        <v>é.andar.de</v>
      </c>
      <c r="E1550" s="8" t="s">
        <v>28</v>
      </c>
      <c r="F1550" s="42" t="str">
        <f t="shared" si="596"/>
        <v xml:space="preserve">d.posicionar </v>
      </c>
      <c r="G1550" s="18" t="s">
        <v>954</v>
      </c>
      <c r="H1550" s="41" t="s">
        <v>2121</v>
      </c>
      <c r="I1550" s="16" t="str">
        <f t="shared" si="595"/>
        <v>Functional</v>
      </c>
      <c r="J1550" s="13" t="s">
        <v>29</v>
      </c>
      <c r="K1550" s="13" t="s">
        <v>0</v>
      </c>
      <c r="L1550" s="13" t="s">
        <v>0</v>
      </c>
      <c r="M1550" s="13" t="s">
        <v>0</v>
      </c>
      <c r="N1550" s="15" t="s">
        <v>0</v>
      </c>
      <c r="O1550" s="13" t="s">
        <v>0</v>
      </c>
      <c r="P1550" s="13" t="s">
        <v>0</v>
      </c>
      <c r="Q1550" s="13" t="s">
        <v>0</v>
      </c>
      <c r="R1550" s="15" t="s">
        <v>0</v>
      </c>
      <c r="S1550" s="10" t="s">
        <v>1</v>
      </c>
      <c r="T1550" s="10" t="s">
        <v>32</v>
      </c>
      <c r="U1550" s="5" t="str">
        <f t="shared" si="597"/>
        <v>Propriedade destinada a posicionar : é.andar.de</v>
      </c>
      <c r="V1550" s="5" t="str">
        <f t="shared" si="598"/>
        <v>Dado para posicionar :  andar.de  Deve ser formatado como (rdfs:Literal  or  xsd:string)</v>
      </c>
      <c r="W1550" s="5" t="s">
        <v>6219</v>
      </c>
      <c r="X1550" s="24" t="str">
        <f t="shared" si="599"/>
        <v>posic.122</v>
      </c>
      <c r="Y1550" s="24" t="str">
        <f t="shared" si="600"/>
        <v xml:space="preserve">Ação de posicionar </v>
      </c>
      <c r="Z1550" s="47" t="s">
        <v>1843</v>
      </c>
      <c r="AA1550" s="25" t="str">
        <f t="shared" si="602"/>
        <v>null</v>
      </c>
      <c r="AB1550" s="26" t="s">
        <v>0</v>
      </c>
      <c r="AC1550" s="25" t="str">
        <f t="shared" si="603"/>
        <v>null</v>
      </c>
      <c r="AD1550" s="26" t="s">
        <v>0</v>
      </c>
      <c r="AE1550" s="25" t="str">
        <f t="shared" si="601"/>
        <v>null</v>
      </c>
      <c r="AF1550" s="26" t="s">
        <v>0</v>
      </c>
      <c r="AG1550" s="47" t="s">
        <v>3139</v>
      </c>
    </row>
    <row r="1551" spans="1:33" ht="6.9" customHeight="1" x14ac:dyDescent="0.4">
      <c r="A1551" s="4">
        <f>ROW()</f>
        <v>1551</v>
      </c>
      <c r="B1551" s="9" t="s">
        <v>27</v>
      </c>
      <c r="C1551" s="55" t="str">
        <f t="shared" si="587"/>
        <v xml:space="preserve">p.posicionar </v>
      </c>
      <c r="D1551" s="6" t="str">
        <f t="shared" ref="D1551:D1614" si="604">_xlfn.CONCAT("é.",G1551)</f>
        <v>é.coordenada.absoluta</v>
      </c>
      <c r="E1551" s="8" t="s">
        <v>28</v>
      </c>
      <c r="F1551" s="42" t="str">
        <f t="shared" si="596"/>
        <v xml:space="preserve">d.posicionar </v>
      </c>
      <c r="G1551" s="18" t="s">
        <v>955</v>
      </c>
      <c r="H1551" s="41" t="s">
        <v>2121</v>
      </c>
      <c r="I1551" s="16" t="str">
        <f t="shared" si="595"/>
        <v>Functional</v>
      </c>
      <c r="J1551" s="13" t="s">
        <v>29</v>
      </c>
      <c r="K1551" s="13" t="s">
        <v>0</v>
      </c>
      <c r="L1551" s="13" t="s">
        <v>0</v>
      </c>
      <c r="M1551" s="13" t="s">
        <v>0</v>
      </c>
      <c r="N1551" s="15" t="s">
        <v>0</v>
      </c>
      <c r="O1551" s="13" t="s">
        <v>0</v>
      </c>
      <c r="P1551" s="13" t="s">
        <v>0</v>
      </c>
      <c r="Q1551" s="13" t="s">
        <v>0</v>
      </c>
      <c r="R1551" s="15" t="s">
        <v>0</v>
      </c>
      <c r="S1551" s="10" t="s">
        <v>1</v>
      </c>
      <c r="T1551" s="10" t="s">
        <v>32</v>
      </c>
      <c r="U1551" s="5" t="str">
        <f t="shared" si="597"/>
        <v>Propriedade destinada a posicionar : é.coordenada.absoluta</v>
      </c>
      <c r="V1551" s="5" t="str">
        <f t="shared" si="598"/>
        <v>Dado para posicionar :  coordenada.absoluta  Deve ser formatado como (rdfs:Literal  or  xsd:string)</v>
      </c>
      <c r="W1551" s="5" t="s">
        <v>6220</v>
      </c>
      <c r="X1551" s="24" t="str">
        <f t="shared" si="599"/>
        <v>posic.123</v>
      </c>
      <c r="Y1551" s="24" t="str">
        <f t="shared" si="600"/>
        <v xml:space="preserve">Ação de posicionar </v>
      </c>
      <c r="Z1551" s="47" t="s">
        <v>2552</v>
      </c>
      <c r="AA1551" s="25" t="str">
        <f t="shared" si="602"/>
        <v>null</v>
      </c>
      <c r="AB1551" s="26" t="s">
        <v>0</v>
      </c>
      <c r="AC1551" s="25" t="str">
        <f t="shared" si="603"/>
        <v>null</v>
      </c>
      <c r="AD1551" s="26" t="s">
        <v>0</v>
      </c>
      <c r="AE1551" s="25" t="str">
        <f t="shared" si="601"/>
        <v>null</v>
      </c>
      <c r="AF1551" s="26" t="s">
        <v>0</v>
      </c>
      <c r="AG1551" s="47" t="s">
        <v>3140</v>
      </c>
    </row>
    <row r="1552" spans="1:33" ht="6.9" customHeight="1" x14ac:dyDescent="0.4">
      <c r="A1552" s="4">
        <f>ROW()</f>
        <v>1552</v>
      </c>
      <c r="B1552" s="9" t="s">
        <v>27</v>
      </c>
      <c r="C1552" s="55" t="str">
        <f t="shared" si="587"/>
        <v xml:space="preserve">p.posicionar </v>
      </c>
      <c r="D1552" s="6" t="str">
        <f t="shared" si="604"/>
        <v>é.coordenada.base</v>
      </c>
      <c r="E1552" s="8" t="s">
        <v>28</v>
      </c>
      <c r="F1552" s="42" t="str">
        <f t="shared" si="596"/>
        <v xml:space="preserve">d.posicionar </v>
      </c>
      <c r="G1552" s="18" t="s">
        <v>956</v>
      </c>
      <c r="H1552" s="41" t="s">
        <v>2121</v>
      </c>
      <c r="I1552" s="16" t="str">
        <f t="shared" si="595"/>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597"/>
        <v>Propriedade destinada a posicionar : é.coordenada.base</v>
      </c>
      <c r="V1552" s="5" t="str">
        <f t="shared" si="598"/>
        <v>Dado para posicionar :  coordenada.base  Deve ser formatado como (rdfs:Literal  or  xsd:string)</v>
      </c>
      <c r="W1552" s="5" t="s">
        <v>6221</v>
      </c>
      <c r="X1552" s="24" t="str">
        <f t="shared" si="599"/>
        <v>posic.124</v>
      </c>
      <c r="Y1552" s="24" t="str">
        <f t="shared" si="600"/>
        <v xml:space="preserve">Ação de posicionar </v>
      </c>
      <c r="Z1552" s="47" t="s">
        <v>2553</v>
      </c>
      <c r="AA1552" s="25" t="str">
        <f t="shared" si="602"/>
        <v>null</v>
      </c>
      <c r="AB1552" s="26" t="s">
        <v>0</v>
      </c>
      <c r="AC1552" s="25" t="str">
        <f t="shared" si="603"/>
        <v>null</v>
      </c>
      <c r="AD1552" s="26" t="s">
        <v>0</v>
      </c>
      <c r="AE1552" s="25" t="str">
        <f t="shared" si="601"/>
        <v>null</v>
      </c>
      <c r="AF1552" s="26" t="s">
        <v>0</v>
      </c>
      <c r="AG1552" s="47" t="s">
        <v>3141</v>
      </c>
    </row>
    <row r="1553" spans="1:33" ht="6.9" customHeight="1" x14ac:dyDescent="0.4">
      <c r="A1553" s="4">
        <f>ROW()</f>
        <v>1553</v>
      </c>
      <c r="B1553" s="9" t="s">
        <v>27</v>
      </c>
      <c r="C1553" s="55" t="str">
        <f t="shared" si="587"/>
        <v xml:space="preserve">p.posicionar </v>
      </c>
      <c r="D1553" s="6" t="str">
        <f t="shared" si="604"/>
        <v>é.coordenada.topográfica</v>
      </c>
      <c r="E1553" s="8" t="s">
        <v>28</v>
      </c>
      <c r="F1553" s="42" t="str">
        <f t="shared" si="596"/>
        <v xml:space="preserve">d.posicionar </v>
      </c>
      <c r="G1553" s="18" t="s">
        <v>957</v>
      </c>
      <c r="H1553" s="41" t="s">
        <v>2121</v>
      </c>
      <c r="I1553" s="16" t="str">
        <f t="shared" si="595"/>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597"/>
        <v>Propriedade destinada a posicionar : é.coordenada.topográfica</v>
      </c>
      <c r="V1553" s="5" t="str">
        <f t="shared" si="598"/>
        <v>Dado para posicionar :  coordenada.topográfica  Deve ser formatado como (rdfs:Literal  or  xsd:string)</v>
      </c>
      <c r="W1553" s="5" t="s">
        <v>6222</v>
      </c>
      <c r="X1553" s="24" t="str">
        <f t="shared" si="599"/>
        <v>posic.125</v>
      </c>
      <c r="Y1553" s="24" t="str">
        <f t="shared" si="600"/>
        <v xml:space="preserve">Ação de posicionar </v>
      </c>
      <c r="Z1553" s="47" t="s">
        <v>2554</v>
      </c>
      <c r="AA1553" s="25" t="str">
        <f t="shared" si="602"/>
        <v>null</v>
      </c>
      <c r="AB1553" s="26" t="s">
        <v>0</v>
      </c>
      <c r="AC1553" s="25" t="str">
        <f t="shared" si="603"/>
        <v>null</v>
      </c>
      <c r="AD1553" s="26" t="s">
        <v>0</v>
      </c>
      <c r="AE1553" s="25" t="str">
        <f t="shared" si="601"/>
        <v>null</v>
      </c>
      <c r="AF1553" s="26" t="s">
        <v>0</v>
      </c>
      <c r="AG1553" s="47" t="s">
        <v>3142</v>
      </c>
    </row>
    <row r="1554" spans="1:33" ht="6.9" customHeight="1" x14ac:dyDescent="0.4">
      <c r="A1554" s="4">
        <f>ROW()</f>
        <v>1554</v>
      </c>
      <c r="B1554" s="9" t="s">
        <v>27</v>
      </c>
      <c r="C1554" s="55" t="str">
        <f t="shared" si="587"/>
        <v xml:space="preserve">p.posicionar </v>
      </c>
      <c r="D1554" s="6" t="str">
        <f t="shared" si="604"/>
        <v>é.subterrâneo</v>
      </c>
      <c r="E1554" s="8" t="s">
        <v>28</v>
      </c>
      <c r="F1554" s="42" t="str">
        <f t="shared" si="596"/>
        <v xml:space="preserve">d.posicionar </v>
      </c>
      <c r="G1554" s="18" t="s">
        <v>2386</v>
      </c>
      <c r="H1554" s="41" t="s">
        <v>2121</v>
      </c>
      <c r="I1554" s="16" t="str">
        <f t="shared" si="595"/>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597"/>
        <v>Propriedade destinada a posicionar : é.subterrâneo</v>
      </c>
      <c r="V1554" s="5" t="str">
        <f t="shared" si="598"/>
        <v>Dado para posicionar :  subterrâneo  Deve ser formatado como (rdfs:Literal  or  xsd:string)</v>
      </c>
      <c r="W1554" s="5" t="s">
        <v>6223</v>
      </c>
      <c r="X1554" s="24" t="str">
        <f t="shared" si="599"/>
        <v>posic.126</v>
      </c>
      <c r="Y1554" s="24" t="str">
        <f t="shared" si="600"/>
        <v xml:space="preserve">Ação de posicionar </v>
      </c>
      <c r="Z1554" s="47" t="s">
        <v>2555</v>
      </c>
      <c r="AA1554" s="25" t="str">
        <f t="shared" si="602"/>
        <v>null</v>
      </c>
      <c r="AB1554" s="26" t="s">
        <v>0</v>
      </c>
      <c r="AC1554" s="25" t="str">
        <f t="shared" si="603"/>
        <v>null</v>
      </c>
      <c r="AD1554" s="26" t="s">
        <v>0</v>
      </c>
      <c r="AE1554" s="25" t="str">
        <f t="shared" si="601"/>
        <v>null</v>
      </c>
      <c r="AF1554" s="26" t="s">
        <v>0</v>
      </c>
      <c r="AG1554" s="47" t="s">
        <v>3143</v>
      </c>
    </row>
    <row r="1555" spans="1:33" ht="6.9" customHeight="1" x14ac:dyDescent="0.4">
      <c r="A1555" s="4">
        <f>ROW()</f>
        <v>1555</v>
      </c>
      <c r="B1555" s="9" t="s">
        <v>27</v>
      </c>
      <c r="C1555" s="55" t="str">
        <f t="shared" si="587"/>
        <v xml:space="preserve">p.posicionar </v>
      </c>
      <c r="D1555" s="6" t="str">
        <f t="shared" si="604"/>
        <v>é.submarino</v>
      </c>
      <c r="E1555" s="8" t="s">
        <v>28</v>
      </c>
      <c r="F1555" s="42" t="str">
        <f t="shared" si="596"/>
        <v xml:space="preserve">d.posicionar </v>
      </c>
      <c r="G1555" s="18" t="s">
        <v>2387</v>
      </c>
      <c r="H1555" s="41" t="s">
        <v>2121</v>
      </c>
      <c r="I1555" s="16" t="str">
        <f t="shared" si="595"/>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597"/>
        <v>Propriedade destinada a posicionar : é.submarino</v>
      </c>
      <c r="V1555" s="5" t="str">
        <f t="shared" si="598"/>
        <v>Dado para posicionar :  submarino  Deve ser formatado como (rdfs:Literal  or  xsd:string)</v>
      </c>
      <c r="W1555" s="5" t="s">
        <v>6224</v>
      </c>
      <c r="X1555" s="24" t="str">
        <f t="shared" si="599"/>
        <v>posic.127</v>
      </c>
      <c r="Y1555" s="24" t="str">
        <f t="shared" si="600"/>
        <v xml:space="preserve">Ação de posicionar </v>
      </c>
      <c r="Z1555" s="47" t="s">
        <v>2556</v>
      </c>
      <c r="AA1555" s="25" t="str">
        <f t="shared" si="602"/>
        <v>null</v>
      </c>
      <c r="AB1555" s="26" t="s">
        <v>0</v>
      </c>
      <c r="AC1555" s="25" t="str">
        <f t="shared" si="603"/>
        <v>null</v>
      </c>
      <c r="AD1555" s="26" t="s">
        <v>0</v>
      </c>
      <c r="AE1555" s="25" t="str">
        <f t="shared" si="601"/>
        <v>null</v>
      </c>
      <c r="AF1555" s="26" t="s">
        <v>0</v>
      </c>
      <c r="AG1555" s="47" t="s">
        <v>3144</v>
      </c>
    </row>
    <row r="1556" spans="1:33" ht="6.9" customHeight="1" x14ac:dyDescent="0.4">
      <c r="A1556" s="4">
        <f>ROW()</f>
        <v>1556</v>
      </c>
      <c r="B1556" s="9" t="s">
        <v>27</v>
      </c>
      <c r="C1556" s="55" t="str">
        <f t="shared" si="587"/>
        <v xml:space="preserve">p.posicionar </v>
      </c>
      <c r="D1556" s="6" t="str">
        <f t="shared" si="604"/>
        <v>é.terrestre.aéreo</v>
      </c>
      <c r="E1556" s="8" t="s">
        <v>28</v>
      </c>
      <c r="F1556" s="42" t="str">
        <f t="shared" si="596"/>
        <v xml:space="preserve">d.posicionar </v>
      </c>
      <c r="G1556" s="18" t="s">
        <v>2388</v>
      </c>
      <c r="H1556" s="41" t="s">
        <v>2121</v>
      </c>
      <c r="I1556" s="16" t="str">
        <f t="shared" si="595"/>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597"/>
        <v>Propriedade destinada a posicionar : é.terrestre.aéreo</v>
      </c>
      <c r="V1556" s="5" t="str">
        <f t="shared" si="598"/>
        <v>Dado para posicionar :  terrestre.aéreo  Deve ser formatado como (rdfs:Literal  or  xsd:string)</v>
      </c>
      <c r="W1556" s="5" t="s">
        <v>6225</v>
      </c>
      <c r="X1556" s="24" t="str">
        <f t="shared" si="599"/>
        <v>posic.128</v>
      </c>
      <c r="Y1556" s="24" t="str">
        <f t="shared" si="600"/>
        <v xml:space="preserve">Ação de posicionar </v>
      </c>
      <c r="Z1556" s="47" t="s">
        <v>2557</v>
      </c>
      <c r="AA1556" s="25" t="str">
        <f t="shared" si="602"/>
        <v>null</v>
      </c>
      <c r="AB1556" s="26" t="s">
        <v>0</v>
      </c>
      <c r="AC1556" s="25" t="str">
        <f t="shared" si="603"/>
        <v>null</v>
      </c>
      <c r="AD1556" s="26" t="s">
        <v>0</v>
      </c>
      <c r="AE1556" s="25" t="str">
        <f t="shared" si="601"/>
        <v>null</v>
      </c>
      <c r="AF1556" s="26" t="s">
        <v>0</v>
      </c>
      <c r="AG1556" s="47" t="s">
        <v>4743</v>
      </c>
    </row>
    <row r="1557" spans="1:33" ht="6.9" customHeight="1" x14ac:dyDescent="0.4">
      <c r="A1557" s="4">
        <f>ROW()</f>
        <v>1557</v>
      </c>
      <c r="B1557" s="9" t="s">
        <v>27</v>
      </c>
      <c r="C1557" s="54" t="str">
        <f t="shared" si="587"/>
        <v xml:space="preserve">p.predimensionar </v>
      </c>
      <c r="D1557" s="6" t="str">
        <f t="shared" si="604"/>
        <v>é.fator.altura.viga</v>
      </c>
      <c r="E1557" s="8" t="s">
        <v>28</v>
      </c>
      <c r="F1557" s="50" t="s">
        <v>3618</v>
      </c>
      <c r="G1557" s="18" t="s">
        <v>3454</v>
      </c>
      <c r="H1557" s="42" t="s">
        <v>36</v>
      </c>
      <c r="I1557" s="16" t="str">
        <f t="shared" si="595"/>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597"/>
        <v>Propriedade destinada a predimensionar : é.fator.altura.viga</v>
      </c>
      <c r="V1557" s="5" t="str">
        <f t="shared" si="598"/>
        <v>Dado para predimensionar :  fator.altura.viga  Deve ser formatado como (xsd:double)</v>
      </c>
      <c r="W1557" s="5" t="s">
        <v>6226</v>
      </c>
      <c r="X1557" s="24" t="str">
        <f t="shared" si="599"/>
        <v>predi.100</v>
      </c>
      <c r="Y1557" s="24" t="str">
        <f t="shared" si="600"/>
        <v xml:space="preserve">Ação de predimensionar </v>
      </c>
      <c r="Z1557" s="47" t="s">
        <v>3680</v>
      </c>
      <c r="AA1557" s="25" t="str">
        <f t="shared" si="602"/>
        <v>null</v>
      </c>
      <c r="AB1557" s="26" t="s">
        <v>0</v>
      </c>
      <c r="AC1557" s="25" t="str">
        <f t="shared" si="603"/>
        <v>null</v>
      </c>
      <c r="AD1557" s="26" t="s">
        <v>0</v>
      </c>
      <c r="AE1557" s="25" t="str">
        <f t="shared" si="601"/>
        <v>null</v>
      </c>
      <c r="AF1557" s="26" t="s">
        <v>0</v>
      </c>
      <c r="AG1557" s="47" t="s">
        <v>3750</v>
      </c>
    </row>
    <row r="1558" spans="1:33" ht="6.9" customHeight="1" x14ac:dyDescent="0.4">
      <c r="A1558" s="4">
        <f>ROW()</f>
        <v>1558</v>
      </c>
      <c r="B1558" s="9" t="s">
        <v>27</v>
      </c>
      <c r="C1558" s="55" t="str">
        <f t="shared" si="587"/>
        <v xml:space="preserve">p.predimensionar </v>
      </c>
      <c r="D1558" s="6" t="str">
        <f t="shared" si="604"/>
        <v>é.fator.altura.treliça.metálica</v>
      </c>
      <c r="E1558" s="8" t="s">
        <v>28</v>
      </c>
      <c r="F1558" s="42" t="str">
        <f>F1557</f>
        <v xml:space="preserve">d.predimensionar </v>
      </c>
      <c r="G1558" s="18" t="s">
        <v>3455</v>
      </c>
      <c r="H1558" s="42" t="s">
        <v>36</v>
      </c>
      <c r="I1558" s="16" t="str">
        <f t="shared" si="595"/>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597"/>
        <v>Propriedade destinada a predimensionar : é.fator.altura.treliça.metálica</v>
      </c>
      <c r="V1558" s="5" t="str">
        <f t="shared" si="598"/>
        <v>Dado para predimensionar :  fator.altura.treliça.metálica  Deve ser formatado como (xsd:double)</v>
      </c>
      <c r="W1558" s="5" t="s">
        <v>6227</v>
      </c>
      <c r="X1558" s="24" t="str">
        <f t="shared" si="599"/>
        <v>predi.101</v>
      </c>
      <c r="Y1558" s="24" t="str">
        <f t="shared" si="600"/>
        <v xml:space="preserve">Ação de predimensionar </v>
      </c>
      <c r="Z1558" s="47" t="s">
        <v>3681</v>
      </c>
      <c r="AA1558" s="25" t="str">
        <f t="shared" si="602"/>
        <v>null</v>
      </c>
      <c r="AB1558" s="26" t="s">
        <v>0</v>
      </c>
      <c r="AC1558" s="25" t="str">
        <f t="shared" si="603"/>
        <v>null</v>
      </c>
      <c r="AD1558" s="26" t="s">
        <v>0</v>
      </c>
      <c r="AE1558" s="25" t="str">
        <f t="shared" si="601"/>
        <v>null</v>
      </c>
      <c r="AF1558" s="26" t="s">
        <v>0</v>
      </c>
      <c r="AG1558" s="47" t="s">
        <v>3751</v>
      </c>
    </row>
    <row r="1559" spans="1:33" ht="6.9" customHeight="1" x14ac:dyDescent="0.4">
      <c r="A1559" s="4">
        <f>ROW()</f>
        <v>1559</v>
      </c>
      <c r="B1559" s="9" t="s">
        <v>27</v>
      </c>
      <c r="C1559" s="54" t="str">
        <f t="shared" si="587"/>
        <v xml:space="preserve">p.prever </v>
      </c>
      <c r="D1559" s="6" t="str">
        <f t="shared" si="604"/>
        <v>é.estação.meteorológica</v>
      </c>
      <c r="E1559" s="8" t="s">
        <v>28</v>
      </c>
      <c r="F1559" s="50" t="s">
        <v>3619</v>
      </c>
      <c r="G1559" s="18" t="s">
        <v>958</v>
      </c>
      <c r="H1559" s="41" t="s">
        <v>2121</v>
      </c>
      <c r="I1559" s="16" t="str">
        <f t="shared" si="595"/>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597"/>
        <v>Propriedade destinada a prever : é.estação.meteorológica</v>
      </c>
      <c r="V1559" s="5" t="str">
        <f t="shared" si="598"/>
        <v>Dado para prever :  estação.meteorológica  Deve ser formatado como (rdfs:Literal  or  xsd:string)</v>
      </c>
      <c r="W1559" s="5" t="s">
        <v>6228</v>
      </c>
      <c r="X1559" s="24" t="str">
        <f t="shared" si="599"/>
        <v>preve.100</v>
      </c>
      <c r="Y1559" s="24" t="str">
        <f t="shared" si="600"/>
        <v xml:space="preserve">Ação de prever </v>
      </c>
      <c r="Z1559" s="47" t="s">
        <v>1844</v>
      </c>
      <c r="AA1559" s="25" t="str">
        <f t="shared" si="602"/>
        <v>null</v>
      </c>
      <c r="AB1559" s="26" t="s">
        <v>0</v>
      </c>
      <c r="AC1559" s="25" t="str">
        <f t="shared" si="603"/>
        <v>null</v>
      </c>
      <c r="AD1559" s="26" t="s">
        <v>0</v>
      </c>
      <c r="AE1559" s="25" t="str">
        <f t="shared" si="601"/>
        <v>null</v>
      </c>
      <c r="AF1559" s="26" t="s">
        <v>0</v>
      </c>
      <c r="AG1559" s="47" t="s">
        <v>3145</v>
      </c>
    </row>
    <row r="1560" spans="1:33" ht="6.9" customHeight="1" x14ac:dyDescent="0.4">
      <c r="A1560" s="4">
        <f>ROW()</f>
        <v>1560</v>
      </c>
      <c r="B1560" s="9" t="s">
        <v>27</v>
      </c>
      <c r="C1560" s="55" t="str">
        <f t="shared" si="587"/>
        <v xml:space="preserve">p.prever </v>
      </c>
      <c r="D1560" s="6" t="str">
        <f t="shared" si="604"/>
        <v>é.precipitação.diária</v>
      </c>
      <c r="E1560" s="8" t="s">
        <v>28</v>
      </c>
      <c r="F1560" s="42" t="str">
        <f>F1559</f>
        <v xml:space="preserve">d.prever </v>
      </c>
      <c r="G1560" s="18" t="s">
        <v>959</v>
      </c>
      <c r="H1560" s="42" t="s">
        <v>36</v>
      </c>
      <c r="I1560" s="16" t="str">
        <f t="shared" si="595"/>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597"/>
        <v>Propriedade destinada a prever : é.precipitação.diária</v>
      </c>
      <c r="V1560" s="5" t="str">
        <f t="shared" si="598"/>
        <v>Dado para prever :  precipitação.diária  Deve ser formatado como (xsd:double)</v>
      </c>
      <c r="W1560" s="5" t="s">
        <v>6229</v>
      </c>
      <c r="X1560" s="24" t="str">
        <f t="shared" si="599"/>
        <v>preve.101</v>
      </c>
      <c r="Y1560" s="24" t="str">
        <f t="shared" si="600"/>
        <v xml:space="preserve">Ação de prever </v>
      </c>
      <c r="Z1560" s="47" t="s">
        <v>1845</v>
      </c>
      <c r="AA1560" s="25" t="str">
        <f t="shared" si="602"/>
        <v>null</v>
      </c>
      <c r="AB1560" s="26" t="s">
        <v>0</v>
      </c>
      <c r="AC1560" s="25" t="str">
        <f t="shared" si="603"/>
        <v>null</v>
      </c>
      <c r="AD1560" s="26" t="s">
        <v>0</v>
      </c>
      <c r="AE1560" s="25" t="str">
        <f t="shared" si="601"/>
        <v>null</v>
      </c>
      <c r="AF1560" s="26" t="s">
        <v>0</v>
      </c>
      <c r="AG1560" s="47" t="s">
        <v>3146</v>
      </c>
    </row>
    <row r="1561" spans="1:33" ht="6.9" customHeight="1" x14ac:dyDescent="0.4">
      <c r="A1561" s="4">
        <f>ROW()</f>
        <v>1561</v>
      </c>
      <c r="B1561" s="9" t="s">
        <v>27</v>
      </c>
      <c r="C1561" s="55" t="str">
        <f t="shared" si="587"/>
        <v xml:space="preserve">p.prever </v>
      </c>
      <c r="D1561" s="6" t="str">
        <f t="shared" si="604"/>
        <v>é.precipitação.mensal</v>
      </c>
      <c r="E1561" s="8" t="s">
        <v>28</v>
      </c>
      <c r="F1561" s="42" t="str">
        <f>F1560</f>
        <v xml:space="preserve">d.prever </v>
      </c>
      <c r="G1561" s="18" t="s">
        <v>960</v>
      </c>
      <c r="H1561" s="42" t="s">
        <v>36</v>
      </c>
      <c r="I1561" s="16" t="str">
        <f t="shared" si="595"/>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597"/>
        <v>Propriedade destinada a prever : é.precipitação.mensal</v>
      </c>
      <c r="V1561" s="5" t="str">
        <f t="shared" si="598"/>
        <v>Dado para prever :  precipitação.mensal  Deve ser formatado como (xsd:double)</v>
      </c>
      <c r="W1561" s="5" t="s">
        <v>6230</v>
      </c>
      <c r="X1561" s="24" t="str">
        <f t="shared" si="599"/>
        <v>preve.102</v>
      </c>
      <c r="Y1561" s="24" t="str">
        <f t="shared" si="600"/>
        <v xml:space="preserve">Ação de prever </v>
      </c>
      <c r="Z1561" s="47" t="s">
        <v>1846</v>
      </c>
      <c r="AA1561" s="25" t="str">
        <f t="shared" si="602"/>
        <v>null</v>
      </c>
      <c r="AB1561" s="26" t="s">
        <v>0</v>
      </c>
      <c r="AC1561" s="25" t="str">
        <f t="shared" si="603"/>
        <v>null</v>
      </c>
      <c r="AD1561" s="26" t="s">
        <v>0</v>
      </c>
      <c r="AE1561" s="25" t="str">
        <f t="shared" si="601"/>
        <v>null</v>
      </c>
      <c r="AF1561" s="26" t="s">
        <v>0</v>
      </c>
      <c r="AG1561" s="47" t="s">
        <v>3147</v>
      </c>
    </row>
    <row r="1562" spans="1:33" ht="6.9" customHeight="1" x14ac:dyDescent="0.4">
      <c r="A1562" s="4">
        <f>ROW()</f>
        <v>1562</v>
      </c>
      <c r="B1562" s="9" t="s">
        <v>27</v>
      </c>
      <c r="C1562" s="55" t="str">
        <f t="shared" si="587"/>
        <v xml:space="preserve">p.prever </v>
      </c>
      <c r="D1562" s="6" t="str">
        <f t="shared" si="604"/>
        <v>é.velocidade.do.vento</v>
      </c>
      <c r="E1562" s="8" t="s">
        <v>28</v>
      </c>
      <c r="F1562" s="42" t="str">
        <f>F1560</f>
        <v xml:space="preserve">d.prever </v>
      </c>
      <c r="G1562" s="18" t="s">
        <v>961</v>
      </c>
      <c r="H1562" s="42" t="s">
        <v>36</v>
      </c>
      <c r="I1562" s="16" t="str">
        <f t="shared" si="595"/>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597"/>
        <v>Propriedade destinada a prever : é.velocidade.do.vento</v>
      </c>
      <c r="V1562" s="5" t="str">
        <f t="shared" si="598"/>
        <v>Dado para prever :  velocidade.do.vento  Deve ser formatado como (xsd:double)</v>
      </c>
      <c r="W1562" s="5" t="s">
        <v>6231</v>
      </c>
      <c r="X1562" s="24" t="str">
        <f t="shared" si="599"/>
        <v>preve.103</v>
      </c>
      <c r="Y1562" s="24" t="str">
        <f t="shared" si="600"/>
        <v xml:space="preserve">Ação de prever </v>
      </c>
      <c r="Z1562" s="47" t="s">
        <v>1847</v>
      </c>
      <c r="AA1562" s="25" t="str">
        <f t="shared" si="602"/>
        <v>null</v>
      </c>
      <c r="AB1562" s="26" t="s">
        <v>0</v>
      </c>
      <c r="AC1562" s="25" t="str">
        <f t="shared" si="603"/>
        <v>null</v>
      </c>
      <c r="AD1562" s="26" t="s">
        <v>0</v>
      </c>
      <c r="AE1562" s="25" t="str">
        <f t="shared" si="601"/>
        <v>propriedade</v>
      </c>
      <c r="AF1562" s="26" t="s">
        <v>2482</v>
      </c>
      <c r="AG1562" s="47" t="s">
        <v>3148</v>
      </c>
    </row>
    <row r="1563" spans="1:33" ht="6.9" customHeight="1" x14ac:dyDescent="0.4">
      <c r="A1563" s="4">
        <f>ROW()</f>
        <v>1563</v>
      </c>
      <c r="B1563" s="9" t="s">
        <v>27</v>
      </c>
      <c r="C1563" s="55" t="str">
        <f t="shared" si="587"/>
        <v xml:space="preserve">p.prever </v>
      </c>
      <c r="D1563" s="6" t="str">
        <f t="shared" si="604"/>
        <v>é.rajada.de.vento</v>
      </c>
      <c r="E1563" s="8" t="s">
        <v>28</v>
      </c>
      <c r="F1563" s="42" t="str">
        <f>F1560</f>
        <v xml:space="preserve">d.prever </v>
      </c>
      <c r="G1563" s="18" t="s">
        <v>1974</v>
      </c>
      <c r="H1563" s="42" t="s">
        <v>36</v>
      </c>
      <c r="I1563" s="16" t="str">
        <f t="shared" si="595"/>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597"/>
        <v>Propriedade destinada a prever : é.rajada.de.vento</v>
      </c>
      <c r="V1563" s="5" t="str">
        <f t="shared" si="598"/>
        <v>Dado para prever :  rajada.de.vento  Deve ser formatado como (xsd:double)</v>
      </c>
      <c r="W1563" s="5" t="s">
        <v>6232</v>
      </c>
      <c r="X1563" s="24" t="str">
        <f t="shared" si="599"/>
        <v>preve.104</v>
      </c>
      <c r="Y1563" s="24" t="str">
        <f t="shared" si="600"/>
        <v xml:space="preserve">Ação de prever </v>
      </c>
      <c r="Z1563" s="47" t="s">
        <v>1975</v>
      </c>
      <c r="AA1563" s="25" t="str">
        <f t="shared" si="602"/>
        <v>null</v>
      </c>
      <c r="AB1563" s="26" t="s">
        <v>0</v>
      </c>
      <c r="AC1563" s="25" t="str">
        <f t="shared" si="603"/>
        <v>null</v>
      </c>
      <c r="AD1563" s="26" t="s">
        <v>0</v>
      </c>
      <c r="AE1563" s="25" t="str">
        <f t="shared" si="601"/>
        <v>null</v>
      </c>
      <c r="AF1563" s="26" t="s">
        <v>0</v>
      </c>
      <c r="AG1563" s="47" t="s">
        <v>3149</v>
      </c>
    </row>
    <row r="1564" spans="1:33" ht="6.9" customHeight="1" x14ac:dyDescent="0.4">
      <c r="A1564" s="4">
        <f>ROW()</f>
        <v>1564</v>
      </c>
      <c r="B1564" s="9" t="s">
        <v>27</v>
      </c>
      <c r="C1564" s="55" t="str">
        <f t="shared" si="587"/>
        <v xml:space="preserve">p.prever </v>
      </c>
      <c r="D1564" s="6" t="str">
        <f t="shared" si="604"/>
        <v>é.vento.sustentado</v>
      </c>
      <c r="E1564" s="8" t="s">
        <v>28</v>
      </c>
      <c r="F1564" s="42" t="str">
        <f>F1561</f>
        <v xml:space="preserve">d.prever </v>
      </c>
      <c r="G1564" s="18" t="s">
        <v>1976</v>
      </c>
      <c r="H1564" s="42" t="s">
        <v>36</v>
      </c>
      <c r="I1564" s="16" t="str">
        <f t="shared" si="595"/>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597"/>
        <v>Propriedade destinada a prever : é.vento.sustentado</v>
      </c>
      <c r="V1564" s="5" t="str">
        <f t="shared" si="598"/>
        <v>Dado para prever :  vento.sustentado  Deve ser formatado como (xsd:double)</v>
      </c>
      <c r="W1564" s="5" t="s">
        <v>6233</v>
      </c>
      <c r="X1564" s="24" t="str">
        <f t="shared" si="599"/>
        <v>preve.105</v>
      </c>
      <c r="Y1564" s="24" t="str">
        <f t="shared" si="600"/>
        <v xml:space="preserve">Ação de prever </v>
      </c>
      <c r="Z1564" s="47" t="s">
        <v>1977</v>
      </c>
      <c r="AA1564" s="25" t="str">
        <f t="shared" si="602"/>
        <v>null</v>
      </c>
      <c r="AB1564" s="26" t="s">
        <v>0</v>
      </c>
      <c r="AC1564" s="25" t="str">
        <f t="shared" si="603"/>
        <v>null</v>
      </c>
      <c r="AD1564" s="26" t="s">
        <v>0</v>
      </c>
      <c r="AE1564" s="25" t="str">
        <f t="shared" si="601"/>
        <v>null</v>
      </c>
      <c r="AF1564" s="26" t="s">
        <v>0</v>
      </c>
      <c r="AG1564" s="47" t="s">
        <v>3150</v>
      </c>
    </row>
    <row r="1565" spans="1:33" ht="6.9" customHeight="1" x14ac:dyDescent="0.4">
      <c r="A1565" s="4">
        <f>ROW()</f>
        <v>1565</v>
      </c>
      <c r="B1565" s="9" t="s">
        <v>27</v>
      </c>
      <c r="C1565" s="55" t="str">
        <f t="shared" si="587"/>
        <v xml:space="preserve">p.prever </v>
      </c>
      <c r="D1565" s="6" t="str">
        <f t="shared" si="604"/>
        <v>é.direção.do.vento</v>
      </c>
      <c r="E1565" s="8" t="s">
        <v>28</v>
      </c>
      <c r="F1565" s="42" t="str">
        <f>F1564</f>
        <v xml:space="preserve">d.prever </v>
      </c>
      <c r="G1565" s="18" t="s">
        <v>962</v>
      </c>
      <c r="H1565" s="42" t="s">
        <v>2121</v>
      </c>
      <c r="I1565" s="16" t="str">
        <f t="shared" si="595"/>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597"/>
        <v>Propriedade destinada a prever : é.direção.do.vento</v>
      </c>
      <c r="V1565" s="5" t="str">
        <f t="shared" si="598"/>
        <v>Dado para prever :  direção.do.vento  Deve ser formatado como (rdfs:Literal  or  xsd:string)</v>
      </c>
      <c r="W1565" s="5" t="s">
        <v>6234</v>
      </c>
      <c r="X1565" s="24" t="str">
        <f t="shared" si="599"/>
        <v>preve.106</v>
      </c>
      <c r="Y1565" s="24" t="str">
        <f t="shared" si="600"/>
        <v xml:space="preserve">Ação de prever </v>
      </c>
      <c r="Z1565" s="47" t="s">
        <v>1848</v>
      </c>
      <c r="AA1565" s="25" t="str">
        <f t="shared" si="602"/>
        <v>null</v>
      </c>
      <c r="AB1565" s="26" t="s">
        <v>0</v>
      </c>
      <c r="AC1565" s="25" t="str">
        <f t="shared" si="603"/>
        <v>null</v>
      </c>
      <c r="AD1565" s="26" t="s">
        <v>0</v>
      </c>
      <c r="AE1565" s="25" t="str">
        <f t="shared" si="601"/>
        <v>null</v>
      </c>
      <c r="AF1565" s="26" t="s">
        <v>0</v>
      </c>
      <c r="AG1565" s="47" t="s">
        <v>3151</v>
      </c>
    </row>
    <row r="1566" spans="1:33" ht="6.9" customHeight="1" x14ac:dyDescent="0.4">
      <c r="A1566" s="4">
        <f>ROW()</f>
        <v>1566</v>
      </c>
      <c r="B1566" s="9" t="s">
        <v>27</v>
      </c>
      <c r="C1566" s="55" t="str">
        <f t="shared" si="587"/>
        <v xml:space="preserve">p.prever </v>
      </c>
      <c r="D1566" s="6" t="str">
        <f t="shared" si="604"/>
        <v>é.radiação.solar</v>
      </c>
      <c r="E1566" s="8" t="s">
        <v>28</v>
      </c>
      <c r="F1566" s="42" t="str">
        <f>F1565</f>
        <v xml:space="preserve">d.prever </v>
      </c>
      <c r="G1566" s="18" t="s">
        <v>963</v>
      </c>
      <c r="H1566" s="42" t="s">
        <v>36</v>
      </c>
      <c r="I1566" s="16" t="str">
        <f t="shared" si="595"/>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597"/>
        <v>Propriedade destinada a prever : é.radiação.solar</v>
      </c>
      <c r="V1566" s="5" t="str">
        <f t="shared" si="598"/>
        <v>Dado para prever :  radiação.solar  Deve ser formatado como (xsd:double)</v>
      </c>
      <c r="W1566" s="5" t="s">
        <v>6235</v>
      </c>
      <c r="X1566" s="24" t="str">
        <f t="shared" si="599"/>
        <v>preve.107</v>
      </c>
      <c r="Y1566" s="24" t="str">
        <f t="shared" si="600"/>
        <v xml:space="preserve">Ação de prever </v>
      </c>
      <c r="Z1566" s="47" t="s">
        <v>1849</v>
      </c>
      <c r="AA1566" s="25" t="str">
        <f t="shared" si="602"/>
        <v>null</v>
      </c>
      <c r="AB1566" s="26" t="s">
        <v>0</v>
      </c>
      <c r="AC1566" s="25" t="str">
        <f t="shared" si="603"/>
        <v>null</v>
      </c>
      <c r="AD1566" s="26" t="s">
        <v>0</v>
      </c>
      <c r="AE1566" s="25" t="str">
        <f t="shared" si="601"/>
        <v>propriedade</v>
      </c>
      <c r="AF1566" s="26" t="s">
        <v>2486</v>
      </c>
      <c r="AG1566" s="47" t="s">
        <v>3152</v>
      </c>
    </row>
    <row r="1567" spans="1:33" ht="6.9" customHeight="1" x14ac:dyDescent="0.4">
      <c r="A1567" s="4">
        <f>ROW()</f>
        <v>1567</v>
      </c>
      <c r="B1567" s="9" t="s">
        <v>27</v>
      </c>
      <c r="C1567" s="55" t="str">
        <f t="shared" si="587"/>
        <v xml:space="preserve">p.prever </v>
      </c>
      <c r="D1567" s="6" t="str">
        <f t="shared" si="604"/>
        <v>é.pressão.atmosférica</v>
      </c>
      <c r="E1567" s="8" t="s">
        <v>28</v>
      </c>
      <c r="F1567" s="42" t="str">
        <f>F1566</f>
        <v xml:space="preserve">d.prever </v>
      </c>
      <c r="G1567" s="18" t="s">
        <v>964</v>
      </c>
      <c r="H1567" s="42" t="s">
        <v>36</v>
      </c>
      <c r="I1567" s="16" t="str">
        <f t="shared" si="595"/>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597"/>
        <v>Propriedade destinada a prever : é.pressão.atmosférica</v>
      </c>
      <c r="V1567" s="5" t="str">
        <f t="shared" si="598"/>
        <v>Dado para prever :  pressão.atmosférica  Deve ser formatado como (xsd:double)</v>
      </c>
      <c r="W1567" s="5" t="s">
        <v>6236</v>
      </c>
      <c r="X1567" s="24" t="str">
        <f t="shared" si="599"/>
        <v>preve.108</v>
      </c>
      <c r="Y1567" s="24" t="str">
        <f t="shared" si="600"/>
        <v xml:space="preserve">Ação de prever </v>
      </c>
      <c r="Z1567" s="47" t="s">
        <v>1850</v>
      </c>
      <c r="AA1567" s="25" t="str">
        <f t="shared" si="602"/>
        <v>null</v>
      </c>
      <c r="AB1567" s="26" t="s">
        <v>0</v>
      </c>
      <c r="AC1567" s="25" t="str">
        <f t="shared" si="603"/>
        <v>null</v>
      </c>
      <c r="AD1567" s="26" t="s">
        <v>0</v>
      </c>
      <c r="AE1567" s="25" t="str">
        <f t="shared" si="601"/>
        <v>propriedade</v>
      </c>
      <c r="AF1567" s="26" t="s">
        <v>2488</v>
      </c>
      <c r="AG1567" s="47" t="s">
        <v>3153</v>
      </c>
    </row>
    <row r="1568" spans="1:33" ht="6.9" customHeight="1" x14ac:dyDescent="0.4">
      <c r="A1568" s="4">
        <f>ROW()</f>
        <v>1568</v>
      </c>
      <c r="B1568" s="9" t="s">
        <v>27</v>
      </c>
      <c r="C1568" s="55" t="str">
        <f t="shared" si="587"/>
        <v xml:space="preserve">p.prever </v>
      </c>
      <c r="D1568" s="6" t="str">
        <f t="shared" si="604"/>
        <v>é.temperatura</v>
      </c>
      <c r="E1568" s="8" t="s">
        <v>28</v>
      </c>
      <c r="F1568" s="42" t="str">
        <f>F1565</f>
        <v xml:space="preserve">d.prever </v>
      </c>
      <c r="G1568" s="18" t="s">
        <v>196</v>
      </c>
      <c r="H1568" s="42" t="s">
        <v>36</v>
      </c>
      <c r="I1568" s="16" t="str">
        <f t="shared" si="595"/>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597"/>
        <v>Propriedade destinada a prever : é.temperatura</v>
      </c>
      <c r="V1568" s="5" t="str">
        <f t="shared" si="598"/>
        <v>Dado para prever :  temperatura  Deve ser formatado como (xsd:double)</v>
      </c>
      <c r="W1568" s="5" t="s">
        <v>6237</v>
      </c>
      <c r="X1568" s="24" t="str">
        <f t="shared" si="599"/>
        <v>preve.109</v>
      </c>
      <c r="Y1568" s="24" t="str">
        <f t="shared" si="600"/>
        <v xml:space="preserve">Ação de prever </v>
      </c>
      <c r="Z1568" s="47" t="s">
        <v>1851</v>
      </c>
      <c r="AA1568" s="25" t="str">
        <f t="shared" si="602"/>
        <v>null</v>
      </c>
      <c r="AB1568" s="26" t="s">
        <v>0</v>
      </c>
      <c r="AC1568" s="25" t="str">
        <f t="shared" si="603"/>
        <v>null</v>
      </c>
      <c r="AD1568" s="26" t="s">
        <v>0</v>
      </c>
      <c r="AE1568" s="25" t="str">
        <f t="shared" si="601"/>
        <v>propriedade</v>
      </c>
      <c r="AF1568" s="26" t="s">
        <v>2489</v>
      </c>
      <c r="AG1568" s="47" t="s">
        <v>3154</v>
      </c>
    </row>
    <row r="1569" spans="1:33" ht="6.9" customHeight="1" x14ac:dyDescent="0.4">
      <c r="A1569" s="4">
        <f>ROW()</f>
        <v>1569</v>
      </c>
      <c r="B1569" s="9" t="s">
        <v>27</v>
      </c>
      <c r="C1569" s="55" t="str">
        <f t="shared" si="587"/>
        <v xml:space="preserve">p.prever </v>
      </c>
      <c r="D1569" s="6" t="str">
        <f t="shared" si="604"/>
        <v>é.temperatura.máxima</v>
      </c>
      <c r="E1569" s="8" t="s">
        <v>28</v>
      </c>
      <c r="F1569" s="42" t="str">
        <f>F1564</f>
        <v xml:space="preserve">d.prever </v>
      </c>
      <c r="G1569" s="18" t="s">
        <v>2001</v>
      </c>
      <c r="H1569" s="42" t="s">
        <v>36</v>
      </c>
      <c r="I1569" s="16" t="str">
        <f t="shared" si="595"/>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597"/>
        <v>Propriedade destinada a prever : é.temperatura.máxima</v>
      </c>
      <c r="V1569" s="5" t="str">
        <f t="shared" si="598"/>
        <v>Dado para prever :  temperatura.máxima  Deve ser formatado como (xsd:double)</v>
      </c>
      <c r="W1569" s="5" t="s">
        <v>6238</v>
      </c>
      <c r="X1569" s="24" t="str">
        <f t="shared" si="599"/>
        <v>preve.110</v>
      </c>
      <c r="Y1569" s="24" t="str">
        <f t="shared" si="600"/>
        <v xml:space="preserve">Ação de prever </v>
      </c>
      <c r="Z1569" s="47" t="s">
        <v>2005</v>
      </c>
      <c r="AA1569" s="25" t="str">
        <f t="shared" si="602"/>
        <v>null</v>
      </c>
      <c r="AB1569" s="26" t="s">
        <v>0</v>
      </c>
      <c r="AC1569" s="25" t="str">
        <f t="shared" si="603"/>
        <v>null</v>
      </c>
      <c r="AD1569" s="26" t="s">
        <v>0</v>
      </c>
      <c r="AE1569" s="25" t="str">
        <f t="shared" si="601"/>
        <v>propriedade</v>
      </c>
      <c r="AF1569" s="26" t="s">
        <v>2485</v>
      </c>
      <c r="AG1569" s="47" t="s">
        <v>3155</v>
      </c>
    </row>
    <row r="1570" spans="1:33" ht="6.9" customHeight="1" x14ac:dyDescent="0.4">
      <c r="A1570" s="4">
        <f>ROW()</f>
        <v>1570</v>
      </c>
      <c r="B1570" s="9" t="s">
        <v>27</v>
      </c>
      <c r="C1570" s="55" t="str">
        <f t="shared" si="587"/>
        <v xml:space="preserve">p.prever </v>
      </c>
      <c r="D1570" s="6" t="str">
        <f t="shared" si="604"/>
        <v>é.temperatura.mínima</v>
      </c>
      <c r="E1570" s="8" t="s">
        <v>28</v>
      </c>
      <c r="F1570" s="42" t="str">
        <f>F1564</f>
        <v xml:space="preserve">d.prever </v>
      </c>
      <c r="G1570" s="18" t="s">
        <v>2003</v>
      </c>
      <c r="H1570" s="42" t="s">
        <v>36</v>
      </c>
      <c r="I1570" s="16" t="str">
        <f t="shared" si="595"/>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597"/>
        <v>Propriedade destinada a prever : é.temperatura.mínima</v>
      </c>
      <c r="V1570" s="5" t="str">
        <f t="shared" si="598"/>
        <v>Dado para prever :  temperatura.mínima  Deve ser formatado como (xsd:double)</v>
      </c>
      <c r="W1570" s="5" t="s">
        <v>6239</v>
      </c>
      <c r="X1570" s="24" t="str">
        <f t="shared" si="599"/>
        <v>preve.111</v>
      </c>
      <c r="Y1570" s="24" t="str">
        <f t="shared" si="600"/>
        <v xml:space="preserve">Ação de prever </v>
      </c>
      <c r="Z1570" s="47" t="s">
        <v>2006</v>
      </c>
      <c r="AA1570" s="25" t="str">
        <f t="shared" si="602"/>
        <v>null</v>
      </c>
      <c r="AB1570" s="26" t="s">
        <v>0</v>
      </c>
      <c r="AC1570" s="25" t="str">
        <f t="shared" si="603"/>
        <v>null</v>
      </c>
      <c r="AD1570" s="26" t="s">
        <v>0</v>
      </c>
      <c r="AE1570" s="25" t="str">
        <f t="shared" si="601"/>
        <v>propriedade</v>
      </c>
      <c r="AF1570" s="26" t="s">
        <v>2484</v>
      </c>
      <c r="AG1570" s="47" t="s">
        <v>3156</v>
      </c>
    </row>
    <row r="1571" spans="1:33" ht="6.9" customHeight="1" x14ac:dyDescent="0.4">
      <c r="A1571" s="4">
        <f>ROW()</f>
        <v>1571</v>
      </c>
      <c r="B1571" s="9" t="s">
        <v>27</v>
      </c>
      <c r="C1571" s="55" t="str">
        <f t="shared" ref="C1571:C1646" si="605">SUBSTITUTE(F1571,"d.","p.")</f>
        <v xml:space="preserve">p.prever </v>
      </c>
      <c r="D1571" s="6" t="str">
        <f t="shared" si="604"/>
        <v>é.temperatura.média</v>
      </c>
      <c r="E1571" s="8" t="s">
        <v>28</v>
      </c>
      <c r="F1571" s="42" t="str">
        <f>F1565</f>
        <v xml:space="preserve">d.prever </v>
      </c>
      <c r="G1571" s="18" t="s">
        <v>2004</v>
      </c>
      <c r="H1571" s="42" t="s">
        <v>36</v>
      </c>
      <c r="I1571" s="16" t="str">
        <f t="shared" si="595"/>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597"/>
        <v>Propriedade destinada a prever : é.temperatura.média</v>
      </c>
      <c r="V1571" s="5" t="str">
        <f t="shared" si="598"/>
        <v>Dado para prever :  temperatura.média  Deve ser formatado como (xsd:double)</v>
      </c>
      <c r="W1571" s="5" t="s">
        <v>6240</v>
      </c>
      <c r="X1571" s="24" t="str">
        <f t="shared" si="599"/>
        <v>preve.112</v>
      </c>
      <c r="Y1571" s="24" t="str">
        <f t="shared" si="600"/>
        <v xml:space="preserve">Ação de prever </v>
      </c>
      <c r="Z1571" s="47" t="s">
        <v>2007</v>
      </c>
      <c r="AA1571" s="25" t="str">
        <f t="shared" si="602"/>
        <v>null</v>
      </c>
      <c r="AB1571" s="26" t="s">
        <v>0</v>
      </c>
      <c r="AC1571" s="25" t="str">
        <f t="shared" si="603"/>
        <v>null</v>
      </c>
      <c r="AD1571" s="26" t="s">
        <v>0</v>
      </c>
      <c r="AE1571" s="25" t="str">
        <f t="shared" si="601"/>
        <v>propriedade</v>
      </c>
      <c r="AF1571" s="26" t="s">
        <v>2490</v>
      </c>
      <c r="AG1571" s="47" t="s">
        <v>3157</v>
      </c>
    </row>
    <row r="1572" spans="1:33" ht="6.9" customHeight="1" x14ac:dyDescent="0.4">
      <c r="A1572" s="4">
        <f>ROW()</f>
        <v>1572</v>
      </c>
      <c r="B1572" s="9" t="s">
        <v>27</v>
      </c>
      <c r="C1572" s="55" t="str">
        <f t="shared" si="605"/>
        <v xml:space="preserve">p.prever </v>
      </c>
      <c r="D1572" s="6" t="str">
        <f t="shared" si="604"/>
        <v>é.temperatura.instantânea</v>
      </c>
      <c r="E1572" s="8" t="s">
        <v>28</v>
      </c>
      <c r="F1572" s="42" t="str">
        <f>F1566</f>
        <v xml:space="preserve">d.prever </v>
      </c>
      <c r="G1572" s="18" t="s">
        <v>2002</v>
      </c>
      <c r="H1572" s="42" t="s">
        <v>36</v>
      </c>
      <c r="I1572" s="16" t="str">
        <f t="shared" si="595"/>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597"/>
        <v>Propriedade destinada a prever : é.temperatura.instantânea</v>
      </c>
      <c r="V1572" s="5" t="str">
        <f t="shared" si="598"/>
        <v>Dado para prever :  temperatura.instantânea  Deve ser formatado como (xsd:double)</v>
      </c>
      <c r="W1572" s="5" t="s">
        <v>6241</v>
      </c>
      <c r="X1572" s="24" t="str">
        <f t="shared" si="599"/>
        <v>preve.113</v>
      </c>
      <c r="Y1572" s="24" t="str">
        <f t="shared" si="600"/>
        <v xml:space="preserve">Ação de prever </v>
      </c>
      <c r="Z1572" s="47" t="s">
        <v>2008</v>
      </c>
      <c r="AA1572" s="25" t="str">
        <f t="shared" si="602"/>
        <v>null</v>
      </c>
      <c r="AB1572" s="26" t="s">
        <v>0</v>
      </c>
      <c r="AC1572" s="25" t="str">
        <f t="shared" si="603"/>
        <v>null</v>
      </c>
      <c r="AD1572" s="26" t="s">
        <v>0</v>
      </c>
      <c r="AE1572" s="25" t="str">
        <f t="shared" si="601"/>
        <v>null</v>
      </c>
      <c r="AF1572" s="26" t="s">
        <v>0</v>
      </c>
      <c r="AG1572" s="47" t="s">
        <v>3158</v>
      </c>
    </row>
    <row r="1573" spans="1:33" ht="6.9" customHeight="1" x14ac:dyDescent="0.4">
      <c r="A1573" s="4">
        <f>ROW()</f>
        <v>1573</v>
      </c>
      <c r="B1573" s="9" t="s">
        <v>27</v>
      </c>
      <c r="C1573" s="55" t="str">
        <f t="shared" si="605"/>
        <v xml:space="preserve">p.prever </v>
      </c>
      <c r="D1573" s="6" t="str">
        <f t="shared" si="604"/>
        <v>é.sensação.térmica</v>
      </c>
      <c r="E1573" s="8" t="s">
        <v>28</v>
      </c>
      <c r="F1573" s="42" t="str">
        <f>F1567</f>
        <v xml:space="preserve">d.prever </v>
      </c>
      <c r="G1573" s="18" t="s">
        <v>965</v>
      </c>
      <c r="H1573" s="42" t="s">
        <v>36</v>
      </c>
      <c r="I1573" s="16" t="str">
        <f t="shared" si="595"/>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597"/>
        <v>Propriedade destinada a prever : é.sensação.térmica</v>
      </c>
      <c r="V1573" s="5" t="str">
        <f t="shared" si="598"/>
        <v>Dado para prever :  sensação.térmica  Deve ser formatado como (xsd:double)</v>
      </c>
      <c r="W1573" s="5" t="s">
        <v>6242</v>
      </c>
      <c r="X1573" s="24" t="str">
        <f t="shared" si="599"/>
        <v>preve.114</v>
      </c>
      <c r="Y1573" s="24" t="str">
        <f t="shared" si="600"/>
        <v xml:space="preserve">Ação de prever </v>
      </c>
      <c r="Z1573" s="47" t="s">
        <v>1852</v>
      </c>
      <c r="AA1573" s="25" t="str">
        <f t="shared" si="602"/>
        <v>null</v>
      </c>
      <c r="AB1573" s="26" t="s">
        <v>0</v>
      </c>
      <c r="AC1573" s="25" t="str">
        <f t="shared" si="603"/>
        <v>null</v>
      </c>
      <c r="AD1573" s="26" t="s">
        <v>0</v>
      </c>
      <c r="AE1573" s="25" t="str">
        <f t="shared" si="601"/>
        <v>null</v>
      </c>
      <c r="AF1573" s="26" t="s">
        <v>0</v>
      </c>
      <c r="AG1573" s="47" t="s">
        <v>3159</v>
      </c>
    </row>
    <row r="1574" spans="1:33" ht="6.9" customHeight="1" x14ac:dyDescent="0.4">
      <c r="A1574" s="4">
        <f>ROW()</f>
        <v>1574</v>
      </c>
      <c r="B1574" s="9" t="s">
        <v>27</v>
      </c>
      <c r="C1574" s="55" t="str">
        <f t="shared" si="605"/>
        <v xml:space="preserve">p.prever </v>
      </c>
      <c r="D1574" s="6" t="str">
        <f t="shared" si="604"/>
        <v>é.umidade.relativa</v>
      </c>
      <c r="E1574" s="8" t="s">
        <v>28</v>
      </c>
      <c r="F1574" s="42" t="str">
        <f>F1573</f>
        <v xml:space="preserve">d.prever </v>
      </c>
      <c r="G1574" s="18" t="s">
        <v>966</v>
      </c>
      <c r="H1574" s="42" t="s">
        <v>36</v>
      </c>
      <c r="I1574" s="16" t="str">
        <f t="shared" ref="I1574:I1647" si="606">J1574</f>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597"/>
        <v>Propriedade destinada a prever : é.umidade.relativa</v>
      </c>
      <c r="V1574" s="5" t="str">
        <f t="shared" si="598"/>
        <v>Dado para prever :  umidade.relativa  Deve ser formatado como (xsd:double)</v>
      </c>
      <c r="W1574" s="5" t="s">
        <v>6243</v>
      </c>
      <c r="X1574" s="24" t="str">
        <f t="shared" si="599"/>
        <v>preve.115</v>
      </c>
      <c r="Y1574" s="24" t="str">
        <f t="shared" si="600"/>
        <v xml:space="preserve">Ação de prever </v>
      </c>
      <c r="Z1574" s="47" t="s">
        <v>1853</v>
      </c>
      <c r="AA1574" s="25" t="str">
        <f t="shared" si="602"/>
        <v>null</v>
      </c>
      <c r="AB1574" s="26" t="s">
        <v>0</v>
      </c>
      <c r="AC1574" s="25" t="str">
        <f t="shared" si="603"/>
        <v>null</v>
      </c>
      <c r="AD1574" s="26" t="s">
        <v>0</v>
      </c>
      <c r="AE1574" s="25" t="str">
        <f t="shared" si="601"/>
        <v>propriedade</v>
      </c>
      <c r="AF1574" s="26" t="s">
        <v>2483</v>
      </c>
      <c r="AG1574" s="47" t="s">
        <v>3160</v>
      </c>
    </row>
    <row r="1575" spans="1:33" ht="6.9" customHeight="1" x14ac:dyDescent="0.4">
      <c r="A1575" s="4">
        <f>ROW()</f>
        <v>1575</v>
      </c>
      <c r="B1575" s="9" t="s">
        <v>27</v>
      </c>
      <c r="C1575" s="55" t="str">
        <f t="shared" si="605"/>
        <v xml:space="preserve">p.prever </v>
      </c>
      <c r="D1575" s="6" t="str">
        <f t="shared" si="604"/>
        <v>é.qualidade.do.ar</v>
      </c>
      <c r="E1575" s="8" t="s">
        <v>28</v>
      </c>
      <c r="F1575" s="42" t="str">
        <f>F1574</f>
        <v xml:space="preserve">d.prever </v>
      </c>
      <c r="G1575" s="18" t="s">
        <v>967</v>
      </c>
      <c r="H1575" s="42" t="s">
        <v>36</v>
      </c>
      <c r="I1575" s="16" t="str">
        <f t="shared" si="60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597"/>
        <v>Propriedade destinada a prever : é.qualidade.do.ar</v>
      </c>
      <c r="V1575" s="5" t="str">
        <f t="shared" si="598"/>
        <v>Dado para prever :  qualidade.do.ar  Deve ser formatado como (xsd:double)</v>
      </c>
      <c r="W1575" s="5" t="s">
        <v>6244</v>
      </c>
      <c r="X1575" s="24" t="str">
        <f t="shared" si="599"/>
        <v>preve.116</v>
      </c>
      <c r="Y1575" s="24" t="str">
        <f t="shared" si="600"/>
        <v xml:space="preserve">Ação de prever </v>
      </c>
      <c r="Z1575" s="47" t="s">
        <v>1854</v>
      </c>
      <c r="AA1575" s="25" t="str">
        <f t="shared" si="602"/>
        <v>null</v>
      </c>
      <c r="AB1575" s="26" t="s">
        <v>0</v>
      </c>
      <c r="AC1575" s="25" t="str">
        <f t="shared" si="603"/>
        <v>null</v>
      </c>
      <c r="AD1575" s="26" t="s">
        <v>0</v>
      </c>
      <c r="AE1575" s="25" t="str">
        <f t="shared" si="601"/>
        <v>propriedade</v>
      </c>
      <c r="AF1575" s="26" t="s">
        <v>2487</v>
      </c>
      <c r="AG1575" s="47" t="s">
        <v>3161</v>
      </c>
    </row>
    <row r="1576" spans="1:33" ht="6.9" customHeight="1" x14ac:dyDescent="0.4">
      <c r="A1576" s="4">
        <f>ROW()</f>
        <v>1576</v>
      </c>
      <c r="B1576" s="9" t="s">
        <v>27</v>
      </c>
      <c r="C1576" s="55" t="str">
        <f t="shared" ref="C1576" si="607">SUBSTITUTE(F1576,"d.","p.")</f>
        <v xml:space="preserve">p.prever </v>
      </c>
      <c r="D1576" s="6" t="str">
        <f t="shared" si="604"/>
        <v>é.hora.utc</v>
      </c>
      <c r="E1576" s="8" t="s">
        <v>28</v>
      </c>
      <c r="F1576" s="42" t="str">
        <f>F1573</f>
        <v xml:space="preserve">d.prever </v>
      </c>
      <c r="G1576" s="18" t="s">
        <v>968</v>
      </c>
      <c r="H1576" s="42" t="s">
        <v>33</v>
      </c>
      <c r="I1576" s="16" t="str">
        <f t="shared" si="606"/>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597"/>
        <v>Propriedade destinada a prever : é.hora.utc</v>
      </c>
      <c r="V1576" s="5" t="str">
        <f t="shared" si="598"/>
        <v>Dado para prever :  hora.utc  Deve ser formatado como (xsd:integer)</v>
      </c>
      <c r="W1576" s="5" t="s">
        <v>6245</v>
      </c>
      <c r="X1576" s="24" t="str">
        <f t="shared" si="599"/>
        <v>preve.117</v>
      </c>
      <c r="Y1576" s="24" t="str">
        <f t="shared" si="600"/>
        <v xml:space="preserve">Ação de prever </v>
      </c>
      <c r="Z1576" s="47" t="s">
        <v>1855</v>
      </c>
      <c r="AA1576" s="25" t="str">
        <f t="shared" ref="AA1576" si="608">IF(AB1576="null", "null", "categoria.revit")</f>
        <v>null</v>
      </c>
      <c r="AB1576" s="26" t="s">
        <v>0</v>
      </c>
      <c r="AC1576" s="25" t="str">
        <f t="shared" ref="AC1576" si="609">IF(AD1576="null", "null", "classe.ifc")</f>
        <v>null</v>
      </c>
      <c r="AD1576" s="26" t="s">
        <v>0</v>
      </c>
      <c r="AE1576" s="25" t="str">
        <f t="shared" si="601"/>
        <v>null</v>
      </c>
      <c r="AF1576" s="26" t="s">
        <v>0</v>
      </c>
      <c r="AG1576" s="47" t="s">
        <v>3162</v>
      </c>
    </row>
    <row r="1577" spans="1:33" ht="6.9" customHeight="1" x14ac:dyDescent="0.4">
      <c r="A1577" s="4">
        <f>ROW()</f>
        <v>1577</v>
      </c>
      <c r="B1577" s="9" t="s">
        <v>27</v>
      </c>
      <c r="C1577" s="55" t="str">
        <f t="shared" si="605"/>
        <v xml:space="preserve">p.prever </v>
      </c>
      <c r="D1577" s="6" t="str">
        <f t="shared" si="604"/>
        <v>é.curva.idf</v>
      </c>
      <c r="E1577" s="8" t="s">
        <v>28</v>
      </c>
      <c r="F1577" s="42" t="str">
        <f>F1575</f>
        <v xml:space="preserve">d.prever </v>
      </c>
      <c r="G1577" s="18" t="s">
        <v>969</v>
      </c>
      <c r="H1577" s="42" t="s">
        <v>36</v>
      </c>
      <c r="I1577" s="16" t="str">
        <f t="shared" si="606"/>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597"/>
        <v>Propriedade destinada a prever : é.curva.idf</v>
      </c>
      <c r="V1577" s="5" t="str">
        <f t="shared" si="598"/>
        <v>Dado para prever :  curva.idf  Deve ser formatado como (xsd:double)</v>
      </c>
      <c r="W1577" s="5" t="s">
        <v>6246</v>
      </c>
      <c r="X1577" s="24" t="str">
        <f t="shared" si="599"/>
        <v>preve.118</v>
      </c>
      <c r="Y1577" s="24" t="str">
        <f t="shared" si="600"/>
        <v xml:space="preserve">Ação de prever </v>
      </c>
      <c r="Z1577" s="47" t="s">
        <v>1856</v>
      </c>
      <c r="AA1577" s="25" t="str">
        <f t="shared" si="602"/>
        <v>null</v>
      </c>
      <c r="AB1577" s="26" t="s">
        <v>0</v>
      </c>
      <c r="AC1577" s="25" t="str">
        <f t="shared" si="603"/>
        <v>null</v>
      </c>
      <c r="AD1577" s="26" t="s">
        <v>0</v>
      </c>
      <c r="AE1577" s="25" t="str">
        <f t="shared" si="601"/>
        <v>null</v>
      </c>
      <c r="AF1577" s="26" t="s">
        <v>0</v>
      </c>
      <c r="AG1577" s="47" t="s">
        <v>3163</v>
      </c>
    </row>
    <row r="1578" spans="1:33" ht="6.9" customHeight="1" x14ac:dyDescent="0.4">
      <c r="A1578" s="4">
        <f>ROW()</f>
        <v>1578</v>
      </c>
      <c r="B1578" s="9" t="s">
        <v>27</v>
      </c>
      <c r="C1578" s="54" t="str">
        <f t="shared" si="605"/>
        <v>p.produzir</v>
      </c>
      <c r="D1578" s="6" t="str">
        <f t="shared" si="604"/>
        <v>é.produtor</v>
      </c>
      <c r="E1578" s="8" t="s">
        <v>28</v>
      </c>
      <c r="F1578" s="51" t="s">
        <v>3620</v>
      </c>
      <c r="G1578" s="18" t="s">
        <v>253</v>
      </c>
      <c r="H1578" s="41" t="s">
        <v>2121</v>
      </c>
      <c r="I1578" s="16" t="str">
        <f t="shared" si="60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597"/>
        <v>Propriedade destinada a produzir: é.produtor</v>
      </c>
      <c r="V1578" s="5" t="str">
        <f t="shared" si="598"/>
        <v>Dado para produzir:  produtor  Deve ser formatado como (rdfs:Literal  or  xsd:string)</v>
      </c>
      <c r="W1578" s="5" t="s">
        <v>6247</v>
      </c>
      <c r="X1578" s="24" t="str">
        <f t="shared" si="599"/>
        <v>produ.100</v>
      </c>
      <c r="Y1578" s="24" t="str">
        <f t="shared" si="600"/>
        <v>Ação de produzir</v>
      </c>
      <c r="Z1578" s="47" t="s">
        <v>1857</v>
      </c>
      <c r="AA1578" s="25" t="str">
        <f t="shared" si="602"/>
        <v>null</v>
      </c>
      <c r="AB1578" s="26" t="s">
        <v>0</v>
      </c>
      <c r="AC1578" s="25" t="str">
        <f t="shared" si="603"/>
        <v>null</v>
      </c>
      <c r="AD1578" s="26" t="s">
        <v>0</v>
      </c>
      <c r="AE1578" s="25" t="str">
        <f t="shared" si="601"/>
        <v>null</v>
      </c>
      <c r="AF1578" s="26" t="s">
        <v>0</v>
      </c>
      <c r="AG1578" s="47" t="s">
        <v>3164</v>
      </c>
    </row>
    <row r="1579" spans="1:33" ht="6.9" customHeight="1" x14ac:dyDescent="0.4">
      <c r="A1579" s="4">
        <f>ROW()</f>
        <v>1579</v>
      </c>
      <c r="B1579" s="9" t="s">
        <v>27</v>
      </c>
      <c r="C1579" s="55" t="str">
        <f t="shared" si="605"/>
        <v>p.produzir</v>
      </c>
      <c r="D1579" s="6" t="str">
        <f t="shared" si="604"/>
        <v>é.produzido</v>
      </c>
      <c r="E1579" s="8" t="s">
        <v>28</v>
      </c>
      <c r="F1579" s="42" t="str">
        <f>F1578</f>
        <v>d.produzir</v>
      </c>
      <c r="G1579" s="18" t="s">
        <v>252</v>
      </c>
      <c r="H1579" s="41" t="s">
        <v>2121</v>
      </c>
      <c r="I1579" s="16" t="str">
        <f t="shared" si="606"/>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597"/>
        <v>Propriedade destinada a produzir: é.produzido</v>
      </c>
      <c r="V1579" s="5" t="str">
        <f t="shared" si="598"/>
        <v>Dado para produzir:  produzido  Deve ser formatado como (rdfs:Literal  or  xsd:string)</v>
      </c>
      <c r="W1579" s="5" t="s">
        <v>6248</v>
      </c>
      <c r="X1579" s="24" t="str">
        <f t="shared" si="599"/>
        <v>produ.101</v>
      </c>
      <c r="Y1579" s="24" t="str">
        <f t="shared" si="600"/>
        <v>Ação de produzir</v>
      </c>
      <c r="Z1579" s="47" t="s">
        <v>1858</v>
      </c>
      <c r="AA1579" s="25" t="str">
        <f t="shared" si="602"/>
        <v>null</v>
      </c>
      <c r="AB1579" s="26" t="s">
        <v>0</v>
      </c>
      <c r="AC1579" s="25" t="str">
        <f t="shared" si="603"/>
        <v>null</v>
      </c>
      <c r="AD1579" s="26" t="s">
        <v>0</v>
      </c>
      <c r="AE1579" s="25" t="str">
        <f t="shared" si="601"/>
        <v>null</v>
      </c>
      <c r="AF1579" s="26" t="s">
        <v>0</v>
      </c>
      <c r="AG1579" s="47" t="s">
        <v>3165</v>
      </c>
    </row>
    <row r="1580" spans="1:33" ht="6.9" customHeight="1" x14ac:dyDescent="0.4">
      <c r="A1580" s="4">
        <f>ROW()</f>
        <v>1580</v>
      </c>
      <c r="B1580" s="9" t="s">
        <v>27</v>
      </c>
      <c r="C1580" s="55" t="str">
        <f t="shared" si="605"/>
        <v>p.produzir</v>
      </c>
      <c r="D1580" s="6" t="str">
        <f t="shared" si="604"/>
        <v>é.produtividade</v>
      </c>
      <c r="E1580" s="8" t="s">
        <v>28</v>
      </c>
      <c r="F1580" s="42" t="str">
        <f>F1579</f>
        <v>d.produzir</v>
      </c>
      <c r="G1580" s="18" t="s">
        <v>254</v>
      </c>
      <c r="H1580" s="41" t="s">
        <v>2121</v>
      </c>
      <c r="I1580" s="16" t="str">
        <f t="shared" si="606"/>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597"/>
        <v>Propriedade destinada a produzir: é.produtividade</v>
      </c>
      <c r="V1580" s="5" t="str">
        <f t="shared" si="598"/>
        <v>Dado para produzir:  produtividade  Deve ser formatado como (rdfs:Literal  or  xsd:string)</v>
      </c>
      <c r="W1580" s="5" t="s">
        <v>6249</v>
      </c>
      <c r="X1580" s="24" t="str">
        <f t="shared" si="599"/>
        <v>produ.102</v>
      </c>
      <c r="Y1580" s="24" t="str">
        <f t="shared" si="600"/>
        <v>Ação de produzir</v>
      </c>
      <c r="Z1580" s="47" t="s">
        <v>1859</v>
      </c>
      <c r="AA1580" s="25" t="str">
        <f t="shared" si="602"/>
        <v>null</v>
      </c>
      <c r="AB1580" s="26" t="s">
        <v>0</v>
      </c>
      <c r="AC1580" s="25" t="str">
        <f t="shared" si="603"/>
        <v>null</v>
      </c>
      <c r="AD1580" s="26" t="s">
        <v>0</v>
      </c>
      <c r="AE1580" s="25" t="str">
        <f t="shared" si="601"/>
        <v>null</v>
      </c>
      <c r="AF1580" s="26" t="s">
        <v>0</v>
      </c>
      <c r="AG1580" s="47" t="s">
        <v>3166</v>
      </c>
    </row>
    <row r="1581" spans="1:33" ht="6.9" customHeight="1" x14ac:dyDescent="0.4">
      <c r="A1581" s="4">
        <f>ROW()</f>
        <v>1581</v>
      </c>
      <c r="B1581" s="9" t="s">
        <v>27</v>
      </c>
      <c r="C1581" s="55" t="str">
        <f t="shared" si="605"/>
        <v>p.produzir</v>
      </c>
      <c r="D1581" s="6" t="str">
        <f t="shared" si="604"/>
        <v>é.içado</v>
      </c>
      <c r="E1581" s="8" t="s">
        <v>28</v>
      </c>
      <c r="F1581" s="42" t="str">
        <f>F1580</f>
        <v>d.produzir</v>
      </c>
      <c r="G1581" s="18" t="s">
        <v>265</v>
      </c>
      <c r="H1581" s="41" t="s">
        <v>2121</v>
      </c>
      <c r="I1581" s="16" t="str">
        <f t="shared" si="60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597"/>
        <v>Propriedade destinada a produzir: é.içado</v>
      </c>
      <c r="V1581" s="5" t="str">
        <f t="shared" si="598"/>
        <v>Dado para produzir:  içado  Deve ser formatado como (rdfs:Literal  or  xsd:string)</v>
      </c>
      <c r="W1581" s="5" t="s">
        <v>6250</v>
      </c>
      <c r="X1581" s="24" t="str">
        <f t="shared" si="599"/>
        <v>produ.103</v>
      </c>
      <c r="Y1581" s="24" t="str">
        <f t="shared" si="600"/>
        <v>Ação de produzir</v>
      </c>
      <c r="Z1581" s="47" t="s">
        <v>1860</v>
      </c>
      <c r="AA1581" s="25" t="str">
        <f t="shared" si="602"/>
        <v>null</v>
      </c>
      <c r="AB1581" s="26" t="s">
        <v>0</v>
      </c>
      <c r="AC1581" s="25" t="str">
        <f t="shared" si="603"/>
        <v>null</v>
      </c>
      <c r="AD1581" s="26" t="s">
        <v>0</v>
      </c>
      <c r="AE1581" s="25" t="str">
        <f t="shared" si="601"/>
        <v>null</v>
      </c>
      <c r="AF1581" s="26" t="s">
        <v>0</v>
      </c>
      <c r="AG1581" s="47" t="s">
        <v>4806</v>
      </c>
    </row>
    <row r="1582" spans="1:33" ht="6.9" customHeight="1" x14ac:dyDescent="0.4">
      <c r="A1582" s="4">
        <f>ROW()</f>
        <v>1582</v>
      </c>
      <c r="B1582" s="9" t="s">
        <v>27</v>
      </c>
      <c r="C1582" s="55" t="str">
        <f t="shared" si="605"/>
        <v>p.produzir</v>
      </c>
      <c r="D1582" s="6" t="str">
        <f t="shared" si="604"/>
        <v>é.temporário</v>
      </c>
      <c r="E1582" s="8" t="s">
        <v>28</v>
      </c>
      <c r="F1582" s="42" t="str">
        <f>F1580</f>
        <v>d.produzir</v>
      </c>
      <c r="G1582" s="18" t="s">
        <v>266</v>
      </c>
      <c r="H1582" s="41" t="s">
        <v>2121</v>
      </c>
      <c r="I1582" s="16" t="str">
        <f t="shared" si="60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597"/>
        <v>Propriedade destinada a produzir: é.temporário</v>
      </c>
      <c r="V1582" s="5" t="str">
        <f t="shared" si="598"/>
        <v>Dado para produzir:  temporário  Deve ser formatado como (rdfs:Literal  or  xsd:string)</v>
      </c>
      <c r="W1582" s="5" t="s">
        <v>6251</v>
      </c>
      <c r="X1582" s="24" t="str">
        <f t="shared" si="599"/>
        <v>produ.104</v>
      </c>
      <c r="Y1582" s="24" t="str">
        <f t="shared" si="600"/>
        <v>Ação de produzir</v>
      </c>
      <c r="Z1582" s="47" t="s">
        <v>4610</v>
      </c>
      <c r="AA1582" s="25" t="str">
        <f t="shared" si="602"/>
        <v>null</v>
      </c>
      <c r="AB1582" s="26" t="s">
        <v>0</v>
      </c>
      <c r="AC1582" s="25" t="str">
        <f t="shared" si="603"/>
        <v>null</v>
      </c>
      <c r="AD1582" s="26" t="s">
        <v>0</v>
      </c>
      <c r="AE1582" s="25" t="str">
        <f t="shared" si="601"/>
        <v>null</v>
      </c>
      <c r="AF1582" s="26" t="s">
        <v>0</v>
      </c>
      <c r="AG1582" s="47" t="s">
        <v>4807</v>
      </c>
    </row>
    <row r="1583" spans="1:33" ht="6.9" customHeight="1" x14ac:dyDescent="0.4">
      <c r="A1583" s="4">
        <f>ROW()</f>
        <v>1583</v>
      </c>
      <c r="B1583" s="9" t="s">
        <v>27</v>
      </c>
      <c r="C1583" s="55" t="str">
        <f t="shared" si="605"/>
        <v>p.produzir</v>
      </c>
      <c r="D1583" s="6" t="str">
        <f t="shared" si="604"/>
        <v>é.perigoso</v>
      </c>
      <c r="E1583" s="8" t="s">
        <v>28</v>
      </c>
      <c r="F1583" s="42" t="str">
        <f>F1581</f>
        <v>d.produzir</v>
      </c>
      <c r="G1583" s="18" t="s">
        <v>410</v>
      </c>
      <c r="H1583" s="41" t="s">
        <v>2121</v>
      </c>
      <c r="I1583" s="16" t="str">
        <f t="shared" si="60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597"/>
        <v>Propriedade destinada a produzir: é.perigoso</v>
      </c>
      <c r="V1583" s="5" t="str">
        <f t="shared" si="598"/>
        <v>Dado para produzir:  perigoso  Deve ser formatado como (rdfs:Literal  or  xsd:string)</v>
      </c>
      <c r="W1583" s="5" t="s">
        <v>6252</v>
      </c>
      <c r="X1583" s="24" t="str">
        <f t="shared" si="599"/>
        <v>produ.105</v>
      </c>
      <c r="Y1583" s="24" t="str">
        <f t="shared" si="600"/>
        <v>Ação de produzir</v>
      </c>
      <c r="Z1583" s="47" t="s">
        <v>1861</v>
      </c>
      <c r="AA1583" s="25" t="str">
        <f t="shared" si="602"/>
        <v>null</v>
      </c>
      <c r="AB1583" s="26" t="s">
        <v>0</v>
      </c>
      <c r="AC1583" s="25" t="str">
        <f t="shared" si="603"/>
        <v>null</v>
      </c>
      <c r="AD1583" s="26" t="s">
        <v>0</v>
      </c>
      <c r="AE1583" s="25" t="str">
        <f t="shared" si="601"/>
        <v>null</v>
      </c>
      <c r="AF1583" s="26" t="s">
        <v>0</v>
      </c>
      <c r="AG1583" s="47" t="s">
        <v>4744</v>
      </c>
    </row>
    <row r="1584" spans="1:33" ht="6.9" customHeight="1" x14ac:dyDescent="0.4">
      <c r="A1584" s="4">
        <f>ROW()</f>
        <v>1584</v>
      </c>
      <c r="B1584" s="9" t="s">
        <v>27</v>
      </c>
      <c r="C1584" s="54" t="str">
        <f t="shared" si="605"/>
        <v>p.projetar</v>
      </c>
      <c r="D1584" s="6" t="str">
        <f t="shared" si="604"/>
        <v>é.analista</v>
      </c>
      <c r="E1584" s="8" t="s">
        <v>28</v>
      </c>
      <c r="F1584" s="51" t="s">
        <v>3621</v>
      </c>
      <c r="G1584" s="18" t="s">
        <v>179</v>
      </c>
      <c r="H1584" s="41" t="s">
        <v>2121</v>
      </c>
      <c r="I1584" s="16" t="str">
        <f t="shared" si="606"/>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597"/>
        <v>Propriedade destinada a projetar: é.analista</v>
      </c>
      <c r="V1584" s="5" t="str">
        <f t="shared" si="598"/>
        <v>Dado para projetar:  analista  Deve ser formatado como (rdfs:Literal  or  xsd:string)</v>
      </c>
      <c r="W1584" s="5" t="s">
        <v>6253</v>
      </c>
      <c r="X1584" s="24" t="str">
        <f t="shared" si="599"/>
        <v>proje.100</v>
      </c>
      <c r="Y1584" s="24" t="str">
        <f t="shared" si="600"/>
        <v>Ação de projetar</v>
      </c>
      <c r="Z1584" s="47" t="s">
        <v>1862</v>
      </c>
      <c r="AA1584" s="25" t="str">
        <f t="shared" si="602"/>
        <v>null</v>
      </c>
      <c r="AB1584" s="26" t="s">
        <v>0</v>
      </c>
      <c r="AC1584" s="25" t="str">
        <f t="shared" si="603"/>
        <v>null</v>
      </c>
      <c r="AD1584" s="26" t="s">
        <v>0</v>
      </c>
      <c r="AE1584" s="25" t="str">
        <f t="shared" si="601"/>
        <v>null</v>
      </c>
      <c r="AF1584" s="26" t="s">
        <v>0</v>
      </c>
      <c r="AG1584" s="47" t="s">
        <v>8191</v>
      </c>
    </row>
    <row r="1585" spans="1:33" ht="6.9" customHeight="1" x14ac:dyDescent="0.4">
      <c r="A1585" s="4">
        <f>ROW()</f>
        <v>1585</v>
      </c>
      <c r="B1585" s="9" t="s">
        <v>27</v>
      </c>
      <c r="C1585" s="55" t="str">
        <f t="shared" ref="C1585:C1608" si="610">SUBSTITUTE(F1585,"d.","p.")</f>
        <v>p.projetar</v>
      </c>
      <c r="D1585" s="6" t="str">
        <f t="shared" si="604"/>
        <v>é.autor</v>
      </c>
      <c r="E1585" s="8" t="s">
        <v>28</v>
      </c>
      <c r="F1585" s="42" t="str">
        <f t="shared" ref="F1585:F1594" si="611">F1584</f>
        <v>d.projetar</v>
      </c>
      <c r="G1585" s="18" t="s">
        <v>170</v>
      </c>
      <c r="H1585" s="41" t="s">
        <v>2121</v>
      </c>
      <c r="I1585" s="16" t="str">
        <f t="shared" ref="I1585:I1608" si="612">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597"/>
        <v>Propriedade destinada a projetar: é.autor</v>
      </c>
      <c r="V1585" s="5" t="str">
        <f t="shared" si="598"/>
        <v>Dado para projetar:  autor  Deve ser formatado como (rdfs:Literal  or  xsd:string)</v>
      </c>
      <c r="W1585" s="5" t="s">
        <v>6254</v>
      </c>
      <c r="X1585" s="24" t="str">
        <f t="shared" si="599"/>
        <v>proje.101</v>
      </c>
      <c r="Y1585" s="24" t="str">
        <f t="shared" si="600"/>
        <v>Ação de projetar</v>
      </c>
      <c r="Z1585" s="47" t="s">
        <v>1863</v>
      </c>
      <c r="AA1585" s="25" t="str">
        <f t="shared" ref="AA1585:AA1608" si="613">IF(AB1585="null", "null", "categoria.revit")</f>
        <v>null</v>
      </c>
      <c r="AB1585" s="26" t="s">
        <v>0</v>
      </c>
      <c r="AC1585" s="25" t="str">
        <f t="shared" ref="AC1585:AC1608" si="614">IF(AD1585="null", "null", "classe.ifc")</f>
        <v>null</v>
      </c>
      <c r="AD1585" s="26" t="s">
        <v>0</v>
      </c>
      <c r="AE1585" s="25" t="str">
        <f t="shared" ref="AE1585:AE1608" si="615">IF(AF1585="null", "null", "propriedade")</f>
        <v>null</v>
      </c>
      <c r="AF1585" s="26" t="s">
        <v>0</v>
      </c>
      <c r="AG1585" s="47" t="s">
        <v>8192</v>
      </c>
    </row>
    <row r="1586" spans="1:33" ht="6.9" customHeight="1" x14ac:dyDescent="0.4">
      <c r="A1586" s="4">
        <f>ROW()</f>
        <v>1586</v>
      </c>
      <c r="B1586" s="9" t="s">
        <v>27</v>
      </c>
      <c r="C1586" s="55" t="str">
        <f t="shared" si="610"/>
        <v>p.projetar</v>
      </c>
      <c r="D1586" s="6" t="str">
        <f t="shared" si="604"/>
        <v>é.calculista</v>
      </c>
      <c r="E1586" s="8" t="s">
        <v>28</v>
      </c>
      <c r="F1586" s="42" t="str">
        <f t="shared" si="611"/>
        <v>d.projetar</v>
      </c>
      <c r="G1586" s="18" t="s">
        <v>176</v>
      </c>
      <c r="H1586" s="41" t="s">
        <v>2121</v>
      </c>
      <c r="I1586" s="16" t="str">
        <f t="shared" si="61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597"/>
        <v>Propriedade destinada a projetar: é.calculista</v>
      </c>
      <c r="V1586" s="5" t="str">
        <f t="shared" si="598"/>
        <v>Dado para projetar:  calculista  Deve ser formatado como (rdfs:Literal  or  xsd:string)</v>
      </c>
      <c r="W1586" s="5" t="s">
        <v>6255</v>
      </c>
      <c r="X1586" s="24" t="str">
        <f t="shared" si="599"/>
        <v>proje.102</v>
      </c>
      <c r="Y1586" s="24" t="str">
        <f t="shared" si="600"/>
        <v>Ação de projetar</v>
      </c>
      <c r="Z1586" s="47" t="s">
        <v>1864</v>
      </c>
      <c r="AA1586" s="25" t="str">
        <f t="shared" si="613"/>
        <v>null</v>
      </c>
      <c r="AB1586" s="26" t="s">
        <v>0</v>
      </c>
      <c r="AC1586" s="25" t="str">
        <f t="shared" si="614"/>
        <v>null</v>
      </c>
      <c r="AD1586" s="26" t="s">
        <v>0</v>
      </c>
      <c r="AE1586" s="25" t="str">
        <f t="shared" si="615"/>
        <v>null</v>
      </c>
      <c r="AF1586" s="26" t="s">
        <v>0</v>
      </c>
      <c r="AG1586" s="47" t="s">
        <v>8196</v>
      </c>
    </row>
    <row r="1587" spans="1:33" ht="6.9" customHeight="1" x14ac:dyDescent="0.4">
      <c r="A1587" s="4">
        <f>ROW()</f>
        <v>1587</v>
      </c>
      <c r="B1587" s="9" t="s">
        <v>27</v>
      </c>
      <c r="C1587" s="55" t="str">
        <f t="shared" si="610"/>
        <v>p.projetar</v>
      </c>
      <c r="D1587" s="6" t="str">
        <f t="shared" si="604"/>
        <v>é.colaborador</v>
      </c>
      <c r="E1587" s="8" t="s">
        <v>28</v>
      </c>
      <c r="F1587" s="42" t="str">
        <f t="shared" si="611"/>
        <v>d.projetar</v>
      </c>
      <c r="G1587" s="18" t="s">
        <v>173</v>
      </c>
      <c r="H1587" s="41" t="s">
        <v>2121</v>
      </c>
      <c r="I1587" s="16" t="str">
        <f t="shared" si="61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597"/>
        <v>Propriedade destinada a projetar: é.colaborador</v>
      </c>
      <c r="V1587" s="5" t="str">
        <f t="shared" si="598"/>
        <v>Dado para projetar:  colaborador  Deve ser formatado como (rdfs:Literal  or  xsd:string)</v>
      </c>
      <c r="W1587" s="5" t="s">
        <v>6256</v>
      </c>
      <c r="X1587" s="24" t="str">
        <f t="shared" si="599"/>
        <v>proje.103</v>
      </c>
      <c r="Y1587" s="24" t="str">
        <f t="shared" si="600"/>
        <v>Ação de projetar</v>
      </c>
      <c r="Z1587" s="47" t="s">
        <v>1865</v>
      </c>
      <c r="AA1587" s="25" t="str">
        <f t="shared" si="613"/>
        <v>null</v>
      </c>
      <c r="AB1587" s="26" t="s">
        <v>0</v>
      </c>
      <c r="AC1587" s="25" t="str">
        <f t="shared" si="614"/>
        <v>null</v>
      </c>
      <c r="AD1587" s="26" t="s">
        <v>0</v>
      </c>
      <c r="AE1587" s="25" t="str">
        <f t="shared" si="615"/>
        <v>null</v>
      </c>
      <c r="AF1587" s="26" t="s">
        <v>0</v>
      </c>
      <c r="AG1587" s="47" t="s">
        <v>8193</v>
      </c>
    </row>
    <row r="1588" spans="1:33" ht="6.9" customHeight="1" x14ac:dyDescent="0.4">
      <c r="A1588" s="4">
        <f>ROW()</f>
        <v>1588</v>
      </c>
      <c r="B1588" s="9" t="s">
        <v>27</v>
      </c>
      <c r="C1588" s="55" t="str">
        <f t="shared" si="610"/>
        <v>p.projetar</v>
      </c>
      <c r="D1588" s="6" t="str">
        <f t="shared" si="604"/>
        <v>é.consultor</v>
      </c>
      <c r="E1588" s="8" t="s">
        <v>28</v>
      </c>
      <c r="F1588" s="42" t="str">
        <f t="shared" si="611"/>
        <v>d.projetar</v>
      </c>
      <c r="G1588" s="18" t="s">
        <v>175</v>
      </c>
      <c r="H1588" s="41" t="s">
        <v>2121</v>
      </c>
      <c r="I1588" s="16" t="str">
        <f t="shared" si="61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597"/>
        <v>Propriedade destinada a projetar: é.consultor</v>
      </c>
      <c r="V1588" s="5" t="str">
        <f t="shared" si="598"/>
        <v>Dado para projetar:  consultor  Deve ser formatado como (rdfs:Literal  or  xsd:string)</v>
      </c>
      <c r="W1588" s="5" t="s">
        <v>6257</v>
      </c>
      <c r="X1588" s="24" t="str">
        <f t="shared" si="599"/>
        <v>proje.104</v>
      </c>
      <c r="Y1588" s="24" t="str">
        <f t="shared" si="600"/>
        <v>Ação de projetar</v>
      </c>
      <c r="Z1588" s="47" t="s">
        <v>1866</v>
      </c>
      <c r="AA1588" s="25" t="str">
        <f t="shared" si="613"/>
        <v>null</v>
      </c>
      <c r="AB1588" s="26" t="s">
        <v>0</v>
      </c>
      <c r="AC1588" s="25" t="str">
        <f t="shared" si="614"/>
        <v>null</v>
      </c>
      <c r="AD1588" s="26" t="s">
        <v>0</v>
      </c>
      <c r="AE1588" s="25" t="str">
        <f t="shared" si="615"/>
        <v>null</v>
      </c>
      <c r="AF1588" s="26" t="s">
        <v>0</v>
      </c>
      <c r="AG1588" s="47" t="s">
        <v>8194</v>
      </c>
    </row>
    <row r="1589" spans="1:33" ht="6.9" customHeight="1" x14ac:dyDescent="0.4">
      <c r="A1589" s="4">
        <f>ROW()</f>
        <v>1589</v>
      </c>
      <c r="B1589" s="9" t="s">
        <v>27</v>
      </c>
      <c r="C1589" s="55" t="str">
        <f t="shared" si="610"/>
        <v>p.projetar</v>
      </c>
      <c r="D1589" s="6" t="str">
        <f t="shared" si="604"/>
        <v>é.coordenador</v>
      </c>
      <c r="E1589" s="8" t="s">
        <v>28</v>
      </c>
      <c r="F1589" s="42" t="str">
        <f t="shared" si="611"/>
        <v>d.projetar</v>
      </c>
      <c r="G1589" s="18" t="s">
        <v>171</v>
      </c>
      <c r="H1589" s="41" t="s">
        <v>2121</v>
      </c>
      <c r="I1589" s="16" t="str">
        <f t="shared" si="612"/>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597"/>
        <v>Propriedade destinada a projetar: é.coordenador</v>
      </c>
      <c r="V1589" s="5" t="str">
        <f t="shared" si="598"/>
        <v>Dado para projetar:  coordenador  Deve ser formatado como (rdfs:Literal  or  xsd:string)</v>
      </c>
      <c r="W1589" s="5" t="s">
        <v>6258</v>
      </c>
      <c r="X1589" s="24" t="str">
        <f t="shared" si="599"/>
        <v>proje.105</v>
      </c>
      <c r="Y1589" s="24" t="str">
        <f t="shared" si="600"/>
        <v>Ação de projetar</v>
      </c>
      <c r="Z1589" s="47" t="s">
        <v>1867</v>
      </c>
      <c r="AA1589" s="25" t="str">
        <f t="shared" si="613"/>
        <v>null</v>
      </c>
      <c r="AB1589" s="26" t="s">
        <v>0</v>
      </c>
      <c r="AC1589" s="25" t="str">
        <f t="shared" si="614"/>
        <v>null</v>
      </c>
      <c r="AD1589" s="26" t="s">
        <v>0</v>
      </c>
      <c r="AE1589" s="25" t="str">
        <f t="shared" si="615"/>
        <v>null</v>
      </c>
      <c r="AF1589" s="26" t="s">
        <v>0</v>
      </c>
      <c r="AG1589" s="47" t="s">
        <v>8195</v>
      </c>
    </row>
    <row r="1590" spans="1:33" ht="6.9" customHeight="1" x14ac:dyDescent="0.4">
      <c r="A1590" s="4">
        <f>ROW()</f>
        <v>1590</v>
      </c>
      <c r="B1590" s="9" t="s">
        <v>27</v>
      </c>
      <c r="C1590" s="55" t="str">
        <f t="shared" si="610"/>
        <v>p.projetar</v>
      </c>
      <c r="D1590" s="6" t="str">
        <f t="shared" si="604"/>
        <v>é.desenhista</v>
      </c>
      <c r="E1590" s="8" t="s">
        <v>28</v>
      </c>
      <c r="F1590" s="42" t="str">
        <f t="shared" si="611"/>
        <v>d.projetar</v>
      </c>
      <c r="G1590" s="18" t="s">
        <v>172</v>
      </c>
      <c r="H1590" s="41" t="s">
        <v>2121</v>
      </c>
      <c r="I1590" s="16" t="str">
        <f t="shared" si="61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597"/>
        <v>Propriedade destinada a projetar: é.desenhista</v>
      </c>
      <c r="V1590" s="5" t="str">
        <f t="shared" si="598"/>
        <v>Dado para projetar:  desenhista  Deve ser formatado como (rdfs:Literal  or  xsd:string)</v>
      </c>
      <c r="W1590" s="5" t="s">
        <v>6259</v>
      </c>
      <c r="X1590" s="24" t="str">
        <f t="shared" si="599"/>
        <v>proje.106</v>
      </c>
      <c r="Y1590" s="24" t="str">
        <f t="shared" si="600"/>
        <v>Ação de projetar</v>
      </c>
      <c r="Z1590" s="47" t="s">
        <v>1868</v>
      </c>
      <c r="AA1590" s="25" t="str">
        <f t="shared" si="613"/>
        <v>null</v>
      </c>
      <c r="AB1590" s="26" t="s">
        <v>0</v>
      </c>
      <c r="AC1590" s="25" t="str">
        <f t="shared" si="614"/>
        <v>null</v>
      </c>
      <c r="AD1590" s="26" t="s">
        <v>0</v>
      </c>
      <c r="AE1590" s="25" t="str">
        <f t="shared" si="615"/>
        <v>null</v>
      </c>
      <c r="AF1590" s="26" t="s">
        <v>0</v>
      </c>
      <c r="AG1590" s="47" t="s">
        <v>8197</v>
      </c>
    </row>
    <row r="1591" spans="1:33" ht="6.9" customHeight="1" x14ac:dyDescent="0.4">
      <c r="A1591" s="4">
        <f>ROW()</f>
        <v>1591</v>
      </c>
      <c r="B1591" s="9" t="s">
        <v>27</v>
      </c>
      <c r="C1591" s="55" t="str">
        <f t="shared" si="610"/>
        <v>p.projetar</v>
      </c>
      <c r="D1591" s="6" t="str">
        <f t="shared" si="604"/>
        <v>é.dona</v>
      </c>
      <c r="E1591" s="8" t="s">
        <v>28</v>
      </c>
      <c r="F1591" s="42" t="str">
        <f t="shared" si="611"/>
        <v>d.projetar</v>
      </c>
      <c r="G1591" s="18" t="s">
        <v>8309</v>
      </c>
      <c r="H1591" s="41" t="s">
        <v>2121</v>
      </c>
      <c r="I1591" s="16" t="str">
        <f t="shared" si="612"/>
        <v>null</v>
      </c>
      <c r="J1591" s="13" t="s">
        <v>0</v>
      </c>
      <c r="K1591" s="13" t="s">
        <v>0</v>
      </c>
      <c r="L1591" s="13" t="s">
        <v>0</v>
      </c>
      <c r="M1591" s="13" t="s">
        <v>0</v>
      </c>
      <c r="N1591" s="15" t="s">
        <v>0</v>
      </c>
      <c r="O1591" s="13" t="s">
        <v>0</v>
      </c>
      <c r="P1591" s="13" t="s">
        <v>0</v>
      </c>
      <c r="Q1591" s="13" t="s">
        <v>0</v>
      </c>
      <c r="R1591" s="15" t="s">
        <v>8314</v>
      </c>
      <c r="S1591" s="10" t="s">
        <v>1</v>
      </c>
      <c r="T1591" s="10" t="s">
        <v>32</v>
      </c>
      <c r="U1591" s="5" t="str">
        <f t="shared" si="597"/>
        <v>Propriedade destinada a projetar: é.dona</v>
      </c>
      <c r="V1591" s="5" t="str">
        <f t="shared" si="598"/>
        <v>Dado para projetar:  dona  Deve ser formatado como (rdfs:Literal  or  xsd:string)</v>
      </c>
      <c r="W1591" s="5" t="s">
        <v>8313</v>
      </c>
      <c r="X1591" s="24" t="str">
        <f t="shared" si="599"/>
        <v>proje.107</v>
      </c>
      <c r="Y1591" s="24" t="str">
        <f t="shared" si="600"/>
        <v>Ação de projetar</v>
      </c>
      <c r="Z1591" s="47" t="s">
        <v>8497</v>
      </c>
      <c r="AA1591" s="25" t="str">
        <f t="shared" si="613"/>
        <v>null</v>
      </c>
      <c r="AB1591" s="26" t="s">
        <v>0</v>
      </c>
      <c r="AC1591" s="25" t="str">
        <f t="shared" si="614"/>
        <v>null</v>
      </c>
      <c r="AD1591" s="26" t="s">
        <v>0</v>
      </c>
      <c r="AE1591" s="25" t="str">
        <f t="shared" si="615"/>
        <v>null</v>
      </c>
      <c r="AF1591" s="26" t="s">
        <v>0</v>
      </c>
      <c r="AG1591" s="47" t="s">
        <v>8511</v>
      </c>
    </row>
    <row r="1592" spans="1:33" ht="6.9" customHeight="1" x14ac:dyDescent="0.4">
      <c r="A1592" s="4">
        <f>ROW()</f>
        <v>1592</v>
      </c>
      <c r="B1592" s="9" t="s">
        <v>27</v>
      </c>
      <c r="C1592" s="55" t="str">
        <f t="shared" si="610"/>
        <v>p.projetar</v>
      </c>
      <c r="D1592" s="6" t="str">
        <f t="shared" si="604"/>
        <v>é.dono</v>
      </c>
      <c r="E1592" s="8" t="s">
        <v>28</v>
      </c>
      <c r="F1592" s="42" t="str">
        <f t="shared" si="611"/>
        <v>d.projetar</v>
      </c>
      <c r="G1592" s="18" t="s">
        <v>8307</v>
      </c>
      <c r="H1592" s="41" t="s">
        <v>2121</v>
      </c>
      <c r="I1592" s="16" t="str">
        <f t="shared" si="612"/>
        <v>null</v>
      </c>
      <c r="J1592" s="13" t="s">
        <v>0</v>
      </c>
      <c r="K1592" s="13" t="s">
        <v>0</v>
      </c>
      <c r="L1592" s="13" t="s">
        <v>0</v>
      </c>
      <c r="M1592" s="13" t="s">
        <v>0</v>
      </c>
      <c r="N1592" s="15" t="s">
        <v>0</v>
      </c>
      <c r="O1592" s="13" t="s">
        <v>0</v>
      </c>
      <c r="P1592" s="13" t="s">
        <v>0</v>
      </c>
      <c r="Q1592" s="13" t="s">
        <v>0</v>
      </c>
      <c r="R1592" s="15" t="s">
        <v>8315</v>
      </c>
      <c r="S1592" s="10" t="s">
        <v>1</v>
      </c>
      <c r="T1592" s="10" t="s">
        <v>32</v>
      </c>
      <c r="U1592" s="5" t="str">
        <f t="shared" si="597"/>
        <v>Propriedade destinada a projetar: é.dono</v>
      </c>
      <c r="V1592" s="5" t="str">
        <f t="shared" si="598"/>
        <v>Dado para projetar:  dono  Deve ser formatado como (rdfs:Literal  or  xsd:string)</v>
      </c>
      <c r="W1592" s="5" t="s">
        <v>8312</v>
      </c>
      <c r="X1592" s="24" t="str">
        <f t="shared" si="599"/>
        <v>proje.108</v>
      </c>
      <c r="Y1592" s="24" t="str">
        <f t="shared" si="600"/>
        <v>Ação de projetar</v>
      </c>
      <c r="Z1592" s="47" t="s">
        <v>8497</v>
      </c>
      <c r="AA1592" s="25" t="str">
        <f t="shared" si="613"/>
        <v>null</v>
      </c>
      <c r="AB1592" s="26" t="s">
        <v>0</v>
      </c>
      <c r="AC1592" s="25" t="str">
        <f t="shared" si="614"/>
        <v>null</v>
      </c>
      <c r="AD1592" s="26" t="s">
        <v>0</v>
      </c>
      <c r="AE1592" s="25" t="str">
        <f t="shared" si="615"/>
        <v>null</v>
      </c>
      <c r="AF1592" s="26" t="s">
        <v>0</v>
      </c>
      <c r="AG1592" s="47" t="s">
        <v>8512</v>
      </c>
    </row>
    <row r="1593" spans="1:33" ht="6.9" customHeight="1" x14ac:dyDescent="0.4">
      <c r="A1593" s="4">
        <f>ROW()</f>
        <v>1593</v>
      </c>
      <c r="B1593" s="9" t="s">
        <v>27</v>
      </c>
      <c r="C1593" s="55" t="str">
        <f t="shared" si="610"/>
        <v>p.projetar</v>
      </c>
      <c r="D1593" s="6" t="str">
        <f t="shared" si="604"/>
        <v>é.especialista</v>
      </c>
      <c r="E1593" s="8" t="s">
        <v>28</v>
      </c>
      <c r="F1593" s="42" t="str">
        <f t="shared" si="611"/>
        <v>d.projetar</v>
      </c>
      <c r="G1593" s="18" t="s">
        <v>174</v>
      </c>
      <c r="H1593" s="41" t="s">
        <v>2121</v>
      </c>
      <c r="I1593" s="16" t="str">
        <f t="shared" si="61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597"/>
        <v>Propriedade destinada a projetar: é.especialista</v>
      </c>
      <c r="V1593" s="5" t="str">
        <f t="shared" si="598"/>
        <v>Dado para projetar:  especialista  Deve ser formatado como (rdfs:Literal  or  xsd:string)</v>
      </c>
      <c r="W1593" s="5" t="s">
        <v>6260</v>
      </c>
      <c r="X1593" s="24" t="str">
        <f t="shared" si="599"/>
        <v>proje.109</v>
      </c>
      <c r="Y1593" s="24" t="str">
        <f t="shared" si="600"/>
        <v>Ação de projetar</v>
      </c>
      <c r="Z1593" s="47" t="s">
        <v>1869</v>
      </c>
      <c r="AA1593" s="25" t="str">
        <f t="shared" si="613"/>
        <v>null</v>
      </c>
      <c r="AB1593" s="26" t="s">
        <v>0</v>
      </c>
      <c r="AC1593" s="25" t="str">
        <f t="shared" si="614"/>
        <v>null</v>
      </c>
      <c r="AD1593" s="26" t="s">
        <v>0</v>
      </c>
      <c r="AE1593" s="25" t="str">
        <f t="shared" si="615"/>
        <v>null</v>
      </c>
      <c r="AF1593" s="26" t="s">
        <v>0</v>
      </c>
      <c r="AG1593" s="47" t="s">
        <v>8199</v>
      </c>
    </row>
    <row r="1594" spans="1:33" ht="6.9" customHeight="1" x14ac:dyDescent="0.4">
      <c r="A1594" s="4">
        <f>ROW()</f>
        <v>1594</v>
      </c>
      <c r="B1594" s="9" t="s">
        <v>27</v>
      </c>
      <c r="C1594" s="55" t="str">
        <f t="shared" si="610"/>
        <v>p.projetar</v>
      </c>
      <c r="D1594" s="6" t="str">
        <f t="shared" si="604"/>
        <v>é.fiscal</v>
      </c>
      <c r="E1594" s="8" t="s">
        <v>28</v>
      </c>
      <c r="F1594" s="42" t="str">
        <f t="shared" si="611"/>
        <v>d.projetar</v>
      </c>
      <c r="G1594" s="18" t="s">
        <v>178</v>
      </c>
      <c r="H1594" s="41" t="s">
        <v>2121</v>
      </c>
      <c r="I1594" s="16" t="str">
        <f t="shared" si="61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597"/>
        <v>Propriedade destinada a projetar: é.fiscal</v>
      </c>
      <c r="V1594" s="5" t="str">
        <f t="shared" si="598"/>
        <v>Dado para projetar:  fiscal  Deve ser formatado como (rdfs:Literal  or  xsd:string)</v>
      </c>
      <c r="W1594" s="5" t="s">
        <v>6261</v>
      </c>
      <c r="X1594" s="24" t="str">
        <f t="shared" si="599"/>
        <v>proje.110</v>
      </c>
      <c r="Y1594" s="24" t="str">
        <f t="shared" si="600"/>
        <v>Ação de projetar</v>
      </c>
      <c r="Z1594" s="47" t="s">
        <v>1870</v>
      </c>
      <c r="AA1594" s="25" t="str">
        <f t="shared" si="613"/>
        <v>null</v>
      </c>
      <c r="AB1594" s="26" t="s">
        <v>0</v>
      </c>
      <c r="AC1594" s="25" t="str">
        <f t="shared" si="614"/>
        <v>null</v>
      </c>
      <c r="AD1594" s="26" t="s">
        <v>0</v>
      </c>
      <c r="AE1594" s="25" t="str">
        <f t="shared" si="615"/>
        <v>null</v>
      </c>
      <c r="AF1594" s="26" t="s">
        <v>0</v>
      </c>
      <c r="AG1594" s="47" t="s">
        <v>8200</v>
      </c>
    </row>
    <row r="1595" spans="1:33" ht="6.9" customHeight="1" x14ac:dyDescent="0.4">
      <c r="A1595" s="4">
        <f>ROW()</f>
        <v>1595</v>
      </c>
      <c r="B1595" s="9" t="s">
        <v>27</v>
      </c>
      <c r="C1595" s="55" t="str">
        <f t="shared" si="610"/>
        <v>p.projetar</v>
      </c>
      <c r="D1595" s="6" t="str">
        <f t="shared" si="604"/>
        <v>é.fornecedor</v>
      </c>
      <c r="E1595" s="8" t="s">
        <v>28</v>
      </c>
      <c r="F1595" s="42" t="str">
        <f>F1593</f>
        <v>d.projetar</v>
      </c>
      <c r="G1595" s="18" t="s">
        <v>181</v>
      </c>
      <c r="H1595" s="41" t="s">
        <v>2121</v>
      </c>
      <c r="I1595" s="16" t="str">
        <f t="shared" si="612"/>
        <v>null</v>
      </c>
      <c r="J1595" s="13" t="s">
        <v>0</v>
      </c>
      <c r="K1595" s="13" t="s">
        <v>0</v>
      </c>
      <c r="L1595" s="13" t="s">
        <v>0</v>
      </c>
      <c r="M1595" s="13" t="s">
        <v>0</v>
      </c>
      <c r="N1595" s="15" t="s">
        <v>0</v>
      </c>
      <c r="O1595" s="13" t="s">
        <v>0</v>
      </c>
      <c r="P1595" s="13" t="s">
        <v>0</v>
      </c>
      <c r="Q1595" s="13" t="s">
        <v>0</v>
      </c>
      <c r="R1595" s="15" t="s">
        <v>8319</v>
      </c>
      <c r="S1595" s="10" t="s">
        <v>1</v>
      </c>
      <c r="T1595" s="10" t="s">
        <v>32</v>
      </c>
      <c r="U1595" s="5" t="str">
        <f t="shared" si="597"/>
        <v>Propriedade destinada a projetar: é.fornecedor</v>
      </c>
      <c r="V1595" s="5" t="str">
        <f t="shared" si="598"/>
        <v>Dado para projetar:  fornecedor  Deve ser formatado como (rdfs:Literal  or  xsd:string)</v>
      </c>
      <c r="W1595" s="5" t="s">
        <v>6262</v>
      </c>
      <c r="X1595" s="24" t="str">
        <f t="shared" si="599"/>
        <v>proje.111</v>
      </c>
      <c r="Y1595" s="24" t="str">
        <f t="shared" si="600"/>
        <v>Ação de projetar</v>
      </c>
      <c r="Z1595" s="47" t="s">
        <v>1871</v>
      </c>
      <c r="AA1595" s="25" t="str">
        <f t="shared" si="613"/>
        <v>null</v>
      </c>
      <c r="AB1595" s="26" t="s">
        <v>0</v>
      </c>
      <c r="AC1595" s="25" t="str">
        <f t="shared" si="614"/>
        <v>null</v>
      </c>
      <c r="AD1595" s="26" t="s">
        <v>0</v>
      </c>
      <c r="AE1595" s="25" t="str">
        <f t="shared" si="615"/>
        <v>null</v>
      </c>
      <c r="AF1595" s="26" t="s">
        <v>0</v>
      </c>
      <c r="AG1595" s="47" t="s">
        <v>8201</v>
      </c>
    </row>
    <row r="1596" spans="1:33" ht="6.9" customHeight="1" x14ac:dyDescent="0.4">
      <c r="A1596" s="4">
        <f>ROW()</f>
        <v>1596</v>
      </c>
      <c r="B1596" s="9" t="s">
        <v>27</v>
      </c>
      <c r="C1596" s="55" t="str">
        <f t="shared" si="610"/>
        <v>p.projetar</v>
      </c>
      <c r="D1596" s="6" t="str">
        <f t="shared" si="604"/>
        <v>é.fornecedor.de</v>
      </c>
      <c r="E1596" s="8" t="s">
        <v>28</v>
      </c>
      <c r="F1596" s="42" t="str">
        <f>F1594</f>
        <v>d.projetar</v>
      </c>
      <c r="G1596" s="18" t="s">
        <v>2391</v>
      </c>
      <c r="H1596" s="41" t="s">
        <v>2121</v>
      </c>
      <c r="I1596" s="16" t="str">
        <f t="shared" si="612"/>
        <v>null</v>
      </c>
      <c r="J1596" s="13" t="s">
        <v>0</v>
      </c>
      <c r="K1596" s="13" t="s">
        <v>0</v>
      </c>
      <c r="L1596" s="13" t="s">
        <v>0</v>
      </c>
      <c r="M1596" s="13" t="s">
        <v>0</v>
      </c>
      <c r="N1596" s="15" t="s">
        <v>0</v>
      </c>
      <c r="O1596" s="13" t="s">
        <v>0</v>
      </c>
      <c r="P1596" s="13" t="s">
        <v>0</v>
      </c>
      <c r="Q1596" s="13" t="s">
        <v>0</v>
      </c>
      <c r="R1596" s="15" t="s">
        <v>8318</v>
      </c>
      <c r="S1596" s="10" t="s">
        <v>1</v>
      </c>
      <c r="T1596" s="10" t="s">
        <v>32</v>
      </c>
      <c r="U1596" s="5" t="str">
        <f t="shared" si="597"/>
        <v>Propriedade destinada a projetar: é.fornecedor.de</v>
      </c>
      <c r="V1596" s="5" t="str">
        <f t="shared" si="598"/>
        <v>Dado para projetar:  fornecedor.de  Deve ser formatado como (rdfs:Literal  or  xsd:string)</v>
      </c>
      <c r="W1596" s="5" t="s">
        <v>6263</v>
      </c>
      <c r="X1596" s="24" t="str">
        <f t="shared" si="599"/>
        <v>proje.112</v>
      </c>
      <c r="Y1596" s="24" t="str">
        <f t="shared" si="600"/>
        <v>Ação de projetar</v>
      </c>
      <c r="Z1596" s="47" t="s">
        <v>2392</v>
      </c>
      <c r="AA1596" s="25" t="str">
        <f t="shared" si="613"/>
        <v>null</v>
      </c>
      <c r="AB1596" s="26" t="s">
        <v>0</v>
      </c>
      <c r="AC1596" s="25" t="str">
        <f t="shared" si="614"/>
        <v>null</v>
      </c>
      <c r="AD1596" s="26" t="s">
        <v>0</v>
      </c>
      <c r="AE1596" s="25" t="str">
        <f t="shared" si="615"/>
        <v>null</v>
      </c>
      <c r="AF1596" s="26" t="s">
        <v>0</v>
      </c>
      <c r="AG1596" s="47" t="s">
        <v>3167</v>
      </c>
    </row>
    <row r="1597" spans="1:33" ht="6.9" customHeight="1" x14ac:dyDescent="0.4">
      <c r="A1597" s="4">
        <f>ROW()</f>
        <v>1597</v>
      </c>
      <c r="B1597" s="9" t="s">
        <v>27</v>
      </c>
      <c r="C1597" s="55" t="str">
        <f t="shared" si="610"/>
        <v>p.projetar</v>
      </c>
      <c r="D1597" s="6" t="str">
        <f t="shared" si="604"/>
        <v>é.inspector</v>
      </c>
      <c r="E1597" s="8" t="s">
        <v>28</v>
      </c>
      <c r="F1597" s="42" t="str">
        <f>F1596</f>
        <v>d.projetar</v>
      </c>
      <c r="G1597" s="18" t="s">
        <v>183</v>
      </c>
      <c r="H1597" s="41" t="s">
        <v>2121</v>
      </c>
      <c r="I1597" s="16" t="str">
        <f t="shared" si="61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597"/>
        <v>Propriedade destinada a projetar: é.inspector</v>
      </c>
      <c r="V1597" s="5" t="str">
        <f t="shared" si="598"/>
        <v>Dado para projetar:  inspector  Deve ser formatado como (rdfs:Literal  or  xsd:string)</v>
      </c>
      <c r="W1597" s="5" t="s">
        <v>6264</v>
      </c>
      <c r="X1597" s="24" t="str">
        <f t="shared" si="599"/>
        <v>proje.113</v>
      </c>
      <c r="Y1597" s="24" t="str">
        <f t="shared" si="600"/>
        <v>Ação de projetar</v>
      </c>
      <c r="Z1597" s="47" t="s">
        <v>1872</v>
      </c>
      <c r="AA1597" s="25" t="str">
        <f t="shared" si="613"/>
        <v>null</v>
      </c>
      <c r="AB1597" s="26" t="s">
        <v>0</v>
      </c>
      <c r="AC1597" s="25" t="str">
        <f t="shared" si="614"/>
        <v>null</v>
      </c>
      <c r="AD1597" s="26" t="s">
        <v>0</v>
      </c>
      <c r="AE1597" s="25" t="str">
        <f t="shared" si="615"/>
        <v>null</v>
      </c>
      <c r="AF1597" s="26" t="s">
        <v>0</v>
      </c>
      <c r="AG1597" s="47" t="s">
        <v>8202</v>
      </c>
    </row>
    <row r="1598" spans="1:33" ht="6.9" customHeight="1" x14ac:dyDescent="0.4">
      <c r="A1598" s="4">
        <f>ROW()</f>
        <v>1598</v>
      </c>
      <c r="B1598" s="9" t="s">
        <v>27</v>
      </c>
      <c r="C1598" s="55" t="str">
        <f t="shared" si="610"/>
        <v>p.projetar</v>
      </c>
      <c r="D1598" s="6" t="str">
        <f t="shared" si="604"/>
        <v>é.orçamentista</v>
      </c>
      <c r="E1598" s="8" t="s">
        <v>28</v>
      </c>
      <c r="F1598" s="42" t="str">
        <f>F1597</f>
        <v>d.projetar</v>
      </c>
      <c r="G1598" s="18" t="s">
        <v>177</v>
      </c>
      <c r="H1598" s="41" t="s">
        <v>2121</v>
      </c>
      <c r="I1598" s="16" t="str">
        <f t="shared" si="61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597"/>
        <v>Propriedade destinada a projetar: é.orçamentista</v>
      </c>
      <c r="V1598" s="5" t="str">
        <f t="shared" si="598"/>
        <v>Dado para projetar:  orçamentista  Deve ser formatado como (rdfs:Literal  or  xsd:string)</v>
      </c>
      <c r="W1598" s="5" t="s">
        <v>6265</v>
      </c>
      <c r="X1598" s="24" t="str">
        <f t="shared" si="599"/>
        <v>proje.114</v>
      </c>
      <c r="Y1598" s="24" t="str">
        <f t="shared" si="600"/>
        <v>Ação de projetar</v>
      </c>
      <c r="Z1598" s="47" t="s">
        <v>1873</v>
      </c>
      <c r="AA1598" s="25" t="str">
        <f t="shared" si="613"/>
        <v>null</v>
      </c>
      <c r="AB1598" s="26" t="s">
        <v>0</v>
      </c>
      <c r="AC1598" s="25" t="str">
        <f t="shared" si="614"/>
        <v>null</v>
      </c>
      <c r="AD1598" s="26" t="s">
        <v>0</v>
      </c>
      <c r="AE1598" s="25" t="str">
        <f t="shared" si="615"/>
        <v>null</v>
      </c>
      <c r="AF1598" s="26" t="s">
        <v>0</v>
      </c>
      <c r="AG1598" s="47" t="s">
        <v>8203</v>
      </c>
    </row>
    <row r="1599" spans="1:33" ht="6.9" customHeight="1" x14ac:dyDescent="0.4">
      <c r="A1599" s="4">
        <f>ROW()</f>
        <v>1599</v>
      </c>
      <c r="B1599" s="9" t="s">
        <v>27</v>
      </c>
      <c r="C1599" s="55" t="str">
        <f t="shared" ref="C1599" si="616">SUBSTITUTE(F1599,"d.","p.")</f>
        <v>p.projetar</v>
      </c>
      <c r="D1599" s="6" t="str">
        <f t="shared" si="604"/>
        <v>é.patrocinado</v>
      </c>
      <c r="E1599" s="8" t="s">
        <v>28</v>
      </c>
      <c r="F1599" s="42" t="str">
        <f>F1596</f>
        <v>d.projetar</v>
      </c>
      <c r="G1599" s="18" t="s">
        <v>8452</v>
      </c>
      <c r="H1599" s="41" t="s">
        <v>37</v>
      </c>
      <c r="I1599" s="16" t="str">
        <f t="shared" ref="I1599" si="617">J1599</f>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597"/>
        <v>Propriedade destinada a projetar: é.patrocinado</v>
      </c>
      <c r="V1599" s="5" t="str">
        <f t="shared" si="598"/>
        <v>Dado para projetar:  patrocinado  Deve ser formatado como (xsd:boolean)</v>
      </c>
      <c r="W1599" s="5" t="s">
        <v>8453</v>
      </c>
      <c r="X1599" s="24" t="str">
        <f t="shared" si="599"/>
        <v>proje.115</v>
      </c>
      <c r="Y1599" s="24" t="str">
        <f t="shared" si="600"/>
        <v>Ação de projetar</v>
      </c>
      <c r="Z1599" s="47" t="s">
        <v>8498</v>
      </c>
      <c r="AA1599" s="25" t="str">
        <f t="shared" ref="AA1599" si="618">IF(AB1599="null", "null", "categoria.revit")</f>
        <v>null</v>
      </c>
      <c r="AB1599" s="26" t="s">
        <v>0</v>
      </c>
      <c r="AC1599" s="25" t="str">
        <f t="shared" ref="AC1599" si="619">IF(AD1599="null", "null", "classe.ifc")</f>
        <v>null</v>
      </c>
      <c r="AD1599" s="26" t="s">
        <v>0</v>
      </c>
      <c r="AE1599" s="25" t="str">
        <f t="shared" ref="AE1599" si="620">IF(AF1599="null", "null", "propriedade")</f>
        <v>null</v>
      </c>
      <c r="AF1599" s="26" t="s">
        <v>0</v>
      </c>
      <c r="AG1599" s="47" t="s">
        <v>8513</v>
      </c>
    </row>
    <row r="1600" spans="1:33" ht="6.9" customHeight="1" x14ac:dyDescent="0.4">
      <c r="A1600" s="4">
        <f>ROW()</f>
        <v>1600</v>
      </c>
      <c r="B1600" s="9" t="s">
        <v>27</v>
      </c>
      <c r="C1600" s="55" t="str">
        <f t="shared" si="610"/>
        <v>p.projetar</v>
      </c>
      <c r="D1600" s="6" t="str">
        <f t="shared" si="604"/>
        <v>é.patrocinador</v>
      </c>
      <c r="E1600" s="8" t="s">
        <v>28</v>
      </c>
      <c r="F1600" s="42" t="str">
        <f>F1597</f>
        <v>d.projetar</v>
      </c>
      <c r="G1600" s="18" t="s">
        <v>8306</v>
      </c>
      <c r="H1600" s="41" t="s">
        <v>2121</v>
      </c>
      <c r="I1600" s="16" t="str">
        <f t="shared" si="612"/>
        <v>null</v>
      </c>
      <c r="J1600" s="13" t="s">
        <v>0</v>
      </c>
      <c r="K1600" s="13" t="s">
        <v>0</v>
      </c>
      <c r="L1600" s="13" t="s">
        <v>0</v>
      </c>
      <c r="M1600" s="13" t="s">
        <v>0</v>
      </c>
      <c r="N1600" s="15" t="s">
        <v>0</v>
      </c>
      <c r="O1600" s="13" t="s">
        <v>0</v>
      </c>
      <c r="P1600" s="13" t="s">
        <v>0</v>
      </c>
      <c r="Q1600" s="13" t="s">
        <v>0</v>
      </c>
      <c r="R1600" s="15" t="s">
        <v>8317</v>
      </c>
      <c r="S1600" s="10" t="s">
        <v>1</v>
      </c>
      <c r="T1600" s="10" t="s">
        <v>32</v>
      </c>
      <c r="U1600" s="5" t="str">
        <f t="shared" si="597"/>
        <v>Propriedade destinada a projetar: é.patrocinador</v>
      </c>
      <c r="V1600" s="5" t="str">
        <f t="shared" si="598"/>
        <v>Dado para projetar:  patrocinador  Deve ser formatado como (rdfs:Literal  or  xsd:string)</v>
      </c>
      <c r="W1600" s="5" t="s">
        <v>8310</v>
      </c>
      <c r="X1600" s="24" t="str">
        <f t="shared" si="599"/>
        <v>proje.116</v>
      </c>
      <c r="Y1600" s="24" t="str">
        <f t="shared" si="600"/>
        <v>Ação de projetar</v>
      </c>
      <c r="Z1600" s="47" t="s">
        <v>8499</v>
      </c>
      <c r="AA1600" s="25" t="str">
        <f t="shared" si="613"/>
        <v>null</v>
      </c>
      <c r="AB1600" s="26" t="s">
        <v>0</v>
      </c>
      <c r="AC1600" s="25" t="str">
        <f t="shared" si="614"/>
        <v>null</v>
      </c>
      <c r="AD1600" s="26" t="s">
        <v>0</v>
      </c>
      <c r="AE1600" s="25" t="str">
        <f t="shared" si="615"/>
        <v>null</v>
      </c>
      <c r="AF1600" s="26" t="s">
        <v>0</v>
      </c>
      <c r="AG1600" s="47" t="s">
        <v>8514</v>
      </c>
    </row>
    <row r="1601" spans="1:33" ht="6.9" customHeight="1" x14ac:dyDescent="0.4">
      <c r="A1601" s="4">
        <f>ROW()</f>
        <v>1601</v>
      </c>
      <c r="B1601" s="9" t="s">
        <v>27</v>
      </c>
      <c r="C1601" s="55" t="str">
        <f t="shared" si="610"/>
        <v>p.projetar</v>
      </c>
      <c r="D1601" s="6" t="str">
        <f t="shared" si="604"/>
        <v>é.patrocinadora</v>
      </c>
      <c r="E1601" s="8" t="s">
        <v>28</v>
      </c>
      <c r="F1601" s="42" t="str">
        <f>F1598</f>
        <v>d.projetar</v>
      </c>
      <c r="G1601" s="18" t="s">
        <v>8308</v>
      </c>
      <c r="H1601" s="41" t="s">
        <v>2121</v>
      </c>
      <c r="I1601" s="16" t="str">
        <f t="shared" si="612"/>
        <v>null</v>
      </c>
      <c r="J1601" s="13" t="s">
        <v>0</v>
      </c>
      <c r="K1601" s="13" t="s">
        <v>0</v>
      </c>
      <c r="L1601" s="13" t="s">
        <v>0</v>
      </c>
      <c r="M1601" s="13" t="s">
        <v>0</v>
      </c>
      <c r="N1601" s="15" t="s">
        <v>0</v>
      </c>
      <c r="O1601" s="13" t="s">
        <v>0</v>
      </c>
      <c r="P1601" s="13" t="s">
        <v>0</v>
      </c>
      <c r="Q1601" s="13" t="s">
        <v>0</v>
      </c>
      <c r="R1601" s="15" t="s">
        <v>8316</v>
      </c>
      <c r="S1601" s="10" t="s">
        <v>1</v>
      </c>
      <c r="T1601" s="10" t="s">
        <v>32</v>
      </c>
      <c r="U1601" s="5" t="str">
        <f t="shared" si="597"/>
        <v>Propriedade destinada a projetar: é.patrocinadora</v>
      </c>
      <c r="V1601" s="5" t="str">
        <f t="shared" si="598"/>
        <v>Dado para projetar:  patrocinadora  Deve ser formatado como (rdfs:Literal  or  xsd:string)</v>
      </c>
      <c r="W1601" s="5" t="s">
        <v>8311</v>
      </c>
      <c r="X1601" s="24" t="str">
        <f t="shared" si="599"/>
        <v>proje.117</v>
      </c>
      <c r="Y1601" s="24" t="str">
        <f t="shared" si="600"/>
        <v>Ação de projetar</v>
      </c>
      <c r="Z1601" s="47" t="s">
        <v>8499</v>
      </c>
      <c r="AA1601" s="25" t="str">
        <f t="shared" si="613"/>
        <v>null</v>
      </c>
      <c r="AB1601" s="26" t="s">
        <v>0</v>
      </c>
      <c r="AC1601" s="25" t="str">
        <f t="shared" si="614"/>
        <v>null</v>
      </c>
      <c r="AD1601" s="26" t="s">
        <v>0</v>
      </c>
      <c r="AE1601" s="25" t="str">
        <f t="shared" si="615"/>
        <v>null</v>
      </c>
      <c r="AF1601" s="26" t="s">
        <v>0</v>
      </c>
      <c r="AG1601" s="47" t="s">
        <v>8514</v>
      </c>
    </row>
    <row r="1602" spans="1:33" ht="6.9" customHeight="1" x14ac:dyDescent="0.4">
      <c r="A1602" s="4">
        <f>ROW()</f>
        <v>1602</v>
      </c>
      <c r="B1602" s="9" t="s">
        <v>27</v>
      </c>
      <c r="C1602" s="55" t="str">
        <f t="shared" si="610"/>
        <v>p.projetar</v>
      </c>
      <c r="D1602" s="6" t="str">
        <f t="shared" si="604"/>
        <v>é.profissão</v>
      </c>
      <c r="E1602" s="8" t="s">
        <v>28</v>
      </c>
      <c r="F1602" s="42" t="str">
        <f>F1601</f>
        <v>d.projetar</v>
      </c>
      <c r="G1602" s="18" t="s">
        <v>242</v>
      </c>
      <c r="H1602" s="41" t="s">
        <v>2121</v>
      </c>
      <c r="I1602" s="16" t="str">
        <f t="shared" si="61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65" si="621">_xlfn.CONCAT("Propriedade destinada a ",MID(C1602,FIND("p.",C1602,1)+2,100),": ",D1602)</f>
        <v>Propriedade destinada a projetar: é.profissão</v>
      </c>
      <c r="V1602" s="5" t="str">
        <f t="shared" ref="V1602:V1665" si="622">_xlfn.CONCAT("Dado para ",MID(F1602,FIND("d.",F1602,1)+2,100),":  ",G1602, "  Deve ser formatado como (",H1602, ")")</f>
        <v>Dado para projetar:  profissão  Deve ser formatado como (rdfs:Literal  or  xsd:string)</v>
      </c>
      <c r="W1602" s="5" t="s">
        <v>6266</v>
      </c>
      <c r="X1602" s="24" t="str">
        <f t="shared" si="599"/>
        <v>proje.118</v>
      </c>
      <c r="Y1602" s="24" t="str">
        <f t="shared" si="600"/>
        <v>Ação de projetar</v>
      </c>
      <c r="Z1602" s="47" t="s">
        <v>1874</v>
      </c>
      <c r="AA1602" s="25" t="str">
        <f t="shared" si="613"/>
        <v>null</v>
      </c>
      <c r="AB1602" s="26" t="s">
        <v>0</v>
      </c>
      <c r="AC1602" s="25" t="str">
        <f t="shared" si="614"/>
        <v>null</v>
      </c>
      <c r="AD1602" s="26" t="s">
        <v>0</v>
      </c>
      <c r="AE1602" s="25" t="str">
        <f t="shared" si="615"/>
        <v>null</v>
      </c>
      <c r="AF1602" s="26" t="s">
        <v>0</v>
      </c>
      <c r="AG1602" s="47" t="s">
        <v>8204</v>
      </c>
    </row>
    <row r="1603" spans="1:33" ht="6.9" customHeight="1" x14ac:dyDescent="0.4">
      <c r="A1603" s="4">
        <f>ROW()</f>
        <v>1603</v>
      </c>
      <c r="B1603" s="9" t="s">
        <v>27</v>
      </c>
      <c r="C1603" s="55" t="str">
        <f t="shared" si="610"/>
        <v>p.projetar</v>
      </c>
      <c r="D1603" s="6" t="str">
        <f t="shared" si="604"/>
        <v>é.projeto.código</v>
      </c>
      <c r="E1603" s="8" t="s">
        <v>28</v>
      </c>
      <c r="F1603" s="42" t="str">
        <f>F1602</f>
        <v>d.projetar</v>
      </c>
      <c r="G1603" s="18" t="s">
        <v>4260</v>
      </c>
      <c r="H1603" s="41" t="s">
        <v>2121</v>
      </c>
      <c r="I1603" s="16" t="str">
        <f t="shared" si="61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21"/>
        <v>Propriedade destinada a projetar: é.projeto.código</v>
      </c>
      <c r="V1603" s="5" t="str">
        <f t="shared" si="622"/>
        <v>Dado para projetar:  projeto.código  Deve ser formatado como (rdfs:Literal  or  xsd:string)</v>
      </c>
      <c r="W1603" s="5" t="s">
        <v>6267</v>
      </c>
      <c r="X1603" s="24" t="str">
        <f t="shared" ref="X1603:X1666" si="623">IF(F1602&lt;&gt;F1603,_xlfn.CONCAT(RIGHT(LEFT(F1603,7),5),".100"),_xlfn.CONCAT(RIGHT(LEFT(F1603,7),5),".",SUM(VALUE(RIGHT(X1602,3)),1)))</f>
        <v>proje.119</v>
      </c>
      <c r="Y1603" s="24" t="str">
        <f t="shared" ref="Y1603:Y1666" si="624">_xlfn.CONCAT("Ação de ", SUBSTITUTE(F1603, "d.",  ""))</f>
        <v>Ação de projetar</v>
      </c>
      <c r="Z1603" s="47" t="s">
        <v>4261</v>
      </c>
      <c r="AA1603" s="25" t="str">
        <f t="shared" si="613"/>
        <v>null</v>
      </c>
      <c r="AB1603" s="26" t="s">
        <v>0</v>
      </c>
      <c r="AC1603" s="25" t="str">
        <f t="shared" si="614"/>
        <v>null</v>
      </c>
      <c r="AD1603" s="26" t="s">
        <v>0</v>
      </c>
      <c r="AE1603" s="25" t="str">
        <f t="shared" si="615"/>
        <v>null</v>
      </c>
      <c r="AF1603" s="26" t="s">
        <v>0</v>
      </c>
      <c r="AG1603" s="47" t="s">
        <v>8205</v>
      </c>
    </row>
    <row r="1604" spans="1:33" ht="6.9" customHeight="1" x14ac:dyDescent="0.4">
      <c r="A1604" s="4">
        <f>ROW()</f>
        <v>1604</v>
      </c>
      <c r="B1604" s="9" t="s">
        <v>27</v>
      </c>
      <c r="C1604" s="55" t="str">
        <f t="shared" si="610"/>
        <v>p.projetar</v>
      </c>
      <c r="D1604" s="6" t="str">
        <f t="shared" si="604"/>
        <v>é.projeto.etapa</v>
      </c>
      <c r="E1604" s="8" t="s">
        <v>28</v>
      </c>
      <c r="F1604" s="42" t="str">
        <f>F1602</f>
        <v>d.projetar</v>
      </c>
      <c r="G1604" s="18" t="s">
        <v>4263</v>
      </c>
      <c r="H1604" s="41" t="s">
        <v>2121</v>
      </c>
      <c r="I1604" s="16" t="str">
        <f t="shared" si="61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21"/>
        <v>Propriedade destinada a projetar: é.projeto.etapa</v>
      </c>
      <c r="V1604" s="5" t="str">
        <f t="shared" si="622"/>
        <v>Dado para projetar:  projeto.etapa  Deve ser formatado como (rdfs:Literal  or  xsd:string)</v>
      </c>
      <c r="W1604" s="5" t="s">
        <v>6268</v>
      </c>
      <c r="X1604" s="24" t="str">
        <f t="shared" si="623"/>
        <v>proje.120</v>
      </c>
      <c r="Y1604" s="24" t="str">
        <f t="shared" si="624"/>
        <v>Ação de projetar</v>
      </c>
      <c r="Z1604" s="47" t="s">
        <v>4264</v>
      </c>
      <c r="AA1604" s="25" t="str">
        <f t="shared" si="613"/>
        <v>null</v>
      </c>
      <c r="AB1604" s="26" t="s">
        <v>0</v>
      </c>
      <c r="AC1604" s="25" t="str">
        <f t="shared" si="614"/>
        <v>null</v>
      </c>
      <c r="AD1604" s="26" t="s">
        <v>0</v>
      </c>
      <c r="AE1604" s="25" t="str">
        <f t="shared" si="615"/>
        <v>null</v>
      </c>
      <c r="AF1604" s="26" t="s">
        <v>0</v>
      </c>
      <c r="AG1604" s="47" t="s">
        <v>8206</v>
      </c>
    </row>
    <row r="1605" spans="1:33" ht="6.9" customHeight="1" x14ac:dyDescent="0.4">
      <c r="A1605" s="4">
        <f>ROW()</f>
        <v>1605</v>
      </c>
      <c r="B1605" s="9" t="s">
        <v>27</v>
      </c>
      <c r="C1605" s="55" t="str">
        <f t="shared" si="610"/>
        <v>p.projetar</v>
      </c>
      <c r="D1605" s="6" t="str">
        <f t="shared" si="604"/>
        <v>é.projeto.nome</v>
      </c>
      <c r="E1605" s="8" t="s">
        <v>28</v>
      </c>
      <c r="F1605" s="42" t="str">
        <f>F1603</f>
        <v>d.projetar</v>
      </c>
      <c r="G1605" s="18" t="s">
        <v>4259</v>
      </c>
      <c r="H1605" s="41" t="s">
        <v>2121</v>
      </c>
      <c r="I1605" s="16" t="str">
        <f t="shared" si="61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21"/>
        <v>Propriedade destinada a projetar: é.projeto.nome</v>
      </c>
      <c r="V1605" s="5" t="str">
        <f t="shared" si="622"/>
        <v>Dado para projetar:  projeto.nome  Deve ser formatado como (rdfs:Literal  or  xsd:string)</v>
      </c>
      <c r="W1605" s="5" t="s">
        <v>6269</v>
      </c>
      <c r="X1605" s="24" t="str">
        <f t="shared" si="623"/>
        <v>proje.121</v>
      </c>
      <c r="Y1605" s="24" t="str">
        <f t="shared" si="624"/>
        <v>Ação de projetar</v>
      </c>
      <c r="Z1605" s="47" t="s">
        <v>4262</v>
      </c>
      <c r="AA1605" s="25" t="str">
        <f t="shared" si="613"/>
        <v>null</v>
      </c>
      <c r="AB1605" s="26" t="s">
        <v>0</v>
      </c>
      <c r="AC1605" s="25" t="str">
        <f t="shared" si="614"/>
        <v>null</v>
      </c>
      <c r="AD1605" s="26" t="s">
        <v>0</v>
      </c>
      <c r="AE1605" s="25" t="str">
        <f t="shared" si="615"/>
        <v>null</v>
      </c>
      <c r="AF1605" s="26" t="s">
        <v>0</v>
      </c>
      <c r="AG1605" s="47" t="s">
        <v>8207</v>
      </c>
    </row>
    <row r="1606" spans="1:33" ht="6.9" customHeight="1" x14ac:dyDescent="0.4">
      <c r="A1606" s="4">
        <f>ROW()</f>
        <v>1606</v>
      </c>
      <c r="B1606" s="9" t="s">
        <v>27</v>
      </c>
      <c r="C1606" s="55" t="str">
        <f t="shared" si="610"/>
        <v>p.projetar</v>
      </c>
      <c r="D1606" s="6" t="str">
        <f t="shared" si="604"/>
        <v>é.representante</v>
      </c>
      <c r="E1606" s="8" t="s">
        <v>28</v>
      </c>
      <c r="F1606" s="42" t="str">
        <f>F1605</f>
        <v>d.projetar</v>
      </c>
      <c r="G1606" s="18" t="s">
        <v>182</v>
      </c>
      <c r="H1606" s="41" t="s">
        <v>2121</v>
      </c>
      <c r="I1606" s="16" t="str">
        <f t="shared" si="61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21"/>
        <v>Propriedade destinada a projetar: é.representante</v>
      </c>
      <c r="V1606" s="5" t="str">
        <f t="shared" si="622"/>
        <v>Dado para projetar:  representante  Deve ser formatado como (rdfs:Literal  or  xsd:string)</v>
      </c>
      <c r="W1606" s="5" t="s">
        <v>6270</v>
      </c>
      <c r="X1606" s="24" t="str">
        <f t="shared" si="623"/>
        <v>proje.122</v>
      </c>
      <c r="Y1606" s="24" t="str">
        <f t="shared" si="624"/>
        <v>Ação de projetar</v>
      </c>
      <c r="Z1606" s="47" t="s">
        <v>1875</v>
      </c>
      <c r="AA1606" s="25" t="str">
        <f t="shared" si="613"/>
        <v>null</v>
      </c>
      <c r="AB1606" s="26" t="s">
        <v>0</v>
      </c>
      <c r="AC1606" s="25" t="str">
        <f t="shared" si="614"/>
        <v>null</v>
      </c>
      <c r="AD1606" s="26" t="s">
        <v>0</v>
      </c>
      <c r="AE1606" s="25" t="str">
        <f t="shared" si="615"/>
        <v>null</v>
      </c>
      <c r="AF1606" s="26" t="s">
        <v>0</v>
      </c>
      <c r="AG1606" s="47" t="s">
        <v>8208</v>
      </c>
    </row>
    <row r="1607" spans="1:33" ht="6.9" customHeight="1" x14ac:dyDescent="0.4">
      <c r="A1607" s="4">
        <f>ROW()</f>
        <v>1607</v>
      </c>
      <c r="B1607" s="9" t="s">
        <v>27</v>
      </c>
      <c r="C1607" s="55" t="str">
        <f t="shared" si="610"/>
        <v>p.projetar</v>
      </c>
      <c r="D1607" s="6" t="str">
        <f t="shared" si="604"/>
        <v>é.responsável.técnico</v>
      </c>
      <c r="E1607" s="8" t="s">
        <v>28</v>
      </c>
      <c r="F1607" s="42" t="str">
        <f>F1606</f>
        <v>d.projetar</v>
      </c>
      <c r="G1607" s="18" t="s">
        <v>970</v>
      </c>
      <c r="H1607" s="41" t="s">
        <v>2121</v>
      </c>
      <c r="I1607" s="16" t="str">
        <f t="shared" si="61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21"/>
        <v>Propriedade destinada a projetar: é.responsável.técnico</v>
      </c>
      <c r="V1607" s="5" t="str">
        <f t="shared" si="622"/>
        <v>Dado para projetar:  responsável.técnico  Deve ser formatado como (rdfs:Literal  or  xsd:string)</v>
      </c>
      <c r="W1607" s="5" t="s">
        <v>6271</v>
      </c>
      <c r="X1607" s="24" t="str">
        <f t="shared" si="623"/>
        <v>proje.123</v>
      </c>
      <c r="Y1607" s="24" t="str">
        <f t="shared" si="624"/>
        <v>Ação de projetar</v>
      </c>
      <c r="Z1607" s="47" t="s">
        <v>1876</v>
      </c>
      <c r="AA1607" s="25" t="str">
        <f t="shared" si="613"/>
        <v>null</v>
      </c>
      <c r="AB1607" s="26" t="s">
        <v>0</v>
      </c>
      <c r="AC1607" s="25" t="str">
        <f t="shared" si="614"/>
        <v>null</v>
      </c>
      <c r="AD1607" s="26" t="s">
        <v>0</v>
      </c>
      <c r="AE1607" s="25" t="str">
        <f t="shared" si="615"/>
        <v>null</v>
      </c>
      <c r="AF1607" s="26" t="s">
        <v>0</v>
      </c>
      <c r="AG1607" s="47" t="s">
        <v>8209</v>
      </c>
    </row>
    <row r="1608" spans="1:33" ht="6.9" customHeight="1" x14ac:dyDescent="0.4">
      <c r="A1608" s="4">
        <f>ROW()</f>
        <v>1608</v>
      </c>
      <c r="B1608" s="9" t="s">
        <v>27</v>
      </c>
      <c r="C1608" s="55" t="str">
        <f t="shared" si="610"/>
        <v>p.projetar</v>
      </c>
      <c r="D1608" s="6" t="str">
        <f t="shared" si="604"/>
        <v>é.revisor</v>
      </c>
      <c r="E1608" s="8" t="s">
        <v>28</v>
      </c>
      <c r="F1608" s="42" t="str">
        <f>F1607</f>
        <v>d.projetar</v>
      </c>
      <c r="G1608" s="18" t="s">
        <v>184</v>
      </c>
      <c r="H1608" s="41" t="s">
        <v>2121</v>
      </c>
      <c r="I1608" s="16" t="str">
        <f t="shared" si="61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21"/>
        <v>Propriedade destinada a projetar: é.revisor</v>
      </c>
      <c r="V1608" s="5" t="str">
        <f t="shared" si="622"/>
        <v>Dado para projetar:  revisor  Deve ser formatado como (rdfs:Literal  or  xsd:string)</v>
      </c>
      <c r="W1608" s="5" t="s">
        <v>6272</v>
      </c>
      <c r="X1608" s="24" t="str">
        <f t="shared" si="623"/>
        <v>proje.124</v>
      </c>
      <c r="Y1608" s="24" t="str">
        <f t="shared" si="624"/>
        <v>Ação de projetar</v>
      </c>
      <c r="Z1608" s="47" t="s">
        <v>1877</v>
      </c>
      <c r="AA1608" s="25" t="str">
        <f t="shared" si="613"/>
        <v>null</v>
      </c>
      <c r="AB1608" s="26" t="s">
        <v>0</v>
      </c>
      <c r="AC1608" s="25" t="str">
        <f t="shared" si="614"/>
        <v>null</v>
      </c>
      <c r="AD1608" s="26" t="s">
        <v>0</v>
      </c>
      <c r="AE1608" s="25" t="str">
        <f t="shared" si="615"/>
        <v>null</v>
      </c>
      <c r="AF1608" s="26" t="s">
        <v>0</v>
      </c>
      <c r="AG1608" s="47" t="s">
        <v>8198</v>
      </c>
    </row>
    <row r="1609" spans="1:33" ht="6.9" customHeight="1" x14ac:dyDescent="0.4">
      <c r="A1609" s="4">
        <f>ROW()</f>
        <v>1609</v>
      </c>
      <c r="B1609" s="9" t="s">
        <v>27</v>
      </c>
      <c r="C1609" s="54" t="str">
        <f t="shared" si="605"/>
        <v>p.proteger</v>
      </c>
      <c r="D1609" s="6" t="str">
        <f t="shared" si="604"/>
        <v>é.guardacorpo</v>
      </c>
      <c r="E1609" s="8" t="s">
        <v>28</v>
      </c>
      <c r="F1609" s="50" t="s">
        <v>3622</v>
      </c>
      <c r="G1609" s="17" t="s">
        <v>4448</v>
      </c>
      <c r="H1609" s="41" t="s">
        <v>2121</v>
      </c>
      <c r="I1609" s="16" t="str">
        <f t="shared" si="606"/>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621"/>
        <v>Propriedade destinada a proteger: é.guardacorpo</v>
      </c>
      <c r="V1609" s="5" t="str">
        <f t="shared" si="622"/>
        <v>Dado para proteger:  guardacorpo  Deve ser formatado como (rdfs:Literal  or  xsd:string)</v>
      </c>
      <c r="W1609" s="5" t="s">
        <v>6273</v>
      </c>
      <c r="X1609" s="24" t="str">
        <f t="shared" si="623"/>
        <v>prote.100</v>
      </c>
      <c r="Y1609" s="24" t="str">
        <f t="shared" si="624"/>
        <v>Ação de proteger</v>
      </c>
      <c r="Z1609" s="47" t="s">
        <v>3981</v>
      </c>
      <c r="AA1609" s="25" t="str">
        <f t="shared" si="602"/>
        <v>categoria.revit</v>
      </c>
      <c r="AB1609" s="26" t="s">
        <v>3525</v>
      </c>
      <c r="AC1609" s="25" t="str">
        <f t="shared" si="603"/>
        <v>classe.ifc</v>
      </c>
      <c r="AD1609" s="26" t="s">
        <v>3477</v>
      </c>
      <c r="AE1609" s="25" t="str">
        <f t="shared" si="601"/>
        <v>null</v>
      </c>
      <c r="AF1609" s="26" t="s">
        <v>0</v>
      </c>
      <c r="AG1609" s="47" t="s">
        <v>4041</v>
      </c>
    </row>
    <row r="1610" spans="1:33" ht="6.9" customHeight="1" x14ac:dyDescent="0.4">
      <c r="A1610" s="4">
        <f>ROW()</f>
        <v>1610</v>
      </c>
      <c r="B1610" s="9" t="s">
        <v>27</v>
      </c>
      <c r="C1610" s="55" t="str">
        <f t="shared" si="605"/>
        <v>p.proteger</v>
      </c>
      <c r="D1610" s="6" t="str">
        <f t="shared" si="604"/>
        <v>é.guardacorpo.de.escada</v>
      </c>
      <c r="E1610" s="8" t="s">
        <v>28</v>
      </c>
      <c r="F1610" s="42" t="str">
        <f>F1609</f>
        <v>d.proteger</v>
      </c>
      <c r="G1610" s="17" t="s">
        <v>971</v>
      </c>
      <c r="H1610" s="41" t="s">
        <v>2121</v>
      </c>
      <c r="I1610" s="16" t="str">
        <f t="shared" si="606"/>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621"/>
        <v>Propriedade destinada a proteger: é.guardacorpo.de.escada</v>
      </c>
      <c r="V1610" s="5" t="str">
        <f t="shared" si="622"/>
        <v>Dado para proteger:  guardacorpo.de.escada  Deve ser formatado como (rdfs:Literal  or  xsd:string)</v>
      </c>
      <c r="W1610" s="5" t="s">
        <v>6274</v>
      </c>
      <c r="X1610" s="24" t="str">
        <f t="shared" si="623"/>
        <v>prote.101</v>
      </c>
      <c r="Y1610" s="24" t="str">
        <f t="shared" si="624"/>
        <v>Ação de proteger</v>
      </c>
      <c r="Z1610" s="47" t="s">
        <v>1878</v>
      </c>
      <c r="AA1610" s="25" t="str">
        <f t="shared" si="602"/>
        <v>categoria.revit</v>
      </c>
      <c r="AB1610" s="26" t="s">
        <v>3525</v>
      </c>
      <c r="AC1610" s="25" t="str">
        <f t="shared" si="603"/>
        <v>classe.ifc</v>
      </c>
      <c r="AD1610" s="26" t="s">
        <v>3477</v>
      </c>
      <c r="AE1610" s="25" t="str">
        <f t="shared" ref="AE1610:AE1673" si="625">IF(AF1610="null", "null", "propriedade")</f>
        <v>null</v>
      </c>
      <c r="AF1610" s="26" t="s">
        <v>0</v>
      </c>
      <c r="AG1610" s="47" t="s">
        <v>3168</v>
      </c>
    </row>
    <row r="1611" spans="1:33" ht="6.9" customHeight="1" x14ac:dyDescent="0.4">
      <c r="A1611" s="4">
        <f>ROW()</f>
        <v>1611</v>
      </c>
      <c r="B1611" s="9" t="s">
        <v>27</v>
      </c>
      <c r="C1611" s="55" t="str">
        <f t="shared" si="605"/>
        <v>p.proteger</v>
      </c>
      <c r="D1611" s="6" t="str">
        <f t="shared" si="604"/>
        <v>é.guardacorpo.de.rampa</v>
      </c>
      <c r="E1611" s="8" t="s">
        <v>28</v>
      </c>
      <c r="F1611" s="42" t="str">
        <f>F1610</f>
        <v>d.proteger</v>
      </c>
      <c r="G1611" s="17" t="s">
        <v>972</v>
      </c>
      <c r="H1611" s="41" t="s">
        <v>2121</v>
      </c>
      <c r="I1611" s="16" t="str">
        <f t="shared" si="606"/>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621"/>
        <v>Propriedade destinada a proteger: é.guardacorpo.de.rampa</v>
      </c>
      <c r="V1611" s="5" t="str">
        <f t="shared" si="622"/>
        <v>Dado para proteger:  guardacorpo.de.rampa  Deve ser formatado como (rdfs:Literal  or  xsd:string)</v>
      </c>
      <c r="W1611" s="5" t="s">
        <v>6275</v>
      </c>
      <c r="X1611" s="24" t="str">
        <f t="shared" si="623"/>
        <v>prote.102</v>
      </c>
      <c r="Y1611" s="24" t="str">
        <f t="shared" si="624"/>
        <v>Ação de proteger</v>
      </c>
      <c r="Z1611" s="47" t="s">
        <v>1879</v>
      </c>
      <c r="AA1611" s="25" t="str">
        <f t="shared" si="602"/>
        <v>categoria.revit</v>
      </c>
      <c r="AB1611" s="26" t="s">
        <v>3525</v>
      </c>
      <c r="AC1611" s="25" t="str">
        <f t="shared" si="603"/>
        <v>classe.ifc</v>
      </c>
      <c r="AD1611" s="26" t="s">
        <v>3477</v>
      </c>
      <c r="AE1611" s="25" t="str">
        <f t="shared" si="625"/>
        <v>null</v>
      </c>
      <c r="AF1611" s="26" t="s">
        <v>0</v>
      </c>
      <c r="AG1611" s="47" t="s">
        <v>3169</v>
      </c>
    </row>
    <row r="1612" spans="1:33" ht="6.9" customHeight="1" x14ac:dyDescent="0.4">
      <c r="A1612" s="4">
        <f>ROW()</f>
        <v>1612</v>
      </c>
      <c r="B1612" s="9" t="s">
        <v>27</v>
      </c>
      <c r="C1612" s="55" t="str">
        <f t="shared" si="605"/>
        <v>p.proteger</v>
      </c>
      <c r="D1612" s="6" t="str">
        <f t="shared" si="604"/>
        <v>é.guardacorpo.de.vazio</v>
      </c>
      <c r="E1612" s="8" t="s">
        <v>28</v>
      </c>
      <c r="F1612" s="42" t="str">
        <f>F1611</f>
        <v>d.proteger</v>
      </c>
      <c r="G1612" s="17" t="s">
        <v>973</v>
      </c>
      <c r="H1612" s="41" t="s">
        <v>2121</v>
      </c>
      <c r="I1612" s="16" t="str">
        <f t="shared" si="606"/>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621"/>
        <v>Propriedade destinada a proteger: é.guardacorpo.de.vazio</v>
      </c>
      <c r="V1612" s="5" t="str">
        <f t="shared" si="622"/>
        <v>Dado para proteger:  guardacorpo.de.vazio  Deve ser formatado como (rdfs:Literal  or  xsd:string)</v>
      </c>
      <c r="W1612" s="5" t="s">
        <v>6276</v>
      </c>
      <c r="X1612" s="24" t="str">
        <f t="shared" si="623"/>
        <v>prote.103</v>
      </c>
      <c r="Y1612" s="24" t="str">
        <f t="shared" si="624"/>
        <v>Ação de proteger</v>
      </c>
      <c r="Z1612" s="47" t="s">
        <v>1880</v>
      </c>
      <c r="AA1612" s="25" t="str">
        <f t="shared" si="602"/>
        <v>categoria.revit</v>
      </c>
      <c r="AB1612" s="26" t="s">
        <v>3525</v>
      </c>
      <c r="AC1612" s="25" t="str">
        <f t="shared" si="603"/>
        <v>classe.ifc</v>
      </c>
      <c r="AD1612" s="26" t="s">
        <v>3477</v>
      </c>
      <c r="AE1612" s="25" t="str">
        <f t="shared" si="625"/>
        <v>null</v>
      </c>
      <c r="AF1612" s="26" t="s">
        <v>0</v>
      </c>
      <c r="AG1612" s="47" t="s">
        <v>3170</v>
      </c>
    </row>
    <row r="1613" spans="1:33" ht="6.9" customHeight="1" x14ac:dyDescent="0.4">
      <c r="A1613" s="4">
        <f>ROW()</f>
        <v>1613</v>
      </c>
      <c r="B1613" s="9" t="s">
        <v>27</v>
      </c>
      <c r="C1613" s="55" t="str">
        <f t="shared" si="605"/>
        <v>p.proteger</v>
      </c>
      <c r="D1613" s="6" t="str">
        <f t="shared" si="604"/>
        <v>é.disjuntor</v>
      </c>
      <c r="E1613" s="8" t="s">
        <v>28</v>
      </c>
      <c r="F1613" s="42" t="str">
        <f>F1612</f>
        <v>d.proteger</v>
      </c>
      <c r="G1613" s="17" t="s">
        <v>275</v>
      </c>
      <c r="H1613" s="41" t="s">
        <v>2121</v>
      </c>
      <c r="I1613" s="16" t="str">
        <f t="shared" si="606"/>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621"/>
        <v>Propriedade destinada a proteger: é.disjuntor</v>
      </c>
      <c r="V1613" s="5" t="str">
        <f t="shared" si="622"/>
        <v>Dado para proteger:  disjuntor  Deve ser formatado como (rdfs:Literal  or  xsd:string)</v>
      </c>
      <c r="W1613" s="5" t="s">
        <v>6277</v>
      </c>
      <c r="X1613" s="24" t="str">
        <f t="shared" si="623"/>
        <v>prote.104</v>
      </c>
      <c r="Y1613" s="24" t="str">
        <f t="shared" si="624"/>
        <v>Ação de proteger</v>
      </c>
      <c r="Z1613" s="47" t="s">
        <v>1881</v>
      </c>
      <c r="AA1613" s="25" t="str">
        <f t="shared" si="602"/>
        <v>categoria.revit</v>
      </c>
      <c r="AB1613" s="26" t="s">
        <v>3526</v>
      </c>
      <c r="AC1613" s="25" t="str">
        <f t="shared" si="603"/>
        <v>classe.ifc</v>
      </c>
      <c r="AD1613" s="26" t="s">
        <v>3460</v>
      </c>
      <c r="AE1613" s="25" t="str">
        <f t="shared" si="625"/>
        <v>null</v>
      </c>
      <c r="AF1613" s="26" t="s">
        <v>0</v>
      </c>
      <c r="AG1613" s="47" t="s">
        <v>3171</v>
      </c>
    </row>
    <row r="1614" spans="1:33" ht="6.9" customHeight="1" x14ac:dyDescent="0.4">
      <c r="A1614" s="4">
        <f>ROW()</f>
        <v>1614</v>
      </c>
      <c r="B1614" s="9" t="s">
        <v>27</v>
      </c>
      <c r="C1614" s="55" t="str">
        <f t="shared" si="605"/>
        <v>p.proteger</v>
      </c>
      <c r="D1614" s="6" t="str">
        <f t="shared" si="604"/>
        <v>é.aterramento</v>
      </c>
      <c r="E1614" s="8" t="s">
        <v>28</v>
      </c>
      <c r="F1614" s="42" t="str">
        <f>F1613</f>
        <v>d.proteger</v>
      </c>
      <c r="G1614" s="17" t="s">
        <v>274</v>
      </c>
      <c r="H1614" s="41" t="s">
        <v>2121</v>
      </c>
      <c r="I1614" s="16" t="str">
        <f t="shared" si="606"/>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621"/>
        <v>Propriedade destinada a proteger: é.aterramento</v>
      </c>
      <c r="V1614" s="5" t="str">
        <f t="shared" si="622"/>
        <v>Dado para proteger:  aterramento  Deve ser formatado como (rdfs:Literal  or  xsd:string)</v>
      </c>
      <c r="W1614" s="5" t="s">
        <v>6278</v>
      </c>
      <c r="X1614" s="24" t="str">
        <f t="shared" si="623"/>
        <v>prote.105</v>
      </c>
      <c r="Y1614" s="24" t="str">
        <f t="shared" si="624"/>
        <v>Ação de proteger</v>
      </c>
      <c r="Z1614" s="47" t="s">
        <v>1882</v>
      </c>
      <c r="AA1614" s="25" t="str">
        <f t="shared" si="602"/>
        <v>categoria.revit</v>
      </c>
      <c r="AB1614" s="26" t="s">
        <v>3526</v>
      </c>
      <c r="AC1614" s="25" t="str">
        <f t="shared" si="603"/>
        <v>classe.ifc</v>
      </c>
      <c r="AD1614" s="26" t="s">
        <v>3460</v>
      </c>
      <c r="AE1614" s="25" t="str">
        <f t="shared" si="625"/>
        <v>null</v>
      </c>
      <c r="AF1614" s="26" t="s">
        <v>0</v>
      </c>
      <c r="AG1614" s="47" t="s">
        <v>3172</v>
      </c>
    </row>
    <row r="1615" spans="1:33" ht="6.9" customHeight="1" x14ac:dyDescent="0.4">
      <c r="A1615" s="4">
        <f>ROW()</f>
        <v>1615</v>
      </c>
      <c r="B1615" s="9" t="s">
        <v>27</v>
      </c>
      <c r="C1615" s="54" t="str">
        <f t="shared" si="605"/>
        <v>p.qualificar</v>
      </c>
      <c r="D1615" s="6" t="str">
        <f t="shared" ref="D1615:D1678" si="626">_xlfn.CONCAT("é.",G1615)</f>
        <v>é.aberto</v>
      </c>
      <c r="E1615" s="8" t="s">
        <v>28</v>
      </c>
      <c r="F1615" s="50" t="s">
        <v>3623</v>
      </c>
      <c r="G1615" s="18" t="s">
        <v>234</v>
      </c>
      <c r="H1615" s="41" t="s">
        <v>37</v>
      </c>
      <c r="I1615" s="16" t="str">
        <f t="shared" si="606"/>
        <v>null</v>
      </c>
      <c r="J1615" s="13" t="s">
        <v>0</v>
      </c>
      <c r="K1615" s="13" t="s">
        <v>0</v>
      </c>
      <c r="L1615" s="13" t="s">
        <v>0</v>
      </c>
      <c r="M1615" s="13" t="s">
        <v>0</v>
      </c>
      <c r="N1615" s="15" t="s">
        <v>0</v>
      </c>
      <c r="O1615" s="13" t="s">
        <v>0</v>
      </c>
      <c r="P1615" s="13" t="s">
        <v>0</v>
      </c>
      <c r="Q1615" s="13" t="s">
        <v>974</v>
      </c>
      <c r="R1615" s="15" t="s">
        <v>0</v>
      </c>
      <c r="S1615" s="10" t="s">
        <v>1</v>
      </c>
      <c r="T1615" s="10" t="s">
        <v>32</v>
      </c>
      <c r="U1615" s="5" t="str">
        <f t="shared" si="621"/>
        <v>Propriedade destinada a qualificar: é.aberto</v>
      </c>
      <c r="V1615" s="5" t="str">
        <f t="shared" si="622"/>
        <v>Dado para qualificar:  aberto  Deve ser formatado como (xsd:boolean)</v>
      </c>
      <c r="W1615" s="5" t="s">
        <v>6279</v>
      </c>
      <c r="X1615" s="24" t="str">
        <f t="shared" si="623"/>
        <v>quali.100</v>
      </c>
      <c r="Y1615" s="24" t="str">
        <f t="shared" si="624"/>
        <v>Ação de qualificar</v>
      </c>
      <c r="Z1615" s="47" t="s">
        <v>7628</v>
      </c>
      <c r="AA1615" s="25" t="str">
        <f t="shared" si="602"/>
        <v>null</v>
      </c>
      <c r="AB1615" s="26" t="s">
        <v>0</v>
      </c>
      <c r="AC1615" s="25" t="str">
        <f t="shared" si="603"/>
        <v>null</v>
      </c>
      <c r="AD1615" s="26" t="s">
        <v>0</v>
      </c>
      <c r="AE1615" s="25" t="str">
        <f t="shared" si="625"/>
        <v>null</v>
      </c>
      <c r="AF1615" s="26" t="s">
        <v>0</v>
      </c>
      <c r="AG1615" s="47" t="s">
        <v>3173</v>
      </c>
    </row>
    <row r="1616" spans="1:33" ht="6.9" customHeight="1" x14ac:dyDescent="0.4">
      <c r="A1616" s="4">
        <f>ROW()</f>
        <v>1616</v>
      </c>
      <c r="B1616" s="9" t="s">
        <v>27</v>
      </c>
      <c r="C1616" s="55" t="str">
        <f t="shared" si="605"/>
        <v>p.qualificar</v>
      </c>
      <c r="D1616" s="6" t="str">
        <f t="shared" si="626"/>
        <v>é.articulado</v>
      </c>
      <c r="E1616" s="8" t="s">
        <v>28</v>
      </c>
      <c r="F1616" s="42" t="str">
        <f>F1615</f>
        <v>d.qualificar</v>
      </c>
      <c r="G1616" s="17" t="s">
        <v>377</v>
      </c>
      <c r="H1616" s="42" t="s">
        <v>37</v>
      </c>
      <c r="I1616" s="16" t="str">
        <f t="shared" si="606"/>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621"/>
        <v>Propriedade destinada a qualificar: é.articulado</v>
      </c>
      <c r="V1616" s="5" t="str">
        <f t="shared" si="622"/>
        <v>Dado para qualificar:  articulado  Deve ser formatado como (xsd:boolean)</v>
      </c>
      <c r="W1616" s="5" t="s">
        <v>6280</v>
      </c>
      <c r="X1616" s="24" t="str">
        <f t="shared" si="623"/>
        <v>quali.101</v>
      </c>
      <c r="Y1616" s="24" t="str">
        <f t="shared" si="624"/>
        <v>Ação de qualificar</v>
      </c>
      <c r="Z1616" s="47" t="s">
        <v>7629</v>
      </c>
      <c r="AA1616" s="25" t="str">
        <f t="shared" si="602"/>
        <v>null</v>
      </c>
      <c r="AB1616" s="26" t="s">
        <v>0</v>
      </c>
      <c r="AC1616" s="25" t="str">
        <f t="shared" si="603"/>
        <v>null</v>
      </c>
      <c r="AD1616" s="26" t="s">
        <v>0</v>
      </c>
      <c r="AE1616" s="25" t="str">
        <f t="shared" si="625"/>
        <v>null</v>
      </c>
      <c r="AF1616" s="26" t="s">
        <v>0</v>
      </c>
      <c r="AG1616" s="47" t="s">
        <v>4640</v>
      </c>
    </row>
    <row r="1617" spans="1:33" ht="6.9" customHeight="1" x14ac:dyDescent="0.4">
      <c r="A1617" s="4">
        <f>ROW()</f>
        <v>1617</v>
      </c>
      <c r="B1617" s="9" t="s">
        <v>27</v>
      </c>
      <c r="C1617" s="55" t="str">
        <f t="shared" si="605"/>
        <v>p.qualificar</v>
      </c>
      <c r="D1617" s="6" t="str">
        <f t="shared" si="626"/>
        <v>é.articulador</v>
      </c>
      <c r="E1617" s="8" t="s">
        <v>28</v>
      </c>
      <c r="F1617" s="42" t="str">
        <f>F1616</f>
        <v>d.qualificar</v>
      </c>
      <c r="G1617" s="17" t="s">
        <v>378</v>
      </c>
      <c r="H1617" s="42" t="s">
        <v>37</v>
      </c>
      <c r="I1617" s="16" t="str">
        <f t="shared" si="606"/>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621"/>
        <v>Propriedade destinada a qualificar: é.articulador</v>
      </c>
      <c r="V1617" s="5" t="str">
        <f t="shared" si="622"/>
        <v>Dado para qualificar:  articulador  Deve ser formatado como (xsd:boolean)</v>
      </c>
      <c r="W1617" s="5" t="s">
        <v>6281</v>
      </c>
      <c r="X1617" s="24" t="str">
        <f t="shared" si="623"/>
        <v>quali.102</v>
      </c>
      <c r="Y1617" s="24" t="str">
        <f t="shared" si="624"/>
        <v>Ação de qualificar</v>
      </c>
      <c r="Z1617" s="47" t="s">
        <v>7630</v>
      </c>
      <c r="AA1617" s="25" t="str">
        <f t="shared" si="602"/>
        <v>null</v>
      </c>
      <c r="AB1617" s="26" t="s">
        <v>0</v>
      </c>
      <c r="AC1617" s="25" t="str">
        <f t="shared" si="603"/>
        <v>null</v>
      </c>
      <c r="AD1617" s="26" t="s">
        <v>0</v>
      </c>
      <c r="AE1617" s="25" t="str">
        <f t="shared" si="625"/>
        <v>null</v>
      </c>
      <c r="AF1617" s="26" t="s">
        <v>0</v>
      </c>
      <c r="AG1617" s="47" t="s">
        <v>4639</v>
      </c>
    </row>
    <row r="1618" spans="1:33" ht="6.9" customHeight="1" x14ac:dyDescent="0.4">
      <c r="A1618" s="4">
        <f>ROW()</f>
        <v>1618</v>
      </c>
      <c r="B1618" s="9" t="s">
        <v>27</v>
      </c>
      <c r="C1618" s="55" t="str">
        <f t="shared" si="605"/>
        <v>p.qualificar</v>
      </c>
      <c r="D1618" s="6" t="str">
        <f t="shared" si="626"/>
        <v>é.artificial</v>
      </c>
      <c r="E1618" s="8" t="s">
        <v>28</v>
      </c>
      <c r="F1618" s="42" t="str">
        <f>F1617</f>
        <v>d.qualificar</v>
      </c>
      <c r="G1618" s="17" t="s">
        <v>371</v>
      </c>
      <c r="H1618" s="42" t="s">
        <v>37</v>
      </c>
      <c r="I1618" s="16" t="str">
        <f t="shared" si="606"/>
        <v>null</v>
      </c>
      <c r="J1618" s="15" t="s">
        <v>0</v>
      </c>
      <c r="K1618" s="15" t="s">
        <v>0</v>
      </c>
      <c r="L1618" s="15" t="s">
        <v>0</v>
      </c>
      <c r="M1618" s="15" t="s">
        <v>0</v>
      </c>
      <c r="N1618" s="15" t="s">
        <v>0</v>
      </c>
      <c r="O1618" s="15" t="s">
        <v>0</v>
      </c>
      <c r="P1618" s="15" t="s">
        <v>0</v>
      </c>
      <c r="Q1618" s="15" t="s">
        <v>975</v>
      </c>
      <c r="R1618" s="15" t="s">
        <v>0</v>
      </c>
      <c r="S1618" s="10" t="s">
        <v>1</v>
      </c>
      <c r="T1618" s="10" t="s">
        <v>32</v>
      </c>
      <c r="U1618" s="5" t="str">
        <f t="shared" si="621"/>
        <v>Propriedade destinada a qualificar: é.artificial</v>
      </c>
      <c r="V1618" s="5" t="str">
        <f t="shared" si="622"/>
        <v>Dado para qualificar:  artificial  Deve ser formatado como (xsd:boolean)</v>
      </c>
      <c r="W1618" s="5" t="s">
        <v>6282</v>
      </c>
      <c r="X1618" s="24" t="str">
        <f t="shared" si="623"/>
        <v>quali.103</v>
      </c>
      <c r="Y1618" s="24" t="str">
        <f t="shared" si="624"/>
        <v>Ação de qualificar</v>
      </c>
      <c r="Z1618" s="47" t="s">
        <v>7631</v>
      </c>
      <c r="AA1618" s="25" t="str">
        <f t="shared" si="602"/>
        <v>null</v>
      </c>
      <c r="AB1618" s="26" t="s">
        <v>0</v>
      </c>
      <c r="AC1618" s="25" t="str">
        <f t="shared" si="603"/>
        <v>null</v>
      </c>
      <c r="AD1618" s="26" t="s">
        <v>0</v>
      </c>
      <c r="AE1618" s="25" t="str">
        <f t="shared" si="625"/>
        <v>null</v>
      </c>
      <c r="AF1618" s="26" t="s">
        <v>0</v>
      </c>
      <c r="AG1618" s="47" t="s">
        <v>4638</v>
      </c>
    </row>
    <row r="1619" spans="1:33" ht="6.9" customHeight="1" x14ac:dyDescent="0.4">
      <c r="A1619" s="4">
        <f>ROW()</f>
        <v>1619</v>
      </c>
      <c r="B1619" s="9" t="s">
        <v>27</v>
      </c>
      <c r="C1619" s="55" t="str">
        <f t="shared" si="605"/>
        <v>p.qualificar</v>
      </c>
      <c r="D1619" s="6" t="str">
        <f t="shared" si="626"/>
        <v>é.atual</v>
      </c>
      <c r="E1619" s="8" t="s">
        <v>28</v>
      </c>
      <c r="F1619" s="42" t="str">
        <f>F1618</f>
        <v>d.qualificar</v>
      </c>
      <c r="G1619" s="17" t="s">
        <v>346</v>
      </c>
      <c r="H1619" s="42" t="s">
        <v>37</v>
      </c>
      <c r="I1619" s="16" t="str">
        <f t="shared" si="606"/>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621"/>
        <v>Propriedade destinada a qualificar: é.atual</v>
      </c>
      <c r="V1619" s="5" t="str">
        <f t="shared" si="622"/>
        <v>Dado para qualificar:  atual  Deve ser formatado como (xsd:boolean)</v>
      </c>
      <c r="W1619" s="5" t="s">
        <v>6283</v>
      </c>
      <c r="X1619" s="24" t="str">
        <f t="shared" si="623"/>
        <v>quali.104</v>
      </c>
      <c r="Y1619" s="24" t="str">
        <f t="shared" si="624"/>
        <v>Ação de qualificar</v>
      </c>
      <c r="Z1619" s="47" t="s">
        <v>7632</v>
      </c>
      <c r="AA1619" s="25" t="str">
        <f t="shared" si="602"/>
        <v>null</v>
      </c>
      <c r="AB1619" s="26" t="s">
        <v>0</v>
      </c>
      <c r="AC1619" s="25" t="str">
        <f t="shared" si="603"/>
        <v>null</v>
      </c>
      <c r="AD1619" s="26" t="s">
        <v>0</v>
      </c>
      <c r="AE1619" s="25" t="str">
        <f t="shared" si="625"/>
        <v>null</v>
      </c>
      <c r="AF1619" s="26" t="s">
        <v>0</v>
      </c>
      <c r="AG1619" s="47" t="s">
        <v>3174</v>
      </c>
    </row>
    <row r="1620" spans="1:33" ht="6.9" customHeight="1" x14ac:dyDescent="0.4">
      <c r="A1620" s="4">
        <f>ROW()</f>
        <v>1620</v>
      </c>
      <c r="B1620" s="9" t="s">
        <v>27</v>
      </c>
      <c r="C1620" s="55" t="str">
        <f t="shared" si="605"/>
        <v>p.qualificar</v>
      </c>
      <c r="D1620" s="6" t="str">
        <f t="shared" si="626"/>
        <v>é.atualizado</v>
      </c>
      <c r="E1620" s="8" t="s">
        <v>28</v>
      </c>
      <c r="F1620" s="42" t="str">
        <f>F1619</f>
        <v>d.qualificar</v>
      </c>
      <c r="G1620" s="17" t="s">
        <v>349</v>
      </c>
      <c r="H1620" s="42" t="s">
        <v>37</v>
      </c>
      <c r="I1620" s="16" t="str">
        <f t="shared" si="606"/>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621"/>
        <v>Propriedade destinada a qualificar: é.atualizado</v>
      </c>
      <c r="V1620" s="5" t="str">
        <f t="shared" si="622"/>
        <v>Dado para qualificar:  atualizado  Deve ser formatado como (xsd:boolean)</v>
      </c>
      <c r="W1620" s="5" t="s">
        <v>6284</v>
      </c>
      <c r="X1620" s="24" t="str">
        <f t="shared" si="623"/>
        <v>quali.105</v>
      </c>
      <c r="Y1620" s="24" t="str">
        <f t="shared" si="624"/>
        <v>Ação de qualificar</v>
      </c>
      <c r="Z1620" s="47" t="s">
        <v>7633</v>
      </c>
      <c r="AA1620" s="25" t="str">
        <f t="shared" ref="AA1620:AA1685" si="627">IF(AB1620="null", "null", "categoria.revit")</f>
        <v>null</v>
      </c>
      <c r="AB1620" s="26" t="s">
        <v>0</v>
      </c>
      <c r="AC1620" s="25" t="str">
        <f t="shared" ref="AC1620:AC1685" si="628">IF(AD1620="null", "null", "classe.ifc")</f>
        <v>null</v>
      </c>
      <c r="AD1620" s="26" t="s">
        <v>0</v>
      </c>
      <c r="AE1620" s="25" t="str">
        <f t="shared" si="625"/>
        <v>null</v>
      </c>
      <c r="AF1620" s="26" t="s">
        <v>0</v>
      </c>
      <c r="AG1620" s="47" t="s">
        <v>3175</v>
      </c>
    </row>
    <row r="1621" spans="1:33" ht="6.9" customHeight="1" x14ac:dyDescent="0.4">
      <c r="A1621" s="4">
        <f>ROW()</f>
        <v>1621</v>
      </c>
      <c r="B1621" s="9" t="s">
        <v>27</v>
      </c>
      <c r="C1621" s="55" t="str">
        <f t="shared" si="605"/>
        <v>p.qualificar</v>
      </c>
      <c r="D1621" s="6" t="str">
        <f t="shared" si="626"/>
        <v>é.automático</v>
      </c>
      <c r="E1621" s="8" t="s">
        <v>28</v>
      </c>
      <c r="F1621" s="42" t="str">
        <f>F1619</f>
        <v>d.qualificar</v>
      </c>
      <c r="G1621" s="17" t="s">
        <v>402</v>
      </c>
      <c r="H1621" s="42" t="s">
        <v>37</v>
      </c>
      <c r="I1621" s="16" t="str">
        <f t="shared" si="606"/>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621"/>
        <v>Propriedade destinada a qualificar: é.automático</v>
      </c>
      <c r="V1621" s="5" t="str">
        <f t="shared" si="622"/>
        <v>Dado para qualificar:  automático  Deve ser formatado como (xsd:boolean)</v>
      </c>
      <c r="W1621" s="5" t="s">
        <v>6285</v>
      </c>
      <c r="X1621" s="24" t="str">
        <f t="shared" si="623"/>
        <v>quali.106</v>
      </c>
      <c r="Y1621" s="24" t="str">
        <f t="shared" si="624"/>
        <v>Ação de qualificar</v>
      </c>
      <c r="Z1621" s="47" t="s">
        <v>7634</v>
      </c>
      <c r="AA1621" s="25" t="str">
        <f t="shared" si="627"/>
        <v>null</v>
      </c>
      <c r="AB1621" s="26" t="s">
        <v>0</v>
      </c>
      <c r="AC1621" s="25" t="str">
        <f t="shared" si="628"/>
        <v>null</v>
      </c>
      <c r="AD1621" s="26" t="s">
        <v>0</v>
      </c>
      <c r="AE1621" s="25" t="str">
        <f t="shared" si="625"/>
        <v>null</v>
      </c>
      <c r="AF1621" s="26" t="s">
        <v>0</v>
      </c>
      <c r="AG1621" s="47" t="s">
        <v>4637</v>
      </c>
    </row>
    <row r="1622" spans="1:33" ht="6.9" customHeight="1" x14ac:dyDescent="0.4">
      <c r="A1622" s="4">
        <f>ROW()</f>
        <v>1622</v>
      </c>
      <c r="B1622" s="9" t="s">
        <v>27</v>
      </c>
      <c r="C1622" s="55" t="str">
        <f t="shared" si="605"/>
        <v>p.qualificar</v>
      </c>
      <c r="D1622" s="6" t="str">
        <f t="shared" si="626"/>
        <v>é.automatizado</v>
      </c>
      <c r="E1622" s="8" t="s">
        <v>28</v>
      </c>
      <c r="F1622" s="42" t="str">
        <f>F1620</f>
        <v>d.qualificar</v>
      </c>
      <c r="G1622" s="17" t="s">
        <v>379</v>
      </c>
      <c r="H1622" s="42" t="s">
        <v>37</v>
      </c>
      <c r="I1622" s="16" t="str">
        <f t="shared" si="606"/>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621"/>
        <v>Propriedade destinada a qualificar: é.automatizado</v>
      </c>
      <c r="V1622" s="5" t="str">
        <f t="shared" si="622"/>
        <v>Dado para qualificar:  automatizado  Deve ser formatado como (xsd:boolean)</v>
      </c>
      <c r="W1622" s="5" t="s">
        <v>6286</v>
      </c>
      <c r="X1622" s="24" t="str">
        <f t="shared" si="623"/>
        <v>quali.107</v>
      </c>
      <c r="Y1622" s="24" t="str">
        <f t="shared" si="624"/>
        <v>Ação de qualificar</v>
      </c>
      <c r="Z1622" s="47" t="s">
        <v>7635</v>
      </c>
      <c r="AA1622" s="25" t="str">
        <f t="shared" si="627"/>
        <v>null</v>
      </c>
      <c r="AB1622" s="26" t="s">
        <v>0</v>
      </c>
      <c r="AC1622" s="25" t="str">
        <f t="shared" si="628"/>
        <v>null</v>
      </c>
      <c r="AD1622" s="26" t="s">
        <v>0</v>
      </c>
      <c r="AE1622" s="25" t="str">
        <f t="shared" si="625"/>
        <v>null</v>
      </c>
      <c r="AF1622" s="26" t="s">
        <v>0</v>
      </c>
      <c r="AG1622" s="47" t="s">
        <v>3176</v>
      </c>
    </row>
    <row r="1623" spans="1:33" ht="6.9" customHeight="1" x14ac:dyDescent="0.4">
      <c r="A1623" s="4">
        <f>ROW()</f>
        <v>1623</v>
      </c>
      <c r="B1623" s="9" t="s">
        <v>27</v>
      </c>
      <c r="C1623" s="55" t="str">
        <f t="shared" si="605"/>
        <v>p.qualificar</v>
      </c>
      <c r="D1623" s="6" t="str">
        <f t="shared" si="626"/>
        <v>é.blindado</v>
      </c>
      <c r="E1623" s="8" t="s">
        <v>28</v>
      </c>
      <c r="F1623" s="42" t="str">
        <f t="shared" ref="F1623:F1673" si="629">F1622</f>
        <v>d.qualificar</v>
      </c>
      <c r="G1623" s="17" t="s">
        <v>366</v>
      </c>
      <c r="H1623" s="42" t="s">
        <v>37</v>
      </c>
      <c r="I1623" s="16" t="str">
        <f t="shared" si="606"/>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621"/>
        <v>Propriedade destinada a qualificar: é.blindado</v>
      </c>
      <c r="V1623" s="5" t="str">
        <f t="shared" si="622"/>
        <v>Dado para qualificar:  blindado  Deve ser formatado como (xsd:boolean)</v>
      </c>
      <c r="W1623" s="5" t="s">
        <v>6287</v>
      </c>
      <c r="X1623" s="24" t="str">
        <f t="shared" si="623"/>
        <v>quali.108</v>
      </c>
      <c r="Y1623" s="24" t="str">
        <f t="shared" si="624"/>
        <v>Ação de qualificar</v>
      </c>
      <c r="Z1623" s="47" t="s">
        <v>7636</v>
      </c>
      <c r="AA1623" s="25" t="str">
        <f t="shared" si="627"/>
        <v>null</v>
      </c>
      <c r="AB1623" s="26" t="s">
        <v>0</v>
      </c>
      <c r="AC1623" s="25" t="str">
        <f t="shared" si="628"/>
        <v>null</v>
      </c>
      <c r="AD1623" s="26" t="s">
        <v>0</v>
      </c>
      <c r="AE1623" s="25" t="str">
        <f t="shared" si="625"/>
        <v>null</v>
      </c>
      <c r="AF1623" s="26" t="s">
        <v>0</v>
      </c>
      <c r="AG1623" s="47" t="s">
        <v>3177</v>
      </c>
    </row>
    <row r="1624" spans="1:33" ht="6.9" customHeight="1" x14ac:dyDescent="0.4">
      <c r="A1624" s="4">
        <f>ROW()</f>
        <v>1624</v>
      </c>
      <c r="B1624" s="9" t="s">
        <v>27</v>
      </c>
      <c r="C1624" s="55" t="str">
        <f t="shared" si="605"/>
        <v>p.qualificar</v>
      </c>
      <c r="D1624" s="6" t="str">
        <f t="shared" si="626"/>
        <v>é.bruto</v>
      </c>
      <c r="E1624" s="8" t="s">
        <v>28</v>
      </c>
      <c r="F1624" s="42" t="str">
        <f t="shared" si="629"/>
        <v>d.qualificar</v>
      </c>
      <c r="G1624" s="17" t="s">
        <v>339</v>
      </c>
      <c r="H1624" s="42" t="s">
        <v>37</v>
      </c>
      <c r="I1624" s="16" t="str">
        <f t="shared" si="606"/>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621"/>
        <v>Propriedade destinada a qualificar: é.bruto</v>
      </c>
      <c r="V1624" s="5" t="str">
        <f t="shared" si="622"/>
        <v>Dado para qualificar:  bruto  Deve ser formatado como (xsd:boolean)</v>
      </c>
      <c r="W1624" s="5" t="s">
        <v>6288</v>
      </c>
      <c r="X1624" s="24" t="str">
        <f t="shared" si="623"/>
        <v>quali.109</v>
      </c>
      <c r="Y1624" s="24" t="str">
        <f t="shared" si="624"/>
        <v>Ação de qualificar</v>
      </c>
      <c r="Z1624" s="47" t="s">
        <v>7637</v>
      </c>
      <c r="AA1624" s="25" t="str">
        <f t="shared" si="627"/>
        <v>null</v>
      </c>
      <c r="AB1624" s="26" t="s">
        <v>0</v>
      </c>
      <c r="AC1624" s="25" t="str">
        <f t="shared" si="628"/>
        <v>null</v>
      </c>
      <c r="AD1624" s="26" t="s">
        <v>0</v>
      </c>
      <c r="AE1624" s="25" t="str">
        <f t="shared" si="625"/>
        <v>null</v>
      </c>
      <c r="AF1624" s="26" t="s">
        <v>0</v>
      </c>
      <c r="AG1624" s="47" t="s">
        <v>3178</v>
      </c>
    </row>
    <row r="1625" spans="1:33" ht="6.9" customHeight="1" x14ac:dyDescent="0.4">
      <c r="A1625" s="4">
        <f>ROW()</f>
        <v>1625</v>
      </c>
      <c r="B1625" s="9" t="s">
        <v>27</v>
      </c>
      <c r="C1625" s="55" t="str">
        <f t="shared" ref="C1625" si="630">SUBSTITUTE(F1625,"d.","p.")</f>
        <v>p.qualificar</v>
      </c>
      <c r="D1625" s="6" t="str">
        <f t="shared" si="626"/>
        <v>é.material.combustível</v>
      </c>
      <c r="E1625" s="8" t="s">
        <v>28</v>
      </c>
      <c r="F1625" s="42" t="str">
        <f>F1623</f>
        <v>d.qualificar</v>
      </c>
      <c r="G1625" s="17" t="s">
        <v>1968</v>
      </c>
      <c r="H1625" s="42" t="s">
        <v>37</v>
      </c>
      <c r="I1625" s="16" t="str">
        <f t="shared" ref="I1625" si="631">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21"/>
        <v>Propriedade destinada a qualificar: é.material.combustível</v>
      </c>
      <c r="V1625" s="5" t="str">
        <f t="shared" si="622"/>
        <v>Dado para qualificar:  material.combustível  Deve ser formatado como (xsd:boolean)</v>
      </c>
      <c r="W1625" s="5" t="s">
        <v>6289</v>
      </c>
      <c r="X1625" s="24" t="str">
        <f t="shared" si="623"/>
        <v>quali.110</v>
      </c>
      <c r="Y1625" s="24" t="str">
        <f t="shared" si="624"/>
        <v>Ação de qualificar</v>
      </c>
      <c r="Z1625" s="47" t="s">
        <v>7638</v>
      </c>
      <c r="AA1625" s="25" t="str">
        <f t="shared" ref="AA1625" si="632">IF(AB1625="null", "null", "categoria.revit")</f>
        <v>null</v>
      </c>
      <c r="AB1625" s="26" t="s">
        <v>0</v>
      </c>
      <c r="AC1625" s="25" t="str">
        <f t="shared" ref="AC1625" si="633">IF(AD1625="null", "null", "classe.ifc")</f>
        <v>null</v>
      </c>
      <c r="AD1625" s="26" t="s">
        <v>0</v>
      </c>
      <c r="AE1625" s="25" t="str">
        <f t="shared" si="625"/>
        <v>null</v>
      </c>
      <c r="AF1625" s="26" t="s">
        <v>0</v>
      </c>
      <c r="AG1625" s="47" t="s">
        <v>3179</v>
      </c>
    </row>
    <row r="1626" spans="1:33" ht="6.9" customHeight="1" x14ac:dyDescent="0.4">
      <c r="A1626" s="4">
        <f>ROW()</f>
        <v>1626</v>
      </c>
      <c r="B1626" s="9" t="s">
        <v>27</v>
      </c>
      <c r="C1626" s="55" t="str">
        <f t="shared" si="605"/>
        <v>p.qualificar</v>
      </c>
      <c r="D1626" s="6" t="str">
        <f t="shared" si="626"/>
        <v>é.material.comburente</v>
      </c>
      <c r="E1626" s="8" t="s">
        <v>28</v>
      </c>
      <c r="F1626" s="42" t="str">
        <f>F1624</f>
        <v>d.qualificar</v>
      </c>
      <c r="G1626" s="17" t="s">
        <v>4635</v>
      </c>
      <c r="H1626" s="42" t="s">
        <v>37</v>
      </c>
      <c r="I1626" s="16" t="str">
        <f t="shared" si="606"/>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621"/>
        <v>Propriedade destinada a qualificar: é.material.comburente</v>
      </c>
      <c r="V1626" s="5" t="str">
        <f t="shared" si="622"/>
        <v>Dado para qualificar:  material.comburente  Deve ser formatado como (xsd:boolean)</v>
      </c>
      <c r="W1626" s="5" t="s">
        <v>6290</v>
      </c>
      <c r="X1626" s="24" t="str">
        <f t="shared" si="623"/>
        <v>quali.111</v>
      </c>
      <c r="Y1626" s="24" t="str">
        <f t="shared" si="624"/>
        <v>Ação de qualificar</v>
      </c>
      <c r="Z1626" s="47" t="s">
        <v>7639</v>
      </c>
      <c r="AA1626" s="25" t="str">
        <f t="shared" si="627"/>
        <v>null</v>
      </c>
      <c r="AB1626" s="26" t="s">
        <v>0</v>
      </c>
      <c r="AC1626" s="25" t="str">
        <f t="shared" si="628"/>
        <v>null</v>
      </c>
      <c r="AD1626" s="26" t="s">
        <v>0</v>
      </c>
      <c r="AE1626" s="25" t="str">
        <f t="shared" si="625"/>
        <v>null</v>
      </c>
      <c r="AF1626" s="26" t="s">
        <v>0</v>
      </c>
      <c r="AG1626" s="47" t="s">
        <v>4636</v>
      </c>
    </row>
    <row r="1627" spans="1:33" ht="6.9" customHeight="1" x14ac:dyDescent="0.4">
      <c r="A1627" s="4">
        <f>ROW()</f>
        <v>1627</v>
      </c>
      <c r="B1627" s="9" t="s">
        <v>27</v>
      </c>
      <c r="C1627" s="55" t="str">
        <f t="shared" si="605"/>
        <v>p.qualificar</v>
      </c>
      <c r="D1627" s="6" t="str">
        <f t="shared" si="626"/>
        <v>é.defeituoso</v>
      </c>
      <c r="E1627" s="8" t="s">
        <v>28</v>
      </c>
      <c r="F1627" s="42" t="str">
        <f t="shared" si="629"/>
        <v>d.qualificar</v>
      </c>
      <c r="G1627" s="17" t="s">
        <v>206</v>
      </c>
      <c r="H1627" s="42" t="s">
        <v>37</v>
      </c>
      <c r="I1627" s="16" t="str">
        <f t="shared" si="606"/>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21"/>
        <v>Propriedade destinada a qualificar: é.defeituoso</v>
      </c>
      <c r="V1627" s="5" t="str">
        <f t="shared" si="622"/>
        <v>Dado para qualificar:  defeituoso  Deve ser formatado como (xsd:boolean)</v>
      </c>
      <c r="W1627" s="5" t="s">
        <v>6291</v>
      </c>
      <c r="X1627" s="24" t="str">
        <f t="shared" si="623"/>
        <v>quali.112</v>
      </c>
      <c r="Y1627" s="24" t="str">
        <f t="shared" si="624"/>
        <v>Ação de qualificar</v>
      </c>
      <c r="Z1627" s="47" t="s">
        <v>7640</v>
      </c>
      <c r="AA1627" s="25" t="str">
        <f t="shared" si="627"/>
        <v>null</v>
      </c>
      <c r="AB1627" s="26" t="s">
        <v>0</v>
      </c>
      <c r="AC1627" s="25" t="str">
        <f t="shared" si="628"/>
        <v>null</v>
      </c>
      <c r="AD1627" s="26" t="s">
        <v>0</v>
      </c>
      <c r="AE1627" s="25" t="str">
        <f t="shared" si="625"/>
        <v>null</v>
      </c>
      <c r="AF1627" s="26" t="s">
        <v>0</v>
      </c>
      <c r="AG1627" s="47" t="s">
        <v>3180</v>
      </c>
    </row>
    <row r="1628" spans="1:33" ht="6.9" customHeight="1" x14ac:dyDescent="0.4">
      <c r="A1628" s="4">
        <f>ROW()</f>
        <v>1628</v>
      </c>
      <c r="B1628" s="9" t="s">
        <v>27</v>
      </c>
      <c r="C1628" s="55" t="str">
        <f t="shared" si="605"/>
        <v>p.qualificar</v>
      </c>
      <c r="D1628" s="6" t="str">
        <f t="shared" si="626"/>
        <v>é.descontinuado</v>
      </c>
      <c r="E1628" s="8" t="s">
        <v>28</v>
      </c>
      <c r="F1628" s="42" t="str">
        <f t="shared" si="629"/>
        <v>d.qualificar</v>
      </c>
      <c r="G1628" s="18" t="s">
        <v>47</v>
      </c>
      <c r="H1628" s="42" t="s">
        <v>37</v>
      </c>
      <c r="I1628" s="16" t="str">
        <f t="shared" si="606"/>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21"/>
        <v>Propriedade destinada a qualificar: é.descontinuado</v>
      </c>
      <c r="V1628" s="5" t="str">
        <f t="shared" si="622"/>
        <v>Dado para qualificar:  descontinuado  Deve ser formatado como (xsd:boolean)</v>
      </c>
      <c r="W1628" s="5" t="s">
        <v>6292</v>
      </c>
      <c r="X1628" s="24" t="str">
        <f t="shared" si="623"/>
        <v>quali.113</v>
      </c>
      <c r="Y1628" s="24" t="str">
        <f t="shared" si="624"/>
        <v>Ação de qualificar</v>
      </c>
      <c r="Z1628" s="47" t="s">
        <v>7641</v>
      </c>
      <c r="AA1628" s="25" t="str">
        <f t="shared" si="627"/>
        <v>null</v>
      </c>
      <c r="AB1628" s="26" t="s">
        <v>0</v>
      </c>
      <c r="AC1628" s="25" t="str">
        <f t="shared" si="628"/>
        <v>null</v>
      </c>
      <c r="AD1628" s="26" t="s">
        <v>0</v>
      </c>
      <c r="AE1628" s="25" t="str">
        <f t="shared" si="625"/>
        <v>null</v>
      </c>
      <c r="AF1628" s="26" t="s">
        <v>0</v>
      </c>
      <c r="AG1628" s="47" t="s">
        <v>3181</v>
      </c>
    </row>
    <row r="1629" spans="1:33" ht="6.9" customHeight="1" x14ac:dyDescent="0.4">
      <c r="A1629" s="4">
        <f>ROW()</f>
        <v>1629</v>
      </c>
      <c r="B1629" s="9" t="s">
        <v>27</v>
      </c>
      <c r="C1629" s="55" t="str">
        <f t="shared" si="605"/>
        <v>p.qualificar</v>
      </c>
      <c r="D1629" s="6" t="str">
        <f t="shared" si="626"/>
        <v>é.direto</v>
      </c>
      <c r="E1629" s="8" t="s">
        <v>28</v>
      </c>
      <c r="F1629" s="42" t="str">
        <f t="shared" si="629"/>
        <v>d.qualificar</v>
      </c>
      <c r="G1629" s="17" t="s">
        <v>367</v>
      </c>
      <c r="H1629" s="42" t="s">
        <v>37</v>
      </c>
      <c r="I1629" s="16" t="str">
        <f t="shared" si="606"/>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21"/>
        <v>Propriedade destinada a qualificar: é.direto</v>
      </c>
      <c r="V1629" s="5" t="str">
        <f t="shared" si="622"/>
        <v>Dado para qualificar:  direto  Deve ser formatado como (xsd:boolean)</v>
      </c>
      <c r="W1629" s="5" t="s">
        <v>6293</v>
      </c>
      <c r="X1629" s="24" t="str">
        <f t="shared" si="623"/>
        <v>quali.114</v>
      </c>
      <c r="Y1629" s="24" t="str">
        <f t="shared" si="624"/>
        <v>Ação de qualificar</v>
      </c>
      <c r="Z1629" s="47" t="s">
        <v>7642</v>
      </c>
      <c r="AA1629" s="25" t="str">
        <f t="shared" si="627"/>
        <v>null</v>
      </c>
      <c r="AB1629" s="26" t="s">
        <v>0</v>
      </c>
      <c r="AC1629" s="25" t="str">
        <f t="shared" si="628"/>
        <v>null</v>
      </c>
      <c r="AD1629" s="26" t="s">
        <v>0</v>
      </c>
      <c r="AE1629" s="25" t="str">
        <f t="shared" si="625"/>
        <v>null</v>
      </c>
      <c r="AF1629" s="26" t="s">
        <v>0</v>
      </c>
      <c r="AG1629" s="47" t="s">
        <v>3182</v>
      </c>
    </row>
    <row r="1630" spans="1:33" ht="6.9" customHeight="1" x14ac:dyDescent="0.4">
      <c r="A1630" s="4">
        <f>ROW()</f>
        <v>1630</v>
      </c>
      <c r="B1630" s="9" t="s">
        <v>27</v>
      </c>
      <c r="C1630" s="55" t="str">
        <f t="shared" si="605"/>
        <v>p.qualificar</v>
      </c>
      <c r="D1630" s="6" t="str">
        <f t="shared" si="626"/>
        <v>é.diurno</v>
      </c>
      <c r="E1630" s="8" t="s">
        <v>28</v>
      </c>
      <c r="F1630" s="42" t="str">
        <f t="shared" si="629"/>
        <v>d.qualificar</v>
      </c>
      <c r="G1630" s="17" t="s">
        <v>285</v>
      </c>
      <c r="H1630" s="41" t="s">
        <v>37</v>
      </c>
      <c r="I1630" s="16" t="str">
        <f t="shared" si="606"/>
        <v>null</v>
      </c>
      <c r="J1630" s="15" t="s">
        <v>0</v>
      </c>
      <c r="K1630" s="15" t="s">
        <v>0</v>
      </c>
      <c r="L1630" s="15" t="s">
        <v>0</v>
      </c>
      <c r="M1630" s="15" t="s">
        <v>0</v>
      </c>
      <c r="N1630" s="15" t="s">
        <v>0</v>
      </c>
      <c r="O1630" s="15" t="s">
        <v>0</v>
      </c>
      <c r="P1630" s="15" t="s">
        <v>0</v>
      </c>
      <c r="Q1630" s="15" t="s">
        <v>976</v>
      </c>
      <c r="R1630" s="15" t="s">
        <v>0</v>
      </c>
      <c r="S1630" s="10" t="s">
        <v>1</v>
      </c>
      <c r="T1630" s="10" t="s">
        <v>32</v>
      </c>
      <c r="U1630" s="5" t="str">
        <f t="shared" si="621"/>
        <v>Propriedade destinada a qualificar: é.diurno</v>
      </c>
      <c r="V1630" s="5" t="str">
        <f t="shared" si="622"/>
        <v>Dado para qualificar:  diurno  Deve ser formatado como (xsd:boolean)</v>
      </c>
      <c r="W1630" s="5" t="s">
        <v>6294</v>
      </c>
      <c r="X1630" s="24" t="str">
        <f t="shared" si="623"/>
        <v>quali.115</v>
      </c>
      <c r="Y1630" s="24" t="str">
        <f t="shared" si="624"/>
        <v>Ação de qualificar</v>
      </c>
      <c r="Z1630" s="47" t="s">
        <v>7643</v>
      </c>
      <c r="AA1630" s="25" t="str">
        <f t="shared" si="627"/>
        <v>null</v>
      </c>
      <c r="AB1630" s="26" t="s">
        <v>0</v>
      </c>
      <c r="AC1630" s="25" t="str">
        <f t="shared" si="628"/>
        <v>null</v>
      </c>
      <c r="AD1630" s="26" t="s">
        <v>0</v>
      </c>
      <c r="AE1630" s="25" t="str">
        <f t="shared" si="625"/>
        <v>null</v>
      </c>
      <c r="AF1630" s="26" t="s">
        <v>0</v>
      </c>
      <c r="AG1630" s="47" t="s">
        <v>4641</v>
      </c>
    </row>
    <row r="1631" spans="1:33" ht="6.9" customHeight="1" x14ac:dyDescent="0.4">
      <c r="A1631" s="4">
        <f>ROW()</f>
        <v>1631</v>
      </c>
      <c r="B1631" s="9" t="s">
        <v>27</v>
      </c>
      <c r="C1631" s="55" t="str">
        <f t="shared" si="605"/>
        <v>p.qualificar</v>
      </c>
      <c r="D1631" s="6" t="str">
        <f t="shared" si="626"/>
        <v>é.divisível</v>
      </c>
      <c r="E1631" s="8" t="s">
        <v>28</v>
      </c>
      <c r="F1631" s="42" t="str">
        <f t="shared" si="629"/>
        <v>d.qualificar</v>
      </c>
      <c r="G1631" s="17" t="s">
        <v>362</v>
      </c>
      <c r="H1631" s="42" t="s">
        <v>37</v>
      </c>
      <c r="I1631" s="16" t="str">
        <f t="shared" si="606"/>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21"/>
        <v>Propriedade destinada a qualificar: é.divisível</v>
      </c>
      <c r="V1631" s="5" t="str">
        <f t="shared" si="622"/>
        <v>Dado para qualificar:  divisível  Deve ser formatado como (xsd:boolean)</v>
      </c>
      <c r="W1631" s="5" t="s">
        <v>6295</v>
      </c>
      <c r="X1631" s="24" t="str">
        <f t="shared" si="623"/>
        <v>quali.116</v>
      </c>
      <c r="Y1631" s="24" t="str">
        <f t="shared" si="624"/>
        <v>Ação de qualificar</v>
      </c>
      <c r="Z1631" s="47" t="s">
        <v>7644</v>
      </c>
      <c r="AA1631" s="25" t="str">
        <f t="shared" si="627"/>
        <v>null</v>
      </c>
      <c r="AB1631" s="26" t="s">
        <v>0</v>
      </c>
      <c r="AC1631" s="25" t="str">
        <f t="shared" si="628"/>
        <v>null</v>
      </c>
      <c r="AD1631" s="26" t="s">
        <v>0</v>
      </c>
      <c r="AE1631" s="25" t="str">
        <f t="shared" si="625"/>
        <v>null</v>
      </c>
      <c r="AF1631" s="26" t="s">
        <v>0</v>
      </c>
      <c r="AG1631" s="47" t="s">
        <v>3183</v>
      </c>
    </row>
    <row r="1632" spans="1:33" ht="6.9" customHeight="1" x14ac:dyDescent="0.4">
      <c r="A1632" s="4">
        <f>ROW()</f>
        <v>1632</v>
      </c>
      <c r="B1632" s="9" t="s">
        <v>27</v>
      </c>
      <c r="C1632" s="55" t="str">
        <f t="shared" si="605"/>
        <v>p.qualificar</v>
      </c>
      <c r="D1632" s="6" t="str">
        <f t="shared" si="626"/>
        <v>é.estimado</v>
      </c>
      <c r="E1632" s="8" t="s">
        <v>28</v>
      </c>
      <c r="F1632" s="42" t="str">
        <f t="shared" si="629"/>
        <v>d.qualificar</v>
      </c>
      <c r="G1632" s="17" t="s">
        <v>341</v>
      </c>
      <c r="H1632" s="42" t="s">
        <v>37</v>
      </c>
      <c r="I1632" s="16" t="str">
        <f t="shared" si="606"/>
        <v>null</v>
      </c>
      <c r="J1632" s="15" t="s">
        <v>0</v>
      </c>
      <c r="K1632" s="15" t="s">
        <v>0</v>
      </c>
      <c r="L1632" s="15" t="s">
        <v>0</v>
      </c>
      <c r="M1632" s="15" t="s">
        <v>0</v>
      </c>
      <c r="N1632" s="15" t="s">
        <v>0</v>
      </c>
      <c r="O1632" s="15" t="s">
        <v>0</v>
      </c>
      <c r="P1632" s="15" t="s">
        <v>0</v>
      </c>
      <c r="Q1632" s="15" t="s">
        <v>0</v>
      </c>
      <c r="R1632" s="15" t="s">
        <v>977</v>
      </c>
      <c r="S1632" s="10" t="s">
        <v>1</v>
      </c>
      <c r="T1632" s="10" t="s">
        <v>32</v>
      </c>
      <c r="U1632" s="5" t="str">
        <f t="shared" si="621"/>
        <v>Propriedade destinada a qualificar: é.estimado</v>
      </c>
      <c r="V1632" s="5" t="str">
        <f t="shared" si="622"/>
        <v>Dado para qualificar:  estimado  Deve ser formatado como (xsd:boolean)</v>
      </c>
      <c r="W1632" s="5" t="s">
        <v>6296</v>
      </c>
      <c r="X1632" s="24" t="str">
        <f t="shared" si="623"/>
        <v>quali.117</v>
      </c>
      <c r="Y1632" s="24" t="str">
        <f t="shared" si="624"/>
        <v>Ação de qualificar</v>
      </c>
      <c r="Z1632" s="47" t="s">
        <v>7645</v>
      </c>
      <c r="AA1632" s="25" t="str">
        <f t="shared" si="627"/>
        <v>null</v>
      </c>
      <c r="AB1632" s="26" t="s">
        <v>0</v>
      </c>
      <c r="AC1632" s="25" t="str">
        <f t="shared" si="628"/>
        <v>null</v>
      </c>
      <c r="AD1632" s="26" t="s">
        <v>0</v>
      </c>
      <c r="AE1632" s="25" t="str">
        <f t="shared" si="625"/>
        <v>null</v>
      </c>
      <c r="AF1632" s="26" t="s">
        <v>0</v>
      </c>
      <c r="AG1632" s="47" t="s">
        <v>3184</v>
      </c>
    </row>
    <row r="1633" spans="1:33" ht="6.9" customHeight="1" x14ac:dyDescent="0.4">
      <c r="A1633" s="4">
        <f>ROW()</f>
        <v>1633</v>
      </c>
      <c r="B1633" s="9" t="s">
        <v>27</v>
      </c>
      <c r="C1633" s="55" t="str">
        <f t="shared" si="605"/>
        <v>p.qualificar</v>
      </c>
      <c r="D1633" s="6" t="str">
        <f t="shared" si="626"/>
        <v>é.externo</v>
      </c>
      <c r="E1633" s="8" t="s">
        <v>28</v>
      </c>
      <c r="F1633" s="42" t="str">
        <f t="shared" si="629"/>
        <v>d.qualificar</v>
      </c>
      <c r="G1633" s="17" t="s">
        <v>373</v>
      </c>
      <c r="H1633" s="42" t="s">
        <v>37</v>
      </c>
      <c r="I1633" s="16" t="str">
        <f t="shared" si="606"/>
        <v>null</v>
      </c>
      <c r="J1633" s="15" t="s">
        <v>0</v>
      </c>
      <c r="K1633" s="15" t="s">
        <v>0</v>
      </c>
      <c r="L1633" s="15" t="s">
        <v>0</v>
      </c>
      <c r="M1633" s="15" t="s">
        <v>0</v>
      </c>
      <c r="N1633" s="15" t="s">
        <v>0</v>
      </c>
      <c r="O1633" s="15" t="s">
        <v>0</v>
      </c>
      <c r="P1633" s="15" t="s">
        <v>0</v>
      </c>
      <c r="Q1633" s="15" t="s">
        <v>978</v>
      </c>
      <c r="R1633" s="15" t="s">
        <v>0</v>
      </c>
      <c r="S1633" s="10" t="s">
        <v>1</v>
      </c>
      <c r="T1633" s="10" t="s">
        <v>32</v>
      </c>
      <c r="U1633" s="5" t="str">
        <f t="shared" si="621"/>
        <v>Propriedade destinada a qualificar: é.externo</v>
      </c>
      <c r="V1633" s="5" t="str">
        <f t="shared" si="622"/>
        <v>Dado para qualificar:  externo  Deve ser formatado como (xsd:boolean)</v>
      </c>
      <c r="W1633" s="5" t="s">
        <v>6297</v>
      </c>
      <c r="X1633" s="24" t="str">
        <f t="shared" si="623"/>
        <v>quali.118</v>
      </c>
      <c r="Y1633" s="24" t="str">
        <f t="shared" si="624"/>
        <v>Ação de qualificar</v>
      </c>
      <c r="Z1633" s="47" t="s">
        <v>7646</v>
      </c>
      <c r="AA1633" s="25" t="str">
        <f t="shared" si="627"/>
        <v>null</v>
      </c>
      <c r="AB1633" s="26" t="s">
        <v>0</v>
      </c>
      <c r="AC1633" s="25" t="str">
        <f t="shared" si="628"/>
        <v>null</v>
      </c>
      <c r="AD1633" s="26" t="s">
        <v>0</v>
      </c>
      <c r="AE1633" s="25" t="str">
        <f t="shared" si="625"/>
        <v>null</v>
      </c>
      <c r="AF1633" s="26" t="s">
        <v>0</v>
      </c>
      <c r="AG1633" s="47" t="s">
        <v>3185</v>
      </c>
    </row>
    <row r="1634" spans="1:33" ht="6.9" customHeight="1" x14ac:dyDescent="0.4">
      <c r="A1634" s="4">
        <f>ROW()</f>
        <v>1634</v>
      </c>
      <c r="B1634" s="9" t="s">
        <v>27</v>
      </c>
      <c r="C1634" s="55" t="str">
        <f t="shared" si="605"/>
        <v>p.qualificar</v>
      </c>
      <c r="D1634" s="6" t="str">
        <f t="shared" si="626"/>
        <v>é.fechado</v>
      </c>
      <c r="E1634" s="8" t="s">
        <v>28</v>
      </c>
      <c r="F1634" s="42" t="str">
        <f t="shared" si="629"/>
        <v>d.qualificar</v>
      </c>
      <c r="G1634" s="18" t="s">
        <v>235</v>
      </c>
      <c r="H1634" s="41" t="s">
        <v>37</v>
      </c>
      <c r="I1634" s="16" t="str">
        <f t="shared" si="606"/>
        <v>null</v>
      </c>
      <c r="J1634" s="13" t="s">
        <v>0</v>
      </c>
      <c r="K1634" s="13" t="s">
        <v>0</v>
      </c>
      <c r="L1634" s="13" t="s">
        <v>0</v>
      </c>
      <c r="M1634" s="13" t="s">
        <v>0</v>
      </c>
      <c r="N1634" s="15" t="s">
        <v>0</v>
      </c>
      <c r="O1634" s="13" t="s">
        <v>0</v>
      </c>
      <c r="P1634" s="13" t="s">
        <v>0</v>
      </c>
      <c r="Q1634" s="13" t="s">
        <v>979</v>
      </c>
      <c r="R1634" s="15" t="s">
        <v>0</v>
      </c>
      <c r="S1634" s="10" t="s">
        <v>1</v>
      </c>
      <c r="T1634" s="10" t="s">
        <v>32</v>
      </c>
      <c r="U1634" s="5" t="str">
        <f t="shared" si="621"/>
        <v>Propriedade destinada a qualificar: é.fechado</v>
      </c>
      <c r="V1634" s="5" t="str">
        <f t="shared" si="622"/>
        <v>Dado para qualificar:  fechado  Deve ser formatado como (xsd:boolean)</v>
      </c>
      <c r="W1634" s="5" t="s">
        <v>6298</v>
      </c>
      <c r="X1634" s="24" t="str">
        <f t="shared" si="623"/>
        <v>quali.119</v>
      </c>
      <c r="Y1634" s="24" t="str">
        <f t="shared" si="624"/>
        <v>Ação de qualificar</v>
      </c>
      <c r="Z1634" s="47" t="s">
        <v>7647</v>
      </c>
      <c r="AA1634" s="25" t="str">
        <f t="shared" si="627"/>
        <v>null</v>
      </c>
      <c r="AB1634" s="26" t="s">
        <v>0</v>
      </c>
      <c r="AC1634" s="25" t="str">
        <f t="shared" si="628"/>
        <v>null</v>
      </c>
      <c r="AD1634" s="26" t="s">
        <v>0</v>
      </c>
      <c r="AE1634" s="25" t="str">
        <f t="shared" si="625"/>
        <v>null</v>
      </c>
      <c r="AF1634" s="26" t="s">
        <v>0</v>
      </c>
      <c r="AG1634" s="47" t="s">
        <v>3186</v>
      </c>
    </row>
    <row r="1635" spans="1:33" ht="6.9" customHeight="1" x14ac:dyDescent="0.4">
      <c r="A1635" s="4">
        <f>ROW()</f>
        <v>1635</v>
      </c>
      <c r="B1635" s="9" t="s">
        <v>27</v>
      </c>
      <c r="C1635" s="55" t="str">
        <f t="shared" si="605"/>
        <v>p.qualificar</v>
      </c>
      <c r="D1635" s="6" t="str">
        <f t="shared" si="626"/>
        <v>é.feriado</v>
      </c>
      <c r="E1635" s="8" t="s">
        <v>28</v>
      </c>
      <c r="F1635" s="42" t="str">
        <f t="shared" si="629"/>
        <v>d.qualificar</v>
      </c>
      <c r="G1635" s="17" t="s">
        <v>203</v>
      </c>
      <c r="H1635" s="41" t="s">
        <v>37</v>
      </c>
      <c r="I1635" s="16" t="str">
        <f t="shared" si="606"/>
        <v>null</v>
      </c>
      <c r="J1635" s="15" t="s">
        <v>0</v>
      </c>
      <c r="K1635" s="15" t="s">
        <v>0</v>
      </c>
      <c r="L1635" s="15" t="s">
        <v>0</v>
      </c>
      <c r="M1635" s="15" t="s">
        <v>0</v>
      </c>
      <c r="N1635" s="15" t="s">
        <v>0</v>
      </c>
      <c r="O1635" s="15" t="s">
        <v>0</v>
      </c>
      <c r="P1635" s="15" t="s">
        <v>0</v>
      </c>
      <c r="Q1635" s="15" t="s">
        <v>980</v>
      </c>
      <c r="R1635" s="15" t="s">
        <v>0</v>
      </c>
      <c r="S1635" s="10" t="s">
        <v>1</v>
      </c>
      <c r="T1635" s="10" t="s">
        <v>32</v>
      </c>
      <c r="U1635" s="5" t="str">
        <f t="shared" si="621"/>
        <v>Propriedade destinada a qualificar: é.feriado</v>
      </c>
      <c r="V1635" s="5" t="str">
        <f t="shared" si="622"/>
        <v>Dado para qualificar:  feriado  Deve ser formatado como (xsd:boolean)</v>
      </c>
      <c r="W1635" s="5" t="s">
        <v>6299</v>
      </c>
      <c r="X1635" s="24" t="str">
        <f t="shared" si="623"/>
        <v>quali.120</v>
      </c>
      <c r="Y1635" s="24" t="str">
        <f t="shared" si="624"/>
        <v>Ação de qualificar</v>
      </c>
      <c r="Z1635" s="47" t="s">
        <v>7648</v>
      </c>
      <c r="AA1635" s="25" t="str">
        <f t="shared" si="627"/>
        <v>null</v>
      </c>
      <c r="AB1635" s="26" t="s">
        <v>0</v>
      </c>
      <c r="AC1635" s="25" t="str">
        <f t="shared" si="628"/>
        <v>null</v>
      </c>
      <c r="AD1635" s="26" t="s">
        <v>0</v>
      </c>
      <c r="AE1635" s="25" t="str">
        <f t="shared" si="625"/>
        <v>null</v>
      </c>
      <c r="AF1635" s="26" t="s">
        <v>0</v>
      </c>
      <c r="AG1635" s="47" t="s">
        <v>3187</v>
      </c>
    </row>
    <row r="1636" spans="1:33" ht="6.9" customHeight="1" x14ac:dyDescent="0.4">
      <c r="A1636" s="4">
        <f>ROW()</f>
        <v>1636</v>
      </c>
      <c r="B1636" s="9" t="s">
        <v>27</v>
      </c>
      <c r="C1636" s="55" t="str">
        <f t="shared" ref="C1636" si="634">SUBSTITUTE(F1636,"d.","p.")</f>
        <v>p.qualificar</v>
      </c>
      <c r="D1636" s="6" t="str">
        <f t="shared" si="626"/>
        <v>é.fixo</v>
      </c>
      <c r="E1636" s="8" t="s">
        <v>28</v>
      </c>
      <c r="F1636" s="42" t="str">
        <f>F1634</f>
        <v>d.qualificar</v>
      </c>
      <c r="G1636" s="17" t="s">
        <v>7335</v>
      </c>
      <c r="H1636" s="42" t="s">
        <v>37</v>
      </c>
      <c r="I1636" s="16" t="str">
        <f t="shared" ref="I1636" si="635">J1636</f>
        <v>null</v>
      </c>
      <c r="J1636" s="15" t="s">
        <v>0</v>
      </c>
      <c r="K1636" s="15" t="s">
        <v>0</v>
      </c>
      <c r="L1636" s="15" t="s">
        <v>0</v>
      </c>
      <c r="M1636" s="15" t="s">
        <v>0</v>
      </c>
      <c r="N1636" s="15" t="s">
        <v>0</v>
      </c>
      <c r="O1636" s="15" t="s">
        <v>0</v>
      </c>
      <c r="P1636" s="15" t="s">
        <v>0</v>
      </c>
      <c r="Q1636" s="15" t="s">
        <v>7340</v>
      </c>
      <c r="R1636" s="15" t="s">
        <v>7341</v>
      </c>
      <c r="S1636" s="10" t="s">
        <v>1</v>
      </c>
      <c r="T1636" s="10" t="s">
        <v>32</v>
      </c>
      <c r="U1636" s="5" t="str">
        <f t="shared" si="621"/>
        <v>Propriedade destinada a qualificar: é.fixo</v>
      </c>
      <c r="V1636" s="5" t="str">
        <f t="shared" si="622"/>
        <v>Dado para qualificar:  fixo  Deve ser formatado como (xsd:boolean)</v>
      </c>
      <c r="W1636" s="5" t="s">
        <v>7336</v>
      </c>
      <c r="X1636" s="24" t="str">
        <f t="shared" si="623"/>
        <v>quali.121</v>
      </c>
      <c r="Y1636" s="24" t="str">
        <f t="shared" si="624"/>
        <v>Ação de qualificar</v>
      </c>
      <c r="Z1636" s="47" t="s">
        <v>7649</v>
      </c>
      <c r="AA1636" s="25" t="str">
        <f t="shared" ref="AA1636" si="636">IF(AB1636="null", "null", "categoria.revit")</f>
        <v>null</v>
      </c>
      <c r="AB1636" s="26" t="s">
        <v>0</v>
      </c>
      <c r="AC1636" s="25" t="str">
        <f t="shared" ref="AC1636" si="637">IF(AD1636="null", "null", "classe.ifc")</f>
        <v>null</v>
      </c>
      <c r="AD1636" s="26" t="s">
        <v>0</v>
      </c>
      <c r="AE1636" s="25" t="str">
        <f t="shared" si="625"/>
        <v>null</v>
      </c>
      <c r="AF1636" s="26" t="s">
        <v>0</v>
      </c>
      <c r="AG1636" s="47" t="s">
        <v>7337</v>
      </c>
    </row>
    <row r="1637" spans="1:33" ht="6.9" customHeight="1" x14ac:dyDescent="0.4">
      <c r="A1637" s="4">
        <f>ROW()</f>
        <v>1637</v>
      </c>
      <c r="B1637" s="9" t="s">
        <v>27</v>
      </c>
      <c r="C1637" s="55" t="str">
        <f t="shared" si="605"/>
        <v>p.qualificar</v>
      </c>
      <c r="D1637" s="6" t="str">
        <f t="shared" si="626"/>
        <v>é.futuro</v>
      </c>
      <c r="E1637" s="8" t="s">
        <v>28</v>
      </c>
      <c r="F1637" s="42" t="str">
        <f>F1635</f>
        <v>d.qualificar</v>
      </c>
      <c r="G1637" s="17" t="s">
        <v>344</v>
      </c>
      <c r="H1637" s="42" t="s">
        <v>37</v>
      </c>
      <c r="I1637" s="16" t="str">
        <f t="shared" si="606"/>
        <v>null</v>
      </c>
      <c r="J1637" s="15" t="s">
        <v>0</v>
      </c>
      <c r="K1637" s="15" t="s">
        <v>0</v>
      </c>
      <c r="L1637" s="15" t="s">
        <v>0</v>
      </c>
      <c r="M1637" s="15" t="s">
        <v>0</v>
      </c>
      <c r="N1637" s="15" t="s">
        <v>0</v>
      </c>
      <c r="O1637" s="15" t="s">
        <v>0</v>
      </c>
      <c r="P1637" s="15" t="s">
        <v>0</v>
      </c>
      <c r="Q1637" s="15" t="s">
        <v>981</v>
      </c>
      <c r="R1637" s="15" t="s">
        <v>0</v>
      </c>
      <c r="S1637" s="10" t="s">
        <v>1</v>
      </c>
      <c r="T1637" s="10" t="s">
        <v>32</v>
      </c>
      <c r="U1637" s="5" t="str">
        <f t="shared" si="621"/>
        <v>Propriedade destinada a qualificar: é.futuro</v>
      </c>
      <c r="V1637" s="5" t="str">
        <f t="shared" si="622"/>
        <v>Dado para qualificar:  futuro  Deve ser formatado como (xsd:boolean)</v>
      </c>
      <c r="W1637" s="5" t="s">
        <v>6300</v>
      </c>
      <c r="X1637" s="24" t="str">
        <f t="shared" si="623"/>
        <v>quali.122</v>
      </c>
      <c r="Y1637" s="24" t="str">
        <f t="shared" si="624"/>
        <v>Ação de qualificar</v>
      </c>
      <c r="Z1637" s="47" t="s">
        <v>7650</v>
      </c>
      <c r="AA1637" s="25" t="str">
        <f t="shared" si="627"/>
        <v>null</v>
      </c>
      <c r="AB1637" s="26" t="s">
        <v>0</v>
      </c>
      <c r="AC1637" s="25" t="str">
        <f t="shared" si="628"/>
        <v>null</v>
      </c>
      <c r="AD1637" s="26" t="s">
        <v>0</v>
      </c>
      <c r="AE1637" s="25" t="str">
        <f t="shared" si="625"/>
        <v>null</v>
      </c>
      <c r="AF1637" s="26" t="s">
        <v>0</v>
      </c>
      <c r="AG1637" s="47" t="s">
        <v>4873</v>
      </c>
    </row>
    <row r="1638" spans="1:33" ht="6.9" customHeight="1" x14ac:dyDescent="0.4">
      <c r="A1638" s="4">
        <f>ROW()</f>
        <v>1638</v>
      </c>
      <c r="B1638" s="9" t="s">
        <v>27</v>
      </c>
      <c r="C1638" s="55" t="str">
        <f t="shared" si="605"/>
        <v>p.qualificar</v>
      </c>
      <c r="D1638" s="6" t="str">
        <f t="shared" si="626"/>
        <v>é.hipotético</v>
      </c>
      <c r="E1638" s="8" t="s">
        <v>28</v>
      </c>
      <c r="F1638" s="42" t="str">
        <f t="shared" si="629"/>
        <v>d.qualificar</v>
      </c>
      <c r="G1638" s="17" t="s">
        <v>347</v>
      </c>
      <c r="H1638" s="42" t="s">
        <v>37</v>
      </c>
      <c r="I1638" s="16" t="str">
        <f t="shared" si="606"/>
        <v>null</v>
      </c>
      <c r="J1638" s="15" t="s">
        <v>0</v>
      </c>
      <c r="K1638" s="15" t="s">
        <v>0</v>
      </c>
      <c r="L1638" s="15" t="s">
        <v>0</v>
      </c>
      <c r="M1638" s="15" t="s">
        <v>0</v>
      </c>
      <c r="N1638" s="15" t="s">
        <v>0</v>
      </c>
      <c r="O1638" s="15" t="s">
        <v>0</v>
      </c>
      <c r="P1638" s="15" t="s">
        <v>0</v>
      </c>
      <c r="Q1638" s="15" t="s">
        <v>0</v>
      </c>
      <c r="R1638" s="15" t="s">
        <v>982</v>
      </c>
      <c r="S1638" s="10" t="s">
        <v>1</v>
      </c>
      <c r="T1638" s="10" t="s">
        <v>32</v>
      </c>
      <c r="U1638" s="5" t="str">
        <f t="shared" si="621"/>
        <v>Propriedade destinada a qualificar: é.hipotético</v>
      </c>
      <c r="V1638" s="5" t="str">
        <f t="shared" si="622"/>
        <v>Dado para qualificar:  hipotético  Deve ser formatado como (xsd:boolean)</v>
      </c>
      <c r="W1638" s="5" t="s">
        <v>6301</v>
      </c>
      <c r="X1638" s="24" t="str">
        <f t="shared" si="623"/>
        <v>quali.123</v>
      </c>
      <c r="Y1638" s="24" t="str">
        <f t="shared" si="624"/>
        <v>Ação de qualificar</v>
      </c>
      <c r="Z1638" s="47" t="s">
        <v>7651</v>
      </c>
      <c r="AA1638" s="25" t="str">
        <f t="shared" si="627"/>
        <v>null</v>
      </c>
      <c r="AB1638" s="26" t="s">
        <v>0</v>
      </c>
      <c r="AC1638" s="25" t="str">
        <f t="shared" si="628"/>
        <v>null</v>
      </c>
      <c r="AD1638" s="26" t="s">
        <v>0</v>
      </c>
      <c r="AE1638" s="25" t="str">
        <f t="shared" si="625"/>
        <v>null</v>
      </c>
      <c r="AF1638" s="26" t="s">
        <v>0</v>
      </c>
      <c r="AG1638" s="47" t="s">
        <v>4874</v>
      </c>
    </row>
    <row r="1639" spans="1:33" ht="6.9" customHeight="1" x14ac:dyDescent="0.4">
      <c r="A1639" s="4">
        <f>ROW()</f>
        <v>1639</v>
      </c>
      <c r="B1639" s="9" t="s">
        <v>27</v>
      </c>
      <c r="C1639" s="55" t="str">
        <f t="shared" si="605"/>
        <v>p.qualificar</v>
      </c>
      <c r="D1639" s="6" t="str">
        <f t="shared" si="626"/>
        <v>é.ideal</v>
      </c>
      <c r="E1639" s="8" t="s">
        <v>28</v>
      </c>
      <c r="F1639" s="42" t="str">
        <f t="shared" si="629"/>
        <v>d.qualificar</v>
      </c>
      <c r="G1639" s="17" t="s">
        <v>342</v>
      </c>
      <c r="H1639" s="42" t="s">
        <v>37</v>
      </c>
      <c r="I1639" s="16" t="str">
        <f t="shared" si="60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21"/>
        <v>Propriedade destinada a qualificar: é.ideal</v>
      </c>
      <c r="V1639" s="5" t="str">
        <f t="shared" si="622"/>
        <v>Dado para qualificar:  ideal  Deve ser formatado como (xsd:boolean)</v>
      </c>
      <c r="W1639" s="5" t="s">
        <v>6302</v>
      </c>
      <c r="X1639" s="24" t="str">
        <f t="shared" si="623"/>
        <v>quali.124</v>
      </c>
      <c r="Y1639" s="24" t="str">
        <f t="shared" si="624"/>
        <v>Ação de qualificar</v>
      </c>
      <c r="Z1639" s="47" t="s">
        <v>7652</v>
      </c>
      <c r="AA1639" s="25" t="str">
        <f t="shared" si="627"/>
        <v>null</v>
      </c>
      <c r="AB1639" s="26" t="s">
        <v>0</v>
      </c>
      <c r="AC1639" s="25" t="str">
        <f t="shared" si="628"/>
        <v>null</v>
      </c>
      <c r="AD1639" s="26" t="s">
        <v>0</v>
      </c>
      <c r="AE1639" s="25" t="str">
        <f t="shared" si="625"/>
        <v>null</v>
      </c>
      <c r="AF1639" s="26" t="s">
        <v>0</v>
      </c>
      <c r="AG1639" s="47" t="s">
        <v>4875</v>
      </c>
    </row>
    <row r="1640" spans="1:33" ht="6.9" customHeight="1" x14ac:dyDescent="0.4">
      <c r="A1640" s="4">
        <f>ROW()</f>
        <v>1640</v>
      </c>
      <c r="B1640" s="9" t="s">
        <v>27</v>
      </c>
      <c r="C1640" s="55" t="str">
        <f t="shared" si="605"/>
        <v>p.qualificar</v>
      </c>
      <c r="D1640" s="6" t="str">
        <f t="shared" si="626"/>
        <v>é.imperfeito</v>
      </c>
      <c r="E1640" s="8" t="s">
        <v>28</v>
      </c>
      <c r="F1640" s="42" t="str">
        <f t="shared" si="629"/>
        <v>d.qualificar</v>
      </c>
      <c r="G1640" s="17" t="s">
        <v>353</v>
      </c>
      <c r="H1640" s="42" t="s">
        <v>37</v>
      </c>
      <c r="I1640" s="16" t="str">
        <f t="shared" si="60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21"/>
        <v>Propriedade destinada a qualificar: é.imperfeito</v>
      </c>
      <c r="V1640" s="5" t="str">
        <f t="shared" si="622"/>
        <v>Dado para qualificar:  imperfeito  Deve ser formatado como (xsd:boolean)</v>
      </c>
      <c r="W1640" s="5" t="s">
        <v>6303</v>
      </c>
      <c r="X1640" s="24" t="str">
        <f t="shared" si="623"/>
        <v>quali.125</v>
      </c>
      <c r="Y1640" s="24" t="str">
        <f t="shared" si="624"/>
        <v>Ação de qualificar</v>
      </c>
      <c r="Z1640" s="47" t="s">
        <v>7653</v>
      </c>
      <c r="AA1640" s="25" t="str">
        <f t="shared" si="627"/>
        <v>null</v>
      </c>
      <c r="AB1640" s="26" t="s">
        <v>0</v>
      </c>
      <c r="AC1640" s="25" t="str">
        <f t="shared" si="628"/>
        <v>null</v>
      </c>
      <c r="AD1640" s="26" t="s">
        <v>0</v>
      </c>
      <c r="AE1640" s="25" t="str">
        <f t="shared" si="625"/>
        <v>null</v>
      </c>
      <c r="AF1640" s="26" t="s">
        <v>0</v>
      </c>
      <c r="AG1640" s="47" t="s">
        <v>4876</v>
      </c>
    </row>
    <row r="1641" spans="1:33" ht="6.9" customHeight="1" x14ac:dyDescent="0.4">
      <c r="A1641" s="4">
        <f>ROW()</f>
        <v>1641</v>
      </c>
      <c r="B1641" s="9" t="s">
        <v>27</v>
      </c>
      <c r="C1641" s="55" t="str">
        <f t="shared" si="605"/>
        <v>p.qualificar</v>
      </c>
      <c r="D1641" s="6" t="str">
        <f t="shared" si="626"/>
        <v>é.improvável</v>
      </c>
      <c r="E1641" s="8" t="s">
        <v>28</v>
      </c>
      <c r="F1641" s="42" t="str">
        <f t="shared" si="629"/>
        <v>d.qualificar</v>
      </c>
      <c r="G1641" s="17" t="s">
        <v>350</v>
      </c>
      <c r="H1641" s="42" t="s">
        <v>37</v>
      </c>
      <c r="I1641" s="16" t="str">
        <f t="shared" si="60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21"/>
        <v>Propriedade destinada a qualificar: é.improvável</v>
      </c>
      <c r="V1641" s="5" t="str">
        <f t="shared" si="622"/>
        <v>Dado para qualificar:  improvável  Deve ser formatado como (xsd:boolean)</v>
      </c>
      <c r="W1641" s="5" t="s">
        <v>6304</v>
      </c>
      <c r="X1641" s="24" t="str">
        <f t="shared" si="623"/>
        <v>quali.126</v>
      </c>
      <c r="Y1641" s="24" t="str">
        <f t="shared" si="624"/>
        <v>Ação de qualificar</v>
      </c>
      <c r="Z1641" s="47" t="s">
        <v>7654</v>
      </c>
      <c r="AA1641" s="25" t="str">
        <f t="shared" si="627"/>
        <v>null</v>
      </c>
      <c r="AB1641" s="26" t="s">
        <v>0</v>
      </c>
      <c r="AC1641" s="25" t="str">
        <f t="shared" si="628"/>
        <v>null</v>
      </c>
      <c r="AD1641" s="26" t="s">
        <v>0</v>
      </c>
      <c r="AE1641" s="25" t="str">
        <f t="shared" si="625"/>
        <v>null</v>
      </c>
      <c r="AF1641" s="26" t="s">
        <v>0</v>
      </c>
      <c r="AG1641" s="47" t="s">
        <v>4877</v>
      </c>
    </row>
    <row r="1642" spans="1:33" ht="6.9" customHeight="1" x14ac:dyDescent="0.4">
      <c r="A1642" s="4">
        <f>ROW()</f>
        <v>1642</v>
      </c>
      <c r="B1642" s="9" t="s">
        <v>27</v>
      </c>
      <c r="C1642" s="55" t="str">
        <f t="shared" si="605"/>
        <v>p.qualificar</v>
      </c>
      <c r="D1642" s="6" t="str">
        <f t="shared" si="626"/>
        <v>é.intermediário</v>
      </c>
      <c r="E1642" s="8" t="s">
        <v>28</v>
      </c>
      <c r="F1642" s="42" t="str">
        <f t="shared" si="629"/>
        <v>d.qualificar</v>
      </c>
      <c r="G1642" s="17" t="s">
        <v>375</v>
      </c>
      <c r="H1642" s="42" t="s">
        <v>37</v>
      </c>
      <c r="I1642" s="16" t="str">
        <f t="shared" si="60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21"/>
        <v>Propriedade destinada a qualificar: é.intermediário</v>
      </c>
      <c r="V1642" s="5" t="str">
        <f t="shared" si="622"/>
        <v>Dado para qualificar:  intermediário  Deve ser formatado como (xsd:boolean)</v>
      </c>
      <c r="W1642" s="5" t="s">
        <v>6305</v>
      </c>
      <c r="X1642" s="24" t="str">
        <f t="shared" si="623"/>
        <v>quali.127</v>
      </c>
      <c r="Y1642" s="24" t="str">
        <f t="shared" si="624"/>
        <v>Ação de qualificar</v>
      </c>
      <c r="Z1642" s="47" t="s">
        <v>7691</v>
      </c>
      <c r="AA1642" s="25" t="str">
        <f t="shared" si="627"/>
        <v>null</v>
      </c>
      <c r="AB1642" s="26" t="s">
        <v>0</v>
      </c>
      <c r="AC1642" s="25" t="str">
        <f t="shared" si="628"/>
        <v>null</v>
      </c>
      <c r="AD1642" s="26" t="s">
        <v>0</v>
      </c>
      <c r="AE1642" s="25" t="str">
        <f t="shared" si="625"/>
        <v>null</v>
      </c>
      <c r="AF1642" s="26" t="s">
        <v>0</v>
      </c>
      <c r="AG1642" s="47" t="s">
        <v>4878</v>
      </c>
    </row>
    <row r="1643" spans="1:33" ht="6.9" customHeight="1" x14ac:dyDescent="0.4">
      <c r="A1643" s="4">
        <f>ROW()</f>
        <v>1643</v>
      </c>
      <c r="B1643" s="9" t="s">
        <v>27</v>
      </c>
      <c r="C1643" s="55" t="str">
        <f t="shared" si="605"/>
        <v>p.qualificar</v>
      </c>
      <c r="D1643" s="6" t="str">
        <f t="shared" si="626"/>
        <v>é.interno</v>
      </c>
      <c r="E1643" s="8" t="s">
        <v>28</v>
      </c>
      <c r="F1643" s="42" t="str">
        <f t="shared" si="629"/>
        <v>d.qualificar</v>
      </c>
      <c r="G1643" s="17" t="s">
        <v>374</v>
      </c>
      <c r="H1643" s="42" t="s">
        <v>37</v>
      </c>
      <c r="I1643" s="16" t="str">
        <f t="shared" si="606"/>
        <v>null</v>
      </c>
      <c r="J1643" s="15" t="s">
        <v>0</v>
      </c>
      <c r="K1643" s="15" t="s">
        <v>0</v>
      </c>
      <c r="L1643" s="15" t="s">
        <v>0</v>
      </c>
      <c r="M1643" s="15" t="s">
        <v>0</v>
      </c>
      <c r="N1643" s="15" t="s">
        <v>0</v>
      </c>
      <c r="O1643" s="15" t="s">
        <v>0</v>
      </c>
      <c r="P1643" s="15" t="s">
        <v>0</v>
      </c>
      <c r="Q1643" s="15" t="s">
        <v>983</v>
      </c>
      <c r="R1643" s="15" t="s">
        <v>0</v>
      </c>
      <c r="S1643" s="10" t="s">
        <v>1</v>
      </c>
      <c r="T1643" s="10" t="s">
        <v>32</v>
      </c>
      <c r="U1643" s="5" t="str">
        <f t="shared" si="621"/>
        <v>Propriedade destinada a qualificar: é.interno</v>
      </c>
      <c r="V1643" s="5" t="str">
        <f t="shared" si="622"/>
        <v>Dado para qualificar:  interno  Deve ser formatado como (xsd:boolean)</v>
      </c>
      <c r="W1643" s="5" t="s">
        <v>6306</v>
      </c>
      <c r="X1643" s="24" t="str">
        <f t="shared" si="623"/>
        <v>quali.128</v>
      </c>
      <c r="Y1643" s="24" t="str">
        <f t="shared" si="624"/>
        <v>Ação de qualificar</v>
      </c>
      <c r="Z1643" s="47" t="s">
        <v>7655</v>
      </c>
      <c r="AA1643" s="25" t="str">
        <f t="shared" si="627"/>
        <v>null</v>
      </c>
      <c r="AB1643" s="26" t="s">
        <v>0</v>
      </c>
      <c r="AC1643" s="25" t="str">
        <f t="shared" si="628"/>
        <v>null</v>
      </c>
      <c r="AD1643" s="26" t="s">
        <v>0</v>
      </c>
      <c r="AE1643" s="25" t="str">
        <f t="shared" si="625"/>
        <v>null</v>
      </c>
      <c r="AF1643" s="26" t="s">
        <v>0</v>
      </c>
      <c r="AG1643" s="47" t="s">
        <v>3188</v>
      </c>
    </row>
    <row r="1644" spans="1:33" ht="6.9" customHeight="1" x14ac:dyDescent="0.4">
      <c r="A1644" s="4">
        <f>ROW()</f>
        <v>1644</v>
      </c>
      <c r="B1644" s="9" t="s">
        <v>27</v>
      </c>
      <c r="C1644" s="55" t="str">
        <f t="shared" si="605"/>
        <v>p.qualificar</v>
      </c>
      <c r="D1644" s="6" t="str">
        <f t="shared" si="626"/>
        <v>é.isolado</v>
      </c>
      <c r="E1644" s="8" t="s">
        <v>28</v>
      </c>
      <c r="F1644" s="42" t="str">
        <f t="shared" si="629"/>
        <v>d.qualificar</v>
      </c>
      <c r="G1644" s="17" t="s">
        <v>369</v>
      </c>
      <c r="H1644" s="42" t="s">
        <v>37</v>
      </c>
      <c r="I1644" s="16" t="str">
        <f t="shared" si="606"/>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21"/>
        <v>Propriedade destinada a qualificar: é.isolado</v>
      </c>
      <c r="V1644" s="5" t="str">
        <f t="shared" si="622"/>
        <v>Dado para qualificar:  isolado  Deve ser formatado como (xsd:boolean)</v>
      </c>
      <c r="W1644" s="5" t="s">
        <v>6307</v>
      </c>
      <c r="X1644" s="24" t="str">
        <f t="shared" si="623"/>
        <v>quali.129</v>
      </c>
      <c r="Y1644" s="24" t="str">
        <f t="shared" si="624"/>
        <v>Ação de qualificar</v>
      </c>
      <c r="Z1644" s="47" t="s">
        <v>7656</v>
      </c>
      <c r="AA1644" s="25" t="str">
        <f t="shared" si="627"/>
        <v>null</v>
      </c>
      <c r="AB1644" s="26" t="s">
        <v>0</v>
      </c>
      <c r="AC1644" s="25" t="str">
        <f t="shared" si="628"/>
        <v>null</v>
      </c>
      <c r="AD1644" s="26" t="s">
        <v>0</v>
      </c>
      <c r="AE1644" s="25" t="str">
        <f t="shared" si="625"/>
        <v>null</v>
      </c>
      <c r="AF1644" s="26" t="s">
        <v>0</v>
      </c>
      <c r="AG1644" s="47" t="s">
        <v>3189</v>
      </c>
    </row>
    <row r="1645" spans="1:33" ht="6.9" customHeight="1" x14ac:dyDescent="0.4">
      <c r="A1645" s="4">
        <f>ROW()</f>
        <v>1645</v>
      </c>
      <c r="B1645" s="9" t="s">
        <v>27</v>
      </c>
      <c r="C1645" s="55" t="str">
        <f t="shared" si="605"/>
        <v>p.qualificar</v>
      </c>
      <c r="D1645" s="6" t="str">
        <f t="shared" si="626"/>
        <v>é.laboral</v>
      </c>
      <c r="E1645" s="8" t="s">
        <v>28</v>
      </c>
      <c r="F1645" s="42" t="str">
        <f t="shared" si="629"/>
        <v>d.qualificar</v>
      </c>
      <c r="G1645" s="17" t="s">
        <v>202</v>
      </c>
      <c r="H1645" s="41" t="s">
        <v>37</v>
      </c>
      <c r="I1645" s="16" t="str">
        <f t="shared" si="606"/>
        <v>null</v>
      </c>
      <c r="J1645" s="15" t="s">
        <v>0</v>
      </c>
      <c r="K1645" s="15" t="s">
        <v>0</v>
      </c>
      <c r="L1645" s="15" t="s">
        <v>0</v>
      </c>
      <c r="M1645" s="15" t="s">
        <v>0</v>
      </c>
      <c r="N1645" s="15" t="s">
        <v>0</v>
      </c>
      <c r="O1645" s="15" t="s">
        <v>0</v>
      </c>
      <c r="P1645" s="15" t="s">
        <v>0</v>
      </c>
      <c r="Q1645" s="15" t="s">
        <v>984</v>
      </c>
      <c r="R1645" s="15" t="s">
        <v>0</v>
      </c>
      <c r="S1645" s="10" t="s">
        <v>1</v>
      </c>
      <c r="T1645" s="10" t="s">
        <v>32</v>
      </c>
      <c r="U1645" s="5" t="str">
        <f t="shared" si="621"/>
        <v>Propriedade destinada a qualificar: é.laboral</v>
      </c>
      <c r="V1645" s="5" t="str">
        <f t="shared" si="622"/>
        <v>Dado para qualificar:  laboral  Deve ser formatado como (xsd:boolean)</v>
      </c>
      <c r="W1645" s="5" t="s">
        <v>6308</v>
      </c>
      <c r="X1645" s="24" t="str">
        <f t="shared" si="623"/>
        <v>quali.130</v>
      </c>
      <c r="Y1645" s="24" t="str">
        <f t="shared" si="624"/>
        <v>Ação de qualificar</v>
      </c>
      <c r="Z1645" s="47" t="s">
        <v>7657</v>
      </c>
      <c r="AA1645" s="25" t="str">
        <f t="shared" si="627"/>
        <v>null</v>
      </c>
      <c r="AB1645" s="26" t="s">
        <v>0</v>
      </c>
      <c r="AC1645" s="25" t="str">
        <f t="shared" si="628"/>
        <v>null</v>
      </c>
      <c r="AD1645" s="26" t="s">
        <v>0</v>
      </c>
      <c r="AE1645" s="25" t="str">
        <f t="shared" si="625"/>
        <v>null</v>
      </c>
      <c r="AF1645" s="26" t="s">
        <v>0</v>
      </c>
      <c r="AG1645" s="47" t="s">
        <v>4869</v>
      </c>
    </row>
    <row r="1646" spans="1:33" ht="6.9" customHeight="1" x14ac:dyDescent="0.4">
      <c r="A1646" s="4">
        <f>ROW()</f>
        <v>1646</v>
      </c>
      <c r="B1646" s="9" t="s">
        <v>27</v>
      </c>
      <c r="C1646" s="55" t="str">
        <f t="shared" si="605"/>
        <v>p.qualificar</v>
      </c>
      <c r="D1646" s="6" t="str">
        <f t="shared" si="626"/>
        <v>é.líquido</v>
      </c>
      <c r="E1646" s="8" t="s">
        <v>28</v>
      </c>
      <c r="F1646" s="42" t="str">
        <f t="shared" si="629"/>
        <v>d.qualificar</v>
      </c>
      <c r="G1646" s="17" t="s">
        <v>340</v>
      </c>
      <c r="H1646" s="42" t="s">
        <v>37</v>
      </c>
      <c r="I1646" s="16" t="str">
        <f t="shared" si="606"/>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21"/>
        <v>Propriedade destinada a qualificar: é.líquido</v>
      </c>
      <c r="V1646" s="5" t="str">
        <f t="shared" si="622"/>
        <v>Dado para qualificar:  líquido  Deve ser formatado como (xsd:boolean)</v>
      </c>
      <c r="W1646" s="5" t="s">
        <v>6309</v>
      </c>
      <c r="X1646" s="24" t="str">
        <f t="shared" si="623"/>
        <v>quali.131</v>
      </c>
      <c r="Y1646" s="24" t="str">
        <f t="shared" si="624"/>
        <v>Ação de qualificar</v>
      </c>
      <c r="Z1646" s="47" t="s">
        <v>7658</v>
      </c>
      <c r="AA1646" s="25" t="str">
        <f t="shared" si="627"/>
        <v>null</v>
      </c>
      <c r="AB1646" s="26" t="s">
        <v>0</v>
      </c>
      <c r="AC1646" s="25" t="str">
        <f t="shared" si="628"/>
        <v>null</v>
      </c>
      <c r="AD1646" s="26" t="s">
        <v>0</v>
      </c>
      <c r="AE1646" s="25" t="str">
        <f t="shared" si="625"/>
        <v>null</v>
      </c>
      <c r="AF1646" s="26" t="s">
        <v>0</v>
      </c>
      <c r="AG1646" s="47" t="s">
        <v>4870</v>
      </c>
    </row>
    <row r="1647" spans="1:33" ht="6.9" customHeight="1" x14ac:dyDescent="0.4">
      <c r="A1647" s="4">
        <f>ROW()</f>
        <v>1647</v>
      </c>
      <c r="B1647" s="9" t="s">
        <v>27</v>
      </c>
      <c r="C1647" s="55" t="str">
        <f t="shared" ref="C1647:C1723" si="638">SUBSTITUTE(F1647,"d.","p.")</f>
        <v>p.qualificar</v>
      </c>
      <c r="D1647" s="6" t="str">
        <f t="shared" si="626"/>
        <v>é.liso</v>
      </c>
      <c r="E1647" s="8" t="s">
        <v>28</v>
      </c>
      <c r="F1647" s="42" t="str">
        <f t="shared" si="629"/>
        <v>d.qualificar</v>
      </c>
      <c r="G1647" s="17" t="s">
        <v>358</v>
      </c>
      <c r="H1647" s="42" t="s">
        <v>37</v>
      </c>
      <c r="I1647" s="16" t="str">
        <f t="shared" si="60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21"/>
        <v>Propriedade destinada a qualificar: é.liso</v>
      </c>
      <c r="V1647" s="5" t="str">
        <f t="shared" si="622"/>
        <v>Dado para qualificar:  liso  Deve ser formatado como (xsd:boolean)</v>
      </c>
      <c r="W1647" s="5" t="s">
        <v>6310</v>
      </c>
      <c r="X1647" s="24" t="str">
        <f t="shared" si="623"/>
        <v>quali.132</v>
      </c>
      <c r="Y1647" s="24" t="str">
        <f t="shared" si="624"/>
        <v>Ação de qualificar</v>
      </c>
      <c r="Z1647" s="47" t="s">
        <v>7659</v>
      </c>
      <c r="AA1647" s="25" t="str">
        <f t="shared" si="627"/>
        <v>null</v>
      </c>
      <c r="AB1647" s="26" t="s">
        <v>0</v>
      </c>
      <c r="AC1647" s="25" t="str">
        <f t="shared" si="628"/>
        <v>null</v>
      </c>
      <c r="AD1647" s="26" t="s">
        <v>0</v>
      </c>
      <c r="AE1647" s="25" t="str">
        <f t="shared" si="625"/>
        <v>null</v>
      </c>
      <c r="AF1647" s="26" t="s">
        <v>0</v>
      </c>
      <c r="AG1647" s="47" t="s">
        <v>3190</v>
      </c>
    </row>
    <row r="1648" spans="1:33" ht="6.9" customHeight="1" x14ac:dyDescent="0.4">
      <c r="A1648" s="4">
        <f>ROW()</f>
        <v>1648</v>
      </c>
      <c r="B1648" s="9" t="s">
        <v>27</v>
      </c>
      <c r="C1648" s="55" t="str">
        <f t="shared" si="638"/>
        <v>p.qualificar</v>
      </c>
      <c r="D1648" s="6" t="str">
        <f t="shared" si="626"/>
        <v>é.manual</v>
      </c>
      <c r="E1648" s="8" t="s">
        <v>28</v>
      </c>
      <c r="F1648" s="42" t="str">
        <f t="shared" si="629"/>
        <v>d.qualificar</v>
      </c>
      <c r="G1648" s="17" t="s">
        <v>380</v>
      </c>
      <c r="H1648" s="42" t="s">
        <v>37</v>
      </c>
      <c r="I1648" s="16" t="str">
        <f t="shared" ref="I1648:I1722" si="63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621"/>
        <v>Propriedade destinada a qualificar: é.manual</v>
      </c>
      <c r="V1648" s="5" t="str">
        <f t="shared" si="622"/>
        <v>Dado para qualificar:  manual  Deve ser formatado como (xsd:boolean)</v>
      </c>
      <c r="W1648" s="5" t="s">
        <v>6311</v>
      </c>
      <c r="X1648" s="24" t="str">
        <f t="shared" si="623"/>
        <v>quali.133</v>
      </c>
      <c r="Y1648" s="24" t="str">
        <f t="shared" si="624"/>
        <v>Ação de qualificar</v>
      </c>
      <c r="Z1648" s="47" t="s">
        <v>7660</v>
      </c>
      <c r="AA1648" s="25" t="str">
        <f t="shared" si="627"/>
        <v>null</v>
      </c>
      <c r="AB1648" s="26" t="s">
        <v>0</v>
      </c>
      <c r="AC1648" s="25" t="str">
        <f t="shared" si="628"/>
        <v>null</v>
      </c>
      <c r="AD1648" s="26" t="s">
        <v>0</v>
      </c>
      <c r="AE1648" s="25" t="str">
        <f t="shared" si="625"/>
        <v>null</v>
      </c>
      <c r="AF1648" s="26" t="s">
        <v>0</v>
      </c>
      <c r="AG1648" s="47" t="s">
        <v>3191</v>
      </c>
    </row>
    <row r="1649" spans="1:33" ht="6.9" customHeight="1" x14ac:dyDescent="0.4">
      <c r="A1649" s="4">
        <f>ROW()</f>
        <v>1649</v>
      </c>
      <c r="B1649" s="9" t="s">
        <v>27</v>
      </c>
      <c r="C1649" s="55" t="str">
        <f t="shared" si="638"/>
        <v>p.qualificar</v>
      </c>
      <c r="D1649" s="6" t="str">
        <f t="shared" si="626"/>
        <v>é.matutino</v>
      </c>
      <c r="E1649" s="8" t="s">
        <v>28</v>
      </c>
      <c r="F1649" s="42" t="str">
        <f t="shared" si="629"/>
        <v>d.qualificar</v>
      </c>
      <c r="G1649" s="17" t="s">
        <v>287</v>
      </c>
      <c r="H1649" s="41" t="s">
        <v>37</v>
      </c>
      <c r="I1649" s="16" t="str">
        <f t="shared" si="639"/>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21"/>
        <v>Propriedade destinada a qualificar: é.matutino</v>
      </c>
      <c r="V1649" s="5" t="str">
        <f t="shared" si="622"/>
        <v>Dado para qualificar:  matutino  Deve ser formatado como (xsd:boolean)</v>
      </c>
      <c r="W1649" s="5" t="s">
        <v>6312</v>
      </c>
      <c r="X1649" s="24" t="str">
        <f t="shared" si="623"/>
        <v>quali.134</v>
      </c>
      <c r="Y1649" s="24" t="str">
        <f t="shared" si="624"/>
        <v>Ação de qualificar</v>
      </c>
      <c r="Z1649" s="47" t="s">
        <v>7661</v>
      </c>
      <c r="AA1649" s="25" t="str">
        <f t="shared" si="627"/>
        <v>null</v>
      </c>
      <c r="AB1649" s="26" t="s">
        <v>0</v>
      </c>
      <c r="AC1649" s="25" t="str">
        <f t="shared" si="628"/>
        <v>null</v>
      </c>
      <c r="AD1649" s="26" t="s">
        <v>0</v>
      </c>
      <c r="AE1649" s="25" t="str">
        <f t="shared" si="625"/>
        <v>null</v>
      </c>
      <c r="AF1649" s="26" t="s">
        <v>0</v>
      </c>
      <c r="AG1649" s="47" t="s">
        <v>4871</v>
      </c>
    </row>
    <row r="1650" spans="1:33" ht="6.9" customHeight="1" x14ac:dyDescent="0.4">
      <c r="A1650" s="4">
        <f>ROW()</f>
        <v>1650</v>
      </c>
      <c r="B1650" s="9" t="s">
        <v>27</v>
      </c>
      <c r="C1650" s="55" t="str">
        <f t="shared" si="638"/>
        <v>p.qualificar</v>
      </c>
      <c r="D1650" s="6" t="str">
        <f t="shared" si="626"/>
        <v>é.natural</v>
      </c>
      <c r="E1650" s="8" t="s">
        <v>28</v>
      </c>
      <c r="F1650" s="42" t="str">
        <f>F1649</f>
        <v>d.qualificar</v>
      </c>
      <c r="G1650" s="17" t="s">
        <v>370</v>
      </c>
      <c r="H1650" s="42" t="s">
        <v>37</v>
      </c>
      <c r="I1650" s="16" t="str">
        <f t="shared" si="639"/>
        <v>null</v>
      </c>
      <c r="J1650" s="15" t="s">
        <v>0</v>
      </c>
      <c r="K1650" s="15" t="s">
        <v>0</v>
      </c>
      <c r="L1650" s="15" t="s">
        <v>0</v>
      </c>
      <c r="M1650" s="15" t="s">
        <v>0</v>
      </c>
      <c r="N1650" s="15" t="s">
        <v>0</v>
      </c>
      <c r="O1650" s="15" t="s">
        <v>0</v>
      </c>
      <c r="P1650" s="15" t="s">
        <v>0</v>
      </c>
      <c r="Q1650" s="15" t="s">
        <v>985</v>
      </c>
      <c r="R1650" s="15" t="s">
        <v>0</v>
      </c>
      <c r="S1650" s="10" t="s">
        <v>1</v>
      </c>
      <c r="T1650" s="10" t="s">
        <v>32</v>
      </c>
      <c r="U1650" s="5" t="str">
        <f t="shared" si="621"/>
        <v>Propriedade destinada a qualificar: é.natural</v>
      </c>
      <c r="V1650" s="5" t="str">
        <f t="shared" si="622"/>
        <v>Dado para qualificar:  natural  Deve ser formatado como (xsd:boolean)</v>
      </c>
      <c r="W1650" s="5" t="s">
        <v>6313</v>
      </c>
      <c r="X1650" s="24" t="str">
        <f t="shared" si="623"/>
        <v>quali.135</v>
      </c>
      <c r="Y1650" s="24" t="str">
        <f t="shared" si="624"/>
        <v>Ação de qualificar</v>
      </c>
      <c r="Z1650" s="47" t="s">
        <v>7662</v>
      </c>
      <c r="AA1650" s="25" t="str">
        <f t="shared" si="627"/>
        <v>null</v>
      </c>
      <c r="AB1650" s="26" t="s">
        <v>0</v>
      </c>
      <c r="AC1650" s="25" t="str">
        <f t="shared" si="628"/>
        <v>null</v>
      </c>
      <c r="AD1650" s="26" t="s">
        <v>0</v>
      </c>
      <c r="AE1650" s="25" t="str">
        <f t="shared" si="625"/>
        <v>null</v>
      </c>
      <c r="AF1650" s="26" t="s">
        <v>0</v>
      </c>
      <c r="AG1650" s="47" t="s">
        <v>4872</v>
      </c>
    </row>
    <row r="1651" spans="1:33" ht="6.9" customHeight="1" x14ac:dyDescent="0.4">
      <c r="A1651" s="4">
        <f>ROW()</f>
        <v>1651</v>
      </c>
      <c r="B1651" s="9" t="s">
        <v>27</v>
      </c>
      <c r="C1651" s="55" t="str">
        <f t="shared" si="638"/>
        <v>p.qualificar</v>
      </c>
      <c r="D1651" s="6" t="str">
        <f t="shared" si="626"/>
        <v>é.necessário</v>
      </c>
      <c r="E1651" s="8" t="s">
        <v>28</v>
      </c>
      <c r="F1651" s="42" t="str">
        <f t="shared" si="629"/>
        <v>d.qualificar</v>
      </c>
      <c r="G1651" s="17" t="s">
        <v>351</v>
      </c>
      <c r="H1651" s="42" t="s">
        <v>37</v>
      </c>
      <c r="I1651" s="16" t="str">
        <f t="shared" si="639"/>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621"/>
        <v>Propriedade destinada a qualificar: é.necessário</v>
      </c>
      <c r="V1651" s="5" t="str">
        <f t="shared" si="622"/>
        <v>Dado para qualificar:  necessário  Deve ser formatado como (xsd:boolean)</v>
      </c>
      <c r="W1651" s="5" t="s">
        <v>6314</v>
      </c>
      <c r="X1651" s="24" t="str">
        <f t="shared" si="623"/>
        <v>quali.136</v>
      </c>
      <c r="Y1651" s="24" t="str">
        <f t="shared" si="624"/>
        <v>Ação de qualificar</v>
      </c>
      <c r="Z1651" s="47" t="s">
        <v>7663</v>
      </c>
      <c r="AA1651" s="25" t="str">
        <f t="shared" si="627"/>
        <v>null</v>
      </c>
      <c r="AB1651" s="26" t="s">
        <v>0</v>
      </c>
      <c r="AC1651" s="25" t="str">
        <f t="shared" si="628"/>
        <v>null</v>
      </c>
      <c r="AD1651" s="26" t="s">
        <v>0</v>
      </c>
      <c r="AE1651" s="25" t="str">
        <f t="shared" si="625"/>
        <v>null</v>
      </c>
      <c r="AF1651" s="26" t="s">
        <v>0</v>
      </c>
      <c r="AG1651" s="47" t="s">
        <v>3192</v>
      </c>
    </row>
    <row r="1652" spans="1:33" ht="6.9" customHeight="1" x14ac:dyDescent="0.4">
      <c r="A1652" s="4">
        <f>ROW()</f>
        <v>1652</v>
      </c>
      <c r="B1652" s="9" t="s">
        <v>27</v>
      </c>
      <c r="C1652" s="55" t="str">
        <f t="shared" ref="C1652" si="640">SUBSTITUTE(F1652,"d.","p.")</f>
        <v>p.qualificar</v>
      </c>
      <c r="D1652" s="6" t="str">
        <f t="shared" si="626"/>
        <v>é.negativa</v>
      </c>
      <c r="E1652" s="8" t="s">
        <v>28</v>
      </c>
      <c r="F1652" s="42" t="str">
        <f>F1650</f>
        <v>d.qualificar</v>
      </c>
      <c r="G1652" s="17" t="s">
        <v>382</v>
      </c>
      <c r="H1652" s="42" t="s">
        <v>37</v>
      </c>
      <c r="I1652" s="16" t="str">
        <f t="shared" ref="I1652" si="641">J1652</f>
        <v>null</v>
      </c>
      <c r="J1652" s="15" t="s">
        <v>0</v>
      </c>
      <c r="K1652" s="15" t="s">
        <v>0</v>
      </c>
      <c r="L1652" s="15" t="s">
        <v>0</v>
      </c>
      <c r="M1652" s="15" t="s">
        <v>0</v>
      </c>
      <c r="N1652" s="15" t="s">
        <v>0</v>
      </c>
      <c r="O1652" s="15" t="s">
        <v>0</v>
      </c>
      <c r="P1652" s="15" t="s">
        <v>0</v>
      </c>
      <c r="Q1652" s="15" t="s">
        <v>7347</v>
      </c>
      <c r="R1652" s="15" t="s">
        <v>0</v>
      </c>
      <c r="S1652" s="10" t="s">
        <v>1</v>
      </c>
      <c r="T1652" s="10" t="s">
        <v>32</v>
      </c>
      <c r="U1652" s="5" t="str">
        <f t="shared" si="621"/>
        <v>Propriedade destinada a qualificar: é.negativa</v>
      </c>
      <c r="V1652" s="5" t="str">
        <f t="shared" si="622"/>
        <v>Dado para qualificar:  negativa  Deve ser formatado como (xsd:boolean)</v>
      </c>
      <c r="W1652" s="5" t="s">
        <v>7348</v>
      </c>
      <c r="X1652" s="24" t="str">
        <f t="shared" si="623"/>
        <v>quali.137</v>
      </c>
      <c r="Y1652" s="24" t="str">
        <f t="shared" si="624"/>
        <v>Ação de qualificar</v>
      </c>
      <c r="Z1652" s="47" t="s">
        <v>7664</v>
      </c>
      <c r="AA1652" s="25" t="str">
        <f t="shared" ref="AA1652" si="642">IF(AB1652="null", "null", "categoria.revit")</f>
        <v>null</v>
      </c>
      <c r="AB1652" s="26" t="s">
        <v>0</v>
      </c>
      <c r="AC1652" s="25" t="str">
        <f t="shared" ref="AC1652" si="643">IF(AD1652="null", "null", "classe.ifc")</f>
        <v>null</v>
      </c>
      <c r="AD1652" s="26" t="s">
        <v>0</v>
      </c>
      <c r="AE1652" s="25" t="str">
        <f t="shared" si="625"/>
        <v>null</v>
      </c>
      <c r="AF1652" s="26" t="s">
        <v>0</v>
      </c>
      <c r="AG1652" s="47" t="s">
        <v>4868</v>
      </c>
    </row>
    <row r="1653" spans="1:33" ht="6.9" customHeight="1" x14ac:dyDescent="0.4">
      <c r="A1653" s="4">
        <f>ROW()</f>
        <v>1653</v>
      </c>
      <c r="B1653" s="9" t="s">
        <v>27</v>
      </c>
      <c r="C1653" s="55" t="str">
        <f t="shared" si="638"/>
        <v>p.qualificar</v>
      </c>
      <c r="D1653" s="6" t="str">
        <f t="shared" si="626"/>
        <v>é.negativo</v>
      </c>
      <c r="E1653" s="8" t="s">
        <v>28</v>
      </c>
      <c r="F1653" s="42" t="str">
        <f>F1651</f>
        <v>d.qualificar</v>
      </c>
      <c r="G1653" s="17" t="s">
        <v>237</v>
      </c>
      <c r="H1653" s="42" t="s">
        <v>37</v>
      </c>
      <c r="I1653" s="16" t="str">
        <f t="shared" si="639"/>
        <v>null</v>
      </c>
      <c r="J1653" s="15" t="s">
        <v>0</v>
      </c>
      <c r="K1653" s="15" t="s">
        <v>0</v>
      </c>
      <c r="L1653" s="15" t="s">
        <v>0</v>
      </c>
      <c r="M1653" s="15" t="s">
        <v>0</v>
      </c>
      <c r="N1653" s="15" t="s">
        <v>0</v>
      </c>
      <c r="O1653" s="15" t="s">
        <v>0</v>
      </c>
      <c r="P1653" s="15" t="s">
        <v>0</v>
      </c>
      <c r="Q1653" s="15" t="s">
        <v>525</v>
      </c>
      <c r="R1653" s="15" t="s">
        <v>0</v>
      </c>
      <c r="S1653" s="10" t="s">
        <v>1</v>
      </c>
      <c r="T1653" s="10" t="s">
        <v>32</v>
      </c>
      <c r="U1653" s="5" t="str">
        <f t="shared" si="621"/>
        <v>Propriedade destinada a qualificar: é.negativo</v>
      </c>
      <c r="V1653" s="5" t="str">
        <f t="shared" si="622"/>
        <v>Dado para qualificar:  negativo  Deve ser formatado como (xsd:boolean)</v>
      </c>
      <c r="W1653" s="5" t="s">
        <v>6315</v>
      </c>
      <c r="X1653" s="24" t="str">
        <f t="shared" si="623"/>
        <v>quali.138</v>
      </c>
      <c r="Y1653" s="24" t="str">
        <f t="shared" si="624"/>
        <v>Ação de qualificar</v>
      </c>
      <c r="Z1653" s="47" t="s">
        <v>7665</v>
      </c>
      <c r="AA1653" s="25" t="str">
        <f t="shared" si="627"/>
        <v>null</v>
      </c>
      <c r="AB1653" s="26" t="s">
        <v>0</v>
      </c>
      <c r="AC1653" s="25" t="str">
        <f t="shared" si="628"/>
        <v>null</v>
      </c>
      <c r="AD1653" s="26" t="s">
        <v>0</v>
      </c>
      <c r="AE1653" s="25" t="str">
        <f t="shared" si="625"/>
        <v>null</v>
      </c>
      <c r="AF1653" s="26" t="s">
        <v>0</v>
      </c>
      <c r="AG1653" s="47" t="s">
        <v>4868</v>
      </c>
    </row>
    <row r="1654" spans="1:33" ht="6.9" customHeight="1" x14ac:dyDescent="0.4">
      <c r="A1654" s="4">
        <f>ROW()</f>
        <v>1654</v>
      </c>
      <c r="B1654" s="9" t="s">
        <v>27</v>
      </c>
      <c r="C1654" s="55" t="str">
        <f t="shared" si="638"/>
        <v>p.qualificar</v>
      </c>
      <c r="D1654" s="6" t="str">
        <f t="shared" si="626"/>
        <v>é.noturno</v>
      </c>
      <c r="E1654" s="8" t="s">
        <v>28</v>
      </c>
      <c r="F1654" s="42" t="str">
        <f t="shared" si="629"/>
        <v>d.qualificar</v>
      </c>
      <c r="G1654" s="17" t="s">
        <v>286</v>
      </c>
      <c r="H1654" s="41" t="s">
        <v>37</v>
      </c>
      <c r="I1654" s="16" t="str">
        <f t="shared" si="639"/>
        <v>null</v>
      </c>
      <c r="J1654" s="15" t="s">
        <v>0</v>
      </c>
      <c r="K1654" s="15" t="s">
        <v>0</v>
      </c>
      <c r="L1654" s="15" t="s">
        <v>0</v>
      </c>
      <c r="M1654" s="15" t="s">
        <v>0</v>
      </c>
      <c r="N1654" s="15" t="s">
        <v>0</v>
      </c>
      <c r="O1654" s="15" t="s">
        <v>0</v>
      </c>
      <c r="P1654" s="15" t="s">
        <v>0</v>
      </c>
      <c r="Q1654" s="15" t="s">
        <v>986</v>
      </c>
      <c r="R1654" s="15" t="s">
        <v>0</v>
      </c>
      <c r="S1654" s="10" t="s">
        <v>1</v>
      </c>
      <c r="T1654" s="10" t="s">
        <v>32</v>
      </c>
      <c r="U1654" s="5" t="str">
        <f t="shared" si="621"/>
        <v>Propriedade destinada a qualificar: é.noturno</v>
      </c>
      <c r="V1654" s="5" t="str">
        <f t="shared" si="622"/>
        <v>Dado para qualificar:  noturno  Deve ser formatado como (xsd:boolean)</v>
      </c>
      <c r="W1654" s="5" t="s">
        <v>6316</v>
      </c>
      <c r="X1654" s="24" t="str">
        <f t="shared" si="623"/>
        <v>quali.139</v>
      </c>
      <c r="Y1654" s="24" t="str">
        <f t="shared" si="624"/>
        <v>Ação de qualificar</v>
      </c>
      <c r="Z1654" s="47" t="s">
        <v>7666</v>
      </c>
      <c r="AA1654" s="25" t="str">
        <f t="shared" si="627"/>
        <v>null</v>
      </c>
      <c r="AB1654" s="26" t="s">
        <v>0</v>
      </c>
      <c r="AC1654" s="25" t="str">
        <f t="shared" si="628"/>
        <v>null</v>
      </c>
      <c r="AD1654" s="26" t="s">
        <v>0</v>
      </c>
      <c r="AE1654" s="25" t="str">
        <f t="shared" si="625"/>
        <v>null</v>
      </c>
      <c r="AF1654" s="26" t="s">
        <v>0</v>
      </c>
      <c r="AG1654" s="47" t="s">
        <v>4867</v>
      </c>
    </row>
    <row r="1655" spans="1:33" ht="6.9" customHeight="1" x14ac:dyDescent="0.4">
      <c r="A1655" s="4">
        <f>ROW()</f>
        <v>1655</v>
      </c>
      <c r="B1655" s="9" t="s">
        <v>27</v>
      </c>
      <c r="C1655" s="55" t="str">
        <f t="shared" si="638"/>
        <v>p.qualificar</v>
      </c>
      <c r="D1655" s="6" t="str">
        <f t="shared" si="626"/>
        <v>é.obrigatório</v>
      </c>
      <c r="E1655" s="8" t="s">
        <v>28</v>
      </c>
      <c r="F1655" s="42" t="str">
        <f t="shared" si="629"/>
        <v>d.qualificar</v>
      </c>
      <c r="G1655" s="17" t="s">
        <v>323</v>
      </c>
      <c r="H1655" s="42" t="s">
        <v>37</v>
      </c>
      <c r="I1655" s="16" t="str">
        <f t="shared" si="63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21"/>
        <v>Propriedade destinada a qualificar: é.obrigatório</v>
      </c>
      <c r="V1655" s="5" t="str">
        <f t="shared" si="622"/>
        <v>Dado para qualificar:  obrigatório  Deve ser formatado como (xsd:boolean)</v>
      </c>
      <c r="W1655" s="5" t="s">
        <v>6317</v>
      </c>
      <c r="X1655" s="24" t="str">
        <f t="shared" si="623"/>
        <v>quali.140</v>
      </c>
      <c r="Y1655" s="24" t="str">
        <f t="shared" si="624"/>
        <v>Ação de qualificar</v>
      </c>
      <c r="Z1655" s="47" t="s">
        <v>7667</v>
      </c>
      <c r="AA1655" s="25" t="str">
        <f t="shared" si="627"/>
        <v>null</v>
      </c>
      <c r="AB1655" s="26" t="s">
        <v>0</v>
      </c>
      <c r="AC1655" s="25" t="str">
        <f t="shared" si="628"/>
        <v>null</v>
      </c>
      <c r="AD1655" s="26" t="s">
        <v>0</v>
      </c>
      <c r="AE1655" s="25" t="str">
        <f t="shared" si="625"/>
        <v>null</v>
      </c>
      <c r="AF1655" s="26" t="s">
        <v>0</v>
      </c>
      <c r="AG1655" s="47" t="s">
        <v>3193</v>
      </c>
    </row>
    <row r="1656" spans="1:33" ht="6.9" customHeight="1" x14ac:dyDescent="0.4">
      <c r="A1656" s="4">
        <f>ROW()</f>
        <v>1656</v>
      </c>
      <c r="B1656" s="9" t="s">
        <v>27</v>
      </c>
      <c r="C1656" s="55" t="str">
        <f t="shared" si="638"/>
        <v>p.qualificar</v>
      </c>
      <c r="D1656" s="6" t="str">
        <f t="shared" si="626"/>
        <v>é.padrão</v>
      </c>
      <c r="E1656" s="8" t="s">
        <v>28</v>
      </c>
      <c r="F1656" s="42" t="str">
        <f t="shared" si="629"/>
        <v>d.qualificar</v>
      </c>
      <c r="G1656" s="17" t="s">
        <v>354</v>
      </c>
      <c r="H1656" s="42" t="s">
        <v>37</v>
      </c>
      <c r="I1656" s="16" t="str">
        <f t="shared" si="63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21"/>
        <v>Propriedade destinada a qualificar: é.padrão</v>
      </c>
      <c r="V1656" s="5" t="str">
        <f t="shared" si="622"/>
        <v>Dado para qualificar:  padrão  Deve ser formatado como (xsd:boolean)</v>
      </c>
      <c r="W1656" s="5" t="s">
        <v>6318</v>
      </c>
      <c r="X1656" s="24" t="str">
        <f t="shared" si="623"/>
        <v>quali.141</v>
      </c>
      <c r="Y1656" s="24" t="str">
        <f t="shared" si="624"/>
        <v>Ação de qualificar</v>
      </c>
      <c r="Z1656" s="47" t="s">
        <v>7668</v>
      </c>
      <c r="AA1656" s="25" t="str">
        <f t="shared" si="627"/>
        <v>null</v>
      </c>
      <c r="AB1656" s="26" t="s">
        <v>0</v>
      </c>
      <c r="AC1656" s="25" t="str">
        <f t="shared" si="628"/>
        <v>null</v>
      </c>
      <c r="AD1656" s="26" t="s">
        <v>0</v>
      </c>
      <c r="AE1656" s="25" t="str">
        <f t="shared" si="625"/>
        <v>null</v>
      </c>
      <c r="AF1656" s="26" t="s">
        <v>0</v>
      </c>
      <c r="AG1656" s="47" t="s">
        <v>3194</v>
      </c>
    </row>
    <row r="1657" spans="1:33" ht="6.9" customHeight="1" x14ac:dyDescent="0.4">
      <c r="A1657" s="4">
        <f>ROW()</f>
        <v>1657</v>
      </c>
      <c r="B1657" s="9" t="s">
        <v>27</v>
      </c>
      <c r="C1657" s="55" t="str">
        <f t="shared" si="638"/>
        <v>p.qualificar</v>
      </c>
      <c r="D1657" s="6" t="str">
        <f t="shared" si="626"/>
        <v>é.passado</v>
      </c>
      <c r="E1657" s="8" t="s">
        <v>28</v>
      </c>
      <c r="F1657" s="42" t="str">
        <f t="shared" si="629"/>
        <v>d.qualificar</v>
      </c>
      <c r="G1657" s="17" t="s">
        <v>345</v>
      </c>
      <c r="H1657" s="42" t="s">
        <v>37</v>
      </c>
      <c r="I1657" s="16" t="str">
        <f t="shared" si="639"/>
        <v>null</v>
      </c>
      <c r="J1657" s="15" t="s">
        <v>0</v>
      </c>
      <c r="K1657" s="15" t="s">
        <v>0</v>
      </c>
      <c r="L1657" s="15" t="s">
        <v>0</v>
      </c>
      <c r="M1657" s="15" t="s">
        <v>0</v>
      </c>
      <c r="N1657" s="15" t="s">
        <v>0</v>
      </c>
      <c r="O1657" s="15" t="s">
        <v>0</v>
      </c>
      <c r="P1657" s="15" t="s">
        <v>0</v>
      </c>
      <c r="Q1657" s="15" t="s">
        <v>987</v>
      </c>
      <c r="R1657" s="15" t="s">
        <v>0</v>
      </c>
      <c r="S1657" s="10" t="s">
        <v>1</v>
      </c>
      <c r="T1657" s="10" t="s">
        <v>32</v>
      </c>
      <c r="U1657" s="5" t="str">
        <f t="shared" si="621"/>
        <v>Propriedade destinada a qualificar: é.passado</v>
      </c>
      <c r="V1657" s="5" t="str">
        <f t="shared" si="622"/>
        <v>Dado para qualificar:  passado  Deve ser formatado como (xsd:boolean)</v>
      </c>
      <c r="W1657" s="5" t="s">
        <v>6319</v>
      </c>
      <c r="X1657" s="24" t="str">
        <f t="shared" si="623"/>
        <v>quali.142</v>
      </c>
      <c r="Y1657" s="24" t="str">
        <f t="shared" si="624"/>
        <v>Ação de qualificar</v>
      </c>
      <c r="Z1657" s="47" t="s">
        <v>7669</v>
      </c>
      <c r="AA1657" s="25" t="str">
        <f t="shared" si="627"/>
        <v>null</v>
      </c>
      <c r="AB1657" s="26" t="s">
        <v>0</v>
      </c>
      <c r="AC1657" s="25" t="str">
        <f t="shared" si="628"/>
        <v>null</v>
      </c>
      <c r="AD1657" s="26" t="s">
        <v>0</v>
      </c>
      <c r="AE1657" s="25" t="str">
        <f t="shared" si="625"/>
        <v>null</v>
      </c>
      <c r="AF1657" s="26" t="s">
        <v>0</v>
      </c>
      <c r="AG1657" s="47" t="s">
        <v>4866</v>
      </c>
    </row>
    <row r="1658" spans="1:33" ht="6.9" customHeight="1" x14ac:dyDescent="0.4">
      <c r="A1658" s="4">
        <f>ROW()</f>
        <v>1658</v>
      </c>
      <c r="B1658" s="9" t="s">
        <v>27</v>
      </c>
      <c r="C1658" s="55" t="str">
        <f t="shared" si="638"/>
        <v>p.qualificar</v>
      </c>
      <c r="D1658" s="6" t="str">
        <f t="shared" si="626"/>
        <v>é.perfeito</v>
      </c>
      <c r="E1658" s="8" t="s">
        <v>28</v>
      </c>
      <c r="F1658" s="42" t="str">
        <f t="shared" si="629"/>
        <v>d.qualificar</v>
      </c>
      <c r="G1658" s="17" t="s">
        <v>352</v>
      </c>
      <c r="H1658" s="42" t="s">
        <v>37</v>
      </c>
      <c r="I1658" s="16" t="str">
        <f t="shared" si="63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21"/>
        <v>Propriedade destinada a qualificar: é.perfeito</v>
      </c>
      <c r="V1658" s="5" t="str">
        <f t="shared" si="622"/>
        <v>Dado para qualificar:  perfeito  Deve ser formatado como (xsd:boolean)</v>
      </c>
      <c r="W1658" s="5" t="s">
        <v>6320</v>
      </c>
      <c r="X1658" s="24" t="str">
        <f t="shared" si="623"/>
        <v>quali.143</v>
      </c>
      <c r="Y1658" s="24" t="str">
        <f t="shared" si="624"/>
        <v>Ação de qualificar</v>
      </c>
      <c r="Z1658" s="47" t="s">
        <v>7670</v>
      </c>
      <c r="AA1658" s="25" t="str">
        <f t="shared" si="627"/>
        <v>null</v>
      </c>
      <c r="AB1658" s="26" t="s">
        <v>0</v>
      </c>
      <c r="AC1658" s="25" t="str">
        <f t="shared" si="628"/>
        <v>null</v>
      </c>
      <c r="AD1658" s="26" t="s">
        <v>0</v>
      </c>
      <c r="AE1658" s="25" t="str">
        <f t="shared" si="625"/>
        <v>null</v>
      </c>
      <c r="AF1658" s="26" t="s">
        <v>0</v>
      </c>
      <c r="AG1658" s="47" t="s">
        <v>3195</v>
      </c>
    </row>
    <row r="1659" spans="1:33" ht="6.9" customHeight="1" x14ac:dyDescent="0.4">
      <c r="A1659" s="4">
        <f>ROW()</f>
        <v>1659</v>
      </c>
      <c r="B1659" s="9" t="s">
        <v>27</v>
      </c>
      <c r="C1659" s="55" t="str">
        <f t="shared" ref="C1659:C1660" si="644">SUBSTITUTE(F1659,"d.","p.")</f>
        <v>p.qualificar</v>
      </c>
      <c r="D1659" s="6" t="str">
        <f t="shared" si="626"/>
        <v>é.perpétuo</v>
      </c>
      <c r="E1659" s="8" t="s">
        <v>28</v>
      </c>
      <c r="F1659" s="42" t="str">
        <f>F1656</f>
        <v>d.qualificar</v>
      </c>
      <c r="G1659" s="17" t="s">
        <v>4915</v>
      </c>
      <c r="H1659" s="42" t="s">
        <v>37</v>
      </c>
      <c r="I1659" s="16" t="str">
        <f t="shared" si="63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21"/>
        <v>Propriedade destinada a qualificar: é.perpétuo</v>
      </c>
      <c r="V1659" s="5" t="str">
        <f t="shared" si="622"/>
        <v>Dado para qualificar:  perpétuo  Deve ser formatado como (xsd:boolean)</v>
      </c>
      <c r="W1659" s="5" t="s">
        <v>6321</v>
      </c>
      <c r="X1659" s="24" t="str">
        <f t="shared" si="623"/>
        <v>quali.144</v>
      </c>
      <c r="Y1659" s="24" t="str">
        <f t="shared" si="624"/>
        <v>Ação de qualificar</v>
      </c>
      <c r="Z1659" s="47" t="s">
        <v>7671</v>
      </c>
      <c r="AA1659" s="25" t="str">
        <f t="shared" ref="AA1659:AA1660" si="645">IF(AB1659="null", "null", "categoria.revit")</f>
        <v>null</v>
      </c>
      <c r="AB1659" s="26" t="s">
        <v>0</v>
      </c>
      <c r="AC1659" s="25" t="str">
        <f t="shared" ref="AC1659:AC1660" si="646">IF(AD1659="null", "null", "classe.ifc")</f>
        <v>null</v>
      </c>
      <c r="AD1659" s="26" t="s">
        <v>0</v>
      </c>
      <c r="AE1659" s="25" t="str">
        <f t="shared" si="625"/>
        <v>null</v>
      </c>
      <c r="AF1659" s="26" t="s">
        <v>0</v>
      </c>
      <c r="AG1659" s="47" t="s">
        <v>6667</v>
      </c>
    </row>
    <row r="1660" spans="1:33" ht="6.9" customHeight="1" x14ac:dyDescent="0.4">
      <c r="A1660" s="4">
        <f>ROW()</f>
        <v>1660</v>
      </c>
      <c r="B1660" s="9" t="s">
        <v>27</v>
      </c>
      <c r="C1660" s="55" t="str">
        <f t="shared" si="644"/>
        <v>p.qualificar</v>
      </c>
      <c r="D1660" s="6" t="str">
        <f t="shared" si="626"/>
        <v>é.portátil</v>
      </c>
      <c r="E1660" s="8" t="s">
        <v>28</v>
      </c>
      <c r="F1660" s="42" t="str">
        <f t="shared" ref="F1660:F1665" si="647">F1657</f>
        <v>d.qualificar</v>
      </c>
      <c r="G1660" s="17" t="s">
        <v>7338</v>
      </c>
      <c r="H1660" s="42" t="s">
        <v>37</v>
      </c>
      <c r="I1660" s="16" t="str">
        <f t="shared" ref="I1660" si="648">J1660</f>
        <v>null</v>
      </c>
      <c r="J1660" s="15" t="s">
        <v>0</v>
      </c>
      <c r="K1660" s="15" t="s">
        <v>0</v>
      </c>
      <c r="L1660" s="15" t="s">
        <v>0</v>
      </c>
      <c r="M1660" s="15" t="s">
        <v>0</v>
      </c>
      <c r="N1660" s="15" t="s">
        <v>0</v>
      </c>
      <c r="O1660" s="15" t="s">
        <v>0</v>
      </c>
      <c r="P1660" s="15" t="s">
        <v>0</v>
      </c>
      <c r="Q1660" s="15" t="s">
        <v>7339</v>
      </c>
      <c r="R1660" s="15" t="s">
        <v>0</v>
      </c>
      <c r="S1660" s="10" t="s">
        <v>1</v>
      </c>
      <c r="T1660" s="10" t="s">
        <v>32</v>
      </c>
      <c r="U1660" s="5" t="str">
        <f t="shared" si="621"/>
        <v>Propriedade destinada a qualificar: é.portátil</v>
      </c>
      <c r="V1660" s="5" t="str">
        <f t="shared" si="622"/>
        <v>Dado para qualificar:  portátil  Deve ser formatado como (xsd:boolean)</v>
      </c>
      <c r="W1660" s="5" t="s">
        <v>7342</v>
      </c>
      <c r="X1660" s="24" t="str">
        <f t="shared" si="623"/>
        <v>quali.145</v>
      </c>
      <c r="Y1660" s="24" t="str">
        <f t="shared" si="624"/>
        <v>Ação de qualificar</v>
      </c>
      <c r="Z1660" s="47" t="s">
        <v>7672</v>
      </c>
      <c r="AA1660" s="25" t="str">
        <f t="shared" si="645"/>
        <v>null</v>
      </c>
      <c r="AB1660" s="26" t="s">
        <v>0</v>
      </c>
      <c r="AC1660" s="25" t="str">
        <f t="shared" si="646"/>
        <v>null</v>
      </c>
      <c r="AD1660" s="26" t="s">
        <v>0</v>
      </c>
      <c r="AE1660" s="25" t="str">
        <f t="shared" si="625"/>
        <v>null</v>
      </c>
      <c r="AF1660" s="26" t="s">
        <v>0</v>
      </c>
      <c r="AG1660" s="47" t="s">
        <v>7343</v>
      </c>
    </row>
    <row r="1661" spans="1:33" ht="6.9" customHeight="1" x14ac:dyDescent="0.4">
      <c r="A1661" s="4">
        <f>ROW()</f>
        <v>1661</v>
      </c>
      <c r="B1661" s="9" t="s">
        <v>27</v>
      </c>
      <c r="C1661" s="55" t="str">
        <f t="shared" si="638"/>
        <v>p.qualificar</v>
      </c>
      <c r="D1661" s="6" t="str">
        <f t="shared" si="626"/>
        <v>é.positiva</v>
      </c>
      <c r="E1661" s="8" t="s">
        <v>28</v>
      </c>
      <c r="F1661" s="42" t="str">
        <f t="shared" si="647"/>
        <v>d.qualificar</v>
      </c>
      <c r="G1661" s="17" t="s">
        <v>383</v>
      </c>
      <c r="H1661" s="42" t="s">
        <v>37</v>
      </c>
      <c r="I1661" s="16" t="str">
        <f t="shared" si="639"/>
        <v>null</v>
      </c>
      <c r="J1661" s="15" t="s">
        <v>0</v>
      </c>
      <c r="K1661" s="15" t="s">
        <v>0</v>
      </c>
      <c r="L1661" s="15" t="s">
        <v>0</v>
      </c>
      <c r="M1661" s="15" t="s">
        <v>0</v>
      </c>
      <c r="N1661" s="15" t="s">
        <v>0</v>
      </c>
      <c r="O1661" s="15" t="s">
        <v>0</v>
      </c>
      <c r="P1661" s="15" t="s">
        <v>0</v>
      </c>
      <c r="Q1661" s="15" t="s">
        <v>7344</v>
      </c>
      <c r="R1661" s="15" t="s">
        <v>0</v>
      </c>
      <c r="S1661" s="10" t="s">
        <v>1</v>
      </c>
      <c r="T1661" s="10" t="s">
        <v>32</v>
      </c>
      <c r="U1661" s="5" t="str">
        <f t="shared" si="621"/>
        <v>Propriedade destinada a qualificar: é.positiva</v>
      </c>
      <c r="V1661" s="5" t="str">
        <f t="shared" si="622"/>
        <v>Dado para qualificar:  positiva  Deve ser formatado como (xsd:boolean)</v>
      </c>
      <c r="W1661" s="5" t="s">
        <v>7346</v>
      </c>
      <c r="X1661" s="24" t="str">
        <f t="shared" si="623"/>
        <v>quali.146</v>
      </c>
      <c r="Y1661" s="24" t="str">
        <f t="shared" si="624"/>
        <v>Ação de qualificar</v>
      </c>
      <c r="Z1661" s="47" t="s">
        <v>7673</v>
      </c>
      <c r="AA1661" s="25" t="str">
        <f t="shared" si="627"/>
        <v>null</v>
      </c>
      <c r="AB1661" s="26" t="s">
        <v>0</v>
      </c>
      <c r="AC1661" s="25" t="str">
        <f t="shared" si="628"/>
        <v>null</v>
      </c>
      <c r="AD1661" s="26" t="s">
        <v>0</v>
      </c>
      <c r="AE1661" s="25" t="str">
        <f t="shared" si="625"/>
        <v>null</v>
      </c>
      <c r="AF1661" s="26" t="s">
        <v>0</v>
      </c>
      <c r="AG1661" s="47" t="s">
        <v>4865</v>
      </c>
    </row>
    <row r="1662" spans="1:33" ht="6.9" customHeight="1" x14ac:dyDescent="0.4">
      <c r="A1662" s="4">
        <f>ROW()</f>
        <v>1662</v>
      </c>
      <c r="B1662" s="9" t="s">
        <v>27</v>
      </c>
      <c r="C1662" s="55" t="str">
        <f t="shared" si="638"/>
        <v>p.qualificar</v>
      </c>
      <c r="D1662" s="6" t="str">
        <f t="shared" si="626"/>
        <v>é.positivo</v>
      </c>
      <c r="E1662" s="8" t="s">
        <v>28</v>
      </c>
      <c r="F1662" s="42" t="str">
        <f t="shared" si="647"/>
        <v>d.qualificar</v>
      </c>
      <c r="G1662" s="18" t="s">
        <v>236</v>
      </c>
      <c r="H1662" s="42" t="s">
        <v>37</v>
      </c>
      <c r="I1662" s="16" t="str">
        <f t="shared" si="639"/>
        <v>null</v>
      </c>
      <c r="J1662" s="13" t="s">
        <v>0</v>
      </c>
      <c r="K1662" s="13" t="s">
        <v>0</v>
      </c>
      <c r="L1662" s="13" t="s">
        <v>0</v>
      </c>
      <c r="M1662" s="13" t="s">
        <v>0</v>
      </c>
      <c r="N1662" s="15" t="s">
        <v>0</v>
      </c>
      <c r="O1662" s="13" t="s">
        <v>0</v>
      </c>
      <c r="P1662" s="13" t="s">
        <v>0</v>
      </c>
      <c r="Q1662" s="15" t="s">
        <v>524</v>
      </c>
      <c r="R1662" s="15" t="s">
        <v>0</v>
      </c>
      <c r="S1662" s="10" t="s">
        <v>1</v>
      </c>
      <c r="T1662" s="10" t="s">
        <v>32</v>
      </c>
      <c r="U1662" s="5" t="str">
        <f t="shared" si="621"/>
        <v>Propriedade destinada a qualificar: é.positivo</v>
      </c>
      <c r="V1662" s="5" t="str">
        <f t="shared" si="622"/>
        <v>Dado para qualificar:  positivo  Deve ser formatado como (xsd:boolean)</v>
      </c>
      <c r="W1662" s="5" t="s">
        <v>7345</v>
      </c>
      <c r="X1662" s="24" t="str">
        <f t="shared" si="623"/>
        <v>quali.147</v>
      </c>
      <c r="Y1662" s="24" t="str">
        <f t="shared" si="624"/>
        <v>Ação de qualificar</v>
      </c>
      <c r="Z1662" s="47" t="s">
        <v>7673</v>
      </c>
      <c r="AA1662" s="25" t="str">
        <f t="shared" si="627"/>
        <v>null</v>
      </c>
      <c r="AB1662" s="26" t="s">
        <v>0</v>
      </c>
      <c r="AC1662" s="25" t="str">
        <f t="shared" si="628"/>
        <v>null</v>
      </c>
      <c r="AD1662" s="26" t="s">
        <v>0</v>
      </c>
      <c r="AE1662" s="25" t="str">
        <f t="shared" si="625"/>
        <v>null</v>
      </c>
      <c r="AF1662" s="26" t="s">
        <v>0</v>
      </c>
      <c r="AG1662" s="47" t="s">
        <v>4865</v>
      </c>
    </row>
    <row r="1663" spans="1:33" ht="6.9" customHeight="1" x14ac:dyDescent="0.4">
      <c r="A1663" s="4">
        <f>ROW()</f>
        <v>1663</v>
      </c>
      <c r="B1663" s="9" t="s">
        <v>27</v>
      </c>
      <c r="C1663" s="55" t="str">
        <f t="shared" si="638"/>
        <v>p.qualificar</v>
      </c>
      <c r="D1663" s="6" t="str">
        <f t="shared" si="626"/>
        <v>é.potencial</v>
      </c>
      <c r="E1663" s="8" t="s">
        <v>28</v>
      </c>
      <c r="F1663" s="42" t="str">
        <f t="shared" si="647"/>
        <v>d.qualificar</v>
      </c>
      <c r="G1663" s="17" t="s">
        <v>363</v>
      </c>
      <c r="H1663" s="42" t="s">
        <v>37</v>
      </c>
      <c r="I1663" s="16" t="str">
        <f t="shared" si="63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21"/>
        <v>Propriedade destinada a qualificar: é.potencial</v>
      </c>
      <c r="V1663" s="5" t="str">
        <f t="shared" si="622"/>
        <v>Dado para qualificar:  potencial  Deve ser formatado como (xsd:boolean)</v>
      </c>
      <c r="W1663" s="5" t="s">
        <v>6322</v>
      </c>
      <c r="X1663" s="24" t="str">
        <f t="shared" si="623"/>
        <v>quali.148</v>
      </c>
      <c r="Y1663" s="24" t="str">
        <f t="shared" si="624"/>
        <v>Ação de qualificar</v>
      </c>
      <c r="Z1663" s="47" t="s">
        <v>7674</v>
      </c>
      <c r="AA1663" s="25" t="str">
        <f t="shared" si="627"/>
        <v>null</v>
      </c>
      <c r="AB1663" s="26" t="s">
        <v>0</v>
      </c>
      <c r="AC1663" s="25" t="str">
        <f t="shared" si="628"/>
        <v>null</v>
      </c>
      <c r="AD1663" s="26" t="s">
        <v>0</v>
      </c>
      <c r="AE1663" s="25" t="str">
        <f t="shared" si="625"/>
        <v>null</v>
      </c>
      <c r="AF1663" s="26" t="s">
        <v>0</v>
      </c>
      <c r="AG1663" s="47" t="s">
        <v>4864</v>
      </c>
    </row>
    <row r="1664" spans="1:33" ht="6.9" customHeight="1" x14ac:dyDescent="0.4">
      <c r="A1664" s="4">
        <f>ROW()</f>
        <v>1664</v>
      </c>
      <c r="B1664" s="9" t="s">
        <v>27</v>
      </c>
      <c r="C1664" s="55" t="str">
        <f t="shared" si="638"/>
        <v>p.qualificar</v>
      </c>
      <c r="D1664" s="6" t="str">
        <f t="shared" si="626"/>
        <v>é.pressurizado</v>
      </c>
      <c r="E1664" s="8" t="s">
        <v>28</v>
      </c>
      <c r="F1664" s="42" t="str">
        <f t="shared" si="647"/>
        <v>d.qualificar</v>
      </c>
      <c r="G1664" s="17" t="s">
        <v>381</v>
      </c>
      <c r="H1664" s="42" t="s">
        <v>37</v>
      </c>
      <c r="I1664" s="16" t="str">
        <f t="shared" si="63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21"/>
        <v>Propriedade destinada a qualificar: é.pressurizado</v>
      </c>
      <c r="V1664" s="5" t="str">
        <f t="shared" si="622"/>
        <v>Dado para qualificar:  pressurizado  Deve ser formatado como (xsd:boolean)</v>
      </c>
      <c r="W1664" s="5" t="s">
        <v>6323</v>
      </c>
      <c r="X1664" s="24" t="str">
        <f t="shared" si="623"/>
        <v>quali.149</v>
      </c>
      <c r="Y1664" s="24" t="str">
        <f t="shared" si="624"/>
        <v>Ação de qualificar</v>
      </c>
      <c r="Z1664" s="47" t="s">
        <v>7675</v>
      </c>
      <c r="AA1664" s="25" t="str">
        <f t="shared" si="627"/>
        <v>null</v>
      </c>
      <c r="AB1664" s="26" t="s">
        <v>0</v>
      </c>
      <c r="AC1664" s="25" t="str">
        <f t="shared" si="628"/>
        <v>null</v>
      </c>
      <c r="AD1664" s="26" t="s">
        <v>0</v>
      </c>
      <c r="AE1664" s="25" t="str">
        <f t="shared" si="625"/>
        <v>null</v>
      </c>
      <c r="AF1664" s="26" t="s">
        <v>0</v>
      </c>
      <c r="AG1664" s="47" t="s">
        <v>3196</v>
      </c>
    </row>
    <row r="1665" spans="1:33" ht="6.9" customHeight="1" x14ac:dyDescent="0.4">
      <c r="A1665" s="4">
        <f>ROW()</f>
        <v>1665</v>
      </c>
      <c r="B1665" s="9" t="s">
        <v>27</v>
      </c>
      <c r="C1665" s="55" t="str">
        <f t="shared" si="638"/>
        <v>p.qualificar</v>
      </c>
      <c r="D1665" s="6" t="str">
        <f t="shared" si="626"/>
        <v>é.problemático</v>
      </c>
      <c r="E1665" s="8" t="s">
        <v>28</v>
      </c>
      <c r="F1665" s="42" t="str">
        <f t="shared" si="647"/>
        <v>d.qualificar</v>
      </c>
      <c r="G1665" s="17" t="s">
        <v>357</v>
      </c>
      <c r="H1665" s="42" t="s">
        <v>37</v>
      </c>
      <c r="I1665" s="16" t="str">
        <f t="shared" si="63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21"/>
        <v>Propriedade destinada a qualificar: é.problemático</v>
      </c>
      <c r="V1665" s="5" t="str">
        <f t="shared" si="622"/>
        <v>Dado para qualificar:  problemático  Deve ser formatado como (xsd:boolean)</v>
      </c>
      <c r="W1665" s="5" t="s">
        <v>6324</v>
      </c>
      <c r="X1665" s="24" t="str">
        <f t="shared" si="623"/>
        <v>quali.150</v>
      </c>
      <c r="Y1665" s="24" t="str">
        <f t="shared" si="624"/>
        <v>Ação de qualificar</v>
      </c>
      <c r="Z1665" s="47" t="s">
        <v>7676</v>
      </c>
      <c r="AA1665" s="25" t="str">
        <f t="shared" si="627"/>
        <v>null</v>
      </c>
      <c r="AB1665" s="26" t="s">
        <v>0</v>
      </c>
      <c r="AC1665" s="25" t="str">
        <f t="shared" si="628"/>
        <v>null</v>
      </c>
      <c r="AD1665" s="26" t="s">
        <v>0</v>
      </c>
      <c r="AE1665" s="25" t="str">
        <f t="shared" si="625"/>
        <v>null</v>
      </c>
      <c r="AF1665" s="26" t="s">
        <v>0</v>
      </c>
      <c r="AG1665" s="47" t="s">
        <v>4863</v>
      </c>
    </row>
    <row r="1666" spans="1:33" ht="6.9" customHeight="1" x14ac:dyDescent="0.4">
      <c r="A1666" s="4">
        <f>ROW()</f>
        <v>1666</v>
      </c>
      <c r="B1666" s="9" t="s">
        <v>27</v>
      </c>
      <c r="C1666" s="55" t="str">
        <f t="shared" si="638"/>
        <v>p.qualificar</v>
      </c>
      <c r="D1666" s="6" t="str">
        <f t="shared" si="626"/>
        <v>é.protegido</v>
      </c>
      <c r="E1666" s="8" t="s">
        <v>28</v>
      </c>
      <c r="F1666" s="42" t="str">
        <f t="shared" si="629"/>
        <v>d.qualificar</v>
      </c>
      <c r="G1666" s="17" t="s">
        <v>372</v>
      </c>
      <c r="H1666" s="42" t="s">
        <v>37</v>
      </c>
      <c r="I1666" s="16" t="str">
        <f t="shared" si="63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729" si="649">_xlfn.CONCAT("Propriedade destinada a ",MID(C1666,FIND("p.",C1666,1)+2,100),": ",D1666)</f>
        <v>Propriedade destinada a qualificar: é.protegido</v>
      </c>
      <c r="V1666" s="5" t="str">
        <f t="shared" ref="V1666:V1729" si="650">_xlfn.CONCAT("Dado para ",MID(F1666,FIND("d.",F1666,1)+2,100),":  ",G1666, "  Deve ser formatado como (",H1666, ")")</f>
        <v>Dado para qualificar:  protegido  Deve ser formatado como (xsd:boolean)</v>
      </c>
      <c r="W1666" s="5" t="s">
        <v>6325</v>
      </c>
      <c r="X1666" s="24" t="str">
        <f t="shared" si="623"/>
        <v>quali.151</v>
      </c>
      <c r="Y1666" s="24" t="str">
        <f t="shared" si="624"/>
        <v>Ação de qualificar</v>
      </c>
      <c r="Z1666" s="47" t="s">
        <v>7677</v>
      </c>
      <c r="AA1666" s="25" t="str">
        <f t="shared" si="627"/>
        <v>null</v>
      </c>
      <c r="AB1666" s="26" t="s">
        <v>0</v>
      </c>
      <c r="AC1666" s="25" t="str">
        <f t="shared" si="628"/>
        <v>null</v>
      </c>
      <c r="AD1666" s="26" t="s">
        <v>0</v>
      </c>
      <c r="AE1666" s="25" t="str">
        <f t="shared" si="625"/>
        <v>null</v>
      </c>
      <c r="AF1666" s="26" t="s">
        <v>0</v>
      </c>
      <c r="AG1666" s="47" t="s">
        <v>3197</v>
      </c>
    </row>
    <row r="1667" spans="1:33" ht="6.9" customHeight="1" x14ac:dyDescent="0.4">
      <c r="A1667" s="4">
        <f>ROW()</f>
        <v>1667</v>
      </c>
      <c r="B1667" s="9" t="s">
        <v>27</v>
      </c>
      <c r="C1667" s="55" t="str">
        <f t="shared" si="638"/>
        <v>p.qualificar</v>
      </c>
      <c r="D1667" s="6" t="str">
        <f t="shared" si="626"/>
        <v>é.real</v>
      </c>
      <c r="E1667" s="8" t="s">
        <v>28</v>
      </c>
      <c r="F1667" s="42" t="str">
        <f t="shared" si="629"/>
        <v>d.qualificar</v>
      </c>
      <c r="G1667" s="17" t="s">
        <v>343</v>
      </c>
      <c r="H1667" s="42" t="s">
        <v>37</v>
      </c>
      <c r="I1667" s="16" t="str">
        <f t="shared" si="63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49"/>
        <v>Propriedade destinada a qualificar: é.real</v>
      </c>
      <c r="V1667" s="5" t="str">
        <f t="shared" si="650"/>
        <v>Dado para qualificar:  real  Deve ser formatado como (xsd:boolean)</v>
      </c>
      <c r="W1667" s="5" t="s">
        <v>6326</v>
      </c>
      <c r="X1667" s="24" t="str">
        <f t="shared" ref="X1667:X1730" si="651">IF(F1666&lt;&gt;F1667,_xlfn.CONCAT(RIGHT(LEFT(F1667,7),5),".100"),_xlfn.CONCAT(RIGHT(LEFT(F1667,7),5),".",SUM(VALUE(RIGHT(X1666,3)),1)))</f>
        <v>quali.152</v>
      </c>
      <c r="Y1667" s="24" t="str">
        <f t="shared" ref="Y1667:Y1730" si="652">_xlfn.CONCAT("Ação de ", SUBSTITUTE(F1667, "d.",  ""))</f>
        <v>Ação de qualificar</v>
      </c>
      <c r="Z1667" s="47" t="s">
        <v>7678</v>
      </c>
      <c r="AA1667" s="25" t="str">
        <f t="shared" si="627"/>
        <v>null</v>
      </c>
      <c r="AB1667" s="26" t="s">
        <v>0</v>
      </c>
      <c r="AC1667" s="25" t="str">
        <f t="shared" si="628"/>
        <v>null</v>
      </c>
      <c r="AD1667" s="26" t="s">
        <v>0</v>
      </c>
      <c r="AE1667" s="25" t="str">
        <f t="shared" si="625"/>
        <v>null</v>
      </c>
      <c r="AF1667" s="26" t="s">
        <v>0</v>
      </c>
      <c r="AG1667" s="47" t="s">
        <v>3198</v>
      </c>
    </row>
    <row r="1668" spans="1:33" ht="6.9" customHeight="1" x14ac:dyDescent="0.4">
      <c r="A1668" s="4">
        <f>ROW()</f>
        <v>1668</v>
      </c>
      <c r="B1668" s="9" t="s">
        <v>27</v>
      </c>
      <c r="C1668" s="55" t="str">
        <f t="shared" si="638"/>
        <v>p.qualificar</v>
      </c>
      <c r="D1668" s="6" t="str">
        <f t="shared" si="626"/>
        <v>é.refrigerado</v>
      </c>
      <c r="E1668" s="8" t="s">
        <v>28</v>
      </c>
      <c r="F1668" s="42" t="str">
        <f t="shared" si="629"/>
        <v>d.qualificar</v>
      </c>
      <c r="G1668" s="17" t="s">
        <v>376</v>
      </c>
      <c r="H1668" s="42" t="s">
        <v>37</v>
      </c>
      <c r="I1668" s="16" t="str">
        <f t="shared" si="63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649"/>
        <v>Propriedade destinada a qualificar: é.refrigerado</v>
      </c>
      <c r="V1668" s="5" t="str">
        <f t="shared" si="650"/>
        <v>Dado para qualificar:  refrigerado  Deve ser formatado como (xsd:boolean)</v>
      </c>
      <c r="W1668" s="5" t="s">
        <v>6327</v>
      </c>
      <c r="X1668" s="24" t="str">
        <f t="shared" si="651"/>
        <v>quali.153</v>
      </c>
      <c r="Y1668" s="24" t="str">
        <f t="shared" si="652"/>
        <v>Ação de qualificar</v>
      </c>
      <c r="Z1668" s="47" t="s">
        <v>7679</v>
      </c>
      <c r="AA1668" s="25" t="str">
        <f t="shared" si="627"/>
        <v>null</v>
      </c>
      <c r="AB1668" s="26" t="s">
        <v>0</v>
      </c>
      <c r="AC1668" s="25" t="str">
        <f t="shared" si="628"/>
        <v>null</v>
      </c>
      <c r="AD1668" s="26" t="s">
        <v>0</v>
      </c>
      <c r="AE1668" s="25" t="str">
        <f t="shared" si="625"/>
        <v>null</v>
      </c>
      <c r="AF1668" s="26" t="s">
        <v>0</v>
      </c>
      <c r="AG1668" s="47" t="s">
        <v>3199</v>
      </c>
    </row>
    <row r="1669" spans="1:33" ht="6.9" customHeight="1" x14ac:dyDescent="0.4">
      <c r="A1669" s="4">
        <f>ROW()</f>
        <v>1669</v>
      </c>
      <c r="B1669" s="9" t="s">
        <v>27</v>
      </c>
      <c r="C1669" s="55" t="str">
        <f t="shared" si="638"/>
        <v>p.qualificar</v>
      </c>
      <c r="D1669" s="6" t="str">
        <f t="shared" si="626"/>
        <v>é.residual</v>
      </c>
      <c r="E1669" s="8" t="s">
        <v>28</v>
      </c>
      <c r="F1669" s="42" t="str">
        <f t="shared" si="629"/>
        <v>d.qualificar</v>
      </c>
      <c r="G1669" s="17" t="s">
        <v>361</v>
      </c>
      <c r="H1669" s="42" t="s">
        <v>37</v>
      </c>
      <c r="I1669" s="16" t="str">
        <f t="shared" si="63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649"/>
        <v>Propriedade destinada a qualificar: é.residual</v>
      </c>
      <c r="V1669" s="5" t="str">
        <f t="shared" si="650"/>
        <v>Dado para qualificar:  residual  Deve ser formatado como (xsd:boolean)</v>
      </c>
      <c r="W1669" s="5" t="s">
        <v>6328</v>
      </c>
      <c r="X1669" s="24" t="str">
        <f t="shared" si="651"/>
        <v>quali.154</v>
      </c>
      <c r="Y1669" s="24" t="str">
        <f t="shared" si="652"/>
        <v>Ação de qualificar</v>
      </c>
      <c r="Z1669" s="47" t="s">
        <v>7680</v>
      </c>
      <c r="AA1669" s="25" t="str">
        <f t="shared" si="627"/>
        <v>null</v>
      </c>
      <c r="AB1669" s="26" t="s">
        <v>0</v>
      </c>
      <c r="AC1669" s="25" t="str">
        <f t="shared" si="628"/>
        <v>null</v>
      </c>
      <c r="AD1669" s="26" t="s">
        <v>0</v>
      </c>
      <c r="AE1669" s="25" t="str">
        <f t="shared" si="625"/>
        <v>null</v>
      </c>
      <c r="AF1669" s="26" t="s">
        <v>0</v>
      </c>
      <c r="AG1669" s="47" t="s">
        <v>3200</v>
      </c>
    </row>
    <row r="1670" spans="1:33" ht="6.9" customHeight="1" x14ac:dyDescent="0.4">
      <c r="A1670" s="4">
        <f>ROW()</f>
        <v>1670</v>
      </c>
      <c r="B1670" s="9" t="s">
        <v>27</v>
      </c>
      <c r="C1670" s="55" t="str">
        <f t="shared" si="638"/>
        <v>p.qualificar</v>
      </c>
      <c r="D1670" s="6" t="str">
        <f t="shared" si="626"/>
        <v>é.ressonante</v>
      </c>
      <c r="E1670" s="8" t="s">
        <v>28</v>
      </c>
      <c r="F1670" s="42" t="str">
        <f t="shared" si="629"/>
        <v>d.qualificar</v>
      </c>
      <c r="G1670" s="17" t="s">
        <v>6975</v>
      </c>
      <c r="H1670" s="42" t="s">
        <v>37</v>
      </c>
      <c r="I1670" s="16" t="str">
        <f t="shared" si="63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649"/>
        <v>Propriedade destinada a qualificar: é.ressonante</v>
      </c>
      <c r="V1670" s="5" t="str">
        <f t="shared" si="650"/>
        <v>Dado para qualificar:  ressonante  Deve ser formatado como (xsd:boolean)</v>
      </c>
      <c r="W1670" s="5" t="s">
        <v>6329</v>
      </c>
      <c r="X1670" s="24" t="str">
        <f t="shared" si="651"/>
        <v>quali.155</v>
      </c>
      <c r="Y1670" s="24" t="str">
        <f t="shared" si="652"/>
        <v>Ação de qualificar</v>
      </c>
      <c r="Z1670" s="47" t="s">
        <v>7681</v>
      </c>
      <c r="AA1670" s="25" t="str">
        <f t="shared" si="627"/>
        <v>null</v>
      </c>
      <c r="AB1670" s="26" t="s">
        <v>0</v>
      </c>
      <c r="AC1670" s="25" t="str">
        <f t="shared" si="628"/>
        <v>null</v>
      </c>
      <c r="AD1670" s="26" t="s">
        <v>0</v>
      </c>
      <c r="AE1670" s="25" t="str">
        <f t="shared" si="625"/>
        <v>null</v>
      </c>
      <c r="AF1670" s="26" t="s">
        <v>0</v>
      </c>
      <c r="AG1670" s="47" t="s">
        <v>4862</v>
      </c>
    </row>
    <row r="1671" spans="1:33" ht="6.9" customHeight="1" x14ac:dyDescent="0.4">
      <c r="A1671" s="4">
        <f>ROW()</f>
        <v>1671</v>
      </c>
      <c r="B1671" s="9" t="s">
        <v>27</v>
      </c>
      <c r="C1671" s="55" t="str">
        <f t="shared" si="638"/>
        <v>p.qualificar</v>
      </c>
      <c r="D1671" s="6" t="str">
        <f t="shared" si="626"/>
        <v>é.ruidoso</v>
      </c>
      <c r="E1671" s="8" t="s">
        <v>28</v>
      </c>
      <c r="F1671" s="42" t="str">
        <f t="shared" si="629"/>
        <v>d.qualificar</v>
      </c>
      <c r="G1671" s="17" t="s">
        <v>356</v>
      </c>
      <c r="H1671" s="42" t="s">
        <v>37</v>
      </c>
      <c r="I1671" s="16" t="str">
        <f t="shared" si="63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49"/>
        <v>Propriedade destinada a qualificar: é.ruidoso</v>
      </c>
      <c r="V1671" s="5" t="str">
        <f t="shared" si="650"/>
        <v>Dado para qualificar:  ruidoso  Deve ser formatado como (xsd:boolean)</v>
      </c>
      <c r="W1671" s="5" t="s">
        <v>6330</v>
      </c>
      <c r="X1671" s="24" t="str">
        <f t="shared" si="651"/>
        <v>quali.156</v>
      </c>
      <c r="Y1671" s="24" t="str">
        <f t="shared" si="652"/>
        <v>Ação de qualificar</v>
      </c>
      <c r="Z1671" s="47" t="s">
        <v>7682</v>
      </c>
      <c r="AA1671" s="25" t="str">
        <f t="shared" si="627"/>
        <v>null</v>
      </c>
      <c r="AB1671" s="26" t="s">
        <v>0</v>
      </c>
      <c r="AC1671" s="25" t="str">
        <f t="shared" si="628"/>
        <v>null</v>
      </c>
      <c r="AD1671" s="26" t="s">
        <v>0</v>
      </c>
      <c r="AE1671" s="25" t="str">
        <f t="shared" si="625"/>
        <v>null</v>
      </c>
      <c r="AF1671" s="26" t="s">
        <v>0</v>
      </c>
      <c r="AG1671" s="47" t="s">
        <v>3201</v>
      </c>
    </row>
    <row r="1672" spans="1:33" ht="6.9" customHeight="1" x14ac:dyDescent="0.4">
      <c r="A1672" s="4">
        <f>ROW()</f>
        <v>1672</v>
      </c>
      <c r="B1672" s="9" t="s">
        <v>27</v>
      </c>
      <c r="C1672" s="55" t="str">
        <f t="shared" si="638"/>
        <v>p.qualificar</v>
      </c>
      <c r="D1672" s="6" t="str">
        <f t="shared" si="626"/>
        <v>é.seco</v>
      </c>
      <c r="E1672" s="8" t="s">
        <v>28</v>
      </c>
      <c r="F1672" s="42" t="str">
        <f t="shared" si="629"/>
        <v>d.qualificar</v>
      </c>
      <c r="G1672" s="17" t="s">
        <v>359</v>
      </c>
      <c r="H1672" s="42" t="s">
        <v>37</v>
      </c>
      <c r="I1672" s="16" t="str">
        <f t="shared" si="63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49"/>
        <v>Propriedade destinada a qualificar: é.seco</v>
      </c>
      <c r="V1672" s="5" t="str">
        <f t="shared" si="650"/>
        <v>Dado para qualificar:  seco  Deve ser formatado como (xsd:boolean)</v>
      </c>
      <c r="W1672" s="5" t="s">
        <v>6331</v>
      </c>
      <c r="X1672" s="24" t="str">
        <f t="shared" si="651"/>
        <v>quali.157</v>
      </c>
      <c r="Y1672" s="24" t="str">
        <f t="shared" si="652"/>
        <v>Ação de qualificar</v>
      </c>
      <c r="Z1672" s="47" t="s">
        <v>7683</v>
      </c>
      <c r="AA1672" s="25" t="str">
        <f t="shared" si="627"/>
        <v>null</v>
      </c>
      <c r="AB1672" s="26" t="s">
        <v>0</v>
      </c>
      <c r="AC1672" s="25" t="str">
        <f t="shared" si="628"/>
        <v>null</v>
      </c>
      <c r="AD1672" s="26" t="s">
        <v>0</v>
      </c>
      <c r="AE1672" s="25" t="str">
        <f t="shared" si="625"/>
        <v>null</v>
      </c>
      <c r="AF1672" s="26" t="s">
        <v>0</v>
      </c>
      <c r="AG1672" s="47" t="s">
        <v>3202</v>
      </c>
    </row>
    <row r="1673" spans="1:33" ht="6.9" customHeight="1" x14ac:dyDescent="0.4">
      <c r="A1673" s="4">
        <f>ROW()</f>
        <v>1673</v>
      </c>
      <c r="B1673" s="9" t="s">
        <v>27</v>
      </c>
      <c r="C1673" s="55" t="str">
        <f t="shared" si="638"/>
        <v>p.qualificar</v>
      </c>
      <c r="D1673" s="6" t="str">
        <f t="shared" si="626"/>
        <v>é.semiautomático</v>
      </c>
      <c r="E1673" s="8" t="s">
        <v>28</v>
      </c>
      <c r="F1673" s="42" t="str">
        <f t="shared" si="629"/>
        <v>d.qualificar</v>
      </c>
      <c r="G1673" s="17" t="s">
        <v>401</v>
      </c>
      <c r="H1673" s="42" t="s">
        <v>37</v>
      </c>
      <c r="I1673" s="16" t="str">
        <f t="shared" si="63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49"/>
        <v>Propriedade destinada a qualificar: é.semiautomático</v>
      </c>
      <c r="V1673" s="5" t="str">
        <f t="shared" si="650"/>
        <v>Dado para qualificar:  semiautomático  Deve ser formatado como (xsd:boolean)</v>
      </c>
      <c r="W1673" s="5" t="s">
        <v>6332</v>
      </c>
      <c r="X1673" s="24" t="str">
        <f t="shared" si="651"/>
        <v>quali.158</v>
      </c>
      <c r="Y1673" s="24" t="str">
        <f t="shared" si="652"/>
        <v>Ação de qualificar</v>
      </c>
      <c r="Z1673" s="47" t="s">
        <v>7684</v>
      </c>
      <c r="AA1673" s="25" t="str">
        <f t="shared" si="627"/>
        <v>null</v>
      </c>
      <c r="AB1673" s="26" t="s">
        <v>0</v>
      </c>
      <c r="AC1673" s="25" t="str">
        <f t="shared" si="628"/>
        <v>null</v>
      </c>
      <c r="AD1673" s="26" t="s">
        <v>0</v>
      </c>
      <c r="AE1673" s="25" t="str">
        <f t="shared" si="625"/>
        <v>null</v>
      </c>
      <c r="AF1673" s="26" t="s">
        <v>0</v>
      </c>
      <c r="AG1673" s="47" t="s">
        <v>3203</v>
      </c>
    </row>
    <row r="1674" spans="1:33" ht="6.9" customHeight="1" x14ac:dyDescent="0.4">
      <c r="A1674" s="4">
        <f>ROW()</f>
        <v>1674</v>
      </c>
      <c r="B1674" s="9" t="s">
        <v>27</v>
      </c>
      <c r="C1674" s="55" t="str">
        <f t="shared" si="638"/>
        <v>p.qualificar</v>
      </c>
      <c r="D1674" s="6" t="str">
        <f t="shared" si="626"/>
        <v>é.silencioso</v>
      </c>
      <c r="E1674" s="8" t="s">
        <v>28</v>
      </c>
      <c r="F1674" s="42" t="str">
        <f t="shared" ref="F1674:F1681" si="653">F1672</f>
        <v>d.qualificar</v>
      </c>
      <c r="G1674" s="17" t="s">
        <v>355</v>
      </c>
      <c r="H1674" s="42" t="s">
        <v>37</v>
      </c>
      <c r="I1674" s="16" t="str">
        <f t="shared" si="63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49"/>
        <v>Propriedade destinada a qualificar: é.silencioso</v>
      </c>
      <c r="V1674" s="5" t="str">
        <f t="shared" si="650"/>
        <v>Dado para qualificar:  silencioso  Deve ser formatado como (xsd:boolean)</v>
      </c>
      <c r="W1674" s="5" t="s">
        <v>6333</v>
      </c>
      <c r="X1674" s="24" t="str">
        <f t="shared" si="651"/>
        <v>quali.159</v>
      </c>
      <c r="Y1674" s="24" t="str">
        <f t="shared" si="652"/>
        <v>Ação de qualificar</v>
      </c>
      <c r="Z1674" s="47" t="s">
        <v>7685</v>
      </c>
      <c r="AA1674" s="25" t="str">
        <f t="shared" si="627"/>
        <v>null</v>
      </c>
      <c r="AB1674" s="26" t="s">
        <v>0</v>
      </c>
      <c r="AC1674" s="25" t="str">
        <f t="shared" si="628"/>
        <v>null</v>
      </c>
      <c r="AD1674" s="26" t="s">
        <v>0</v>
      </c>
      <c r="AE1674" s="25" t="str">
        <f t="shared" ref="AE1674:AE1745" si="654">IF(AF1674="null", "null", "propriedade")</f>
        <v>null</v>
      </c>
      <c r="AF1674" s="26" t="s">
        <v>0</v>
      </c>
      <c r="AG1674" s="47" t="s">
        <v>3204</v>
      </c>
    </row>
    <row r="1675" spans="1:33" ht="6.9" customHeight="1" x14ac:dyDescent="0.4">
      <c r="A1675" s="4">
        <f>ROW()</f>
        <v>1675</v>
      </c>
      <c r="B1675" s="9" t="s">
        <v>27</v>
      </c>
      <c r="C1675" s="55" t="str">
        <f t="shared" si="638"/>
        <v>p.qualificar</v>
      </c>
      <c r="D1675" s="6" t="str">
        <f t="shared" si="626"/>
        <v>é.substituível</v>
      </c>
      <c r="E1675" s="8" t="s">
        <v>28</v>
      </c>
      <c r="F1675" s="42" t="str">
        <f t="shared" si="653"/>
        <v>d.qualificar</v>
      </c>
      <c r="G1675" s="17" t="s">
        <v>365</v>
      </c>
      <c r="H1675" s="42" t="s">
        <v>37</v>
      </c>
      <c r="I1675" s="16" t="str">
        <f t="shared" si="63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49"/>
        <v>Propriedade destinada a qualificar: é.substituível</v>
      </c>
      <c r="V1675" s="5" t="str">
        <f t="shared" si="650"/>
        <v>Dado para qualificar:  substituível  Deve ser formatado como (xsd:boolean)</v>
      </c>
      <c r="W1675" s="5" t="s">
        <v>6334</v>
      </c>
      <c r="X1675" s="24" t="str">
        <f t="shared" si="651"/>
        <v>quali.160</v>
      </c>
      <c r="Y1675" s="24" t="str">
        <f t="shared" si="652"/>
        <v>Ação de qualificar</v>
      </c>
      <c r="Z1675" s="47" t="s">
        <v>7686</v>
      </c>
      <c r="AA1675" s="25" t="str">
        <f t="shared" si="627"/>
        <v>null</v>
      </c>
      <c r="AB1675" s="26" t="s">
        <v>0</v>
      </c>
      <c r="AC1675" s="25" t="str">
        <f t="shared" si="628"/>
        <v>null</v>
      </c>
      <c r="AD1675" s="26" t="s">
        <v>0</v>
      </c>
      <c r="AE1675" s="25" t="str">
        <f t="shared" si="654"/>
        <v>null</v>
      </c>
      <c r="AF1675" s="26" t="s">
        <v>0</v>
      </c>
      <c r="AG1675" s="47" t="s">
        <v>3205</v>
      </c>
    </row>
    <row r="1676" spans="1:33" ht="6.9" customHeight="1" x14ac:dyDescent="0.4">
      <c r="A1676" s="4">
        <f>ROW()</f>
        <v>1676</v>
      </c>
      <c r="B1676" s="9" t="s">
        <v>27</v>
      </c>
      <c r="C1676" s="55" t="str">
        <f t="shared" si="638"/>
        <v>p.qualificar</v>
      </c>
      <c r="D1676" s="6" t="str">
        <f t="shared" si="626"/>
        <v>é.úmido</v>
      </c>
      <c r="E1676" s="8" t="s">
        <v>28</v>
      </c>
      <c r="F1676" s="42" t="str">
        <f t="shared" si="653"/>
        <v>d.qualificar</v>
      </c>
      <c r="G1676" s="17" t="s">
        <v>360</v>
      </c>
      <c r="H1676" s="42" t="s">
        <v>37</v>
      </c>
      <c r="I1676" s="16" t="str">
        <f t="shared" si="63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649"/>
        <v>Propriedade destinada a qualificar: é.úmido</v>
      </c>
      <c r="V1676" s="5" t="str">
        <f t="shared" si="650"/>
        <v>Dado para qualificar:  úmido  Deve ser formatado como (xsd:boolean)</v>
      </c>
      <c r="W1676" s="5" t="s">
        <v>6335</v>
      </c>
      <c r="X1676" s="24" t="str">
        <f t="shared" si="651"/>
        <v>quali.161</v>
      </c>
      <c r="Y1676" s="24" t="str">
        <f t="shared" si="652"/>
        <v>Ação de qualificar</v>
      </c>
      <c r="Z1676" s="47" t="s">
        <v>7687</v>
      </c>
      <c r="AA1676" s="25" t="str">
        <f t="shared" si="627"/>
        <v>null</v>
      </c>
      <c r="AB1676" s="26" t="s">
        <v>0</v>
      </c>
      <c r="AC1676" s="25" t="str">
        <f t="shared" si="628"/>
        <v>null</v>
      </c>
      <c r="AD1676" s="26" t="s">
        <v>0</v>
      </c>
      <c r="AE1676" s="25" t="str">
        <f t="shared" si="654"/>
        <v>null</v>
      </c>
      <c r="AF1676" s="26" t="s">
        <v>0</v>
      </c>
      <c r="AG1676" s="47" t="s">
        <v>3206</v>
      </c>
    </row>
    <row r="1677" spans="1:33" ht="6.9" customHeight="1" x14ac:dyDescent="0.4">
      <c r="A1677" s="4">
        <f>ROW()</f>
        <v>1677</v>
      </c>
      <c r="B1677" s="9" t="s">
        <v>27</v>
      </c>
      <c r="C1677" s="55" t="str">
        <f t="shared" ref="C1677:C1681" si="655">SUBSTITUTE(F1677,"d.","p.")</f>
        <v>p.qualificar</v>
      </c>
      <c r="D1677" s="6" t="str">
        <f t="shared" si="626"/>
        <v>é.único</v>
      </c>
      <c r="E1677" s="8" t="s">
        <v>28</v>
      </c>
      <c r="F1677" s="42" t="str">
        <f t="shared" si="653"/>
        <v>d.qualificar</v>
      </c>
      <c r="G1677" s="17" t="s">
        <v>364</v>
      </c>
      <c r="H1677" s="42" t="s">
        <v>37</v>
      </c>
      <c r="I1677" s="16" t="str">
        <f t="shared" ref="I1677" si="656">J1677</f>
        <v>Functional</v>
      </c>
      <c r="J1677" s="15" t="s">
        <v>29</v>
      </c>
      <c r="K1677" s="15" t="s">
        <v>0</v>
      </c>
      <c r="L1677" s="15" t="s">
        <v>0</v>
      </c>
      <c r="M1677" s="15" t="s">
        <v>0</v>
      </c>
      <c r="N1677" s="15" t="s">
        <v>0</v>
      </c>
      <c r="O1677" s="15" t="s">
        <v>0</v>
      </c>
      <c r="P1677" s="15" t="s">
        <v>0</v>
      </c>
      <c r="Q1677" s="15" t="s">
        <v>0</v>
      </c>
      <c r="R1677" s="15" t="s">
        <v>0</v>
      </c>
      <c r="S1677" s="10" t="s">
        <v>1</v>
      </c>
      <c r="T1677" s="10" t="s">
        <v>32</v>
      </c>
      <c r="U1677" s="5" t="str">
        <f t="shared" si="649"/>
        <v>Propriedade destinada a qualificar: é.único</v>
      </c>
      <c r="V1677" s="5" t="str">
        <f t="shared" si="650"/>
        <v>Dado para qualificar:  único  Deve ser formatado como (xsd:boolean)</v>
      </c>
      <c r="W1677" s="5" t="s">
        <v>6336</v>
      </c>
      <c r="X1677" s="24" t="str">
        <f t="shared" si="651"/>
        <v>quali.162</v>
      </c>
      <c r="Y1677" s="24" t="str">
        <f t="shared" si="652"/>
        <v>Ação de qualificar</v>
      </c>
      <c r="Z1677" s="47" t="s">
        <v>7688</v>
      </c>
      <c r="AA1677" s="25" t="str">
        <f t="shared" ref="AA1677" si="657">IF(AB1677="null", "null", "categoria.revit")</f>
        <v>null</v>
      </c>
      <c r="AB1677" s="26" t="s">
        <v>0</v>
      </c>
      <c r="AC1677" s="25" t="str">
        <f t="shared" ref="AC1677" si="658">IF(AD1677="null", "null", "classe.ifc")</f>
        <v>null</v>
      </c>
      <c r="AD1677" s="26" t="s">
        <v>0</v>
      </c>
      <c r="AE1677" s="25" t="str">
        <f t="shared" si="654"/>
        <v>null</v>
      </c>
      <c r="AF1677" s="26" t="s">
        <v>0</v>
      </c>
      <c r="AG1677" s="47" t="s">
        <v>3207</v>
      </c>
    </row>
    <row r="1678" spans="1:33" ht="6.9" customHeight="1" x14ac:dyDescent="0.4">
      <c r="A1678" s="4">
        <f>ROW()</f>
        <v>1678</v>
      </c>
      <c r="B1678" s="9" t="s">
        <v>27</v>
      </c>
      <c r="C1678" s="55" t="str">
        <f t="shared" si="655"/>
        <v>p.qualificar</v>
      </c>
      <c r="D1678" s="6" t="str">
        <f t="shared" si="626"/>
        <v>é.ventilado</v>
      </c>
      <c r="E1678" s="8" t="s">
        <v>28</v>
      </c>
      <c r="F1678" s="42" t="str">
        <f t="shared" si="653"/>
        <v>d.qualificar</v>
      </c>
      <c r="G1678" s="17" t="s">
        <v>272</v>
      </c>
      <c r="H1678" s="42" t="s">
        <v>37</v>
      </c>
      <c r="I1678" s="16" t="str">
        <f t="shared" si="63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649"/>
        <v>Propriedade destinada a qualificar: é.ventilado</v>
      </c>
      <c r="V1678" s="5" t="str">
        <f t="shared" si="650"/>
        <v>Dado para qualificar:  ventilado  Deve ser formatado como (xsd:boolean)</v>
      </c>
      <c r="W1678" s="5" t="s">
        <v>6337</v>
      </c>
      <c r="X1678" s="24" t="str">
        <f t="shared" si="651"/>
        <v>quali.163</v>
      </c>
      <c r="Y1678" s="24" t="str">
        <f t="shared" si="652"/>
        <v>Ação de qualificar</v>
      </c>
      <c r="Z1678" s="47" t="s">
        <v>7689</v>
      </c>
      <c r="AA1678" s="25" t="str">
        <f t="shared" si="627"/>
        <v>null</v>
      </c>
      <c r="AB1678" s="26" t="s">
        <v>0</v>
      </c>
      <c r="AC1678" s="25" t="str">
        <f t="shared" si="628"/>
        <v>null</v>
      </c>
      <c r="AD1678" s="26" t="s">
        <v>0</v>
      </c>
      <c r="AE1678" s="25" t="str">
        <f t="shared" si="654"/>
        <v>null</v>
      </c>
      <c r="AF1678" s="26" t="s">
        <v>0</v>
      </c>
      <c r="AG1678" s="47" t="s">
        <v>3208</v>
      </c>
    </row>
    <row r="1679" spans="1:33" ht="6.9" customHeight="1" x14ac:dyDescent="0.4">
      <c r="A1679" s="4">
        <f>ROW()</f>
        <v>1679</v>
      </c>
      <c r="B1679" s="9" t="s">
        <v>27</v>
      </c>
      <c r="C1679" s="55" t="str">
        <f t="shared" si="655"/>
        <v>p.qualificar</v>
      </c>
      <c r="D1679" s="6" t="str">
        <f t="shared" ref="D1679:D1742" si="659">_xlfn.CONCAT("é.",G1679)</f>
        <v>é.verificado</v>
      </c>
      <c r="E1679" s="8" t="s">
        <v>28</v>
      </c>
      <c r="F1679" s="42" t="str">
        <f t="shared" si="653"/>
        <v>d.qualificar</v>
      </c>
      <c r="G1679" s="17" t="s">
        <v>348</v>
      </c>
      <c r="H1679" s="42" t="s">
        <v>37</v>
      </c>
      <c r="I1679" s="16" t="str">
        <f t="shared" si="63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49"/>
        <v>Propriedade destinada a qualificar: é.verificado</v>
      </c>
      <c r="V1679" s="5" t="str">
        <f t="shared" si="650"/>
        <v>Dado para qualificar:  verificado  Deve ser formatado como (xsd:boolean)</v>
      </c>
      <c r="W1679" s="5" t="s">
        <v>6338</v>
      </c>
      <c r="X1679" s="24" t="str">
        <f t="shared" si="651"/>
        <v>quali.164</v>
      </c>
      <c r="Y1679" s="24" t="str">
        <f t="shared" si="652"/>
        <v>Ação de qualificar</v>
      </c>
      <c r="Z1679" s="47" t="s">
        <v>7690</v>
      </c>
      <c r="AA1679" s="25" t="str">
        <f t="shared" si="627"/>
        <v>null</v>
      </c>
      <c r="AB1679" s="26" t="s">
        <v>0</v>
      </c>
      <c r="AC1679" s="25" t="str">
        <f t="shared" si="628"/>
        <v>null</v>
      </c>
      <c r="AD1679" s="26" t="s">
        <v>0</v>
      </c>
      <c r="AE1679" s="25" t="str">
        <f t="shared" si="654"/>
        <v>null</v>
      </c>
      <c r="AF1679" s="26" t="s">
        <v>0</v>
      </c>
      <c r="AG1679" s="47" t="s">
        <v>3209</v>
      </c>
    </row>
    <row r="1680" spans="1:33" ht="6.9" customHeight="1" x14ac:dyDescent="0.4">
      <c r="A1680" s="4">
        <f>ROW()</f>
        <v>1680</v>
      </c>
      <c r="B1680" s="9" t="s">
        <v>27</v>
      </c>
      <c r="C1680" s="55" t="str">
        <f t="shared" si="655"/>
        <v>p.qualificar</v>
      </c>
      <c r="D1680" s="6" t="str">
        <f t="shared" si="659"/>
        <v>é.situação</v>
      </c>
      <c r="E1680" s="8" t="s">
        <v>28</v>
      </c>
      <c r="F1680" s="42" t="str">
        <f t="shared" si="653"/>
        <v>d.qualificar</v>
      </c>
      <c r="G1680" s="17" t="s">
        <v>2011</v>
      </c>
      <c r="H1680" s="41" t="s">
        <v>2121</v>
      </c>
      <c r="I1680" s="16" t="str">
        <f t="shared" si="639"/>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49"/>
        <v>Propriedade destinada a qualificar: é.situação</v>
      </c>
      <c r="V1680" s="5" t="str">
        <f t="shared" si="650"/>
        <v>Dado para qualificar:  situação  Deve ser formatado como (rdfs:Literal  or  xsd:string)</v>
      </c>
      <c r="W1680" s="5" t="s">
        <v>6339</v>
      </c>
      <c r="X1680" s="24" t="str">
        <f t="shared" si="651"/>
        <v>quali.165</v>
      </c>
      <c r="Y1680" s="24" t="str">
        <f t="shared" si="652"/>
        <v>Ação de qualificar</v>
      </c>
      <c r="Z1680" s="47" t="s">
        <v>2012</v>
      </c>
      <c r="AA1680" s="25" t="str">
        <f t="shared" si="627"/>
        <v>null</v>
      </c>
      <c r="AB1680" s="26" t="s">
        <v>0</v>
      </c>
      <c r="AC1680" s="25" t="str">
        <f t="shared" si="628"/>
        <v>null</v>
      </c>
      <c r="AD1680" s="26" t="s">
        <v>0</v>
      </c>
      <c r="AE1680" s="25" t="str">
        <f t="shared" si="654"/>
        <v>null</v>
      </c>
      <c r="AF1680" s="26" t="s">
        <v>0</v>
      </c>
      <c r="AG1680" s="47" t="s">
        <v>3210</v>
      </c>
    </row>
    <row r="1681" spans="1:33" ht="6.9" customHeight="1" x14ac:dyDescent="0.4">
      <c r="A1681" s="4">
        <f>ROW()</f>
        <v>1681</v>
      </c>
      <c r="B1681" s="9" t="s">
        <v>27</v>
      </c>
      <c r="C1681" s="55" t="str">
        <f t="shared" si="655"/>
        <v>p.qualificar</v>
      </c>
      <c r="D1681" s="6" t="str">
        <f t="shared" si="659"/>
        <v>é.vespertino</v>
      </c>
      <c r="E1681" s="8" t="s">
        <v>28</v>
      </c>
      <c r="F1681" s="42" t="str">
        <f t="shared" si="653"/>
        <v>d.qualificar</v>
      </c>
      <c r="G1681" s="17" t="s">
        <v>288</v>
      </c>
      <c r="H1681" s="41" t="s">
        <v>37</v>
      </c>
      <c r="I1681" s="16" t="str">
        <f t="shared" si="639"/>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49"/>
        <v>Propriedade destinada a qualificar: é.vespertino</v>
      </c>
      <c r="V1681" s="5" t="str">
        <f t="shared" si="650"/>
        <v>Dado para qualificar:  vespertino  Deve ser formatado como (xsd:boolean)</v>
      </c>
      <c r="W1681" s="5" t="s">
        <v>6340</v>
      </c>
      <c r="X1681" s="24" t="str">
        <f t="shared" si="651"/>
        <v>quali.166</v>
      </c>
      <c r="Y1681" s="24" t="str">
        <f t="shared" si="652"/>
        <v>Ação de qualificar</v>
      </c>
      <c r="Z1681" s="47" t="s">
        <v>7627</v>
      </c>
      <c r="AA1681" s="25" t="str">
        <f t="shared" si="627"/>
        <v>null</v>
      </c>
      <c r="AB1681" s="26" t="s">
        <v>0</v>
      </c>
      <c r="AC1681" s="25" t="str">
        <f t="shared" si="628"/>
        <v>null</v>
      </c>
      <c r="AD1681" s="26" t="s">
        <v>0</v>
      </c>
      <c r="AE1681" s="25" t="str">
        <f t="shared" si="654"/>
        <v>null</v>
      </c>
      <c r="AF1681" s="26" t="s">
        <v>0</v>
      </c>
      <c r="AG1681" s="47" t="s">
        <v>3211</v>
      </c>
    </row>
    <row r="1682" spans="1:33" ht="6.9" customHeight="1" x14ac:dyDescent="0.4">
      <c r="A1682" s="4">
        <f>ROW()</f>
        <v>1682</v>
      </c>
      <c r="B1682" s="9" t="s">
        <v>27</v>
      </c>
      <c r="C1682" s="54" t="str">
        <f t="shared" si="638"/>
        <v>p.quantificar</v>
      </c>
      <c r="D1682" s="6" t="str">
        <f t="shared" si="659"/>
        <v>é.quantidade</v>
      </c>
      <c r="E1682" s="8" t="s">
        <v>28</v>
      </c>
      <c r="F1682" s="50" t="s">
        <v>3624</v>
      </c>
      <c r="G1682" s="17" t="s">
        <v>156</v>
      </c>
      <c r="H1682" s="42" t="s">
        <v>33</v>
      </c>
      <c r="I1682" s="16" t="str">
        <f t="shared" si="63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49"/>
        <v>Propriedade destinada a quantificar: é.quantidade</v>
      </c>
      <c r="V1682" s="5" t="str">
        <f t="shared" si="650"/>
        <v>Dado para quantificar:  quantidade  Deve ser formatado como (xsd:integer)</v>
      </c>
      <c r="W1682" s="5" t="s">
        <v>6341</v>
      </c>
      <c r="X1682" s="24" t="str">
        <f t="shared" si="651"/>
        <v>quant.100</v>
      </c>
      <c r="Y1682" s="24" t="str">
        <f t="shared" si="652"/>
        <v>Ação de quantificar</v>
      </c>
      <c r="Z1682" s="47" t="s">
        <v>7626</v>
      </c>
      <c r="AA1682" s="25" t="str">
        <f t="shared" si="627"/>
        <v>null</v>
      </c>
      <c r="AB1682" s="26" t="s">
        <v>0</v>
      </c>
      <c r="AC1682" s="25" t="str">
        <f t="shared" si="628"/>
        <v>null</v>
      </c>
      <c r="AD1682" s="26" t="s">
        <v>0</v>
      </c>
      <c r="AE1682" s="25" t="str">
        <f t="shared" si="654"/>
        <v>null</v>
      </c>
      <c r="AF1682" s="26" t="s">
        <v>0</v>
      </c>
      <c r="AG1682" s="47" t="s">
        <v>3212</v>
      </c>
    </row>
    <row r="1683" spans="1:33" ht="6.9" customHeight="1" x14ac:dyDescent="0.4">
      <c r="A1683" s="4">
        <f>ROW()</f>
        <v>1683</v>
      </c>
      <c r="B1683" s="9" t="s">
        <v>27</v>
      </c>
      <c r="C1683" s="55" t="str">
        <f t="shared" si="638"/>
        <v>p.quantificar</v>
      </c>
      <c r="D1683" s="6" t="str">
        <f t="shared" si="659"/>
        <v>é.parcial</v>
      </c>
      <c r="E1683" s="8" t="s">
        <v>28</v>
      </c>
      <c r="F1683" s="42" t="str">
        <f>F1682</f>
        <v>d.quantificar</v>
      </c>
      <c r="G1683" s="17" t="s">
        <v>337</v>
      </c>
      <c r="H1683" s="42" t="s">
        <v>33</v>
      </c>
      <c r="I1683" s="16" t="str">
        <f t="shared" si="63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49"/>
        <v>Propriedade destinada a quantificar: é.parcial</v>
      </c>
      <c r="V1683" s="5" t="str">
        <f t="shared" si="650"/>
        <v>Dado para quantificar:  parcial  Deve ser formatado como (xsd:integer)</v>
      </c>
      <c r="W1683" s="5" t="s">
        <v>6342</v>
      </c>
      <c r="X1683" s="24" t="str">
        <f t="shared" si="651"/>
        <v>quant.101</v>
      </c>
      <c r="Y1683" s="24" t="str">
        <f t="shared" si="652"/>
        <v>Ação de quantificar</v>
      </c>
      <c r="Z1683" s="47" t="s">
        <v>7625</v>
      </c>
      <c r="AA1683" s="25" t="str">
        <f t="shared" si="627"/>
        <v>null</v>
      </c>
      <c r="AB1683" s="26" t="s">
        <v>0</v>
      </c>
      <c r="AC1683" s="25" t="str">
        <f t="shared" si="628"/>
        <v>null</v>
      </c>
      <c r="AD1683" s="26" t="s">
        <v>0</v>
      </c>
      <c r="AE1683" s="25" t="str">
        <f t="shared" si="654"/>
        <v>null</v>
      </c>
      <c r="AF1683" s="26" t="s">
        <v>0</v>
      </c>
      <c r="AG1683" s="47" t="s">
        <v>3213</v>
      </c>
    </row>
    <row r="1684" spans="1:33" ht="6.9" customHeight="1" x14ac:dyDescent="0.4">
      <c r="A1684" s="4">
        <f>ROW()</f>
        <v>1684</v>
      </c>
      <c r="B1684" s="9" t="s">
        <v>27</v>
      </c>
      <c r="C1684" s="55" t="str">
        <f t="shared" si="638"/>
        <v>p.quantificar</v>
      </c>
      <c r="D1684" s="6" t="str">
        <f t="shared" si="659"/>
        <v>é.subtotal</v>
      </c>
      <c r="E1684" s="8" t="s">
        <v>28</v>
      </c>
      <c r="F1684" s="42" t="str">
        <f>F1683</f>
        <v>d.quantificar</v>
      </c>
      <c r="G1684" s="17" t="s">
        <v>338</v>
      </c>
      <c r="H1684" s="42" t="s">
        <v>33</v>
      </c>
      <c r="I1684" s="16" t="str">
        <f t="shared" si="63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49"/>
        <v>Propriedade destinada a quantificar: é.subtotal</v>
      </c>
      <c r="V1684" s="5" t="str">
        <f t="shared" si="650"/>
        <v>Dado para quantificar:  subtotal  Deve ser formatado como (xsd:integer)</v>
      </c>
      <c r="W1684" s="5" t="s">
        <v>6343</v>
      </c>
      <c r="X1684" s="24" t="str">
        <f t="shared" si="651"/>
        <v>quant.102</v>
      </c>
      <c r="Y1684" s="24" t="str">
        <f t="shared" si="652"/>
        <v>Ação de quantificar</v>
      </c>
      <c r="Z1684" s="47" t="s">
        <v>7624</v>
      </c>
      <c r="AA1684" s="25" t="str">
        <f t="shared" si="627"/>
        <v>null</v>
      </c>
      <c r="AB1684" s="26" t="s">
        <v>0</v>
      </c>
      <c r="AC1684" s="25" t="str">
        <f t="shared" si="628"/>
        <v>null</v>
      </c>
      <c r="AD1684" s="26" t="s">
        <v>0</v>
      </c>
      <c r="AE1684" s="25" t="str">
        <f t="shared" si="654"/>
        <v>null</v>
      </c>
      <c r="AF1684" s="26" t="s">
        <v>0</v>
      </c>
      <c r="AG1684" s="47" t="s">
        <v>3214</v>
      </c>
    </row>
    <row r="1685" spans="1:33" ht="6.9" customHeight="1" x14ac:dyDescent="0.4">
      <c r="A1685" s="4">
        <f>ROW()</f>
        <v>1685</v>
      </c>
      <c r="B1685" s="9" t="s">
        <v>27</v>
      </c>
      <c r="C1685" s="55" t="str">
        <f t="shared" si="638"/>
        <v>p.quantificar</v>
      </c>
      <c r="D1685" s="6" t="str">
        <f t="shared" si="659"/>
        <v>é.total</v>
      </c>
      <c r="E1685" s="8" t="s">
        <v>28</v>
      </c>
      <c r="F1685" s="42" t="str">
        <f>F1684</f>
        <v>d.quantificar</v>
      </c>
      <c r="G1685" s="17" t="s">
        <v>336</v>
      </c>
      <c r="H1685" s="42" t="s">
        <v>33</v>
      </c>
      <c r="I1685" s="16" t="str">
        <f t="shared" si="639"/>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49"/>
        <v>Propriedade destinada a quantificar: é.total</v>
      </c>
      <c r="V1685" s="5" t="str">
        <f t="shared" si="650"/>
        <v>Dado para quantificar:  total  Deve ser formatado como (xsd:integer)</v>
      </c>
      <c r="W1685" s="5" t="s">
        <v>6344</v>
      </c>
      <c r="X1685" s="24" t="str">
        <f t="shared" si="651"/>
        <v>quant.103</v>
      </c>
      <c r="Y1685" s="24" t="str">
        <f t="shared" si="652"/>
        <v>Ação de quantificar</v>
      </c>
      <c r="Z1685" s="47" t="s">
        <v>7623</v>
      </c>
      <c r="AA1685" s="25" t="str">
        <f t="shared" si="627"/>
        <v>null</v>
      </c>
      <c r="AB1685" s="26" t="s">
        <v>0</v>
      </c>
      <c r="AC1685" s="25" t="str">
        <f t="shared" si="628"/>
        <v>null</v>
      </c>
      <c r="AD1685" s="26" t="s">
        <v>0</v>
      </c>
      <c r="AE1685" s="25" t="str">
        <f t="shared" si="654"/>
        <v>null</v>
      </c>
      <c r="AF1685" s="26" t="s">
        <v>0</v>
      </c>
      <c r="AG1685" s="47" t="s">
        <v>3215</v>
      </c>
    </row>
    <row r="1686" spans="1:33" ht="6.9" customHeight="1" x14ac:dyDescent="0.4">
      <c r="A1686" s="4">
        <f>ROW()</f>
        <v>1686</v>
      </c>
      <c r="B1686" s="9" t="s">
        <v>27</v>
      </c>
      <c r="C1686" s="54" t="str">
        <f t="shared" ref="C1686" si="660">SUBSTITUTE(F1686,"d.","p.")</f>
        <v>p.rebaixar</v>
      </c>
      <c r="D1686" s="6" t="str">
        <f t="shared" si="659"/>
        <v>é.altura.do.forro</v>
      </c>
      <c r="E1686" s="8" t="s">
        <v>28</v>
      </c>
      <c r="F1686" s="51" t="s">
        <v>7753</v>
      </c>
      <c r="G1686" s="18" t="s">
        <v>7754</v>
      </c>
      <c r="H1686" s="41" t="s">
        <v>36</v>
      </c>
      <c r="I1686" s="16" t="str">
        <f t="shared" ref="I1686" si="661">J1686</f>
        <v>null</v>
      </c>
      <c r="J1686" s="13" t="s">
        <v>0</v>
      </c>
      <c r="K1686" s="13" t="s">
        <v>0</v>
      </c>
      <c r="L1686" s="13" t="s">
        <v>0</v>
      </c>
      <c r="M1686" s="13" t="s">
        <v>0</v>
      </c>
      <c r="N1686" s="15" t="s">
        <v>0</v>
      </c>
      <c r="O1686" s="13" t="s">
        <v>0</v>
      </c>
      <c r="P1686" s="13" t="s">
        <v>0</v>
      </c>
      <c r="Q1686" s="13" t="s">
        <v>0</v>
      </c>
      <c r="R1686" s="15" t="s">
        <v>7762</v>
      </c>
      <c r="S1686" s="10" t="s">
        <v>1</v>
      </c>
      <c r="T1686" s="10" t="s">
        <v>32</v>
      </c>
      <c r="U1686" s="5" t="str">
        <f t="shared" si="649"/>
        <v>Propriedade destinada a rebaixar: é.altura.do.forro</v>
      </c>
      <c r="V1686" s="5" t="str">
        <f t="shared" si="650"/>
        <v>Dado para rebaixar:  altura.do.forro  Deve ser formatado como (xsd:double)</v>
      </c>
      <c r="W1686" s="5" t="s">
        <v>7755</v>
      </c>
      <c r="X1686" s="24" t="str">
        <f t="shared" si="651"/>
        <v>rebai.100</v>
      </c>
      <c r="Y1686" s="24" t="str">
        <f t="shared" si="652"/>
        <v>Ação de rebaixar</v>
      </c>
      <c r="Z1686" s="47" t="s">
        <v>7756</v>
      </c>
      <c r="AA1686" s="25" t="str">
        <f t="shared" ref="AA1686" si="662">IF(AB1686="null", "null", "categoria.revit")</f>
        <v>categoria.revit</v>
      </c>
      <c r="AB1686" s="26" t="s">
        <v>7734</v>
      </c>
      <c r="AC1686" s="25" t="str">
        <f t="shared" ref="AC1686" si="663">IF(AD1686="null", "null", "classe.ifc")</f>
        <v>classe.ifc</v>
      </c>
      <c r="AD1686" s="26" t="s">
        <v>7735</v>
      </c>
      <c r="AE1686" s="25" t="str">
        <f t="shared" ref="AE1686" si="664">IF(AF1686="null", "null", "propriedade")</f>
        <v>null</v>
      </c>
      <c r="AF1686" s="26" t="s">
        <v>0</v>
      </c>
      <c r="AG1686" s="47" t="s">
        <v>7760</v>
      </c>
    </row>
    <row r="1687" spans="1:33" ht="6.9" customHeight="1" x14ac:dyDescent="0.4">
      <c r="A1687" s="4">
        <f>ROW()</f>
        <v>1687</v>
      </c>
      <c r="B1687" s="9" t="s">
        <v>27</v>
      </c>
      <c r="C1687" s="55" t="str">
        <f t="shared" si="638"/>
        <v>p.rebaixar</v>
      </c>
      <c r="D1687" s="6" t="str">
        <f t="shared" si="659"/>
        <v>é.forro.de.gesso</v>
      </c>
      <c r="E1687" s="8" t="s">
        <v>28</v>
      </c>
      <c r="F1687" s="42" t="str">
        <f>F1686</f>
        <v>d.rebaixar</v>
      </c>
      <c r="G1687" s="18" t="s">
        <v>7727</v>
      </c>
      <c r="H1687" s="41" t="s">
        <v>2121</v>
      </c>
      <c r="I1687" s="16" t="str">
        <f t="shared" si="639"/>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649"/>
        <v>Propriedade destinada a rebaixar: é.forro.de.gesso</v>
      </c>
      <c r="V1687" s="5" t="str">
        <f t="shared" si="650"/>
        <v>Dado para rebaixar:  forro.de.gesso  Deve ser formatado como (rdfs:Literal  or  xsd:string)</v>
      </c>
      <c r="W1687" s="5" t="s">
        <v>7728</v>
      </c>
      <c r="X1687" s="24" t="str">
        <f t="shared" si="651"/>
        <v>rebai.101</v>
      </c>
      <c r="Y1687" s="24" t="str">
        <f t="shared" si="652"/>
        <v>Ação de rebaixar</v>
      </c>
      <c r="Z1687" s="47" t="s">
        <v>7757</v>
      </c>
      <c r="AA1687" s="25" t="str">
        <f t="shared" ref="AA1687:AA1689" si="665">IF(AB1687="null", "null", "categoria.revit")</f>
        <v>categoria.revit</v>
      </c>
      <c r="AB1687" s="26" t="s">
        <v>7734</v>
      </c>
      <c r="AC1687" s="25" t="str">
        <f t="shared" ref="AC1687:AC1689" si="666">IF(AD1687="null", "null", "classe.ifc")</f>
        <v>classe.ifc</v>
      </c>
      <c r="AD1687" s="26" t="s">
        <v>7735</v>
      </c>
      <c r="AE1687" s="25" t="str">
        <f t="shared" si="654"/>
        <v>null</v>
      </c>
      <c r="AF1687" s="26" t="s">
        <v>0</v>
      </c>
      <c r="AG1687" s="47" t="s">
        <v>7732</v>
      </c>
    </row>
    <row r="1688" spans="1:33" ht="6.9" customHeight="1" x14ac:dyDescent="0.4">
      <c r="A1688" s="4">
        <f>ROW()</f>
        <v>1688</v>
      </c>
      <c r="B1688" s="9" t="s">
        <v>27</v>
      </c>
      <c r="C1688" s="55" t="str">
        <f t="shared" si="638"/>
        <v>p.rebaixar</v>
      </c>
      <c r="D1688" s="6" t="str">
        <f t="shared" si="659"/>
        <v>é.forro.montado</v>
      </c>
      <c r="E1688" s="8" t="s">
        <v>28</v>
      </c>
      <c r="F1688" s="42" t="str">
        <f>F1687</f>
        <v>d.rebaixar</v>
      </c>
      <c r="G1688" s="18" t="s">
        <v>7725</v>
      </c>
      <c r="H1688" s="41" t="s">
        <v>2121</v>
      </c>
      <c r="I1688" s="16" t="str">
        <f t="shared" si="639"/>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649"/>
        <v>Propriedade destinada a rebaixar: é.forro.montado</v>
      </c>
      <c r="V1688" s="5" t="str">
        <f t="shared" si="650"/>
        <v>Dado para rebaixar:  forro.montado  Deve ser formatado como (rdfs:Literal  or  xsd:string)</v>
      </c>
      <c r="W1688" s="5" t="s">
        <v>7729</v>
      </c>
      <c r="X1688" s="24" t="str">
        <f t="shared" si="651"/>
        <v>rebai.102</v>
      </c>
      <c r="Y1688" s="24" t="str">
        <f t="shared" si="652"/>
        <v>Ação de rebaixar</v>
      </c>
      <c r="Z1688" s="47" t="s">
        <v>7758</v>
      </c>
      <c r="AA1688" s="25" t="str">
        <f t="shared" si="665"/>
        <v>categoria.revit</v>
      </c>
      <c r="AB1688" s="26" t="s">
        <v>7734</v>
      </c>
      <c r="AC1688" s="25" t="str">
        <f t="shared" si="666"/>
        <v>classe.ifc</v>
      </c>
      <c r="AD1688" s="26" t="s">
        <v>7735</v>
      </c>
      <c r="AE1688" s="25" t="str">
        <f t="shared" si="654"/>
        <v>null</v>
      </c>
      <c r="AF1688" s="26" t="s">
        <v>0</v>
      </c>
      <c r="AG1688" s="47" t="s">
        <v>7731</v>
      </c>
    </row>
    <row r="1689" spans="1:33" ht="6.9" customHeight="1" x14ac:dyDescent="0.4">
      <c r="A1689" s="4">
        <f>ROW()</f>
        <v>1689</v>
      </c>
      <c r="B1689" s="9" t="s">
        <v>27</v>
      </c>
      <c r="C1689" s="55" t="str">
        <f t="shared" si="638"/>
        <v>p.rebaixar</v>
      </c>
      <c r="D1689" s="6" t="str">
        <f t="shared" si="659"/>
        <v>é.forro.rebaixado</v>
      </c>
      <c r="E1689" s="8" t="s">
        <v>28</v>
      </c>
      <c r="F1689" s="42" t="str">
        <f t="shared" ref="F1689" si="667">F1688</f>
        <v>d.rebaixar</v>
      </c>
      <c r="G1689" s="18" t="s">
        <v>7726</v>
      </c>
      <c r="H1689" s="41" t="s">
        <v>2121</v>
      </c>
      <c r="I1689" s="16" t="str">
        <f t="shared" si="639"/>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649"/>
        <v>Propriedade destinada a rebaixar: é.forro.rebaixado</v>
      </c>
      <c r="V1689" s="5" t="str">
        <f t="shared" si="650"/>
        <v>Dado para rebaixar:  forro.rebaixado  Deve ser formatado como (rdfs:Literal  or  xsd:string)</v>
      </c>
      <c r="W1689" s="5" t="s">
        <v>7730</v>
      </c>
      <c r="X1689" s="24" t="str">
        <f t="shared" si="651"/>
        <v>rebai.103</v>
      </c>
      <c r="Y1689" s="24" t="str">
        <f t="shared" si="652"/>
        <v>Ação de rebaixar</v>
      </c>
      <c r="Z1689" s="47" t="s">
        <v>7759</v>
      </c>
      <c r="AA1689" s="25" t="str">
        <f t="shared" si="665"/>
        <v>categoria.revit</v>
      </c>
      <c r="AB1689" s="26" t="s">
        <v>7734</v>
      </c>
      <c r="AC1689" s="25" t="str">
        <f t="shared" si="666"/>
        <v>classe.ifc</v>
      </c>
      <c r="AD1689" s="26" t="s">
        <v>7735</v>
      </c>
      <c r="AE1689" s="25" t="str">
        <f t="shared" si="654"/>
        <v>null</v>
      </c>
      <c r="AF1689" s="26" t="s">
        <v>0</v>
      </c>
      <c r="AG1689" s="47" t="s">
        <v>7733</v>
      </c>
    </row>
    <row r="1690" spans="1:33" ht="6.9" customHeight="1" x14ac:dyDescent="0.4">
      <c r="A1690" s="4">
        <f>ROW()</f>
        <v>1690</v>
      </c>
      <c r="B1690" s="9" t="s">
        <v>27</v>
      </c>
      <c r="C1690" s="54" t="str">
        <f t="shared" si="638"/>
        <v>p.relacionar</v>
      </c>
      <c r="D1690" s="6" t="str">
        <f t="shared" si="659"/>
        <v>é.aplicada.para</v>
      </c>
      <c r="E1690" s="8" t="s">
        <v>28</v>
      </c>
      <c r="F1690" s="51" t="s">
        <v>3625</v>
      </c>
      <c r="G1690" s="18" t="s">
        <v>4364</v>
      </c>
      <c r="H1690" s="41" t="s">
        <v>2121</v>
      </c>
      <c r="I1690" s="16" t="str">
        <f>J1690</f>
        <v>null</v>
      </c>
      <c r="J1690" s="13" t="s">
        <v>0</v>
      </c>
      <c r="K1690" s="13" t="s">
        <v>0</v>
      </c>
      <c r="L1690" s="13" t="s">
        <v>0</v>
      </c>
      <c r="M1690" s="13" t="s">
        <v>0</v>
      </c>
      <c r="N1690" s="15" t="s">
        <v>0</v>
      </c>
      <c r="O1690" s="13" t="s">
        <v>0</v>
      </c>
      <c r="P1690" s="13" t="s">
        <v>0</v>
      </c>
      <c r="Q1690" s="15" t="s">
        <v>0</v>
      </c>
      <c r="R1690" s="13" t="s">
        <v>4366</v>
      </c>
      <c r="S1690" s="10" t="s">
        <v>1</v>
      </c>
      <c r="T1690" s="10" t="s">
        <v>32</v>
      </c>
      <c r="U1690" s="5" t="str">
        <f t="shared" si="649"/>
        <v>Propriedade destinada a relacionar: é.aplicada.para</v>
      </c>
      <c r="V1690" s="5" t="str">
        <f t="shared" si="650"/>
        <v>Dado para relacionar:  aplicada.para  Deve ser formatado como (rdfs:Literal  or  xsd:string)</v>
      </c>
      <c r="W1690" s="5" t="s">
        <v>6345</v>
      </c>
      <c r="X1690" s="24" t="str">
        <f t="shared" si="651"/>
        <v>relac.100</v>
      </c>
      <c r="Y1690" s="24" t="str">
        <f t="shared" si="652"/>
        <v>Ação de relacionar</v>
      </c>
      <c r="Z1690" s="47" t="s">
        <v>7622</v>
      </c>
      <c r="AA1690" s="25" t="str">
        <f>IF(AB1690="null", "null", "categoria.revit")</f>
        <v>null</v>
      </c>
      <c r="AB1690" s="26" t="s">
        <v>0</v>
      </c>
      <c r="AC1690" s="25" t="str">
        <f>IF(AD1690="null", "null", "classe.ifc")</f>
        <v>null</v>
      </c>
      <c r="AD1690" s="26" t="s">
        <v>0</v>
      </c>
      <c r="AE1690" s="25" t="str">
        <f t="shared" si="654"/>
        <v>null</v>
      </c>
      <c r="AF1690" s="26" t="s">
        <v>0</v>
      </c>
      <c r="AG1690" s="47" t="s">
        <v>3221</v>
      </c>
    </row>
    <row r="1691" spans="1:33" ht="6.9" customHeight="1" x14ac:dyDescent="0.4">
      <c r="A1691" s="4">
        <f>ROW()</f>
        <v>1691</v>
      </c>
      <c r="B1691" s="9" t="s">
        <v>27</v>
      </c>
      <c r="C1691" s="55" t="str">
        <f>SUBSTITUTE(F1691,"d.","p.")</f>
        <v>p.relacionar</v>
      </c>
      <c r="D1691" s="6" t="str">
        <f t="shared" si="659"/>
        <v>é.aplicado.para</v>
      </c>
      <c r="E1691" s="8" t="s">
        <v>28</v>
      </c>
      <c r="F1691" s="42" t="str">
        <f>F1690</f>
        <v>d.relacionar</v>
      </c>
      <c r="G1691" s="18" t="s">
        <v>996</v>
      </c>
      <c r="H1691" s="41" t="s">
        <v>2121</v>
      </c>
      <c r="I1691" s="16" t="str">
        <f>J1691</f>
        <v>null</v>
      </c>
      <c r="J1691" s="13" t="s">
        <v>0</v>
      </c>
      <c r="K1691" s="13" t="s">
        <v>0</v>
      </c>
      <c r="L1691" s="13" t="s">
        <v>0</v>
      </c>
      <c r="M1691" s="13" t="s">
        <v>0</v>
      </c>
      <c r="N1691" s="15" t="s">
        <v>0</v>
      </c>
      <c r="O1691" s="13" t="s">
        <v>0</v>
      </c>
      <c r="P1691" s="13" t="s">
        <v>0</v>
      </c>
      <c r="Q1691" s="15" t="s">
        <v>0</v>
      </c>
      <c r="R1691" s="13" t="s">
        <v>4365</v>
      </c>
      <c r="S1691" s="10" t="s">
        <v>1</v>
      </c>
      <c r="T1691" s="10" t="s">
        <v>32</v>
      </c>
      <c r="U1691" s="5" t="str">
        <f t="shared" si="649"/>
        <v>Propriedade destinada a relacionar: é.aplicado.para</v>
      </c>
      <c r="V1691" s="5" t="str">
        <f t="shared" si="650"/>
        <v>Dado para relacionar:  aplicado.para  Deve ser formatado como (rdfs:Literal  or  xsd:string)</v>
      </c>
      <c r="W1691" s="5" t="s">
        <v>6345</v>
      </c>
      <c r="X1691" s="24" t="str">
        <f t="shared" si="651"/>
        <v>relac.101</v>
      </c>
      <c r="Y1691" s="24" t="str">
        <f t="shared" si="652"/>
        <v>Ação de relacionar</v>
      </c>
      <c r="Z1691" s="47" t="s">
        <v>7622</v>
      </c>
      <c r="AA1691" s="25" t="str">
        <f>IF(AB1691="null", "null", "categoria.revit")</f>
        <v>null</v>
      </c>
      <c r="AB1691" s="26" t="s">
        <v>0</v>
      </c>
      <c r="AC1691" s="25" t="str">
        <f>IF(AD1691="null", "null", "classe.ifc")</f>
        <v>null</v>
      </c>
      <c r="AD1691" s="26" t="s">
        <v>0</v>
      </c>
      <c r="AE1691" s="25" t="str">
        <f t="shared" si="654"/>
        <v>null</v>
      </c>
      <c r="AF1691" s="26" t="s">
        <v>0</v>
      </c>
      <c r="AG1691" s="47" t="s">
        <v>3221</v>
      </c>
    </row>
    <row r="1692" spans="1:33" ht="6.9" customHeight="1" x14ac:dyDescent="0.4">
      <c r="A1692" s="4">
        <f>ROW()</f>
        <v>1692</v>
      </c>
      <c r="B1692" s="9" t="s">
        <v>27</v>
      </c>
      <c r="C1692" s="55" t="str">
        <f>SUBSTITUTE(F1692,"d.","p.")</f>
        <v>p.relacionar</v>
      </c>
      <c r="D1692" s="6" t="str">
        <f t="shared" si="659"/>
        <v>é.articulada.com</v>
      </c>
      <c r="E1692" s="8" t="s">
        <v>28</v>
      </c>
      <c r="F1692" s="42" t="str">
        <f t="shared" ref="F1692:F1700" si="668">F1691</f>
        <v>d.relacionar</v>
      </c>
      <c r="G1692" s="18" t="s">
        <v>4367</v>
      </c>
      <c r="H1692" s="41" t="s">
        <v>2121</v>
      </c>
      <c r="I1692" s="16" t="str">
        <f>J1692</f>
        <v>null</v>
      </c>
      <c r="J1692" s="13" t="s">
        <v>0</v>
      </c>
      <c r="K1692" s="13" t="s">
        <v>0</v>
      </c>
      <c r="L1692" s="13" t="s">
        <v>0</v>
      </c>
      <c r="M1692" s="13" t="s">
        <v>0</v>
      </c>
      <c r="N1692" s="15" t="s">
        <v>0</v>
      </c>
      <c r="O1692" s="13" t="s">
        <v>0</v>
      </c>
      <c r="P1692" s="13" t="s">
        <v>0</v>
      </c>
      <c r="Q1692" s="13" t="s">
        <v>0</v>
      </c>
      <c r="R1692" s="15" t="s">
        <v>4373</v>
      </c>
      <c r="S1692" s="10" t="s">
        <v>1</v>
      </c>
      <c r="T1692" s="10" t="s">
        <v>32</v>
      </c>
      <c r="U1692" s="5" t="str">
        <f t="shared" si="649"/>
        <v>Propriedade destinada a relacionar: é.articulada.com</v>
      </c>
      <c r="V1692" s="5" t="str">
        <f t="shared" si="650"/>
        <v>Dado para relacionar:  articulada.com  Deve ser formatado como (rdfs:Literal  or  xsd:string)</v>
      </c>
      <c r="W1692" s="5" t="s">
        <v>6346</v>
      </c>
      <c r="X1692" s="24" t="str">
        <f t="shared" si="651"/>
        <v>relac.102</v>
      </c>
      <c r="Y1692" s="24" t="str">
        <f t="shared" si="652"/>
        <v>Ação de relacionar</v>
      </c>
      <c r="Z1692" s="47" t="s">
        <v>7621</v>
      </c>
      <c r="AA1692" s="25" t="str">
        <f>IF(AB1692="null", "null", "categoria.revit")</f>
        <v>null</v>
      </c>
      <c r="AB1692" s="26" t="s">
        <v>0</v>
      </c>
      <c r="AC1692" s="25" t="str">
        <f>IF(AD1692="null", "null", "classe.ifc")</f>
        <v>null</v>
      </c>
      <c r="AD1692" s="26" t="s">
        <v>0</v>
      </c>
      <c r="AE1692" s="25" t="str">
        <f t="shared" si="654"/>
        <v>null</v>
      </c>
      <c r="AF1692" s="26" t="s">
        <v>0</v>
      </c>
      <c r="AG1692" s="47" t="s">
        <v>3222</v>
      </c>
    </row>
    <row r="1693" spans="1:33" ht="6.9" customHeight="1" x14ac:dyDescent="0.4">
      <c r="A1693" s="4">
        <f>ROW()</f>
        <v>1693</v>
      </c>
      <c r="B1693" s="9" t="s">
        <v>27</v>
      </c>
      <c r="C1693" s="55" t="str">
        <f>SUBSTITUTE(F1693,"d.","p.")</f>
        <v>p.relacionar</v>
      </c>
      <c r="D1693" s="6" t="str">
        <f t="shared" si="659"/>
        <v>é.articulado.com</v>
      </c>
      <c r="E1693" s="8" t="s">
        <v>28</v>
      </c>
      <c r="F1693" s="42" t="str">
        <f t="shared" ref="F1693" si="669">F1692</f>
        <v>d.relacionar</v>
      </c>
      <c r="G1693" s="18" t="s">
        <v>998</v>
      </c>
      <c r="H1693" s="41" t="s">
        <v>2121</v>
      </c>
      <c r="I1693" s="16" t="str">
        <f>J1693</f>
        <v>null</v>
      </c>
      <c r="J1693" s="13" t="s">
        <v>0</v>
      </c>
      <c r="K1693" s="13" t="s">
        <v>0</v>
      </c>
      <c r="L1693" s="13" t="s">
        <v>0</v>
      </c>
      <c r="M1693" s="13" t="s">
        <v>0</v>
      </c>
      <c r="N1693" s="15" t="s">
        <v>0</v>
      </c>
      <c r="O1693" s="13" t="s">
        <v>0</v>
      </c>
      <c r="P1693" s="13" t="s">
        <v>0</v>
      </c>
      <c r="Q1693" s="13" t="s">
        <v>0</v>
      </c>
      <c r="R1693" s="15" t="s">
        <v>4372</v>
      </c>
      <c r="S1693" s="10" t="s">
        <v>1</v>
      </c>
      <c r="T1693" s="10" t="s">
        <v>32</v>
      </c>
      <c r="U1693" s="5" t="str">
        <f t="shared" si="649"/>
        <v>Propriedade destinada a relacionar: é.articulado.com</v>
      </c>
      <c r="V1693" s="5" t="str">
        <f t="shared" si="650"/>
        <v>Dado para relacionar:  articulado.com  Deve ser formatado como (rdfs:Literal  or  xsd:string)</v>
      </c>
      <c r="W1693" s="5" t="s">
        <v>6346</v>
      </c>
      <c r="X1693" s="24" t="str">
        <f t="shared" si="651"/>
        <v>relac.103</v>
      </c>
      <c r="Y1693" s="24" t="str">
        <f t="shared" si="652"/>
        <v>Ação de relacionar</v>
      </c>
      <c r="Z1693" s="47" t="s">
        <v>7621</v>
      </c>
      <c r="AA1693" s="25" t="str">
        <f>IF(AB1693="null", "null", "categoria.revit")</f>
        <v>null</v>
      </c>
      <c r="AB1693" s="26" t="s">
        <v>0</v>
      </c>
      <c r="AC1693" s="25" t="str">
        <f>IF(AD1693="null", "null", "classe.ifc")</f>
        <v>null</v>
      </c>
      <c r="AD1693" s="26" t="s">
        <v>0</v>
      </c>
      <c r="AE1693" s="25" t="str">
        <f t="shared" si="654"/>
        <v>null</v>
      </c>
      <c r="AF1693" s="26" t="s">
        <v>0</v>
      </c>
      <c r="AG1693" s="47" t="s">
        <v>3222</v>
      </c>
    </row>
    <row r="1694" spans="1:33" ht="6.9" customHeight="1" x14ac:dyDescent="0.4">
      <c r="A1694" s="4">
        <f>ROW()</f>
        <v>1694</v>
      </c>
      <c r="B1694" s="9" t="s">
        <v>27</v>
      </c>
      <c r="C1694" s="55" t="str">
        <f t="shared" ref="C1694" si="670">SUBSTITUTE(F1694,"d.","p.")</f>
        <v>p.relacionar</v>
      </c>
      <c r="D1694" s="6" t="str">
        <f t="shared" si="659"/>
        <v>é.conectada.a</v>
      </c>
      <c r="E1694" s="8" t="s">
        <v>28</v>
      </c>
      <c r="F1694" s="42" t="str">
        <f>F1691</f>
        <v>d.relacionar</v>
      </c>
      <c r="G1694" s="18" t="s">
        <v>4368</v>
      </c>
      <c r="H1694" s="41" t="s">
        <v>2121</v>
      </c>
      <c r="I1694" s="16" t="str">
        <f t="shared" ref="I1694" si="671">J1694</f>
        <v>null</v>
      </c>
      <c r="J1694" s="13" t="s">
        <v>0</v>
      </c>
      <c r="K1694" s="13" t="s">
        <v>0</v>
      </c>
      <c r="L1694" s="13" t="s">
        <v>0</v>
      </c>
      <c r="M1694" s="13" t="s">
        <v>0</v>
      </c>
      <c r="N1694" s="15" t="s">
        <v>0</v>
      </c>
      <c r="O1694" s="13" t="s">
        <v>0</v>
      </c>
      <c r="P1694" s="13" t="s">
        <v>0</v>
      </c>
      <c r="Q1694" s="13" t="s">
        <v>0</v>
      </c>
      <c r="R1694" s="15" t="s">
        <v>4371</v>
      </c>
      <c r="S1694" s="10" t="s">
        <v>1</v>
      </c>
      <c r="T1694" s="10" t="s">
        <v>32</v>
      </c>
      <c r="U1694" s="5" t="str">
        <f t="shared" si="649"/>
        <v>Propriedade destinada a relacionar: é.conectada.a</v>
      </c>
      <c r="V1694" s="5" t="str">
        <f t="shared" si="650"/>
        <v>Dado para relacionar:  conectada.a  Deve ser formatado como (rdfs:Literal  or  xsd:string)</v>
      </c>
      <c r="W1694" s="5" t="s">
        <v>6347</v>
      </c>
      <c r="X1694" s="24" t="str">
        <f t="shared" si="651"/>
        <v>relac.104</v>
      </c>
      <c r="Y1694" s="24" t="str">
        <f t="shared" si="652"/>
        <v>Ação de relacionar</v>
      </c>
      <c r="Z1694" s="47" t="s">
        <v>7620</v>
      </c>
      <c r="AA1694" s="25" t="str">
        <f t="shared" ref="AA1694" si="672">IF(AB1694="null", "null", "categoria.revit")</f>
        <v>null</v>
      </c>
      <c r="AB1694" s="26" t="s">
        <v>0</v>
      </c>
      <c r="AC1694" s="25" t="str">
        <f t="shared" ref="AC1694" si="673">IF(AD1694="null", "null", "classe.ifc")</f>
        <v>null</v>
      </c>
      <c r="AD1694" s="26" t="s">
        <v>0</v>
      </c>
      <c r="AE1694" s="25" t="str">
        <f t="shared" si="654"/>
        <v>null</v>
      </c>
      <c r="AF1694" s="26" t="s">
        <v>0</v>
      </c>
      <c r="AG1694" s="47" t="s">
        <v>3216</v>
      </c>
    </row>
    <row r="1695" spans="1:33" ht="6.9" customHeight="1" x14ac:dyDescent="0.4">
      <c r="A1695" s="4">
        <f>ROW()</f>
        <v>1695</v>
      </c>
      <c r="B1695" s="9" t="s">
        <v>27</v>
      </c>
      <c r="C1695" s="55" t="str">
        <f t="shared" ref="C1695:C1696" si="674">SUBSTITUTE(F1695,"d.","p.")</f>
        <v>p.relacionar</v>
      </c>
      <c r="D1695" s="6" t="str">
        <f t="shared" si="659"/>
        <v>é.conectado.a</v>
      </c>
      <c r="E1695" s="8" t="s">
        <v>28</v>
      </c>
      <c r="F1695" s="42" t="str">
        <f>F1692</f>
        <v>d.relacionar</v>
      </c>
      <c r="G1695" s="18" t="s">
        <v>988</v>
      </c>
      <c r="H1695" s="41" t="s">
        <v>2121</v>
      </c>
      <c r="I1695" s="16" t="str">
        <f t="shared" ref="I1695" si="675">J1695</f>
        <v>null</v>
      </c>
      <c r="J1695" s="13" t="s">
        <v>0</v>
      </c>
      <c r="K1695" s="13" t="s">
        <v>0</v>
      </c>
      <c r="L1695" s="13" t="s">
        <v>0</v>
      </c>
      <c r="M1695" s="13" t="s">
        <v>0</v>
      </c>
      <c r="N1695" s="15" t="s">
        <v>0</v>
      </c>
      <c r="O1695" s="13" t="s">
        <v>0</v>
      </c>
      <c r="P1695" s="13" t="s">
        <v>0</v>
      </c>
      <c r="Q1695" s="13" t="s">
        <v>0</v>
      </c>
      <c r="R1695" s="15" t="s">
        <v>4370</v>
      </c>
      <c r="S1695" s="10" t="s">
        <v>1</v>
      </c>
      <c r="T1695" s="10" t="s">
        <v>32</v>
      </c>
      <c r="U1695" s="5" t="str">
        <f t="shared" si="649"/>
        <v>Propriedade destinada a relacionar: é.conectado.a</v>
      </c>
      <c r="V1695" s="5" t="str">
        <f t="shared" si="650"/>
        <v>Dado para relacionar:  conectado.a  Deve ser formatado como (rdfs:Literal  or  xsd:string)</v>
      </c>
      <c r="W1695" s="5" t="s">
        <v>6347</v>
      </c>
      <c r="X1695" s="24" t="str">
        <f t="shared" si="651"/>
        <v>relac.105</v>
      </c>
      <c r="Y1695" s="24" t="str">
        <f t="shared" si="652"/>
        <v>Ação de relacionar</v>
      </c>
      <c r="Z1695" s="47" t="s">
        <v>7620</v>
      </c>
      <c r="AA1695" s="25" t="str">
        <f t="shared" ref="AA1695" si="676">IF(AB1695="null", "null", "categoria.revit")</f>
        <v>null</v>
      </c>
      <c r="AB1695" s="26" t="s">
        <v>0</v>
      </c>
      <c r="AC1695" s="25" t="str">
        <f t="shared" ref="AC1695" si="677">IF(AD1695="null", "null", "classe.ifc")</f>
        <v>null</v>
      </c>
      <c r="AD1695" s="26" t="s">
        <v>0</v>
      </c>
      <c r="AE1695" s="25" t="str">
        <f t="shared" si="654"/>
        <v>null</v>
      </c>
      <c r="AF1695" s="26" t="s">
        <v>0</v>
      </c>
      <c r="AG1695" s="47" t="s">
        <v>3216</v>
      </c>
    </row>
    <row r="1696" spans="1:33" ht="6.9" customHeight="1" x14ac:dyDescent="0.4">
      <c r="A1696" s="4">
        <f>ROW()</f>
        <v>1696</v>
      </c>
      <c r="B1696" s="9" t="s">
        <v>27</v>
      </c>
      <c r="C1696" s="55" t="str">
        <f t="shared" si="674"/>
        <v>p.relacionar</v>
      </c>
      <c r="D1696" s="6" t="str">
        <f t="shared" si="659"/>
        <v>é.destino.de</v>
      </c>
      <c r="E1696" s="8" t="s">
        <v>28</v>
      </c>
      <c r="F1696" s="42" t="str">
        <f t="shared" si="668"/>
        <v>d.relacionar</v>
      </c>
      <c r="G1696" s="18" t="s">
        <v>999</v>
      </c>
      <c r="H1696" s="41" t="s">
        <v>2121</v>
      </c>
      <c r="I1696" s="16" t="str">
        <f t="shared" ref="I1696:I1704" si="678">J1696</f>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649"/>
        <v>Propriedade destinada a relacionar: é.destino.de</v>
      </c>
      <c r="V1696" s="5" t="str">
        <f t="shared" si="650"/>
        <v>Dado para relacionar:  destino.de  Deve ser formatado como (rdfs:Literal  or  xsd:string)</v>
      </c>
      <c r="W1696" s="5" t="s">
        <v>7467</v>
      </c>
      <c r="X1696" s="24" t="str">
        <f t="shared" si="651"/>
        <v>relac.106</v>
      </c>
      <c r="Y1696" s="24" t="str">
        <f t="shared" si="652"/>
        <v>Ação de relacionar</v>
      </c>
      <c r="Z1696" s="47" t="s">
        <v>7619</v>
      </c>
      <c r="AA1696" s="25" t="str">
        <f t="shared" ref="AA1696:AA1704" si="679">IF(AB1696="null", "null", "categoria.revit")</f>
        <v>null</v>
      </c>
      <c r="AB1696" s="26" t="s">
        <v>0</v>
      </c>
      <c r="AC1696" s="25" t="str">
        <f t="shared" ref="AC1696:AC1704" si="680">IF(AD1696="null", "null", "classe.ifc")</f>
        <v>null</v>
      </c>
      <c r="AD1696" s="26" t="s">
        <v>0</v>
      </c>
      <c r="AE1696" s="25" t="str">
        <f t="shared" si="654"/>
        <v>null</v>
      </c>
      <c r="AF1696" s="26" t="s">
        <v>0</v>
      </c>
      <c r="AG1696" s="47" t="s">
        <v>3223</v>
      </c>
    </row>
    <row r="1697" spans="1:33" ht="6.9" customHeight="1" x14ac:dyDescent="0.4">
      <c r="A1697" s="4">
        <f>ROW()</f>
        <v>1697</v>
      </c>
      <c r="B1697" s="9" t="s">
        <v>27</v>
      </c>
      <c r="C1697" s="55" t="str">
        <f t="shared" ref="C1697:C1704" si="681">SUBSTITUTE(F1697,"d.","p.")</f>
        <v>p.relacionar</v>
      </c>
      <c r="D1697" s="6" t="str">
        <f t="shared" si="659"/>
        <v>é.incluída.em</v>
      </c>
      <c r="E1697" s="8" t="s">
        <v>28</v>
      </c>
      <c r="F1697" s="42" t="str">
        <f>F1695</f>
        <v>d.relacionar</v>
      </c>
      <c r="G1697" s="18" t="s">
        <v>4369</v>
      </c>
      <c r="H1697" s="41" t="s">
        <v>2121</v>
      </c>
      <c r="I1697" s="16" t="str">
        <f t="shared" si="678"/>
        <v>null</v>
      </c>
      <c r="J1697" s="13" t="s">
        <v>0</v>
      </c>
      <c r="K1697" s="13" t="s">
        <v>0</v>
      </c>
      <c r="L1697" s="13" t="s">
        <v>0</v>
      </c>
      <c r="M1697" s="13" t="s">
        <v>0</v>
      </c>
      <c r="N1697" s="15" t="s">
        <v>0</v>
      </c>
      <c r="O1697" s="13" t="s">
        <v>0</v>
      </c>
      <c r="P1697" s="13" t="s">
        <v>0</v>
      </c>
      <c r="Q1697" s="13" t="s">
        <v>0</v>
      </c>
      <c r="R1697" s="15" t="s">
        <v>4375</v>
      </c>
      <c r="S1697" s="10" t="s">
        <v>1</v>
      </c>
      <c r="T1697" s="10" t="s">
        <v>32</v>
      </c>
      <c r="U1697" s="5" t="str">
        <f t="shared" si="649"/>
        <v>Propriedade destinada a relacionar: é.incluída.em</v>
      </c>
      <c r="V1697" s="5" t="str">
        <f t="shared" si="650"/>
        <v>Dado para relacionar:  incluída.em  Deve ser formatado como (rdfs:Literal  or  xsd:string)</v>
      </c>
      <c r="W1697" s="5" t="s">
        <v>7466</v>
      </c>
      <c r="X1697" s="24" t="str">
        <f t="shared" si="651"/>
        <v>relac.107</v>
      </c>
      <c r="Y1697" s="24" t="str">
        <f t="shared" si="652"/>
        <v>Ação de relacionar</v>
      </c>
      <c r="Z1697" s="47" t="s">
        <v>7618</v>
      </c>
      <c r="AA1697" s="25" t="str">
        <f t="shared" si="679"/>
        <v>null</v>
      </c>
      <c r="AB1697" s="26" t="s">
        <v>0</v>
      </c>
      <c r="AC1697" s="25" t="str">
        <f t="shared" si="680"/>
        <v>null</v>
      </c>
      <c r="AD1697" s="26" t="s">
        <v>0</v>
      </c>
      <c r="AE1697" s="25" t="str">
        <f t="shared" si="654"/>
        <v>null</v>
      </c>
      <c r="AF1697" s="26" t="s">
        <v>0</v>
      </c>
      <c r="AG1697" s="47" t="s">
        <v>3217</v>
      </c>
    </row>
    <row r="1698" spans="1:33" ht="6.9" customHeight="1" x14ac:dyDescent="0.4">
      <c r="A1698" s="4">
        <f>ROW()</f>
        <v>1698</v>
      </c>
      <c r="B1698" s="9" t="s">
        <v>27</v>
      </c>
      <c r="C1698" s="55" t="str">
        <f t="shared" si="681"/>
        <v>p.relacionar</v>
      </c>
      <c r="D1698" s="6" t="str">
        <f t="shared" si="659"/>
        <v>é.incluído.em</v>
      </c>
      <c r="E1698" s="8" t="s">
        <v>28</v>
      </c>
      <c r="F1698" s="42" t="str">
        <f>F1696</f>
        <v>d.relacionar</v>
      </c>
      <c r="G1698" s="18" t="s">
        <v>993</v>
      </c>
      <c r="H1698" s="41" t="s">
        <v>2121</v>
      </c>
      <c r="I1698" s="16" t="str">
        <f t="shared" si="678"/>
        <v>null</v>
      </c>
      <c r="J1698" s="13" t="s">
        <v>0</v>
      </c>
      <c r="K1698" s="13" t="s">
        <v>0</v>
      </c>
      <c r="L1698" s="13" t="s">
        <v>0</v>
      </c>
      <c r="M1698" s="13" t="s">
        <v>0</v>
      </c>
      <c r="N1698" s="15" t="s">
        <v>0</v>
      </c>
      <c r="O1698" s="13" t="s">
        <v>0</v>
      </c>
      <c r="P1698" s="13" t="s">
        <v>0</v>
      </c>
      <c r="Q1698" s="13" t="s">
        <v>0</v>
      </c>
      <c r="R1698" s="15" t="s">
        <v>4374</v>
      </c>
      <c r="S1698" s="10" t="s">
        <v>1</v>
      </c>
      <c r="T1698" s="10" t="s">
        <v>32</v>
      </c>
      <c r="U1698" s="5" t="str">
        <f t="shared" si="649"/>
        <v>Propriedade destinada a relacionar: é.incluído.em</v>
      </c>
      <c r="V1698" s="5" t="str">
        <f t="shared" si="650"/>
        <v>Dado para relacionar:  incluído.em  Deve ser formatado como (rdfs:Literal  or  xsd:string)</v>
      </c>
      <c r="W1698" s="5" t="s">
        <v>7464</v>
      </c>
      <c r="X1698" s="24" t="str">
        <f t="shared" si="651"/>
        <v>relac.108</v>
      </c>
      <c r="Y1698" s="24" t="str">
        <f t="shared" si="652"/>
        <v>Ação de relacionar</v>
      </c>
      <c r="Z1698" s="47" t="s">
        <v>7618</v>
      </c>
      <c r="AA1698" s="25" t="str">
        <f t="shared" si="679"/>
        <v>null</v>
      </c>
      <c r="AB1698" s="26" t="s">
        <v>0</v>
      </c>
      <c r="AC1698" s="25" t="str">
        <f t="shared" si="680"/>
        <v>null</v>
      </c>
      <c r="AD1698" s="26" t="s">
        <v>0</v>
      </c>
      <c r="AE1698" s="25" t="str">
        <f t="shared" si="654"/>
        <v>null</v>
      </c>
      <c r="AF1698" s="26" t="s">
        <v>0</v>
      </c>
      <c r="AG1698" s="47" t="s">
        <v>3217</v>
      </c>
    </row>
    <row r="1699" spans="1:33" ht="6.9" customHeight="1" x14ac:dyDescent="0.4">
      <c r="A1699" s="4">
        <f>ROW()</f>
        <v>1699</v>
      </c>
      <c r="B1699" s="9" t="s">
        <v>27</v>
      </c>
      <c r="C1699" s="55" t="str">
        <f t="shared" si="681"/>
        <v>p.relacionar</v>
      </c>
      <c r="D1699" s="6" t="str">
        <f t="shared" si="659"/>
        <v>é.pertencente.a</v>
      </c>
      <c r="E1699" s="8" t="s">
        <v>28</v>
      </c>
      <c r="F1699" s="42" t="str">
        <f t="shared" si="668"/>
        <v>d.relacionar</v>
      </c>
      <c r="G1699" s="18" t="s">
        <v>994</v>
      </c>
      <c r="H1699" s="41" t="s">
        <v>2121</v>
      </c>
      <c r="I1699" s="16" t="str">
        <f t="shared" si="678"/>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649"/>
        <v>Propriedade destinada a relacionar: é.pertencente.a</v>
      </c>
      <c r="V1699" s="5" t="str">
        <f t="shared" si="650"/>
        <v>Dado para relacionar:  pertencente.a  Deve ser formatado como (rdfs:Literal  or  xsd:string)</v>
      </c>
      <c r="W1699" s="5" t="s">
        <v>7465</v>
      </c>
      <c r="X1699" s="24" t="str">
        <f t="shared" si="651"/>
        <v>relac.109</v>
      </c>
      <c r="Y1699" s="24" t="str">
        <f t="shared" si="652"/>
        <v>Ação de relacionar</v>
      </c>
      <c r="Z1699" s="47" t="s">
        <v>7617</v>
      </c>
      <c r="AA1699" s="25" t="str">
        <f t="shared" si="679"/>
        <v>null</v>
      </c>
      <c r="AB1699" s="26" t="s">
        <v>0</v>
      </c>
      <c r="AC1699" s="25" t="str">
        <f t="shared" si="680"/>
        <v>null</v>
      </c>
      <c r="AD1699" s="26" t="s">
        <v>0</v>
      </c>
      <c r="AE1699" s="25" t="str">
        <f t="shared" si="654"/>
        <v>null</v>
      </c>
      <c r="AF1699" s="26" t="s">
        <v>0</v>
      </c>
      <c r="AG1699" s="47" t="s">
        <v>3218</v>
      </c>
    </row>
    <row r="1700" spans="1:33" ht="6.9" customHeight="1" x14ac:dyDescent="0.4">
      <c r="A1700" s="4">
        <f>ROW()</f>
        <v>1700</v>
      </c>
      <c r="B1700" s="9" t="s">
        <v>27</v>
      </c>
      <c r="C1700" s="55" t="str">
        <f t="shared" si="681"/>
        <v>p.relacionar</v>
      </c>
      <c r="D1700" s="6" t="str">
        <f t="shared" si="659"/>
        <v>é.precisa.de</v>
      </c>
      <c r="E1700" s="8" t="s">
        <v>28</v>
      </c>
      <c r="F1700" s="42" t="str">
        <f t="shared" si="668"/>
        <v>d.relacionar</v>
      </c>
      <c r="G1700" s="18" t="s">
        <v>997</v>
      </c>
      <c r="H1700" s="41" t="s">
        <v>2121</v>
      </c>
      <c r="I1700" s="16" t="str">
        <f t="shared" si="678"/>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649"/>
        <v>Propriedade destinada a relacionar: é.precisa.de</v>
      </c>
      <c r="V1700" s="5" t="str">
        <f t="shared" si="650"/>
        <v>Dado para relacionar:  precisa.de  Deve ser formatado como (rdfs:Literal  or  xsd:string)</v>
      </c>
      <c r="W1700" s="5" t="s">
        <v>6348</v>
      </c>
      <c r="X1700" s="24" t="str">
        <f t="shared" si="651"/>
        <v>relac.110</v>
      </c>
      <c r="Y1700" s="24" t="str">
        <f t="shared" si="652"/>
        <v>Ação de relacionar</v>
      </c>
      <c r="Z1700" s="47" t="s">
        <v>4611</v>
      </c>
      <c r="AA1700" s="25" t="str">
        <f t="shared" si="679"/>
        <v>null</v>
      </c>
      <c r="AB1700" s="26" t="s">
        <v>0</v>
      </c>
      <c r="AC1700" s="25" t="str">
        <f t="shared" si="680"/>
        <v>null</v>
      </c>
      <c r="AD1700" s="26" t="s">
        <v>0</v>
      </c>
      <c r="AE1700" s="25" t="str">
        <f t="shared" si="654"/>
        <v>null</v>
      </c>
      <c r="AF1700" s="26" t="s">
        <v>0</v>
      </c>
      <c r="AG1700" s="47" t="s">
        <v>4808</v>
      </c>
    </row>
    <row r="1701" spans="1:33" ht="6.9" customHeight="1" x14ac:dyDescent="0.4">
      <c r="A1701" s="4">
        <f>ROW()</f>
        <v>1701</v>
      </c>
      <c r="B1701" s="9" t="s">
        <v>27</v>
      </c>
      <c r="C1701" s="55" t="str">
        <f t="shared" si="681"/>
        <v>p.relacionar</v>
      </c>
      <c r="D1701" s="6" t="str">
        <f t="shared" si="659"/>
        <v>é.usada.em</v>
      </c>
      <c r="E1701" s="8" t="s">
        <v>28</v>
      </c>
      <c r="F1701" s="42" t="str">
        <f>F1699</f>
        <v>d.relacionar</v>
      </c>
      <c r="G1701" s="18" t="s">
        <v>4376</v>
      </c>
      <c r="H1701" s="41" t="s">
        <v>2121</v>
      </c>
      <c r="I1701" s="16" t="str">
        <f t="shared" si="678"/>
        <v>null</v>
      </c>
      <c r="J1701" s="13" t="s">
        <v>0</v>
      </c>
      <c r="K1701" s="13" t="s">
        <v>0</v>
      </c>
      <c r="L1701" s="13" t="s">
        <v>0</v>
      </c>
      <c r="M1701" s="13" t="s">
        <v>0</v>
      </c>
      <c r="N1701" s="15" t="s">
        <v>0</v>
      </c>
      <c r="O1701" s="13" t="s">
        <v>0</v>
      </c>
      <c r="P1701" s="13" t="s">
        <v>0</v>
      </c>
      <c r="Q1701" s="13" t="s">
        <v>0</v>
      </c>
      <c r="R1701" s="15" t="s">
        <v>4378</v>
      </c>
      <c r="S1701" s="10" t="s">
        <v>1</v>
      </c>
      <c r="T1701" s="10" t="s">
        <v>32</v>
      </c>
      <c r="U1701" s="5" t="str">
        <f t="shared" si="649"/>
        <v>Propriedade destinada a relacionar: é.usada.em</v>
      </c>
      <c r="V1701" s="5" t="str">
        <f t="shared" si="650"/>
        <v>Dado para relacionar:  usada.em  Deve ser formatado como (rdfs:Literal  or  xsd:string)</v>
      </c>
      <c r="W1701" s="5" t="s">
        <v>7462</v>
      </c>
      <c r="X1701" s="24" t="str">
        <f t="shared" si="651"/>
        <v>relac.111</v>
      </c>
      <c r="Y1701" s="24" t="str">
        <f t="shared" si="652"/>
        <v>Ação de relacionar</v>
      </c>
      <c r="Z1701" s="47" t="s">
        <v>7038</v>
      </c>
      <c r="AA1701" s="25" t="str">
        <f t="shared" si="679"/>
        <v>null</v>
      </c>
      <c r="AB1701" s="26" t="s">
        <v>0</v>
      </c>
      <c r="AC1701" s="25" t="str">
        <f t="shared" si="680"/>
        <v>null</v>
      </c>
      <c r="AD1701" s="26" t="s">
        <v>0</v>
      </c>
      <c r="AE1701" s="25" t="str">
        <f t="shared" si="654"/>
        <v>null</v>
      </c>
      <c r="AF1701" s="26" t="s">
        <v>0</v>
      </c>
      <c r="AG1701" s="47" t="s">
        <v>3220</v>
      </c>
    </row>
    <row r="1702" spans="1:33" ht="6.9" customHeight="1" x14ac:dyDescent="0.4">
      <c r="A1702" s="4">
        <f>ROW()</f>
        <v>1702</v>
      </c>
      <c r="B1702" s="9" t="s">
        <v>27</v>
      </c>
      <c r="C1702" s="55" t="str">
        <f t="shared" si="681"/>
        <v>p.relacionar</v>
      </c>
      <c r="D1702" s="6" t="str">
        <f t="shared" si="659"/>
        <v>é.usado.em</v>
      </c>
      <c r="E1702" s="8" t="s">
        <v>28</v>
      </c>
      <c r="F1702" s="42" t="str">
        <f>F1700</f>
        <v>d.relacionar</v>
      </c>
      <c r="G1702" s="18" t="s">
        <v>2127</v>
      </c>
      <c r="H1702" s="41" t="s">
        <v>2121</v>
      </c>
      <c r="I1702" s="16" t="str">
        <f t="shared" si="678"/>
        <v>null</v>
      </c>
      <c r="J1702" s="13" t="s">
        <v>0</v>
      </c>
      <c r="K1702" s="13" t="s">
        <v>0</v>
      </c>
      <c r="L1702" s="13" t="s">
        <v>0</v>
      </c>
      <c r="M1702" s="13" t="s">
        <v>0</v>
      </c>
      <c r="N1702" s="15" t="s">
        <v>0</v>
      </c>
      <c r="O1702" s="13" t="s">
        <v>0</v>
      </c>
      <c r="P1702" s="13" t="s">
        <v>0</v>
      </c>
      <c r="Q1702" s="13" t="s">
        <v>0</v>
      </c>
      <c r="R1702" s="15" t="s">
        <v>4377</v>
      </c>
      <c r="S1702" s="10" t="s">
        <v>1</v>
      </c>
      <c r="T1702" s="10" t="s">
        <v>32</v>
      </c>
      <c r="U1702" s="5" t="str">
        <f t="shared" si="649"/>
        <v>Propriedade destinada a relacionar: é.usado.em</v>
      </c>
      <c r="V1702" s="5" t="str">
        <f t="shared" si="650"/>
        <v>Dado para relacionar:  usado.em  Deve ser formatado como (rdfs:Literal  or  xsd:string)</v>
      </c>
      <c r="W1702" s="5" t="s">
        <v>7462</v>
      </c>
      <c r="X1702" s="24" t="str">
        <f t="shared" si="651"/>
        <v>relac.112</v>
      </c>
      <c r="Y1702" s="24" t="str">
        <f t="shared" si="652"/>
        <v>Ação de relacionar</v>
      </c>
      <c r="Z1702" s="47" t="s">
        <v>7038</v>
      </c>
      <c r="AA1702" s="25" t="str">
        <f t="shared" si="679"/>
        <v>null</v>
      </c>
      <c r="AB1702" s="26" t="s">
        <v>0</v>
      </c>
      <c r="AC1702" s="25" t="str">
        <f t="shared" si="680"/>
        <v>null</v>
      </c>
      <c r="AD1702" s="26" t="s">
        <v>0</v>
      </c>
      <c r="AE1702" s="25" t="str">
        <f t="shared" si="654"/>
        <v>null</v>
      </c>
      <c r="AF1702" s="26" t="s">
        <v>0</v>
      </c>
      <c r="AG1702" s="47" t="s">
        <v>3220</v>
      </c>
    </row>
    <row r="1703" spans="1:33" ht="6.9" customHeight="1" x14ac:dyDescent="0.4">
      <c r="A1703" s="4">
        <f>ROW()</f>
        <v>1703</v>
      </c>
      <c r="B1703" s="9" t="s">
        <v>27</v>
      </c>
      <c r="C1703" s="55" t="str">
        <f t="shared" si="681"/>
        <v>p.relacionar</v>
      </c>
      <c r="D1703" s="6" t="str">
        <f t="shared" si="659"/>
        <v>é.usada.por</v>
      </c>
      <c r="E1703" s="8" t="s">
        <v>28</v>
      </c>
      <c r="F1703" s="42" t="str">
        <f>F1701</f>
        <v>d.relacionar</v>
      </c>
      <c r="G1703" s="18" t="s">
        <v>2515</v>
      </c>
      <c r="H1703" s="41" t="s">
        <v>2121</v>
      </c>
      <c r="I1703" s="16" t="str">
        <f t="shared" si="678"/>
        <v>null</v>
      </c>
      <c r="J1703" s="13" t="s">
        <v>0</v>
      </c>
      <c r="K1703" s="13" t="s">
        <v>0</v>
      </c>
      <c r="L1703" s="13" t="s">
        <v>0</v>
      </c>
      <c r="M1703" s="13" t="s">
        <v>0</v>
      </c>
      <c r="N1703" s="15" t="s">
        <v>0</v>
      </c>
      <c r="O1703" s="13" t="s">
        <v>0</v>
      </c>
      <c r="P1703" s="13" t="s">
        <v>0</v>
      </c>
      <c r="Q1703" s="13" t="s">
        <v>0</v>
      </c>
      <c r="R1703" s="15" t="s">
        <v>4380</v>
      </c>
      <c r="S1703" s="10" t="s">
        <v>1</v>
      </c>
      <c r="T1703" s="10" t="s">
        <v>32</v>
      </c>
      <c r="U1703" s="5" t="str">
        <f t="shared" si="649"/>
        <v>Propriedade destinada a relacionar: é.usada.por</v>
      </c>
      <c r="V1703" s="5" t="str">
        <f t="shared" si="650"/>
        <v>Dado para relacionar:  usada.por  Deve ser formatado como (rdfs:Literal  or  xsd:string)</v>
      </c>
      <c r="W1703" s="5" t="s">
        <v>7463</v>
      </c>
      <c r="X1703" s="24" t="str">
        <f t="shared" si="651"/>
        <v>relac.113</v>
      </c>
      <c r="Y1703" s="24" t="str">
        <f t="shared" si="652"/>
        <v>Ação de relacionar</v>
      </c>
      <c r="Z1703" s="47" t="s">
        <v>7039</v>
      </c>
      <c r="AA1703" s="25" t="str">
        <f t="shared" si="679"/>
        <v>null</v>
      </c>
      <c r="AB1703" s="26" t="s">
        <v>0</v>
      </c>
      <c r="AC1703" s="25" t="str">
        <f t="shared" si="680"/>
        <v>null</v>
      </c>
      <c r="AD1703" s="26" t="s">
        <v>0</v>
      </c>
      <c r="AE1703" s="25" t="str">
        <f t="shared" si="654"/>
        <v>null</v>
      </c>
      <c r="AF1703" s="26" t="s">
        <v>0</v>
      </c>
      <c r="AG1703" s="47" t="s">
        <v>3219</v>
      </c>
    </row>
    <row r="1704" spans="1:33" ht="6.9" customHeight="1" x14ac:dyDescent="0.4">
      <c r="A1704" s="4">
        <f>ROW()</f>
        <v>1704</v>
      </c>
      <c r="B1704" s="9" t="s">
        <v>27</v>
      </c>
      <c r="C1704" s="55" t="str">
        <f t="shared" si="681"/>
        <v>p.relacionar</v>
      </c>
      <c r="D1704" s="6" t="str">
        <f t="shared" si="659"/>
        <v>é.usado.por</v>
      </c>
      <c r="E1704" s="8" t="s">
        <v>28</v>
      </c>
      <c r="F1704" s="42" t="str">
        <f>F1702</f>
        <v>d.relacionar</v>
      </c>
      <c r="G1704" s="18" t="s">
        <v>995</v>
      </c>
      <c r="H1704" s="41" t="s">
        <v>2121</v>
      </c>
      <c r="I1704" s="16" t="str">
        <f t="shared" si="678"/>
        <v>null</v>
      </c>
      <c r="J1704" s="13" t="s">
        <v>0</v>
      </c>
      <c r="K1704" s="13" t="s">
        <v>0</v>
      </c>
      <c r="L1704" s="13" t="s">
        <v>0</v>
      </c>
      <c r="M1704" s="13" t="s">
        <v>0</v>
      </c>
      <c r="N1704" s="15" t="s">
        <v>0</v>
      </c>
      <c r="O1704" s="13" t="s">
        <v>0</v>
      </c>
      <c r="P1704" s="13" t="s">
        <v>0</v>
      </c>
      <c r="Q1704" s="13" t="s">
        <v>0</v>
      </c>
      <c r="R1704" s="15" t="s">
        <v>4379</v>
      </c>
      <c r="S1704" s="10" t="s">
        <v>1</v>
      </c>
      <c r="T1704" s="10" t="s">
        <v>32</v>
      </c>
      <c r="U1704" s="5" t="str">
        <f t="shared" si="649"/>
        <v>Propriedade destinada a relacionar: é.usado.por</v>
      </c>
      <c r="V1704" s="5" t="str">
        <f t="shared" si="650"/>
        <v>Dado para relacionar:  usado.por  Deve ser formatado como (rdfs:Literal  or  xsd:string)</v>
      </c>
      <c r="W1704" s="5" t="s">
        <v>7463</v>
      </c>
      <c r="X1704" s="24" t="str">
        <f t="shared" si="651"/>
        <v>relac.114</v>
      </c>
      <c r="Y1704" s="24" t="str">
        <f t="shared" si="652"/>
        <v>Ação de relacionar</v>
      </c>
      <c r="Z1704" s="47" t="s">
        <v>7039</v>
      </c>
      <c r="AA1704" s="25" t="str">
        <f t="shared" si="679"/>
        <v>null</v>
      </c>
      <c r="AB1704" s="26" t="s">
        <v>0</v>
      </c>
      <c r="AC1704" s="25" t="str">
        <f t="shared" si="680"/>
        <v>null</v>
      </c>
      <c r="AD1704" s="26" t="s">
        <v>0</v>
      </c>
      <c r="AE1704" s="25" t="str">
        <f t="shared" si="654"/>
        <v>null</v>
      </c>
      <c r="AF1704" s="26" t="s">
        <v>0</v>
      </c>
      <c r="AG1704" s="47" t="s">
        <v>3219</v>
      </c>
    </row>
    <row r="1705" spans="1:33" ht="6.9" customHeight="1" x14ac:dyDescent="0.4">
      <c r="A1705" s="4">
        <f>ROW()</f>
        <v>1705</v>
      </c>
      <c r="B1705" s="9" t="s">
        <v>27</v>
      </c>
      <c r="C1705" s="54" t="str">
        <f t="shared" si="638"/>
        <v>p.reproduzir</v>
      </c>
      <c r="D1705" s="6" t="str">
        <f t="shared" si="659"/>
        <v>é.mídia</v>
      </c>
      <c r="E1705" s="8" t="s">
        <v>28</v>
      </c>
      <c r="F1705" s="51" t="s">
        <v>3626</v>
      </c>
      <c r="G1705" s="18" t="s">
        <v>468</v>
      </c>
      <c r="H1705" s="41" t="s">
        <v>2121</v>
      </c>
      <c r="I1705" s="16" t="str">
        <f t="shared" si="63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649"/>
        <v>Propriedade destinada a reproduzir: é.mídia</v>
      </c>
      <c r="V1705" s="5" t="str">
        <f t="shared" si="650"/>
        <v>Dado para reproduzir:  mídia  Deve ser formatado como (rdfs:Literal  or  xsd:string)</v>
      </c>
      <c r="W1705" s="5" t="s">
        <v>6349</v>
      </c>
      <c r="X1705" s="24" t="str">
        <f t="shared" si="651"/>
        <v>repro.100</v>
      </c>
      <c r="Y1705" s="24" t="str">
        <f t="shared" si="652"/>
        <v>Ação de reproduzir</v>
      </c>
      <c r="Z1705" s="47" t="s">
        <v>1883</v>
      </c>
      <c r="AA1705" s="25" t="str">
        <f t="shared" ref="AA1705:AA1772" si="682">IF(AB1705="null", "null", "categoria.revit")</f>
        <v>null</v>
      </c>
      <c r="AB1705" s="26" t="s">
        <v>0</v>
      </c>
      <c r="AC1705" s="25" t="str">
        <f t="shared" ref="AC1705:AC1772" si="683">IF(AD1705="null", "null", "classe.ifc")</f>
        <v>null</v>
      </c>
      <c r="AD1705" s="26" t="s">
        <v>0</v>
      </c>
      <c r="AE1705" s="25" t="str">
        <f t="shared" si="654"/>
        <v>null</v>
      </c>
      <c r="AF1705" s="26" t="s">
        <v>0</v>
      </c>
      <c r="AG1705" s="47" t="s">
        <v>3224</v>
      </c>
    </row>
    <row r="1706" spans="1:33" ht="6.9" customHeight="1" x14ac:dyDescent="0.4">
      <c r="A1706" s="4">
        <f>ROW()</f>
        <v>1706</v>
      </c>
      <c r="B1706" s="9" t="s">
        <v>27</v>
      </c>
      <c r="C1706" s="55" t="str">
        <f t="shared" si="638"/>
        <v>p.reproduzir</v>
      </c>
      <c r="D1706" s="6" t="str">
        <f t="shared" si="659"/>
        <v>é.midi</v>
      </c>
      <c r="E1706" s="8" t="s">
        <v>28</v>
      </c>
      <c r="F1706" s="42" t="str">
        <f>F1705</f>
        <v>d.reproduzir</v>
      </c>
      <c r="G1706" s="18" t="s">
        <v>469</v>
      </c>
      <c r="H1706" s="41" t="s">
        <v>2121</v>
      </c>
      <c r="I1706" s="16" t="str">
        <f t="shared" si="63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649"/>
        <v>Propriedade destinada a reproduzir: é.midi</v>
      </c>
      <c r="V1706" s="5" t="str">
        <f t="shared" si="650"/>
        <v>Dado para reproduzir:  midi  Deve ser formatado como (rdfs:Literal  or  xsd:string)</v>
      </c>
      <c r="W1706" s="5" t="s">
        <v>6350</v>
      </c>
      <c r="X1706" s="24" t="str">
        <f t="shared" si="651"/>
        <v>repro.101</v>
      </c>
      <c r="Y1706" s="24" t="str">
        <f t="shared" si="652"/>
        <v>Ação de reproduzir</v>
      </c>
      <c r="Z1706" s="47" t="s">
        <v>1884</v>
      </c>
      <c r="AA1706" s="25" t="str">
        <f t="shared" si="682"/>
        <v>null</v>
      </c>
      <c r="AB1706" s="26" t="s">
        <v>0</v>
      </c>
      <c r="AC1706" s="25" t="str">
        <f t="shared" si="683"/>
        <v>null</v>
      </c>
      <c r="AD1706" s="26" t="s">
        <v>0</v>
      </c>
      <c r="AE1706" s="25" t="str">
        <f t="shared" si="654"/>
        <v>null</v>
      </c>
      <c r="AF1706" s="26" t="s">
        <v>0</v>
      </c>
      <c r="AG1706" s="47" t="s">
        <v>3225</v>
      </c>
    </row>
    <row r="1707" spans="1:33" ht="6.9" customHeight="1" x14ac:dyDescent="0.4">
      <c r="A1707" s="4">
        <f>ROW()</f>
        <v>1707</v>
      </c>
      <c r="B1707" s="9" t="s">
        <v>27</v>
      </c>
      <c r="C1707" s="55" t="str">
        <f t="shared" si="638"/>
        <v>p.reproduzir</v>
      </c>
      <c r="D1707" s="6" t="str">
        <f t="shared" si="659"/>
        <v>é.música</v>
      </c>
      <c r="E1707" s="8" t="s">
        <v>28</v>
      </c>
      <c r="F1707" s="42" t="str">
        <f>F1706</f>
        <v>d.reproduzir</v>
      </c>
      <c r="G1707" s="18" t="s">
        <v>472</v>
      </c>
      <c r="H1707" s="41" t="s">
        <v>2121</v>
      </c>
      <c r="I1707" s="16" t="str">
        <f t="shared" si="63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649"/>
        <v>Propriedade destinada a reproduzir: é.música</v>
      </c>
      <c r="V1707" s="5" t="str">
        <f t="shared" si="650"/>
        <v>Dado para reproduzir:  música  Deve ser formatado como (rdfs:Literal  or  xsd:string)</v>
      </c>
      <c r="W1707" s="5" t="s">
        <v>6351</v>
      </c>
      <c r="X1707" s="24" t="str">
        <f t="shared" si="651"/>
        <v>repro.102</v>
      </c>
      <c r="Y1707" s="24" t="str">
        <f t="shared" si="652"/>
        <v>Ação de reproduzir</v>
      </c>
      <c r="Z1707" s="47" t="s">
        <v>1885</v>
      </c>
      <c r="AA1707" s="25" t="str">
        <f t="shared" si="682"/>
        <v>null</v>
      </c>
      <c r="AB1707" s="26" t="s">
        <v>0</v>
      </c>
      <c r="AC1707" s="25" t="str">
        <f t="shared" si="683"/>
        <v>null</v>
      </c>
      <c r="AD1707" s="26" t="s">
        <v>0</v>
      </c>
      <c r="AE1707" s="25" t="str">
        <f t="shared" si="654"/>
        <v>null</v>
      </c>
      <c r="AF1707" s="26" t="s">
        <v>0</v>
      </c>
      <c r="AG1707" s="47" t="s">
        <v>3226</v>
      </c>
    </row>
    <row r="1708" spans="1:33" ht="6.9" customHeight="1" x14ac:dyDescent="0.4">
      <c r="A1708" s="4">
        <f>ROW()</f>
        <v>1708</v>
      </c>
      <c r="B1708" s="9" t="s">
        <v>27</v>
      </c>
      <c r="C1708" s="55" t="str">
        <f t="shared" si="638"/>
        <v>p.reproduzir</v>
      </c>
      <c r="D1708" s="6" t="str">
        <f t="shared" si="659"/>
        <v>é.podcast</v>
      </c>
      <c r="E1708" s="8" t="s">
        <v>28</v>
      </c>
      <c r="F1708" s="42" t="str">
        <f>F1707</f>
        <v>d.reproduzir</v>
      </c>
      <c r="G1708" s="18" t="s">
        <v>471</v>
      </c>
      <c r="H1708" s="41" t="s">
        <v>2121</v>
      </c>
      <c r="I1708" s="16" t="str">
        <f t="shared" si="63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649"/>
        <v>Propriedade destinada a reproduzir: é.podcast</v>
      </c>
      <c r="V1708" s="5" t="str">
        <f t="shared" si="650"/>
        <v>Dado para reproduzir:  podcast  Deve ser formatado como (rdfs:Literal  or  xsd:string)</v>
      </c>
      <c r="W1708" s="5" t="s">
        <v>6352</v>
      </c>
      <c r="X1708" s="24" t="str">
        <f t="shared" si="651"/>
        <v>repro.103</v>
      </c>
      <c r="Y1708" s="24" t="str">
        <f t="shared" si="652"/>
        <v>Ação de reproduzir</v>
      </c>
      <c r="Z1708" s="47" t="s">
        <v>1886</v>
      </c>
      <c r="AA1708" s="25" t="str">
        <f t="shared" si="682"/>
        <v>null</v>
      </c>
      <c r="AB1708" s="26" t="s">
        <v>0</v>
      </c>
      <c r="AC1708" s="25" t="str">
        <f t="shared" si="683"/>
        <v>null</v>
      </c>
      <c r="AD1708" s="26" t="s">
        <v>0</v>
      </c>
      <c r="AE1708" s="25" t="str">
        <f t="shared" si="654"/>
        <v>null</v>
      </c>
      <c r="AF1708" s="26" t="s">
        <v>0</v>
      </c>
      <c r="AG1708" s="47" t="s">
        <v>3227</v>
      </c>
    </row>
    <row r="1709" spans="1:33" ht="6.9" customHeight="1" x14ac:dyDescent="0.4">
      <c r="A1709" s="4">
        <f>ROW()</f>
        <v>1709</v>
      </c>
      <c r="B1709" s="9" t="s">
        <v>27</v>
      </c>
      <c r="C1709" s="55" t="str">
        <f t="shared" si="638"/>
        <v>p.reproduzir</v>
      </c>
      <c r="D1709" s="6" t="str">
        <f t="shared" si="659"/>
        <v>é.vídeo</v>
      </c>
      <c r="E1709" s="8" t="s">
        <v>28</v>
      </c>
      <c r="F1709" s="42" t="str">
        <f>F1708</f>
        <v>d.reproduzir</v>
      </c>
      <c r="G1709" s="18" t="s">
        <v>470</v>
      </c>
      <c r="H1709" s="41" t="s">
        <v>2121</v>
      </c>
      <c r="I1709" s="16" t="str">
        <f t="shared" si="639"/>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649"/>
        <v>Propriedade destinada a reproduzir: é.vídeo</v>
      </c>
      <c r="V1709" s="5" t="str">
        <f t="shared" si="650"/>
        <v>Dado para reproduzir:  vídeo  Deve ser formatado como (rdfs:Literal  or  xsd:string)</v>
      </c>
      <c r="W1709" s="5" t="s">
        <v>6353</v>
      </c>
      <c r="X1709" s="24" t="str">
        <f t="shared" si="651"/>
        <v>repro.104</v>
      </c>
      <c r="Y1709" s="24" t="str">
        <f t="shared" si="652"/>
        <v>Ação de reproduzir</v>
      </c>
      <c r="Z1709" s="47" t="s">
        <v>1887</v>
      </c>
      <c r="AA1709" s="25" t="str">
        <f t="shared" si="682"/>
        <v>null</v>
      </c>
      <c r="AB1709" s="26" t="s">
        <v>0</v>
      </c>
      <c r="AC1709" s="25" t="str">
        <f t="shared" si="683"/>
        <v>null</v>
      </c>
      <c r="AD1709" s="26" t="s">
        <v>0</v>
      </c>
      <c r="AE1709" s="25" t="str">
        <f t="shared" si="654"/>
        <v>null</v>
      </c>
      <c r="AF1709" s="26" t="s">
        <v>0</v>
      </c>
      <c r="AG1709" s="47" t="s">
        <v>3228</v>
      </c>
    </row>
    <row r="1710" spans="1:33" ht="6.9" customHeight="1" x14ac:dyDescent="0.4">
      <c r="A1710" s="4">
        <f>ROW()</f>
        <v>1710</v>
      </c>
      <c r="B1710" s="9" t="s">
        <v>27</v>
      </c>
      <c r="C1710" s="54" t="str">
        <f t="shared" si="638"/>
        <v>p.requisitar</v>
      </c>
      <c r="D1710" s="6" t="str">
        <f t="shared" si="659"/>
        <v>é.aim</v>
      </c>
      <c r="E1710" s="8" t="s">
        <v>28</v>
      </c>
      <c r="F1710" s="50" t="s">
        <v>3627</v>
      </c>
      <c r="G1710" s="17" t="s">
        <v>1046</v>
      </c>
      <c r="H1710" s="42" t="s">
        <v>2121</v>
      </c>
      <c r="I1710" s="16" t="str">
        <f t="shared" si="639"/>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649"/>
        <v>Propriedade destinada a requisitar: é.aim</v>
      </c>
      <c r="V1710" s="5" t="str">
        <f t="shared" si="650"/>
        <v>Dado para requisitar:  aim  Deve ser formatado como (rdfs:Literal  or  xsd:string)</v>
      </c>
      <c r="W1710" s="5" t="s">
        <v>6354</v>
      </c>
      <c r="X1710" s="24" t="str">
        <f t="shared" si="651"/>
        <v>requi.100</v>
      </c>
      <c r="Y1710" s="24" t="str">
        <f t="shared" si="652"/>
        <v>Ação de requisitar</v>
      </c>
      <c r="Z1710" s="47" t="s">
        <v>7025</v>
      </c>
      <c r="AA1710" s="25" t="str">
        <f t="shared" si="682"/>
        <v>null</v>
      </c>
      <c r="AB1710" s="26" t="s">
        <v>0</v>
      </c>
      <c r="AC1710" s="25" t="str">
        <f t="shared" si="683"/>
        <v>null</v>
      </c>
      <c r="AD1710" s="26" t="s">
        <v>0</v>
      </c>
      <c r="AE1710" s="25" t="str">
        <f t="shared" si="654"/>
        <v>null</v>
      </c>
      <c r="AF1710" s="26" t="s">
        <v>0</v>
      </c>
      <c r="AG1710" s="47" t="s">
        <v>3229</v>
      </c>
    </row>
    <row r="1711" spans="1:33" ht="6.9" customHeight="1" x14ac:dyDescent="0.4">
      <c r="A1711" s="4">
        <f>ROW()</f>
        <v>1711</v>
      </c>
      <c r="B1711" s="9" t="s">
        <v>27</v>
      </c>
      <c r="C1711" s="55" t="str">
        <f t="shared" si="638"/>
        <v>p.requisitar</v>
      </c>
      <c r="D1711" s="6" t="str">
        <f t="shared" si="659"/>
        <v>é.air</v>
      </c>
      <c r="E1711" s="8" t="s">
        <v>28</v>
      </c>
      <c r="F1711" s="42" t="str">
        <f t="shared" ref="F1711:F1722" si="684">F1710</f>
        <v>d.requisitar</v>
      </c>
      <c r="G1711" s="17" t="s">
        <v>1057</v>
      </c>
      <c r="H1711" s="42" t="s">
        <v>2121</v>
      </c>
      <c r="I1711" s="16" t="str">
        <f t="shared" si="639"/>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649"/>
        <v>Propriedade destinada a requisitar: é.air</v>
      </c>
      <c r="V1711" s="5" t="str">
        <f t="shared" si="650"/>
        <v>Dado para requisitar:  air  Deve ser formatado como (rdfs:Literal  or  xsd:string)</v>
      </c>
      <c r="W1711" s="5" t="s">
        <v>6355</v>
      </c>
      <c r="X1711" s="24" t="str">
        <f t="shared" si="651"/>
        <v>requi.101</v>
      </c>
      <c r="Y1711" s="24" t="str">
        <f t="shared" si="652"/>
        <v>Ação de requisitar</v>
      </c>
      <c r="Z1711" s="47" t="s">
        <v>7026</v>
      </c>
      <c r="AA1711" s="25" t="str">
        <f t="shared" si="682"/>
        <v>null</v>
      </c>
      <c r="AB1711" s="26" t="s">
        <v>0</v>
      </c>
      <c r="AC1711" s="25" t="str">
        <f t="shared" si="683"/>
        <v>null</v>
      </c>
      <c r="AD1711" s="26" t="s">
        <v>0</v>
      </c>
      <c r="AE1711" s="25" t="str">
        <f t="shared" si="654"/>
        <v>null</v>
      </c>
      <c r="AF1711" s="26" t="s">
        <v>0</v>
      </c>
      <c r="AG1711" s="47" t="s">
        <v>3230</v>
      </c>
    </row>
    <row r="1712" spans="1:33" ht="6.9" customHeight="1" x14ac:dyDescent="0.4">
      <c r="A1712" s="4">
        <f>ROW()</f>
        <v>1712</v>
      </c>
      <c r="B1712" s="9" t="s">
        <v>27</v>
      </c>
      <c r="C1712" s="55" t="str">
        <f t="shared" si="638"/>
        <v>p.requisitar</v>
      </c>
      <c r="D1712" s="6" t="str">
        <f t="shared" si="659"/>
        <v>é.eir</v>
      </c>
      <c r="E1712" s="8" t="s">
        <v>28</v>
      </c>
      <c r="F1712" s="42" t="str">
        <f t="shared" si="684"/>
        <v>d.requisitar</v>
      </c>
      <c r="G1712" s="17" t="s">
        <v>1047</v>
      </c>
      <c r="H1712" s="42" t="s">
        <v>2121</v>
      </c>
      <c r="I1712" s="16" t="str">
        <f t="shared" si="639"/>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649"/>
        <v>Propriedade destinada a requisitar: é.eir</v>
      </c>
      <c r="V1712" s="5" t="str">
        <f t="shared" si="650"/>
        <v>Dado para requisitar:  eir  Deve ser formatado como (rdfs:Literal  or  xsd:string)</v>
      </c>
      <c r="W1712" s="5" t="s">
        <v>6356</v>
      </c>
      <c r="X1712" s="24" t="str">
        <f t="shared" si="651"/>
        <v>requi.102</v>
      </c>
      <c r="Y1712" s="24" t="str">
        <f t="shared" si="652"/>
        <v>Ação de requisitar</v>
      </c>
      <c r="Z1712" s="47" t="s">
        <v>7027</v>
      </c>
      <c r="AA1712" s="25" t="str">
        <f t="shared" si="682"/>
        <v>null</v>
      </c>
      <c r="AB1712" s="26" t="s">
        <v>0</v>
      </c>
      <c r="AC1712" s="25" t="str">
        <f t="shared" si="683"/>
        <v>null</v>
      </c>
      <c r="AD1712" s="26" t="s">
        <v>0</v>
      </c>
      <c r="AE1712" s="25" t="str">
        <f t="shared" si="654"/>
        <v>null</v>
      </c>
      <c r="AF1712" s="26" t="s">
        <v>0</v>
      </c>
      <c r="AG1712" s="47" t="s">
        <v>3231</v>
      </c>
    </row>
    <row r="1713" spans="1:33" ht="6.9" customHeight="1" x14ac:dyDescent="0.4">
      <c r="A1713" s="4">
        <f>ROW()</f>
        <v>1713</v>
      </c>
      <c r="B1713" s="9" t="s">
        <v>27</v>
      </c>
      <c r="C1713" s="55" t="str">
        <f t="shared" si="638"/>
        <v>p.requisitar</v>
      </c>
      <c r="D1713" s="6" t="str">
        <f t="shared" si="659"/>
        <v>é.informação</v>
      </c>
      <c r="E1713" s="8" t="s">
        <v>28</v>
      </c>
      <c r="F1713" s="42" t="str">
        <f t="shared" si="684"/>
        <v>d.requisitar</v>
      </c>
      <c r="G1713" s="17" t="s">
        <v>1062</v>
      </c>
      <c r="H1713" s="42" t="s">
        <v>2121</v>
      </c>
      <c r="I1713" s="16" t="str">
        <f t="shared" si="639"/>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649"/>
        <v>Propriedade destinada a requisitar: é.informação</v>
      </c>
      <c r="V1713" s="5" t="str">
        <f t="shared" si="650"/>
        <v>Dado para requisitar:  informação  Deve ser formatado como (rdfs:Literal  or  xsd:string)</v>
      </c>
      <c r="W1713" s="5" t="s">
        <v>6357</v>
      </c>
      <c r="X1713" s="24" t="str">
        <f t="shared" si="651"/>
        <v>requi.103</v>
      </c>
      <c r="Y1713" s="24" t="str">
        <f t="shared" si="652"/>
        <v>Ação de requisitar</v>
      </c>
      <c r="Z1713" s="47" t="s">
        <v>7028</v>
      </c>
      <c r="AA1713" s="25" t="str">
        <f t="shared" si="682"/>
        <v>null</v>
      </c>
      <c r="AB1713" s="26" t="s">
        <v>0</v>
      </c>
      <c r="AC1713" s="25" t="str">
        <f t="shared" si="683"/>
        <v>null</v>
      </c>
      <c r="AD1713" s="26" t="s">
        <v>0</v>
      </c>
      <c r="AE1713" s="25" t="str">
        <f t="shared" si="654"/>
        <v>null</v>
      </c>
      <c r="AF1713" s="26" t="s">
        <v>0</v>
      </c>
      <c r="AG1713" s="47" t="s">
        <v>3232</v>
      </c>
    </row>
    <row r="1714" spans="1:33" ht="6.9" customHeight="1" x14ac:dyDescent="0.4">
      <c r="A1714" s="4">
        <f>ROW()</f>
        <v>1714</v>
      </c>
      <c r="B1714" s="9" t="s">
        <v>27</v>
      </c>
      <c r="C1714" s="55" t="str">
        <f t="shared" si="638"/>
        <v>p.requisitar</v>
      </c>
      <c r="D1714" s="6" t="str">
        <f t="shared" si="659"/>
        <v>é.informação.do.projeto</v>
      </c>
      <c r="E1714" s="8" t="s">
        <v>28</v>
      </c>
      <c r="F1714" s="42" t="str">
        <f t="shared" si="684"/>
        <v>d.requisitar</v>
      </c>
      <c r="G1714" s="17" t="s">
        <v>1052</v>
      </c>
      <c r="H1714" s="42" t="s">
        <v>2121</v>
      </c>
      <c r="I1714" s="16" t="str">
        <f t="shared" si="63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649"/>
        <v>Propriedade destinada a requisitar: é.informação.do.projeto</v>
      </c>
      <c r="V1714" s="5" t="str">
        <f t="shared" si="650"/>
        <v>Dado para requisitar:  informação.do.projeto  Deve ser formatado como (rdfs:Literal  or  xsd:string)</v>
      </c>
      <c r="W1714" s="5" t="s">
        <v>6358</v>
      </c>
      <c r="X1714" s="24" t="str">
        <f t="shared" si="651"/>
        <v>requi.104</v>
      </c>
      <c r="Y1714" s="24" t="str">
        <f t="shared" si="652"/>
        <v>Ação de requisitar</v>
      </c>
      <c r="Z1714" s="47" t="s">
        <v>7029</v>
      </c>
      <c r="AA1714" s="25" t="str">
        <f t="shared" si="682"/>
        <v>null</v>
      </c>
      <c r="AB1714" s="26" t="s">
        <v>0</v>
      </c>
      <c r="AC1714" s="25" t="str">
        <f t="shared" si="683"/>
        <v>null</v>
      </c>
      <c r="AD1714" s="26" t="s">
        <v>0</v>
      </c>
      <c r="AE1714" s="25" t="str">
        <f t="shared" si="654"/>
        <v>null</v>
      </c>
      <c r="AF1714" s="26" t="s">
        <v>0</v>
      </c>
      <c r="AG1714" s="47" t="s">
        <v>3233</v>
      </c>
    </row>
    <row r="1715" spans="1:33" ht="6.9" customHeight="1" x14ac:dyDescent="0.4">
      <c r="A1715" s="4">
        <f>ROW()</f>
        <v>1715</v>
      </c>
      <c r="B1715" s="9" t="s">
        <v>27</v>
      </c>
      <c r="C1715" s="55" t="str">
        <f t="shared" si="638"/>
        <v>p.requisitar</v>
      </c>
      <c r="D1715" s="6" t="str">
        <f t="shared" si="659"/>
        <v>é.modelo.de.informação</v>
      </c>
      <c r="E1715" s="8" t="s">
        <v>28</v>
      </c>
      <c r="F1715" s="42" t="str">
        <f t="shared" si="684"/>
        <v>d.requisitar</v>
      </c>
      <c r="G1715" s="17" t="s">
        <v>1061</v>
      </c>
      <c r="H1715" s="42" t="s">
        <v>2121</v>
      </c>
      <c r="I1715" s="16" t="str">
        <f t="shared" si="63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649"/>
        <v>Propriedade destinada a requisitar: é.modelo.de.informação</v>
      </c>
      <c r="V1715" s="5" t="str">
        <f t="shared" si="650"/>
        <v>Dado para requisitar:  modelo.de.informação  Deve ser formatado como (rdfs:Literal  or  xsd:string)</v>
      </c>
      <c r="W1715" s="5" t="s">
        <v>6359</v>
      </c>
      <c r="X1715" s="24" t="str">
        <f t="shared" si="651"/>
        <v>requi.105</v>
      </c>
      <c r="Y1715" s="24" t="str">
        <f t="shared" si="652"/>
        <v>Ação de requisitar</v>
      </c>
      <c r="Z1715" s="47" t="s">
        <v>7030</v>
      </c>
      <c r="AA1715" s="25" t="str">
        <f t="shared" si="682"/>
        <v>null</v>
      </c>
      <c r="AB1715" s="26" t="s">
        <v>0</v>
      </c>
      <c r="AC1715" s="25" t="str">
        <f t="shared" si="683"/>
        <v>null</v>
      </c>
      <c r="AD1715" s="26" t="s">
        <v>0</v>
      </c>
      <c r="AE1715" s="25" t="str">
        <f t="shared" si="654"/>
        <v>null</v>
      </c>
      <c r="AF1715" s="26" t="s">
        <v>0</v>
      </c>
      <c r="AG1715" s="47" t="s">
        <v>3234</v>
      </c>
    </row>
    <row r="1716" spans="1:33" ht="6.9" customHeight="1" x14ac:dyDescent="0.4">
      <c r="A1716" s="4">
        <f>ROW()</f>
        <v>1716</v>
      </c>
      <c r="B1716" s="9" t="s">
        <v>27</v>
      </c>
      <c r="C1716" s="55" t="str">
        <f t="shared" si="638"/>
        <v>p.requisitar</v>
      </c>
      <c r="D1716" s="6" t="str">
        <f t="shared" si="659"/>
        <v>é.nndi</v>
      </c>
      <c r="E1716" s="8" t="s">
        <v>28</v>
      </c>
      <c r="F1716" s="42" t="str">
        <f t="shared" si="684"/>
        <v>d.requisitar</v>
      </c>
      <c r="G1716" s="17" t="s">
        <v>1119</v>
      </c>
      <c r="H1716" s="42" t="s">
        <v>2121</v>
      </c>
      <c r="I1716" s="16" t="str">
        <f t="shared" si="639"/>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649"/>
        <v>Propriedade destinada a requisitar: é.nndi</v>
      </c>
      <c r="V1716" s="5" t="str">
        <f t="shared" si="650"/>
        <v>Dado para requisitar:  nndi  Deve ser formatado como (rdfs:Literal  or  xsd:string)</v>
      </c>
      <c r="W1716" s="5" t="s">
        <v>6360</v>
      </c>
      <c r="X1716" s="24" t="str">
        <f t="shared" si="651"/>
        <v>requi.106</v>
      </c>
      <c r="Y1716" s="24" t="str">
        <f t="shared" si="652"/>
        <v>Ação de requisitar</v>
      </c>
      <c r="Z1716" s="47" t="s">
        <v>7031</v>
      </c>
      <c r="AA1716" s="25" t="str">
        <f t="shared" si="682"/>
        <v>null</v>
      </c>
      <c r="AB1716" s="26" t="s">
        <v>0</v>
      </c>
      <c r="AC1716" s="25" t="str">
        <f t="shared" si="683"/>
        <v>null</v>
      </c>
      <c r="AD1716" s="26" t="s">
        <v>0</v>
      </c>
      <c r="AE1716" s="25" t="str">
        <f t="shared" si="654"/>
        <v>null</v>
      </c>
      <c r="AF1716" s="26" t="s">
        <v>0</v>
      </c>
      <c r="AG1716" s="47" t="s">
        <v>3235</v>
      </c>
    </row>
    <row r="1717" spans="1:33" ht="6.9" customHeight="1" x14ac:dyDescent="0.4">
      <c r="A1717" s="4">
        <f>ROW()</f>
        <v>1717</v>
      </c>
      <c r="B1717" s="9" t="s">
        <v>27</v>
      </c>
      <c r="C1717" s="55" t="str">
        <f t="shared" si="638"/>
        <v>p.requisitar</v>
      </c>
      <c r="D1717" s="6" t="str">
        <f t="shared" si="659"/>
        <v>é.oir</v>
      </c>
      <c r="E1717" s="8" t="s">
        <v>28</v>
      </c>
      <c r="F1717" s="42" t="str">
        <f t="shared" si="684"/>
        <v>d.requisitar</v>
      </c>
      <c r="G1717" s="17" t="s">
        <v>1058</v>
      </c>
      <c r="H1717" s="42" t="s">
        <v>2121</v>
      </c>
      <c r="I1717" s="16" t="str">
        <f t="shared" si="639"/>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649"/>
        <v>Propriedade destinada a requisitar: é.oir</v>
      </c>
      <c r="V1717" s="5" t="str">
        <f t="shared" si="650"/>
        <v>Dado para requisitar:  oir  Deve ser formatado como (rdfs:Literal  or  xsd:string)</v>
      </c>
      <c r="W1717" s="5" t="s">
        <v>6361</v>
      </c>
      <c r="X1717" s="24" t="str">
        <f t="shared" si="651"/>
        <v>requi.107</v>
      </c>
      <c r="Y1717" s="24" t="str">
        <f t="shared" si="652"/>
        <v>Ação de requisitar</v>
      </c>
      <c r="Z1717" s="47" t="s">
        <v>7032</v>
      </c>
      <c r="AA1717" s="25" t="str">
        <f t="shared" si="682"/>
        <v>null</v>
      </c>
      <c r="AB1717" s="26" t="s">
        <v>0</v>
      </c>
      <c r="AC1717" s="25" t="str">
        <f t="shared" si="683"/>
        <v>null</v>
      </c>
      <c r="AD1717" s="26" t="s">
        <v>0</v>
      </c>
      <c r="AE1717" s="25" t="str">
        <f t="shared" si="654"/>
        <v>null</v>
      </c>
      <c r="AF1717" s="26" t="s">
        <v>0</v>
      </c>
      <c r="AG1717" s="47" t="s">
        <v>3236</v>
      </c>
    </row>
    <row r="1718" spans="1:33" ht="6.9" customHeight="1" x14ac:dyDescent="0.4">
      <c r="A1718" s="4">
        <f>ROW()</f>
        <v>1718</v>
      </c>
      <c r="B1718" s="9" t="s">
        <v>27</v>
      </c>
      <c r="C1718" s="55" t="str">
        <f t="shared" si="638"/>
        <v>p.requisitar</v>
      </c>
      <c r="D1718" s="6" t="str">
        <f t="shared" si="659"/>
        <v>é.pim</v>
      </c>
      <c r="E1718" s="8" t="s">
        <v>28</v>
      </c>
      <c r="F1718" s="42" t="str">
        <f t="shared" si="684"/>
        <v>d.requisitar</v>
      </c>
      <c r="G1718" s="17" t="s">
        <v>1048</v>
      </c>
      <c r="H1718" s="42" t="s">
        <v>2121</v>
      </c>
      <c r="I1718" s="16" t="str">
        <f t="shared" si="639"/>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649"/>
        <v>Propriedade destinada a requisitar: é.pim</v>
      </c>
      <c r="V1718" s="5" t="str">
        <f t="shared" si="650"/>
        <v>Dado para requisitar:  pim  Deve ser formatado como (rdfs:Literal  or  xsd:string)</v>
      </c>
      <c r="W1718" s="5" t="s">
        <v>6362</v>
      </c>
      <c r="X1718" s="24" t="str">
        <f t="shared" si="651"/>
        <v>requi.108</v>
      </c>
      <c r="Y1718" s="24" t="str">
        <f t="shared" si="652"/>
        <v>Ação de requisitar</v>
      </c>
      <c r="Z1718" s="47" t="s">
        <v>7033</v>
      </c>
      <c r="AA1718" s="25" t="str">
        <f t="shared" si="682"/>
        <v>null</v>
      </c>
      <c r="AB1718" s="26" t="s">
        <v>0</v>
      </c>
      <c r="AC1718" s="25" t="str">
        <f t="shared" si="683"/>
        <v>null</v>
      </c>
      <c r="AD1718" s="26" t="s">
        <v>0</v>
      </c>
      <c r="AE1718" s="25" t="str">
        <f t="shared" si="654"/>
        <v>null</v>
      </c>
      <c r="AF1718" s="26" t="s">
        <v>0</v>
      </c>
      <c r="AG1718" s="47" t="s">
        <v>3237</v>
      </c>
    </row>
    <row r="1719" spans="1:33" ht="6.9" customHeight="1" x14ac:dyDescent="0.4">
      <c r="A1719" s="4">
        <f>ROW()</f>
        <v>1719</v>
      </c>
      <c r="B1719" s="9" t="s">
        <v>27</v>
      </c>
      <c r="C1719" s="55" t="str">
        <f t="shared" si="638"/>
        <v>p.requisitar</v>
      </c>
      <c r="D1719" s="6" t="str">
        <f t="shared" si="659"/>
        <v>é.pir</v>
      </c>
      <c r="E1719" s="8" t="s">
        <v>28</v>
      </c>
      <c r="F1719" s="42" t="str">
        <f t="shared" si="684"/>
        <v>d.requisitar</v>
      </c>
      <c r="G1719" s="17" t="s">
        <v>1049</v>
      </c>
      <c r="H1719" s="42" t="s">
        <v>2121</v>
      </c>
      <c r="I1719" s="16" t="str">
        <f t="shared" si="639"/>
        <v>null</v>
      </c>
      <c r="J1719" s="15" t="s">
        <v>0</v>
      </c>
      <c r="K1719" s="15" t="s">
        <v>0</v>
      </c>
      <c r="L1719" s="15" t="s">
        <v>0</v>
      </c>
      <c r="M1719" s="15" t="s">
        <v>0</v>
      </c>
      <c r="N1719" s="15" t="s">
        <v>0</v>
      </c>
      <c r="O1719" s="15" t="s">
        <v>0</v>
      </c>
      <c r="P1719" s="15" t="s">
        <v>0</v>
      </c>
      <c r="Q1719" s="15" t="s">
        <v>0</v>
      </c>
      <c r="R1719" s="15" t="s">
        <v>1081</v>
      </c>
      <c r="S1719" s="10" t="s">
        <v>1</v>
      </c>
      <c r="T1719" s="10" t="s">
        <v>32</v>
      </c>
      <c r="U1719" s="5" t="str">
        <f t="shared" si="649"/>
        <v>Propriedade destinada a requisitar: é.pir</v>
      </c>
      <c r="V1719" s="5" t="str">
        <f t="shared" si="650"/>
        <v>Dado para requisitar:  pir  Deve ser formatado como (rdfs:Literal  or  xsd:string)</v>
      </c>
      <c r="W1719" s="5" t="s">
        <v>6363</v>
      </c>
      <c r="X1719" s="24" t="str">
        <f t="shared" si="651"/>
        <v>requi.109</v>
      </c>
      <c r="Y1719" s="24" t="str">
        <f t="shared" si="652"/>
        <v>Ação de requisitar</v>
      </c>
      <c r="Z1719" s="47" t="s">
        <v>7034</v>
      </c>
      <c r="AA1719" s="25" t="str">
        <f t="shared" si="682"/>
        <v>null</v>
      </c>
      <c r="AB1719" s="26" t="s">
        <v>0</v>
      </c>
      <c r="AC1719" s="25" t="str">
        <f t="shared" si="683"/>
        <v>null</v>
      </c>
      <c r="AD1719" s="26" t="s">
        <v>0</v>
      </c>
      <c r="AE1719" s="25" t="str">
        <f t="shared" si="654"/>
        <v>null</v>
      </c>
      <c r="AF1719" s="26" t="s">
        <v>0</v>
      </c>
      <c r="AG1719" s="47" t="s">
        <v>3238</v>
      </c>
    </row>
    <row r="1720" spans="1:33" ht="6.9" customHeight="1" x14ac:dyDescent="0.4">
      <c r="A1720" s="4">
        <f>ROW()</f>
        <v>1720</v>
      </c>
      <c r="B1720" s="9" t="s">
        <v>27</v>
      </c>
      <c r="C1720" s="55" t="str">
        <f t="shared" si="638"/>
        <v>p.requisitar</v>
      </c>
      <c r="D1720" s="6" t="str">
        <f t="shared" si="659"/>
        <v>é.programa.de.necessidade</v>
      </c>
      <c r="E1720" s="8" t="s">
        <v>28</v>
      </c>
      <c r="F1720" s="42" t="str">
        <f t="shared" si="684"/>
        <v>d.requisitar</v>
      </c>
      <c r="G1720" s="17" t="s">
        <v>1077</v>
      </c>
      <c r="H1720" s="42" t="s">
        <v>2121</v>
      </c>
      <c r="I1720" s="16" t="str">
        <f t="shared" si="639"/>
        <v>null</v>
      </c>
      <c r="J1720" s="15" t="s">
        <v>0</v>
      </c>
      <c r="K1720" s="15" t="s">
        <v>0</v>
      </c>
      <c r="L1720" s="15" t="s">
        <v>0</v>
      </c>
      <c r="M1720" s="15" t="s">
        <v>0</v>
      </c>
      <c r="N1720" s="15" t="s">
        <v>0</v>
      </c>
      <c r="O1720" s="15" t="s">
        <v>0</v>
      </c>
      <c r="P1720" s="15" t="s">
        <v>0</v>
      </c>
      <c r="Q1720" s="15" t="s">
        <v>0</v>
      </c>
      <c r="R1720" s="15" t="s">
        <v>1082</v>
      </c>
      <c r="S1720" s="10" t="s">
        <v>1</v>
      </c>
      <c r="T1720" s="10" t="s">
        <v>32</v>
      </c>
      <c r="U1720" s="5" t="str">
        <f t="shared" si="649"/>
        <v>Propriedade destinada a requisitar: é.programa.de.necessidade</v>
      </c>
      <c r="V1720" s="5" t="str">
        <f t="shared" si="650"/>
        <v>Dado para requisitar:  programa.de.necessidade  Deve ser formatado como (rdfs:Literal  or  xsd:string)</v>
      </c>
      <c r="W1720" s="5" t="s">
        <v>6364</v>
      </c>
      <c r="X1720" s="24" t="str">
        <f t="shared" si="651"/>
        <v>requi.110</v>
      </c>
      <c r="Y1720" s="24" t="str">
        <f t="shared" si="652"/>
        <v>Ação de requisitar</v>
      </c>
      <c r="Z1720" s="47" t="s">
        <v>7037</v>
      </c>
      <c r="AA1720" s="25" t="str">
        <f t="shared" si="682"/>
        <v>null</v>
      </c>
      <c r="AB1720" s="26" t="s">
        <v>0</v>
      </c>
      <c r="AC1720" s="25" t="str">
        <f t="shared" si="683"/>
        <v>null</v>
      </c>
      <c r="AD1720" s="26" t="s">
        <v>0</v>
      </c>
      <c r="AE1720" s="25" t="str">
        <f t="shared" si="654"/>
        <v>null</v>
      </c>
      <c r="AF1720" s="26" t="s">
        <v>0</v>
      </c>
      <c r="AG1720" s="47" t="s">
        <v>4861</v>
      </c>
    </row>
    <row r="1721" spans="1:33" ht="6.9" customHeight="1" x14ac:dyDescent="0.4">
      <c r="A1721" s="4">
        <f>ROW()</f>
        <v>1721</v>
      </c>
      <c r="B1721" s="9" t="s">
        <v>27</v>
      </c>
      <c r="C1721" s="55" t="str">
        <f t="shared" si="638"/>
        <v>p.requisitar</v>
      </c>
      <c r="D1721" s="6" t="str">
        <f t="shared" si="659"/>
        <v>é.requisito.de.informação</v>
      </c>
      <c r="E1721" s="8" t="s">
        <v>28</v>
      </c>
      <c r="F1721" s="42" t="str">
        <f t="shared" si="684"/>
        <v>d.requisitar</v>
      </c>
      <c r="G1721" s="17" t="s">
        <v>1063</v>
      </c>
      <c r="H1721" s="42" t="s">
        <v>2121</v>
      </c>
      <c r="I1721" s="16" t="str">
        <f t="shared" si="639"/>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649"/>
        <v>Propriedade destinada a requisitar: é.requisito.de.informação</v>
      </c>
      <c r="V1721" s="5" t="str">
        <f t="shared" si="650"/>
        <v>Dado para requisitar:  requisito.de.informação  Deve ser formatado como (rdfs:Literal  or  xsd:string)</v>
      </c>
      <c r="W1721" s="5" t="s">
        <v>6365</v>
      </c>
      <c r="X1721" s="24" t="str">
        <f t="shared" si="651"/>
        <v>requi.111</v>
      </c>
      <c r="Y1721" s="24" t="str">
        <f t="shared" si="652"/>
        <v>Ação de requisitar</v>
      </c>
      <c r="Z1721" s="47" t="s">
        <v>7035</v>
      </c>
      <c r="AA1721" s="25" t="str">
        <f t="shared" si="682"/>
        <v>null</v>
      </c>
      <c r="AB1721" s="26" t="s">
        <v>0</v>
      </c>
      <c r="AC1721" s="25" t="str">
        <f t="shared" si="683"/>
        <v>null</v>
      </c>
      <c r="AD1721" s="26" t="s">
        <v>0</v>
      </c>
      <c r="AE1721" s="25" t="str">
        <f t="shared" si="654"/>
        <v>null</v>
      </c>
      <c r="AF1721" s="26" t="s">
        <v>0</v>
      </c>
      <c r="AG1721" s="47" t="s">
        <v>3239</v>
      </c>
    </row>
    <row r="1722" spans="1:33" ht="6.9" customHeight="1" x14ac:dyDescent="0.4">
      <c r="A1722" s="4">
        <f>ROW()</f>
        <v>1722</v>
      </c>
      <c r="B1722" s="9" t="s">
        <v>27</v>
      </c>
      <c r="C1722" s="55" t="str">
        <f t="shared" si="638"/>
        <v>p.requisitar</v>
      </c>
      <c r="D1722" s="6" t="str">
        <f t="shared" si="659"/>
        <v>é.troca.de.informação</v>
      </c>
      <c r="E1722" s="8" t="s">
        <v>28</v>
      </c>
      <c r="F1722" s="42" t="str">
        <f t="shared" si="684"/>
        <v>d.requisitar</v>
      </c>
      <c r="G1722" s="17" t="s">
        <v>1059</v>
      </c>
      <c r="H1722" s="42" t="s">
        <v>2121</v>
      </c>
      <c r="I1722" s="16" t="str">
        <f t="shared" si="639"/>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649"/>
        <v>Propriedade destinada a requisitar: é.troca.de.informação</v>
      </c>
      <c r="V1722" s="5" t="str">
        <f t="shared" si="650"/>
        <v>Dado para requisitar:  troca.de.informação  Deve ser formatado como (rdfs:Literal  or  xsd:string)</v>
      </c>
      <c r="W1722" s="5" t="s">
        <v>6366</v>
      </c>
      <c r="X1722" s="24" t="str">
        <f t="shared" si="651"/>
        <v>requi.112</v>
      </c>
      <c r="Y1722" s="24" t="str">
        <f t="shared" si="652"/>
        <v>Ação de requisitar</v>
      </c>
      <c r="Z1722" s="47" t="s">
        <v>7036</v>
      </c>
      <c r="AA1722" s="25" t="str">
        <f t="shared" si="682"/>
        <v>null</v>
      </c>
      <c r="AB1722" s="26" t="s">
        <v>0</v>
      </c>
      <c r="AC1722" s="25" t="str">
        <f t="shared" si="683"/>
        <v>null</v>
      </c>
      <c r="AD1722" s="26" t="s">
        <v>0</v>
      </c>
      <c r="AE1722" s="25" t="str">
        <f t="shared" si="654"/>
        <v>null</v>
      </c>
      <c r="AF1722" s="26" t="s">
        <v>0</v>
      </c>
      <c r="AG1722" s="47" t="s">
        <v>3240</v>
      </c>
    </row>
    <row r="1723" spans="1:33" ht="6.9" customHeight="1" x14ac:dyDescent="0.4">
      <c r="A1723" s="4">
        <f>ROW()</f>
        <v>1723</v>
      </c>
      <c r="B1723" s="9" t="s">
        <v>27</v>
      </c>
      <c r="C1723" s="54" t="str">
        <f t="shared" si="638"/>
        <v>p.resistir</v>
      </c>
      <c r="D1723" s="6" t="str">
        <f t="shared" si="659"/>
        <v>é.alongamento.após.ruptura</v>
      </c>
      <c r="E1723" s="8" t="s">
        <v>28</v>
      </c>
      <c r="F1723" s="51" t="s">
        <v>3628</v>
      </c>
      <c r="G1723" s="18" t="s">
        <v>1008</v>
      </c>
      <c r="H1723" s="41" t="s">
        <v>36</v>
      </c>
      <c r="I1723" s="16" t="str">
        <f t="shared" ref="I1723:I1756" si="685">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49"/>
        <v>Propriedade destinada a resistir: é.alongamento.após.ruptura</v>
      </c>
      <c r="V1723" s="5" t="str">
        <f t="shared" si="650"/>
        <v>Dado para resistir:  alongamento.após.ruptura  Deve ser formatado como (xsd:double)</v>
      </c>
      <c r="W1723" s="5" t="s">
        <v>6367</v>
      </c>
      <c r="X1723" s="24" t="str">
        <f t="shared" si="651"/>
        <v>resis.100</v>
      </c>
      <c r="Y1723" s="24" t="str">
        <f t="shared" si="652"/>
        <v>Ação de resistir</v>
      </c>
      <c r="Z1723" s="47" t="s">
        <v>1889</v>
      </c>
      <c r="AA1723" s="25" t="str">
        <f t="shared" ref="AA1723:AA1756" si="686">IF(AB1723="null", "null", "categoria.revit")</f>
        <v>null</v>
      </c>
      <c r="AB1723" s="26" t="s">
        <v>0</v>
      </c>
      <c r="AC1723" s="25" t="str">
        <f t="shared" ref="AC1723:AC1756" si="687">IF(AD1723="null", "null", "classe.ifc")</f>
        <v>null</v>
      </c>
      <c r="AD1723" s="26" t="s">
        <v>0</v>
      </c>
      <c r="AE1723" s="25" t="str">
        <f t="shared" si="654"/>
        <v>null</v>
      </c>
      <c r="AF1723" s="26" t="s">
        <v>0</v>
      </c>
      <c r="AG1723" s="47" t="s">
        <v>3245</v>
      </c>
    </row>
    <row r="1724" spans="1:33" ht="6.9" customHeight="1" x14ac:dyDescent="0.4">
      <c r="A1724" s="4">
        <f>ROW()</f>
        <v>1724</v>
      </c>
      <c r="B1724" s="9" t="s">
        <v>27</v>
      </c>
      <c r="C1724" s="55" t="str">
        <f t="shared" ref="C1724:C1756" si="688">SUBSTITUTE(F1724,"d.","p.")</f>
        <v>p.resistir</v>
      </c>
      <c r="D1724" s="6" t="str">
        <f t="shared" si="659"/>
        <v>é.aparafusada</v>
      </c>
      <c r="E1724" s="8" t="s">
        <v>28</v>
      </c>
      <c r="F1724" s="42" t="str">
        <f>F1723</f>
        <v>d.resistir</v>
      </c>
      <c r="G1724" s="17" t="s">
        <v>458</v>
      </c>
      <c r="H1724" s="42" t="s">
        <v>37</v>
      </c>
      <c r="I1724" s="16" t="str">
        <f t="shared" si="685"/>
        <v>null</v>
      </c>
      <c r="J1724" s="15" t="s">
        <v>0</v>
      </c>
      <c r="K1724" s="15" t="s">
        <v>0</v>
      </c>
      <c r="L1724" s="15" t="s">
        <v>0</v>
      </c>
      <c r="M1724" s="15" t="s">
        <v>0</v>
      </c>
      <c r="N1724" s="15" t="s">
        <v>0</v>
      </c>
      <c r="O1724" s="15" t="s">
        <v>0</v>
      </c>
      <c r="P1724" s="15" t="s">
        <v>0</v>
      </c>
      <c r="Q1724" s="15" t="s">
        <v>0</v>
      </c>
      <c r="R1724" s="15" t="s">
        <v>1151</v>
      </c>
      <c r="S1724" s="10" t="s">
        <v>1</v>
      </c>
      <c r="T1724" s="10" t="s">
        <v>32</v>
      </c>
      <c r="U1724" s="5" t="str">
        <f t="shared" si="649"/>
        <v>Propriedade destinada a resistir: é.aparafusada</v>
      </c>
      <c r="V1724" s="5" t="str">
        <f t="shared" si="650"/>
        <v>Dado para resistir:  aparafusada  Deve ser formatado como (xsd:boolean)</v>
      </c>
      <c r="W1724" s="5" t="s">
        <v>6368</v>
      </c>
      <c r="X1724" s="24" t="str">
        <f t="shared" si="651"/>
        <v>resis.101</v>
      </c>
      <c r="Y1724" s="24" t="str">
        <f t="shared" si="652"/>
        <v>Ação de resistir</v>
      </c>
      <c r="Z1724" s="47" t="s">
        <v>7024</v>
      </c>
      <c r="AA1724" s="25" t="str">
        <f t="shared" si="686"/>
        <v>null</v>
      </c>
      <c r="AB1724" s="26" t="s">
        <v>0</v>
      </c>
      <c r="AC1724" s="25" t="str">
        <f t="shared" si="687"/>
        <v>null</v>
      </c>
      <c r="AD1724" s="26" t="s">
        <v>0</v>
      </c>
      <c r="AE1724" s="25" t="str">
        <f t="shared" si="654"/>
        <v>null</v>
      </c>
      <c r="AF1724" s="26" t="s">
        <v>0</v>
      </c>
      <c r="AG1724" s="47" t="s">
        <v>4809</v>
      </c>
    </row>
    <row r="1725" spans="1:33" ht="6.9" customHeight="1" x14ac:dyDescent="0.4">
      <c r="A1725" s="4">
        <f>ROW()</f>
        <v>1725</v>
      </c>
      <c r="B1725" s="9" t="s">
        <v>27</v>
      </c>
      <c r="C1725" s="55" t="str">
        <f t="shared" si="688"/>
        <v>p.resistir</v>
      </c>
      <c r="D1725" s="6" t="str">
        <f t="shared" si="659"/>
        <v>é.aparafusado</v>
      </c>
      <c r="E1725" s="8" t="s">
        <v>28</v>
      </c>
      <c r="F1725" s="42" t="str">
        <f t="shared" ref="F1725:F1756" si="689">F1724</f>
        <v>d.resistir</v>
      </c>
      <c r="G1725" s="18" t="s">
        <v>302</v>
      </c>
      <c r="H1725" s="41" t="s">
        <v>37</v>
      </c>
      <c r="I1725" s="16" t="str">
        <f t="shared" si="685"/>
        <v>null</v>
      </c>
      <c r="J1725" s="13" t="s">
        <v>0</v>
      </c>
      <c r="K1725" s="13" t="s">
        <v>0</v>
      </c>
      <c r="L1725" s="13" t="s">
        <v>0</v>
      </c>
      <c r="M1725" s="13" t="s">
        <v>0</v>
      </c>
      <c r="N1725" s="15" t="s">
        <v>0</v>
      </c>
      <c r="O1725" s="13" t="s">
        <v>0</v>
      </c>
      <c r="P1725" s="13" t="s">
        <v>0</v>
      </c>
      <c r="Q1725" s="13" t="s">
        <v>0</v>
      </c>
      <c r="R1725" s="15" t="s">
        <v>1152</v>
      </c>
      <c r="S1725" s="10" t="s">
        <v>1</v>
      </c>
      <c r="T1725" s="10" t="s">
        <v>32</v>
      </c>
      <c r="U1725" s="5" t="str">
        <f t="shared" si="649"/>
        <v>Propriedade destinada a resistir: é.aparafusado</v>
      </c>
      <c r="V1725" s="5" t="str">
        <f t="shared" si="650"/>
        <v>Dado para resistir:  aparafusado  Deve ser formatado como (xsd:boolean)</v>
      </c>
      <c r="W1725" s="5" t="s">
        <v>6369</v>
      </c>
      <c r="X1725" s="24" t="str">
        <f t="shared" si="651"/>
        <v>resis.102</v>
      </c>
      <c r="Y1725" s="24" t="str">
        <f t="shared" si="652"/>
        <v>Ação de resistir</v>
      </c>
      <c r="Z1725" s="47" t="s">
        <v>7011</v>
      </c>
      <c r="AA1725" s="25" t="str">
        <f t="shared" si="686"/>
        <v>null</v>
      </c>
      <c r="AB1725" s="26" t="s">
        <v>0</v>
      </c>
      <c r="AC1725" s="25" t="str">
        <f t="shared" si="687"/>
        <v>null</v>
      </c>
      <c r="AD1725" s="26" t="s">
        <v>0</v>
      </c>
      <c r="AE1725" s="25" t="str">
        <f t="shared" si="654"/>
        <v>null</v>
      </c>
      <c r="AF1725" s="26" t="s">
        <v>0</v>
      </c>
      <c r="AG1725" s="47" t="s">
        <v>3241</v>
      </c>
    </row>
    <row r="1726" spans="1:33" ht="6.9" customHeight="1" x14ac:dyDescent="0.4">
      <c r="A1726" s="4">
        <f>ROW()</f>
        <v>1726</v>
      </c>
      <c r="B1726" s="9" t="s">
        <v>27</v>
      </c>
      <c r="C1726" s="55" t="str">
        <f t="shared" si="688"/>
        <v>p.resistir</v>
      </c>
      <c r="D1726" s="6" t="str">
        <f t="shared" si="659"/>
        <v>é.atrito</v>
      </c>
      <c r="E1726" s="8" t="s">
        <v>28</v>
      </c>
      <c r="F1726" s="42" t="str">
        <f>F1724</f>
        <v>d.resistir</v>
      </c>
      <c r="G1726" s="18" t="s">
        <v>7500</v>
      </c>
      <c r="H1726" s="41" t="s">
        <v>36</v>
      </c>
      <c r="I1726" s="16" t="str">
        <f t="shared" si="685"/>
        <v>null</v>
      </c>
      <c r="J1726" s="13" t="s">
        <v>0</v>
      </c>
      <c r="K1726" s="13" t="s">
        <v>0</v>
      </c>
      <c r="L1726" s="13" t="s">
        <v>0</v>
      </c>
      <c r="M1726" s="13" t="s">
        <v>0</v>
      </c>
      <c r="N1726" s="15" t="s">
        <v>0</v>
      </c>
      <c r="O1726" s="13" t="s">
        <v>0</v>
      </c>
      <c r="P1726" s="13" t="s">
        <v>0</v>
      </c>
      <c r="Q1726" s="13" t="s">
        <v>7507</v>
      </c>
      <c r="R1726" s="15" t="s">
        <v>0</v>
      </c>
      <c r="S1726" s="10" t="s">
        <v>1</v>
      </c>
      <c r="T1726" s="10" t="s">
        <v>32</v>
      </c>
      <c r="U1726" s="5" t="str">
        <f t="shared" si="649"/>
        <v>Propriedade destinada a resistir: é.atrito</v>
      </c>
      <c r="V1726" s="5" t="str">
        <f t="shared" si="650"/>
        <v>Dado para resistir:  atrito  Deve ser formatado como (xsd:double)</v>
      </c>
      <c r="W1726" s="5" t="s">
        <v>7501</v>
      </c>
      <c r="X1726" s="24" t="str">
        <f t="shared" si="651"/>
        <v>resis.103</v>
      </c>
      <c r="Y1726" s="24" t="str">
        <f t="shared" si="652"/>
        <v>Ação de resistir</v>
      </c>
      <c r="Z1726" s="47" t="s">
        <v>7505</v>
      </c>
      <c r="AA1726" s="25" t="str">
        <f t="shared" si="686"/>
        <v>null</v>
      </c>
      <c r="AB1726" s="26" t="s">
        <v>0</v>
      </c>
      <c r="AC1726" s="25" t="str">
        <f t="shared" si="687"/>
        <v>null</v>
      </c>
      <c r="AD1726" s="26" t="s">
        <v>0</v>
      </c>
      <c r="AE1726" s="25" t="str">
        <f t="shared" si="654"/>
        <v>null</v>
      </c>
      <c r="AF1726" s="26" t="s">
        <v>0</v>
      </c>
      <c r="AG1726" s="47" t="s">
        <v>7503</v>
      </c>
    </row>
    <row r="1727" spans="1:33" ht="6.9" customHeight="1" x14ac:dyDescent="0.4">
      <c r="A1727" s="4">
        <f>ROW()</f>
        <v>1727</v>
      </c>
      <c r="B1727" s="9" t="s">
        <v>27</v>
      </c>
      <c r="C1727" s="55" t="str">
        <f t="shared" ref="C1727" si="690">SUBSTITUTE(F1727,"d.","p.")</f>
        <v>p.resistir</v>
      </c>
      <c r="D1727" s="6" t="str">
        <f t="shared" si="659"/>
        <v>é.atrito.negativo</v>
      </c>
      <c r="E1727" s="8" t="s">
        <v>28</v>
      </c>
      <c r="F1727" s="42" t="str">
        <f>F1725</f>
        <v>d.resistir</v>
      </c>
      <c r="G1727" s="18" t="s">
        <v>7499</v>
      </c>
      <c r="H1727" s="41" t="s">
        <v>36</v>
      </c>
      <c r="I1727" s="16" t="str">
        <f t="shared" ref="I1727" si="691">J1727</f>
        <v>null</v>
      </c>
      <c r="J1727" s="13" t="s">
        <v>0</v>
      </c>
      <c r="K1727" s="13" t="s">
        <v>0</v>
      </c>
      <c r="L1727" s="13" t="s">
        <v>0</v>
      </c>
      <c r="M1727" s="13" t="s">
        <v>0</v>
      </c>
      <c r="N1727" s="15" t="s">
        <v>0</v>
      </c>
      <c r="O1727" s="13" t="s">
        <v>0</v>
      </c>
      <c r="P1727" s="13" t="s">
        <v>0</v>
      </c>
      <c r="Q1727" s="13" t="s">
        <v>7508</v>
      </c>
      <c r="R1727" s="15" t="s">
        <v>0</v>
      </c>
      <c r="S1727" s="10" t="s">
        <v>1</v>
      </c>
      <c r="T1727" s="10" t="s">
        <v>32</v>
      </c>
      <c r="U1727" s="5" t="str">
        <f t="shared" si="649"/>
        <v>Propriedade destinada a resistir: é.atrito.negativo</v>
      </c>
      <c r="V1727" s="5" t="str">
        <f t="shared" si="650"/>
        <v>Dado para resistir:  atrito.negativo  Deve ser formatado como (xsd:double)</v>
      </c>
      <c r="W1727" s="5" t="s">
        <v>7502</v>
      </c>
      <c r="X1727" s="24" t="str">
        <f t="shared" si="651"/>
        <v>resis.104</v>
      </c>
      <c r="Y1727" s="24" t="str">
        <f t="shared" si="652"/>
        <v>Ação de resistir</v>
      </c>
      <c r="Z1727" s="47" t="s">
        <v>7506</v>
      </c>
      <c r="AA1727" s="25" t="str">
        <f t="shared" ref="AA1727" si="692">IF(AB1727="null", "null", "categoria.revit")</f>
        <v>null</v>
      </c>
      <c r="AB1727" s="26" t="s">
        <v>0</v>
      </c>
      <c r="AC1727" s="25" t="str">
        <f t="shared" ref="AC1727" si="693">IF(AD1727="null", "null", "classe.ifc")</f>
        <v>null</v>
      </c>
      <c r="AD1727" s="26" t="s">
        <v>0</v>
      </c>
      <c r="AE1727" s="25" t="str">
        <f t="shared" ref="AE1727" si="694">IF(AF1727="null", "null", "propriedade")</f>
        <v>null</v>
      </c>
      <c r="AF1727" s="26" t="s">
        <v>0</v>
      </c>
      <c r="AG1727" s="47" t="s">
        <v>7504</v>
      </c>
    </row>
    <row r="1728" spans="1:33" ht="6.9" customHeight="1" x14ac:dyDescent="0.4">
      <c r="A1728" s="4">
        <f>ROW()</f>
        <v>1728</v>
      </c>
      <c r="B1728" s="9" t="s">
        <v>27</v>
      </c>
      <c r="C1728" s="55" t="str">
        <f t="shared" si="688"/>
        <v>p.resistir</v>
      </c>
      <c r="D1728" s="6" t="str">
        <f t="shared" si="659"/>
        <v>é.característica.de.escoamento</v>
      </c>
      <c r="E1728" s="8" t="s">
        <v>28</v>
      </c>
      <c r="F1728" s="42" t="str">
        <f t="shared" si="689"/>
        <v>d.resistir</v>
      </c>
      <c r="G1728" s="18" t="s">
        <v>1006</v>
      </c>
      <c r="H1728" s="41" t="s">
        <v>36</v>
      </c>
      <c r="I1728" s="16" t="str">
        <f t="shared" si="685"/>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649"/>
        <v>Propriedade destinada a resistir: é.característica.de.escoamento</v>
      </c>
      <c r="V1728" s="5" t="str">
        <f t="shared" si="650"/>
        <v>Dado para resistir:  característica.de.escoamento  Deve ser formatado como (xsd:double)</v>
      </c>
      <c r="W1728" s="5" t="s">
        <v>6370</v>
      </c>
      <c r="X1728" s="24" t="str">
        <f t="shared" si="651"/>
        <v>resis.105</v>
      </c>
      <c r="Y1728" s="24" t="str">
        <f t="shared" si="652"/>
        <v>Ação de resistir</v>
      </c>
      <c r="Z1728" s="47" t="s">
        <v>7012</v>
      </c>
      <c r="AA1728" s="25" t="str">
        <f t="shared" si="686"/>
        <v>null</v>
      </c>
      <c r="AB1728" s="26" t="s">
        <v>0</v>
      </c>
      <c r="AC1728" s="25" t="str">
        <f t="shared" si="687"/>
        <v>null</v>
      </c>
      <c r="AD1728" s="26" t="s">
        <v>0</v>
      </c>
      <c r="AE1728" s="25" t="str">
        <f t="shared" si="654"/>
        <v>null</v>
      </c>
      <c r="AF1728" s="26" t="s">
        <v>0</v>
      </c>
      <c r="AG1728" s="47" t="s">
        <v>3244</v>
      </c>
    </row>
    <row r="1729" spans="1:33" ht="6.9" customHeight="1" x14ac:dyDescent="0.4">
      <c r="A1729" s="4">
        <f>ROW()</f>
        <v>1729</v>
      </c>
      <c r="B1729" s="9" t="s">
        <v>27</v>
      </c>
      <c r="C1729" s="55" t="str">
        <f t="shared" si="688"/>
        <v>p.resistir</v>
      </c>
      <c r="D1729" s="6" t="str">
        <f t="shared" si="659"/>
        <v>é.chumbada</v>
      </c>
      <c r="E1729" s="8" t="s">
        <v>28</v>
      </c>
      <c r="F1729" s="42" t="str">
        <f t="shared" si="689"/>
        <v>d.resistir</v>
      </c>
      <c r="G1729" s="18" t="s">
        <v>457</v>
      </c>
      <c r="H1729" s="41" t="s">
        <v>37</v>
      </c>
      <c r="I1729" s="16" t="str">
        <f t="shared" si="685"/>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649"/>
        <v>Propriedade destinada a resistir: é.chumbada</v>
      </c>
      <c r="V1729" s="5" t="str">
        <f t="shared" si="650"/>
        <v>Dado para resistir:  chumbada  Deve ser formatado como (xsd:boolean)</v>
      </c>
      <c r="W1729" s="5" t="s">
        <v>6371</v>
      </c>
      <c r="X1729" s="24" t="str">
        <f t="shared" si="651"/>
        <v>resis.106</v>
      </c>
      <c r="Y1729" s="24" t="str">
        <f t="shared" si="652"/>
        <v>Ação de resistir</v>
      </c>
      <c r="Z1729" s="47" t="s">
        <v>7013</v>
      </c>
      <c r="AA1729" s="25" t="str">
        <f t="shared" si="686"/>
        <v>null</v>
      </c>
      <c r="AB1729" s="26" t="s">
        <v>0</v>
      </c>
      <c r="AC1729" s="25" t="str">
        <f t="shared" si="687"/>
        <v>null</v>
      </c>
      <c r="AD1729" s="26" t="s">
        <v>0</v>
      </c>
      <c r="AE1729" s="25" t="str">
        <f t="shared" si="654"/>
        <v>null</v>
      </c>
      <c r="AF1729" s="26" t="s">
        <v>0</v>
      </c>
      <c r="AG1729" s="47" t="s">
        <v>3242</v>
      </c>
    </row>
    <row r="1730" spans="1:33" ht="6.9" customHeight="1" x14ac:dyDescent="0.4">
      <c r="A1730" s="4">
        <f>ROW()</f>
        <v>1730</v>
      </c>
      <c r="B1730" s="9" t="s">
        <v>27</v>
      </c>
      <c r="C1730" s="55" t="str">
        <f t="shared" ref="C1730" si="695">SUBSTITUTE(F1730,"d.","p.")</f>
        <v>p.resistir</v>
      </c>
      <c r="D1730" s="6" t="str">
        <f t="shared" si="659"/>
        <v>é.classe.de.aço</v>
      </c>
      <c r="E1730" s="8" t="s">
        <v>28</v>
      </c>
      <c r="F1730" s="42" t="str">
        <f>F1728</f>
        <v>d.resistir</v>
      </c>
      <c r="G1730" s="18" t="s">
        <v>1004</v>
      </c>
      <c r="H1730" s="42" t="s">
        <v>2121</v>
      </c>
      <c r="I1730" s="16" t="str">
        <f t="shared" ref="I1730" si="696">J1730</f>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ref="U1730:U1793" si="697">_xlfn.CONCAT("Propriedade destinada a ",MID(C1730,FIND("p.",C1730,1)+2,100),": ",D1730)</f>
        <v>Propriedade destinada a resistir: é.classe.de.aço</v>
      </c>
      <c r="V1730" s="5" t="str">
        <f t="shared" ref="V1730:V1793" si="698">_xlfn.CONCAT("Dado para ",MID(F1730,FIND("d.",F1730,1)+2,100),":  ",G1730, "  Deve ser formatado como (",H1730, ")")</f>
        <v>Dado para resistir:  classe.de.aço  Deve ser formatado como (rdfs:Literal  or  xsd:string)</v>
      </c>
      <c r="W1730" s="5" t="s">
        <v>6372</v>
      </c>
      <c r="X1730" s="24" t="str">
        <f t="shared" si="651"/>
        <v>resis.107</v>
      </c>
      <c r="Y1730" s="24" t="str">
        <f t="shared" si="652"/>
        <v>Ação de resistir</v>
      </c>
      <c r="Z1730" s="47" t="s">
        <v>7014</v>
      </c>
      <c r="AA1730" s="25" t="str">
        <f t="shared" ref="AA1730" si="699">IF(AB1730="null", "null", "categoria.revit")</f>
        <v>null</v>
      </c>
      <c r="AB1730" s="26" t="s">
        <v>0</v>
      </c>
      <c r="AC1730" s="25" t="str">
        <f t="shared" ref="AC1730" si="700">IF(AD1730="null", "null", "classe.ifc")</f>
        <v>null</v>
      </c>
      <c r="AD1730" s="26" t="s">
        <v>0</v>
      </c>
      <c r="AE1730" s="25" t="str">
        <f t="shared" ref="AE1730" si="701">IF(AF1730="null", "null", "propriedade")</f>
        <v>null</v>
      </c>
      <c r="AF1730" s="26" t="s">
        <v>0</v>
      </c>
      <c r="AG1730" s="47" t="s">
        <v>3243</v>
      </c>
    </row>
    <row r="1731" spans="1:33" ht="6.9" customHeight="1" x14ac:dyDescent="0.4">
      <c r="A1731" s="4">
        <f>ROW()</f>
        <v>1731</v>
      </c>
      <c r="B1731" s="9" t="s">
        <v>27</v>
      </c>
      <c r="C1731" s="55" t="str">
        <f t="shared" si="688"/>
        <v>p.resistir</v>
      </c>
      <c r="D1731" s="6" t="str">
        <f t="shared" si="659"/>
        <v>é.contraflecha</v>
      </c>
      <c r="E1731" s="8" t="s">
        <v>28</v>
      </c>
      <c r="F1731" s="42" t="str">
        <f>F1729</f>
        <v>d.resistir</v>
      </c>
      <c r="G1731" s="18" t="s">
        <v>7442</v>
      </c>
      <c r="H1731" s="41" t="s">
        <v>36</v>
      </c>
      <c r="I1731" s="16" t="str">
        <f t="shared" si="68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697"/>
        <v>Propriedade destinada a resistir: é.contraflecha</v>
      </c>
      <c r="V1731" s="5" t="str">
        <f t="shared" si="698"/>
        <v>Dado para resistir:  contraflecha  Deve ser formatado como (xsd:double)</v>
      </c>
      <c r="W1731" s="5" t="s">
        <v>7443</v>
      </c>
      <c r="X1731" s="24" t="str">
        <f t="shared" ref="X1731:X1794" si="702">IF(F1730&lt;&gt;F1731,_xlfn.CONCAT(RIGHT(LEFT(F1731,7),5),".100"),_xlfn.CONCAT(RIGHT(LEFT(F1731,7),5),".",SUM(VALUE(RIGHT(X1730,3)),1)))</f>
        <v>resis.108</v>
      </c>
      <c r="Y1731" s="24" t="str">
        <f t="shared" ref="Y1731:Y1794" si="703">_xlfn.CONCAT("Ação de ", SUBSTITUTE(F1731, "d.",  ""))</f>
        <v>Ação de resistir</v>
      </c>
      <c r="Z1731" s="47" t="s">
        <v>7445</v>
      </c>
      <c r="AA1731" s="25" t="str">
        <f t="shared" si="686"/>
        <v>null</v>
      </c>
      <c r="AB1731" s="26" t="s">
        <v>0</v>
      </c>
      <c r="AC1731" s="25" t="str">
        <f t="shared" si="687"/>
        <v>null</v>
      </c>
      <c r="AD1731" s="26" t="s">
        <v>0</v>
      </c>
      <c r="AE1731" s="25" t="str">
        <f t="shared" si="654"/>
        <v>null</v>
      </c>
      <c r="AF1731" s="26" t="s">
        <v>0</v>
      </c>
      <c r="AG1731" s="47" t="s">
        <v>7444</v>
      </c>
    </row>
    <row r="1732" spans="1:33" ht="6.9" customHeight="1" x14ac:dyDescent="0.4">
      <c r="A1732" s="4">
        <f>ROW()</f>
        <v>1732</v>
      </c>
      <c r="B1732" s="9" t="s">
        <v>27</v>
      </c>
      <c r="C1732" s="55" t="str">
        <f t="shared" si="688"/>
        <v>p.resistir</v>
      </c>
      <c r="D1732" s="6" t="str">
        <f t="shared" si="659"/>
        <v>é.engastado</v>
      </c>
      <c r="E1732" s="8" t="s">
        <v>28</v>
      </c>
      <c r="F1732" s="42" t="str">
        <f t="shared" si="689"/>
        <v>d.resistir</v>
      </c>
      <c r="G1732" s="18" t="s">
        <v>454</v>
      </c>
      <c r="H1732" s="41" t="s">
        <v>37</v>
      </c>
      <c r="I1732" s="16" t="str">
        <f t="shared" si="68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697"/>
        <v>Propriedade destinada a resistir: é.engastado</v>
      </c>
      <c r="V1732" s="5" t="str">
        <f t="shared" si="698"/>
        <v>Dado para resistir:  engastado  Deve ser formatado como (xsd:boolean)</v>
      </c>
      <c r="W1732" s="5" t="s">
        <v>6373</v>
      </c>
      <c r="X1732" s="24" t="str">
        <f t="shared" si="702"/>
        <v>resis.109</v>
      </c>
      <c r="Y1732" s="24" t="str">
        <f t="shared" si="703"/>
        <v>Ação de resistir</v>
      </c>
      <c r="Z1732" s="47" t="s">
        <v>7015</v>
      </c>
      <c r="AA1732" s="25" t="str">
        <f t="shared" si="686"/>
        <v>null</v>
      </c>
      <c r="AB1732" s="26" t="s">
        <v>0</v>
      </c>
      <c r="AC1732" s="25" t="str">
        <f t="shared" si="687"/>
        <v>null</v>
      </c>
      <c r="AD1732" s="26" t="s">
        <v>0</v>
      </c>
      <c r="AE1732" s="25" t="str">
        <f t="shared" si="654"/>
        <v>null</v>
      </c>
      <c r="AF1732" s="26" t="s">
        <v>0</v>
      </c>
      <c r="AG1732" s="47" t="s">
        <v>4889</v>
      </c>
    </row>
    <row r="1733" spans="1:33" ht="6.9" customHeight="1" x14ac:dyDescent="0.4">
      <c r="A1733" s="4">
        <f>ROW()</f>
        <v>1733</v>
      </c>
      <c r="B1733" s="9" t="s">
        <v>27</v>
      </c>
      <c r="C1733" s="55" t="str">
        <f t="shared" si="688"/>
        <v>p.resistir</v>
      </c>
      <c r="D1733" s="6" t="str">
        <f t="shared" si="659"/>
        <v>é.força.de.cisalhamento</v>
      </c>
      <c r="E1733" s="8" t="s">
        <v>28</v>
      </c>
      <c r="F1733" s="42" t="str">
        <f t="shared" si="689"/>
        <v>d.resistir</v>
      </c>
      <c r="G1733" s="18" t="s">
        <v>4169</v>
      </c>
      <c r="H1733" s="41" t="s">
        <v>36</v>
      </c>
      <c r="I1733" s="16" t="str">
        <f t="shared" si="68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697"/>
        <v>Propriedade destinada a resistir: é.força.de.cisalhamento</v>
      </c>
      <c r="V1733" s="5" t="str">
        <f t="shared" si="698"/>
        <v>Dado para resistir:  força.de.cisalhamento  Deve ser formatado como (xsd:double)</v>
      </c>
      <c r="W1733" s="5" t="s">
        <v>6374</v>
      </c>
      <c r="X1733" s="24" t="str">
        <f t="shared" si="702"/>
        <v>resis.110</v>
      </c>
      <c r="Y1733" s="24" t="str">
        <f t="shared" si="703"/>
        <v>Ação de resistir</v>
      </c>
      <c r="Z1733" s="47" t="s">
        <v>7016</v>
      </c>
      <c r="AA1733" s="25" t="str">
        <f t="shared" si="686"/>
        <v>null</v>
      </c>
      <c r="AB1733" s="26" t="s">
        <v>0</v>
      </c>
      <c r="AC1733" s="25" t="str">
        <f t="shared" si="687"/>
        <v>null</v>
      </c>
      <c r="AD1733" s="26" t="s">
        <v>0</v>
      </c>
      <c r="AE1733" s="25" t="str">
        <f t="shared" si="654"/>
        <v>null</v>
      </c>
      <c r="AF1733" s="26" t="s">
        <v>0</v>
      </c>
      <c r="AG1733" s="47" t="s">
        <v>4890</v>
      </c>
    </row>
    <row r="1734" spans="1:33" ht="6.9" customHeight="1" x14ac:dyDescent="0.4">
      <c r="A1734" s="4">
        <f>ROW()</f>
        <v>1734</v>
      </c>
      <c r="B1734" s="9" t="s">
        <v>27</v>
      </c>
      <c r="C1734" s="55" t="str">
        <f t="shared" si="688"/>
        <v>p.resistir</v>
      </c>
      <c r="D1734" s="6" t="str">
        <f t="shared" si="659"/>
        <v>é.força.de.compressão</v>
      </c>
      <c r="E1734" s="8" t="s">
        <v>28</v>
      </c>
      <c r="F1734" s="42" t="str">
        <f t="shared" si="689"/>
        <v>d.resistir</v>
      </c>
      <c r="G1734" s="18" t="s">
        <v>4171</v>
      </c>
      <c r="H1734" s="41" t="s">
        <v>36</v>
      </c>
      <c r="I1734" s="16" t="str">
        <f t="shared" si="68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697"/>
        <v>Propriedade destinada a resistir: é.força.de.compressão</v>
      </c>
      <c r="V1734" s="5" t="str">
        <f t="shared" si="698"/>
        <v>Dado para resistir:  força.de.compressão  Deve ser formatado como (xsd:double)</v>
      </c>
      <c r="W1734" s="5" t="s">
        <v>6375</v>
      </c>
      <c r="X1734" s="24" t="str">
        <f t="shared" si="702"/>
        <v>resis.111</v>
      </c>
      <c r="Y1734" s="24" t="str">
        <f t="shared" si="703"/>
        <v>Ação de resistir</v>
      </c>
      <c r="Z1734" s="47" t="s">
        <v>7017</v>
      </c>
      <c r="AA1734" s="25" t="str">
        <f t="shared" si="686"/>
        <v>null</v>
      </c>
      <c r="AB1734" s="26" t="s">
        <v>0</v>
      </c>
      <c r="AC1734" s="25" t="str">
        <f t="shared" si="687"/>
        <v>null</v>
      </c>
      <c r="AD1734" s="26" t="s">
        <v>0</v>
      </c>
      <c r="AE1734" s="25" t="str">
        <f t="shared" si="654"/>
        <v>null</v>
      </c>
      <c r="AF1734" s="26" t="s">
        <v>0</v>
      </c>
      <c r="AG1734" s="47" t="s">
        <v>4891</v>
      </c>
    </row>
    <row r="1735" spans="1:33" ht="6.9" customHeight="1" x14ac:dyDescent="0.4">
      <c r="A1735" s="4">
        <f>ROW()</f>
        <v>1735</v>
      </c>
      <c r="B1735" s="9" t="s">
        <v>27</v>
      </c>
      <c r="C1735" s="55" t="str">
        <f t="shared" si="688"/>
        <v>p.resistir</v>
      </c>
      <c r="D1735" s="6" t="str">
        <f t="shared" si="659"/>
        <v>é.força.de.momento.fletor</v>
      </c>
      <c r="E1735" s="8" t="s">
        <v>28</v>
      </c>
      <c r="F1735" s="42" t="str">
        <f t="shared" si="689"/>
        <v>d.resistir</v>
      </c>
      <c r="G1735" s="18" t="s">
        <v>4170</v>
      </c>
      <c r="H1735" s="41" t="s">
        <v>36</v>
      </c>
      <c r="I1735" s="16" t="str">
        <f t="shared" si="685"/>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697"/>
        <v>Propriedade destinada a resistir: é.força.de.momento.fletor</v>
      </c>
      <c r="V1735" s="5" t="str">
        <f t="shared" si="698"/>
        <v>Dado para resistir:  força.de.momento.fletor  Deve ser formatado como (xsd:double)</v>
      </c>
      <c r="W1735" s="5" t="s">
        <v>6376</v>
      </c>
      <c r="X1735" s="24" t="str">
        <f t="shared" si="702"/>
        <v>resis.112</v>
      </c>
      <c r="Y1735" s="24" t="str">
        <f t="shared" si="703"/>
        <v>Ação de resistir</v>
      </c>
      <c r="Z1735" s="47" t="s">
        <v>7018</v>
      </c>
      <c r="AA1735" s="25" t="str">
        <f t="shared" si="686"/>
        <v>null</v>
      </c>
      <c r="AB1735" s="26" t="s">
        <v>0</v>
      </c>
      <c r="AC1735" s="25" t="str">
        <f t="shared" si="687"/>
        <v>null</v>
      </c>
      <c r="AD1735" s="26" t="s">
        <v>0</v>
      </c>
      <c r="AE1735" s="25" t="str">
        <f t="shared" si="654"/>
        <v>null</v>
      </c>
      <c r="AF1735" s="26" t="s">
        <v>0</v>
      </c>
      <c r="AG1735" s="47" t="s">
        <v>4892</v>
      </c>
    </row>
    <row r="1736" spans="1:33" ht="6.9" customHeight="1" x14ac:dyDescent="0.4">
      <c r="A1736" s="4">
        <f>ROW()</f>
        <v>1736</v>
      </c>
      <c r="B1736" s="9" t="s">
        <v>27</v>
      </c>
      <c r="C1736" s="55" t="str">
        <f t="shared" ref="C1736" si="704">SUBSTITUTE(F1736,"d.","p.")</f>
        <v>p.resistir</v>
      </c>
      <c r="D1736" s="6" t="str">
        <f t="shared" si="659"/>
        <v>é.força.de.subpressão</v>
      </c>
      <c r="E1736" s="8" t="s">
        <v>28</v>
      </c>
      <c r="F1736" s="42" t="str">
        <f>F1734</f>
        <v>d.resistir</v>
      </c>
      <c r="G1736" s="18" t="s">
        <v>7497</v>
      </c>
      <c r="H1736" s="41" t="s">
        <v>36</v>
      </c>
      <c r="I1736" s="16" t="str">
        <f t="shared" ref="I1736" si="705">J1736</f>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697"/>
        <v>Propriedade destinada a resistir: é.força.de.subpressão</v>
      </c>
      <c r="V1736" s="5" t="str">
        <f t="shared" si="698"/>
        <v>Dado para resistir:  força.de.subpressão  Deve ser formatado como (xsd:double)</v>
      </c>
      <c r="W1736" s="5" t="s">
        <v>7498</v>
      </c>
      <c r="X1736" s="24" t="str">
        <f t="shared" si="702"/>
        <v>resis.113</v>
      </c>
      <c r="Y1736" s="24" t="str">
        <f t="shared" si="703"/>
        <v>Ação de resistir</v>
      </c>
      <c r="Z1736" s="47" t="s">
        <v>7510</v>
      </c>
      <c r="AA1736" s="25" t="str">
        <f t="shared" ref="AA1736" si="706">IF(AB1736="null", "null", "categoria.revit")</f>
        <v>null</v>
      </c>
      <c r="AB1736" s="26" t="s">
        <v>0</v>
      </c>
      <c r="AC1736" s="25" t="str">
        <f t="shared" ref="AC1736" si="707">IF(AD1736="null", "null", "classe.ifc")</f>
        <v>null</v>
      </c>
      <c r="AD1736" s="26" t="s">
        <v>0</v>
      </c>
      <c r="AE1736" s="25" t="str">
        <f t="shared" ref="AE1736" si="708">IF(AF1736="null", "null", "propriedade")</f>
        <v>null</v>
      </c>
      <c r="AF1736" s="26" t="s">
        <v>0</v>
      </c>
      <c r="AG1736" s="47" t="s">
        <v>7509</v>
      </c>
    </row>
    <row r="1737" spans="1:33" ht="6.9" customHeight="1" x14ac:dyDescent="0.4">
      <c r="A1737" s="4">
        <f>ROW()</f>
        <v>1737</v>
      </c>
      <c r="B1737" s="9" t="s">
        <v>27</v>
      </c>
      <c r="C1737" s="55" t="str">
        <f t="shared" si="688"/>
        <v>p.resistir</v>
      </c>
      <c r="D1737" s="6" t="str">
        <f t="shared" si="659"/>
        <v>é.força.de.tensão</v>
      </c>
      <c r="E1737" s="8" t="s">
        <v>28</v>
      </c>
      <c r="F1737" s="42" t="str">
        <f>F1735</f>
        <v>d.resistir</v>
      </c>
      <c r="G1737" s="18" t="s">
        <v>4172</v>
      </c>
      <c r="H1737" s="41" t="s">
        <v>36</v>
      </c>
      <c r="I1737" s="16" t="str">
        <f t="shared" si="68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697"/>
        <v>Propriedade destinada a resistir: é.força.de.tensão</v>
      </c>
      <c r="V1737" s="5" t="str">
        <f t="shared" si="698"/>
        <v>Dado para resistir:  força.de.tensão  Deve ser formatado como (xsd:double)</v>
      </c>
      <c r="W1737" s="5" t="s">
        <v>6377</v>
      </c>
      <c r="X1737" s="24" t="str">
        <f t="shared" si="702"/>
        <v>resis.114</v>
      </c>
      <c r="Y1737" s="24" t="str">
        <f t="shared" si="703"/>
        <v>Ação de resistir</v>
      </c>
      <c r="Z1737" s="47" t="s">
        <v>7019</v>
      </c>
      <c r="AA1737" s="25" t="str">
        <f t="shared" si="686"/>
        <v>null</v>
      </c>
      <c r="AB1737" s="26" t="s">
        <v>0</v>
      </c>
      <c r="AC1737" s="25" t="str">
        <f t="shared" si="687"/>
        <v>null</v>
      </c>
      <c r="AD1737" s="26" t="s">
        <v>0</v>
      </c>
      <c r="AE1737" s="25" t="str">
        <f t="shared" si="654"/>
        <v>null</v>
      </c>
      <c r="AF1737" s="26" t="s">
        <v>0</v>
      </c>
      <c r="AG1737" s="47" t="s">
        <v>4893</v>
      </c>
    </row>
    <row r="1738" spans="1:33" ht="6.9" customHeight="1" x14ac:dyDescent="0.4">
      <c r="A1738" s="4">
        <f>ROW()</f>
        <v>1738</v>
      </c>
      <c r="B1738" s="9" t="s">
        <v>27</v>
      </c>
      <c r="C1738" s="55" t="str">
        <f t="shared" si="688"/>
        <v>p.resistir</v>
      </c>
      <c r="D1738" s="6" t="str">
        <f t="shared" si="659"/>
        <v>é.força.de.torque</v>
      </c>
      <c r="E1738" s="8" t="s">
        <v>28</v>
      </c>
      <c r="F1738" s="42" t="str">
        <f t="shared" si="689"/>
        <v>d.resistir</v>
      </c>
      <c r="G1738" s="18" t="s">
        <v>4173</v>
      </c>
      <c r="H1738" s="41" t="s">
        <v>36</v>
      </c>
      <c r="I1738" s="16" t="str">
        <f t="shared" si="68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697"/>
        <v>Propriedade destinada a resistir: é.força.de.torque</v>
      </c>
      <c r="V1738" s="5" t="str">
        <f t="shared" si="698"/>
        <v>Dado para resistir:  força.de.torque  Deve ser formatado como (xsd:double)</v>
      </c>
      <c r="W1738" s="5" t="s">
        <v>6378</v>
      </c>
      <c r="X1738" s="24" t="str">
        <f t="shared" si="702"/>
        <v>resis.115</v>
      </c>
      <c r="Y1738" s="24" t="str">
        <f t="shared" si="703"/>
        <v>Ação de resistir</v>
      </c>
      <c r="Z1738" s="47" t="s">
        <v>7020</v>
      </c>
      <c r="AA1738" s="25" t="str">
        <f t="shared" si="686"/>
        <v>null</v>
      </c>
      <c r="AB1738" s="26" t="s">
        <v>0</v>
      </c>
      <c r="AC1738" s="25" t="str">
        <f t="shared" si="687"/>
        <v>null</v>
      </c>
      <c r="AD1738" s="26" t="s">
        <v>0</v>
      </c>
      <c r="AE1738" s="25" t="str">
        <f t="shared" si="654"/>
        <v>null</v>
      </c>
      <c r="AF1738" s="26" t="s">
        <v>0</v>
      </c>
      <c r="AG1738" s="47" t="s">
        <v>4894</v>
      </c>
    </row>
    <row r="1739" spans="1:33" ht="6.9" customHeight="1" x14ac:dyDescent="0.4">
      <c r="A1739" s="4">
        <f>ROW()</f>
        <v>1739</v>
      </c>
      <c r="B1739" s="9" t="s">
        <v>27</v>
      </c>
      <c r="C1739" s="55" t="str">
        <f t="shared" si="688"/>
        <v>p.resistir</v>
      </c>
      <c r="D1739" s="6" t="str">
        <f t="shared" si="659"/>
        <v>é.força.de.torsão</v>
      </c>
      <c r="E1739" s="8" t="s">
        <v>28</v>
      </c>
      <c r="F1739" s="42" t="str">
        <f t="shared" si="689"/>
        <v>d.resistir</v>
      </c>
      <c r="G1739" s="18" t="s">
        <v>4180</v>
      </c>
      <c r="H1739" s="41" t="s">
        <v>36</v>
      </c>
      <c r="I1739" s="16" t="str">
        <f t="shared" si="685"/>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697"/>
        <v>Propriedade destinada a resistir: é.força.de.torsão</v>
      </c>
      <c r="V1739" s="5" t="str">
        <f t="shared" si="698"/>
        <v>Dado para resistir:  força.de.torsão  Deve ser formatado como (xsd:double)</v>
      </c>
      <c r="W1739" s="5" t="s">
        <v>6379</v>
      </c>
      <c r="X1739" s="24" t="str">
        <f t="shared" si="702"/>
        <v>resis.116</v>
      </c>
      <c r="Y1739" s="24" t="str">
        <f t="shared" si="703"/>
        <v>Ação de resistir</v>
      </c>
      <c r="Z1739" s="47" t="s">
        <v>7021</v>
      </c>
      <c r="AA1739" s="25" t="str">
        <f t="shared" si="686"/>
        <v>null</v>
      </c>
      <c r="AB1739" s="26" t="s">
        <v>0</v>
      </c>
      <c r="AC1739" s="25" t="str">
        <f t="shared" si="687"/>
        <v>null</v>
      </c>
      <c r="AD1739" s="26" t="s">
        <v>0</v>
      </c>
      <c r="AE1739" s="25" t="str">
        <f t="shared" si="654"/>
        <v>null</v>
      </c>
      <c r="AF1739" s="26" t="s">
        <v>0</v>
      </c>
      <c r="AG1739" s="47" t="s">
        <v>4895</v>
      </c>
    </row>
    <row r="1740" spans="1:33" ht="6.9" customHeight="1" x14ac:dyDescent="0.4">
      <c r="A1740" s="4">
        <f>ROW()</f>
        <v>1740</v>
      </c>
      <c r="B1740" s="9" t="s">
        <v>27</v>
      </c>
      <c r="C1740" s="55" t="str">
        <f t="shared" si="688"/>
        <v>p.resistir</v>
      </c>
      <c r="D1740" s="6" t="str">
        <f t="shared" si="659"/>
        <v>é.limite.de.escoamento</v>
      </c>
      <c r="E1740" s="8" t="s">
        <v>28</v>
      </c>
      <c r="F1740" s="42" t="str">
        <f t="shared" si="689"/>
        <v>d.resistir</v>
      </c>
      <c r="G1740" s="18" t="s">
        <v>2126</v>
      </c>
      <c r="H1740" s="41" t="s">
        <v>36</v>
      </c>
      <c r="I1740" s="16" t="str">
        <f t="shared" si="685"/>
        <v>null</v>
      </c>
      <c r="J1740" s="13" t="s">
        <v>0</v>
      </c>
      <c r="K1740" s="13" t="s">
        <v>0</v>
      </c>
      <c r="L1740" s="13" t="s">
        <v>0</v>
      </c>
      <c r="M1740" s="13" t="s">
        <v>0</v>
      </c>
      <c r="N1740" s="15" t="s">
        <v>0</v>
      </c>
      <c r="O1740" s="13" t="s">
        <v>0</v>
      </c>
      <c r="P1740" s="13" t="s">
        <v>0</v>
      </c>
      <c r="Q1740" s="13" t="s">
        <v>0</v>
      </c>
      <c r="R1740" s="15" t="s">
        <v>2130</v>
      </c>
      <c r="S1740" s="10" t="s">
        <v>1</v>
      </c>
      <c r="T1740" s="10" t="s">
        <v>32</v>
      </c>
      <c r="U1740" s="5" t="str">
        <f t="shared" si="697"/>
        <v>Propriedade destinada a resistir: é.limite.de.escoamento</v>
      </c>
      <c r="V1740" s="5" t="str">
        <f t="shared" si="698"/>
        <v>Dado para resistir:  limite.de.escoamento  Deve ser formatado como (xsd:double)</v>
      </c>
      <c r="W1740" s="5" t="s">
        <v>6380</v>
      </c>
      <c r="X1740" s="24" t="str">
        <f t="shared" si="702"/>
        <v>resis.117</v>
      </c>
      <c r="Y1740" s="24" t="str">
        <f t="shared" si="703"/>
        <v>Ação de resistir</v>
      </c>
      <c r="Z1740" s="47" t="s">
        <v>7022</v>
      </c>
      <c r="AA1740" s="25" t="str">
        <f t="shared" si="686"/>
        <v>null</v>
      </c>
      <c r="AB1740" s="26" t="s">
        <v>0</v>
      </c>
      <c r="AC1740" s="25" t="str">
        <f t="shared" si="687"/>
        <v>null</v>
      </c>
      <c r="AD1740" s="26" t="s">
        <v>0</v>
      </c>
      <c r="AE1740" s="25" t="str">
        <f t="shared" si="654"/>
        <v>null</v>
      </c>
      <c r="AF1740" s="26" t="s">
        <v>0</v>
      </c>
      <c r="AG1740" s="47" t="s">
        <v>4896</v>
      </c>
    </row>
    <row r="1741" spans="1:33" ht="6.9" customHeight="1" x14ac:dyDescent="0.4">
      <c r="A1741" s="4">
        <f>ROW()</f>
        <v>1741</v>
      </c>
      <c r="B1741" s="9" t="s">
        <v>27</v>
      </c>
      <c r="C1741" s="55" t="str">
        <f t="shared" si="688"/>
        <v>p.resistir</v>
      </c>
      <c r="D1741" s="6" t="str">
        <f t="shared" si="659"/>
        <v>é.limite.de.resistência</v>
      </c>
      <c r="E1741" s="8" t="s">
        <v>28</v>
      </c>
      <c r="F1741" s="42" t="str">
        <f t="shared" si="689"/>
        <v>d.resistir</v>
      </c>
      <c r="G1741" s="18" t="s">
        <v>1007</v>
      </c>
      <c r="H1741" s="41" t="s">
        <v>36</v>
      </c>
      <c r="I1741" s="16" t="str">
        <f t="shared" si="685"/>
        <v>null</v>
      </c>
      <c r="J1741" s="13" t="s">
        <v>0</v>
      </c>
      <c r="K1741" s="13" t="s">
        <v>0</v>
      </c>
      <c r="L1741" s="13" t="s">
        <v>0</v>
      </c>
      <c r="M1741" s="13" t="s">
        <v>0</v>
      </c>
      <c r="N1741" s="15" t="s">
        <v>0</v>
      </c>
      <c r="O1741" s="13" t="s">
        <v>0</v>
      </c>
      <c r="P1741" s="13" t="s">
        <v>0</v>
      </c>
      <c r="Q1741" s="13" t="s">
        <v>0</v>
      </c>
      <c r="R1741" s="15" t="s">
        <v>2132</v>
      </c>
      <c r="S1741" s="10" t="s">
        <v>1</v>
      </c>
      <c r="T1741" s="10" t="s">
        <v>32</v>
      </c>
      <c r="U1741" s="5" t="str">
        <f t="shared" si="697"/>
        <v>Propriedade destinada a resistir: é.limite.de.resistência</v>
      </c>
      <c r="V1741" s="5" t="str">
        <f t="shared" si="698"/>
        <v>Dado para resistir:  limite.de.resistência  Deve ser formatado como (xsd:double)</v>
      </c>
      <c r="W1741" s="5" t="s">
        <v>6381</v>
      </c>
      <c r="X1741" s="24" t="str">
        <f t="shared" si="702"/>
        <v>resis.118</v>
      </c>
      <c r="Y1741" s="24" t="str">
        <f t="shared" si="703"/>
        <v>Ação de resistir</v>
      </c>
      <c r="Z1741" s="47" t="s">
        <v>1888</v>
      </c>
      <c r="AA1741" s="25" t="str">
        <f t="shared" si="686"/>
        <v>null</v>
      </c>
      <c r="AB1741" s="26" t="s">
        <v>0</v>
      </c>
      <c r="AC1741" s="25" t="str">
        <f t="shared" si="687"/>
        <v>null</v>
      </c>
      <c r="AD1741" s="26" t="s">
        <v>0</v>
      </c>
      <c r="AE1741" s="25" t="str">
        <f t="shared" si="654"/>
        <v>null</v>
      </c>
      <c r="AF1741" s="26" t="s">
        <v>0</v>
      </c>
      <c r="AG1741" s="47" t="s">
        <v>4897</v>
      </c>
    </row>
    <row r="1742" spans="1:33" ht="6.9" customHeight="1" x14ac:dyDescent="0.4">
      <c r="A1742" s="4">
        <f>ROW()</f>
        <v>1742</v>
      </c>
      <c r="B1742" s="9" t="s">
        <v>27</v>
      </c>
      <c r="C1742" s="55" t="str">
        <f t="shared" si="688"/>
        <v>p.resistir</v>
      </c>
      <c r="D1742" s="6" t="str">
        <f t="shared" si="659"/>
        <v>é.limite.elástico</v>
      </c>
      <c r="E1742" s="8" t="s">
        <v>28</v>
      </c>
      <c r="F1742" s="42" t="str">
        <f t="shared" si="689"/>
        <v>d.resistir</v>
      </c>
      <c r="G1742" s="18" t="s">
        <v>2128</v>
      </c>
      <c r="H1742" s="41" t="s">
        <v>36</v>
      </c>
      <c r="I1742" s="16" t="str">
        <f t="shared" si="685"/>
        <v>null</v>
      </c>
      <c r="J1742" s="13" t="s">
        <v>0</v>
      </c>
      <c r="K1742" s="13" t="s">
        <v>0</v>
      </c>
      <c r="L1742" s="13" t="s">
        <v>0</v>
      </c>
      <c r="M1742" s="13" t="s">
        <v>0</v>
      </c>
      <c r="N1742" s="15" t="s">
        <v>0</v>
      </c>
      <c r="O1742" s="13" t="s">
        <v>0</v>
      </c>
      <c r="P1742" s="13" t="s">
        <v>0</v>
      </c>
      <c r="Q1742" s="13" t="s">
        <v>0</v>
      </c>
      <c r="R1742" s="15" t="s">
        <v>2129</v>
      </c>
      <c r="S1742" s="10" t="s">
        <v>1</v>
      </c>
      <c r="T1742" s="10" t="s">
        <v>32</v>
      </c>
      <c r="U1742" s="5" t="str">
        <f t="shared" si="697"/>
        <v>Propriedade destinada a resistir: é.limite.elástico</v>
      </c>
      <c r="V1742" s="5" t="str">
        <f t="shared" si="698"/>
        <v>Dado para resistir:  limite.elástico  Deve ser formatado como (xsd:double)</v>
      </c>
      <c r="W1742" s="5" t="s">
        <v>6380</v>
      </c>
      <c r="X1742" s="24" t="str">
        <f t="shared" si="702"/>
        <v>resis.119</v>
      </c>
      <c r="Y1742" s="24" t="str">
        <f t="shared" si="703"/>
        <v>Ação de resistir</v>
      </c>
      <c r="Z1742" s="47" t="s">
        <v>7022</v>
      </c>
      <c r="AA1742" s="25" t="str">
        <f t="shared" si="686"/>
        <v>null</v>
      </c>
      <c r="AB1742" s="26" t="s">
        <v>0</v>
      </c>
      <c r="AC1742" s="25" t="str">
        <f t="shared" si="687"/>
        <v>null</v>
      </c>
      <c r="AD1742" s="26" t="s">
        <v>0</v>
      </c>
      <c r="AE1742" s="25" t="str">
        <f t="shared" si="654"/>
        <v>null</v>
      </c>
      <c r="AF1742" s="26" t="s">
        <v>0</v>
      </c>
      <c r="AG1742" s="47" t="s">
        <v>4896</v>
      </c>
    </row>
    <row r="1743" spans="1:33" ht="6.9" customHeight="1" x14ac:dyDescent="0.4">
      <c r="A1743" s="4">
        <f>ROW()</f>
        <v>1743</v>
      </c>
      <c r="B1743" s="9" t="s">
        <v>27</v>
      </c>
      <c r="C1743" s="55" t="str">
        <f t="shared" si="688"/>
        <v>p.resistir</v>
      </c>
      <c r="D1743" s="6" t="str">
        <f t="shared" ref="D1743:D1806" si="709">_xlfn.CONCAT("é.",G1743)</f>
        <v>é.massa.nominal</v>
      </c>
      <c r="E1743" s="8" t="s">
        <v>28</v>
      </c>
      <c r="F1743" s="42" t="str">
        <f t="shared" si="689"/>
        <v>d.resistir</v>
      </c>
      <c r="G1743" s="18" t="s">
        <v>1005</v>
      </c>
      <c r="H1743" s="41" t="s">
        <v>36</v>
      </c>
      <c r="I1743" s="16" t="str">
        <f t="shared" si="685"/>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697"/>
        <v>Propriedade destinada a resistir: é.massa.nominal</v>
      </c>
      <c r="V1743" s="5" t="str">
        <f t="shared" si="698"/>
        <v>Dado para resistir:  massa.nominal  Deve ser formatado como (xsd:double)</v>
      </c>
      <c r="W1743" s="5" t="s">
        <v>6382</v>
      </c>
      <c r="X1743" s="24" t="str">
        <f t="shared" si="702"/>
        <v>resis.120</v>
      </c>
      <c r="Y1743" s="24" t="str">
        <f t="shared" si="703"/>
        <v>Ação de resistir</v>
      </c>
      <c r="Z1743" s="47" t="s">
        <v>7023</v>
      </c>
      <c r="AA1743" s="25" t="str">
        <f t="shared" si="686"/>
        <v>null</v>
      </c>
      <c r="AB1743" s="26" t="s">
        <v>0</v>
      </c>
      <c r="AC1743" s="25" t="str">
        <f t="shared" si="687"/>
        <v>null</v>
      </c>
      <c r="AD1743" s="26" t="s">
        <v>0</v>
      </c>
      <c r="AE1743" s="25" t="str">
        <f t="shared" si="654"/>
        <v>null</v>
      </c>
      <c r="AF1743" s="26" t="s">
        <v>0</v>
      </c>
      <c r="AG1743" s="47" t="s">
        <v>4898</v>
      </c>
    </row>
    <row r="1744" spans="1:33" ht="6.9" customHeight="1" x14ac:dyDescent="0.4">
      <c r="A1744" s="4">
        <f>ROW()</f>
        <v>1744</v>
      </c>
      <c r="B1744" s="9" t="s">
        <v>27</v>
      </c>
      <c r="C1744" s="55" t="str">
        <f t="shared" si="688"/>
        <v>p.resistir</v>
      </c>
      <c r="D1744" s="6" t="str">
        <f t="shared" si="709"/>
        <v>é.membro.cisalhado</v>
      </c>
      <c r="E1744" s="8" t="s">
        <v>28</v>
      </c>
      <c r="F1744" s="42" t="str">
        <f t="shared" si="689"/>
        <v>d.resistir</v>
      </c>
      <c r="G1744" s="18" t="s">
        <v>1002</v>
      </c>
      <c r="H1744" s="41" t="s">
        <v>37</v>
      </c>
      <c r="I1744" s="16" t="str">
        <f t="shared" si="685"/>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697"/>
        <v>Propriedade destinada a resistir: é.membro.cisalhado</v>
      </c>
      <c r="V1744" s="5" t="str">
        <f t="shared" si="698"/>
        <v>Dado para resistir:  membro.cisalhado  Deve ser formatado como (xsd:boolean)</v>
      </c>
      <c r="W1744" s="5" t="s">
        <v>6383</v>
      </c>
      <c r="X1744" s="24" t="str">
        <f t="shared" si="702"/>
        <v>resis.121</v>
      </c>
      <c r="Y1744" s="24" t="str">
        <f t="shared" si="703"/>
        <v>Ação de resistir</v>
      </c>
      <c r="Z1744" s="47" t="s">
        <v>4174</v>
      </c>
      <c r="AA1744" s="25" t="str">
        <f t="shared" si="686"/>
        <v>null</v>
      </c>
      <c r="AB1744" s="26" t="s">
        <v>0</v>
      </c>
      <c r="AC1744" s="25" t="str">
        <f t="shared" si="687"/>
        <v>null</v>
      </c>
      <c r="AD1744" s="26" t="s">
        <v>0</v>
      </c>
      <c r="AE1744" s="25" t="str">
        <f t="shared" si="654"/>
        <v>null</v>
      </c>
      <c r="AF1744" s="26" t="s">
        <v>0</v>
      </c>
      <c r="AG1744" s="47" t="s">
        <v>4899</v>
      </c>
    </row>
    <row r="1745" spans="1:33" ht="6.9" customHeight="1" x14ac:dyDescent="0.4">
      <c r="A1745" s="4">
        <f>ROW()</f>
        <v>1745</v>
      </c>
      <c r="B1745" s="9" t="s">
        <v>27</v>
      </c>
      <c r="C1745" s="55" t="str">
        <f t="shared" si="688"/>
        <v>p.resistir</v>
      </c>
      <c r="D1745" s="6" t="str">
        <f t="shared" si="709"/>
        <v>é.membro.comprimido</v>
      </c>
      <c r="E1745" s="8" t="s">
        <v>28</v>
      </c>
      <c r="F1745" s="42" t="str">
        <f>F1744</f>
        <v>d.resistir</v>
      </c>
      <c r="G1745" s="18" t="s">
        <v>1000</v>
      </c>
      <c r="H1745" s="41" t="s">
        <v>37</v>
      </c>
      <c r="I1745" s="16" t="str">
        <f t="shared" si="685"/>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697"/>
        <v>Propriedade destinada a resistir: é.membro.comprimido</v>
      </c>
      <c r="V1745" s="5" t="str">
        <f t="shared" si="698"/>
        <v>Dado para resistir:  membro.comprimido  Deve ser formatado como (xsd:boolean)</v>
      </c>
      <c r="W1745" s="5" t="s">
        <v>6384</v>
      </c>
      <c r="X1745" s="24" t="str">
        <f t="shared" si="702"/>
        <v>resis.122</v>
      </c>
      <c r="Y1745" s="24" t="str">
        <f t="shared" si="703"/>
        <v>Ação de resistir</v>
      </c>
      <c r="Z1745" s="47" t="s">
        <v>4175</v>
      </c>
      <c r="AA1745" s="25" t="str">
        <f t="shared" si="686"/>
        <v>null</v>
      </c>
      <c r="AB1745" s="26" t="s">
        <v>0</v>
      </c>
      <c r="AC1745" s="25" t="str">
        <f t="shared" si="687"/>
        <v>null</v>
      </c>
      <c r="AD1745" s="26" t="s">
        <v>0</v>
      </c>
      <c r="AE1745" s="25" t="str">
        <f t="shared" si="654"/>
        <v>null</v>
      </c>
      <c r="AF1745" s="26" t="s">
        <v>0</v>
      </c>
      <c r="AG1745" s="47" t="s">
        <v>4900</v>
      </c>
    </row>
    <row r="1746" spans="1:33" ht="6.9" customHeight="1" x14ac:dyDescent="0.4">
      <c r="A1746" s="4">
        <f>ROW()</f>
        <v>1746</v>
      </c>
      <c r="B1746" s="9" t="s">
        <v>27</v>
      </c>
      <c r="C1746" s="55" t="str">
        <f t="shared" si="688"/>
        <v>p.resistir</v>
      </c>
      <c r="D1746" s="6" t="str">
        <f t="shared" si="709"/>
        <v>é.membro.flexionado</v>
      </c>
      <c r="E1746" s="8" t="s">
        <v>28</v>
      </c>
      <c r="F1746" s="42" t="str">
        <f t="shared" si="689"/>
        <v>d.resistir</v>
      </c>
      <c r="G1746" s="18" t="s">
        <v>1003</v>
      </c>
      <c r="H1746" s="41" t="s">
        <v>37</v>
      </c>
      <c r="I1746" s="16" t="str">
        <f t="shared" si="685"/>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697"/>
        <v>Propriedade destinada a resistir: é.membro.flexionado</v>
      </c>
      <c r="V1746" s="5" t="str">
        <f t="shared" si="698"/>
        <v>Dado para resistir:  membro.flexionado  Deve ser formatado como (xsd:boolean)</v>
      </c>
      <c r="W1746" s="5" t="s">
        <v>6385</v>
      </c>
      <c r="X1746" s="24" t="str">
        <f t="shared" si="702"/>
        <v>resis.123</v>
      </c>
      <c r="Y1746" s="24" t="str">
        <f t="shared" si="703"/>
        <v>Ação de resistir</v>
      </c>
      <c r="Z1746" s="47" t="s">
        <v>4176</v>
      </c>
      <c r="AA1746" s="25" t="str">
        <f t="shared" si="686"/>
        <v>null</v>
      </c>
      <c r="AB1746" s="26" t="s">
        <v>0</v>
      </c>
      <c r="AC1746" s="25" t="str">
        <f t="shared" si="687"/>
        <v>null</v>
      </c>
      <c r="AD1746" s="26" t="s">
        <v>0</v>
      </c>
      <c r="AE1746" s="25" t="str">
        <f t="shared" ref="AE1746:AE1809" si="710">IF(AF1746="null", "null", "propriedade")</f>
        <v>null</v>
      </c>
      <c r="AF1746" s="26" t="s">
        <v>0</v>
      </c>
      <c r="AG1746" s="47" t="s">
        <v>4901</v>
      </c>
    </row>
    <row r="1747" spans="1:33" ht="6.9" customHeight="1" x14ac:dyDescent="0.4">
      <c r="A1747" s="4">
        <f>ROW()</f>
        <v>1747</v>
      </c>
      <c r="B1747" s="9" t="s">
        <v>27</v>
      </c>
      <c r="C1747" s="55" t="str">
        <f t="shared" si="688"/>
        <v>p.resistir</v>
      </c>
      <c r="D1747" s="6" t="str">
        <f t="shared" si="709"/>
        <v>é.membro.tensionado</v>
      </c>
      <c r="E1747" s="8" t="s">
        <v>28</v>
      </c>
      <c r="F1747" s="42" t="str">
        <f t="shared" si="689"/>
        <v>d.resistir</v>
      </c>
      <c r="G1747" s="18" t="s">
        <v>1001</v>
      </c>
      <c r="H1747" s="41" t="s">
        <v>37</v>
      </c>
      <c r="I1747" s="16" t="str">
        <f t="shared" si="68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697"/>
        <v>Propriedade destinada a resistir: é.membro.tensionado</v>
      </c>
      <c r="V1747" s="5" t="str">
        <f t="shared" si="698"/>
        <v>Dado para resistir:  membro.tensionado  Deve ser formatado como (xsd:boolean)</v>
      </c>
      <c r="W1747" s="5" t="s">
        <v>6386</v>
      </c>
      <c r="X1747" s="24" t="str">
        <f t="shared" si="702"/>
        <v>resis.124</v>
      </c>
      <c r="Y1747" s="24" t="str">
        <f t="shared" si="703"/>
        <v>Ação de resistir</v>
      </c>
      <c r="Z1747" s="47" t="s">
        <v>4177</v>
      </c>
      <c r="AA1747" s="25" t="str">
        <f t="shared" si="686"/>
        <v>null</v>
      </c>
      <c r="AB1747" s="26" t="s">
        <v>0</v>
      </c>
      <c r="AC1747" s="25" t="str">
        <f t="shared" si="687"/>
        <v>null</v>
      </c>
      <c r="AD1747" s="26" t="s">
        <v>0</v>
      </c>
      <c r="AE1747" s="25" t="str">
        <f t="shared" si="710"/>
        <v>null</v>
      </c>
      <c r="AF1747" s="26" t="s">
        <v>0</v>
      </c>
      <c r="AG1747" s="47" t="s">
        <v>4902</v>
      </c>
    </row>
    <row r="1748" spans="1:33" ht="6.9" customHeight="1" x14ac:dyDescent="0.4">
      <c r="A1748" s="4">
        <f>ROW()</f>
        <v>1748</v>
      </c>
      <c r="B1748" s="9" t="s">
        <v>27</v>
      </c>
      <c r="C1748" s="55" t="str">
        <f t="shared" si="688"/>
        <v>p.resistir</v>
      </c>
      <c r="D1748" s="6" t="str">
        <f t="shared" si="709"/>
        <v>é.membro.torcionado</v>
      </c>
      <c r="E1748" s="8" t="s">
        <v>28</v>
      </c>
      <c r="F1748" s="42" t="str">
        <f t="shared" si="689"/>
        <v>d.resistir</v>
      </c>
      <c r="G1748" s="18" t="s">
        <v>6976</v>
      </c>
      <c r="H1748" s="41" t="s">
        <v>37</v>
      </c>
      <c r="I1748" s="16" t="str">
        <f t="shared" si="68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697"/>
        <v>Propriedade destinada a resistir: é.membro.torcionado</v>
      </c>
      <c r="V1748" s="5" t="str">
        <f t="shared" si="698"/>
        <v>Dado para resistir:  membro.torcionado  Deve ser formatado como (xsd:boolean)</v>
      </c>
      <c r="W1748" s="5" t="s">
        <v>6977</v>
      </c>
      <c r="X1748" s="24" t="str">
        <f t="shared" si="702"/>
        <v>resis.125</v>
      </c>
      <c r="Y1748" s="24" t="str">
        <f t="shared" si="703"/>
        <v>Ação de resistir</v>
      </c>
      <c r="Z1748" s="47" t="s">
        <v>4178</v>
      </c>
      <c r="AA1748" s="25" t="str">
        <f t="shared" si="686"/>
        <v>null</v>
      </c>
      <c r="AB1748" s="26" t="s">
        <v>0</v>
      </c>
      <c r="AC1748" s="25" t="str">
        <f t="shared" si="687"/>
        <v>null</v>
      </c>
      <c r="AD1748" s="26" t="s">
        <v>0</v>
      </c>
      <c r="AE1748" s="25" t="str">
        <f t="shared" si="710"/>
        <v>null</v>
      </c>
      <c r="AF1748" s="26" t="s">
        <v>0</v>
      </c>
      <c r="AG1748" s="47" t="s">
        <v>4903</v>
      </c>
    </row>
    <row r="1749" spans="1:33" ht="6.9" customHeight="1" x14ac:dyDescent="0.4">
      <c r="A1749" s="4">
        <f>ROW()</f>
        <v>1749</v>
      </c>
      <c r="B1749" s="9" t="s">
        <v>27</v>
      </c>
      <c r="C1749" s="55" t="str">
        <f t="shared" si="688"/>
        <v>p.resistir</v>
      </c>
      <c r="D1749" s="6" t="str">
        <f t="shared" si="709"/>
        <v>é.módulo.de.elasticidade</v>
      </c>
      <c r="E1749" s="8" t="s">
        <v>28</v>
      </c>
      <c r="F1749" s="42" t="str">
        <f t="shared" si="689"/>
        <v>d.resistir</v>
      </c>
      <c r="G1749" s="18" t="s">
        <v>4124</v>
      </c>
      <c r="H1749" s="41" t="s">
        <v>36</v>
      </c>
      <c r="I1749" s="16" t="str">
        <f t="shared" si="685"/>
        <v>null</v>
      </c>
      <c r="J1749" s="13" t="s">
        <v>0</v>
      </c>
      <c r="K1749" s="13" t="s">
        <v>0</v>
      </c>
      <c r="L1749" s="13" t="s">
        <v>0</v>
      </c>
      <c r="M1749" s="13" t="s">
        <v>0</v>
      </c>
      <c r="N1749" s="15" t="s">
        <v>0</v>
      </c>
      <c r="O1749" s="13" t="s">
        <v>0</v>
      </c>
      <c r="P1749" s="13" t="s">
        <v>0</v>
      </c>
      <c r="Q1749" s="13" t="s">
        <v>0</v>
      </c>
      <c r="R1749" s="66" t="s">
        <v>4128</v>
      </c>
      <c r="S1749" s="10" t="s">
        <v>1</v>
      </c>
      <c r="T1749" s="10" t="s">
        <v>32</v>
      </c>
      <c r="U1749" s="5" t="str">
        <f t="shared" si="697"/>
        <v>Propriedade destinada a resistir: é.módulo.de.elasticidade</v>
      </c>
      <c r="V1749" s="5" t="str">
        <f t="shared" si="698"/>
        <v>Dado para resistir:  módulo.de.elasticidade  Deve ser formatado como (xsd:double)</v>
      </c>
      <c r="W1749" s="5" t="s">
        <v>6387</v>
      </c>
      <c r="X1749" s="24" t="str">
        <f t="shared" si="702"/>
        <v>resis.126</v>
      </c>
      <c r="Y1749" s="24" t="str">
        <f t="shared" si="703"/>
        <v>Ação de resistir</v>
      </c>
      <c r="Z1749" s="49" t="s">
        <v>4179</v>
      </c>
      <c r="AA1749" s="25" t="str">
        <f t="shared" si="686"/>
        <v>null</v>
      </c>
      <c r="AB1749" s="26" t="s">
        <v>0</v>
      </c>
      <c r="AC1749" s="25" t="str">
        <f t="shared" si="687"/>
        <v>null</v>
      </c>
      <c r="AD1749" s="26" t="s">
        <v>0</v>
      </c>
      <c r="AE1749" s="25" t="str">
        <f t="shared" si="710"/>
        <v>null</v>
      </c>
      <c r="AF1749" s="26" t="s">
        <v>0</v>
      </c>
      <c r="AG1749" s="47" t="s">
        <v>7615</v>
      </c>
    </row>
    <row r="1750" spans="1:33" ht="6.9" customHeight="1" x14ac:dyDescent="0.4">
      <c r="A1750" s="4">
        <f>ROW()</f>
        <v>1750</v>
      </c>
      <c r="B1750" s="9" t="s">
        <v>27</v>
      </c>
      <c r="C1750" s="55" t="str">
        <f t="shared" si="688"/>
        <v>p.resistir</v>
      </c>
      <c r="D1750" s="6" t="str">
        <f t="shared" si="709"/>
        <v>é.módulo.de.young</v>
      </c>
      <c r="E1750" s="8" t="s">
        <v>28</v>
      </c>
      <c r="F1750" s="42" t="str">
        <f t="shared" si="689"/>
        <v>d.resistir</v>
      </c>
      <c r="G1750" s="18" t="s">
        <v>4125</v>
      </c>
      <c r="H1750" s="41" t="s">
        <v>36</v>
      </c>
      <c r="I1750" s="16" t="str">
        <f t="shared" si="685"/>
        <v>null</v>
      </c>
      <c r="J1750" s="13" t="s">
        <v>0</v>
      </c>
      <c r="K1750" s="13" t="s">
        <v>0</v>
      </c>
      <c r="L1750" s="13" t="s">
        <v>0</v>
      </c>
      <c r="M1750" s="13" t="s">
        <v>0</v>
      </c>
      <c r="N1750" s="15" t="s">
        <v>0</v>
      </c>
      <c r="O1750" s="13" t="s">
        <v>0</v>
      </c>
      <c r="P1750" s="13" t="s">
        <v>0</v>
      </c>
      <c r="Q1750" s="13" t="s">
        <v>0</v>
      </c>
      <c r="R1750" s="66" t="s">
        <v>4127</v>
      </c>
      <c r="S1750" s="10" t="s">
        <v>1</v>
      </c>
      <c r="T1750" s="10" t="s">
        <v>32</v>
      </c>
      <c r="U1750" s="5" t="str">
        <f t="shared" si="697"/>
        <v>Propriedade destinada a resistir: é.módulo.de.young</v>
      </c>
      <c r="V1750" s="5" t="str">
        <f t="shared" si="698"/>
        <v>Dado para resistir:  módulo.de.young  Deve ser formatado como (xsd:double)</v>
      </c>
      <c r="W1750" s="5" t="s">
        <v>6387</v>
      </c>
      <c r="X1750" s="24" t="str">
        <f t="shared" si="702"/>
        <v>resis.127</v>
      </c>
      <c r="Y1750" s="24" t="str">
        <f t="shared" si="703"/>
        <v>Ação de resistir</v>
      </c>
      <c r="Z1750" s="49" t="s">
        <v>4179</v>
      </c>
      <c r="AA1750" s="25" t="str">
        <f t="shared" si="686"/>
        <v>null</v>
      </c>
      <c r="AB1750" s="26" t="s">
        <v>0</v>
      </c>
      <c r="AC1750" s="25" t="str">
        <f t="shared" si="687"/>
        <v>null</v>
      </c>
      <c r="AD1750" s="26" t="s">
        <v>0</v>
      </c>
      <c r="AE1750" s="25" t="str">
        <f t="shared" si="710"/>
        <v>null</v>
      </c>
      <c r="AF1750" s="26" t="s">
        <v>0</v>
      </c>
      <c r="AG1750" s="47" t="s">
        <v>7615</v>
      </c>
    </row>
    <row r="1751" spans="1:33" ht="6.9" customHeight="1" x14ac:dyDescent="0.4">
      <c r="A1751" s="4">
        <f>ROW()</f>
        <v>1751</v>
      </c>
      <c r="B1751" s="9" t="s">
        <v>27</v>
      </c>
      <c r="C1751" s="55" t="str">
        <f t="shared" si="688"/>
        <v>p.resistir</v>
      </c>
      <c r="D1751" s="6" t="str">
        <f t="shared" si="709"/>
        <v>é.perfil.de.aço</v>
      </c>
      <c r="E1751" s="8" t="s">
        <v>28</v>
      </c>
      <c r="F1751" s="42" t="str">
        <f t="shared" si="689"/>
        <v>d.resistir</v>
      </c>
      <c r="G1751" s="18" t="s">
        <v>4167</v>
      </c>
      <c r="H1751" s="41" t="s">
        <v>2121</v>
      </c>
      <c r="I1751" s="16" t="str">
        <f t="shared" si="685"/>
        <v>null</v>
      </c>
      <c r="J1751" s="13" t="s">
        <v>0</v>
      </c>
      <c r="K1751" s="13" t="s">
        <v>0</v>
      </c>
      <c r="L1751" s="13" t="s">
        <v>0</v>
      </c>
      <c r="M1751" s="13" t="s">
        <v>0</v>
      </c>
      <c r="N1751" s="15" t="s">
        <v>0</v>
      </c>
      <c r="O1751" s="13" t="s">
        <v>0</v>
      </c>
      <c r="P1751" s="13" t="s">
        <v>0</v>
      </c>
      <c r="Q1751" s="13" t="s">
        <v>0</v>
      </c>
      <c r="R1751" s="15" t="s">
        <v>4168</v>
      </c>
      <c r="S1751" s="10" t="s">
        <v>1</v>
      </c>
      <c r="T1751" s="10" t="s">
        <v>32</v>
      </c>
      <c r="U1751" s="5" t="str">
        <f t="shared" si="697"/>
        <v>Propriedade destinada a resistir: é.perfil.de.aço</v>
      </c>
      <c r="V1751" s="5" t="str">
        <f t="shared" si="698"/>
        <v>Dado para resistir:  perfil.de.aço  Deve ser formatado como (rdfs:Literal  or  xsd:string)</v>
      </c>
      <c r="W1751" s="5" t="s">
        <v>5752</v>
      </c>
      <c r="X1751" s="24" t="str">
        <f t="shared" si="702"/>
        <v>resis.128</v>
      </c>
      <c r="Y1751" s="24" t="str">
        <f t="shared" si="703"/>
        <v>Ação de resistir</v>
      </c>
      <c r="Z1751" s="47" t="s">
        <v>7007</v>
      </c>
      <c r="AA1751" s="25" t="str">
        <f t="shared" si="686"/>
        <v>null</v>
      </c>
      <c r="AB1751" s="26" t="s">
        <v>0</v>
      </c>
      <c r="AC1751" s="25" t="str">
        <f t="shared" si="687"/>
        <v>null</v>
      </c>
      <c r="AD1751" s="26" t="s">
        <v>0</v>
      </c>
      <c r="AE1751" s="25" t="str">
        <f t="shared" si="710"/>
        <v>null</v>
      </c>
      <c r="AF1751" s="26" t="s">
        <v>0</v>
      </c>
      <c r="AG1751" s="47" t="s">
        <v>4904</v>
      </c>
    </row>
    <row r="1752" spans="1:33" ht="6.9" customHeight="1" x14ac:dyDescent="0.4">
      <c r="A1752" s="4">
        <f>ROW()</f>
        <v>1752</v>
      </c>
      <c r="B1752" s="9" t="s">
        <v>27</v>
      </c>
      <c r="C1752" s="55" t="str">
        <f t="shared" si="688"/>
        <v>p.resistir</v>
      </c>
      <c r="D1752" s="6" t="str">
        <f t="shared" si="709"/>
        <v>é.resistência.ao.fogo</v>
      </c>
      <c r="E1752" s="8" t="s">
        <v>28</v>
      </c>
      <c r="F1752" s="42" t="str">
        <f t="shared" si="689"/>
        <v>d.resistir</v>
      </c>
      <c r="G1752" s="17" t="s">
        <v>1252</v>
      </c>
      <c r="H1752" s="42" t="s">
        <v>33</v>
      </c>
      <c r="I1752" s="16" t="str">
        <f t="shared" si="685"/>
        <v>null</v>
      </c>
      <c r="J1752" s="15" t="s">
        <v>0</v>
      </c>
      <c r="K1752" s="15" t="s">
        <v>0</v>
      </c>
      <c r="L1752" s="15" t="s">
        <v>0</v>
      </c>
      <c r="M1752" s="15" t="s">
        <v>0</v>
      </c>
      <c r="N1752" s="15" t="s">
        <v>0</v>
      </c>
      <c r="O1752" s="15" t="s">
        <v>0</v>
      </c>
      <c r="P1752" s="15" t="s">
        <v>0</v>
      </c>
      <c r="Q1752" s="15" t="s">
        <v>0</v>
      </c>
      <c r="R1752" s="21" t="s">
        <v>4105</v>
      </c>
      <c r="S1752" s="10" t="s">
        <v>1</v>
      </c>
      <c r="T1752" s="10" t="s">
        <v>32</v>
      </c>
      <c r="U1752" s="5" t="str">
        <f t="shared" si="697"/>
        <v>Propriedade destinada a resistir: é.resistência.ao.fogo</v>
      </c>
      <c r="V1752" s="5" t="str">
        <f t="shared" si="698"/>
        <v>Dado para resistir:  resistência.ao.fogo  Deve ser formatado como (xsd:integer)</v>
      </c>
      <c r="W1752" s="5" t="s">
        <v>6388</v>
      </c>
      <c r="X1752" s="24" t="str">
        <f t="shared" si="702"/>
        <v>resis.129</v>
      </c>
      <c r="Y1752" s="24" t="str">
        <f t="shared" si="703"/>
        <v>Ação de resistir</v>
      </c>
      <c r="Z1752" s="47" t="s">
        <v>7008</v>
      </c>
      <c r="AA1752" s="25" t="str">
        <f t="shared" si="686"/>
        <v>null</v>
      </c>
      <c r="AB1752" s="26" t="s">
        <v>0</v>
      </c>
      <c r="AC1752" s="25" t="str">
        <f t="shared" si="687"/>
        <v>null</v>
      </c>
      <c r="AD1752" s="26" t="s">
        <v>0</v>
      </c>
      <c r="AE1752" s="25" t="str">
        <f t="shared" si="710"/>
        <v>null</v>
      </c>
      <c r="AF1752" s="26" t="s">
        <v>0</v>
      </c>
      <c r="AG1752" s="47" t="s">
        <v>4905</v>
      </c>
    </row>
    <row r="1753" spans="1:33" ht="6.9" customHeight="1" x14ac:dyDescent="0.4">
      <c r="A1753" s="4">
        <f>ROW()</f>
        <v>1753</v>
      </c>
      <c r="B1753" s="9" t="s">
        <v>27</v>
      </c>
      <c r="C1753" s="55" t="str">
        <f t="shared" si="688"/>
        <v>p.resistir</v>
      </c>
      <c r="D1753" s="6" t="str">
        <f t="shared" si="709"/>
        <v>é.rotulado</v>
      </c>
      <c r="E1753" s="8" t="s">
        <v>28</v>
      </c>
      <c r="F1753" s="42" t="str">
        <f t="shared" si="689"/>
        <v>d.resistir</v>
      </c>
      <c r="G1753" s="18" t="s">
        <v>455</v>
      </c>
      <c r="H1753" s="41" t="s">
        <v>37</v>
      </c>
      <c r="I1753" s="16" t="str">
        <f t="shared" si="685"/>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697"/>
        <v>Propriedade destinada a resistir: é.rotulado</v>
      </c>
      <c r="V1753" s="5" t="str">
        <f t="shared" si="698"/>
        <v>Dado para resistir:  rotulado  Deve ser formatado como (xsd:boolean)</v>
      </c>
      <c r="W1753" s="5" t="s">
        <v>6389</v>
      </c>
      <c r="X1753" s="24" t="str">
        <f t="shared" si="702"/>
        <v>resis.130</v>
      </c>
      <c r="Y1753" s="24" t="str">
        <f t="shared" si="703"/>
        <v>Ação de resistir</v>
      </c>
      <c r="Z1753" s="47" t="s">
        <v>7009</v>
      </c>
      <c r="AA1753" s="25" t="str">
        <f t="shared" si="686"/>
        <v>null</v>
      </c>
      <c r="AB1753" s="26" t="s">
        <v>0</v>
      </c>
      <c r="AC1753" s="25" t="str">
        <f t="shared" si="687"/>
        <v>null</v>
      </c>
      <c r="AD1753" s="26" t="s">
        <v>0</v>
      </c>
      <c r="AE1753" s="25" t="str">
        <f t="shared" si="710"/>
        <v>null</v>
      </c>
      <c r="AF1753" s="26" t="s">
        <v>0</v>
      </c>
      <c r="AG1753" s="47" t="s">
        <v>7616</v>
      </c>
    </row>
    <row r="1754" spans="1:33" ht="6.9" customHeight="1" x14ac:dyDescent="0.4">
      <c r="A1754" s="4">
        <f>ROW()</f>
        <v>1754</v>
      </c>
      <c r="B1754" s="9" t="s">
        <v>27</v>
      </c>
      <c r="C1754" s="55" t="str">
        <f t="shared" si="688"/>
        <v>p.resistir</v>
      </c>
      <c r="D1754" s="6" t="str">
        <f t="shared" si="709"/>
        <v>é.soldada</v>
      </c>
      <c r="E1754" s="8" t="s">
        <v>28</v>
      </c>
      <c r="F1754" s="42" t="str">
        <f t="shared" si="689"/>
        <v>d.resistir</v>
      </c>
      <c r="G1754" s="18" t="s">
        <v>456</v>
      </c>
      <c r="H1754" s="41" t="s">
        <v>37</v>
      </c>
      <c r="I1754" s="16" t="str">
        <f t="shared" si="685"/>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697"/>
        <v>Propriedade destinada a resistir: é.soldada</v>
      </c>
      <c r="V1754" s="5" t="str">
        <f t="shared" si="698"/>
        <v>Dado para resistir:  soldada  Deve ser formatado como (xsd:boolean)</v>
      </c>
      <c r="W1754" s="5" t="s">
        <v>6390</v>
      </c>
      <c r="X1754" s="24" t="str">
        <f t="shared" si="702"/>
        <v>resis.131</v>
      </c>
      <c r="Y1754" s="24" t="str">
        <f t="shared" si="703"/>
        <v>Ação de resistir</v>
      </c>
      <c r="Z1754" s="47" t="s">
        <v>7010</v>
      </c>
      <c r="AA1754" s="25" t="str">
        <f t="shared" si="686"/>
        <v>null</v>
      </c>
      <c r="AB1754" s="26" t="s">
        <v>0</v>
      </c>
      <c r="AC1754" s="25" t="str">
        <f t="shared" si="687"/>
        <v>null</v>
      </c>
      <c r="AD1754" s="26" t="s">
        <v>0</v>
      </c>
      <c r="AE1754" s="25" t="str">
        <f t="shared" si="710"/>
        <v>null</v>
      </c>
      <c r="AF1754" s="26" t="s">
        <v>0</v>
      </c>
      <c r="AG1754" s="47" t="s">
        <v>4906</v>
      </c>
    </row>
    <row r="1755" spans="1:33" ht="6.9" customHeight="1" x14ac:dyDescent="0.4">
      <c r="A1755" s="4">
        <f>ROW()</f>
        <v>1755</v>
      </c>
      <c r="B1755" s="9" t="s">
        <v>27</v>
      </c>
      <c r="C1755" s="55" t="str">
        <f t="shared" si="688"/>
        <v>p.resistir</v>
      </c>
      <c r="D1755" s="6" t="str">
        <f t="shared" si="709"/>
        <v>é.tensão.de.rotura</v>
      </c>
      <c r="E1755" s="8" t="s">
        <v>28</v>
      </c>
      <c r="F1755" s="42" t="str">
        <f t="shared" si="689"/>
        <v>d.resistir</v>
      </c>
      <c r="G1755" s="18" t="s">
        <v>2131</v>
      </c>
      <c r="H1755" s="41" t="s">
        <v>36</v>
      </c>
      <c r="I1755" s="16" t="str">
        <f t="shared" si="685"/>
        <v>null</v>
      </c>
      <c r="J1755" s="13" t="s">
        <v>0</v>
      </c>
      <c r="K1755" s="13" t="s">
        <v>0</v>
      </c>
      <c r="L1755" s="13" t="s">
        <v>0</v>
      </c>
      <c r="M1755" s="13" t="s">
        <v>0</v>
      </c>
      <c r="N1755" s="15" t="s">
        <v>0</v>
      </c>
      <c r="O1755" s="13" t="s">
        <v>0</v>
      </c>
      <c r="P1755" s="13" t="s">
        <v>0</v>
      </c>
      <c r="Q1755" s="13" t="s">
        <v>0</v>
      </c>
      <c r="R1755" s="15" t="s">
        <v>2133</v>
      </c>
      <c r="S1755" s="10" t="s">
        <v>1</v>
      </c>
      <c r="T1755" s="10" t="s">
        <v>32</v>
      </c>
      <c r="U1755" s="5" t="str">
        <f t="shared" si="697"/>
        <v>Propriedade destinada a resistir: é.tensão.de.rotura</v>
      </c>
      <c r="V1755" s="5" t="str">
        <f t="shared" si="698"/>
        <v>Dado para resistir:  tensão.de.rotura  Deve ser formatado como (xsd:double)</v>
      </c>
      <c r="W1755" s="5" t="s">
        <v>6381</v>
      </c>
      <c r="X1755" s="24" t="str">
        <f t="shared" si="702"/>
        <v>resis.132</v>
      </c>
      <c r="Y1755" s="24" t="str">
        <f t="shared" si="703"/>
        <v>Ação de resistir</v>
      </c>
      <c r="Z1755" s="47" t="s">
        <v>1888</v>
      </c>
      <c r="AA1755" s="25" t="str">
        <f t="shared" si="686"/>
        <v>null</v>
      </c>
      <c r="AB1755" s="26" t="s">
        <v>0</v>
      </c>
      <c r="AC1755" s="25" t="str">
        <f t="shared" si="687"/>
        <v>null</v>
      </c>
      <c r="AD1755" s="26" t="s">
        <v>0</v>
      </c>
      <c r="AE1755" s="25" t="str">
        <f t="shared" si="710"/>
        <v>null</v>
      </c>
      <c r="AF1755" s="26" t="s">
        <v>0</v>
      </c>
      <c r="AG1755" s="47" t="s">
        <v>4897</v>
      </c>
    </row>
    <row r="1756" spans="1:33" ht="6.9" customHeight="1" x14ac:dyDescent="0.4">
      <c r="A1756" s="4">
        <f>ROW()</f>
        <v>1756</v>
      </c>
      <c r="B1756" s="9" t="s">
        <v>27</v>
      </c>
      <c r="C1756" s="55" t="str">
        <f t="shared" si="688"/>
        <v>p.resistir</v>
      </c>
      <c r="D1756" s="6" t="str">
        <f t="shared" si="709"/>
        <v>é.trrf</v>
      </c>
      <c r="E1756" s="8" t="s">
        <v>28</v>
      </c>
      <c r="F1756" s="42" t="str">
        <f t="shared" si="689"/>
        <v>d.resistir</v>
      </c>
      <c r="G1756" s="17" t="s">
        <v>1251</v>
      </c>
      <c r="H1756" s="42" t="s">
        <v>33</v>
      </c>
      <c r="I1756" s="16" t="str">
        <f t="shared" si="685"/>
        <v>null</v>
      </c>
      <c r="J1756" s="15" t="s">
        <v>0</v>
      </c>
      <c r="K1756" s="15" t="s">
        <v>0</v>
      </c>
      <c r="L1756" s="15" t="s">
        <v>0</v>
      </c>
      <c r="M1756" s="15" t="s">
        <v>0</v>
      </c>
      <c r="N1756" s="15" t="s">
        <v>0</v>
      </c>
      <c r="O1756" s="15" t="s">
        <v>0</v>
      </c>
      <c r="P1756" s="15" t="s">
        <v>0</v>
      </c>
      <c r="Q1756" s="15" t="s">
        <v>0</v>
      </c>
      <c r="R1756" s="21" t="s">
        <v>4104</v>
      </c>
      <c r="S1756" s="10" t="s">
        <v>1</v>
      </c>
      <c r="T1756" s="10" t="s">
        <v>32</v>
      </c>
      <c r="U1756" s="5" t="str">
        <f t="shared" si="697"/>
        <v>Propriedade destinada a resistir: é.trrf</v>
      </c>
      <c r="V1756" s="5" t="str">
        <f t="shared" si="698"/>
        <v>Dado para resistir:  trrf  Deve ser formatado como (xsd:integer)</v>
      </c>
      <c r="W1756" s="5" t="s">
        <v>6391</v>
      </c>
      <c r="X1756" s="24" t="str">
        <f t="shared" si="702"/>
        <v>resis.133</v>
      </c>
      <c r="Y1756" s="24" t="str">
        <f t="shared" si="703"/>
        <v>Ação de resistir</v>
      </c>
      <c r="Z1756" s="47" t="s">
        <v>4126</v>
      </c>
      <c r="AA1756" s="25" t="str">
        <f t="shared" si="686"/>
        <v>null</v>
      </c>
      <c r="AB1756" s="26" t="s">
        <v>0</v>
      </c>
      <c r="AC1756" s="25" t="str">
        <f t="shared" si="687"/>
        <v>null</v>
      </c>
      <c r="AD1756" s="26" t="s">
        <v>0</v>
      </c>
      <c r="AE1756" s="25" t="str">
        <f t="shared" si="710"/>
        <v>null</v>
      </c>
      <c r="AF1756" s="26" t="s">
        <v>0</v>
      </c>
      <c r="AG1756" s="47" t="s">
        <v>4907</v>
      </c>
    </row>
    <row r="1757" spans="1:33" ht="6.9" customHeight="1" x14ac:dyDescent="0.4">
      <c r="A1757" s="4">
        <f>ROW()</f>
        <v>1757</v>
      </c>
      <c r="B1757" s="9" t="s">
        <v>27</v>
      </c>
      <c r="C1757" s="54" t="str">
        <f t="shared" ref="C1757:C1783" si="711">SUBSTITUTE(F1757,"d.","p.")</f>
        <v>p.sanear</v>
      </c>
      <c r="D1757" s="6" t="str">
        <f t="shared" si="709"/>
        <v>é.cloro.residual.livre</v>
      </c>
      <c r="E1757" s="8" t="s">
        <v>28</v>
      </c>
      <c r="F1757" s="51" t="s">
        <v>3629</v>
      </c>
      <c r="G1757" s="17" t="s">
        <v>1011</v>
      </c>
      <c r="H1757" s="41" t="s">
        <v>36</v>
      </c>
      <c r="I1757" s="16" t="str">
        <f t="shared" ref="I1757:I1758" si="712">J1757</f>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697"/>
        <v>Propriedade destinada a sanear: é.cloro.residual.livre</v>
      </c>
      <c r="V1757" s="5" t="str">
        <f t="shared" si="698"/>
        <v>Dado para sanear:  cloro.residual.livre  Deve ser formatado como (xsd:double)</v>
      </c>
      <c r="W1757" s="5" t="s">
        <v>6392</v>
      </c>
      <c r="X1757" s="24" t="str">
        <f t="shared" si="702"/>
        <v>sanea.100</v>
      </c>
      <c r="Y1757" s="24" t="str">
        <f t="shared" si="703"/>
        <v>Ação de sanear</v>
      </c>
      <c r="Z1757" s="47" t="s">
        <v>7612</v>
      </c>
      <c r="AA1757" s="25" t="str">
        <f t="shared" ref="AA1757:AA1758" si="713">IF(AB1757="null", "null", "categoria.revit")</f>
        <v>null</v>
      </c>
      <c r="AB1757" s="26" t="s">
        <v>0</v>
      </c>
      <c r="AC1757" s="25" t="str">
        <f t="shared" ref="AC1757:AC1758" si="714">IF(AD1757="null", "null", "classe.ifc")</f>
        <v>null</v>
      </c>
      <c r="AD1757" s="26" t="s">
        <v>0</v>
      </c>
      <c r="AE1757" s="25" t="str">
        <f t="shared" si="710"/>
        <v>null</v>
      </c>
      <c r="AF1757" s="26" t="s">
        <v>0</v>
      </c>
      <c r="AG1757" s="47" t="s">
        <v>4810</v>
      </c>
    </row>
    <row r="1758" spans="1:33" ht="6.9" customHeight="1" x14ac:dyDescent="0.4">
      <c r="A1758" s="4">
        <f>ROW()</f>
        <v>1758</v>
      </c>
      <c r="B1758" s="9" t="s">
        <v>27</v>
      </c>
      <c r="C1758" s="55" t="str">
        <f t="shared" ref="C1758" si="715">SUBSTITUTE(F1758,"d.","p.")</f>
        <v>p.sanear</v>
      </c>
      <c r="D1758" s="6" t="str">
        <f t="shared" si="709"/>
        <v>é.coliforme.termotolerante</v>
      </c>
      <c r="E1758" s="8" t="s">
        <v>28</v>
      </c>
      <c r="F1758" s="42" t="str">
        <f>F1757</f>
        <v>d.sanear</v>
      </c>
      <c r="G1758" s="17" t="s">
        <v>1010</v>
      </c>
      <c r="H1758" s="41" t="s">
        <v>36</v>
      </c>
      <c r="I1758" s="16" t="str">
        <f t="shared" si="712"/>
        <v>null</v>
      </c>
      <c r="J1758" s="13" t="s">
        <v>0</v>
      </c>
      <c r="K1758" s="13" t="s">
        <v>0</v>
      </c>
      <c r="L1758" s="13" t="s">
        <v>0</v>
      </c>
      <c r="M1758" s="13" t="s">
        <v>0</v>
      </c>
      <c r="N1758" s="13" t="s">
        <v>0</v>
      </c>
      <c r="O1758" s="13" t="s">
        <v>0</v>
      </c>
      <c r="P1758" s="13" t="s">
        <v>0</v>
      </c>
      <c r="Q1758" s="13" t="s">
        <v>0</v>
      </c>
      <c r="R1758" s="15" t="s">
        <v>0</v>
      </c>
      <c r="S1758" s="10" t="s">
        <v>1</v>
      </c>
      <c r="T1758" s="10" t="s">
        <v>32</v>
      </c>
      <c r="U1758" s="5" t="str">
        <f t="shared" si="697"/>
        <v>Propriedade destinada a sanear: é.coliforme.termotolerante</v>
      </c>
      <c r="V1758" s="5" t="str">
        <f t="shared" si="698"/>
        <v>Dado para sanear:  coliforme.termotolerante  Deve ser formatado como (xsd:double)</v>
      </c>
      <c r="W1758" s="5" t="s">
        <v>6393</v>
      </c>
      <c r="X1758" s="24" t="str">
        <f t="shared" si="702"/>
        <v>sanea.101</v>
      </c>
      <c r="Y1758" s="24" t="str">
        <f t="shared" si="703"/>
        <v>Ação de sanear</v>
      </c>
      <c r="Z1758" s="47" t="s">
        <v>7613</v>
      </c>
      <c r="AA1758" s="25" t="str">
        <f t="shared" si="713"/>
        <v>null</v>
      </c>
      <c r="AB1758" s="26" t="s">
        <v>0</v>
      </c>
      <c r="AC1758" s="25" t="str">
        <f t="shared" si="714"/>
        <v>null</v>
      </c>
      <c r="AD1758" s="26" t="s">
        <v>0</v>
      </c>
      <c r="AE1758" s="25" t="str">
        <f t="shared" si="710"/>
        <v>null</v>
      </c>
      <c r="AF1758" s="26" t="s">
        <v>0</v>
      </c>
      <c r="AG1758" s="47" t="s">
        <v>4811</v>
      </c>
    </row>
    <row r="1759" spans="1:33" ht="6.9" customHeight="1" x14ac:dyDescent="0.4">
      <c r="A1759" s="4">
        <f>ROW()</f>
        <v>1759</v>
      </c>
      <c r="B1759" s="9" t="s">
        <v>27</v>
      </c>
      <c r="C1759" s="55" t="str">
        <f t="shared" si="711"/>
        <v>p.sanear</v>
      </c>
      <c r="D1759" s="6" t="str">
        <f t="shared" si="709"/>
        <v>é.coliforme.total</v>
      </c>
      <c r="E1759" s="8" t="s">
        <v>28</v>
      </c>
      <c r="F1759" s="42" t="str">
        <f>F1757</f>
        <v>d.sanear</v>
      </c>
      <c r="G1759" s="22" t="s">
        <v>1009</v>
      </c>
      <c r="H1759" s="41" t="s">
        <v>36</v>
      </c>
      <c r="I1759" s="16" t="str">
        <f t="shared" ref="I1759:I1792" si="716">J1759</f>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697"/>
        <v>Propriedade destinada a sanear: é.coliforme.total</v>
      </c>
      <c r="V1759" s="5" t="str">
        <f t="shared" si="698"/>
        <v>Dado para sanear:  coliforme.total  Deve ser formatado como (xsd:double)</v>
      </c>
      <c r="W1759" s="5" t="s">
        <v>6394</v>
      </c>
      <c r="X1759" s="24" t="str">
        <f t="shared" si="702"/>
        <v>sanea.102</v>
      </c>
      <c r="Y1759" s="24" t="str">
        <f t="shared" si="703"/>
        <v>Ação de sanear</v>
      </c>
      <c r="Z1759" s="47" t="s">
        <v>7614</v>
      </c>
      <c r="AA1759" s="25" t="str">
        <f t="shared" si="682"/>
        <v>null</v>
      </c>
      <c r="AB1759" s="26" t="s">
        <v>0</v>
      </c>
      <c r="AC1759" s="25" t="str">
        <f t="shared" si="683"/>
        <v>null</v>
      </c>
      <c r="AD1759" s="26" t="s">
        <v>0</v>
      </c>
      <c r="AE1759" s="25" t="str">
        <f t="shared" si="710"/>
        <v>null</v>
      </c>
      <c r="AF1759" s="26" t="s">
        <v>0</v>
      </c>
      <c r="AG1759" s="47" t="s">
        <v>4812</v>
      </c>
    </row>
    <row r="1760" spans="1:33" ht="6.9" customHeight="1" x14ac:dyDescent="0.4">
      <c r="A1760" s="4">
        <f>ROW()</f>
        <v>1760</v>
      </c>
      <c r="B1760" s="9" t="s">
        <v>27</v>
      </c>
      <c r="C1760" s="54" t="str">
        <f t="shared" si="711"/>
        <v>p.sensorizar</v>
      </c>
      <c r="D1760" s="6" t="str">
        <f t="shared" si="709"/>
        <v>é.beacon</v>
      </c>
      <c r="E1760" s="8" t="s">
        <v>28</v>
      </c>
      <c r="F1760" s="51" t="s">
        <v>3630</v>
      </c>
      <c r="G1760" s="17" t="s">
        <v>4449</v>
      </c>
      <c r="H1760" s="42" t="s">
        <v>2121</v>
      </c>
      <c r="I1760" s="16" t="str">
        <f t="shared" si="716"/>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697"/>
        <v>Propriedade destinada a sensorizar: é.beacon</v>
      </c>
      <c r="V1760" s="5" t="str">
        <f t="shared" si="698"/>
        <v>Dado para sensorizar:  beacon  Deve ser formatado como (rdfs:Literal  or  xsd:string)</v>
      </c>
      <c r="W1760" s="5" t="s">
        <v>6395</v>
      </c>
      <c r="X1760" s="24" t="str">
        <f t="shared" si="702"/>
        <v>senso.100</v>
      </c>
      <c r="Y1760" s="24" t="str">
        <f t="shared" si="703"/>
        <v>Ação de sensorizar</v>
      </c>
      <c r="Z1760" s="47" t="s">
        <v>3982</v>
      </c>
      <c r="AA1760" s="25" t="str">
        <f t="shared" si="682"/>
        <v>categoria.revit</v>
      </c>
      <c r="AB1760" s="26" t="s">
        <v>3526</v>
      </c>
      <c r="AC1760" s="25" t="str">
        <f t="shared" si="683"/>
        <v>classe.ifc</v>
      </c>
      <c r="AD1760" s="26" t="s">
        <v>3478</v>
      </c>
      <c r="AE1760" s="25" t="str">
        <f t="shared" si="710"/>
        <v>null</v>
      </c>
      <c r="AF1760" s="26" t="s">
        <v>0</v>
      </c>
      <c r="AG1760" s="47" t="s">
        <v>4042</v>
      </c>
    </row>
    <row r="1761" spans="1:33" ht="6.9" customHeight="1" x14ac:dyDescent="0.4">
      <c r="A1761" s="4">
        <f>ROW()</f>
        <v>1761</v>
      </c>
      <c r="B1761" s="9" t="s">
        <v>27</v>
      </c>
      <c r="C1761" s="55" t="str">
        <f t="shared" ref="C1761" si="717">SUBSTITUTE(F1761,"d.","p.")</f>
        <v>p.sensorizar</v>
      </c>
      <c r="D1761" s="6" t="str">
        <f t="shared" si="709"/>
        <v>é.câmera.termográfica</v>
      </c>
      <c r="E1761" s="8" t="s">
        <v>28</v>
      </c>
      <c r="F1761" s="42" t="str">
        <f t="shared" ref="F1761:F1781" si="718">F1760</f>
        <v>d.sensorizar</v>
      </c>
      <c r="G1761" s="41" t="s">
        <v>4468</v>
      </c>
      <c r="H1761" s="41" t="s">
        <v>2121</v>
      </c>
      <c r="I1761" s="16" t="str">
        <f t="shared" ref="I1761" si="719">J1761</f>
        <v>null</v>
      </c>
      <c r="J1761" s="15" t="s">
        <v>0</v>
      </c>
      <c r="K1761" s="15" t="s">
        <v>0</v>
      </c>
      <c r="L1761" s="15" t="s">
        <v>0</v>
      </c>
      <c r="M1761" s="15" t="s">
        <v>0</v>
      </c>
      <c r="N1761" s="15" t="s">
        <v>0</v>
      </c>
      <c r="O1761" s="15" t="s">
        <v>0</v>
      </c>
      <c r="P1761" s="15" t="s">
        <v>0</v>
      </c>
      <c r="Q1761" s="15" t="s">
        <v>0</v>
      </c>
      <c r="R1761" s="15" t="s">
        <v>4507</v>
      </c>
      <c r="S1761" s="10" t="s">
        <v>1</v>
      </c>
      <c r="T1761" s="10" t="s">
        <v>32</v>
      </c>
      <c r="U1761" s="5" t="str">
        <f t="shared" si="697"/>
        <v>Propriedade destinada a sensorizar: é.câmera.termográfica</v>
      </c>
      <c r="V1761" s="5" t="str">
        <f t="shared" si="698"/>
        <v>Dado para sensorizar:  câmera.termográfica  Deve ser formatado como (rdfs:Literal  or  xsd:string)</v>
      </c>
      <c r="W1761" s="5" t="s">
        <v>6409</v>
      </c>
      <c r="X1761" s="24" t="str">
        <f t="shared" si="702"/>
        <v>senso.101</v>
      </c>
      <c r="Y1761" s="24" t="str">
        <f t="shared" si="703"/>
        <v>Ação de sensorizar</v>
      </c>
      <c r="Z1761" s="47" t="s">
        <v>3996</v>
      </c>
      <c r="AA1761" s="25" t="str">
        <f t="shared" si="682"/>
        <v>categoria.revit</v>
      </c>
      <c r="AB1761" s="26" t="s">
        <v>3526</v>
      </c>
      <c r="AC1761" s="25" t="str">
        <f t="shared" si="683"/>
        <v>classe.ifc</v>
      </c>
      <c r="AD1761" s="26" t="s">
        <v>3478</v>
      </c>
      <c r="AE1761" s="25" t="str">
        <f t="shared" si="710"/>
        <v>null</v>
      </c>
      <c r="AF1761" s="26" t="s">
        <v>0</v>
      </c>
      <c r="AG1761" s="47" t="s">
        <v>4056</v>
      </c>
    </row>
    <row r="1762" spans="1:33" ht="6.9" customHeight="1" x14ac:dyDescent="0.4">
      <c r="A1762" s="4">
        <f>ROW()</f>
        <v>1762</v>
      </c>
      <c r="B1762" s="9" t="s">
        <v>27</v>
      </c>
      <c r="C1762" s="55" t="str">
        <f t="shared" si="711"/>
        <v>p.sensorizar</v>
      </c>
      <c r="D1762" s="6" t="str">
        <f t="shared" si="709"/>
        <v>é.sensor.térmico</v>
      </c>
      <c r="E1762" s="8" t="s">
        <v>28</v>
      </c>
      <c r="F1762" s="42" t="str">
        <f t="shared" si="718"/>
        <v>d.sensorizar</v>
      </c>
      <c r="G1762" s="17" t="s">
        <v>4450</v>
      </c>
      <c r="H1762" s="41" t="s">
        <v>2121</v>
      </c>
      <c r="I1762" s="16" t="str">
        <f t="shared" si="716"/>
        <v>null</v>
      </c>
      <c r="J1762" s="15" t="s">
        <v>0</v>
      </c>
      <c r="K1762" s="15" t="s">
        <v>0</v>
      </c>
      <c r="L1762" s="15" t="s">
        <v>0</v>
      </c>
      <c r="M1762" s="15" t="s">
        <v>0</v>
      </c>
      <c r="N1762" s="15" t="s">
        <v>0</v>
      </c>
      <c r="O1762" s="15" t="s">
        <v>0</v>
      </c>
      <c r="P1762" s="15" t="s">
        <v>0</v>
      </c>
      <c r="Q1762" s="15" t="s">
        <v>0</v>
      </c>
      <c r="R1762" s="44" t="s">
        <v>4506</v>
      </c>
      <c r="S1762" s="10" t="s">
        <v>1</v>
      </c>
      <c r="T1762" s="10" t="s">
        <v>32</v>
      </c>
      <c r="U1762" s="5" t="str">
        <f t="shared" si="697"/>
        <v>Propriedade destinada a sensorizar: é.sensor.térmico</v>
      </c>
      <c r="V1762" s="5" t="str">
        <f t="shared" si="698"/>
        <v>Dado para sensorizar:  sensor.térmico  Deve ser formatado como (rdfs:Literal  or  xsd:string)</v>
      </c>
      <c r="W1762" s="5" t="s">
        <v>6396</v>
      </c>
      <c r="X1762" s="24" t="str">
        <f t="shared" si="702"/>
        <v>senso.102</v>
      </c>
      <c r="Y1762" s="24" t="str">
        <f t="shared" si="703"/>
        <v>Ação de sensorizar</v>
      </c>
      <c r="Z1762" s="47" t="s">
        <v>3983</v>
      </c>
      <c r="AA1762" s="25" t="str">
        <f t="shared" si="682"/>
        <v>categoria.revit</v>
      </c>
      <c r="AB1762" s="26" t="s">
        <v>3526</v>
      </c>
      <c r="AC1762" s="25" t="str">
        <f t="shared" si="683"/>
        <v>classe.ifc</v>
      </c>
      <c r="AD1762" s="26" t="s">
        <v>3478</v>
      </c>
      <c r="AE1762" s="25" t="str">
        <f t="shared" si="710"/>
        <v>null</v>
      </c>
      <c r="AF1762" s="26" t="s">
        <v>0</v>
      </c>
      <c r="AG1762" s="47" t="s">
        <v>4043</v>
      </c>
    </row>
    <row r="1763" spans="1:33" ht="6.9" customHeight="1" x14ac:dyDescent="0.4">
      <c r="A1763" s="4">
        <f>ROW()</f>
        <v>1763</v>
      </c>
      <c r="B1763" s="9" t="s">
        <v>27</v>
      </c>
      <c r="C1763" s="55" t="str">
        <f t="shared" si="711"/>
        <v>p.sensorizar</v>
      </c>
      <c r="D1763" s="6" t="str">
        <f t="shared" si="709"/>
        <v>é.sensor.de.vibração</v>
      </c>
      <c r="E1763" s="8" t="s">
        <v>28</v>
      </c>
      <c r="F1763" s="42" t="str">
        <f t="shared" si="718"/>
        <v>d.sensorizar</v>
      </c>
      <c r="G1763" s="41" t="s">
        <v>4451</v>
      </c>
      <c r="H1763" s="41" t="s">
        <v>2121</v>
      </c>
      <c r="I1763" s="16" t="str">
        <f t="shared" si="716"/>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697"/>
        <v>Propriedade destinada a sensorizar: é.sensor.de.vibração</v>
      </c>
      <c r="V1763" s="5" t="str">
        <f t="shared" si="698"/>
        <v>Dado para sensorizar:  sensor.de.vibração  Deve ser formatado como (rdfs:Literal  or  xsd:string)</v>
      </c>
      <c r="W1763" s="5" t="s">
        <v>6397</v>
      </c>
      <c r="X1763" s="24" t="str">
        <f t="shared" si="702"/>
        <v>senso.103</v>
      </c>
      <c r="Y1763" s="24" t="str">
        <f t="shared" si="703"/>
        <v>Ação de sensorizar</v>
      </c>
      <c r="Z1763" s="47" t="s">
        <v>3984</v>
      </c>
      <c r="AA1763" s="25" t="str">
        <f t="shared" si="682"/>
        <v>categoria.revit</v>
      </c>
      <c r="AB1763" s="26" t="s">
        <v>3526</v>
      </c>
      <c r="AC1763" s="25" t="str">
        <f t="shared" si="683"/>
        <v>classe.ifc</v>
      </c>
      <c r="AD1763" s="26" t="s">
        <v>3478</v>
      </c>
      <c r="AE1763" s="25" t="str">
        <f t="shared" si="710"/>
        <v>null</v>
      </c>
      <c r="AF1763" s="26" t="s">
        <v>0</v>
      </c>
      <c r="AG1763" s="47" t="s">
        <v>4044</v>
      </c>
    </row>
    <row r="1764" spans="1:33" ht="6.9" customHeight="1" x14ac:dyDescent="0.4">
      <c r="A1764" s="4">
        <f>ROW()</f>
        <v>1764</v>
      </c>
      <c r="B1764" s="9" t="s">
        <v>27</v>
      </c>
      <c r="C1764" s="55" t="str">
        <f t="shared" si="711"/>
        <v>p.sensorizar</v>
      </c>
      <c r="D1764" s="6" t="str">
        <f t="shared" si="709"/>
        <v>é.sensor.de.iluminação</v>
      </c>
      <c r="E1764" s="8" t="s">
        <v>28</v>
      </c>
      <c r="F1764" s="42" t="str">
        <f t="shared" si="718"/>
        <v>d.sensorizar</v>
      </c>
      <c r="G1764" s="41" t="s">
        <v>4452</v>
      </c>
      <c r="H1764" s="41" t="s">
        <v>2121</v>
      </c>
      <c r="I1764" s="16" t="str">
        <f t="shared" si="716"/>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697"/>
        <v>Propriedade destinada a sensorizar: é.sensor.de.iluminação</v>
      </c>
      <c r="V1764" s="5" t="str">
        <f t="shared" si="698"/>
        <v>Dado para sensorizar:  sensor.de.iluminação  Deve ser formatado como (rdfs:Literal  or  xsd:string)</v>
      </c>
      <c r="W1764" s="5" t="s">
        <v>6398</v>
      </c>
      <c r="X1764" s="24" t="str">
        <f t="shared" si="702"/>
        <v>senso.104</v>
      </c>
      <c r="Y1764" s="24" t="str">
        <f t="shared" si="703"/>
        <v>Ação de sensorizar</v>
      </c>
      <c r="Z1764" s="47" t="s">
        <v>3985</v>
      </c>
      <c r="AA1764" s="25" t="str">
        <f t="shared" si="682"/>
        <v>categoria.revit</v>
      </c>
      <c r="AB1764" s="26" t="s">
        <v>3526</v>
      </c>
      <c r="AC1764" s="25" t="str">
        <f t="shared" si="683"/>
        <v>classe.ifc</v>
      </c>
      <c r="AD1764" s="26" t="s">
        <v>3478</v>
      </c>
      <c r="AE1764" s="25" t="str">
        <f t="shared" si="710"/>
        <v>null</v>
      </c>
      <c r="AF1764" s="26" t="s">
        <v>0</v>
      </c>
      <c r="AG1764" s="47" t="s">
        <v>4045</v>
      </c>
    </row>
    <row r="1765" spans="1:33" ht="6.9" customHeight="1" x14ac:dyDescent="0.4">
      <c r="A1765" s="4">
        <f>ROW()</f>
        <v>1765</v>
      </c>
      <c r="B1765" s="9" t="s">
        <v>27</v>
      </c>
      <c r="C1765" s="55" t="str">
        <f t="shared" si="711"/>
        <v>p.sensorizar</v>
      </c>
      <c r="D1765" s="6" t="str">
        <f t="shared" si="709"/>
        <v>é.sensor.de.movimento</v>
      </c>
      <c r="E1765" s="8" t="s">
        <v>28</v>
      </c>
      <c r="F1765" s="42" t="str">
        <f t="shared" si="718"/>
        <v>d.sensorizar</v>
      </c>
      <c r="G1765" s="41" t="s">
        <v>4453</v>
      </c>
      <c r="H1765" s="41" t="s">
        <v>2121</v>
      </c>
      <c r="I1765" s="16" t="str">
        <f t="shared" si="716"/>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697"/>
        <v>Propriedade destinada a sensorizar: é.sensor.de.movimento</v>
      </c>
      <c r="V1765" s="5" t="str">
        <f t="shared" si="698"/>
        <v>Dado para sensorizar:  sensor.de.movimento  Deve ser formatado como (rdfs:Literal  or  xsd:string)</v>
      </c>
      <c r="W1765" s="5" t="s">
        <v>6399</v>
      </c>
      <c r="X1765" s="24" t="str">
        <f t="shared" si="702"/>
        <v>senso.105</v>
      </c>
      <c r="Y1765" s="24" t="str">
        <f t="shared" si="703"/>
        <v>Ação de sensorizar</v>
      </c>
      <c r="Z1765" s="47" t="s">
        <v>3986</v>
      </c>
      <c r="AA1765" s="25" t="str">
        <f t="shared" si="682"/>
        <v>categoria.revit</v>
      </c>
      <c r="AB1765" s="26" t="s">
        <v>3526</v>
      </c>
      <c r="AC1765" s="25" t="str">
        <f t="shared" si="683"/>
        <v>classe.ifc</v>
      </c>
      <c r="AD1765" s="26" t="s">
        <v>3478</v>
      </c>
      <c r="AE1765" s="25" t="str">
        <f t="shared" si="710"/>
        <v>null</v>
      </c>
      <c r="AF1765" s="26" t="s">
        <v>0</v>
      </c>
      <c r="AG1765" s="47" t="s">
        <v>4046</v>
      </c>
    </row>
    <row r="1766" spans="1:33" ht="6.9" customHeight="1" x14ac:dyDescent="0.4">
      <c r="A1766" s="4">
        <f>ROW()</f>
        <v>1766</v>
      </c>
      <c r="B1766" s="9" t="s">
        <v>27</v>
      </c>
      <c r="C1766" s="55" t="str">
        <f t="shared" si="711"/>
        <v>p.sensorizar</v>
      </c>
      <c r="D1766" s="6" t="str">
        <f t="shared" si="709"/>
        <v>é.sensor.de.presença</v>
      </c>
      <c r="E1766" s="8" t="s">
        <v>28</v>
      </c>
      <c r="F1766" s="42" t="str">
        <f t="shared" si="718"/>
        <v>d.sensorizar</v>
      </c>
      <c r="G1766" s="41" t="s">
        <v>4454</v>
      </c>
      <c r="H1766" s="41" t="s">
        <v>2121</v>
      </c>
      <c r="I1766" s="16" t="str">
        <f t="shared" si="716"/>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697"/>
        <v>Propriedade destinada a sensorizar: é.sensor.de.presença</v>
      </c>
      <c r="V1766" s="5" t="str">
        <f t="shared" si="698"/>
        <v>Dado para sensorizar:  sensor.de.presença  Deve ser formatado como (rdfs:Literal  or  xsd:string)</v>
      </c>
      <c r="W1766" s="5" t="s">
        <v>6400</v>
      </c>
      <c r="X1766" s="24" t="str">
        <f t="shared" si="702"/>
        <v>senso.106</v>
      </c>
      <c r="Y1766" s="24" t="str">
        <f t="shared" si="703"/>
        <v>Ação de sensorizar</v>
      </c>
      <c r="Z1766" s="47" t="s">
        <v>3987</v>
      </c>
      <c r="AA1766" s="25" t="str">
        <f t="shared" si="682"/>
        <v>categoria.revit</v>
      </c>
      <c r="AB1766" s="26" t="s">
        <v>3526</v>
      </c>
      <c r="AC1766" s="25" t="str">
        <f t="shared" si="683"/>
        <v>classe.ifc</v>
      </c>
      <c r="AD1766" s="26" t="s">
        <v>3478</v>
      </c>
      <c r="AE1766" s="25" t="str">
        <f t="shared" si="710"/>
        <v>null</v>
      </c>
      <c r="AF1766" s="26" t="s">
        <v>0</v>
      </c>
      <c r="AG1766" s="47" t="s">
        <v>4047</v>
      </c>
    </row>
    <row r="1767" spans="1:33" ht="6.9" customHeight="1" x14ac:dyDescent="0.4">
      <c r="A1767" s="4">
        <f>ROW()</f>
        <v>1767</v>
      </c>
      <c r="B1767" s="9" t="s">
        <v>27</v>
      </c>
      <c r="C1767" s="55" t="str">
        <f t="shared" si="711"/>
        <v>p.sensorizar</v>
      </c>
      <c r="D1767" s="6" t="str">
        <f t="shared" si="709"/>
        <v>é.sensor.de.acesso</v>
      </c>
      <c r="E1767" s="8" t="s">
        <v>28</v>
      </c>
      <c r="F1767" s="42" t="str">
        <f t="shared" si="718"/>
        <v>d.sensorizar</v>
      </c>
      <c r="G1767" s="41" t="s">
        <v>4455</v>
      </c>
      <c r="H1767" s="41" t="s">
        <v>2121</v>
      </c>
      <c r="I1767" s="16" t="str">
        <f t="shared" si="716"/>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697"/>
        <v>Propriedade destinada a sensorizar: é.sensor.de.acesso</v>
      </c>
      <c r="V1767" s="5" t="str">
        <f t="shared" si="698"/>
        <v>Dado para sensorizar:  sensor.de.acesso  Deve ser formatado como (rdfs:Literal  or  xsd:string)</v>
      </c>
      <c r="W1767" s="5" t="s">
        <v>6401</v>
      </c>
      <c r="X1767" s="24" t="str">
        <f t="shared" si="702"/>
        <v>senso.107</v>
      </c>
      <c r="Y1767" s="24" t="str">
        <f t="shared" si="703"/>
        <v>Ação de sensorizar</v>
      </c>
      <c r="Z1767" s="47" t="s">
        <v>3988</v>
      </c>
      <c r="AA1767" s="25" t="str">
        <f t="shared" si="682"/>
        <v>categoria.revit</v>
      </c>
      <c r="AB1767" s="26" t="s">
        <v>3526</v>
      </c>
      <c r="AC1767" s="25" t="str">
        <f t="shared" si="683"/>
        <v>classe.ifc</v>
      </c>
      <c r="AD1767" s="26" t="s">
        <v>3478</v>
      </c>
      <c r="AE1767" s="25" t="str">
        <f t="shared" si="710"/>
        <v>null</v>
      </c>
      <c r="AF1767" s="26" t="s">
        <v>0</v>
      </c>
      <c r="AG1767" s="47" t="s">
        <v>4048</v>
      </c>
    </row>
    <row r="1768" spans="1:33" ht="6.9" customHeight="1" x14ac:dyDescent="0.4">
      <c r="A1768" s="4">
        <f>ROW()</f>
        <v>1768</v>
      </c>
      <c r="B1768" s="9" t="s">
        <v>27</v>
      </c>
      <c r="C1768" s="55" t="str">
        <f t="shared" si="711"/>
        <v>p.sensorizar</v>
      </c>
      <c r="D1768" s="6" t="str">
        <f t="shared" si="709"/>
        <v>é.sensor.de.fumaça</v>
      </c>
      <c r="E1768" s="8" t="s">
        <v>28</v>
      </c>
      <c r="F1768" s="42" t="str">
        <f t="shared" si="718"/>
        <v>d.sensorizar</v>
      </c>
      <c r="G1768" s="41" t="s">
        <v>4456</v>
      </c>
      <c r="H1768" s="41" t="s">
        <v>2121</v>
      </c>
      <c r="I1768" s="16" t="str">
        <f t="shared" si="716"/>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697"/>
        <v>Propriedade destinada a sensorizar: é.sensor.de.fumaça</v>
      </c>
      <c r="V1768" s="5" t="str">
        <f t="shared" si="698"/>
        <v>Dado para sensorizar:  sensor.de.fumaça  Deve ser formatado como (rdfs:Literal  or  xsd:string)</v>
      </c>
      <c r="W1768" s="5" t="s">
        <v>6402</v>
      </c>
      <c r="X1768" s="24" t="str">
        <f t="shared" si="702"/>
        <v>senso.108</v>
      </c>
      <c r="Y1768" s="24" t="str">
        <f t="shared" si="703"/>
        <v>Ação de sensorizar</v>
      </c>
      <c r="Z1768" s="47" t="s">
        <v>3989</v>
      </c>
      <c r="AA1768" s="25" t="str">
        <f t="shared" si="682"/>
        <v>categoria.revit</v>
      </c>
      <c r="AB1768" s="26" t="s">
        <v>3526</v>
      </c>
      <c r="AC1768" s="25" t="str">
        <f t="shared" si="683"/>
        <v>classe.ifc</v>
      </c>
      <c r="AD1768" s="26" t="s">
        <v>3478</v>
      </c>
      <c r="AE1768" s="25" t="str">
        <f t="shared" si="710"/>
        <v>null</v>
      </c>
      <c r="AF1768" s="26" t="s">
        <v>0</v>
      </c>
      <c r="AG1768" s="47" t="s">
        <v>4049</v>
      </c>
    </row>
    <row r="1769" spans="1:33" ht="6.9" customHeight="1" x14ac:dyDescent="0.4">
      <c r="A1769" s="4">
        <f>ROW()</f>
        <v>1769</v>
      </c>
      <c r="B1769" s="9" t="s">
        <v>27</v>
      </c>
      <c r="C1769" s="55" t="str">
        <f t="shared" si="711"/>
        <v>p.sensorizar</v>
      </c>
      <c r="D1769" s="6" t="str">
        <f t="shared" si="709"/>
        <v>é.sensor.de.contraste</v>
      </c>
      <c r="E1769" s="8" t="s">
        <v>28</v>
      </c>
      <c r="F1769" s="42" t="str">
        <f t="shared" si="718"/>
        <v>d.sensorizar</v>
      </c>
      <c r="G1769" s="41" t="s">
        <v>4457</v>
      </c>
      <c r="H1769" s="41" t="s">
        <v>2121</v>
      </c>
      <c r="I1769" s="16" t="str">
        <f t="shared" si="71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697"/>
        <v>Propriedade destinada a sensorizar: é.sensor.de.contraste</v>
      </c>
      <c r="V1769" s="5" t="str">
        <f t="shared" si="698"/>
        <v>Dado para sensorizar:  sensor.de.contraste  Deve ser formatado como (rdfs:Literal  or  xsd:string)</v>
      </c>
      <c r="W1769" s="5" t="s">
        <v>6403</v>
      </c>
      <c r="X1769" s="24" t="str">
        <f t="shared" si="702"/>
        <v>senso.109</v>
      </c>
      <c r="Y1769" s="24" t="str">
        <f t="shared" si="703"/>
        <v>Ação de sensorizar</v>
      </c>
      <c r="Z1769" s="47" t="s">
        <v>3990</v>
      </c>
      <c r="AA1769" s="25" t="str">
        <f t="shared" si="682"/>
        <v>categoria.revit</v>
      </c>
      <c r="AB1769" s="26" t="s">
        <v>3526</v>
      </c>
      <c r="AC1769" s="25" t="str">
        <f t="shared" si="683"/>
        <v>classe.ifc</v>
      </c>
      <c r="AD1769" s="26" t="s">
        <v>3478</v>
      </c>
      <c r="AE1769" s="25" t="str">
        <f t="shared" si="710"/>
        <v>null</v>
      </c>
      <c r="AF1769" s="26" t="s">
        <v>0</v>
      </c>
      <c r="AG1769" s="47" t="s">
        <v>4050</v>
      </c>
    </row>
    <row r="1770" spans="1:33" ht="6.9" customHeight="1" x14ac:dyDescent="0.4">
      <c r="A1770" s="4">
        <f>ROW()</f>
        <v>1770</v>
      </c>
      <c r="B1770" s="9" t="s">
        <v>27</v>
      </c>
      <c r="C1770" s="55" t="str">
        <f t="shared" si="711"/>
        <v>p.sensorizar</v>
      </c>
      <c r="D1770" s="6" t="str">
        <f t="shared" si="709"/>
        <v>é.sensor.de.contraste.e.cor</v>
      </c>
      <c r="E1770" s="8" t="s">
        <v>28</v>
      </c>
      <c r="F1770" s="42" t="str">
        <f t="shared" si="718"/>
        <v>d.sensorizar</v>
      </c>
      <c r="G1770" s="41" t="s">
        <v>4458</v>
      </c>
      <c r="H1770" s="41" t="s">
        <v>2121</v>
      </c>
      <c r="I1770" s="16" t="str">
        <f t="shared" si="716"/>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697"/>
        <v>Propriedade destinada a sensorizar: é.sensor.de.contraste.e.cor</v>
      </c>
      <c r="V1770" s="5" t="str">
        <f t="shared" si="698"/>
        <v>Dado para sensorizar:  sensor.de.contraste.e.cor  Deve ser formatado como (rdfs:Literal  or  xsd:string)</v>
      </c>
      <c r="W1770" s="5" t="s">
        <v>6404</v>
      </c>
      <c r="X1770" s="24" t="str">
        <f t="shared" si="702"/>
        <v>senso.110</v>
      </c>
      <c r="Y1770" s="24" t="str">
        <f t="shared" si="703"/>
        <v>Ação de sensorizar</v>
      </c>
      <c r="Z1770" s="47" t="s">
        <v>3991</v>
      </c>
      <c r="AA1770" s="25" t="str">
        <f t="shared" si="682"/>
        <v>categoria.revit</v>
      </c>
      <c r="AB1770" s="26" t="s">
        <v>3526</v>
      </c>
      <c r="AC1770" s="25" t="str">
        <f t="shared" si="683"/>
        <v>classe.ifc</v>
      </c>
      <c r="AD1770" s="26" t="s">
        <v>3478</v>
      </c>
      <c r="AE1770" s="25" t="str">
        <f t="shared" si="710"/>
        <v>null</v>
      </c>
      <c r="AF1770" s="26" t="s">
        <v>0</v>
      </c>
      <c r="AG1770" s="47" t="s">
        <v>4051</v>
      </c>
    </row>
    <row r="1771" spans="1:33" ht="6.9" customHeight="1" x14ac:dyDescent="0.4">
      <c r="A1771" s="4">
        <f>ROW()</f>
        <v>1771</v>
      </c>
      <c r="B1771" s="9" t="s">
        <v>27</v>
      </c>
      <c r="C1771" s="55" t="str">
        <f t="shared" si="711"/>
        <v>p.sensorizar</v>
      </c>
      <c r="D1771" s="6" t="str">
        <f t="shared" si="709"/>
        <v>é.sensor.de.distância</v>
      </c>
      <c r="E1771" s="8" t="s">
        <v>28</v>
      </c>
      <c r="F1771" s="42" t="str">
        <f t="shared" si="718"/>
        <v>d.sensorizar</v>
      </c>
      <c r="G1771" s="41" t="s">
        <v>4459</v>
      </c>
      <c r="H1771" s="41" t="s">
        <v>2121</v>
      </c>
      <c r="I1771" s="16" t="str">
        <f t="shared" si="716"/>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697"/>
        <v>Propriedade destinada a sensorizar: é.sensor.de.distância</v>
      </c>
      <c r="V1771" s="5" t="str">
        <f t="shared" si="698"/>
        <v>Dado para sensorizar:  sensor.de.distância  Deve ser formatado como (rdfs:Literal  or  xsd:string)</v>
      </c>
      <c r="W1771" s="5" t="s">
        <v>6404</v>
      </c>
      <c r="X1771" s="24" t="str">
        <f t="shared" si="702"/>
        <v>senso.111</v>
      </c>
      <c r="Y1771" s="24" t="str">
        <f t="shared" si="703"/>
        <v>Ação de sensorizar</v>
      </c>
      <c r="Z1771" s="47" t="s">
        <v>3991</v>
      </c>
      <c r="AA1771" s="25" t="str">
        <f t="shared" si="682"/>
        <v>categoria.revit</v>
      </c>
      <c r="AB1771" s="26" t="s">
        <v>3526</v>
      </c>
      <c r="AC1771" s="25" t="str">
        <f t="shared" si="683"/>
        <v>classe.ifc</v>
      </c>
      <c r="AD1771" s="26" t="s">
        <v>3478</v>
      </c>
      <c r="AE1771" s="25" t="str">
        <f t="shared" si="710"/>
        <v>null</v>
      </c>
      <c r="AF1771" s="26" t="s">
        <v>0</v>
      </c>
      <c r="AG1771" s="47" t="s">
        <v>4051</v>
      </c>
    </row>
    <row r="1772" spans="1:33" ht="6.9" customHeight="1" x14ac:dyDescent="0.4">
      <c r="A1772" s="4">
        <f>ROW()</f>
        <v>1772</v>
      </c>
      <c r="B1772" s="9" t="s">
        <v>27</v>
      </c>
      <c r="C1772" s="55" t="str">
        <f t="shared" si="711"/>
        <v>p.sensorizar</v>
      </c>
      <c r="D1772" s="6" t="str">
        <f t="shared" si="709"/>
        <v>é.sensor.difuso.compacto</v>
      </c>
      <c r="E1772" s="8" t="s">
        <v>28</v>
      </c>
      <c r="F1772" s="42" t="str">
        <f t="shared" si="718"/>
        <v>d.sensorizar</v>
      </c>
      <c r="G1772" s="41" t="s">
        <v>4460</v>
      </c>
      <c r="H1772" s="41" t="s">
        <v>2121</v>
      </c>
      <c r="I1772" s="16" t="str">
        <f t="shared" si="716"/>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697"/>
        <v>Propriedade destinada a sensorizar: é.sensor.difuso.compacto</v>
      </c>
      <c r="V1772" s="5" t="str">
        <f t="shared" si="698"/>
        <v>Dado para sensorizar:  sensor.difuso.compacto  Deve ser formatado como (rdfs:Literal  or  xsd:string)</v>
      </c>
      <c r="W1772" s="5" t="s">
        <v>6404</v>
      </c>
      <c r="X1772" s="24" t="str">
        <f t="shared" si="702"/>
        <v>senso.112</v>
      </c>
      <c r="Y1772" s="24" t="str">
        <f t="shared" si="703"/>
        <v>Ação de sensorizar</v>
      </c>
      <c r="Z1772" s="47" t="s">
        <v>3991</v>
      </c>
      <c r="AA1772" s="25" t="str">
        <f t="shared" si="682"/>
        <v>categoria.revit</v>
      </c>
      <c r="AB1772" s="26" t="s">
        <v>3526</v>
      </c>
      <c r="AC1772" s="25" t="str">
        <f t="shared" si="683"/>
        <v>classe.ifc</v>
      </c>
      <c r="AD1772" s="26" t="s">
        <v>3478</v>
      </c>
      <c r="AE1772" s="25" t="str">
        <f t="shared" si="710"/>
        <v>null</v>
      </c>
      <c r="AF1772" s="26" t="s">
        <v>0</v>
      </c>
      <c r="AG1772" s="47" t="s">
        <v>4051</v>
      </c>
    </row>
    <row r="1773" spans="1:33" ht="6.9" customHeight="1" x14ac:dyDescent="0.4">
      <c r="A1773" s="4">
        <f>ROW()</f>
        <v>1773</v>
      </c>
      <c r="B1773" s="9" t="s">
        <v>27</v>
      </c>
      <c r="C1773" s="55" t="str">
        <f t="shared" si="711"/>
        <v>p.sensorizar</v>
      </c>
      <c r="D1773" s="6" t="str">
        <f t="shared" si="709"/>
        <v>é.sensor.de.distância.difuso</v>
      </c>
      <c r="E1773" s="8" t="s">
        <v>28</v>
      </c>
      <c r="F1773" s="42" t="str">
        <f t="shared" si="718"/>
        <v>d.sensorizar</v>
      </c>
      <c r="G1773" s="41" t="s">
        <v>4461</v>
      </c>
      <c r="H1773" s="41" t="s">
        <v>2121</v>
      </c>
      <c r="I1773" s="16" t="str">
        <f t="shared" si="716"/>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697"/>
        <v>Propriedade destinada a sensorizar: é.sensor.de.distância.difuso</v>
      </c>
      <c r="V1773" s="5" t="str">
        <f t="shared" si="698"/>
        <v>Dado para sensorizar:  sensor.de.distância.difuso  Deve ser formatado como (rdfs:Literal  or  xsd:string)</v>
      </c>
      <c r="W1773" s="5" t="s">
        <v>6404</v>
      </c>
      <c r="X1773" s="24" t="str">
        <f t="shared" si="702"/>
        <v>senso.113</v>
      </c>
      <c r="Y1773" s="24" t="str">
        <f t="shared" si="703"/>
        <v>Ação de sensorizar</v>
      </c>
      <c r="Z1773" s="47" t="s">
        <v>3991</v>
      </c>
      <c r="AA1773" s="25" t="str">
        <f t="shared" ref="AA1773:AA1792" si="720">IF(AB1773="null", "null", "categoria.revit")</f>
        <v>categoria.revit</v>
      </c>
      <c r="AB1773" s="26" t="s">
        <v>3526</v>
      </c>
      <c r="AC1773" s="25" t="str">
        <f t="shared" ref="AC1773:AC1792" si="721">IF(AD1773="null", "null", "classe.ifc")</f>
        <v>classe.ifc</v>
      </c>
      <c r="AD1773" s="26" t="s">
        <v>3478</v>
      </c>
      <c r="AE1773" s="25" t="str">
        <f t="shared" si="710"/>
        <v>null</v>
      </c>
      <c r="AF1773" s="26" t="s">
        <v>0</v>
      </c>
      <c r="AG1773" s="47" t="s">
        <v>4051</v>
      </c>
    </row>
    <row r="1774" spans="1:33" ht="6.9" customHeight="1" x14ac:dyDescent="0.4">
      <c r="A1774" s="4">
        <f>ROW()</f>
        <v>1774</v>
      </c>
      <c r="B1774" s="9" t="s">
        <v>27</v>
      </c>
      <c r="C1774" s="55" t="str">
        <f t="shared" si="711"/>
        <v>p.sensorizar</v>
      </c>
      <c r="D1774" s="6" t="str">
        <f t="shared" si="709"/>
        <v>é.sensor.outdoor.difuso</v>
      </c>
      <c r="E1774" s="8" t="s">
        <v>28</v>
      </c>
      <c r="F1774" s="42" t="str">
        <f t="shared" si="718"/>
        <v>d.sensorizar</v>
      </c>
      <c r="G1774" s="41" t="s">
        <v>4462</v>
      </c>
      <c r="H1774" s="41" t="s">
        <v>2121</v>
      </c>
      <c r="I1774" s="16" t="str">
        <f t="shared" si="71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697"/>
        <v>Propriedade destinada a sensorizar: é.sensor.outdoor.difuso</v>
      </c>
      <c r="V1774" s="5" t="str">
        <f t="shared" si="698"/>
        <v>Dado para sensorizar:  sensor.outdoor.difuso  Deve ser formatado como (rdfs:Literal  or  xsd:string)</v>
      </c>
      <c r="W1774" s="5" t="s">
        <v>6404</v>
      </c>
      <c r="X1774" s="24" t="str">
        <f t="shared" si="702"/>
        <v>senso.114</v>
      </c>
      <c r="Y1774" s="24" t="str">
        <f t="shared" si="703"/>
        <v>Ação de sensorizar</v>
      </c>
      <c r="Z1774" s="47" t="s">
        <v>3991</v>
      </c>
      <c r="AA1774" s="25" t="str">
        <f t="shared" si="720"/>
        <v>categoria.revit</v>
      </c>
      <c r="AB1774" s="26" t="s">
        <v>3526</v>
      </c>
      <c r="AC1774" s="25" t="str">
        <f t="shared" si="721"/>
        <v>classe.ifc</v>
      </c>
      <c r="AD1774" s="26" t="s">
        <v>3478</v>
      </c>
      <c r="AE1774" s="25" t="str">
        <f t="shared" si="710"/>
        <v>null</v>
      </c>
      <c r="AF1774" s="26" t="s">
        <v>0</v>
      </c>
      <c r="AG1774" s="47" t="s">
        <v>4051</v>
      </c>
    </row>
    <row r="1775" spans="1:33" ht="6.9" customHeight="1" x14ac:dyDescent="0.4">
      <c r="A1775" s="4">
        <f>ROW()</f>
        <v>1775</v>
      </c>
      <c r="B1775" s="9" t="s">
        <v>27</v>
      </c>
      <c r="C1775" s="55" t="str">
        <f t="shared" si="711"/>
        <v>p.sensorizar</v>
      </c>
      <c r="D1775" s="6" t="str">
        <f t="shared" si="709"/>
        <v>é.sensor.de.luminescência</v>
      </c>
      <c r="E1775" s="8" t="s">
        <v>28</v>
      </c>
      <c r="F1775" s="42" t="str">
        <f t="shared" si="718"/>
        <v>d.sensorizar</v>
      </c>
      <c r="G1775" s="41" t="s">
        <v>6978</v>
      </c>
      <c r="H1775" s="41" t="s">
        <v>2121</v>
      </c>
      <c r="I1775" s="16" t="str">
        <f t="shared" si="71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697"/>
        <v>Propriedade destinada a sensorizar: é.sensor.de.luminescência</v>
      </c>
      <c r="V1775" s="5" t="str">
        <f t="shared" si="698"/>
        <v>Dado para sensorizar:  sensor.de.luminescência  Deve ser formatado como (rdfs:Literal  or  xsd:string)</v>
      </c>
      <c r="W1775" s="5" t="s">
        <v>6404</v>
      </c>
      <c r="X1775" s="24" t="str">
        <f t="shared" si="702"/>
        <v>senso.115</v>
      </c>
      <c r="Y1775" s="24" t="str">
        <f t="shared" si="703"/>
        <v>Ação de sensorizar</v>
      </c>
      <c r="Z1775" s="47" t="s">
        <v>3991</v>
      </c>
      <c r="AA1775" s="25" t="str">
        <f t="shared" si="720"/>
        <v>categoria.revit</v>
      </c>
      <c r="AB1775" s="26" t="s">
        <v>3526</v>
      </c>
      <c r="AC1775" s="25" t="str">
        <f t="shared" si="721"/>
        <v>classe.ifc</v>
      </c>
      <c r="AD1775" s="26" t="s">
        <v>3478</v>
      </c>
      <c r="AE1775" s="25" t="str">
        <f t="shared" si="710"/>
        <v>null</v>
      </c>
      <c r="AF1775" s="26" t="s">
        <v>0</v>
      </c>
      <c r="AG1775" s="47" t="s">
        <v>4051</v>
      </c>
    </row>
    <row r="1776" spans="1:33" ht="6.9" customHeight="1" x14ac:dyDescent="0.4">
      <c r="A1776" s="4">
        <f>ROW()</f>
        <v>1776</v>
      </c>
      <c r="B1776" s="9" t="s">
        <v>27</v>
      </c>
      <c r="C1776" s="55" t="str">
        <f t="shared" si="711"/>
        <v>p.sensorizar</v>
      </c>
      <c r="D1776" s="6" t="str">
        <f t="shared" si="709"/>
        <v>é.sensor.proximidade.retroreflexivo</v>
      </c>
      <c r="E1776" s="8" t="s">
        <v>28</v>
      </c>
      <c r="F1776" s="42" t="str">
        <f t="shared" si="718"/>
        <v>d.sensorizar</v>
      </c>
      <c r="G1776" s="41" t="s">
        <v>4463</v>
      </c>
      <c r="H1776" s="41" t="s">
        <v>2121</v>
      </c>
      <c r="I1776" s="16" t="str">
        <f t="shared" si="71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697"/>
        <v>Propriedade destinada a sensorizar: é.sensor.proximidade.retroreflexivo</v>
      </c>
      <c r="V1776" s="5" t="str">
        <f t="shared" si="698"/>
        <v>Dado para sensorizar:  sensor.proximidade.retroreflexivo  Deve ser formatado como (rdfs:Literal  or  xsd:string)</v>
      </c>
      <c r="W1776" s="5" t="s">
        <v>6404</v>
      </c>
      <c r="X1776" s="24" t="str">
        <f t="shared" si="702"/>
        <v>senso.116</v>
      </c>
      <c r="Y1776" s="24" t="str">
        <f t="shared" si="703"/>
        <v>Ação de sensorizar</v>
      </c>
      <c r="Z1776" s="47" t="s">
        <v>3991</v>
      </c>
      <c r="AA1776" s="25" t="str">
        <f t="shared" si="720"/>
        <v>categoria.revit</v>
      </c>
      <c r="AB1776" s="26" t="s">
        <v>3526</v>
      </c>
      <c r="AC1776" s="25" t="str">
        <f t="shared" si="721"/>
        <v>classe.ifc</v>
      </c>
      <c r="AD1776" s="26" t="s">
        <v>3478</v>
      </c>
      <c r="AE1776" s="25" t="str">
        <f t="shared" si="710"/>
        <v>null</v>
      </c>
      <c r="AF1776" s="26" t="s">
        <v>0</v>
      </c>
      <c r="AG1776" s="47" t="s">
        <v>4051</v>
      </c>
    </row>
    <row r="1777" spans="1:33" ht="6.9" customHeight="1" x14ac:dyDescent="0.4">
      <c r="A1777" s="4">
        <f>ROW()</f>
        <v>1777</v>
      </c>
      <c r="B1777" s="9" t="s">
        <v>27</v>
      </c>
      <c r="C1777" s="55" t="str">
        <f t="shared" si="711"/>
        <v>p.sensorizar</v>
      </c>
      <c r="D1777" s="6" t="str">
        <f t="shared" si="709"/>
        <v>é.sensor.de.proximidade</v>
      </c>
      <c r="E1777" s="8" t="s">
        <v>28</v>
      </c>
      <c r="F1777" s="42" t="str">
        <f t="shared" si="718"/>
        <v>d.sensorizar</v>
      </c>
      <c r="G1777" s="41" t="s">
        <v>4464</v>
      </c>
      <c r="H1777" s="41" t="s">
        <v>2121</v>
      </c>
      <c r="I1777" s="16" t="str">
        <f t="shared" si="71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697"/>
        <v>Propriedade destinada a sensorizar: é.sensor.de.proximidade</v>
      </c>
      <c r="V1777" s="5" t="str">
        <f t="shared" si="698"/>
        <v>Dado para sensorizar:  sensor.de.proximidade  Deve ser formatado como (rdfs:Literal  or  xsd:string)</v>
      </c>
      <c r="W1777" s="5" t="s">
        <v>6404</v>
      </c>
      <c r="X1777" s="24" t="str">
        <f t="shared" si="702"/>
        <v>senso.117</v>
      </c>
      <c r="Y1777" s="24" t="str">
        <f t="shared" si="703"/>
        <v>Ação de sensorizar</v>
      </c>
      <c r="Z1777" s="47" t="s">
        <v>3991</v>
      </c>
      <c r="AA1777" s="25" t="str">
        <f t="shared" si="720"/>
        <v>categoria.revit</v>
      </c>
      <c r="AB1777" s="26" t="s">
        <v>3526</v>
      </c>
      <c r="AC1777" s="25" t="str">
        <f t="shared" si="721"/>
        <v>classe.ifc</v>
      </c>
      <c r="AD1777" s="26" t="s">
        <v>3478</v>
      </c>
      <c r="AE1777" s="25" t="str">
        <f t="shared" si="710"/>
        <v>null</v>
      </c>
      <c r="AF1777" s="26" t="s">
        <v>0</v>
      </c>
      <c r="AG1777" s="47" t="s">
        <v>4051</v>
      </c>
    </row>
    <row r="1778" spans="1:33" ht="6.9" customHeight="1" x14ac:dyDescent="0.4">
      <c r="A1778" s="4">
        <f>ROW()</f>
        <v>1778</v>
      </c>
      <c r="B1778" s="9" t="s">
        <v>27</v>
      </c>
      <c r="C1778" s="55" t="str">
        <f t="shared" si="711"/>
        <v>p.sensorizar</v>
      </c>
      <c r="D1778" s="6" t="str">
        <f t="shared" si="709"/>
        <v>é.sensor.de.proximidade.inox</v>
      </c>
      <c r="E1778" s="8" t="s">
        <v>28</v>
      </c>
      <c r="F1778" s="42" t="str">
        <f t="shared" si="718"/>
        <v>d.sensorizar</v>
      </c>
      <c r="G1778" s="41" t="s">
        <v>4465</v>
      </c>
      <c r="H1778" s="41" t="s">
        <v>2121</v>
      </c>
      <c r="I1778" s="16" t="str">
        <f t="shared" si="716"/>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697"/>
        <v>Propriedade destinada a sensorizar: é.sensor.de.proximidade.inox</v>
      </c>
      <c r="V1778" s="5" t="str">
        <f t="shared" si="698"/>
        <v>Dado para sensorizar:  sensor.de.proximidade.inox  Deve ser formatado como (rdfs:Literal  or  xsd:string)</v>
      </c>
      <c r="W1778" s="5" t="s">
        <v>6405</v>
      </c>
      <c r="X1778" s="24" t="str">
        <f t="shared" si="702"/>
        <v>senso.118</v>
      </c>
      <c r="Y1778" s="24" t="str">
        <f t="shared" si="703"/>
        <v>Ação de sensorizar</v>
      </c>
      <c r="Z1778" s="47" t="s">
        <v>3992</v>
      </c>
      <c r="AA1778" s="25" t="str">
        <f t="shared" si="720"/>
        <v>categoria.revit</v>
      </c>
      <c r="AB1778" s="26" t="s">
        <v>3526</v>
      </c>
      <c r="AC1778" s="25" t="str">
        <f t="shared" si="721"/>
        <v>classe.ifc</v>
      </c>
      <c r="AD1778" s="26" t="s">
        <v>3478</v>
      </c>
      <c r="AE1778" s="25" t="str">
        <f t="shared" si="710"/>
        <v>null</v>
      </c>
      <c r="AF1778" s="26" t="s">
        <v>0</v>
      </c>
      <c r="AG1778" s="47" t="s">
        <v>4052</v>
      </c>
    </row>
    <row r="1779" spans="1:33" ht="6.9" customHeight="1" x14ac:dyDescent="0.4">
      <c r="A1779" s="4">
        <f>ROW()</f>
        <v>1779</v>
      </c>
      <c r="B1779" s="9" t="s">
        <v>27</v>
      </c>
      <c r="C1779" s="55" t="str">
        <f t="shared" si="711"/>
        <v>p.sensorizar</v>
      </c>
      <c r="D1779" s="6" t="str">
        <f t="shared" si="709"/>
        <v>é.sensor.de.cortina.de.luz</v>
      </c>
      <c r="E1779" s="8" t="s">
        <v>28</v>
      </c>
      <c r="F1779" s="42" t="str">
        <f t="shared" si="718"/>
        <v>d.sensorizar</v>
      </c>
      <c r="G1779" s="41" t="s">
        <v>4466</v>
      </c>
      <c r="H1779" s="41" t="s">
        <v>2121</v>
      </c>
      <c r="I1779" s="16" t="str">
        <f t="shared" si="71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697"/>
        <v>Propriedade destinada a sensorizar: é.sensor.de.cortina.de.luz</v>
      </c>
      <c r="V1779" s="5" t="str">
        <f t="shared" si="698"/>
        <v>Dado para sensorizar:  sensor.de.cortina.de.luz  Deve ser formatado como (rdfs:Literal  or  xsd:string)</v>
      </c>
      <c r="W1779" s="5" t="s">
        <v>6406</v>
      </c>
      <c r="X1779" s="24" t="str">
        <f t="shared" si="702"/>
        <v>senso.119</v>
      </c>
      <c r="Y1779" s="24" t="str">
        <f t="shared" si="703"/>
        <v>Ação de sensorizar</v>
      </c>
      <c r="Z1779" s="47" t="s">
        <v>3993</v>
      </c>
      <c r="AA1779" s="25" t="str">
        <f t="shared" si="720"/>
        <v>categoria.revit</v>
      </c>
      <c r="AB1779" s="26" t="s">
        <v>3526</v>
      </c>
      <c r="AC1779" s="25" t="str">
        <f t="shared" si="721"/>
        <v>classe.ifc</v>
      </c>
      <c r="AD1779" s="26" t="s">
        <v>3478</v>
      </c>
      <c r="AE1779" s="25" t="str">
        <f t="shared" si="710"/>
        <v>null</v>
      </c>
      <c r="AF1779" s="26" t="s">
        <v>0</v>
      </c>
      <c r="AG1779" s="47" t="s">
        <v>4053</v>
      </c>
    </row>
    <row r="1780" spans="1:33" ht="6.9" customHeight="1" x14ac:dyDescent="0.4">
      <c r="A1780" s="4">
        <f>ROW()</f>
        <v>1780</v>
      </c>
      <c r="B1780" s="9" t="s">
        <v>27</v>
      </c>
      <c r="C1780" s="55" t="str">
        <f t="shared" si="711"/>
        <v>p.sensorizar</v>
      </c>
      <c r="D1780" s="6" t="str">
        <f t="shared" si="709"/>
        <v>é.sensor.encoder</v>
      </c>
      <c r="E1780" s="8" t="s">
        <v>28</v>
      </c>
      <c r="F1780" s="42" t="str">
        <f t="shared" si="718"/>
        <v>d.sensorizar</v>
      </c>
      <c r="G1780" s="41" t="s">
        <v>4467</v>
      </c>
      <c r="H1780" s="41" t="s">
        <v>2121</v>
      </c>
      <c r="I1780" s="16" t="str">
        <f t="shared" si="71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697"/>
        <v>Propriedade destinada a sensorizar: é.sensor.encoder</v>
      </c>
      <c r="V1780" s="5" t="str">
        <f t="shared" si="698"/>
        <v>Dado para sensorizar:  sensor.encoder  Deve ser formatado como (rdfs:Literal  or  xsd:string)</v>
      </c>
      <c r="W1780" s="5" t="s">
        <v>6407</v>
      </c>
      <c r="X1780" s="24" t="str">
        <f t="shared" si="702"/>
        <v>senso.120</v>
      </c>
      <c r="Y1780" s="24" t="str">
        <f t="shared" si="703"/>
        <v>Ação de sensorizar</v>
      </c>
      <c r="Z1780" s="47" t="s">
        <v>3994</v>
      </c>
      <c r="AA1780" s="25" t="str">
        <f t="shared" si="720"/>
        <v>categoria.revit</v>
      </c>
      <c r="AB1780" s="26" t="s">
        <v>3526</v>
      </c>
      <c r="AC1780" s="25" t="str">
        <f t="shared" si="721"/>
        <v>classe.ifc</v>
      </c>
      <c r="AD1780" s="26" t="s">
        <v>3478</v>
      </c>
      <c r="AE1780" s="25" t="str">
        <f t="shared" si="710"/>
        <v>null</v>
      </c>
      <c r="AF1780" s="26" t="s">
        <v>0</v>
      </c>
      <c r="AG1780" s="47" t="s">
        <v>4054</v>
      </c>
    </row>
    <row r="1781" spans="1:33" ht="6.9" customHeight="1" x14ac:dyDescent="0.4">
      <c r="A1781" s="4">
        <f>ROW()</f>
        <v>1781</v>
      </c>
      <c r="B1781" s="9" t="s">
        <v>27</v>
      </c>
      <c r="C1781" s="55" t="str">
        <f t="shared" si="711"/>
        <v>p.sensorizar</v>
      </c>
      <c r="D1781" s="6" t="str">
        <f t="shared" si="709"/>
        <v>é.sensor.lorawan</v>
      </c>
      <c r="E1781" s="8" t="s">
        <v>28</v>
      </c>
      <c r="F1781" s="42" t="str">
        <f t="shared" si="718"/>
        <v>d.sensorizar</v>
      </c>
      <c r="G1781" s="18" t="s">
        <v>7256</v>
      </c>
      <c r="H1781" s="41" t="s">
        <v>2121</v>
      </c>
      <c r="I1781" s="16" t="str">
        <f t="shared" si="716"/>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697"/>
        <v>Propriedade destinada a sensorizar: é.sensor.lorawan</v>
      </c>
      <c r="V1781" s="5" t="str">
        <f t="shared" si="698"/>
        <v>Dado para sensorizar:  sensor.lorawan  Deve ser formatado como (rdfs:Literal  or  xsd:string)</v>
      </c>
      <c r="W1781" s="5" t="s">
        <v>7262</v>
      </c>
      <c r="X1781" s="24" t="str">
        <f t="shared" si="702"/>
        <v>senso.121</v>
      </c>
      <c r="Y1781" s="24" t="str">
        <f t="shared" si="703"/>
        <v>Ação de sensorizar</v>
      </c>
      <c r="Z1781" s="47" t="s">
        <v>7389</v>
      </c>
      <c r="AA1781" s="25" t="str">
        <f t="shared" si="720"/>
        <v>categoria.revit</v>
      </c>
      <c r="AB1781" s="26" t="s">
        <v>3526</v>
      </c>
      <c r="AC1781" s="25" t="str">
        <f t="shared" si="721"/>
        <v>classe.ifc</v>
      </c>
      <c r="AD1781" s="26" t="s">
        <v>3478</v>
      </c>
      <c r="AE1781" s="25" t="str">
        <f t="shared" si="710"/>
        <v>null</v>
      </c>
      <c r="AF1781" s="26" t="s">
        <v>0</v>
      </c>
      <c r="AG1781" s="47" t="s">
        <v>7269</v>
      </c>
    </row>
    <row r="1782" spans="1:33" ht="6.9" customHeight="1" x14ac:dyDescent="0.4">
      <c r="A1782" s="4">
        <f>ROW()</f>
        <v>1782</v>
      </c>
      <c r="B1782" s="9" t="s">
        <v>27</v>
      </c>
      <c r="C1782" s="55" t="str">
        <f t="shared" si="711"/>
        <v>p.sensorizar</v>
      </c>
      <c r="D1782" s="6" t="str">
        <f t="shared" si="709"/>
        <v>é.sensor.ultrasônico</v>
      </c>
      <c r="E1782" s="8" t="s">
        <v>28</v>
      </c>
      <c r="F1782" s="42" t="str">
        <f>F1780</f>
        <v>d.sensorizar</v>
      </c>
      <c r="G1782" s="41" t="s">
        <v>6979</v>
      </c>
      <c r="H1782" s="41" t="s">
        <v>2121</v>
      </c>
      <c r="I1782" s="16" t="str">
        <f t="shared" si="71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697"/>
        <v>Propriedade destinada a sensorizar: é.sensor.ultrasônico</v>
      </c>
      <c r="V1782" s="5" t="str">
        <f t="shared" si="698"/>
        <v>Dado para sensorizar:  sensor.ultrasônico  Deve ser formatado como (rdfs:Literal  or  xsd:string)</v>
      </c>
      <c r="W1782" s="5" t="s">
        <v>6408</v>
      </c>
      <c r="X1782" s="24" t="str">
        <f t="shared" si="702"/>
        <v>senso.122</v>
      </c>
      <c r="Y1782" s="24" t="str">
        <f t="shared" si="703"/>
        <v>Ação de sensorizar</v>
      </c>
      <c r="Z1782" s="47" t="s">
        <v>3995</v>
      </c>
      <c r="AA1782" s="25" t="str">
        <f t="shared" si="720"/>
        <v>categoria.revit</v>
      </c>
      <c r="AB1782" s="26" t="s">
        <v>3526</v>
      </c>
      <c r="AC1782" s="25" t="str">
        <f t="shared" si="721"/>
        <v>classe.ifc</v>
      </c>
      <c r="AD1782" s="26" t="s">
        <v>3478</v>
      </c>
      <c r="AE1782" s="25" t="str">
        <f t="shared" si="710"/>
        <v>null</v>
      </c>
      <c r="AF1782" s="26" t="s">
        <v>0</v>
      </c>
      <c r="AG1782" s="47" t="s">
        <v>4055</v>
      </c>
    </row>
    <row r="1783" spans="1:33" ht="6.9" customHeight="1" x14ac:dyDescent="0.4">
      <c r="A1783" s="4">
        <f>ROW()</f>
        <v>1783</v>
      </c>
      <c r="B1783" s="9" t="s">
        <v>27</v>
      </c>
      <c r="C1783" s="54" t="str">
        <f t="shared" si="711"/>
        <v>p.separar</v>
      </c>
      <c r="D1783" s="6" t="str">
        <f t="shared" si="709"/>
        <v>é.bloco.concreto</v>
      </c>
      <c r="E1783" s="8" t="s">
        <v>28</v>
      </c>
      <c r="F1783" s="51" t="s">
        <v>3631</v>
      </c>
      <c r="G1783" s="17" t="s">
        <v>4328</v>
      </c>
      <c r="H1783" s="41" t="s">
        <v>2121</v>
      </c>
      <c r="I1783" s="16" t="str">
        <f t="shared" si="716"/>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697"/>
        <v>Propriedade destinada a separar: é.bloco.concreto</v>
      </c>
      <c r="V1783" s="5" t="str">
        <f t="shared" si="698"/>
        <v>Dado para separar:  bloco.concreto  Deve ser formatado como (rdfs:Literal  or  xsd:string)</v>
      </c>
      <c r="W1783" s="5" t="s">
        <v>7458</v>
      </c>
      <c r="X1783" s="24" t="str">
        <f t="shared" si="702"/>
        <v>separ.100</v>
      </c>
      <c r="Y1783" s="24" t="str">
        <f t="shared" si="703"/>
        <v>Ação de separar</v>
      </c>
      <c r="Z1783" s="47" t="s">
        <v>7004</v>
      </c>
      <c r="AA1783" s="25" t="str">
        <f t="shared" si="720"/>
        <v>categoria.revit</v>
      </c>
      <c r="AB1783" s="26" t="s">
        <v>3528</v>
      </c>
      <c r="AC1783" s="25" t="str">
        <f t="shared" si="721"/>
        <v>classe.ifc</v>
      </c>
      <c r="AD1783" s="26" t="s">
        <v>3480</v>
      </c>
      <c r="AE1783" s="25" t="str">
        <f t="shared" si="710"/>
        <v>null</v>
      </c>
      <c r="AF1783" s="26" t="s">
        <v>0</v>
      </c>
      <c r="AG1783" s="47" t="s">
        <v>3249</v>
      </c>
    </row>
    <row r="1784" spans="1:33" ht="6.9" customHeight="1" x14ac:dyDescent="0.4">
      <c r="A1784" s="4">
        <f>ROW()</f>
        <v>1784</v>
      </c>
      <c r="B1784" s="9" t="s">
        <v>27</v>
      </c>
      <c r="C1784" s="55" t="str">
        <f>SUBSTITUTE(F1784,"d.","p.")</f>
        <v>p.separar</v>
      </c>
      <c r="D1784" s="6" t="str">
        <f t="shared" si="709"/>
        <v>é.bloco.sílico.calcário</v>
      </c>
      <c r="E1784" s="8" t="s">
        <v>28</v>
      </c>
      <c r="F1784" s="42" t="str">
        <f>F1783</f>
        <v>d.separar</v>
      </c>
      <c r="G1784" s="17" t="s">
        <v>4329</v>
      </c>
      <c r="H1784" s="41" t="s">
        <v>2121</v>
      </c>
      <c r="I1784" s="16" t="str">
        <f t="shared" si="716"/>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697"/>
        <v>Propriedade destinada a separar: é.bloco.sílico.calcário</v>
      </c>
      <c r="V1784" s="5" t="str">
        <f t="shared" si="698"/>
        <v>Dado para separar:  bloco.sílico.calcário  Deve ser formatado como (rdfs:Literal  or  xsd:string)</v>
      </c>
      <c r="W1784" s="5" t="s">
        <v>7459</v>
      </c>
      <c r="X1784" s="24" t="str">
        <f t="shared" si="702"/>
        <v>separ.101</v>
      </c>
      <c r="Y1784" s="24" t="str">
        <f t="shared" si="703"/>
        <v>Ação de separar</v>
      </c>
      <c r="Z1784" s="47" t="s">
        <v>7005</v>
      </c>
      <c r="AA1784" s="25" t="str">
        <f t="shared" si="720"/>
        <v>categoria.revit</v>
      </c>
      <c r="AB1784" s="26" t="s">
        <v>3528</v>
      </c>
      <c r="AC1784" s="25" t="str">
        <f t="shared" si="721"/>
        <v>classe.ifc</v>
      </c>
      <c r="AD1784" s="26" t="s">
        <v>3480</v>
      </c>
      <c r="AE1784" s="25" t="str">
        <f t="shared" si="710"/>
        <v>null</v>
      </c>
      <c r="AF1784" s="26" t="s">
        <v>0</v>
      </c>
      <c r="AG1784" s="47" t="s">
        <v>3250</v>
      </c>
    </row>
    <row r="1785" spans="1:33" ht="6.9" customHeight="1" x14ac:dyDescent="0.4">
      <c r="A1785" s="4">
        <f>ROW()</f>
        <v>1785</v>
      </c>
      <c r="B1785" s="9" t="s">
        <v>27</v>
      </c>
      <c r="C1785" s="55" t="str">
        <f t="shared" ref="C1785:C1808" si="722">SUBSTITUTE(F1785,"d.","p.")</f>
        <v>p.separar</v>
      </c>
      <c r="D1785" s="6" t="str">
        <f t="shared" si="709"/>
        <v>é.divisória.drywall</v>
      </c>
      <c r="E1785" s="8" t="s">
        <v>28</v>
      </c>
      <c r="F1785" s="42" t="str">
        <f t="shared" ref="F1785:F1796" si="723">F1784</f>
        <v>d.separar</v>
      </c>
      <c r="G1785" s="17" t="s">
        <v>4330</v>
      </c>
      <c r="H1785" s="41" t="s">
        <v>2121</v>
      </c>
      <c r="I1785" s="16" t="str">
        <f t="shared" si="716"/>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697"/>
        <v>Propriedade destinada a separar: é.divisória.drywall</v>
      </c>
      <c r="V1785" s="5" t="str">
        <f t="shared" si="698"/>
        <v>Dado para separar:  divisória.drywall  Deve ser formatado como (rdfs:Literal  or  xsd:string)</v>
      </c>
      <c r="W1785" s="5" t="s">
        <v>7460</v>
      </c>
      <c r="X1785" s="24" t="str">
        <f t="shared" si="702"/>
        <v>separ.102</v>
      </c>
      <c r="Y1785" s="24" t="str">
        <f t="shared" si="703"/>
        <v>Ação de separar</v>
      </c>
      <c r="Z1785" s="47" t="s">
        <v>7006</v>
      </c>
      <c r="AA1785" s="25" t="str">
        <f t="shared" si="720"/>
        <v>categoria.revit</v>
      </c>
      <c r="AB1785" s="26" t="s">
        <v>3527</v>
      </c>
      <c r="AC1785" s="25" t="str">
        <f t="shared" si="721"/>
        <v>classe.ifc</v>
      </c>
      <c r="AD1785" s="26" t="s">
        <v>3479</v>
      </c>
      <c r="AE1785" s="25" t="str">
        <f t="shared" si="710"/>
        <v>null</v>
      </c>
      <c r="AF1785" s="26" t="s">
        <v>0</v>
      </c>
      <c r="AG1785" s="47" t="s">
        <v>3251</v>
      </c>
    </row>
    <row r="1786" spans="1:33" ht="6.9" customHeight="1" x14ac:dyDescent="0.4">
      <c r="A1786" s="4">
        <f>ROW()</f>
        <v>1786</v>
      </c>
      <c r="B1786" s="9" t="s">
        <v>27</v>
      </c>
      <c r="C1786" s="55" t="str">
        <f t="shared" si="722"/>
        <v>p.separar</v>
      </c>
      <c r="D1786" s="6" t="str">
        <f t="shared" si="709"/>
        <v>é.divisória.naval</v>
      </c>
      <c r="E1786" s="8" t="s">
        <v>28</v>
      </c>
      <c r="F1786" s="42" t="str">
        <f t="shared" si="723"/>
        <v>d.separar</v>
      </c>
      <c r="G1786" s="17" t="s">
        <v>4331</v>
      </c>
      <c r="H1786" s="41" t="s">
        <v>2121</v>
      </c>
      <c r="I1786" s="16" t="str">
        <f t="shared" si="716"/>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697"/>
        <v>Propriedade destinada a separar: é.divisória.naval</v>
      </c>
      <c r="V1786" s="5" t="str">
        <f t="shared" si="698"/>
        <v>Dado para separar:  divisória.naval  Deve ser formatado como (rdfs:Literal  or  xsd:string)</v>
      </c>
      <c r="W1786" s="5" t="s">
        <v>7461</v>
      </c>
      <c r="X1786" s="24" t="str">
        <f t="shared" si="702"/>
        <v>separ.103</v>
      </c>
      <c r="Y1786" s="24" t="str">
        <f t="shared" si="703"/>
        <v>Ação de separar</v>
      </c>
      <c r="Z1786" s="47" t="s">
        <v>7003</v>
      </c>
      <c r="AA1786" s="25" t="str">
        <f t="shared" si="720"/>
        <v>categoria.revit</v>
      </c>
      <c r="AB1786" s="26" t="s">
        <v>3527</v>
      </c>
      <c r="AC1786" s="25" t="str">
        <f t="shared" si="721"/>
        <v>classe.ifc</v>
      </c>
      <c r="AD1786" s="26" t="s">
        <v>3479</v>
      </c>
      <c r="AE1786" s="25" t="str">
        <f t="shared" si="710"/>
        <v>null</v>
      </c>
      <c r="AF1786" s="26" t="s">
        <v>0</v>
      </c>
      <c r="AG1786" s="47" t="s">
        <v>3252</v>
      </c>
    </row>
    <row r="1787" spans="1:33" ht="6.9" customHeight="1" x14ac:dyDescent="0.4">
      <c r="A1787" s="4">
        <f>ROW()</f>
        <v>1787</v>
      </c>
      <c r="B1787" s="9" t="s">
        <v>27</v>
      </c>
      <c r="C1787" s="55" t="str">
        <f t="shared" si="722"/>
        <v>p.separar</v>
      </c>
      <c r="D1787" s="6" t="str">
        <f t="shared" si="709"/>
        <v>é.grade</v>
      </c>
      <c r="E1787" s="8" t="s">
        <v>28</v>
      </c>
      <c r="F1787" s="42" t="str">
        <f t="shared" si="723"/>
        <v>d.separar</v>
      </c>
      <c r="G1787" s="17" t="s">
        <v>4332</v>
      </c>
      <c r="H1787" s="42" t="s">
        <v>2121</v>
      </c>
      <c r="I1787" s="16" t="str">
        <f t="shared" si="716"/>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697"/>
        <v>Propriedade destinada a separar: é.grade</v>
      </c>
      <c r="V1787" s="5" t="str">
        <f t="shared" si="698"/>
        <v>Dado para separar:  grade  Deve ser formatado como (rdfs:Literal  or  xsd:string)</v>
      </c>
      <c r="W1787" s="5" t="s">
        <v>6410</v>
      </c>
      <c r="X1787" s="24" t="str">
        <f t="shared" si="702"/>
        <v>separ.104</v>
      </c>
      <c r="Y1787" s="24" t="str">
        <f t="shared" si="703"/>
        <v>Ação de separar</v>
      </c>
      <c r="Z1787" s="47" t="s">
        <v>3998</v>
      </c>
      <c r="AA1787" s="25" t="str">
        <f t="shared" si="720"/>
        <v>categoria.revit</v>
      </c>
      <c r="AB1787" s="26" t="s">
        <v>3527</v>
      </c>
      <c r="AC1787" s="25" t="str">
        <f t="shared" si="721"/>
        <v>classe.ifc</v>
      </c>
      <c r="AD1787" s="26" t="s">
        <v>3479</v>
      </c>
      <c r="AE1787" s="25" t="str">
        <f t="shared" si="710"/>
        <v>null</v>
      </c>
      <c r="AF1787" s="26" t="s">
        <v>0</v>
      </c>
      <c r="AG1787" s="47" t="s">
        <v>4058</v>
      </c>
    </row>
    <row r="1788" spans="1:33" ht="6.9" customHeight="1" x14ac:dyDescent="0.4">
      <c r="A1788" s="4">
        <f>ROW()</f>
        <v>1788</v>
      </c>
      <c r="B1788" s="9" t="s">
        <v>27</v>
      </c>
      <c r="C1788" s="55" t="str">
        <f t="shared" si="722"/>
        <v>p.separar</v>
      </c>
      <c r="D1788" s="6" t="str">
        <f t="shared" si="709"/>
        <v>é.grade.aramada</v>
      </c>
      <c r="E1788" s="8" t="s">
        <v>28</v>
      </c>
      <c r="F1788" s="42" t="str">
        <f t="shared" si="723"/>
        <v>d.separar</v>
      </c>
      <c r="G1788" s="17" t="s">
        <v>4333</v>
      </c>
      <c r="H1788" s="41" t="s">
        <v>2121</v>
      </c>
      <c r="I1788" s="16" t="str">
        <f t="shared" si="716"/>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697"/>
        <v>Propriedade destinada a separar: é.grade.aramada</v>
      </c>
      <c r="V1788" s="5" t="str">
        <f t="shared" si="698"/>
        <v>Dado para separar:  grade.aramada  Deve ser formatado como (rdfs:Literal  or  xsd:string)</v>
      </c>
      <c r="W1788" s="5" t="s">
        <v>7454</v>
      </c>
      <c r="X1788" s="24" t="str">
        <f t="shared" si="702"/>
        <v>separ.105</v>
      </c>
      <c r="Y1788" s="24" t="str">
        <f t="shared" si="703"/>
        <v>Ação de separar</v>
      </c>
      <c r="Z1788" s="47" t="s">
        <v>7002</v>
      </c>
      <c r="AA1788" s="25" t="str">
        <f t="shared" si="720"/>
        <v>categoria.revit</v>
      </c>
      <c r="AB1788" s="26" t="s">
        <v>3527</v>
      </c>
      <c r="AC1788" s="25" t="str">
        <f t="shared" si="721"/>
        <v>classe.ifc</v>
      </c>
      <c r="AD1788" s="26" t="s">
        <v>3479</v>
      </c>
      <c r="AE1788" s="25" t="str">
        <f t="shared" si="710"/>
        <v>null</v>
      </c>
      <c r="AF1788" s="26" t="s">
        <v>0</v>
      </c>
      <c r="AG1788" s="47" t="s">
        <v>3254</v>
      </c>
    </row>
    <row r="1789" spans="1:33" ht="6.9" customHeight="1" x14ac:dyDescent="0.4">
      <c r="A1789" s="4">
        <f>ROW()</f>
        <v>1789</v>
      </c>
      <c r="B1789" s="9" t="s">
        <v>27</v>
      </c>
      <c r="C1789" s="55" t="str">
        <f t="shared" si="722"/>
        <v>p.separar</v>
      </c>
      <c r="D1789" s="6" t="str">
        <f t="shared" si="709"/>
        <v>é.grade.de.barras</v>
      </c>
      <c r="E1789" s="8" t="s">
        <v>28</v>
      </c>
      <c r="F1789" s="42" t="str">
        <f t="shared" si="723"/>
        <v>d.separar</v>
      </c>
      <c r="G1789" s="17" t="s">
        <v>4334</v>
      </c>
      <c r="H1789" s="41" t="s">
        <v>2121</v>
      </c>
      <c r="I1789" s="16" t="str">
        <f t="shared" si="716"/>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697"/>
        <v>Propriedade destinada a separar: é.grade.de.barras</v>
      </c>
      <c r="V1789" s="5" t="str">
        <f t="shared" si="698"/>
        <v>Dado para separar:  grade.de.barras  Deve ser formatado como (rdfs:Literal  or  xsd:string)</v>
      </c>
      <c r="W1789" s="5" t="s">
        <v>7455</v>
      </c>
      <c r="X1789" s="24" t="str">
        <f t="shared" si="702"/>
        <v>separ.106</v>
      </c>
      <c r="Y1789" s="24" t="str">
        <f t="shared" si="703"/>
        <v>Ação de separar</v>
      </c>
      <c r="Z1789" s="47" t="s">
        <v>7001</v>
      </c>
      <c r="AA1789" s="25" t="str">
        <f t="shared" si="720"/>
        <v>categoria.revit</v>
      </c>
      <c r="AB1789" s="26" t="s">
        <v>3527</v>
      </c>
      <c r="AC1789" s="25" t="str">
        <f t="shared" si="721"/>
        <v>classe.ifc</v>
      </c>
      <c r="AD1789" s="26" t="s">
        <v>3479</v>
      </c>
      <c r="AE1789" s="25" t="str">
        <f t="shared" si="710"/>
        <v>null</v>
      </c>
      <c r="AF1789" s="26" t="s">
        <v>0</v>
      </c>
      <c r="AG1789" s="47" t="s">
        <v>3255</v>
      </c>
    </row>
    <row r="1790" spans="1:33" ht="6.9" customHeight="1" x14ac:dyDescent="0.4">
      <c r="A1790" s="4">
        <f>ROW()</f>
        <v>1790</v>
      </c>
      <c r="B1790" s="9" t="s">
        <v>27</v>
      </c>
      <c r="C1790" s="55" t="str">
        <f t="shared" si="722"/>
        <v>p.separar</v>
      </c>
      <c r="D1790" s="6" t="str">
        <f t="shared" si="709"/>
        <v>é.grade.decorativa</v>
      </c>
      <c r="E1790" s="8" t="s">
        <v>28</v>
      </c>
      <c r="F1790" s="42" t="str">
        <f t="shared" si="723"/>
        <v>d.separar</v>
      </c>
      <c r="G1790" s="17" t="s">
        <v>4335</v>
      </c>
      <c r="H1790" s="41" t="s">
        <v>2121</v>
      </c>
      <c r="I1790" s="16" t="str">
        <f t="shared" si="716"/>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697"/>
        <v>Propriedade destinada a separar: é.grade.decorativa</v>
      </c>
      <c r="V1790" s="5" t="str">
        <f t="shared" si="698"/>
        <v>Dado para separar:  grade.decorativa  Deve ser formatado como (rdfs:Literal  or  xsd:string)</v>
      </c>
      <c r="W1790" s="5" t="s">
        <v>7456</v>
      </c>
      <c r="X1790" s="24" t="str">
        <f t="shared" si="702"/>
        <v>separ.107</v>
      </c>
      <c r="Y1790" s="24" t="str">
        <f t="shared" si="703"/>
        <v>Ação de separar</v>
      </c>
      <c r="Z1790" s="47" t="s">
        <v>7000</v>
      </c>
      <c r="AA1790" s="25" t="str">
        <f t="shared" si="720"/>
        <v>categoria.revit</v>
      </c>
      <c r="AB1790" s="26" t="s">
        <v>3527</v>
      </c>
      <c r="AC1790" s="25" t="str">
        <f t="shared" si="721"/>
        <v>classe.ifc</v>
      </c>
      <c r="AD1790" s="26" t="s">
        <v>3479</v>
      </c>
      <c r="AE1790" s="25" t="str">
        <f t="shared" si="710"/>
        <v>null</v>
      </c>
      <c r="AF1790" s="26" t="s">
        <v>0</v>
      </c>
      <c r="AG1790" s="47" t="s">
        <v>3256</v>
      </c>
    </row>
    <row r="1791" spans="1:33" ht="6.9" customHeight="1" x14ac:dyDescent="0.4">
      <c r="A1791" s="4">
        <f>ROW()</f>
        <v>1791</v>
      </c>
      <c r="B1791" s="9" t="s">
        <v>27</v>
      </c>
      <c r="C1791" s="55" t="str">
        <f t="shared" si="722"/>
        <v>p.separar</v>
      </c>
      <c r="D1791" s="6" t="str">
        <f t="shared" si="709"/>
        <v>é.grade.prisional</v>
      </c>
      <c r="E1791" s="8" t="s">
        <v>28</v>
      </c>
      <c r="F1791" s="42" t="str">
        <f t="shared" si="723"/>
        <v>d.separar</v>
      </c>
      <c r="G1791" s="17" t="s">
        <v>4336</v>
      </c>
      <c r="H1791" s="41" t="s">
        <v>2121</v>
      </c>
      <c r="I1791" s="16" t="str">
        <f t="shared" si="716"/>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697"/>
        <v>Propriedade destinada a separar: é.grade.prisional</v>
      </c>
      <c r="V1791" s="5" t="str">
        <f t="shared" si="698"/>
        <v>Dado para separar:  grade.prisional  Deve ser formatado como (rdfs:Literal  or  xsd:string)</v>
      </c>
      <c r="W1791" s="5" t="s">
        <v>7457</v>
      </c>
      <c r="X1791" s="24" t="str">
        <f t="shared" si="702"/>
        <v>separ.108</v>
      </c>
      <c r="Y1791" s="24" t="str">
        <f t="shared" si="703"/>
        <v>Ação de separar</v>
      </c>
      <c r="Z1791" s="47" t="s">
        <v>6999</v>
      </c>
      <c r="AA1791" s="25" t="str">
        <f t="shared" si="720"/>
        <v>categoria.revit</v>
      </c>
      <c r="AB1791" s="26" t="s">
        <v>3527</v>
      </c>
      <c r="AC1791" s="25" t="str">
        <f t="shared" si="721"/>
        <v>classe.ifc</v>
      </c>
      <c r="AD1791" s="26" t="s">
        <v>3479</v>
      </c>
      <c r="AE1791" s="25" t="str">
        <f t="shared" si="710"/>
        <v>null</v>
      </c>
      <c r="AF1791" s="26" t="s">
        <v>0</v>
      </c>
      <c r="AG1791" s="47" t="s">
        <v>3257</v>
      </c>
    </row>
    <row r="1792" spans="1:33" ht="6.9" customHeight="1" x14ac:dyDescent="0.4">
      <c r="A1792" s="4">
        <f>ROW()</f>
        <v>1792</v>
      </c>
      <c r="B1792" s="9" t="s">
        <v>27</v>
      </c>
      <c r="C1792" s="55" t="str">
        <f t="shared" si="722"/>
        <v>p.separar</v>
      </c>
      <c r="D1792" s="6" t="str">
        <f t="shared" si="709"/>
        <v>é.parede</v>
      </c>
      <c r="E1792" s="8" t="s">
        <v>28</v>
      </c>
      <c r="F1792" s="42" t="str">
        <f t="shared" si="723"/>
        <v>d.separar</v>
      </c>
      <c r="G1792" s="17" t="s">
        <v>4337</v>
      </c>
      <c r="H1792" s="42" t="s">
        <v>2121</v>
      </c>
      <c r="I1792" s="16" t="str">
        <f t="shared" si="716"/>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697"/>
        <v>Propriedade destinada a separar: é.parede</v>
      </c>
      <c r="V1792" s="5" t="str">
        <f t="shared" si="698"/>
        <v>Dado para separar:  parede  Deve ser formatado como (rdfs:Literal  or  xsd:string)</v>
      </c>
      <c r="W1792" s="5" t="s">
        <v>6411</v>
      </c>
      <c r="X1792" s="24" t="str">
        <f t="shared" si="702"/>
        <v>separ.109</v>
      </c>
      <c r="Y1792" s="24" t="str">
        <f t="shared" si="703"/>
        <v>Ação de separar</v>
      </c>
      <c r="Z1792" s="47" t="s">
        <v>3997</v>
      </c>
      <c r="AA1792" s="25" t="str">
        <f t="shared" si="720"/>
        <v>categoria.revit</v>
      </c>
      <c r="AB1792" s="26" t="s">
        <v>3527</v>
      </c>
      <c r="AC1792" s="25" t="str">
        <f t="shared" si="721"/>
        <v>classe.ifc</v>
      </c>
      <c r="AD1792" s="26" t="s">
        <v>3479</v>
      </c>
      <c r="AE1792" s="25" t="str">
        <f t="shared" si="710"/>
        <v>null</v>
      </c>
      <c r="AF1792" s="26" t="s">
        <v>0</v>
      </c>
      <c r="AG1792" s="47" t="s">
        <v>4057</v>
      </c>
    </row>
    <row r="1793" spans="1:33" ht="6.9" customHeight="1" x14ac:dyDescent="0.4">
      <c r="A1793" s="4">
        <f>ROW()</f>
        <v>1793</v>
      </c>
      <c r="B1793" s="9" t="s">
        <v>27</v>
      </c>
      <c r="C1793" s="55" t="str">
        <f t="shared" si="722"/>
        <v>p.separar</v>
      </c>
      <c r="D1793" s="6" t="str">
        <f t="shared" si="709"/>
        <v>é.parede.hidráulica</v>
      </c>
      <c r="E1793" s="8" t="s">
        <v>28</v>
      </c>
      <c r="F1793" s="42" t="str">
        <f t="shared" si="723"/>
        <v>d.separar</v>
      </c>
      <c r="G1793" s="17" t="s">
        <v>4338</v>
      </c>
      <c r="H1793" s="41" t="s">
        <v>2121</v>
      </c>
      <c r="I1793" s="16" t="str">
        <f>J1793</f>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697"/>
        <v>Propriedade destinada a separar: é.parede.hidráulica</v>
      </c>
      <c r="V1793" s="5" t="str">
        <f t="shared" si="698"/>
        <v>Dado para separar:  parede.hidráulica  Deve ser formatado como (rdfs:Literal  or  xsd:string)</v>
      </c>
      <c r="W1793" s="5" t="s">
        <v>7450</v>
      </c>
      <c r="X1793" s="24" t="str">
        <f t="shared" si="702"/>
        <v>separ.110</v>
      </c>
      <c r="Y1793" s="24" t="str">
        <f t="shared" si="703"/>
        <v>Ação de separar</v>
      </c>
      <c r="Z1793" s="47" t="s">
        <v>6995</v>
      </c>
      <c r="AA1793" s="25" t="str">
        <f>IF(AB1793="null", "null", "categoria.revit")</f>
        <v>categoria.revit</v>
      </c>
      <c r="AB1793" s="26" t="s">
        <v>3527</v>
      </c>
      <c r="AC1793" s="25" t="str">
        <f>IF(AD1793="null", "null", "classe.ifc")</f>
        <v>classe.ifc</v>
      </c>
      <c r="AD1793" s="26" t="s">
        <v>3479</v>
      </c>
      <c r="AE1793" s="25" t="str">
        <f t="shared" si="710"/>
        <v>null</v>
      </c>
      <c r="AF1793" s="26" t="s">
        <v>0</v>
      </c>
      <c r="AG1793" s="47" t="s">
        <v>3253</v>
      </c>
    </row>
    <row r="1794" spans="1:33" ht="6.9" customHeight="1" x14ac:dyDescent="0.4">
      <c r="A1794" s="4">
        <f>ROW()</f>
        <v>1794</v>
      </c>
      <c r="B1794" s="9" t="s">
        <v>27</v>
      </c>
      <c r="C1794" s="55" t="str">
        <f t="shared" si="722"/>
        <v>p.separar</v>
      </c>
      <c r="D1794" s="6" t="str">
        <f t="shared" si="709"/>
        <v>é.tijolo.comum</v>
      </c>
      <c r="E1794" s="8" t="s">
        <v>28</v>
      </c>
      <c r="F1794" s="42" t="str">
        <f t="shared" si="723"/>
        <v>d.separar</v>
      </c>
      <c r="G1794" s="17" t="s">
        <v>4339</v>
      </c>
      <c r="H1794" s="41" t="s">
        <v>2121</v>
      </c>
      <c r="I1794" s="16" t="str">
        <f>J1794</f>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57" si="724">_xlfn.CONCAT("Propriedade destinada a ",MID(C1794,FIND("p.",C1794,1)+2,100),": ",D1794)</f>
        <v>Propriedade destinada a separar: é.tijolo.comum</v>
      </c>
      <c r="V1794" s="5" t="str">
        <f t="shared" ref="V1794:V1857" si="725">_xlfn.CONCAT("Dado para ",MID(F1794,FIND("d.",F1794,1)+2,100),":  ",G1794, "  Deve ser formatado como (",H1794, ")")</f>
        <v>Dado para separar:  tijolo.comum  Deve ser formatado como (rdfs:Literal  or  xsd:string)</v>
      </c>
      <c r="W1794" s="5" t="s">
        <v>7451</v>
      </c>
      <c r="X1794" s="24" t="str">
        <f t="shared" si="702"/>
        <v>separ.111</v>
      </c>
      <c r="Y1794" s="24" t="str">
        <f t="shared" si="703"/>
        <v>Ação de separar</v>
      </c>
      <c r="Z1794" s="47" t="s">
        <v>6998</v>
      </c>
      <c r="AA1794" s="25" t="str">
        <f>IF(AB1794="null", "null", "categoria.revit")</f>
        <v>categoria.revit</v>
      </c>
      <c r="AB1794" s="26" t="s">
        <v>3528</v>
      </c>
      <c r="AC1794" s="25" t="str">
        <f>IF(AD1794="null", "null", "classe.ifc")</f>
        <v>classe.ifc</v>
      </c>
      <c r="AD1794" s="26" t="s">
        <v>3480</v>
      </c>
      <c r="AE1794" s="25" t="str">
        <f t="shared" si="710"/>
        <v>null</v>
      </c>
      <c r="AF1794" s="26" t="s">
        <v>0</v>
      </c>
      <c r="AG1794" s="47" t="s">
        <v>3246</v>
      </c>
    </row>
    <row r="1795" spans="1:33" ht="6.9" customHeight="1" x14ac:dyDescent="0.4">
      <c r="A1795" s="4">
        <f>ROW()</f>
        <v>1795</v>
      </c>
      <c r="B1795" s="9" t="s">
        <v>27</v>
      </c>
      <c r="C1795" s="55" t="str">
        <f t="shared" si="722"/>
        <v>p.separar</v>
      </c>
      <c r="D1795" s="6" t="str">
        <f t="shared" si="709"/>
        <v>é.tijolo.de.vidro</v>
      </c>
      <c r="E1795" s="8" t="s">
        <v>28</v>
      </c>
      <c r="F1795" s="42" t="str">
        <f t="shared" si="723"/>
        <v>d.separar</v>
      </c>
      <c r="G1795" s="17" t="s">
        <v>4340</v>
      </c>
      <c r="H1795" s="41" t="s">
        <v>2121</v>
      </c>
      <c r="I1795" s="16" t="str">
        <f>J1795</f>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24"/>
        <v>Propriedade destinada a separar: é.tijolo.de.vidro</v>
      </c>
      <c r="V1795" s="5" t="str">
        <f t="shared" si="725"/>
        <v>Dado para separar:  tijolo.de.vidro  Deve ser formatado como (rdfs:Literal  or  xsd:string)</v>
      </c>
      <c r="W1795" s="5" t="s">
        <v>7452</v>
      </c>
      <c r="X1795" s="24" t="str">
        <f t="shared" ref="X1795:X1858" si="726">IF(F1794&lt;&gt;F1795,_xlfn.CONCAT(RIGHT(LEFT(F1795,7),5),".100"),_xlfn.CONCAT(RIGHT(LEFT(F1795,7),5),".",SUM(VALUE(RIGHT(X1794,3)),1)))</f>
        <v>separ.112</v>
      </c>
      <c r="Y1795" s="24" t="str">
        <f t="shared" ref="Y1795:Y1858" si="727">_xlfn.CONCAT("Ação de ", SUBSTITUTE(F1795, "d.",  ""))</f>
        <v>Ação de separar</v>
      </c>
      <c r="Z1795" s="47" t="s">
        <v>6996</v>
      </c>
      <c r="AA1795" s="25" t="str">
        <f>IF(AB1795="null", "null", "categoria.revit")</f>
        <v>categoria.revit</v>
      </c>
      <c r="AB1795" s="26" t="s">
        <v>3528</v>
      </c>
      <c r="AC1795" s="25" t="str">
        <f>IF(AD1795="null", "null", "classe.ifc")</f>
        <v>classe.ifc</v>
      </c>
      <c r="AD1795" s="26" t="s">
        <v>3480</v>
      </c>
      <c r="AE1795" s="25" t="str">
        <f t="shared" si="710"/>
        <v>null</v>
      </c>
      <c r="AF1795" s="26" t="s">
        <v>0</v>
      </c>
      <c r="AG1795" s="47" t="s">
        <v>3248</v>
      </c>
    </row>
    <row r="1796" spans="1:33" ht="6.9" customHeight="1" x14ac:dyDescent="0.4">
      <c r="A1796" s="4">
        <f>ROW()</f>
        <v>1796</v>
      </c>
      <c r="B1796" s="9" t="s">
        <v>27</v>
      </c>
      <c r="C1796" s="55" t="str">
        <f t="shared" si="722"/>
        <v>p.separar</v>
      </c>
      <c r="D1796" s="6" t="str">
        <f t="shared" si="709"/>
        <v>é.tijolo.furado</v>
      </c>
      <c r="E1796" s="8" t="s">
        <v>28</v>
      </c>
      <c r="F1796" s="42" t="str">
        <f t="shared" si="723"/>
        <v>d.separar</v>
      </c>
      <c r="G1796" s="17" t="s">
        <v>4341</v>
      </c>
      <c r="H1796" s="41" t="s">
        <v>2121</v>
      </c>
      <c r="I1796" s="16" t="str">
        <f>J1796</f>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24"/>
        <v>Propriedade destinada a separar: é.tijolo.furado</v>
      </c>
      <c r="V1796" s="5" t="str">
        <f t="shared" si="725"/>
        <v>Dado para separar:  tijolo.furado  Deve ser formatado como (rdfs:Literal  or  xsd:string)</v>
      </c>
      <c r="W1796" s="5" t="s">
        <v>7453</v>
      </c>
      <c r="X1796" s="24" t="str">
        <f t="shared" si="726"/>
        <v>separ.113</v>
      </c>
      <c r="Y1796" s="24" t="str">
        <f t="shared" si="727"/>
        <v>Ação de separar</v>
      </c>
      <c r="Z1796" s="47" t="s">
        <v>6997</v>
      </c>
      <c r="AA1796" s="25" t="str">
        <f>IF(AB1796="null", "null", "categoria.revit")</f>
        <v>categoria.revit</v>
      </c>
      <c r="AB1796" s="26" t="s">
        <v>3528</v>
      </c>
      <c r="AC1796" s="25" t="str">
        <f>IF(AD1796="null", "null", "classe.ifc")</f>
        <v>classe.ifc</v>
      </c>
      <c r="AD1796" s="26" t="s">
        <v>3480</v>
      </c>
      <c r="AE1796" s="25" t="str">
        <f t="shared" si="710"/>
        <v>null</v>
      </c>
      <c r="AF1796" s="26" t="s">
        <v>0</v>
      </c>
      <c r="AG1796" s="47" t="s">
        <v>3247</v>
      </c>
    </row>
    <row r="1797" spans="1:33" ht="6.9" customHeight="1" x14ac:dyDescent="0.4">
      <c r="A1797" s="4">
        <f>ROW()</f>
        <v>1797</v>
      </c>
      <c r="B1797" s="9" t="s">
        <v>27</v>
      </c>
      <c r="C1797" s="54" t="str">
        <f t="shared" si="722"/>
        <v>p.sepultar</v>
      </c>
      <c r="D1797" s="6" t="str">
        <f t="shared" si="709"/>
        <v>é.cova</v>
      </c>
      <c r="E1797" s="8" t="s">
        <v>28</v>
      </c>
      <c r="F1797" s="51" t="s">
        <v>4909</v>
      </c>
      <c r="G1797" s="17" t="s">
        <v>4916</v>
      </c>
      <c r="H1797" s="41" t="s">
        <v>2121</v>
      </c>
      <c r="I1797" s="16" t="str">
        <f t="shared" ref="I1797:I1802" si="728">J1797</f>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24"/>
        <v>Propriedade destinada a sepultar: é.cova</v>
      </c>
      <c r="V1797" s="5" t="str">
        <f t="shared" si="725"/>
        <v>Dado para sepultar:  cova  Deve ser formatado como (rdfs:Literal  or  xsd:string)</v>
      </c>
      <c r="W1797" s="5" t="s">
        <v>6412</v>
      </c>
      <c r="X1797" s="24" t="str">
        <f t="shared" si="726"/>
        <v>sepul.100</v>
      </c>
      <c r="Y1797" s="24" t="str">
        <f t="shared" si="727"/>
        <v>Ação de sepultar</v>
      </c>
      <c r="Z1797" s="47" t="s">
        <v>4923</v>
      </c>
      <c r="AA1797" s="25" t="str">
        <f t="shared" ref="AA1797:AA1802" si="729">IF(AB1797="null", "null", "categoria.revit")</f>
        <v>null</v>
      </c>
      <c r="AB1797" s="26" t="s">
        <v>0</v>
      </c>
      <c r="AC1797" s="25" t="str">
        <f t="shared" ref="AC1797:AC1802" si="730">IF(AD1797="null", "null", "classe.ifc")</f>
        <v>null</v>
      </c>
      <c r="AD1797" s="26" t="s">
        <v>0</v>
      </c>
      <c r="AE1797" s="25" t="str">
        <f t="shared" si="710"/>
        <v>null</v>
      </c>
      <c r="AF1797" s="26" t="s">
        <v>0</v>
      </c>
      <c r="AG1797" s="47" t="s">
        <v>4919</v>
      </c>
    </row>
    <row r="1798" spans="1:33" ht="6.9" customHeight="1" x14ac:dyDescent="0.4">
      <c r="A1798" s="4">
        <f>ROW()</f>
        <v>1798</v>
      </c>
      <c r="B1798" s="9" t="s">
        <v>27</v>
      </c>
      <c r="C1798" s="55" t="str">
        <f t="shared" si="722"/>
        <v>p.sepultar</v>
      </c>
      <c r="D1798" s="6" t="str">
        <f t="shared" si="709"/>
        <v>é.jazigo</v>
      </c>
      <c r="E1798" s="8" t="s">
        <v>28</v>
      </c>
      <c r="F1798" s="42" t="str">
        <f>F1797</f>
        <v>d.sepultar</v>
      </c>
      <c r="G1798" s="17" t="s">
        <v>4910</v>
      </c>
      <c r="H1798" s="41" t="s">
        <v>2121</v>
      </c>
      <c r="I1798" s="16" t="str">
        <f t="shared" ref="I1798" si="731">J1798</f>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24"/>
        <v>Propriedade destinada a sepultar: é.jazigo</v>
      </c>
      <c r="V1798" s="5" t="str">
        <f t="shared" si="725"/>
        <v>Dado para sepultar:  jazigo  Deve ser formatado como (rdfs:Literal  or  xsd:string)</v>
      </c>
      <c r="W1798" s="5" t="s">
        <v>6413</v>
      </c>
      <c r="X1798" s="24" t="str">
        <f t="shared" si="726"/>
        <v>sepul.101</v>
      </c>
      <c r="Y1798" s="24" t="str">
        <f t="shared" si="727"/>
        <v>Ação de sepultar</v>
      </c>
      <c r="Z1798" s="47" t="s">
        <v>4924</v>
      </c>
      <c r="AA1798" s="25" t="str">
        <f t="shared" ref="AA1798" si="732">IF(AB1798="null", "null", "categoria.revit")</f>
        <v>null</v>
      </c>
      <c r="AB1798" s="26" t="s">
        <v>0</v>
      </c>
      <c r="AC1798" s="25" t="str">
        <f t="shared" ref="AC1798" si="733">IF(AD1798="null", "null", "classe.ifc")</f>
        <v>null</v>
      </c>
      <c r="AD1798" s="26" t="s">
        <v>0</v>
      </c>
      <c r="AE1798" s="25" t="str">
        <f t="shared" si="710"/>
        <v>null</v>
      </c>
      <c r="AF1798" s="26" t="s">
        <v>0</v>
      </c>
      <c r="AG1798" s="47" t="s">
        <v>4917</v>
      </c>
    </row>
    <row r="1799" spans="1:33" ht="6.9" customHeight="1" x14ac:dyDescent="0.4">
      <c r="A1799" s="4">
        <f>ROW()</f>
        <v>1799</v>
      </c>
      <c r="B1799" s="9" t="s">
        <v>27</v>
      </c>
      <c r="C1799" s="55" t="str">
        <f t="shared" si="722"/>
        <v>p.sepultar</v>
      </c>
      <c r="D1799" s="6" t="str">
        <f t="shared" si="709"/>
        <v>é.lápide</v>
      </c>
      <c r="E1799" s="8" t="s">
        <v>28</v>
      </c>
      <c r="F1799" s="42" t="str">
        <f t="shared" ref="F1799:F1802" si="734">F1798</f>
        <v>d.sepultar</v>
      </c>
      <c r="G1799" s="17" t="s">
        <v>4914</v>
      </c>
      <c r="H1799" s="42" t="s">
        <v>2121</v>
      </c>
      <c r="I1799" s="16" t="str">
        <f t="shared" ref="I1799" si="735">J1799</f>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24"/>
        <v>Propriedade destinada a sepultar: é.lápide</v>
      </c>
      <c r="V1799" s="5" t="str">
        <f t="shared" si="725"/>
        <v>Dado para sepultar:  lápide  Deve ser formatado como (rdfs:Literal  or  xsd:string)</v>
      </c>
      <c r="W1799" s="5" t="s">
        <v>6414</v>
      </c>
      <c r="X1799" s="24" t="str">
        <f t="shared" si="726"/>
        <v>sepul.102</v>
      </c>
      <c r="Y1799" s="24" t="str">
        <f t="shared" si="727"/>
        <v>Ação de sepultar</v>
      </c>
      <c r="Z1799" s="47" t="s">
        <v>4925</v>
      </c>
      <c r="AA1799" s="25" t="str">
        <f t="shared" ref="AA1799" si="736">IF(AB1799="null", "null", "categoria.revit")</f>
        <v>null</v>
      </c>
      <c r="AB1799" s="26" t="s">
        <v>0</v>
      </c>
      <c r="AC1799" s="25" t="str">
        <f t="shared" ref="AC1799" si="737">IF(AD1799="null", "null", "classe.ifc")</f>
        <v>null</v>
      </c>
      <c r="AD1799" s="26" t="s">
        <v>0</v>
      </c>
      <c r="AE1799" s="25" t="str">
        <f t="shared" si="710"/>
        <v>null</v>
      </c>
      <c r="AF1799" s="26" t="s">
        <v>0</v>
      </c>
      <c r="AG1799" s="47" t="s">
        <v>4918</v>
      </c>
    </row>
    <row r="1800" spans="1:33" ht="6.9" customHeight="1" x14ac:dyDescent="0.4">
      <c r="A1800" s="4">
        <f>ROW()</f>
        <v>1800</v>
      </c>
      <c r="B1800" s="9" t="s">
        <v>27</v>
      </c>
      <c r="C1800" s="55" t="str">
        <f>SUBSTITUTE(F1800,"d.","p.")</f>
        <v>p.sepultar</v>
      </c>
      <c r="D1800" s="6" t="str">
        <f t="shared" si="709"/>
        <v>é.urna.de.corpo</v>
      </c>
      <c r="E1800" s="8" t="s">
        <v>28</v>
      </c>
      <c r="F1800" s="42" t="str">
        <f t="shared" si="734"/>
        <v>d.sepultar</v>
      </c>
      <c r="G1800" s="17" t="s">
        <v>4911</v>
      </c>
      <c r="H1800" s="41" t="s">
        <v>2121</v>
      </c>
      <c r="I1800" s="16" t="str">
        <f t="shared" si="728"/>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24"/>
        <v>Propriedade destinada a sepultar: é.urna.de.corpo</v>
      </c>
      <c r="V1800" s="5" t="str">
        <f t="shared" si="725"/>
        <v>Dado para sepultar:  urna.de.corpo  Deve ser formatado como (rdfs:Literal  or  xsd:string)</v>
      </c>
      <c r="W1800" s="5" t="s">
        <v>6415</v>
      </c>
      <c r="X1800" s="24" t="str">
        <f t="shared" si="726"/>
        <v>sepul.103</v>
      </c>
      <c r="Y1800" s="24" t="str">
        <f t="shared" si="727"/>
        <v>Ação de sepultar</v>
      </c>
      <c r="Z1800" s="47" t="s">
        <v>4926</v>
      </c>
      <c r="AA1800" s="25" t="str">
        <f t="shared" si="729"/>
        <v>null</v>
      </c>
      <c r="AB1800" s="26" t="s">
        <v>0</v>
      </c>
      <c r="AC1800" s="25" t="str">
        <f t="shared" si="730"/>
        <v>null</v>
      </c>
      <c r="AD1800" s="26" t="s">
        <v>0</v>
      </c>
      <c r="AE1800" s="25" t="str">
        <f t="shared" si="710"/>
        <v>null</v>
      </c>
      <c r="AF1800" s="26" t="s">
        <v>0</v>
      </c>
      <c r="AG1800" s="47" t="s">
        <v>4920</v>
      </c>
    </row>
    <row r="1801" spans="1:33" ht="6.9" customHeight="1" x14ac:dyDescent="0.4">
      <c r="A1801" s="4">
        <f>ROW()</f>
        <v>1801</v>
      </c>
      <c r="B1801" s="9" t="s">
        <v>27</v>
      </c>
      <c r="C1801" s="55" t="str">
        <f t="shared" ref="C1801:C1802" si="738">SUBSTITUTE(F1801,"d.","p.")</f>
        <v>p.sepultar</v>
      </c>
      <c r="D1801" s="6" t="str">
        <f t="shared" si="709"/>
        <v>é.urna.de.ossos</v>
      </c>
      <c r="E1801" s="8" t="s">
        <v>28</v>
      </c>
      <c r="F1801" s="42" t="str">
        <f t="shared" si="734"/>
        <v>d.sepultar</v>
      </c>
      <c r="G1801" s="17" t="s">
        <v>4912</v>
      </c>
      <c r="H1801" s="41" t="s">
        <v>2121</v>
      </c>
      <c r="I1801" s="16" t="str">
        <f t="shared" si="728"/>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24"/>
        <v>Propriedade destinada a sepultar: é.urna.de.ossos</v>
      </c>
      <c r="V1801" s="5" t="str">
        <f t="shared" si="725"/>
        <v>Dado para sepultar:  urna.de.ossos  Deve ser formatado como (rdfs:Literal  or  xsd:string)</v>
      </c>
      <c r="W1801" s="5" t="s">
        <v>6416</v>
      </c>
      <c r="X1801" s="24" t="str">
        <f t="shared" si="726"/>
        <v>sepul.104</v>
      </c>
      <c r="Y1801" s="24" t="str">
        <f t="shared" si="727"/>
        <v>Ação de sepultar</v>
      </c>
      <c r="Z1801" s="47" t="s">
        <v>4927</v>
      </c>
      <c r="AA1801" s="25" t="str">
        <f t="shared" si="729"/>
        <v>null</v>
      </c>
      <c r="AB1801" s="26" t="s">
        <v>0</v>
      </c>
      <c r="AC1801" s="25" t="str">
        <f t="shared" si="730"/>
        <v>null</v>
      </c>
      <c r="AD1801" s="26" t="s">
        <v>0</v>
      </c>
      <c r="AE1801" s="25" t="str">
        <f t="shared" si="710"/>
        <v>null</v>
      </c>
      <c r="AF1801" s="26" t="s">
        <v>0</v>
      </c>
      <c r="AG1801" s="47" t="s">
        <v>4921</v>
      </c>
    </row>
    <row r="1802" spans="1:33" ht="6.9" customHeight="1" x14ac:dyDescent="0.4">
      <c r="A1802" s="4">
        <f>ROW()</f>
        <v>1802</v>
      </c>
      <c r="B1802" s="9" t="s">
        <v>27</v>
      </c>
      <c r="C1802" s="55" t="str">
        <f t="shared" si="738"/>
        <v>p.sepultar</v>
      </c>
      <c r="D1802" s="6" t="str">
        <f t="shared" si="709"/>
        <v>é.urna.de.cinzas</v>
      </c>
      <c r="E1802" s="8" t="s">
        <v>28</v>
      </c>
      <c r="F1802" s="42" t="str">
        <f t="shared" si="734"/>
        <v>d.sepultar</v>
      </c>
      <c r="G1802" s="17" t="s">
        <v>4913</v>
      </c>
      <c r="H1802" s="41" t="s">
        <v>2121</v>
      </c>
      <c r="I1802" s="16" t="str">
        <f t="shared" si="728"/>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24"/>
        <v>Propriedade destinada a sepultar: é.urna.de.cinzas</v>
      </c>
      <c r="V1802" s="5" t="str">
        <f t="shared" si="725"/>
        <v>Dado para sepultar:  urna.de.cinzas  Deve ser formatado como (rdfs:Literal  or  xsd:string)</v>
      </c>
      <c r="W1802" s="5" t="s">
        <v>6417</v>
      </c>
      <c r="X1802" s="24" t="str">
        <f t="shared" si="726"/>
        <v>sepul.105</v>
      </c>
      <c r="Y1802" s="24" t="str">
        <f t="shared" si="727"/>
        <v>Ação de sepultar</v>
      </c>
      <c r="Z1802" s="47" t="s">
        <v>4928</v>
      </c>
      <c r="AA1802" s="25" t="str">
        <f t="shared" si="729"/>
        <v>null</v>
      </c>
      <c r="AB1802" s="26" t="s">
        <v>0</v>
      </c>
      <c r="AC1802" s="25" t="str">
        <f t="shared" si="730"/>
        <v>null</v>
      </c>
      <c r="AD1802" s="26" t="s">
        <v>0</v>
      </c>
      <c r="AE1802" s="25" t="str">
        <f t="shared" si="710"/>
        <v>null</v>
      </c>
      <c r="AF1802" s="26" t="s">
        <v>0</v>
      </c>
      <c r="AG1802" s="47" t="s">
        <v>4922</v>
      </c>
    </row>
    <row r="1803" spans="1:33" ht="6.9" customHeight="1" x14ac:dyDescent="0.4">
      <c r="A1803" s="4">
        <f>ROW()</f>
        <v>1803</v>
      </c>
      <c r="B1803" s="9" t="s">
        <v>27</v>
      </c>
      <c r="C1803" s="54" t="str">
        <f t="shared" si="722"/>
        <v>p.servir</v>
      </c>
      <c r="D1803" s="6" t="str">
        <f t="shared" si="709"/>
        <v>é.servidor.de</v>
      </c>
      <c r="E1803" s="8" t="s">
        <v>28</v>
      </c>
      <c r="F1803" s="51" t="s">
        <v>3632</v>
      </c>
      <c r="G1803" s="17" t="s">
        <v>4342</v>
      </c>
      <c r="H1803" s="42" t="s">
        <v>2121</v>
      </c>
      <c r="I1803" s="16" t="str">
        <f t="shared" ref="I1803:I1807" si="739">J1803</f>
        <v>null</v>
      </c>
      <c r="J1803" s="15" t="s">
        <v>0</v>
      </c>
      <c r="K1803" s="15" t="s">
        <v>0</v>
      </c>
      <c r="L1803" s="15" t="s">
        <v>0</v>
      </c>
      <c r="M1803" s="15" t="s">
        <v>0</v>
      </c>
      <c r="N1803" s="15" t="s">
        <v>0</v>
      </c>
      <c r="O1803" s="15" t="s">
        <v>0</v>
      </c>
      <c r="P1803" s="15" t="s">
        <v>0</v>
      </c>
      <c r="Q1803" s="21" t="s">
        <v>4103</v>
      </c>
      <c r="R1803" s="15" t="s">
        <v>0</v>
      </c>
      <c r="S1803" s="10" t="s">
        <v>1</v>
      </c>
      <c r="T1803" s="10" t="s">
        <v>32</v>
      </c>
      <c r="U1803" s="5" t="str">
        <f t="shared" si="724"/>
        <v>Propriedade destinada a servir: é.servidor.de</v>
      </c>
      <c r="V1803" s="5" t="str">
        <f t="shared" si="725"/>
        <v>Dado para servir:  servidor.de  Deve ser formatado como (rdfs:Literal  or  xsd:string)</v>
      </c>
      <c r="W1803" s="5" t="s">
        <v>6418</v>
      </c>
      <c r="X1803" s="24" t="str">
        <f t="shared" si="726"/>
        <v>servi.100</v>
      </c>
      <c r="Y1803" s="24" t="str">
        <f t="shared" si="727"/>
        <v>Ação de servir</v>
      </c>
      <c r="Z1803" s="47" t="s">
        <v>3999</v>
      </c>
      <c r="AA1803" s="25" t="str">
        <f t="shared" ref="AA1803:AA1807" si="740">IF(AB1803="null", "null", "categoria.revit")</f>
        <v>null</v>
      </c>
      <c r="AB1803" s="26" t="s">
        <v>0</v>
      </c>
      <c r="AC1803" s="25" t="str">
        <f t="shared" ref="AC1803:AC1807" si="741">IF(AD1803="null", "null", "classe.ifc")</f>
        <v>null</v>
      </c>
      <c r="AD1803" s="26" t="s">
        <v>0</v>
      </c>
      <c r="AE1803" s="25" t="str">
        <f t="shared" si="710"/>
        <v>null</v>
      </c>
      <c r="AF1803" s="26" t="s">
        <v>0</v>
      </c>
      <c r="AG1803" s="47" t="s">
        <v>4059</v>
      </c>
    </row>
    <row r="1804" spans="1:33" ht="6.9" customHeight="1" x14ac:dyDescent="0.4">
      <c r="A1804" s="4">
        <f>ROW()</f>
        <v>1804</v>
      </c>
      <c r="B1804" s="9" t="s">
        <v>27</v>
      </c>
      <c r="C1804" s="55" t="str">
        <f t="shared" si="722"/>
        <v>p.servir</v>
      </c>
      <c r="D1804" s="6" t="str">
        <f t="shared" si="709"/>
        <v>é.servido.por</v>
      </c>
      <c r="E1804" s="8" t="s">
        <v>28</v>
      </c>
      <c r="F1804" s="42" t="str">
        <f>F1803</f>
        <v>d.servir</v>
      </c>
      <c r="G1804" s="17" t="s">
        <v>4343</v>
      </c>
      <c r="H1804" s="41" t="s">
        <v>2121</v>
      </c>
      <c r="I1804" s="16" t="str">
        <f t="shared" si="739"/>
        <v>null</v>
      </c>
      <c r="J1804" s="15" t="s">
        <v>0</v>
      </c>
      <c r="K1804" s="15" t="s">
        <v>0</v>
      </c>
      <c r="L1804" s="15" t="s">
        <v>0</v>
      </c>
      <c r="M1804" s="15" t="s">
        <v>0</v>
      </c>
      <c r="N1804" s="15" t="s">
        <v>0</v>
      </c>
      <c r="O1804" s="15" t="s">
        <v>0</v>
      </c>
      <c r="P1804" s="15" t="s">
        <v>0</v>
      </c>
      <c r="Q1804" s="21" t="s">
        <v>4102</v>
      </c>
      <c r="R1804" s="15" t="s">
        <v>0</v>
      </c>
      <c r="S1804" s="10" t="s">
        <v>1</v>
      </c>
      <c r="T1804" s="10" t="s">
        <v>32</v>
      </c>
      <c r="U1804" s="5" t="str">
        <f t="shared" si="724"/>
        <v>Propriedade destinada a servir: é.servido.por</v>
      </c>
      <c r="V1804" s="5" t="str">
        <f t="shared" si="725"/>
        <v>Dado para servir:  servido.por  Deve ser formatado como (rdfs:Literal  or  xsd:string)</v>
      </c>
      <c r="W1804" s="5" t="s">
        <v>6419</v>
      </c>
      <c r="X1804" s="24" t="str">
        <f t="shared" si="726"/>
        <v>servi.101</v>
      </c>
      <c r="Y1804" s="24" t="str">
        <f t="shared" si="727"/>
        <v>Ação de servir</v>
      </c>
      <c r="Z1804" s="47" t="s">
        <v>4000</v>
      </c>
      <c r="AA1804" s="25" t="str">
        <f t="shared" si="740"/>
        <v>null</v>
      </c>
      <c r="AB1804" s="26" t="s">
        <v>0</v>
      </c>
      <c r="AC1804" s="25" t="str">
        <f t="shared" si="741"/>
        <v>null</v>
      </c>
      <c r="AD1804" s="26" t="s">
        <v>0</v>
      </c>
      <c r="AE1804" s="25" t="str">
        <f t="shared" si="710"/>
        <v>null</v>
      </c>
      <c r="AF1804" s="26" t="s">
        <v>0</v>
      </c>
      <c r="AG1804" s="47" t="s">
        <v>4060</v>
      </c>
    </row>
    <row r="1805" spans="1:33" ht="6.9" customHeight="1" x14ac:dyDescent="0.4">
      <c r="A1805" s="4">
        <f>ROW()</f>
        <v>1805</v>
      </c>
      <c r="B1805" s="9" t="s">
        <v>27</v>
      </c>
      <c r="C1805" s="55" t="str">
        <f t="shared" si="722"/>
        <v>p.servir</v>
      </c>
      <c r="D1805" s="6" t="str">
        <f t="shared" si="709"/>
        <v>é.tempo.de.serviço</v>
      </c>
      <c r="E1805" s="8" t="s">
        <v>28</v>
      </c>
      <c r="F1805" s="42" t="str">
        <f>F1804</f>
        <v>d.servir</v>
      </c>
      <c r="G1805" s="17" t="s">
        <v>4344</v>
      </c>
      <c r="H1805" s="41" t="s">
        <v>2121</v>
      </c>
      <c r="I1805" s="16" t="str">
        <f t="shared" si="739"/>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24"/>
        <v>Propriedade destinada a servir: é.tempo.de.serviço</v>
      </c>
      <c r="V1805" s="5" t="str">
        <f t="shared" si="725"/>
        <v>Dado para servir:  tempo.de.serviço  Deve ser formatado como (rdfs:Literal  or  xsd:string)</v>
      </c>
      <c r="W1805" s="5" t="s">
        <v>6420</v>
      </c>
      <c r="X1805" s="24" t="str">
        <f t="shared" si="726"/>
        <v>servi.102</v>
      </c>
      <c r="Y1805" s="24" t="str">
        <f t="shared" si="727"/>
        <v>Ação de servir</v>
      </c>
      <c r="Z1805" s="47" t="s">
        <v>6994</v>
      </c>
      <c r="AA1805" s="25" t="str">
        <f t="shared" si="740"/>
        <v>null</v>
      </c>
      <c r="AB1805" s="26" t="s">
        <v>0</v>
      </c>
      <c r="AC1805" s="25" t="str">
        <f t="shared" si="741"/>
        <v>null</v>
      </c>
      <c r="AD1805" s="26" t="s">
        <v>0</v>
      </c>
      <c r="AE1805" s="25" t="str">
        <f t="shared" si="710"/>
        <v>null</v>
      </c>
      <c r="AF1805" s="26" t="s">
        <v>0</v>
      </c>
      <c r="AG1805" s="47" t="s">
        <v>3258</v>
      </c>
    </row>
    <row r="1806" spans="1:33" ht="6.9" customHeight="1" x14ac:dyDescent="0.4">
      <c r="A1806" s="4">
        <f>ROW()</f>
        <v>1806</v>
      </c>
      <c r="B1806" s="9" t="s">
        <v>27</v>
      </c>
      <c r="C1806" s="54" t="str">
        <f t="shared" si="722"/>
        <v>p.sinalizar</v>
      </c>
      <c r="D1806" s="6" t="str">
        <f t="shared" si="709"/>
        <v>é.placa</v>
      </c>
      <c r="E1806" s="8" t="s">
        <v>28</v>
      </c>
      <c r="F1806" s="51" t="s">
        <v>4239</v>
      </c>
      <c r="G1806" s="17" t="s">
        <v>4469</v>
      </c>
      <c r="H1806" s="42" t="s">
        <v>2121</v>
      </c>
      <c r="I1806" s="16" t="str">
        <f t="shared" si="739"/>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24"/>
        <v>Propriedade destinada a sinalizar: é.placa</v>
      </c>
      <c r="V1806" s="5" t="str">
        <f t="shared" si="725"/>
        <v>Dado para sinalizar:  placa  Deve ser formatado como (rdfs:Literal  or  xsd:string)</v>
      </c>
      <c r="W1806" s="5" t="s">
        <v>6421</v>
      </c>
      <c r="X1806" s="24" t="str">
        <f t="shared" si="726"/>
        <v>sinal.100</v>
      </c>
      <c r="Y1806" s="24" t="str">
        <f t="shared" si="727"/>
        <v>Ação de sinalizar</v>
      </c>
      <c r="Z1806" s="47" t="s">
        <v>4240</v>
      </c>
      <c r="AA1806" s="25" t="str">
        <f t="shared" si="740"/>
        <v>null</v>
      </c>
      <c r="AB1806" s="26" t="s">
        <v>0</v>
      </c>
      <c r="AC1806" s="25" t="str">
        <f t="shared" si="741"/>
        <v>null</v>
      </c>
      <c r="AD1806" s="26" t="s">
        <v>0</v>
      </c>
      <c r="AE1806" s="25" t="str">
        <f t="shared" si="710"/>
        <v>null</v>
      </c>
      <c r="AF1806" s="26" t="s">
        <v>0</v>
      </c>
      <c r="AG1806" s="47" t="s">
        <v>4243</v>
      </c>
    </row>
    <row r="1807" spans="1:33" ht="6.9" customHeight="1" x14ac:dyDescent="0.4">
      <c r="A1807" s="4">
        <f>ROW()</f>
        <v>1807</v>
      </c>
      <c r="B1807" s="9" t="s">
        <v>27</v>
      </c>
      <c r="C1807" s="55" t="str">
        <f t="shared" si="722"/>
        <v>p.sinalizar</v>
      </c>
      <c r="D1807" s="6" t="str">
        <f t="shared" ref="D1807:D1870" si="742">_xlfn.CONCAT("é.",G1807)</f>
        <v>é.tipo.de.placa</v>
      </c>
      <c r="E1807" s="8" t="s">
        <v>28</v>
      </c>
      <c r="F1807" s="42" t="str">
        <f>F1806</f>
        <v>d.sinalizar</v>
      </c>
      <c r="G1807" s="17" t="s">
        <v>4345</v>
      </c>
      <c r="H1807" s="42" t="s">
        <v>2121</v>
      </c>
      <c r="I1807" s="16" t="str">
        <f t="shared" si="739"/>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24"/>
        <v>Propriedade destinada a sinalizar: é.tipo.de.placa</v>
      </c>
      <c r="V1807" s="5" t="str">
        <f t="shared" si="725"/>
        <v>Dado para sinalizar:  tipo.de.placa  Deve ser formatado como (rdfs:Literal  or  xsd:string)</v>
      </c>
      <c r="W1807" s="5" t="s">
        <v>6422</v>
      </c>
      <c r="X1807" s="24" t="str">
        <f t="shared" si="726"/>
        <v>sinal.101</v>
      </c>
      <c r="Y1807" s="24" t="str">
        <f t="shared" si="727"/>
        <v>Ação de sinalizar</v>
      </c>
      <c r="Z1807" s="47" t="s">
        <v>4241</v>
      </c>
      <c r="AA1807" s="25" t="str">
        <f t="shared" si="740"/>
        <v>null</v>
      </c>
      <c r="AB1807" s="26" t="s">
        <v>0</v>
      </c>
      <c r="AC1807" s="25" t="str">
        <f t="shared" si="741"/>
        <v>null</v>
      </c>
      <c r="AD1807" s="26" t="s">
        <v>0</v>
      </c>
      <c r="AE1807" s="25" t="str">
        <f t="shared" si="710"/>
        <v>null</v>
      </c>
      <c r="AF1807" s="26" t="s">
        <v>0</v>
      </c>
      <c r="AG1807" s="47" t="s">
        <v>4242</v>
      </c>
    </row>
    <row r="1808" spans="1:33" ht="6.9" customHeight="1" x14ac:dyDescent="0.4">
      <c r="A1808" s="4">
        <f>ROW()</f>
        <v>1808</v>
      </c>
      <c r="B1808" s="9" t="s">
        <v>27</v>
      </c>
      <c r="C1808" s="54" t="str">
        <f t="shared" si="722"/>
        <v>p.sombrear</v>
      </c>
      <c r="D1808" s="6" t="str">
        <f t="shared" si="742"/>
        <v>é.brise</v>
      </c>
      <c r="E1808" s="8" t="s">
        <v>28</v>
      </c>
      <c r="F1808" s="51" t="s">
        <v>3633</v>
      </c>
      <c r="G1808" s="17" t="s">
        <v>4470</v>
      </c>
      <c r="H1808" s="42" t="s">
        <v>2121</v>
      </c>
      <c r="I1808" s="16" t="str">
        <f t="shared" ref="I1808:I1823" si="743">J1808</f>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24"/>
        <v>Propriedade destinada a sombrear: é.brise</v>
      </c>
      <c r="V1808" s="5" t="str">
        <f t="shared" si="725"/>
        <v>Dado para sombrear:  brise  Deve ser formatado como (rdfs:Literal  or  xsd:string)</v>
      </c>
      <c r="W1808" s="5" t="s">
        <v>6423</v>
      </c>
      <c r="X1808" s="24" t="str">
        <f t="shared" si="726"/>
        <v>sombr.100</v>
      </c>
      <c r="Y1808" s="24" t="str">
        <f t="shared" si="727"/>
        <v>Ação de sombrear</v>
      </c>
      <c r="Z1808" s="47" t="s">
        <v>4001</v>
      </c>
      <c r="AA1808" s="25" t="str">
        <f t="shared" ref="AA1808:AA1823" si="744">IF(AB1808="null", "null", "categoria.revit")</f>
        <v>categoria.revit</v>
      </c>
      <c r="AB1808" s="26" t="s">
        <v>3529</v>
      </c>
      <c r="AC1808" s="25" t="str">
        <f t="shared" ref="AC1808:AC1823" si="745">IF(AD1808="null", "null", "classe.ifc")</f>
        <v>null</v>
      </c>
      <c r="AD1808" s="26" t="s">
        <v>0</v>
      </c>
      <c r="AE1808" s="25" t="str">
        <f t="shared" si="710"/>
        <v>null</v>
      </c>
      <c r="AF1808" s="26" t="s">
        <v>0</v>
      </c>
      <c r="AG1808" s="47" t="s">
        <v>4061</v>
      </c>
    </row>
    <row r="1809" spans="1:33" ht="6.9" customHeight="1" x14ac:dyDescent="0.4">
      <c r="A1809" s="4">
        <f>ROW()</f>
        <v>1809</v>
      </c>
      <c r="B1809" s="9" t="s">
        <v>27</v>
      </c>
      <c r="C1809" s="55" t="str">
        <f>SUBSTITUTE(F1809,"d.","p.")</f>
        <v>p.sombrear</v>
      </c>
      <c r="D1809" s="6" t="str">
        <f t="shared" si="742"/>
        <v>é.cobogó</v>
      </c>
      <c r="E1809" s="8" t="s">
        <v>28</v>
      </c>
      <c r="F1809" s="42" t="str">
        <f>F1808</f>
        <v>d.sombrear</v>
      </c>
      <c r="G1809" s="17" t="s">
        <v>4471</v>
      </c>
      <c r="H1809" s="41" t="s">
        <v>2121</v>
      </c>
      <c r="I1809" s="16" t="str">
        <f t="shared" si="743"/>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24"/>
        <v>Propriedade destinada a sombrear: é.cobogó</v>
      </c>
      <c r="V1809" s="5" t="str">
        <f t="shared" si="725"/>
        <v>Dado para sombrear:  cobogó  Deve ser formatado como (rdfs:Literal  or  xsd:string)</v>
      </c>
      <c r="W1809" s="5" t="s">
        <v>6424</v>
      </c>
      <c r="X1809" s="24" t="str">
        <f t="shared" si="726"/>
        <v>sombr.101</v>
      </c>
      <c r="Y1809" s="24" t="str">
        <f t="shared" si="727"/>
        <v>Ação de sombrear</v>
      </c>
      <c r="Z1809" s="47" t="s">
        <v>4005</v>
      </c>
      <c r="AA1809" s="25" t="str">
        <f t="shared" si="744"/>
        <v>categoria.revit</v>
      </c>
      <c r="AB1809" s="26" t="s">
        <v>3529</v>
      </c>
      <c r="AC1809" s="25" t="str">
        <f t="shared" si="745"/>
        <v>null</v>
      </c>
      <c r="AD1809" s="26" t="s">
        <v>0</v>
      </c>
      <c r="AE1809" s="25" t="str">
        <f t="shared" si="710"/>
        <v>null</v>
      </c>
      <c r="AF1809" s="26" t="s">
        <v>0</v>
      </c>
      <c r="AG1809" s="47" t="s">
        <v>4065</v>
      </c>
    </row>
    <row r="1810" spans="1:33" ht="6.9" customHeight="1" x14ac:dyDescent="0.4">
      <c r="A1810" s="4">
        <f>ROW()</f>
        <v>1810</v>
      </c>
      <c r="B1810" s="9" t="s">
        <v>27</v>
      </c>
      <c r="C1810" s="55" t="str">
        <f t="shared" ref="C1810:C1824" si="746">SUBSTITUTE(F1810,"d.","p.")</f>
        <v>p.sombrear</v>
      </c>
      <c r="D1810" s="6" t="str">
        <f t="shared" si="742"/>
        <v>é.brise.horizontal</v>
      </c>
      <c r="E1810" s="8" t="s">
        <v>28</v>
      </c>
      <c r="F1810" s="42" t="str">
        <f t="shared" ref="F1810:F1816" si="747">F1809</f>
        <v>d.sombrear</v>
      </c>
      <c r="G1810" s="17" t="s">
        <v>4347</v>
      </c>
      <c r="H1810" s="41" t="s">
        <v>37</v>
      </c>
      <c r="I1810" s="16" t="str">
        <f t="shared" si="743"/>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24"/>
        <v>Propriedade destinada a sombrear: é.brise.horizontal</v>
      </c>
      <c r="V1810" s="5" t="str">
        <f t="shared" si="725"/>
        <v>Dado para sombrear:  brise.horizontal  Deve ser formatado como (xsd:boolean)</v>
      </c>
      <c r="W1810" s="5" t="s">
        <v>6425</v>
      </c>
      <c r="X1810" s="24" t="str">
        <f t="shared" si="726"/>
        <v>sombr.102</v>
      </c>
      <c r="Y1810" s="24" t="str">
        <f t="shared" si="727"/>
        <v>Ação de sombrear</v>
      </c>
      <c r="Z1810" s="47" t="s">
        <v>4002</v>
      </c>
      <c r="AA1810" s="25" t="str">
        <f t="shared" si="744"/>
        <v>categoria.revit</v>
      </c>
      <c r="AB1810" s="26" t="s">
        <v>3529</v>
      </c>
      <c r="AC1810" s="25" t="str">
        <f t="shared" si="745"/>
        <v>null</v>
      </c>
      <c r="AD1810" s="26" t="s">
        <v>0</v>
      </c>
      <c r="AE1810" s="25" t="str">
        <f t="shared" ref="AE1810:AE1892" si="748">IF(AF1810="null", "null", "propriedade")</f>
        <v>null</v>
      </c>
      <c r="AF1810" s="26" t="s">
        <v>0</v>
      </c>
      <c r="AG1810" s="47" t="s">
        <v>4062</v>
      </c>
    </row>
    <row r="1811" spans="1:33" ht="6.9" customHeight="1" x14ac:dyDescent="0.4">
      <c r="A1811" s="4">
        <f>ROW()</f>
        <v>1811</v>
      </c>
      <c r="B1811" s="9" t="s">
        <v>27</v>
      </c>
      <c r="C1811" s="55" t="str">
        <f t="shared" si="746"/>
        <v>p.sombrear</v>
      </c>
      <c r="D1811" s="6" t="str">
        <f t="shared" si="742"/>
        <v>é.brise.móvel</v>
      </c>
      <c r="E1811" s="8" t="s">
        <v>28</v>
      </c>
      <c r="F1811" s="42" t="str">
        <f t="shared" si="747"/>
        <v>d.sombrear</v>
      </c>
      <c r="G1811" s="17" t="s">
        <v>4348</v>
      </c>
      <c r="H1811" s="41" t="s">
        <v>37</v>
      </c>
      <c r="I1811" s="16" t="str">
        <f t="shared" si="743"/>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24"/>
        <v>Propriedade destinada a sombrear: é.brise.móvel</v>
      </c>
      <c r="V1811" s="5" t="str">
        <f t="shared" si="725"/>
        <v>Dado para sombrear:  brise.móvel  Deve ser formatado como (xsd:boolean)</v>
      </c>
      <c r="W1811" s="5" t="s">
        <v>6426</v>
      </c>
      <c r="X1811" s="24" t="str">
        <f t="shared" si="726"/>
        <v>sombr.103</v>
      </c>
      <c r="Y1811" s="24" t="str">
        <f t="shared" si="727"/>
        <v>Ação de sombrear</v>
      </c>
      <c r="Z1811" s="47" t="s">
        <v>4004</v>
      </c>
      <c r="AA1811" s="25" t="str">
        <f t="shared" si="744"/>
        <v>categoria.revit</v>
      </c>
      <c r="AB1811" s="26" t="s">
        <v>3529</v>
      </c>
      <c r="AC1811" s="25" t="str">
        <f t="shared" si="745"/>
        <v>null</v>
      </c>
      <c r="AD1811" s="26" t="s">
        <v>0</v>
      </c>
      <c r="AE1811" s="25" t="str">
        <f t="shared" si="748"/>
        <v>null</v>
      </c>
      <c r="AF1811" s="26" t="s">
        <v>0</v>
      </c>
      <c r="AG1811" s="47" t="s">
        <v>4064</v>
      </c>
    </row>
    <row r="1812" spans="1:33" ht="6.9" customHeight="1" x14ac:dyDescent="0.4">
      <c r="A1812" s="4">
        <f>ROW()</f>
        <v>1812</v>
      </c>
      <c r="B1812" s="9" t="s">
        <v>27</v>
      </c>
      <c r="C1812" s="55" t="str">
        <f t="shared" si="746"/>
        <v>p.sombrear</v>
      </c>
      <c r="D1812" s="6" t="str">
        <f t="shared" si="742"/>
        <v>é.brise.vertical</v>
      </c>
      <c r="E1812" s="8" t="s">
        <v>28</v>
      </c>
      <c r="F1812" s="42" t="str">
        <f t="shared" si="747"/>
        <v>d.sombrear</v>
      </c>
      <c r="G1812" s="17" t="s">
        <v>4349</v>
      </c>
      <c r="H1812" s="41" t="s">
        <v>37</v>
      </c>
      <c r="I1812" s="16" t="str">
        <f t="shared" si="743"/>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24"/>
        <v>Propriedade destinada a sombrear: é.brise.vertical</v>
      </c>
      <c r="V1812" s="5" t="str">
        <f t="shared" si="725"/>
        <v>Dado para sombrear:  brise.vertical  Deve ser formatado como (xsd:boolean)</v>
      </c>
      <c r="W1812" s="5" t="s">
        <v>6427</v>
      </c>
      <c r="X1812" s="24" t="str">
        <f t="shared" si="726"/>
        <v>sombr.104</v>
      </c>
      <c r="Y1812" s="24" t="str">
        <f t="shared" si="727"/>
        <v>Ação de sombrear</v>
      </c>
      <c r="Z1812" s="47" t="s">
        <v>4003</v>
      </c>
      <c r="AA1812" s="25" t="str">
        <f t="shared" si="744"/>
        <v>categoria.revit</v>
      </c>
      <c r="AB1812" s="26" t="s">
        <v>3529</v>
      </c>
      <c r="AC1812" s="25" t="str">
        <f t="shared" si="745"/>
        <v>null</v>
      </c>
      <c r="AD1812" s="26" t="s">
        <v>0</v>
      </c>
      <c r="AE1812" s="25" t="str">
        <f t="shared" si="748"/>
        <v>null</v>
      </c>
      <c r="AF1812" s="26" t="s">
        <v>0</v>
      </c>
      <c r="AG1812" s="47" t="s">
        <v>4063</v>
      </c>
    </row>
    <row r="1813" spans="1:33" ht="6.9" customHeight="1" x14ac:dyDescent="0.4">
      <c r="A1813" s="4">
        <f>ROW()</f>
        <v>1813</v>
      </c>
      <c r="B1813" s="9" t="s">
        <v>27</v>
      </c>
      <c r="C1813" s="55" t="str">
        <f t="shared" si="746"/>
        <v>p.sombrear</v>
      </c>
      <c r="D1813" s="6" t="str">
        <f t="shared" si="742"/>
        <v>é.camada.visível</v>
      </c>
      <c r="E1813" s="8" t="s">
        <v>28</v>
      </c>
      <c r="F1813" s="42" t="str">
        <f t="shared" si="747"/>
        <v>d.sombrear</v>
      </c>
      <c r="G1813" s="17" t="s">
        <v>4350</v>
      </c>
      <c r="H1813" s="41" t="s">
        <v>2121</v>
      </c>
      <c r="I1813" s="16" t="str">
        <f t="shared" si="743"/>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24"/>
        <v>Propriedade destinada a sombrear: é.camada.visível</v>
      </c>
      <c r="V1813" s="5" t="str">
        <f t="shared" si="725"/>
        <v>Dado para sombrear:  camada.visível  Deve ser formatado como (rdfs:Literal  or  xsd:string)</v>
      </c>
      <c r="W1813" s="5" t="s">
        <v>6428</v>
      </c>
      <c r="X1813" s="24" t="str">
        <f t="shared" si="726"/>
        <v>sombr.105</v>
      </c>
      <c r="Y1813" s="24" t="str">
        <f t="shared" si="727"/>
        <v>Ação de sombrear</v>
      </c>
      <c r="Z1813" s="47" t="s">
        <v>6990</v>
      </c>
      <c r="AA1813" s="25" t="str">
        <f t="shared" si="744"/>
        <v>null</v>
      </c>
      <c r="AB1813" s="26" t="s">
        <v>0</v>
      </c>
      <c r="AC1813" s="25" t="str">
        <f t="shared" si="745"/>
        <v>null</v>
      </c>
      <c r="AD1813" s="26" t="s">
        <v>0</v>
      </c>
      <c r="AE1813" s="25" t="str">
        <f t="shared" si="748"/>
        <v>null</v>
      </c>
      <c r="AF1813" s="26" t="s">
        <v>0</v>
      </c>
      <c r="AG1813" s="47" t="s">
        <v>3261</v>
      </c>
    </row>
    <row r="1814" spans="1:33" ht="6.9" customHeight="1" x14ac:dyDescent="0.4">
      <c r="A1814" s="4">
        <f>ROW()</f>
        <v>1814</v>
      </c>
      <c r="B1814" s="9" t="s">
        <v>27</v>
      </c>
      <c r="C1814" s="55" t="str">
        <f t="shared" si="746"/>
        <v>p.sombrear</v>
      </c>
      <c r="D1814" s="6" t="str">
        <f t="shared" si="742"/>
        <v>é.ângulo.de.visão.horizontal</v>
      </c>
      <c r="E1814" s="8" t="s">
        <v>28</v>
      </c>
      <c r="F1814" s="42" t="str">
        <f t="shared" si="747"/>
        <v>d.sombrear</v>
      </c>
      <c r="G1814" s="17" t="s">
        <v>4346</v>
      </c>
      <c r="H1814" s="41" t="s">
        <v>36</v>
      </c>
      <c r="I1814" s="16" t="str">
        <f t="shared" si="743"/>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24"/>
        <v>Propriedade destinada a sombrear: é.ângulo.de.visão.horizontal</v>
      </c>
      <c r="V1814" s="5" t="str">
        <f t="shared" si="725"/>
        <v>Dado para sombrear:  ângulo.de.visão.horizontal  Deve ser formatado como (xsd:double)</v>
      </c>
      <c r="W1814" s="5" t="s">
        <v>6429</v>
      </c>
      <c r="X1814" s="24" t="str">
        <f t="shared" si="726"/>
        <v>sombr.106</v>
      </c>
      <c r="Y1814" s="24" t="str">
        <f t="shared" si="727"/>
        <v>Ação de sombrear</v>
      </c>
      <c r="Z1814" s="47" t="s">
        <v>6992</v>
      </c>
      <c r="AA1814" s="25" t="str">
        <f t="shared" si="744"/>
        <v>null</v>
      </c>
      <c r="AB1814" s="26" t="s">
        <v>0</v>
      </c>
      <c r="AC1814" s="25" t="str">
        <f t="shared" si="745"/>
        <v>null</v>
      </c>
      <c r="AD1814" s="26" t="s">
        <v>0</v>
      </c>
      <c r="AE1814" s="25" t="str">
        <f t="shared" si="748"/>
        <v>null</v>
      </c>
      <c r="AF1814" s="26" t="s">
        <v>0</v>
      </c>
      <c r="AG1814" s="47" t="s">
        <v>3259</v>
      </c>
    </row>
    <row r="1815" spans="1:33" ht="6.9" customHeight="1" x14ac:dyDescent="0.4">
      <c r="A1815" s="4">
        <f>ROW()</f>
        <v>1815</v>
      </c>
      <c r="B1815" s="9" t="s">
        <v>27</v>
      </c>
      <c r="C1815" s="55" t="str">
        <f t="shared" si="746"/>
        <v>p.sombrear</v>
      </c>
      <c r="D1815" s="6" t="str">
        <f t="shared" si="742"/>
        <v>é.distância.externa</v>
      </c>
      <c r="E1815" s="8" t="s">
        <v>28</v>
      </c>
      <c r="F1815" s="42" t="str">
        <f t="shared" si="747"/>
        <v>d.sombrear</v>
      </c>
      <c r="G1815" s="17" t="s">
        <v>4351</v>
      </c>
      <c r="H1815" s="41" t="s">
        <v>36</v>
      </c>
      <c r="I1815" s="16" t="str">
        <f t="shared" si="743"/>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24"/>
        <v>Propriedade destinada a sombrear: é.distância.externa</v>
      </c>
      <c r="V1815" s="5" t="str">
        <f t="shared" si="725"/>
        <v>Dado para sombrear:  distância.externa  Deve ser formatado como (xsd:double)</v>
      </c>
      <c r="W1815" s="5" t="s">
        <v>6430</v>
      </c>
      <c r="X1815" s="24" t="str">
        <f t="shared" si="726"/>
        <v>sombr.107</v>
      </c>
      <c r="Y1815" s="24" t="str">
        <f t="shared" si="727"/>
        <v>Ação de sombrear</v>
      </c>
      <c r="Z1815" s="47" t="s">
        <v>6991</v>
      </c>
      <c r="AA1815" s="25" t="str">
        <f t="shared" si="744"/>
        <v>null</v>
      </c>
      <c r="AB1815" s="26" t="s">
        <v>0</v>
      </c>
      <c r="AC1815" s="25" t="str">
        <f t="shared" si="745"/>
        <v>null</v>
      </c>
      <c r="AD1815" s="26" t="s">
        <v>0</v>
      </c>
      <c r="AE1815" s="25" t="str">
        <f t="shared" si="748"/>
        <v>null</v>
      </c>
      <c r="AF1815" s="26" t="s">
        <v>0</v>
      </c>
      <c r="AG1815" s="47" t="s">
        <v>3260</v>
      </c>
    </row>
    <row r="1816" spans="1:33" ht="6.9" customHeight="1" x14ac:dyDescent="0.4">
      <c r="A1816" s="4">
        <f>ROW()</f>
        <v>1816</v>
      </c>
      <c r="B1816" s="9" t="s">
        <v>27</v>
      </c>
      <c r="C1816" s="55" t="str">
        <f t="shared" si="746"/>
        <v>p.sombrear</v>
      </c>
      <c r="D1816" s="6" t="str">
        <f t="shared" si="742"/>
        <v>é.probabilidade.de.ofuscamento</v>
      </c>
      <c r="E1816" s="8" t="s">
        <v>28</v>
      </c>
      <c r="F1816" s="42" t="str">
        <f t="shared" si="747"/>
        <v>d.sombrear</v>
      </c>
      <c r="G1816" s="17" t="s">
        <v>4352</v>
      </c>
      <c r="H1816" s="41" t="s">
        <v>36</v>
      </c>
      <c r="I1816" s="16" t="str">
        <f t="shared" si="743"/>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24"/>
        <v>Propriedade destinada a sombrear: é.probabilidade.de.ofuscamento</v>
      </c>
      <c r="V1816" s="5" t="str">
        <f t="shared" si="725"/>
        <v>Dado para sombrear:  probabilidade.de.ofuscamento  Deve ser formatado como (xsd:double)</v>
      </c>
      <c r="W1816" s="5" t="s">
        <v>6431</v>
      </c>
      <c r="X1816" s="24" t="str">
        <f t="shared" si="726"/>
        <v>sombr.108</v>
      </c>
      <c r="Y1816" s="24" t="str">
        <f t="shared" si="727"/>
        <v>Ação de sombrear</v>
      </c>
      <c r="Z1816" s="47" t="s">
        <v>6993</v>
      </c>
      <c r="AA1816" s="25" t="str">
        <f t="shared" si="744"/>
        <v>null</v>
      </c>
      <c r="AB1816" s="26" t="s">
        <v>0</v>
      </c>
      <c r="AC1816" s="25" t="str">
        <f t="shared" si="745"/>
        <v>null</v>
      </c>
      <c r="AD1816" s="26" t="s">
        <v>0</v>
      </c>
      <c r="AE1816" s="25" t="str">
        <f t="shared" si="748"/>
        <v>null</v>
      </c>
      <c r="AF1816" s="26" t="s">
        <v>0</v>
      </c>
      <c r="AG1816" s="47" t="s">
        <v>3262</v>
      </c>
    </row>
    <row r="1817" spans="1:33" ht="6.9" customHeight="1" x14ac:dyDescent="0.4">
      <c r="A1817" s="4">
        <f>ROW()</f>
        <v>1817</v>
      </c>
      <c r="B1817" s="9" t="s">
        <v>27</v>
      </c>
      <c r="C1817" s="54" t="str">
        <f t="shared" si="746"/>
        <v>p.sondar</v>
      </c>
      <c r="D1817" s="6" t="str">
        <f t="shared" si="742"/>
        <v>é.cota.camada.base.sondagem</v>
      </c>
      <c r="E1817" s="8" t="s">
        <v>28</v>
      </c>
      <c r="F1817" s="51" t="s">
        <v>7511</v>
      </c>
      <c r="G1817" s="70" t="s">
        <v>7489</v>
      </c>
      <c r="H1817" s="41" t="s">
        <v>36</v>
      </c>
      <c r="I1817" s="16" t="str">
        <f t="shared" si="743"/>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24"/>
        <v>Propriedade destinada a sondar: é.cota.camada.base.sondagem</v>
      </c>
      <c r="V1817" s="5" t="str">
        <f t="shared" si="725"/>
        <v>Dado para sondar:  cota.camada.base.sondagem  Deve ser formatado como (xsd:double)</v>
      </c>
      <c r="W1817" s="71" t="s">
        <v>7512</v>
      </c>
      <c r="X1817" s="24" t="str">
        <f t="shared" si="726"/>
        <v>sonda.100</v>
      </c>
      <c r="Y1817" s="24" t="str">
        <f t="shared" si="727"/>
        <v>Ação de sondar</v>
      </c>
      <c r="Z1817" s="47" t="s">
        <v>8088</v>
      </c>
      <c r="AA1817" s="25" t="str">
        <f t="shared" si="744"/>
        <v>null</v>
      </c>
      <c r="AB1817" s="26" t="s">
        <v>0</v>
      </c>
      <c r="AC1817" s="25" t="str">
        <f t="shared" si="745"/>
        <v>null</v>
      </c>
      <c r="AD1817" s="26" t="s">
        <v>0</v>
      </c>
      <c r="AE1817" s="25" t="str">
        <f t="shared" ref="AE1817:AE1823" si="749">IF(AF1817="null", "null", "propriedade")</f>
        <v>null</v>
      </c>
      <c r="AF1817" s="26" t="s">
        <v>0</v>
      </c>
      <c r="AG1817" s="47" t="s">
        <v>7517</v>
      </c>
    </row>
    <row r="1818" spans="1:33" ht="6.9" customHeight="1" x14ac:dyDescent="0.4">
      <c r="A1818" s="4">
        <f>ROW()</f>
        <v>1818</v>
      </c>
      <c r="B1818" s="9" t="s">
        <v>27</v>
      </c>
      <c r="C1818" s="55" t="str">
        <f t="shared" si="746"/>
        <v>p.sondar</v>
      </c>
      <c r="D1818" s="6" t="str">
        <f t="shared" si="742"/>
        <v>é.cota.camada.fundação</v>
      </c>
      <c r="E1818" s="8" t="s">
        <v>28</v>
      </c>
      <c r="F1818" s="42" t="str">
        <f>F1817</f>
        <v>d.sondar</v>
      </c>
      <c r="G1818" s="70" t="s">
        <v>7488</v>
      </c>
      <c r="H1818" s="41" t="s">
        <v>36</v>
      </c>
      <c r="I1818" s="16" t="str">
        <f t="shared" si="743"/>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24"/>
        <v>Propriedade destinada a sondar: é.cota.camada.fundação</v>
      </c>
      <c r="V1818" s="5" t="str">
        <f t="shared" si="725"/>
        <v>Dado para sondar:  cota.camada.fundação  Deve ser formatado como (xsd:double)</v>
      </c>
      <c r="W1818" s="71" t="s">
        <v>7495</v>
      </c>
      <c r="X1818" s="24" t="str">
        <f t="shared" si="726"/>
        <v>sonda.101</v>
      </c>
      <c r="Y1818" s="24" t="str">
        <f t="shared" si="727"/>
        <v>Ação de sondar</v>
      </c>
      <c r="Z1818" s="47" t="s">
        <v>8089</v>
      </c>
      <c r="AA1818" s="25" t="str">
        <f t="shared" si="744"/>
        <v>null</v>
      </c>
      <c r="AB1818" s="26" t="s">
        <v>0</v>
      </c>
      <c r="AC1818" s="25" t="str">
        <f t="shared" si="745"/>
        <v>null</v>
      </c>
      <c r="AD1818" s="26" t="s">
        <v>0</v>
      </c>
      <c r="AE1818" s="25" t="str">
        <f t="shared" si="749"/>
        <v>null</v>
      </c>
      <c r="AF1818" s="26" t="s">
        <v>0</v>
      </c>
      <c r="AG1818" s="47" t="s">
        <v>7518</v>
      </c>
    </row>
    <row r="1819" spans="1:33" ht="6.9" customHeight="1" x14ac:dyDescent="0.4">
      <c r="A1819" s="4">
        <f>ROW()</f>
        <v>1819</v>
      </c>
      <c r="B1819" s="9" t="s">
        <v>27</v>
      </c>
      <c r="C1819" s="55" t="str">
        <f t="shared" si="746"/>
        <v>p.sondar</v>
      </c>
      <c r="D1819" s="6" t="str">
        <f t="shared" si="742"/>
        <v>é.cota.de.sondagem</v>
      </c>
      <c r="E1819" s="8" t="s">
        <v>28</v>
      </c>
      <c r="F1819" s="42" t="str">
        <f t="shared" ref="F1819:F1823" si="750">F1818</f>
        <v>d.sondar</v>
      </c>
      <c r="G1819" s="70" t="s">
        <v>7493</v>
      </c>
      <c r="H1819" s="41" t="s">
        <v>36</v>
      </c>
      <c r="I1819" s="16" t="str">
        <f t="shared" ref="I1819:I1820" si="751">J1819</f>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24"/>
        <v>Propriedade destinada a sondar: é.cota.de.sondagem</v>
      </c>
      <c r="V1819" s="5" t="str">
        <f t="shared" si="725"/>
        <v>Dado para sondar:  cota.de.sondagem  Deve ser formatado como (xsd:double)</v>
      </c>
      <c r="W1819" s="71" t="s">
        <v>7513</v>
      </c>
      <c r="X1819" s="24" t="str">
        <f t="shared" si="726"/>
        <v>sonda.102</v>
      </c>
      <c r="Y1819" s="24" t="str">
        <f t="shared" si="727"/>
        <v>Ação de sondar</v>
      </c>
      <c r="Z1819" s="47" t="s">
        <v>8090</v>
      </c>
      <c r="AA1819" s="25" t="str">
        <f t="shared" ref="AA1819:AA1820" si="752">IF(AB1819="null", "null", "categoria.revit")</f>
        <v>null</v>
      </c>
      <c r="AB1819" s="26" t="s">
        <v>0</v>
      </c>
      <c r="AC1819" s="25" t="str">
        <f t="shared" ref="AC1819:AC1820" si="753">IF(AD1819="null", "null", "classe.ifc")</f>
        <v>null</v>
      </c>
      <c r="AD1819" s="26" t="s">
        <v>0</v>
      </c>
      <c r="AE1819" s="25" t="str">
        <f t="shared" ref="AE1819:AE1820" si="754">IF(AF1819="null", "null", "propriedade")</f>
        <v>null</v>
      </c>
      <c r="AF1819" s="26" t="s">
        <v>0</v>
      </c>
      <c r="AG1819" s="47" t="s">
        <v>7519</v>
      </c>
    </row>
    <row r="1820" spans="1:33" ht="6.9" customHeight="1" x14ac:dyDescent="0.4">
      <c r="A1820" s="4">
        <f>ROW()</f>
        <v>1820</v>
      </c>
      <c r="B1820" s="9" t="s">
        <v>27</v>
      </c>
      <c r="C1820" s="55" t="str">
        <f t="shared" si="746"/>
        <v>p.sondar</v>
      </c>
      <c r="D1820" s="6" t="str">
        <f t="shared" si="742"/>
        <v>é.cota.freática</v>
      </c>
      <c r="E1820" s="8" t="s">
        <v>28</v>
      </c>
      <c r="F1820" s="42" t="str">
        <f t="shared" si="750"/>
        <v>d.sondar</v>
      </c>
      <c r="G1820" s="70" t="s">
        <v>7492</v>
      </c>
      <c r="H1820" s="41" t="s">
        <v>36</v>
      </c>
      <c r="I1820" s="16" t="str">
        <f t="shared" si="751"/>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24"/>
        <v>Propriedade destinada a sondar: é.cota.freática</v>
      </c>
      <c r="V1820" s="5" t="str">
        <f t="shared" si="725"/>
        <v>Dado para sondar:  cota.freática  Deve ser formatado como (xsd:double)</v>
      </c>
      <c r="W1820" s="71" t="s">
        <v>7514</v>
      </c>
      <c r="X1820" s="24" t="str">
        <f t="shared" si="726"/>
        <v>sonda.103</v>
      </c>
      <c r="Y1820" s="24" t="str">
        <f t="shared" si="727"/>
        <v>Ação de sondar</v>
      </c>
      <c r="Z1820" s="47" t="s">
        <v>8091</v>
      </c>
      <c r="AA1820" s="25" t="str">
        <f t="shared" si="752"/>
        <v>null</v>
      </c>
      <c r="AB1820" s="26" t="s">
        <v>0</v>
      </c>
      <c r="AC1820" s="25" t="str">
        <f t="shared" si="753"/>
        <v>null</v>
      </c>
      <c r="AD1820" s="26" t="s">
        <v>0</v>
      </c>
      <c r="AE1820" s="25" t="str">
        <f t="shared" si="754"/>
        <v>null</v>
      </c>
      <c r="AF1820" s="26" t="s">
        <v>0</v>
      </c>
      <c r="AG1820" s="47" t="s">
        <v>7520</v>
      </c>
    </row>
    <row r="1821" spans="1:33" ht="6.9" customHeight="1" x14ac:dyDescent="0.4">
      <c r="A1821" s="4">
        <f>ROW()</f>
        <v>1821</v>
      </c>
      <c r="B1821" s="9" t="s">
        <v>27</v>
      </c>
      <c r="C1821" s="55" t="str">
        <f t="shared" si="746"/>
        <v>p.sondar</v>
      </c>
      <c r="D1821" s="6" t="str">
        <f t="shared" si="742"/>
        <v>é.cota.terreno</v>
      </c>
      <c r="E1821" s="8" t="s">
        <v>28</v>
      </c>
      <c r="F1821" s="42" t="str">
        <f t="shared" si="750"/>
        <v>d.sondar</v>
      </c>
      <c r="G1821" s="70" t="s">
        <v>7494</v>
      </c>
      <c r="H1821" s="41" t="s">
        <v>36</v>
      </c>
      <c r="I1821" s="16" t="str">
        <f t="shared" si="743"/>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24"/>
        <v>Propriedade destinada a sondar: é.cota.terreno</v>
      </c>
      <c r="V1821" s="5" t="str">
        <f t="shared" si="725"/>
        <v>Dado para sondar:  cota.terreno  Deve ser formatado como (xsd:double)</v>
      </c>
      <c r="W1821" s="71" t="s">
        <v>7496</v>
      </c>
      <c r="X1821" s="24" t="str">
        <f t="shared" si="726"/>
        <v>sonda.104</v>
      </c>
      <c r="Y1821" s="24" t="str">
        <f t="shared" si="727"/>
        <v>Ação de sondar</v>
      </c>
      <c r="Z1821" s="47" t="s">
        <v>8092</v>
      </c>
      <c r="AA1821" s="25" t="str">
        <f t="shared" si="744"/>
        <v>null</v>
      </c>
      <c r="AB1821" s="26" t="s">
        <v>0</v>
      </c>
      <c r="AC1821" s="25" t="str">
        <f t="shared" si="745"/>
        <v>null</v>
      </c>
      <c r="AD1821" s="26" t="s">
        <v>0</v>
      </c>
      <c r="AE1821" s="25" t="str">
        <f t="shared" si="749"/>
        <v>null</v>
      </c>
      <c r="AF1821" s="26" t="s">
        <v>0</v>
      </c>
      <c r="AG1821" s="47" t="s">
        <v>7521</v>
      </c>
    </row>
    <row r="1822" spans="1:33" ht="6.9" customHeight="1" x14ac:dyDescent="0.4">
      <c r="A1822" s="4">
        <f>ROW()</f>
        <v>1822</v>
      </c>
      <c r="B1822" s="9" t="s">
        <v>27</v>
      </c>
      <c r="C1822" s="55" t="str">
        <f t="shared" si="746"/>
        <v>p.sondar</v>
      </c>
      <c r="D1822" s="6" t="str">
        <f t="shared" si="742"/>
        <v>é.estrato.de.solo</v>
      </c>
      <c r="E1822" s="8" t="s">
        <v>28</v>
      </c>
      <c r="F1822" s="42" t="str">
        <f t="shared" si="750"/>
        <v>d.sondar</v>
      </c>
      <c r="G1822" s="70" t="s">
        <v>7491</v>
      </c>
      <c r="H1822" s="42" t="s">
        <v>2121</v>
      </c>
      <c r="I1822" s="16" t="str">
        <f t="shared" si="743"/>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24"/>
        <v>Propriedade destinada a sondar: é.estrato.de.solo</v>
      </c>
      <c r="V1822" s="5" t="str">
        <f t="shared" si="725"/>
        <v>Dado para sondar:  estrato.de.solo  Deve ser formatado como (rdfs:Literal  or  xsd:string)</v>
      </c>
      <c r="W1822" s="71" t="s">
        <v>7515</v>
      </c>
      <c r="X1822" s="24" t="str">
        <f t="shared" si="726"/>
        <v>sonda.105</v>
      </c>
      <c r="Y1822" s="24" t="str">
        <f t="shared" si="727"/>
        <v>Ação de sondar</v>
      </c>
      <c r="Z1822" s="47" t="s">
        <v>8093</v>
      </c>
      <c r="AA1822" s="25" t="str">
        <f t="shared" si="744"/>
        <v>null</v>
      </c>
      <c r="AB1822" s="26" t="s">
        <v>0</v>
      </c>
      <c r="AC1822" s="25" t="str">
        <f t="shared" si="745"/>
        <v>null</v>
      </c>
      <c r="AD1822" s="26" t="s">
        <v>0</v>
      </c>
      <c r="AE1822" s="25" t="str">
        <f t="shared" si="749"/>
        <v>null</v>
      </c>
      <c r="AF1822" s="26" t="s">
        <v>0</v>
      </c>
      <c r="AG1822" s="47" t="s">
        <v>7522</v>
      </c>
    </row>
    <row r="1823" spans="1:33" ht="6.9" customHeight="1" x14ac:dyDescent="0.4">
      <c r="A1823" s="4">
        <f>ROW()</f>
        <v>1823</v>
      </c>
      <c r="B1823" s="9" t="s">
        <v>27</v>
      </c>
      <c r="C1823" s="55" t="str">
        <f t="shared" si="746"/>
        <v>p.sondar</v>
      </c>
      <c r="D1823" s="6" t="str">
        <f t="shared" si="742"/>
        <v>é.resistência.terreno</v>
      </c>
      <c r="E1823" s="8" t="s">
        <v>28</v>
      </c>
      <c r="F1823" s="42" t="str">
        <f t="shared" si="750"/>
        <v>d.sondar</v>
      </c>
      <c r="G1823" s="70" t="s">
        <v>7490</v>
      </c>
      <c r="H1823" s="41" t="s">
        <v>36</v>
      </c>
      <c r="I1823" s="16" t="str">
        <f t="shared" si="743"/>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24"/>
        <v>Propriedade destinada a sondar: é.resistência.terreno</v>
      </c>
      <c r="V1823" s="5" t="str">
        <f t="shared" si="725"/>
        <v>Dado para sondar:  resistência.terreno  Deve ser formatado como (xsd:double)</v>
      </c>
      <c r="W1823" s="71" t="s">
        <v>7516</v>
      </c>
      <c r="X1823" s="24" t="str">
        <f t="shared" si="726"/>
        <v>sonda.106</v>
      </c>
      <c r="Y1823" s="24" t="str">
        <f t="shared" si="727"/>
        <v>Ação de sondar</v>
      </c>
      <c r="Z1823" s="47" t="s">
        <v>8094</v>
      </c>
      <c r="AA1823" s="25" t="str">
        <f t="shared" si="744"/>
        <v>null</v>
      </c>
      <c r="AB1823" s="26" t="s">
        <v>0</v>
      </c>
      <c r="AC1823" s="25" t="str">
        <f t="shared" si="745"/>
        <v>null</v>
      </c>
      <c r="AD1823" s="26" t="s">
        <v>0</v>
      </c>
      <c r="AE1823" s="25" t="str">
        <f t="shared" si="749"/>
        <v>null</v>
      </c>
      <c r="AF1823" s="26" t="s">
        <v>0</v>
      </c>
      <c r="AG1823" s="47" t="s">
        <v>7523</v>
      </c>
    </row>
    <row r="1824" spans="1:33" ht="6.9" customHeight="1" x14ac:dyDescent="0.4">
      <c r="A1824" s="4">
        <f>ROW()</f>
        <v>1824</v>
      </c>
      <c r="B1824" s="9" t="s">
        <v>27</v>
      </c>
      <c r="C1824" s="54" t="str">
        <f t="shared" si="746"/>
        <v>p.sonorizar</v>
      </c>
      <c r="D1824" s="6" t="str">
        <f t="shared" si="742"/>
        <v>é.amplitude.sonora</v>
      </c>
      <c r="E1824" s="8" t="s">
        <v>28</v>
      </c>
      <c r="F1824" s="51" t="s">
        <v>4233</v>
      </c>
      <c r="G1824" s="41" t="s">
        <v>4355</v>
      </c>
      <c r="H1824" s="41" t="s">
        <v>36</v>
      </c>
      <c r="I1824" s="16" t="str">
        <f>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24"/>
        <v>Propriedade destinada a sonorizar: é.amplitude.sonora</v>
      </c>
      <c r="V1824" s="5" t="str">
        <f t="shared" si="725"/>
        <v>Dado para sonorizar:  amplitude.sonora  Deve ser formatado como (xsd:double)</v>
      </c>
      <c r="W1824" s="5" t="s">
        <v>6435</v>
      </c>
      <c r="X1824" s="24" t="str">
        <f t="shared" si="726"/>
        <v>sonor.100</v>
      </c>
      <c r="Y1824" s="24" t="str">
        <f t="shared" si="727"/>
        <v>Ação de sonorizar</v>
      </c>
      <c r="Z1824" s="47" t="s">
        <v>4267</v>
      </c>
      <c r="AA1824" s="25" t="str">
        <f>IF(AB1824="null", "null", "categoria.revit")</f>
        <v>null</v>
      </c>
      <c r="AB1824" s="26" t="s">
        <v>0</v>
      </c>
      <c r="AC1824" s="25" t="str">
        <f>IF(AD1824="null", "null", "classe.ifc")</f>
        <v>null</v>
      </c>
      <c r="AD1824" s="26" t="s">
        <v>0</v>
      </c>
      <c r="AE1824" s="25" t="str">
        <f>IF(AF1824="null", "null", "propriedade")</f>
        <v>null</v>
      </c>
      <c r="AF1824" s="26" t="s">
        <v>0</v>
      </c>
      <c r="AG1824" s="47" t="s">
        <v>4266</v>
      </c>
    </row>
    <row r="1825" spans="1:33" ht="6.9" customHeight="1" x14ac:dyDescent="0.4">
      <c r="A1825" s="4">
        <f>ROW()</f>
        <v>1825</v>
      </c>
      <c r="B1825" s="9" t="s">
        <v>27</v>
      </c>
      <c r="C1825" s="55" t="str">
        <f>SUBSTITUTE(F1825,"d.","p.")</f>
        <v>p.sonorizar</v>
      </c>
      <c r="D1825" s="6" t="str">
        <f t="shared" si="742"/>
        <v>é.equipo.de.som</v>
      </c>
      <c r="E1825" s="8" t="s">
        <v>28</v>
      </c>
      <c r="F1825" s="42" t="str">
        <f>F1824</f>
        <v>d.sonorizar</v>
      </c>
      <c r="G1825" s="17" t="s">
        <v>4472</v>
      </c>
      <c r="H1825" s="42" t="s">
        <v>2121</v>
      </c>
      <c r="I1825" s="16" t="str">
        <f t="shared" ref="I1825" si="755">J1825</f>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24"/>
        <v>Propriedade destinada a sonorizar: é.equipo.de.som</v>
      </c>
      <c r="V1825" s="5" t="str">
        <f t="shared" si="725"/>
        <v>Dado para sonorizar:  equipo.de.som  Deve ser formatado como (rdfs:Literal  or  xsd:string)</v>
      </c>
      <c r="W1825" s="5" t="s">
        <v>6432</v>
      </c>
      <c r="X1825" s="24" t="str">
        <f t="shared" si="726"/>
        <v>sonor.101</v>
      </c>
      <c r="Y1825" s="24" t="str">
        <f t="shared" si="727"/>
        <v>Ação de sonorizar</v>
      </c>
      <c r="Z1825" s="47" t="s">
        <v>4236</v>
      </c>
      <c r="AA1825" s="25" t="str">
        <f t="shared" ref="AA1825" si="756">IF(AB1825="null", "null", "categoria.revit")</f>
        <v>null</v>
      </c>
      <c r="AB1825" s="26" t="s">
        <v>0</v>
      </c>
      <c r="AC1825" s="25" t="str">
        <f t="shared" ref="AC1825" si="757">IF(AD1825="null", "null", "classe.ifc")</f>
        <v>null</v>
      </c>
      <c r="AD1825" s="26" t="s">
        <v>0</v>
      </c>
      <c r="AE1825" s="25" t="str">
        <f t="shared" ref="AE1825" si="758">IF(AF1825="null", "null", "propriedade")</f>
        <v>null</v>
      </c>
      <c r="AF1825" s="26" t="s">
        <v>0</v>
      </c>
      <c r="AG1825" s="47" t="s">
        <v>4237</v>
      </c>
    </row>
    <row r="1826" spans="1:33" ht="6.9" customHeight="1" x14ac:dyDescent="0.4">
      <c r="A1826" s="4">
        <f>ROW()</f>
        <v>1826</v>
      </c>
      <c r="B1826" s="9" t="s">
        <v>27</v>
      </c>
      <c r="C1826" s="55" t="str">
        <f>SUBSTITUTE(F1826,"d.","p.")</f>
        <v>p.sonorizar</v>
      </c>
      <c r="D1826" s="6" t="str">
        <f t="shared" si="742"/>
        <v>é.fase.da.onda</v>
      </c>
      <c r="E1826" s="8" t="s">
        <v>28</v>
      </c>
      <c r="F1826" s="42" t="str">
        <f t="shared" ref="F1826:F1828" si="759">F1825</f>
        <v>d.sonorizar</v>
      </c>
      <c r="G1826" s="41" t="s">
        <v>4356</v>
      </c>
      <c r="H1826" s="41" t="s">
        <v>36</v>
      </c>
      <c r="I1826" s="16" t="str">
        <f>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24"/>
        <v>Propriedade destinada a sonorizar: é.fase.da.onda</v>
      </c>
      <c r="V1826" s="5" t="str">
        <f t="shared" si="725"/>
        <v>Dado para sonorizar:  fase.da.onda  Deve ser formatado como (xsd:double)</v>
      </c>
      <c r="W1826" s="5" t="s">
        <v>6436</v>
      </c>
      <c r="X1826" s="24" t="str">
        <f t="shared" si="726"/>
        <v>sonor.102</v>
      </c>
      <c r="Y1826" s="24" t="str">
        <f t="shared" si="727"/>
        <v>Ação de sonorizar</v>
      </c>
      <c r="Z1826" s="47" t="s">
        <v>4268</v>
      </c>
      <c r="AA1826" s="25" t="str">
        <f>IF(AB1826="null", "null", "categoria.revit")</f>
        <v>null</v>
      </c>
      <c r="AB1826" s="26" t="s">
        <v>0</v>
      </c>
      <c r="AC1826" s="25" t="str">
        <f>IF(AD1826="null", "null", "classe.ifc")</f>
        <v>null</v>
      </c>
      <c r="AD1826" s="26" t="s">
        <v>0</v>
      </c>
      <c r="AE1826" s="25" t="str">
        <f>IF(AF1826="null", "null", "propriedade")</f>
        <v>null</v>
      </c>
      <c r="AF1826" s="26" t="s">
        <v>0</v>
      </c>
      <c r="AG1826" s="47" t="s">
        <v>4813</v>
      </c>
    </row>
    <row r="1827" spans="1:33" ht="6.9" customHeight="1" x14ac:dyDescent="0.4">
      <c r="A1827" s="4">
        <f>ROW()</f>
        <v>1827</v>
      </c>
      <c r="B1827" s="9" t="s">
        <v>27</v>
      </c>
      <c r="C1827" s="55" t="str">
        <f>SUBSTITUTE(F1827,"d.","p.")</f>
        <v>p.sonorizar</v>
      </c>
      <c r="D1827" s="6" t="str">
        <f t="shared" si="742"/>
        <v>é.frequência.sonora</v>
      </c>
      <c r="E1827" s="8" t="s">
        <v>28</v>
      </c>
      <c r="F1827" s="42" t="str">
        <f t="shared" si="759"/>
        <v>d.sonorizar</v>
      </c>
      <c r="G1827" s="41" t="s">
        <v>4354</v>
      </c>
      <c r="H1827" s="41" t="s">
        <v>36</v>
      </c>
      <c r="I1827" s="16" t="str">
        <f>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24"/>
        <v>Propriedade destinada a sonorizar: é.frequência.sonora</v>
      </c>
      <c r="V1827" s="5" t="str">
        <f t="shared" si="725"/>
        <v>Dado para sonorizar:  frequência.sonora  Deve ser formatado como (xsd:double)</v>
      </c>
      <c r="W1827" s="5" t="s">
        <v>6434</v>
      </c>
      <c r="X1827" s="24" t="str">
        <f t="shared" si="726"/>
        <v>sonor.103</v>
      </c>
      <c r="Y1827" s="24" t="str">
        <f t="shared" si="727"/>
        <v>Ação de sonorizar</v>
      </c>
      <c r="Z1827" s="47" t="s">
        <v>4269</v>
      </c>
      <c r="AA1827" s="25" t="str">
        <f>IF(AB1827="null", "null", "categoria.revit")</f>
        <v>null</v>
      </c>
      <c r="AB1827" s="26" t="s">
        <v>0</v>
      </c>
      <c r="AC1827" s="25" t="str">
        <f>IF(AD1827="null", "null", "classe.ifc")</f>
        <v>null</v>
      </c>
      <c r="AD1827" s="26" t="s">
        <v>0</v>
      </c>
      <c r="AE1827" s="25" t="str">
        <f>IF(AF1827="null", "null", "propriedade")</f>
        <v>null</v>
      </c>
      <c r="AF1827" s="26" t="s">
        <v>0</v>
      </c>
      <c r="AG1827" s="47" t="s">
        <v>4265</v>
      </c>
    </row>
    <row r="1828" spans="1:33" ht="6.9" customHeight="1" x14ac:dyDescent="0.4">
      <c r="A1828" s="4">
        <f>ROW()</f>
        <v>1828</v>
      </c>
      <c r="B1828" s="9" t="s">
        <v>27</v>
      </c>
      <c r="C1828" s="55" t="str">
        <f>SUBSTITUTE(F1828,"d.","p.")</f>
        <v>p.sonorizar</v>
      </c>
      <c r="D1828" s="6" t="str">
        <f t="shared" si="742"/>
        <v>é.tipo.de.equipo.de.som</v>
      </c>
      <c r="E1828" s="8" t="s">
        <v>28</v>
      </c>
      <c r="F1828" s="42" t="str">
        <f t="shared" si="759"/>
        <v>d.sonorizar</v>
      </c>
      <c r="G1828" s="17" t="s">
        <v>4353</v>
      </c>
      <c r="H1828" s="42" t="s">
        <v>2121</v>
      </c>
      <c r="I1828" s="16" t="str">
        <f>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24"/>
        <v>Propriedade destinada a sonorizar: é.tipo.de.equipo.de.som</v>
      </c>
      <c r="V1828" s="5" t="str">
        <f t="shared" si="725"/>
        <v>Dado para sonorizar:  tipo.de.equipo.de.som  Deve ser formatado como (rdfs:Literal  or  xsd:string)</v>
      </c>
      <c r="W1828" s="5" t="s">
        <v>6433</v>
      </c>
      <c r="X1828" s="24" t="str">
        <f t="shared" si="726"/>
        <v>sonor.104</v>
      </c>
      <c r="Y1828" s="24" t="str">
        <f t="shared" si="727"/>
        <v>Ação de sonorizar</v>
      </c>
      <c r="Z1828" s="47" t="s">
        <v>4235</v>
      </c>
      <c r="AA1828" s="25" t="str">
        <f>IF(AB1828="null", "null", "categoria.revit")</f>
        <v>null</v>
      </c>
      <c r="AB1828" s="26" t="s">
        <v>0</v>
      </c>
      <c r="AC1828" s="25" t="str">
        <f>IF(AD1828="null", "null", "classe.ifc")</f>
        <v>null</v>
      </c>
      <c r="AD1828" s="26" t="s">
        <v>0</v>
      </c>
      <c r="AE1828" s="25" t="str">
        <f>IF(AF1828="null", "null", "propriedade")</f>
        <v>null</v>
      </c>
      <c r="AF1828" s="26" t="s">
        <v>0</v>
      </c>
      <c r="AG1828" s="47" t="s">
        <v>4238</v>
      </c>
    </row>
    <row r="1829" spans="1:33" ht="6.9" customHeight="1" x14ac:dyDescent="0.4">
      <c r="A1829" s="4">
        <f>ROW()</f>
        <v>1829</v>
      </c>
      <c r="B1829" s="9" t="s">
        <v>27</v>
      </c>
      <c r="C1829" s="54" t="str">
        <f t="shared" ref="C1829:C1832" si="760">SUBSTITUTE(F1829,"d.","p.")</f>
        <v>p.suportar</v>
      </c>
      <c r="D1829" s="6" t="str">
        <f t="shared" si="742"/>
        <v>é.âncora.estrutural</v>
      </c>
      <c r="E1829" s="8" t="s">
        <v>28</v>
      </c>
      <c r="F1829" s="51" t="s">
        <v>3634</v>
      </c>
      <c r="G1829" s="17" t="s">
        <v>4473</v>
      </c>
      <c r="H1829" s="42" t="s">
        <v>2121</v>
      </c>
      <c r="I1829" s="16" t="str">
        <f t="shared" ref="I1829" si="761">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24"/>
        <v>Propriedade destinada a suportar: é.âncora.estrutural</v>
      </c>
      <c r="V1829" s="5" t="str">
        <f t="shared" si="725"/>
        <v>Dado para suportar:  âncora.estrutural  Deve ser formatado como (rdfs:Literal  or  xsd:string)</v>
      </c>
      <c r="W1829" s="5" t="s">
        <v>6437</v>
      </c>
      <c r="X1829" s="24" t="str">
        <f t="shared" si="726"/>
        <v>supor.100</v>
      </c>
      <c r="Y1829" s="24" t="str">
        <f t="shared" si="727"/>
        <v>Ação de suportar</v>
      </c>
      <c r="Z1829" s="47" t="s">
        <v>4234</v>
      </c>
      <c r="AA1829" s="25" t="str">
        <f t="shared" ref="AA1829" si="762">IF(AB1829="null", "null", "categoria.revit")</f>
        <v>categoria.revit</v>
      </c>
      <c r="AB1829" s="26" t="s">
        <v>3531</v>
      </c>
      <c r="AC1829" s="25" t="str">
        <f t="shared" ref="AC1829" si="763">IF(AD1829="null", "null", "classe.ifc")</f>
        <v>classe.ifc</v>
      </c>
      <c r="AD1829" s="26" t="s">
        <v>3482</v>
      </c>
      <c r="AE1829" s="25" t="str">
        <f t="shared" ref="AE1829" si="764">IF(AF1829="null", "null", "propriedade")</f>
        <v>null</v>
      </c>
      <c r="AF1829" s="26" t="s">
        <v>0</v>
      </c>
      <c r="AG1829" s="47" t="s">
        <v>3370</v>
      </c>
    </row>
    <row r="1830" spans="1:33" ht="6.9" customHeight="1" x14ac:dyDescent="0.4">
      <c r="A1830" s="4">
        <f>ROW()</f>
        <v>1830</v>
      </c>
      <c r="B1830" s="9" t="s">
        <v>27</v>
      </c>
      <c r="C1830" s="55" t="str">
        <f t="shared" si="760"/>
        <v>p.suportar</v>
      </c>
      <c r="D1830" s="6" t="str">
        <f t="shared" si="742"/>
        <v>é.aparelho.de.apoio</v>
      </c>
      <c r="E1830" s="8" t="s">
        <v>28</v>
      </c>
      <c r="F1830" s="42" t="str">
        <f>F1829</f>
        <v>d.suportar</v>
      </c>
      <c r="G1830" s="17" t="s">
        <v>7600</v>
      </c>
      <c r="H1830" s="42" t="s">
        <v>2121</v>
      </c>
      <c r="I1830" s="16" t="str">
        <f t="shared" ref="I1830:I1863" si="765">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24"/>
        <v>Propriedade destinada a suportar: é.aparelho.de.apoio</v>
      </c>
      <c r="V1830" s="5" t="str">
        <f t="shared" si="725"/>
        <v>Dado para suportar:  aparelho.de.apoio  Deve ser formatado como (rdfs:Literal  or  xsd:string)</v>
      </c>
      <c r="W1830" s="5" t="s">
        <v>7601</v>
      </c>
      <c r="X1830" s="24" t="str">
        <f t="shared" si="726"/>
        <v>supor.101</v>
      </c>
      <c r="Y1830" s="24" t="str">
        <f t="shared" si="727"/>
        <v>Ação de suportar</v>
      </c>
      <c r="Z1830" s="47" t="s">
        <v>7602</v>
      </c>
      <c r="AA1830" s="25" t="str">
        <f t="shared" ref="AA1830:AA1863" si="766">IF(AB1830="null", "null", "categoria.revit")</f>
        <v>categoria.revit</v>
      </c>
      <c r="AB1830" s="26" t="s">
        <v>7604</v>
      </c>
      <c r="AC1830" s="25" t="str">
        <f t="shared" ref="AC1830:AC1863" si="767">IF(AD1830="null", "null", "classe.ifc")</f>
        <v>classe.ifc</v>
      </c>
      <c r="AD1830" s="26" t="s">
        <v>3481</v>
      </c>
      <c r="AE1830" s="25" t="str">
        <f t="shared" ref="AE1830:AE1863" si="768">IF(AF1830="null", "null", "propriedade")</f>
        <v>null</v>
      </c>
      <c r="AF1830" s="26" t="s">
        <v>0</v>
      </c>
      <c r="AG1830" s="47" t="s">
        <v>7603</v>
      </c>
    </row>
    <row r="1831" spans="1:33" ht="6.9" customHeight="1" x14ac:dyDescent="0.4">
      <c r="A1831" s="4">
        <f>ROW()</f>
        <v>1831</v>
      </c>
      <c r="B1831" s="9" t="s">
        <v>27</v>
      </c>
      <c r="C1831" s="55" t="str">
        <f t="shared" si="760"/>
        <v>p.suportar</v>
      </c>
      <c r="D1831" s="6" t="str">
        <f t="shared" si="742"/>
        <v>é.armadura.estrutural</v>
      </c>
      <c r="E1831" s="8" t="s">
        <v>28</v>
      </c>
      <c r="F1831" s="42" t="str">
        <f>F1829</f>
        <v>d.suportar</v>
      </c>
      <c r="G1831" s="17" t="s">
        <v>4474</v>
      </c>
      <c r="H1831" s="42" t="s">
        <v>2121</v>
      </c>
      <c r="I1831" s="16" t="str">
        <f t="shared" si="765"/>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24"/>
        <v>Propriedade destinada a suportar: é.armadura.estrutural</v>
      </c>
      <c r="V1831" s="5" t="str">
        <f t="shared" si="725"/>
        <v>Dado para suportar:  armadura.estrutural  Deve ser formatado como (rdfs:Literal  or  xsd:string)</v>
      </c>
      <c r="W1831" s="5" t="s">
        <v>6438</v>
      </c>
      <c r="X1831" s="24" t="str">
        <f t="shared" si="726"/>
        <v>supor.102</v>
      </c>
      <c r="Y1831" s="24" t="str">
        <f t="shared" si="727"/>
        <v>Ação de suportar</v>
      </c>
      <c r="Z1831" s="47" t="s">
        <v>3384</v>
      </c>
      <c r="AA1831" s="25" t="str">
        <f t="shared" si="766"/>
        <v>categoria.revit</v>
      </c>
      <c r="AB1831" s="26" t="s">
        <v>3530</v>
      </c>
      <c r="AC1831" s="25" t="str">
        <f t="shared" si="767"/>
        <v>classe.ifc</v>
      </c>
      <c r="AD1831" s="26" t="s">
        <v>3481</v>
      </c>
      <c r="AE1831" s="25" t="str">
        <f t="shared" si="768"/>
        <v>null</v>
      </c>
      <c r="AF1831" s="26" t="s">
        <v>0</v>
      </c>
      <c r="AG1831" s="47" t="s">
        <v>3382</v>
      </c>
    </row>
    <row r="1832" spans="1:33" ht="6.9" customHeight="1" x14ac:dyDescent="0.4">
      <c r="A1832" s="4">
        <f>ROW()</f>
        <v>1832</v>
      </c>
      <c r="B1832" s="9" t="s">
        <v>27</v>
      </c>
      <c r="C1832" s="55" t="str">
        <f t="shared" si="760"/>
        <v>p.suportar</v>
      </c>
      <c r="D1832" s="6" t="str">
        <f t="shared" si="742"/>
        <v>é.armadura.negativa</v>
      </c>
      <c r="E1832" s="8" t="s">
        <v>28</v>
      </c>
      <c r="F1832" s="42" t="str">
        <f>F1829</f>
        <v>d.suportar</v>
      </c>
      <c r="G1832" s="17" t="s">
        <v>7692</v>
      </c>
      <c r="H1832" s="42" t="s">
        <v>2121</v>
      </c>
      <c r="I1832" s="16" t="str">
        <f t="shared" si="765"/>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24"/>
        <v>Propriedade destinada a suportar: é.armadura.negativa</v>
      </c>
      <c r="V1832" s="5" t="str">
        <f t="shared" si="725"/>
        <v>Dado para suportar:  armadura.negativa  Deve ser formatado como (rdfs:Literal  or  xsd:string)</v>
      </c>
      <c r="W1832" s="5" t="s">
        <v>7694</v>
      </c>
      <c r="X1832" s="24" t="str">
        <f t="shared" si="726"/>
        <v>supor.103</v>
      </c>
      <c r="Y1832" s="24" t="str">
        <f t="shared" si="727"/>
        <v>Ação de suportar</v>
      </c>
      <c r="Z1832" s="47" t="s">
        <v>7696</v>
      </c>
      <c r="AA1832" s="25" t="str">
        <f t="shared" si="766"/>
        <v>categoria.revit</v>
      </c>
      <c r="AB1832" s="26" t="s">
        <v>3530</v>
      </c>
      <c r="AC1832" s="25" t="str">
        <f t="shared" si="767"/>
        <v>classe.ifc</v>
      </c>
      <c r="AD1832" s="26" t="s">
        <v>3481</v>
      </c>
      <c r="AE1832" s="25" t="str">
        <f t="shared" si="768"/>
        <v>null</v>
      </c>
      <c r="AF1832" s="26" t="s">
        <v>0</v>
      </c>
      <c r="AG1832" s="47" t="s">
        <v>7698</v>
      </c>
    </row>
    <row r="1833" spans="1:33" ht="6.9" customHeight="1" x14ac:dyDescent="0.4">
      <c r="A1833" s="4">
        <f>ROW()</f>
        <v>1833</v>
      </c>
      <c r="B1833" s="9" t="s">
        <v>27</v>
      </c>
      <c r="C1833" s="55" t="str">
        <f t="shared" ref="C1833:C1863" si="769">SUBSTITUTE(F1833,"d.","p.")</f>
        <v>p.suportar</v>
      </c>
      <c r="D1833" s="6" t="str">
        <f t="shared" si="742"/>
        <v>é.armadura.positiva</v>
      </c>
      <c r="E1833" s="8" t="s">
        <v>28</v>
      </c>
      <c r="F1833" s="42" t="str">
        <f>F1830</f>
        <v>d.suportar</v>
      </c>
      <c r="G1833" s="17" t="s">
        <v>7693</v>
      </c>
      <c r="H1833" s="42" t="s">
        <v>2121</v>
      </c>
      <c r="I1833" s="16" t="str">
        <f t="shared" si="765"/>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24"/>
        <v>Propriedade destinada a suportar: é.armadura.positiva</v>
      </c>
      <c r="V1833" s="5" t="str">
        <f t="shared" si="725"/>
        <v>Dado para suportar:  armadura.positiva  Deve ser formatado como (rdfs:Literal  or  xsd:string)</v>
      </c>
      <c r="W1833" s="5" t="s">
        <v>7695</v>
      </c>
      <c r="X1833" s="24" t="str">
        <f t="shared" si="726"/>
        <v>supor.104</v>
      </c>
      <c r="Y1833" s="24" t="str">
        <f t="shared" si="727"/>
        <v>Ação de suportar</v>
      </c>
      <c r="Z1833" s="47" t="s">
        <v>7697</v>
      </c>
      <c r="AA1833" s="25" t="str">
        <f t="shared" si="766"/>
        <v>categoria.revit</v>
      </c>
      <c r="AB1833" s="26" t="s">
        <v>3530</v>
      </c>
      <c r="AC1833" s="25" t="str">
        <f t="shared" si="767"/>
        <v>classe.ifc</v>
      </c>
      <c r="AD1833" s="26" t="s">
        <v>3481</v>
      </c>
      <c r="AE1833" s="25" t="str">
        <f t="shared" si="768"/>
        <v>null</v>
      </c>
      <c r="AF1833" s="26" t="s">
        <v>0</v>
      </c>
      <c r="AG1833" s="47" t="s">
        <v>7699</v>
      </c>
    </row>
    <row r="1834" spans="1:33" ht="6.9" customHeight="1" x14ac:dyDescent="0.4">
      <c r="A1834" s="4">
        <f>ROW()</f>
        <v>1834</v>
      </c>
      <c r="B1834" s="9" t="s">
        <v>27</v>
      </c>
      <c r="C1834" s="55" t="str">
        <f t="shared" si="769"/>
        <v>p.suportar</v>
      </c>
      <c r="D1834" s="6" t="str">
        <f t="shared" si="742"/>
        <v>é.balanço.estrutural</v>
      </c>
      <c r="E1834" s="8" t="s">
        <v>28</v>
      </c>
      <c r="F1834" s="42" t="str">
        <f t="shared" ref="F1834:F1860" si="770">F1833</f>
        <v>d.suportar</v>
      </c>
      <c r="G1834" s="17" t="s">
        <v>4475</v>
      </c>
      <c r="H1834" s="42" t="s">
        <v>2121</v>
      </c>
      <c r="I1834" s="16" t="str">
        <f t="shared" si="765"/>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24"/>
        <v>Propriedade destinada a suportar: é.balanço.estrutural</v>
      </c>
      <c r="V1834" s="5" t="str">
        <f t="shared" si="725"/>
        <v>Dado para suportar:  balanço.estrutural  Deve ser formatado como (rdfs:Literal  or  xsd:string)</v>
      </c>
      <c r="W1834" s="5" t="s">
        <v>6439</v>
      </c>
      <c r="X1834" s="24" t="str">
        <f t="shared" si="726"/>
        <v>supor.105</v>
      </c>
      <c r="Y1834" s="24" t="str">
        <f t="shared" si="727"/>
        <v>Ação de suportar</v>
      </c>
      <c r="Z1834" s="47" t="s">
        <v>3401</v>
      </c>
      <c r="AA1834" s="25" t="str">
        <f t="shared" si="766"/>
        <v>categoria.revit</v>
      </c>
      <c r="AB1834" s="26" t="s">
        <v>3934</v>
      </c>
      <c r="AC1834" s="25" t="str">
        <f t="shared" si="767"/>
        <v>classe.ifc</v>
      </c>
      <c r="AD1834" s="26" t="s">
        <v>3929</v>
      </c>
      <c r="AE1834" s="25" t="str">
        <f t="shared" si="768"/>
        <v>null</v>
      </c>
      <c r="AF1834" s="26" t="s">
        <v>0</v>
      </c>
      <c r="AG1834" s="47" t="s">
        <v>4814</v>
      </c>
    </row>
    <row r="1835" spans="1:33" ht="6.9" customHeight="1" x14ac:dyDescent="0.4">
      <c r="A1835" s="4">
        <f>ROW()</f>
        <v>1835</v>
      </c>
      <c r="B1835" s="9" t="s">
        <v>27</v>
      </c>
      <c r="C1835" s="55" t="str">
        <f t="shared" si="769"/>
        <v>p.suportar</v>
      </c>
      <c r="D1835" s="6" t="str">
        <f t="shared" si="742"/>
        <v>é.baldrame</v>
      </c>
      <c r="E1835" s="8" t="s">
        <v>28</v>
      </c>
      <c r="F1835" s="42" t="str">
        <f t="shared" si="770"/>
        <v>d.suportar</v>
      </c>
      <c r="G1835" s="17" t="s">
        <v>7585</v>
      </c>
      <c r="H1835" s="42" t="s">
        <v>2121</v>
      </c>
      <c r="I1835" s="16" t="str">
        <f t="shared" si="765"/>
        <v>null</v>
      </c>
      <c r="J1835" s="15" t="s">
        <v>0</v>
      </c>
      <c r="K1835" s="15" t="s">
        <v>0</v>
      </c>
      <c r="L1835" s="15" t="s">
        <v>0</v>
      </c>
      <c r="M1835" s="15" t="s">
        <v>0</v>
      </c>
      <c r="N1835" s="15" t="s">
        <v>0</v>
      </c>
      <c r="O1835" s="15" t="s">
        <v>0</v>
      </c>
      <c r="P1835" s="15" t="s">
        <v>0</v>
      </c>
      <c r="Q1835" s="15" t="s">
        <v>0</v>
      </c>
      <c r="R1835" s="15" t="s">
        <v>7595</v>
      </c>
      <c r="S1835" s="10" t="s">
        <v>1</v>
      </c>
      <c r="T1835" s="10" t="s">
        <v>32</v>
      </c>
      <c r="U1835" s="5" t="str">
        <f t="shared" si="724"/>
        <v>Propriedade destinada a suportar: é.baldrame</v>
      </c>
      <c r="V1835" s="5" t="str">
        <f t="shared" si="725"/>
        <v>Dado para suportar:  baldrame  Deve ser formatado como (rdfs:Literal  or  xsd:string)</v>
      </c>
      <c r="W1835" s="5" t="s">
        <v>7586</v>
      </c>
      <c r="X1835" s="24" t="str">
        <f t="shared" si="726"/>
        <v>supor.106</v>
      </c>
      <c r="Y1835" s="24" t="str">
        <f t="shared" si="727"/>
        <v>Ação de suportar</v>
      </c>
      <c r="Z1835" s="47" t="s">
        <v>7593</v>
      </c>
      <c r="AA1835" s="25" t="str">
        <f t="shared" si="766"/>
        <v>categoria.revit</v>
      </c>
      <c r="AB1835" s="26" t="s">
        <v>3534</v>
      </c>
      <c r="AC1835" s="25" t="str">
        <f t="shared" si="767"/>
        <v>classe.ifc</v>
      </c>
      <c r="AD1835" s="26" t="s">
        <v>3485</v>
      </c>
      <c r="AE1835" s="25" t="str">
        <f t="shared" si="768"/>
        <v>null</v>
      </c>
      <c r="AF1835" s="26" t="s">
        <v>0</v>
      </c>
      <c r="AG1835" s="47" t="s">
        <v>7589</v>
      </c>
    </row>
    <row r="1836" spans="1:33" ht="6.9" customHeight="1" x14ac:dyDescent="0.4">
      <c r="A1836" s="4">
        <f>ROW()</f>
        <v>1836</v>
      </c>
      <c r="B1836" s="9" t="s">
        <v>27</v>
      </c>
      <c r="C1836" s="55" t="str">
        <f t="shared" si="769"/>
        <v>p.suportar</v>
      </c>
      <c r="D1836" s="6" t="str">
        <f t="shared" si="742"/>
        <v>é.banzo.estrutural</v>
      </c>
      <c r="E1836" s="8" t="s">
        <v>28</v>
      </c>
      <c r="F1836" s="42" t="str">
        <f t="shared" si="770"/>
        <v>d.suportar</v>
      </c>
      <c r="G1836" s="17" t="s">
        <v>4476</v>
      </c>
      <c r="H1836" s="42" t="s">
        <v>2121</v>
      </c>
      <c r="I1836" s="16" t="str">
        <f t="shared" si="765"/>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24"/>
        <v>Propriedade destinada a suportar: é.banzo.estrutural</v>
      </c>
      <c r="V1836" s="5" t="str">
        <f t="shared" si="725"/>
        <v>Dado para suportar:  banzo.estrutural  Deve ser formatado como (rdfs:Literal  or  xsd:string)</v>
      </c>
      <c r="W1836" s="5" t="s">
        <v>6440</v>
      </c>
      <c r="X1836" s="24" t="str">
        <f t="shared" si="726"/>
        <v>supor.107</v>
      </c>
      <c r="Y1836" s="24" t="str">
        <f t="shared" si="727"/>
        <v>Ação de suportar</v>
      </c>
      <c r="Z1836" s="47" t="s">
        <v>3385</v>
      </c>
      <c r="AA1836" s="25" t="str">
        <f t="shared" si="766"/>
        <v>categoria.revit</v>
      </c>
      <c r="AB1836" s="26" t="s">
        <v>3935</v>
      </c>
      <c r="AC1836" s="25" t="str">
        <f t="shared" si="767"/>
        <v>classe.ifc</v>
      </c>
      <c r="AD1836" s="26" t="s">
        <v>3483</v>
      </c>
      <c r="AE1836" s="25" t="str">
        <f t="shared" si="768"/>
        <v>null</v>
      </c>
      <c r="AF1836" s="26" t="s">
        <v>0</v>
      </c>
      <c r="AG1836" s="47" t="s">
        <v>2635</v>
      </c>
    </row>
    <row r="1837" spans="1:33" ht="6.9" customHeight="1" x14ac:dyDescent="0.4">
      <c r="A1837" s="4">
        <f>ROW()</f>
        <v>1837</v>
      </c>
      <c r="B1837" s="9" t="s">
        <v>27</v>
      </c>
      <c r="C1837" s="55" t="str">
        <f t="shared" si="769"/>
        <v>p.suportar</v>
      </c>
      <c r="D1837" s="6" t="str">
        <f t="shared" si="742"/>
        <v>é.banzo.estrutural.inferior</v>
      </c>
      <c r="E1837" s="8" t="s">
        <v>28</v>
      </c>
      <c r="F1837" s="42" t="str">
        <f t="shared" si="770"/>
        <v>d.suportar</v>
      </c>
      <c r="G1837" s="17" t="s">
        <v>4477</v>
      </c>
      <c r="H1837" s="42" t="s">
        <v>2121</v>
      </c>
      <c r="I1837" s="16" t="str">
        <f t="shared" si="765"/>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24"/>
        <v>Propriedade destinada a suportar: é.banzo.estrutural.inferior</v>
      </c>
      <c r="V1837" s="5" t="str">
        <f t="shared" si="725"/>
        <v>Dado para suportar:  banzo.estrutural.inferior  Deve ser formatado como (rdfs:Literal  or  xsd:string)</v>
      </c>
      <c r="W1837" s="5" t="s">
        <v>6441</v>
      </c>
      <c r="X1837" s="24" t="str">
        <f t="shared" si="726"/>
        <v>supor.108</v>
      </c>
      <c r="Y1837" s="24" t="str">
        <f t="shared" si="727"/>
        <v>Ação de suportar</v>
      </c>
      <c r="Z1837" s="47" t="s">
        <v>3386</v>
      </c>
      <c r="AA1837" s="25" t="str">
        <f t="shared" si="766"/>
        <v>categoria.revit</v>
      </c>
      <c r="AB1837" s="26" t="s">
        <v>3935</v>
      </c>
      <c r="AC1837" s="25" t="str">
        <f t="shared" si="767"/>
        <v>classe.ifc</v>
      </c>
      <c r="AD1837" s="26" t="s">
        <v>3483</v>
      </c>
      <c r="AE1837" s="25" t="str">
        <f t="shared" si="768"/>
        <v>null</v>
      </c>
      <c r="AF1837" s="26" t="s">
        <v>0</v>
      </c>
      <c r="AG1837" s="47" t="s">
        <v>3371</v>
      </c>
    </row>
    <row r="1838" spans="1:33" ht="6.9" customHeight="1" x14ac:dyDescent="0.4">
      <c r="A1838" s="4">
        <f>ROW()</f>
        <v>1838</v>
      </c>
      <c r="B1838" s="9" t="s">
        <v>27</v>
      </c>
      <c r="C1838" s="55" t="str">
        <f t="shared" si="769"/>
        <v>p.suportar</v>
      </c>
      <c r="D1838" s="6" t="str">
        <f t="shared" si="742"/>
        <v>é.banzo.estrutural.superior</v>
      </c>
      <c r="E1838" s="8" t="s">
        <v>28</v>
      </c>
      <c r="F1838" s="42" t="str">
        <f t="shared" si="770"/>
        <v>d.suportar</v>
      </c>
      <c r="G1838" s="17" t="s">
        <v>4478</v>
      </c>
      <c r="H1838" s="42" t="s">
        <v>2121</v>
      </c>
      <c r="I1838" s="16" t="str">
        <f t="shared" si="765"/>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24"/>
        <v>Propriedade destinada a suportar: é.banzo.estrutural.superior</v>
      </c>
      <c r="V1838" s="5" t="str">
        <f t="shared" si="725"/>
        <v>Dado para suportar:  banzo.estrutural.superior  Deve ser formatado como (rdfs:Literal  or  xsd:string)</v>
      </c>
      <c r="W1838" s="5" t="s">
        <v>6442</v>
      </c>
      <c r="X1838" s="24" t="str">
        <f t="shared" si="726"/>
        <v>supor.109</v>
      </c>
      <c r="Y1838" s="24" t="str">
        <f t="shared" si="727"/>
        <v>Ação de suportar</v>
      </c>
      <c r="Z1838" s="47" t="s">
        <v>3387</v>
      </c>
      <c r="AA1838" s="25" t="str">
        <f t="shared" si="766"/>
        <v>categoria.revit</v>
      </c>
      <c r="AB1838" s="26" t="s">
        <v>3935</v>
      </c>
      <c r="AC1838" s="25" t="str">
        <f t="shared" si="767"/>
        <v>classe.ifc</v>
      </c>
      <c r="AD1838" s="26" t="s">
        <v>3483</v>
      </c>
      <c r="AE1838" s="25" t="str">
        <f t="shared" si="768"/>
        <v>null</v>
      </c>
      <c r="AF1838" s="26" t="s">
        <v>0</v>
      </c>
      <c r="AG1838" s="47" t="s">
        <v>3372</v>
      </c>
    </row>
    <row r="1839" spans="1:33" ht="6.9" customHeight="1" x14ac:dyDescent="0.4">
      <c r="A1839" s="4">
        <f>ROW()</f>
        <v>1839</v>
      </c>
      <c r="B1839" s="9" t="s">
        <v>27</v>
      </c>
      <c r="C1839" s="55" t="str">
        <f t="shared" ref="C1839" si="771">SUBSTITUTE(F1839,"d.","p.")</f>
        <v>p.suportar</v>
      </c>
      <c r="D1839" s="6" t="str">
        <f t="shared" si="742"/>
        <v>é.bloco.de.fundação.estrutural</v>
      </c>
      <c r="E1839" s="8" t="s">
        <v>28</v>
      </c>
      <c r="F1839" s="42" t="str">
        <f>F1837</f>
        <v>d.suportar</v>
      </c>
      <c r="G1839" s="17" t="s">
        <v>4484</v>
      </c>
      <c r="H1839" s="42" t="s">
        <v>2121</v>
      </c>
      <c r="I1839" s="16" t="str">
        <f t="shared" si="765"/>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24"/>
        <v>Propriedade destinada a suportar: é.bloco.de.fundação.estrutural</v>
      </c>
      <c r="V1839" s="5" t="str">
        <f t="shared" si="725"/>
        <v>Dado para suportar:  bloco.de.fundação.estrutural  Deve ser formatado como (rdfs:Literal  or  xsd:string)</v>
      </c>
      <c r="W1839" s="5" t="s">
        <v>6447</v>
      </c>
      <c r="X1839" s="24" t="str">
        <f t="shared" si="726"/>
        <v>supor.110</v>
      </c>
      <c r="Y1839" s="24" t="str">
        <f t="shared" si="727"/>
        <v>Ação de suportar</v>
      </c>
      <c r="Z1839" s="47" t="s">
        <v>3390</v>
      </c>
      <c r="AA1839" s="25" t="str">
        <f t="shared" si="766"/>
        <v>categoria.revit</v>
      </c>
      <c r="AB1839" s="26" t="s">
        <v>3534</v>
      </c>
      <c r="AC1839" s="25" t="str">
        <f t="shared" si="767"/>
        <v>classe.ifc</v>
      </c>
      <c r="AD1839" s="26" t="s">
        <v>3485</v>
      </c>
      <c r="AE1839" s="25" t="str">
        <f t="shared" si="768"/>
        <v>null</v>
      </c>
      <c r="AF1839" s="26" t="s">
        <v>0</v>
      </c>
      <c r="AG1839" s="47" t="s">
        <v>2634</v>
      </c>
    </row>
    <row r="1840" spans="1:33" ht="6.9" customHeight="1" x14ac:dyDescent="0.4">
      <c r="A1840" s="4">
        <f>ROW()</f>
        <v>1840</v>
      </c>
      <c r="B1840" s="9" t="s">
        <v>27</v>
      </c>
      <c r="C1840" s="55" t="str">
        <f t="shared" si="769"/>
        <v>p.suportar</v>
      </c>
      <c r="D1840" s="6" t="str">
        <f t="shared" si="742"/>
        <v>é.fundação.pilone</v>
      </c>
      <c r="E1840" s="8" t="s">
        <v>28</v>
      </c>
      <c r="F1840" s="42" t="str">
        <f>F1838</f>
        <v>d.suportar</v>
      </c>
      <c r="G1840" s="17" t="s">
        <v>7700</v>
      </c>
      <c r="H1840" s="42" t="s">
        <v>2121</v>
      </c>
      <c r="I1840" s="16" t="str">
        <f t="shared" si="765"/>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24"/>
        <v>Propriedade destinada a suportar: é.fundação.pilone</v>
      </c>
      <c r="V1840" s="5" t="str">
        <f t="shared" si="725"/>
        <v>Dado para suportar:  fundação.pilone  Deve ser formatado como (rdfs:Literal  or  xsd:string)</v>
      </c>
      <c r="W1840" s="5" t="s">
        <v>6447</v>
      </c>
      <c r="X1840" s="24" t="str">
        <f t="shared" si="726"/>
        <v>supor.111</v>
      </c>
      <c r="Y1840" s="24" t="str">
        <f t="shared" si="727"/>
        <v>Ação de suportar</v>
      </c>
      <c r="Z1840" s="47" t="s">
        <v>3390</v>
      </c>
      <c r="AA1840" s="25" t="str">
        <f t="shared" si="766"/>
        <v>categoria.revit</v>
      </c>
      <c r="AB1840" s="26" t="s">
        <v>7701</v>
      </c>
      <c r="AC1840" s="25" t="str">
        <f t="shared" si="767"/>
        <v>classe.ifc</v>
      </c>
      <c r="AD1840" s="26" t="s">
        <v>3485</v>
      </c>
      <c r="AE1840" s="25" t="str">
        <f t="shared" si="768"/>
        <v>null</v>
      </c>
      <c r="AF1840" s="26" t="s">
        <v>0</v>
      </c>
      <c r="AG1840" s="47" t="s">
        <v>2634</v>
      </c>
    </row>
    <row r="1841" spans="1:33" ht="6.9" customHeight="1" x14ac:dyDescent="0.4">
      <c r="A1841" s="4">
        <f>ROW()</f>
        <v>1841</v>
      </c>
      <c r="B1841" s="9" t="s">
        <v>27</v>
      </c>
      <c r="C1841" s="55" t="str">
        <f t="shared" si="769"/>
        <v>p.suportar</v>
      </c>
      <c r="D1841" s="6" t="str">
        <f t="shared" si="742"/>
        <v>é.coluna.estrutural</v>
      </c>
      <c r="E1841" s="8" t="s">
        <v>28</v>
      </c>
      <c r="F1841" s="42" t="str">
        <f t="shared" si="770"/>
        <v>d.suportar</v>
      </c>
      <c r="G1841" s="17" t="s">
        <v>4479</v>
      </c>
      <c r="H1841" s="42" t="s">
        <v>2121</v>
      </c>
      <c r="I1841" s="16" t="str">
        <f t="shared" si="765"/>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24"/>
        <v>Propriedade destinada a suportar: é.coluna.estrutural</v>
      </c>
      <c r="V1841" s="5" t="str">
        <f t="shared" si="725"/>
        <v>Dado para suportar:  coluna.estrutural  Deve ser formatado como (rdfs:Literal  or  xsd:string)</v>
      </c>
      <c r="W1841" s="5" t="s">
        <v>6443</v>
      </c>
      <c r="X1841" s="24" t="str">
        <f t="shared" si="726"/>
        <v>supor.112</v>
      </c>
      <c r="Y1841" s="24" t="str">
        <f t="shared" si="727"/>
        <v>Ação de suportar</v>
      </c>
      <c r="Z1841" s="47" t="s">
        <v>7590</v>
      </c>
      <c r="AA1841" s="25" t="str">
        <f t="shared" si="766"/>
        <v>categoria.revit</v>
      </c>
      <c r="AB1841" s="26" t="s">
        <v>3496</v>
      </c>
      <c r="AC1841" s="25" t="str">
        <f t="shared" si="767"/>
        <v>classe.ifc</v>
      </c>
      <c r="AD1841" s="26" t="s">
        <v>3459</v>
      </c>
      <c r="AE1841" s="25" t="str">
        <f t="shared" si="768"/>
        <v>null</v>
      </c>
      <c r="AF1841" s="26" t="s">
        <v>0</v>
      </c>
      <c r="AG1841" s="47" t="s">
        <v>2632</v>
      </c>
    </row>
    <row r="1842" spans="1:33" ht="6.9" customHeight="1" x14ac:dyDescent="0.4">
      <c r="A1842" s="4">
        <f>ROW()</f>
        <v>1842</v>
      </c>
      <c r="B1842" s="9" t="s">
        <v>27</v>
      </c>
      <c r="C1842" s="55" t="str">
        <f t="shared" si="769"/>
        <v>p.suportar</v>
      </c>
      <c r="D1842" s="6" t="str">
        <f t="shared" si="742"/>
        <v>é.contraventamento.estrutural</v>
      </c>
      <c r="E1842" s="8" t="s">
        <v>28</v>
      </c>
      <c r="F1842" s="42" t="str">
        <f t="shared" si="770"/>
        <v>d.suportar</v>
      </c>
      <c r="G1842" s="17" t="s">
        <v>4480</v>
      </c>
      <c r="H1842" s="42" t="s">
        <v>2121</v>
      </c>
      <c r="I1842" s="16" t="str">
        <f t="shared" si="765"/>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24"/>
        <v>Propriedade destinada a suportar: é.contraventamento.estrutural</v>
      </c>
      <c r="V1842" s="5" t="str">
        <f t="shared" si="725"/>
        <v>Dado para suportar:  contraventamento.estrutural  Deve ser formatado como (rdfs:Literal  or  xsd:string)</v>
      </c>
      <c r="W1842" s="5" t="s">
        <v>6444</v>
      </c>
      <c r="X1842" s="24" t="str">
        <f t="shared" si="726"/>
        <v>supor.113</v>
      </c>
      <c r="Y1842" s="24" t="str">
        <f t="shared" si="727"/>
        <v>Ação de suportar</v>
      </c>
      <c r="Z1842" s="47" t="s">
        <v>3388</v>
      </c>
      <c r="AA1842" s="25" t="str">
        <f t="shared" si="766"/>
        <v>categoria.revit</v>
      </c>
      <c r="AB1842" s="26" t="s">
        <v>3532</v>
      </c>
      <c r="AC1842" s="25" t="str">
        <f t="shared" si="767"/>
        <v>classe.ifc</v>
      </c>
      <c r="AD1842" s="26" t="s">
        <v>3483</v>
      </c>
      <c r="AE1842" s="25" t="str">
        <f t="shared" si="768"/>
        <v>null</v>
      </c>
      <c r="AF1842" s="26" t="s">
        <v>0</v>
      </c>
      <c r="AG1842" s="47" t="s">
        <v>3373</v>
      </c>
    </row>
    <row r="1843" spans="1:33" ht="6.9" customHeight="1" x14ac:dyDescent="0.4">
      <c r="A1843" s="4">
        <f>ROW()</f>
        <v>1843</v>
      </c>
      <c r="B1843" s="9" t="s">
        <v>27</v>
      </c>
      <c r="C1843" s="55" t="str">
        <f t="shared" si="769"/>
        <v>p.suportar</v>
      </c>
      <c r="D1843" s="6" t="str">
        <f t="shared" si="742"/>
        <v>é.diagonal.estrutural</v>
      </c>
      <c r="E1843" s="8" t="s">
        <v>28</v>
      </c>
      <c r="F1843" s="42" t="str">
        <f t="shared" si="770"/>
        <v>d.suportar</v>
      </c>
      <c r="G1843" s="17" t="s">
        <v>4481</v>
      </c>
      <c r="H1843" s="42" t="s">
        <v>2121</v>
      </c>
      <c r="I1843" s="16" t="str">
        <f t="shared" si="765"/>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24"/>
        <v>Propriedade destinada a suportar: é.diagonal.estrutural</v>
      </c>
      <c r="V1843" s="5" t="str">
        <f t="shared" si="725"/>
        <v>Dado para suportar:  diagonal.estrutural  Deve ser formatado como (rdfs:Literal  or  xsd:string)</v>
      </c>
      <c r="W1843" s="5" t="s">
        <v>6445</v>
      </c>
      <c r="X1843" s="24" t="str">
        <f t="shared" si="726"/>
        <v>supor.114</v>
      </c>
      <c r="Y1843" s="24" t="str">
        <f t="shared" si="727"/>
        <v>Ação de suportar</v>
      </c>
      <c r="Z1843" s="47" t="s">
        <v>3389</v>
      </c>
      <c r="AA1843" s="25" t="str">
        <f t="shared" si="766"/>
        <v>categoria.revit</v>
      </c>
      <c r="AB1843" s="26" t="s">
        <v>3532</v>
      </c>
      <c r="AC1843" s="25" t="str">
        <f t="shared" si="767"/>
        <v>classe.ifc</v>
      </c>
      <c r="AD1843" s="26" t="s">
        <v>3483</v>
      </c>
      <c r="AE1843" s="25" t="str">
        <f t="shared" si="768"/>
        <v>null</v>
      </c>
      <c r="AF1843" s="26" t="s">
        <v>0</v>
      </c>
      <c r="AG1843" s="47" t="s">
        <v>3374</v>
      </c>
    </row>
    <row r="1844" spans="1:33" ht="6.9" customHeight="1" x14ac:dyDescent="0.4">
      <c r="A1844" s="4">
        <f>ROW()</f>
        <v>1844</v>
      </c>
      <c r="B1844" s="9" t="s">
        <v>27</v>
      </c>
      <c r="C1844" s="55" t="str">
        <f t="shared" ref="C1844" si="772">SUBSTITUTE(F1844,"d.","p.")</f>
        <v>p.suportar</v>
      </c>
      <c r="D1844" s="6" t="str">
        <f t="shared" si="742"/>
        <v>é.encontro.estrutural</v>
      </c>
      <c r="E1844" s="8" t="s">
        <v>28</v>
      </c>
      <c r="F1844" s="42" t="str">
        <f>F1842</f>
        <v>d.suportar</v>
      </c>
      <c r="G1844" s="17" t="s">
        <v>7702</v>
      </c>
      <c r="H1844" s="42" t="s">
        <v>2121</v>
      </c>
      <c r="I1844" s="16" t="str">
        <f t="shared" si="765"/>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24"/>
        <v>Propriedade destinada a suportar: é.encontro.estrutural</v>
      </c>
      <c r="V1844" s="5" t="str">
        <f t="shared" si="725"/>
        <v>Dado para suportar:  encontro.estrutural  Deve ser formatado como (rdfs:Literal  or  xsd:string)</v>
      </c>
      <c r="W1844" s="5" t="s">
        <v>7703</v>
      </c>
      <c r="X1844" s="24" t="str">
        <f t="shared" si="726"/>
        <v>supor.115</v>
      </c>
      <c r="Y1844" s="24" t="str">
        <f t="shared" si="727"/>
        <v>Ação de suportar</v>
      </c>
      <c r="Z1844" s="47" t="s">
        <v>7704</v>
      </c>
      <c r="AA1844" s="25" t="str">
        <f t="shared" si="766"/>
        <v>categoria.revit</v>
      </c>
      <c r="AB1844" s="26" t="s">
        <v>7705</v>
      </c>
      <c r="AC1844" s="25" t="str">
        <f t="shared" si="767"/>
        <v>classe.ifc</v>
      </c>
      <c r="AD1844" s="26" t="s">
        <v>3485</v>
      </c>
      <c r="AE1844" s="25" t="str">
        <f t="shared" si="768"/>
        <v>null</v>
      </c>
      <c r="AF1844" s="26" t="s">
        <v>0</v>
      </c>
      <c r="AG1844" s="47" t="s">
        <v>7706</v>
      </c>
    </row>
    <row r="1845" spans="1:33" ht="6.9" customHeight="1" x14ac:dyDescent="0.4">
      <c r="A1845" s="4">
        <f>ROW()</f>
        <v>1845</v>
      </c>
      <c r="B1845" s="9" t="s">
        <v>27</v>
      </c>
      <c r="C1845" s="55" t="str">
        <f t="shared" si="769"/>
        <v>p.suportar</v>
      </c>
      <c r="D1845" s="6" t="str">
        <f t="shared" si="742"/>
        <v>é.enrijecedor.estrutural</v>
      </c>
      <c r="E1845" s="8" t="s">
        <v>28</v>
      </c>
      <c r="F1845" s="42" t="str">
        <f>F1843</f>
        <v>d.suportar</v>
      </c>
      <c r="G1845" s="17" t="s">
        <v>4482</v>
      </c>
      <c r="H1845" s="42" t="s">
        <v>2121</v>
      </c>
      <c r="I1845" s="16" t="str">
        <f t="shared" si="765"/>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24"/>
        <v>Propriedade destinada a suportar: é.enrijecedor.estrutural</v>
      </c>
      <c r="V1845" s="5" t="str">
        <f t="shared" si="725"/>
        <v>Dado para suportar:  enrijecedor.estrutural  Deve ser formatado como (rdfs:Literal  or  xsd:string)</v>
      </c>
      <c r="W1845" s="5" t="s">
        <v>6446</v>
      </c>
      <c r="X1845" s="24" t="str">
        <f t="shared" si="726"/>
        <v>supor.116</v>
      </c>
      <c r="Y1845" s="24" t="str">
        <f t="shared" si="727"/>
        <v>Ação de suportar</v>
      </c>
      <c r="Z1845" s="47" t="s">
        <v>3400</v>
      </c>
      <c r="AA1845" s="25" t="str">
        <f t="shared" si="766"/>
        <v>categoria.revit</v>
      </c>
      <c r="AB1845" s="26" t="s">
        <v>3533</v>
      </c>
      <c r="AC1845" s="25" t="str">
        <f t="shared" si="767"/>
        <v>classe.ifc</v>
      </c>
      <c r="AD1845" s="26" t="s">
        <v>3484</v>
      </c>
      <c r="AE1845" s="25" t="str">
        <f t="shared" si="768"/>
        <v>null</v>
      </c>
      <c r="AF1845" s="26" t="s">
        <v>0</v>
      </c>
      <c r="AG1845" s="47" t="s">
        <v>3383</v>
      </c>
    </row>
    <row r="1846" spans="1:33" ht="6.9" customHeight="1" x14ac:dyDescent="0.4">
      <c r="A1846" s="4">
        <f>ROW()</f>
        <v>1846</v>
      </c>
      <c r="B1846" s="9" t="s">
        <v>27</v>
      </c>
      <c r="C1846" s="55" t="str">
        <f t="shared" ref="C1846" si="773">SUBSTITUTE(F1846,"d.","p.")</f>
        <v>p.suportar</v>
      </c>
      <c r="D1846" s="6" t="str">
        <f t="shared" si="742"/>
        <v>é.estaca.estrutural</v>
      </c>
      <c r="E1846" s="8" t="s">
        <v>28</v>
      </c>
      <c r="F1846" s="42" t="str">
        <f t="shared" si="770"/>
        <v>d.suportar</v>
      </c>
      <c r="G1846" s="17" t="s">
        <v>4483</v>
      </c>
      <c r="H1846" s="42" t="s">
        <v>2121</v>
      </c>
      <c r="I1846" s="16" t="str">
        <f t="shared" si="765"/>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24"/>
        <v>Propriedade destinada a suportar: é.estaca.estrutural</v>
      </c>
      <c r="V1846" s="5" t="str">
        <f t="shared" si="725"/>
        <v>Dado para suportar:  estaca.estrutural  Deve ser formatado como (rdfs:Literal  or  xsd:string)</v>
      </c>
      <c r="W1846" s="5" t="s">
        <v>6447</v>
      </c>
      <c r="X1846" s="24" t="str">
        <f t="shared" si="726"/>
        <v>supor.117</v>
      </c>
      <c r="Y1846" s="24" t="str">
        <f t="shared" si="727"/>
        <v>Ação de suportar</v>
      </c>
      <c r="Z1846" s="47" t="s">
        <v>3390</v>
      </c>
      <c r="AA1846" s="25" t="str">
        <f t="shared" si="766"/>
        <v>categoria.revit</v>
      </c>
      <c r="AB1846" s="26" t="s">
        <v>3534</v>
      </c>
      <c r="AC1846" s="25" t="str">
        <f t="shared" si="767"/>
        <v>classe.ifc</v>
      </c>
      <c r="AD1846" s="26" t="s">
        <v>3485</v>
      </c>
      <c r="AE1846" s="25" t="str">
        <f t="shared" si="768"/>
        <v>null</v>
      </c>
      <c r="AF1846" s="26" t="s">
        <v>0</v>
      </c>
      <c r="AG1846" s="47" t="s">
        <v>2634</v>
      </c>
    </row>
    <row r="1847" spans="1:33" ht="6.9" customHeight="1" x14ac:dyDescent="0.4">
      <c r="A1847" s="4">
        <f>ROW()</f>
        <v>1847</v>
      </c>
      <c r="B1847" s="9" t="s">
        <v>27</v>
      </c>
      <c r="C1847" s="55" t="str">
        <f t="shared" si="769"/>
        <v>p.suportar</v>
      </c>
      <c r="D1847" s="6" t="str">
        <f t="shared" si="742"/>
        <v>é.estai.estrutural</v>
      </c>
      <c r="E1847" s="8" t="s">
        <v>28</v>
      </c>
      <c r="F1847" s="42" t="str">
        <f t="shared" si="770"/>
        <v>d.suportar</v>
      </c>
      <c r="G1847" s="17" t="s">
        <v>7606</v>
      </c>
      <c r="H1847" s="42" t="s">
        <v>2121</v>
      </c>
      <c r="I1847" s="16" t="str">
        <f t="shared" si="765"/>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24"/>
        <v>Propriedade destinada a suportar: é.estai.estrutural</v>
      </c>
      <c r="V1847" s="5" t="str">
        <f t="shared" si="725"/>
        <v>Dado para suportar:  estai.estrutural  Deve ser formatado como (rdfs:Literal  or  xsd:string)</v>
      </c>
      <c r="W1847" s="5" t="s">
        <v>7607</v>
      </c>
      <c r="X1847" s="24" t="str">
        <f t="shared" si="726"/>
        <v>supor.118</v>
      </c>
      <c r="Y1847" s="24" t="str">
        <f t="shared" si="727"/>
        <v>Ação de suportar</v>
      </c>
      <c r="Z1847" s="47" t="s">
        <v>7608</v>
      </c>
      <c r="AA1847" s="25" t="str">
        <f t="shared" si="766"/>
        <v>categoria.revit</v>
      </c>
      <c r="AB1847" s="26" t="s">
        <v>7609</v>
      </c>
      <c r="AC1847" s="25" t="str">
        <f t="shared" si="767"/>
        <v>classe.ifc</v>
      </c>
      <c r="AD1847" s="26" t="s">
        <v>3485</v>
      </c>
      <c r="AE1847" s="25" t="str">
        <f t="shared" si="768"/>
        <v>null</v>
      </c>
      <c r="AF1847" s="26" t="s">
        <v>0</v>
      </c>
      <c r="AG1847" s="47" t="s">
        <v>7610</v>
      </c>
    </row>
    <row r="1848" spans="1:33" ht="6.9" customHeight="1" x14ac:dyDescent="0.4">
      <c r="A1848" s="4">
        <f>ROW()</f>
        <v>1848</v>
      </c>
      <c r="B1848" s="9" t="s">
        <v>27</v>
      </c>
      <c r="C1848" s="55" t="str">
        <f t="shared" si="769"/>
        <v>p.suportar</v>
      </c>
      <c r="D1848" s="6" t="str">
        <f t="shared" si="742"/>
        <v>é.mastro.estrutural</v>
      </c>
      <c r="E1848" s="8" t="s">
        <v>28</v>
      </c>
      <c r="F1848" s="42" t="str">
        <f t="shared" si="770"/>
        <v>d.suportar</v>
      </c>
      <c r="G1848" s="17" t="s">
        <v>4485</v>
      </c>
      <c r="H1848" s="42" t="s">
        <v>2121</v>
      </c>
      <c r="I1848" s="16" t="str">
        <f t="shared" si="765"/>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24"/>
        <v>Propriedade destinada a suportar: é.mastro.estrutural</v>
      </c>
      <c r="V1848" s="5" t="str">
        <f t="shared" si="725"/>
        <v>Dado para suportar:  mastro.estrutural  Deve ser formatado como (rdfs:Literal  or  xsd:string)</v>
      </c>
      <c r="W1848" s="5" t="s">
        <v>6448</v>
      </c>
      <c r="X1848" s="24" t="str">
        <f t="shared" si="726"/>
        <v>supor.119</v>
      </c>
      <c r="Y1848" s="24" t="str">
        <f t="shared" si="727"/>
        <v>Ação de suportar</v>
      </c>
      <c r="Z1848" s="47" t="s">
        <v>3391</v>
      </c>
      <c r="AA1848" s="25" t="str">
        <f t="shared" si="766"/>
        <v>categoria.revit</v>
      </c>
      <c r="AB1848" s="26" t="s">
        <v>3496</v>
      </c>
      <c r="AC1848" s="25" t="str">
        <f t="shared" si="767"/>
        <v>classe.ifc</v>
      </c>
      <c r="AD1848" s="26" t="s">
        <v>3459</v>
      </c>
      <c r="AE1848" s="25" t="str">
        <f t="shared" si="768"/>
        <v>null</v>
      </c>
      <c r="AF1848" s="26" t="s">
        <v>0</v>
      </c>
      <c r="AG1848" s="47" t="s">
        <v>4745</v>
      </c>
    </row>
    <row r="1849" spans="1:33" ht="6.9" customHeight="1" x14ac:dyDescent="0.4">
      <c r="A1849" s="4">
        <f>ROW()</f>
        <v>1849</v>
      </c>
      <c r="B1849" s="9" t="s">
        <v>27</v>
      </c>
      <c r="C1849" s="55" t="str">
        <f t="shared" si="769"/>
        <v>p.suportar</v>
      </c>
      <c r="D1849" s="6" t="str">
        <f t="shared" si="742"/>
        <v>é.membro.estrutural</v>
      </c>
      <c r="E1849" s="8" t="s">
        <v>28</v>
      </c>
      <c r="F1849" s="42" t="str">
        <f t="shared" si="770"/>
        <v>d.suportar</v>
      </c>
      <c r="G1849" s="17" t="s">
        <v>4486</v>
      </c>
      <c r="H1849" s="42" t="s">
        <v>2121</v>
      </c>
      <c r="I1849" s="16" t="str">
        <f t="shared" si="765"/>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24"/>
        <v>Propriedade destinada a suportar: é.membro.estrutural</v>
      </c>
      <c r="V1849" s="5" t="str">
        <f t="shared" si="725"/>
        <v>Dado para suportar:  membro.estrutural  Deve ser formatado como (rdfs:Literal  or  xsd:string)</v>
      </c>
      <c r="W1849" s="5" t="s">
        <v>6449</v>
      </c>
      <c r="X1849" s="24" t="str">
        <f t="shared" si="726"/>
        <v>supor.120</v>
      </c>
      <c r="Y1849" s="24" t="str">
        <f t="shared" si="727"/>
        <v>Ação de suportar</v>
      </c>
      <c r="Z1849" s="47" t="s">
        <v>3392</v>
      </c>
      <c r="AA1849" s="25" t="str">
        <f t="shared" si="766"/>
        <v>categoria.revit</v>
      </c>
      <c r="AB1849" s="26" t="s">
        <v>3532</v>
      </c>
      <c r="AC1849" s="25" t="str">
        <f t="shared" si="767"/>
        <v>classe.ifc</v>
      </c>
      <c r="AD1849" s="26" t="s">
        <v>3483</v>
      </c>
      <c r="AE1849" s="25" t="str">
        <f t="shared" si="768"/>
        <v>null</v>
      </c>
      <c r="AF1849" s="26" t="s">
        <v>0</v>
      </c>
      <c r="AG1849" s="47" t="s">
        <v>3375</v>
      </c>
    </row>
    <row r="1850" spans="1:33" ht="6.9" customHeight="1" x14ac:dyDescent="0.4">
      <c r="A1850" s="4">
        <f>ROW()</f>
        <v>1850</v>
      </c>
      <c r="B1850" s="9" t="s">
        <v>27</v>
      </c>
      <c r="C1850" s="55" t="str">
        <f t="shared" si="769"/>
        <v>p.suportar</v>
      </c>
      <c r="D1850" s="6" t="str">
        <f t="shared" si="742"/>
        <v>é.montante.estrutural</v>
      </c>
      <c r="E1850" s="8" t="s">
        <v>28</v>
      </c>
      <c r="F1850" s="42" t="str">
        <f t="shared" si="770"/>
        <v>d.suportar</v>
      </c>
      <c r="G1850" s="17" t="s">
        <v>4487</v>
      </c>
      <c r="H1850" s="42" t="s">
        <v>2121</v>
      </c>
      <c r="I1850" s="16" t="str">
        <f t="shared" si="765"/>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24"/>
        <v>Propriedade destinada a suportar: é.montante.estrutural</v>
      </c>
      <c r="V1850" s="5" t="str">
        <f t="shared" si="725"/>
        <v>Dado para suportar:  montante.estrutural  Deve ser formatado como (rdfs:Literal  or  xsd:string)</v>
      </c>
      <c r="W1850" s="5" t="s">
        <v>6450</v>
      </c>
      <c r="X1850" s="24" t="str">
        <f t="shared" si="726"/>
        <v>supor.121</v>
      </c>
      <c r="Y1850" s="24" t="str">
        <f t="shared" si="727"/>
        <v>Ação de suportar</v>
      </c>
      <c r="Z1850" s="47" t="s">
        <v>3393</v>
      </c>
      <c r="AA1850" s="25" t="str">
        <f t="shared" si="766"/>
        <v>categoria.revit</v>
      </c>
      <c r="AB1850" s="26" t="s">
        <v>3532</v>
      </c>
      <c r="AC1850" s="25" t="str">
        <f t="shared" si="767"/>
        <v>classe.ifc</v>
      </c>
      <c r="AD1850" s="26" t="s">
        <v>3483</v>
      </c>
      <c r="AE1850" s="25" t="str">
        <f t="shared" si="768"/>
        <v>null</v>
      </c>
      <c r="AF1850" s="26" t="s">
        <v>0</v>
      </c>
      <c r="AG1850" s="47" t="s">
        <v>3376</v>
      </c>
    </row>
    <row r="1851" spans="1:33" ht="6.9" customHeight="1" x14ac:dyDescent="0.4">
      <c r="A1851" s="4">
        <f>ROW()</f>
        <v>1851</v>
      </c>
      <c r="B1851" s="9" t="s">
        <v>27</v>
      </c>
      <c r="C1851" s="55" t="str">
        <f t="shared" si="769"/>
        <v>p.suportar</v>
      </c>
      <c r="D1851" s="6" t="str">
        <f t="shared" si="742"/>
        <v>é.núcleo.estrutural</v>
      </c>
      <c r="E1851" s="8" t="s">
        <v>28</v>
      </c>
      <c r="F1851" s="42" t="str">
        <f>F1850</f>
        <v>d.suportar</v>
      </c>
      <c r="G1851" s="17" t="s">
        <v>4488</v>
      </c>
      <c r="H1851" s="42" t="s">
        <v>2121</v>
      </c>
      <c r="I1851" s="16" t="str">
        <f t="shared" si="765"/>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24"/>
        <v>Propriedade destinada a suportar: é.núcleo.estrutural</v>
      </c>
      <c r="V1851" s="5" t="str">
        <f t="shared" si="725"/>
        <v>Dado para suportar:  núcleo.estrutural  Deve ser formatado como (rdfs:Literal  or  xsd:string)</v>
      </c>
      <c r="W1851" s="5" t="s">
        <v>6451</v>
      </c>
      <c r="X1851" s="24" t="str">
        <f t="shared" si="726"/>
        <v>supor.122</v>
      </c>
      <c r="Y1851" s="24" t="str">
        <f t="shared" si="727"/>
        <v>Ação de suportar</v>
      </c>
      <c r="Z1851" s="47" t="s">
        <v>3394</v>
      </c>
      <c r="AA1851" s="25" t="str">
        <f t="shared" si="766"/>
        <v>categoria.revit</v>
      </c>
      <c r="AB1851" s="26" t="s">
        <v>3527</v>
      </c>
      <c r="AC1851" s="25" t="str">
        <f t="shared" si="767"/>
        <v>classe.ifc</v>
      </c>
      <c r="AD1851" s="26" t="s">
        <v>3479</v>
      </c>
      <c r="AE1851" s="25" t="str">
        <f t="shared" si="768"/>
        <v>null</v>
      </c>
      <c r="AF1851" s="26" t="s">
        <v>0</v>
      </c>
      <c r="AG1851" s="47" t="s">
        <v>4815</v>
      </c>
    </row>
    <row r="1852" spans="1:33" ht="6.9" customHeight="1" x14ac:dyDescent="0.4">
      <c r="A1852" s="4">
        <f>ROW()</f>
        <v>1852</v>
      </c>
      <c r="B1852" s="9" t="s">
        <v>27</v>
      </c>
      <c r="C1852" s="55" t="str">
        <f t="shared" si="769"/>
        <v>p.suportar</v>
      </c>
      <c r="D1852" s="6" t="str">
        <f t="shared" si="742"/>
        <v>é.pilone.estrutural</v>
      </c>
      <c r="E1852" s="8" t="s">
        <v>28</v>
      </c>
      <c r="F1852" s="42" t="str">
        <f t="shared" si="770"/>
        <v>d.suportar</v>
      </c>
      <c r="G1852" s="17" t="s">
        <v>4489</v>
      </c>
      <c r="H1852" s="42" t="s">
        <v>2121</v>
      </c>
      <c r="I1852" s="16" t="str">
        <f t="shared" si="765"/>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24"/>
        <v>Propriedade destinada a suportar: é.pilone.estrutural</v>
      </c>
      <c r="V1852" s="5" t="str">
        <f t="shared" si="725"/>
        <v>Dado para suportar:  pilone.estrutural  Deve ser formatado como (rdfs:Literal  or  xsd:string)</v>
      </c>
      <c r="W1852" s="5" t="s">
        <v>6452</v>
      </c>
      <c r="X1852" s="24" t="str">
        <f t="shared" si="726"/>
        <v>supor.123</v>
      </c>
      <c r="Y1852" s="24" t="str">
        <f t="shared" si="727"/>
        <v>Ação de suportar</v>
      </c>
      <c r="Z1852" s="47" t="s">
        <v>3395</v>
      </c>
      <c r="AA1852" s="25" t="str">
        <f t="shared" si="766"/>
        <v>categoria.revit</v>
      </c>
      <c r="AB1852" s="26" t="s">
        <v>3496</v>
      </c>
      <c r="AC1852" s="25" t="str">
        <f t="shared" si="767"/>
        <v>classe.ifc</v>
      </c>
      <c r="AD1852" s="26" t="s">
        <v>3459</v>
      </c>
      <c r="AE1852" s="25" t="str">
        <f t="shared" si="768"/>
        <v>null</v>
      </c>
      <c r="AF1852" s="26" t="s">
        <v>0</v>
      </c>
      <c r="AG1852" s="47" t="s">
        <v>4746</v>
      </c>
    </row>
    <row r="1853" spans="1:33" ht="6.9" customHeight="1" x14ac:dyDescent="0.4">
      <c r="A1853" s="4">
        <f>ROW()</f>
        <v>1853</v>
      </c>
      <c r="B1853" s="9" t="s">
        <v>27</v>
      </c>
      <c r="C1853" s="55" t="str">
        <f t="shared" si="769"/>
        <v>p.suportar</v>
      </c>
      <c r="D1853" s="6" t="str">
        <f t="shared" si="742"/>
        <v>é.placa.estrutural</v>
      </c>
      <c r="E1853" s="8" t="s">
        <v>28</v>
      </c>
      <c r="F1853" s="42" t="str">
        <f t="shared" si="770"/>
        <v>d.suportar</v>
      </c>
      <c r="G1853" s="17" t="s">
        <v>4490</v>
      </c>
      <c r="H1853" s="42" t="s">
        <v>2121</v>
      </c>
      <c r="I1853" s="16" t="str">
        <f t="shared" si="765"/>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24"/>
        <v>Propriedade destinada a suportar: é.placa.estrutural</v>
      </c>
      <c r="V1853" s="5" t="str">
        <f t="shared" si="725"/>
        <v>Dado para suportar:  placa.estrutural  Deve ser formatado como (rdfs:Literal  or  xsd:string)</v>
      </c>
      <c r="W1853" s="5" t="s">
        <v>6453</v>
      </c>
      <c r="X1853" s="24" t="str">
        <f t="shared" si="726"/>
        <v>supor.124</v>
      </c>
      <c r="Y1853" s="24" t="str">
        <f t="shared" si="727"/>
        <v>Ação de suportar</v>
      </c>
      <c r="Z1853" s="47" t="s">
        <v>3397</v>
      </c>
      <c r="AA1853" s="25" t="str">
        <f t="shared" si="766"/>
        <v>categoria.revit</v>
      </c>
      <c r="AB1853" s="26" t="s">
        <v>3535</v>
      </c>
      <c r="AC1853" s="25" t="str">
        <f t="shared" si="767"/>
        <v>classe.ifc</v>
      </c>
      <c r="AD1853" s="26" t="s">
        <v>3484</v>
      </c>
      <c r="AE1853" s="25" t="str">
        <f t="shared" si="768"/>
        <v>null</v>
      </c>
      <c r="AF1853" s="26" t="s">
        <v>0</v>
      </c>
      <c r="AG1853" s="47" t="s">
        <v>3377</v>
      </c>
    </row>
    <row r="1854" spans="1:33" ht="6.9" customHeight="1" x14ac:dyDescent="0.4">
      <c r="A1854" s="4">
        <f>ROW()</f>
        <v>1854</v>
      </c>
      <c r="B1854" s="9" t="s">
        <v>27</v>
      </c>
      <c r="C1854" s="55" t="str">
        <f t="shared" si="769"/>
        <v>p.suportar</v>
      </c>
      <c r="D1854" s="6" t="str">
        <f t="shared" si="742"/>
        <v>é.pórtico.estrutural</v>
      </c>
      <c r="E1854" s="8" t="s">
        <v>28</v>
      </c>
      <c r="F1854" s="42" t="str">
        <f t="shared" si="770"/>
        <v>d.suportar</v>
      </c>
      <c r="G1854" s="17" t="s">
        <v>4491</v>
      </c>
      <c r="H1854" s="42" t="s">
        <v>2121</v>
      </c>
      <c r="I1854" s="16" t="str">
        <f t="shared" si="765"/>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24"/>
        <v>Propriedade destinada a suportar: é.pórtico.estrutural</v>
      </c>
      <c r="V1854" s="5" t="str">
        <f t="shared" si="725"/>
        <v>Dado para suportar:  pórtico.estrutural  Deve ser formatado como (rdfs:Literal  or  xsd:string)</v>
      </c>
      <c r="W1854" s="5" t="s">
        <v>6454</v>
      </c>
      <c r="X1854" s="24" t="str">
        <f t="shared" si="726"/>
        <v>supor.125</v>
      </c>
      <c r="Y1854" s="24" t="str">
        <f t="shared" si="727"/>
        <v>Ação de suportar</v>
      </c>
      <c r="Z1854" s="47" t="s">
        <v>3396</v>
      </c>
      <c r="AA1854" s="25" t="str">
        <f t="shared" si="766"/>
        <v>categoria.revit</v>
      </c>
      <c r="AB1854" s="26" t="s">
        <v>3932</v>
      </c>
      <c r="AC1854" s="25" t="str">
        <f t="shared" si="767"/>
        <v>classe.ifc</v>
      </c>
      <c r="AD1854" s="26" t="s">
        <v>3930</v>
      </c>
      <c r="AE1854" s="25" t="str">
        <f t="shared" si="768"/>
        <v>null</v>
      </c>
      <c r="AF1854" s="26" t="s">
        <v>0</v>
      </c>
      <c r="AG1854" s="47" t="s">
        <v>3377</v>
      </c>
    </row>
    <row r="1855" spans="1:33" ht="6.9" customHeight="1" x14ac:dyDescent="0.4">
      <c r="A1855" s="4">
        <f>ROW()</f>
        <v>1855</v>
      </c>
      <c r="B1855" s="9" t="s">
        <v>27</v>
      </c>
      <c r="C1855" s="55" t="str">
        <f t="shared" si="769"/>
        <v>p.suportar</v>
      </c>
      <c r="D1855" s="6" t="str">
        <f t="shared" si="742"/>
        <v>é.rol.analítico.estrutural</v>
      </c>
      <c r="E1855" s="8" t="s">
        <v>28</v>
      </c>
      <c r="F1855" s="42" t="str">
        <f t="shared" si="770"/>
        <v>d.suportar</v>
      </c>
      <c r="G1855" s="17" t="s">
        <v>4492</v>
      </c>
      <c r="H1855" s="42" t="s">
        <v>2121</v>
      </c>
      <c r="I1855" s="16" t="str">
        <f t="shared" si="765"/>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24"/>
        <v>Propriedade destinada a suportar: é.rol.analítico.estrutural</v>
      </c>
      <c r="V1855" s="5" t="str">
        <f t="shared" si="725"/>
        <v>Dado para suportar:  rol.analítico.estrutural  Deve ser formatado como (rdfs:Literal  or  xsd:string)</v>
      </c>
      <c r="W1855" s="5" t="s">
        <v>6455</v>
      </c>
      <c r="X1855" s="24" t="str">
        <f t="shared" si="726"/>
        <v>supor.126</v>
      </c>
      <c r="Y1855" s="24" t="str">
        <f t="shared" si="727"/>
        <v>Ação de suportar</v>
      </c>
      <c r="Z1855" s="47" t="s">
        <v>3380</v>
      </c>
      <c r="AA1855" s="25" t="str">
        <f t="shared" si="766"/>
        <v>categoria.revit</v>
      </c>
      <c r="AB1855" s="26" t="s">
        <v>3936</v>
      </c>
      <c r="AC1855" s="25" t="str">
        <f t="shared" si="767"/>
        <v>classe.ifc</v>
      </c>
      <c r="AD1855" s="26" t="s">
        <v>3936</v>
      </c>
      <c r="AE1855" s="25" t="str">
        <f t="shared" si="768"/>
        <v>null</v>
      </c>
      <c r="AF1855" s="26" t="s">
        <v>0</v>
      </c>
      <c r="AG1855" s="47" t="s">
        <v>3378</v>
      </c>
    </row>
    <row r="1856" spans="1:33" ht="6.9" customHeight="1" x14ac:dyDescent="0.4">
      <c r="A1856" s="4">
        <f>ROW()</f>
        <v>1856</v>
      </c>
      <c r="B1856" s="9" t="s">
        <v>27</v>
      </c>
      <c r="C1856" s="55" t="str">
        <f t="shared" si="769"/>
        <v>p.suportar</v>
      </c>
      <c r="D1856" s="6" t="str">
        <f t="shared" si="742"/>
        <v>é.sapata</v>
      </c>
      <c r="E1856" s="8" t="s">
        <v>28</v>
      </c>
      <c r="F1856" s="42" t="str">
        <f t="shared" si="770"/>
        <v>d.suportar</v>
      </c>
      <c r="G1856" s="17" t="s">
        <v>7581</v>
      </c>
      <c r="H1856" s="42" t="s">
        <v>2121</v>
      </c>
      <c r="I1856" s="16" t="str">
        <f t="shared" si="765"/>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24"/>
        <v>Propriedade destinada a suportar: é.sapata</v>
      </c>
      <c r="V1856" s="5" t="str">
        <f t="shared" si="725"/>
        <v>Dado para suportar:  sapata  Deve ser formatado como (rdfs:Literal  or  xsd:string)</v>
      </c>
      <c r="W1856" s="5" t="s">
        <v>7583</v>
      </c>
      <c r="X1856" s="24" t="str">
        <f t="shared" si="726"/>
        <v>supor.127</v>
      </c>
      <c r="Y1856" s="24" t="str">
        <f t="shared" si="727"/>
        <v>Ação de suportar</v>
      </c>
      <c r="Z1856" s="47" t="s">
        <v>7591</v>
      </c>
      <c r="AA1856" s="25" t="str">
        <f t="shared" si="766"/>
        <v>categoria.revit</v>
      </c>
      <c r="AB1856" s="26" t="s">
        <v>3534</v>
      </c>
      <c r="AC1856" s="25" t="str">
        <f t="shared" si="767"/>
        <v>classe.ifc</v>
      </c>
      <c r="AD1856" s="26" t="s">
        <v>3485</v>
      </c>
      <c r="AE1856" s="25" t="str">
        <f t="shared" si="768"/>
        <v>null</v>
      </c>
      <c r="AF1856" s="26" t="s">
        <v>0</v>
      </c>
      <c r="AG1856" s="47" t="s">
        <v>7587</v>
      </c>
    </row>
    <row r="1857" spans="1:33" ht="6.9" customHeight="1" x14ac:dyDescent="0.4">
      <c r="A1857" s="4">
        <f>ROW()</f>
        <v>1857</v>
      </c>
      <c r="B1857" s="9" t="s">
        <v>27</v>
      </c>
      <c r="C1857" s="55" t="str">
        <f t="shared" si="769"/>
        <v>p.suportar</v>
      </c>
      <c r="D1857" s="6" t="str">
        <f t="shared" si="742"/>
        <v>é.sapata.corrida</v>
      </c>
      <c r="E1857" s="8" t="s">
        <v>28</v>
      </c>
      <c r="F1857" s="42" t="str">
        <f t="shared" si="770"/>
        <v>d.suportar</v>
      </c>
      <c r="G1857" s="17" t="s">
        <v>7582</v>
      </c>
      <c r="H1857" s="42" t="s">
        <v>2121</v>
      </c>
      <c r="I1857" s="16" t="str">
        <f t="shared" si="765"/>
        <v>null</v>
      </c>
      <c r="J1857" s="15" t="s">
        <v>0</v>
      </c>
      <c r="K1857" s="15" t="s">
        <v>0</v>
      </c>
      <c r="L1857" s="15" t="s">
        <v>0</v>
      </c>
      <c r="M1857" s="15" t="s">
        <v>0</v>
      </c>
      <c r="N1857" s="15" t="s">
        <v>0</v>
      </c>
      <c r="O1857" s="15" t="s">
        <v>0</v>
      </c>
      <c r="P1857" s="15" t="s">
        <v>0</v>
      </c>
      <c r="Q1857" s="15" t="s">
        <v>0</v>
      </c>
      <c r="R1857" s="15" t="s">
        <v>7594</v>
      </c>
      <c r="S1857" s="10" t="s">
        <v>1</v>
      </c>
      <c r="T1857" s="10" t="s">
        <v>32</v>
      </c>
      <c r="U1857" s="5" t="str">
        <f t="shared" si="724"/>
        <v>Propriedade destinada a suportar: é.sapata.corrida</v>
      </c>
      <c r="V1857" s="5" t="str">
        <f t="shared" si="725"/>
        <v>Dado para suportar:  sapata.corrida  Deve ser formatado como (rdfs:Literal  or  xsd:string)</v>
      </c>
      <c r="W1857" s="5" t="s">
        <v>7584</v>
      </c>
      <c r="X1857" s="24" t="str">
        <f t="shared" si="726"/>
        <v>supor.128</v>
      </c>
      <c r="Y1857" s="24" t="str">
        <f t="shared" si="727"/>
        <v>Ação de suportar</v>
      </c>
      <c r="Z1857" s="47" t="s">
        <v>7592</v>
      </c>
      <c r="AA1857" s="25" t="str">
        <f t="shared" si="766"/>
        <v>categoria.revit</v>
      </c>
      <c r="AB1857" s="26" t="s">
        <v>3534</v>
      </c>
      <c r="AC1857" s="25" t="str">
        <f t="shared" si="767"/>
        <v>classe.ifc</v>
      </c>
      <c r="AD1857" s="26" t="s">
        <v>3485</v>
      </c>
      <c r="AE1857" s="25" t="str">
        <f t="shared" si="768"/>
        <v>null</v>
      </c>
      <c r="AF1857" s="26" t="s">
        <v>0</v>
      </c>
      <c r="AG1857" s="47" t="s">
        <v>7588</v>
      </c>
    </row>
    <row r="1858" spans="1:33" ht="6.9" customHeight="1" x14ac:dyDescent="0.4">
      <c r="A1858" s="4">
        <f>ROW()</f>
        <v>1858</v>
      </c>
      <c r="B1858" s="9" t="s">
        <v>27</v>
      </c>
      <c r="C1858" s="55" t="str">
        <f t="shared" ref="C1858" si="774">SUBSTITUTE(F1858,"d.","p.")</f>
        <v>p.suportar</v>
      </c>
      <c r="D1858" s="6" t="str">
        <f t="shared" si="742"/>
        <v>é.tabuleiro.estrutural</v>
      </c>
      <c r="E1858" s="8" t="s">
        <v>28</v>
      </c>
      <c r="F1858" s="42" t="str">
        <f t="shared" si="770"/>
        <v>d.suportar</v>
      </c>
      <c r="G1858" s="17" t="s">
        <v>7596</v>
      </c>
      <c r="H1858" s="42" t="s">
        <v>2121</v>
      </c>
      <c r="I1858" s="16" t="str">
        <f t="shared" si="765"/>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921" si="775">_xlfn.CONCAT("Propriedade destinada a ",MID(C1858,FIND("p.",C1858,1)+2,100),": ",D1858)</f>
        <v>Propriedade destinada a suportar: é.tabuleiro.estrutural</v>
      </c>
      <c r="V1858" s="5" t="str">
        <f t="shared" ref="V1858:V1921" si="776">_xlfn.CONCAT("Dado para ",MID(F1858,FIND("d.",F1858,1)+2,100),":  ",G1858, "  Deve ser formatado como (",H1858, ")")</f>
        <v>Dado para suportar:  tabuleiro.estrutural  Deve ser formatado como (rdfs:Literal  or  xsd:string)</v>
      </c>
      <c r="W1858" s="5" t="s">
        <v>7597</v>
      </c>
      <c r="X1858" s="24" t="str">
        <f t="shared" si="726"/>
        <v>supor.129</v>
      </c>
      <c r="Y1858" s="24" t="str">
        <f t="shared" si="727"/>
        <v>Ação de suportar</v>
      </c>
      <c r="Z1858" s="47" t="s">
        <v>7598</v>
      </c>
      <c r="AA1858" s="25" t="str">
        <f t="shared" si="766"/>
        <v>categoria.revit</v>
      </c>
      <c r="AB1858" s="26" t="s">
        <v>7605</v>
      </c>
      <c r="AC1858" s="25" t="str">
        <f t="shared" si="767"/>
        <v>classe.ifc</v>
      </c>
      <c r="AD1858" s="26" t="s">
        <v>3487</v>
      </c>
      <c r="AE1858" s="25" t="str">
        <f t="shared" si="768"/>
        <v>null</v>
      </c>
      <c r="AF1858" s="26" t="s">
        <v>0</v>
      </c>
      <c r="AG1858" s="47" t="s">
        <v>7599</v>
      </c>
    </row>
    <row r="1859" spans="1:33" ht="6.9" customHeight="1" x14ac:dyDescent="0.4">
      <c r="A1859" s="4">
        <f>ROW()</f>
        <v>1859</v>
      </c>
      <c r="B1859" s="9" t="s">
        <v>27</v>
      </c>
      <c r="C1859" s="55" t="str">
        <f t="shared" si="769"/>
        <v>p.suportar</v>
      </c>
      <c r="D1859" s="6" t="str">
        <f t="shared" si="742"/>
        <v>é.tensor.estrutural</v>
      </c>
      <c r="E1859" s="8" t="s">
        <v>28</v>
      </c>
      <c r="F1859" s="42" t="str">
        <f t="shared" si="770"/>
        <v>d.suportar</v>
      </c>
      <c r="G1859" s="17" t="s">
        <v>4493</v>
      </c>
      <c r="H1859" s="42" t="s">
        <v>2121</v>
      </c>
      <c r="I1859" s="16" t="str">
        <f t="shared" si="765"/>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75"/>
        <v>Propriedade destinada a suportar: é.tensor.estrutural</v>
      </c>
      <c r="V1859" s="5" t="str">
        <f t="shared" si="776"/>
        <v>Dado para suportar:  tensor.estrutural  Deve ser formatado como (rdfs:Literal  or  xsd:string)</v>
      </c>
      <c r="W1859" s="5" t="s">
        <v>6456</v>
      </c>
      <c r="X1859" s="24" t="str">
        <f t="shared" ref="X1859:X1922" si="777">IF(F1858&lt;&gt;F1859,_xlfn.CONCAT(RIGHT(LEFT(F1859,7),5),".100"),_xlfn.CONCAT(RIGHT(LEFT(F1859,7),5),".",SUM(VALUE(RIGHT(X1858,3)),1)))</f>
        <v>supor.130</v>
      </c>
      <c r="Y1859" s="24" t="str">
        <f t="shared" ref="Y1859:Y1922" si="778">_xlfn.CONCAT("Ação de ", SUBSTITUTE(F1859, "d.",  ""))</f>
        <v>Ação de suportar</v>
      </c>
      <c r="Z1859" s="47" t="s">
        <v>3398</v>
      </c>
      <c r="AA1859" s="25" t="str">
        <f t="shared" si="766"/>
        <v>categoria.revit</v>
      </c>
      <c r="AB1859" s="26" t="s">
        <v>3536</v>
      </c>
      <c r="AC1859" s="25" t="str">
        <f t="shared" si="767"/>
        <v>classe.ifc</v>
      </c>
      <c r="AD1859" s="26" t="s">
        <v>3486</v>
      </c>
      <c r="AE1859" s="25" t="str">
        <f t="shared" si="768"/>
        <v>null</v>
      </c>
      <c r="AF1859" s="26" t="s">
        <v>0</v>
      </c>
      <c r="AG1859" s="47" t="s">
        <v>3379</v>
      </c>
    </row>
    <row r="1860" spans="1:33" ht="6.9" customHeight="1" x14ac:dyDescent="0.4">
      <c r="A1860" s="4">
        <f>ROW()</f>
        <v>1860</v>
      </c>
      <c r="B1860" s="9" t="s">
        <v>27</v>
      </c>
      <c r="C1860" s="55" t="str">
        <f t="shared" si="769"/>
        <v>p.suportar</v>
      </c>
      <c r="D1860" s="6" t="str">
        <f t="shared" si="742"/>
        <v>é.treliça.estrutural</v>
      </c>
      <c r="E1860" s="8" t="s">
        <v>28</v>
      </c>
      <c r="F1860" s="42" t="str">
        <f t="shared" si="770"/>
        <v>d.suportar</v>
      </c>
      <c r="G1860" s="17" t="s">
        <v>4494</v>
      </c>
      <c r="H1860" s="42" t="s">
        <v>2121</v>
      </c>
      <c r="I1860" s="16" t="str">
        <f t="shared" si="765"/>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75"/>
        <v>Propriedade destinada a suportar: é.treliça.estrutural</v>
      </c>
      <c r="V1860" s="5" t="str">
        <f t="shared" si="776"/>
        <v>Dado para suportar:  treliça.estrutural  Deve ser formatado como (rdfs:Literal  or  xsd:string)</v>
      </c>
      <c r="W1860" s="5" t="s">
        <v>7611</v>
      </c>
      <c r="X1860" s="24" t="str">
        <f t="shared" si="777"/>
        <v>supor.131</v>
      </c>
      <c r="Y1860" s="24" t="str">
        <f t="shared" si="778"/>
        <v>Ação de suportar</v>
      </c>
      <c r="Z1860" s="47" t="s">
        <v>3399</v>
      </c>
      <c r="AA1860" s="25" t="str">
        <f t="shared" si="766"/>
        <v>categoria.revit</v>
      </c>
      <c r="AB1860" s="26" t="s">
        <v>3933</v>
      </c>
      <c r="AC1860" s="25" t="str">
        <f t="shared" si="767"/>
        <v>classe.ifc</v>
      </c>
      <c r="AD1860" s="26" t="s">
        <v>3931</v>
      </c>
      <c r="AE1860" s="25" t="str">
        <f t="shared" si="768"/>
        <v>null</v>
      </c>
      <c r="AF1860" s="26" t="s">
        <v>0</v>
      </c>
      <c r="AG1860" s="47" t="s">
        <v>3381</v>
      </c>
    </row>
    <row r="1861" spans="1:33" ht="6.9" customHeight="1" x14ac:dyDescent="0.4">
      <c r="A1861" s="4">
        <f>ROW()</f>
        <v>1861</v>
      </c>
      <c r="B1861" s="9" t="s">
        <v>27</v>
      </c>
      <c r="C1861" s="55" t="str">
        <f t="shared" si="769"/>
        <v>p.suportar</v>
      </c>
      <c r="D1861" s="6" t="str">
        <f t="shared" si="742"/>
        <v>é.viga.estrutural</v>
      </c>
      <c r="E1861" s="8" t="s">
        <v>28</v>
      </c>
      <c r="F1861" s="42" t="str">
        <f>F1858</f>
        <v>d.suportar</v>
      </c>
      <c r="G1861" s="17" t="s">
        <v>4495</v>
      </c>
      <c r="H1861" s="42" t="s">
        <v>2121</v>
      </c>
      <c r="I1861" s="16" t="str">
        <f t="shared" si="765"/>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75"/>
        <v>Propriedade destinada a suportar: é.viga.estrutural</v>
      </c>
      <c r="V1861" s="5" t="str">
        <f t="shared" si="776"/>
        <v>Dado para suportar:  viga.estrutural  Deve ser formatado como (rdfs:Literal  or  xsd:string)</v>
      </c>
      <c r="W1861" s="5" t="s">
        <v>6457</v>
      </c>
      <c r="X1861" s="24" t="str">
        <f t="shared" si="777"/>
        <v>supor.132</v>
      </c>
      <c r="Y1861" s="24" t="str">
        <f t="shared" si="778"/>
        <v>Ação de suportar</v>
      </c>
      <c r="Z1861" s="47" t="s">
        <v>1300</v>
      </c>
      <c r="AA1861" s="25" t="str">
        <f t="shared" si="766"/>
        <v>categoria.revit</v>
      </c>
      <c r="AB1861" s="26" t="s">
        <v>3532</v>
      </c>
      <c r="AC1861" s="25" t="str">
        <f t="shared" si="767"/>
        <v>classe.ifc</v>
      </c>
      <c r="AD1861" s="26" t="s">
        <v>3487</v>
      </c>
      <c r="AE1861" s="25" t="str">
        <f t="shared" si="768"/>
        <v>null</v>
      </c>
      <c r="AF1861" s="26" t="s">
        <v>0</v>
      </c>
      <c r="AG1861" s="47" t="s">
        <v>2633</v>
      </c>
    </row>
    <row r="1862" spans="1:33" ht="6.9" customHeight="1" x14ac:dyDescent="0.4">
      <c r="A1862" s="4">
        <f>ROW()</f>
        <v>1862</v>
      </c>
      <c r="B1862" s="9" t="s">
        <v>27</v>
      </c>
      <c r="C1862" s="55" t="str">
        <f t="shared" ref="C1862" si="779">SUBSTITUTE(F1862,"d.","p.")</f>
        <v>p.suportar</v>
      </c>
      <c r="D1862" s="6" t="str">
        <f t="shared" si="742"/>
        <v>é.viga.longarina</v>
      </c>
      <c r="E1862" s="8" t="s">
        <v>28</v>
      </c>
      <c r="F1862" s="42" t="str">
        <f>F1859</f>
        <v>d.suportar</v>
      </c>
      <c r="G1862" s="17" t="s">
        <v>7707</v>
      </c>
      <c r="H1862" s="42" t="s">
        <v>2121</v>
      </c>
      <c r="I1862" s="16" t="str">
        <f t="shared" ref="I1862" si="780">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75"/>
        <v>Propriedade destinada a suportar: é.viga.longarina</v>
      </c>
      <c r="V1862" s="5" t="str">
        <f t="shared" si="776"/>
        <v>Dado para suportar:  viga.longarina  Deve ser formatado como (rdfs:Literal  or  xsd:string)</v>
      </c>
      <c r="W1862" s="5" t="s">
        <v>7709</v>
      </c>
      <c r="X1862" s="24" t="str">
        <f t="shared" si="777"/>
        <v>supor.133</v>
      </c>
      <c r="Y1862" s="24" t="str">
        <f t="shared" si="778"/>
        <v>Ação de suportar</v>
      </c>
      <c r="Z1862" s="47" t="s">
        <v>7713</v>
      </c>
      <c r="AA1862" s="25" t="str">
        <f t="shared" ref="AA1862" si="781">IF(AB1862="null", "null", "categoria.revit")</f>
        <v>categoria.revit</v>
      </c>
      <c r="AB1862" s="26" t="s">
        <v>3532</v>
      </c>
      <c r="AC1862" s="25" t="str">
        <f t="shared" ref="AC1862" si="782">IF(AD1862="null", "null", "classe.ifc")</f>
        <v>classe.ifc</v>
      </c>
      <c r="AD1862" s="26" t="s">
        <v>3487</v>
      </c>
      <c r="AE1862" s="25" t="str">
        <f t="shared" ref="AE1862" si="783">IF(AF1862="null", "null", "propriedade")</f>
        <v>null</v>
      </c>
      <c r="AF1862" s="26" t="s">
        <v>0</v>
      </c>
      <c r="AG1862" s="47" t="s">
        <v>7711</v>
      </c>
    </row>
    <row r="1863" spans="1:33" ht="6.9" customHeight="1" x14ac:dyDescent="0.4">
      <c r="A1863" s="4">
        <f>ROW()</f>
        <v>1863</v>
      </c>
      <c r="B1863" s="9" t="s">
        <v>27</v>
      </c>
      <c r="C1863" s="55" t="str">
        <f t="shared" si="769"/>
        <v>p.suportar</v>
      </c>
      <c r="D1863" s="6" t="str">
        <f t="shared" si="742"/>
        <v>é.viga.traversina</v>
      </c>
      <c r="E1863" s="8" t="s">
        <v>28</v>
      </c>
      <c r="F1863" s="42" t="str">
        <f>F1860</f>
        <v>d.suportar</v>
      </c>
      <c r="G1863" s="17" t="s">
        <v>7708</v>
      </c>
      <c r="H1863" s="42" t="s">
        <v>2121</v>
      </c>
      <c r="I1863" s="16" t="str">
        <f t="shared" si="765"/>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75"/>
        <v>Propriedade destinada a suportar: é.viga.traversina</v>
      </c>
      <c r="V1863" s="5" t="str">
        <f t="shared" si="776"/>
        <v>Dado para suportar:  viga.traversina  Deve ser formatado como (rdfs:Literal  or  xsd:string)</v>
      </c>
      <c r="W1863" s="5" t="s">
        <v>7710</v>
      </c>
      <c r="X1863" s="24" t="str">
        <f t="shared" si="777"/>
        <v>supor.134</v>
      </c>
      <c r="Y1863" s="24" t="str">
        <f t="shared" si="778"/>
        <v>Ação de suportar</v>
      </c>
      <c r="Z1863" s="47" t="s">
        <v>7714</v>
      </c>
      <c r="AA1863" s="25" t="str">
        <f t="shared" si="766"/>
        <v>categoria.revit</v>
      </c>
      <c r="AB1863" s="26" t="s">
        <v>3532</v>
      </c>
      <c r="AC1863" s="25" t="str">
        <f t="shared" si="767"/>
        <v>classe.ifc</v>
      </c>
      <c r="AD1863" s="26" t="s">
        <v>3487</v>
      </c>
      <c r="AE1863" s="25" t="str">
        <f t="shared" si="768"/>
        <v>null</v>
      </c>
      <c r="AF1863" s="26" t="s">
        <v>0</v>
      </c>
      <c r="AG1863" s="47" t="s">
        <v>7712</v>
      </c>
    </row>
    <row r="1864" spans="1:33" ht="6.9" customHeight="1" x14ac:dyDescent="0.4">
      <c r="A1864" s="4">
        <f>ROW()</f>
        <v>1864</v>
      </c>
      <c r="B1864" s="9" t="s">
        <v>27</v>
      </c>
      <c r="C1864" s="54" t="str">
        <f t="shared" ref="C1864:C1865" si="784">SUBSTITUTE(F1864,"d.","p.")</f>
        <v>p.tabular</v>
      </c>
      <c r="D1864" s="6" t="str">
        <f t="shared" si="742"/>
        <v>é.questionário</v>
      </c>
      <c r="E1864" s="8" t="s">
        <v>28</v>
      </c>
      <c r="F1864" s="51" t="s">
        <v>3635</v>
      </c>
      <c r="G1864" s="17" t="s">
        <v>4631</v>
      </c>
      <c r="H1864" s="42" t="s">
        <v>2121</v>
      </c>
      <c r="I1864" s="16" t="str">
        <f t="shared" ref="I1864:I1865" si="785">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75"/>
        <v>Propriedade destinada a tabular: é.questionário</v>
      </c>
      <c r="V1864" s="5" t="str">
        <f t="shared" si="776"/>
        <v>Dado para tabular:  questionário  Deve ser formatado como (rdfs:Literal  or  xsd:string)</v>
      </c>
      <c r="W1864" s="5" t="s">
        <v>6458</v>
      </c>
      <c r="X1864" s="24" t="str">
        <f t="shared" si="777"/>
        <v>tabul.100</v>
      </c>
      <c r="Y1864" s="24" t="str">
        <f t="shared" si="778"/>
        <v>Ação de tabular</v>
      </c>
      <c r="Z1864" s="47" t="s">
        <v>3964</v>
      </c>
      <c r="AA1864" s="25" t="str">
        <f t="shared" ref="AA1864:AA1865" si="786">IF(AB1864="null", "null", "categoria.revit")</f>
        <v>null</v>
      </c>
      <c r="AB1864" s="26" t="s">
        <v>0</v>
      </c>
      <c r="AC1864" s="25" t="str">
        <f t="shared" ref="AC1864:AC1865" si="787">IF(AD1864="null", "null", "classe.ifc")</f>
        <v>null</v>
      </c>
      <c r="AD1864" s="26" t="s">
        <v>0</v>
      </c>
      <c r="AE1864" s="25" t="str">
        <f t="shared" si="748"/>
        <v>null</v>
      </c>
      <c r="AF1864" s="26" t="s">
        <v>0</v>
      </c>
      <c r="AG1864" s="47" t="s">
        <v>4024</v>
      </c>
    </row>
    <row r="1865" spans="1:33" ht="6.9" customHeight="1" x14ac:dyDescent="0.4">
      <c r="A1865" s="4">
        <f>ROW()</f>
        <v>1865</v>
      </c>
      <c r="B1865" s="9" t="s">
        <v>27</v>
      </c>
      <c r="C1865" s="55" t="str">
        <f t="shared" si="784"/>
        <v>p.tabular</v>
      </c>
      <c r="D1865" s="6" t="str">
        <f t="shared" si="742"/>
        <v>é.tabela</v>
      </c>
      <c r="E1865" s="8" t="s">
        <v>28</v>
      </c>
      <c r="F1865" s="42" t="str">
        <f t="shared" ref="F1865:F1867" si="788">F1864</f>
        <v>d.tabular</v>
      </c>
      <c r="G1865" s="17" t="s">
        <v>4496</v>
      </c>
      <c r="H1865" s="42" t="s">
        <v>2121</v>
      </c>
      <c r="I1865" s="16" t="str">
        <f t="shared" si="78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75"/>
        <v>Propriedade destinada a tabular: é.tabela</v>
      </c>
      <c r="V1865" s="5" t="str">
        <f t="shared" si="776"/>
        <v>Dado para tabular:  tabela  Deve ser formatado como (rdfs:Literal  or  xsd:string)</v>
      </c>
      <c r="W1865" s="5" t="s">
        <v>6459</v>
      </c>
      <c r="X1865" s="24" t="str">
        <f t="shared" si="777"/>
        <v>tabul.101</v>
      </c>
      <c r="Y1865" s="24" t="str">
        <f t="shared" si="778"/>
        <v>Ação de tabular</v>
      </c>
      <c r="Z1865" s="47" t="s">
        <v>7720</v>
      </c>
      <c r="AA1865" s="25" t="str">
        <f t="shared" si="786"/>
        <v>null</v>
      </c>
      <c r="AB1865" s="26" t="s">
        <v>0</v>
      </c>
      <c r="AC1865" s="25" t="str">
        <f t="shared" si="787"/>
        <v>null</v>
      </c>
      <c r="AD1865" s="26" t="s">
        <v>0</v>
      </c>
      <c r="AE1865" s="25" t="str">
        <f t="shared" si="748"/>
        <v>null</v>
      </c>
      <c r="AF1865" s="26" t="s">
        <v>0</v>
      </c>
      <c r="AG1865" s="47" t="s">
        <v>7715</v>
      </c>
    </row>
    <row r="1866" spans="1:33" ht="6.9" customHeight="1" x14ac:dyDescent="0.4">
      <c r="A1866" s="4">
        <f>ROW()</f>
        <v>1866</v>
      </c>
      <c r="B1866" s="9" t="s">
        <v>27</v>
      </c>
      <c r="C1866" s="55" t="str">
        <f t="shared" ref="C1866:C1870" si="789">SUBSTITUTE(F1866,"d.","p.")</f>
        <v>p.tabular</v>
      </c>
      <c r="D1866" s="6" t="str">
        <f t="shared" si="742"/>
        <v>é.tabela.chave</v>
      </c>
      <c r="E1866" s="8" t="s">
        <v>28</v>
      </c>
      <c r="F1866" s="42" t="str">
        <f t="shared" si="788"/>
        <v>d.tabular</v>
      </c>
      <c r="G1866" s="17" t="s">
        <v>4632</v>
      </c>
      <c r="H1866" s="42" t="s">
        <v>2121</v>
      </c>
      <c r="I1866" s="16" t="str">
        <f t="shared" ref="I1866:I1870" si="790">J1866</f>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75"/>
        <v>Propriedade destinada a tabular: é.tabela.chave</v>
      </c>
      <c r="V1866" s="5" t="str">
        <f t="shared" si="776"/>
        <v>Dado para tabular:  tabela.chave  Deve ser formatado como (rdfs:Literal  or  xsd:string)</v>
      </c>
      <c r="W1866" s="5" t="s">
        <v>6460</v>
      </c>
      <c r="X1866" s="24" t="str">
        <f t="shared" si="777"/>
        <v>tabul.102</v>
      </c>
      <c r="Y1866" s="24" t="str">
        <f t="shared" si="778"/>
        <v>Ação de tabular</v>
      </c>
      <c r="Z1866" s="47" t="s">
        <v>7721</v>
      </c>
      <c r="AA1866" s="25" t="str">
        <f t="shared" ref="AA1866:AA1870" si="791">IF(AB1866="null", "null", "categoria.revit")</f>
        <v>null</v>
      </c>
      <c r="AB1866" s="26" t="s">
        <v>0</v>
      </c>
      <c r="AC1866" s="25" t="str">
        <f t="shared" ref="AC1866:AC1870" si="792">IF(AD1866="null", "null", "classe.ifc")</f>
        <v>null</v>
      </c>
      <c r="AD1866" s="26" t="s">
        <v>0</v>
      </c>
      <c r="AE1866" s="25" t="str">
        <f t="shared" si="748"/>
        <v>null</v>
      </c>
      <c r="AF1866" s="26" t="s">
        <v>0</v>
      </c>
      <c r="AG1866" s="47" t="s">
        <v>7716</v>
      </c>
    </row>
    <row r="1867" spans="1:33" ht="6.9" customHeight="1" x14ac:dyDescent="0.4">
      <c r="A1867" s="4">
        <f>ROW()</f>
        <v>1867</v>
      </c>
      <c r="B1867" s="9" t="s">
        <v>27</v>
      </c>
      <c r="C1867" s="55" t="str">
        <f t="shared" si="789"/>
        <v>p.tabular</v>
      </c>
      <c r="D1867" s="6" t="str">
        <f t="shared" si="742"/>
        <v>é.tabela.gráfica</v>
      </c>
      <c r="E1867" s="8" t="s">
        <v>28</v>
      </c>
      <c r="F1867" s="42" t="str">
        <f t="shared" si="788"/>
        <v>d.tabular</v>
      </c>
      <c r="G1867" s="17" t="s">
        <v>4497</v>
      </c>
      <c r="H1867" s="42" t="s">
        <v>2121</v>
      </c>
      <c r="I1867" s="16" t="str">
        <f t="shared" si="790"/>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75"/>
        <v>Propriedade destinada a tabular: é.tabela.gráfica</v>
      </c>
      <c r="V1867" s="5" t="str">
        <f t="shared" si="776"/>
        <v>Dado para tabular:  tabela.gráfica  Deve ser formatado como (rdfs:Literal  or  xsd:string)</v>
      </c>
      <c r="W1867" s="5" t="s">
        <v>6461</v>
      </c>
      <c r="X1867" s="24" t="str">
        <f t="shared" si="777"/>
        <v>tabul.103</v>
      </c>
      <c r="Y1867" s="24" t="str">
        <f t="shared" si="778"/>
        <v>Ação de tabular</v>
      </c>
      <c r="Z1867" s="47" t="s">
        <v>7722</v>
      </c>
      <c r="AA1867" s="25" t="str">
        <f t="shared" si="791"/>
        <v>null</v>
      </c>
      <c r="AB1867" s="26" t="s">
        <v>0</v>
      </c>
      <c r="AC1867" s="25" t="str">
        <f t="shared" si="792"/>
        <v>null</v>
      </c>
      <c r="AD1867" s="26" t="s">
        <v>0</v>
      </c>
      <c r="AE1867" s="25" t="str">
        <f t="shared" si="748"/>
        <v>null</v>
      </c>
      <c r="AF1867" s="26" t="s">
        <v>0</v>
      </c>
      <c r="AG1867" s="47" t="s">
        <v>7717</v>
      </c>
    </row>
    <row r="1868" spans="1:33" ht="6.9" customHeight="1" x14ac:dyDescent="0.4">
      <c r="A1868" s="4">
        <f>ROW()</f>
        <v>1868</v>
      </c>
      <c r="B1868" s="9" t="s">
        <v>27</v>
      </c>
      <c r="C1868" s="55" t="str">
        <f t="shared" ref="C1868" si="793">SUBSTITUTE(F1868,"d.","p.")</f>
        <v>p.tabular</v>
      </c>
      <c r="D1868" s="6" t="str">
        <f t="shared" si="742"/>
        <v>é.tabela.orçamentária</v>
      </c>
      <c r="E1868" s="8" t="s">
        <v>28</v>
      </c>
      <c r="F1868" s="42" t="str">
        <f>F1867</f>
        <v>d.tabular</v>
      </c>
      <c r="G1868" s="17" t="s">
        <v>4633</v>
      </c>
      <c r="H1868" s="42" t="s">
        <v>2121</v>
      </c>
      <c r="I1868" s="16" t="str">
        <f t="shared" ref="I1868" si="794">J1868</f>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775"/>
        <v>Propriedade destinada a tabular: é.tabela.orçamentária</v>
      </c>
      <c r="V1868" s="5" t="str">
        <f t="shared" si="776"/>
        <v>Dado para tabular:  tabela.orçamentária  Deve ser formatado como (rdfs:Literal  or  xsd:string)</v>
      </c>
      <c r="W1868" s="5" t="s">
        <v>6462</v>
      </c>
      <c r="X1868" s="24" t="str">
        <f t="shared" si="777"/>
        <v>tabul.104</v>
      </c>
      <c r="Y1868" s="24" t="str">
        <f t="shared" si="778"/>
        <v>Ação de tabular</v>
      </c>
      <c r="Z1868" s="47" t="s">
        <v>7723</v>
      </c>
      <c r="AA1868" s="25" t="str">
        <f t="shared" ref="AA1868" si="795">IF(AB1868="null", "null", "categoria.revit")</f>
        <v>null</v>
      </c>
      <c r="AB1868" s="26" t="s">
        <v>0</v>
      </c>
      <c r="AC1868" s="25" t="str">
        <f t="shared" ref="AC1868" si="796">IF(AD1868="null", "null", "classe.ifc")</f>
        <v>null</v>
      </c>
      <c r="AD1868" s="26" t="s">
        <v>0</v>
      </c>
      <c r="AE1868" s="25" t="str">
        <f t="shared" si="748"/>
        <v>null</v>
      </c>
      <c r="AF1868" s="26" t="s">
        <v>0</v>
      </c>
      <c r="AG1868" s="47" t="s">
        <v>7718</v>
      </c>
    </row>
    <row r="1869" spans="1:33" ht="6.9" customHeight="1" x14ac:dyDescent="0.4">
      <c r="A1869" s="4">
        <f>ROW()</f>
        <v>1869</v>
      </c>
      <c r="B1869" s="9" t="s">
        <v>27</v>
      </c>
      <c r="C1869" s="55" t="str">
        <f t="shared" si="789"/>
        <v>p.tabular</v>
      </c>
      <c r="D1869" s="6" t="str">
        <f t="shared" si="742"/>
        <v>é.tabela.quantitativa</v>
      </c>
      <c r="E1869" s="8" t="s">
        <v>28</v>
      </c>
      <c r="F1869" s="42" t="str">
        <f>F1867</f>
        <v>d.tabular</v>
      </c>
      <c r="G1869" s="17" t="s">
        <v>4634</v>
      </c>
      <c r="H1869" s="42" t="s">
        <v>2121</v>
      </c>
      <c r="I1869" s="16" t="str">
        <f t="shared" si="790"/>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75"/>
        <v>Propriedade destinada a tabular: é.tabela.quantitativa</v>
      </c>
      <c r="V1869" s="5" t="str">
        <f t="shared" si="776"/>
        <v>Dado para tabular:  tabela.quantitativa  Deve ser formatado como (rdfs:Literal  or  xsd:string)</v>
      </c>
      <c r="W1869" s="5" t="s">
        <v>6463</v>
      </c>
      <c r="X1869" s="24" t="str">
        <f t="shared" si="777"/>
        <v>tabul.105</v>
      </c>
      <c r="Y1869" s="24" t="str">
        <f t="shared" si="778"/>
        <v>Ação de tabular</v>
      </c>
      <c r="Z1869" s="47" t="s">
        <v>7724</v>
      </c>
      <c r="AA1869" s="25" t="str">
        <f t="shared" si="791"/>
        <v>null</v>
      </c>
      <c r="AB1869" s="26" t="s">
        <v>0</v>
      </c>
      <c r="AC1869" s="25" t="str">
        <f t="shared" si="792"/>
        <v>null</v>
      </c>
      <c r="AD1869" s="26" t="s">
        <v>0</v>
      </c>
      <c r="AE1869" s="25" t="str">
        <f t="shared" si="748"/>
        <v>null</v>
      </c>
      <c r="AF1869" s="26" t="s">
        <v>0</v>
      </c>
      <c r="AG1869" s="47" t="s">
        <v>7719</v>
      </c>
    </row>
    <row r="1870" spans="1:33" ht="6.9" customHeight="1" x14ac:dyDescent="0.4">
      <c r="A1870" s="4">
        <f>ROW()</f>
        <v>1870</v>
      </c>
      <c r="B1870" s="9" t="s">
        <v>27</v>
      </c>
      <c r="C1870" s="54" t="str">
        <f t="shared" si="789"/>
        <v>p.taxonomizar</v>
      </c>
      <c r="D1870" s="6" t="str">
        <f t="shared" si="742"/>
        <v>é.aplicado.em</v>
      </c>
      <c r="E1870" s="8" t="s">
        <v>28</v>
      </c>
      <c r="F1870" s="50" t="s">
        <v>3636</v>
      </c>
      <c r="G1870" s="46" t="s">
        <v>2269</v>
      </c>
      <c r="H1870" s="41" t="s">
        <v>2121</v>
      </c>
      <c r="I1870" s="16" t="str">
        <f t="shared" si="790"/>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775"/>
        <v>Propriedade destinada a taxonomizar: é.aplicado.em</v>
      </c>
      <c r="V1870" s="5" t="str">
        <f t="shared" si="776"/>
        <v>Dado para taxonomizar:  aplicado.em  Deve ser formatado como (rdfs:Literal  or  xsd:string)</v>
      </c>
      <c r="W1870" s="5" t="s">
        <v>6464</v>
      </c>
      <c r="X1870" s="24" t="str">
        <f t="shared" si="777"/>
        <v>taxon.100</v>
      </c>
      <c r="Y1870" s="24" t="str">
        <f t="shared" si="778"/>
        <v>Ação de taxonomizar</v>
      </c>
      <c r="Z1870" s="47" t="s">
        <v>2558</v>
      </c>
      <c r="AA1870" s="25" t="str">
        <f t="shared" si="791"/>
        <v>null</v>
      </c>
      <c r="AB1870" s="26" t="s">
        <v>0</v>
      </c>
      <c r="AC1870" s="25" t="str">
        <f t="shared" si="792"/>
        <v>null</v>
      </c>
      <c r="AD1870" s="26" t="s">
        <v>0</v>
      </c>
      <c r="AE1870" s="25" t="str">
        <f t="shared" si="748"/>
        <v>null</v>
      </c>
      <c r="AF1870" s="26" t="s">
        <v>0</v>
      </c>
      <c r="AG1870" s="47" t="s">
        <v>3287</v>
      </c>
    </row>
    <row r="1871" spans="1:33" ht="6.9" customHeight="1" x14ac:dyDescent="0.4">
      <c r="A1871" s="4">
        <f>ROW()</f>
        <v>1871</v>
      </c>
      <c r="B1871" s="9" t="s">
        <v>27</v>
      </c>
      <c r="C1871" s="55" t="str">
        <f t="shared" ref="C1871:C1902" si="797">SUBSTITUTE(F1871,"d.","p.")</f>
        <v>p.taxonomizar</v>
      </c>
      <c r="D1871" s="6" t="str">
        <f t="shared" ref="D1871:D1934" si="798">_xlfn.CONCAT("é.",G1871)</f>
        <v>é.ação.projetual</v>
      </c>
      <c r="E1871" s="8" t="s">
        <v>28</v>
      </c>
      <c r="F1871" s="42" t="str">
        <f t="shared" ref="F1871:F1911" si="799">F1870</f>
        <v>d.taxonomizar</v>
      </c>
      <c r="G1871" s="46" t="s">
        <v>2329</v>
      </c>
      <c r="H1871" s="41" t="s">
        <v>2121</v>
      </c>
      <c r="I1871" s="16" t="str">
        <f t="shared" ref="I1871:I1902" si="800">J1871</f>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775"/>
        <v>Propriedade destinada a taxonomizar: é.ação.projetual</v>
      </c>
      <c r="V1871" s="5" t="str">
        <f t="shared" si="776"/>
        <v>Dado para taxonomizar:  ação.projetual  Deve ser formatado como (rdfs:Literal  or  xsd:string)</v>
      </c>
      <c r="W1871" s="5" t="s">
        <v>6465</v>
      </c>
      <c r="X1871" s="24" t="str">
        <f t="shared" si="777"/>
        <v>taxon.101</v>
      </c>
      <c r="Y1871" s="24" t="str">
        <f t="shared" si="778"/>
        <v>Ação de taxonomizar</v>
      </c>
      <c r="Z1871" s="47" t="s">
        <v>2560</v>
      </c>
      <c r="AA1871" s="25" t="str">
        <f t="shared" ref="AA1871:AA1902" si="801">IF(AB1871="null", "null", "categoria.revit")</f>
        <v>null</v>
      </c>
      <c r="AB1871" s="26" t="s">
        <v>0</v>
      </c>
      <c r="AC1871" s="25" t="str">
        <f t="shared" ref="AC1871:AC1902" si="802">IF(AD1871="null", "null", "classe.ifc")</f>
        <v>null</v>
      </c>
      <c r="AD1871" s="26" t="s">
        <v>0</v>
      </c>
      <c r="AE1871" s="25" t="str">
        <f t="shared" si="748"/>
        <v>null</v>
      </c>
      <c r="AF1871" s="26" t="s">
        <v>0</v>
      </c>
      <c r="AG1871" s="47" t="s">
        <v>3289</v>
      </c>
    </row>
    <row r="1872" spans="1:33" ht="6.9" customHeight="1" x14ac:dyDescent="0.4">
      <c r="A1872" s="4">
        <f>ROW()</f>
        <v>1872</v>
      </c>
      <c r="B1872" s="9" t="s">
        <v>27</v>
      </c>
      <c r="C1872" s="55" t="str">
        <f t="shared" si="797"/>
        <v>p.taxonomizar</v>
      </c>
      <c r="D1872" s="6" t="str">
        <f t="shared" si="798"/>
        <v>é.alinhado.com</v>
      </c>
      <c r="E1872" s="8" t="s">
        <v>28</v>
      </c>
      <c r="F1872" s="42" t="str">
        <f t="shared" si="799"/>
        <v>d.taxonomizar</v>
      </c>
      <c r="G1872" s="46" t="s">
        <v>2306</v>
      </c>
      <c r="H1872" s="41" t="s">
        <v>2121</v>
      </c>
      <c r="I1872" s="16" t="str">
        <f t="shared" si="800"/>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775"/>
        <v>Propriedade destinada a taxonomizar: é.alinhado.com</v>
      </c>
      <c r="V1872" s="5" t="str">
        <f t="shared" si="776"/>
        <v>Dado para taxonomizar:  alinhado.com  Deve ser formatado como (rdfs:Literal  or  xsd:string)</v>
      </c>
      <c r="W1872" s="5" t="s">
        <v>6466</v>
      </c>
      <c r="X1872" s="24" t="str">
        <f t="shared" si="777"/>
        <v>taxon.102</v>
      </c>
      <c r="Y1872" s="24" t="str">
        <f t="shared" si="778"/>
        <v>Ação de taxonomizar</v>
      </c>
      <c r="Z1872" s="47" t="s">
        <v>4615</v>
      </c>
      <c r="AA1872" s="25" t="str">
        <f t="shared" si="801"/>
        <v>null</v>
      </c>
      <c r="AB1872" s="26" t="s">
        <v>0</v>
      </c>
      <c r="AC1872" s="25" t="str">
        <f t="shared" si="802"/>
        <v>null</v>
      </c>
      <c r="AD1872" s="26" t="s">
        <v>0</v>
      </c>
      <c r="AE1872" s="25" t="str">
        <f t="shared" si="748"/>
        <v>null</v>
      </c>
      <c r="AF1872" s="26" t="s">
        <v>0</v>
      </c>
      <c r="AG1872" s="47" t="s">
        <v>8190</v>
      </c>
    </row>
    <row r="1873" spans="1:33" ht="6.9" customHeight="1" x14ac:dyDescent="0.4">
      <c r="A1873" s="4">
        <f>ROW()</f>
        <v>1873</v>
      </c>
      <c r="B1873" s="9" t="s">
        <v>27</v>
      </c>
      <c r="C1873" s="55" t="str">
        <f t="shared" si="797"/>
        <v>p.taxonomizar</v>
      </c>
      <c r="D1873" s="6" t="str">
        <f t="shared" si="798"/>
        <v>é.ameaça</v>
      </c>
      <c r="E1873" s="8" t="s">
        <v>28</v>
      </c>
      <c r="F1873" s="42" t="str">
        <f t="shared" si="799"/>
        <v>d.taxonomizar</v>
      </c>
      <c r="G1873" s="46" t="s">
        <v>2293</v>
      </c>
      <c r="H1873" s="41" t="s">
        <v>2121</v>
      </c>
      <c r="I1873" s="16" t="str">
        <f t="shared" si="800"/>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775"/>
        <v>Propriedade destinada a taxonomizar: é.ameaça</v>
      </c>
      <c r="V1873" s="5" t="str">
        <f t="shared" si="776"/>
        <v>Dado para taxonomizar:  ameaça  Deve ser formatado como (rdfs:Literal  or  xsd:string)</v>
      </c>
      <c r="W1873" s="5" t="s">
        <v>6467</v>
      </c>
      <c r="X1873" s="24" t="str">
        <f t="shared" si="777"/>
        <v>taxon.103</v>
      </c>
      <c r="Y1873" s="24" t="str">
        <f t="shared" si="778"/>
        <v>Ação de taxonomizar</v>
      </c>
      <c r="Z1873" s="47" t="s">
        <v>4614</v>
      </c>
      <c r="AA1873" s="25" t="str">
        <f t="shared" si="801"/>
        <v>null</v>
      </c>
      <c r="AB1873" s="26" t="s">
        <v>0</v>
      </c>
      <c r="AC1873" s="25" t="str">
        <f t="shared" si="802"/>
        <v>null</v>
      </c>
      <c r="AD1873" s="26" t="s">
        <v>0</v>
      </c>
      <c r="AE1873" s="25" t="str">
        <f t="shared" si="748"/>
        <v>null</v>
      </c>
      <c r="AF1873" s="26" t="s">
        <v>0</v>
      </c>
      <c r="AG1873" s="47" t="s">
        <v>3290</v>
      </c>
    </row>
    <row r="1874" spans="1:33" ht="6.9" customHeight="1" x14ac:dyDescent="0.4">
      <c r="A1874" s="4">
        <f>ROW()</f>
        <v>1874</v>
      </c>
      <c r="B1874" s="9" t="s">
        <v>27</v>
      </c>
      <c r="C1874" s="55" t="str">
        <f t="shared" si="797"/>
        <v>p.taxonomizar</v>
      </c>
      <c r="D1874" s="6" t="str">
        <f t="shared" si="798"/>
        <v>é.ameaça.potencial.em</v>
      </c>
      <c r="E1874" s="8" t="s">
        <v>28</v>
      </c>
      <c r="F1874" s="42" t="str">
        <f t="shared" si="799"/>
        <v>d.taxonomizar</v>
      </c>
      <c r="G1874" s="46" t="s">
        <v>2305</v>
      </c>
      <c r="H1874" s="41" t="s">
        <v>2121</v>
      </c>
      <c r="I1874" s="16" t="str">
        <f t="shared" si="800"/>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775"/>
        <v>Propriedade destinada a taxonomizar: é.ameaça.potencial.em</v>
      </c>
      <c r="V1874" s="5" t="str">
        <f t="shared" si="776"/>
        <v>Dado para taxonomizar:  ameaça.potencial.em  Deve ser formatado como (rdfs:Literal  or  xsd:string)</v>
      </c>
      <c r="W1874" s="5" t="s">
        <v>6468</v>
      </c>
      <c r="X1874" s="24" t="str">
        <f t="shared" si="777"/>
        <v>taxon.104</v>
      </c>
      <c r="Y1874" s="24" t="str">
        <f t="shared" si="778"/>
        <v>Ação de taxonomizar</v>
      </c>
      <c r="Z1874" s="47" t="s">
        <v>4613</v>
      </c>
      <c r="AA1874" s="25" t="str">
        <f t="shared" si="801"/>
        <v>null</v>
      </c>
      <c r="AB1874" s="26" t="s">
        <v>0</v>
      </c>
      <c r="AC1874" s="25" t="str">
        <f t="shared" si="802"/>
        <v>null</v>
      </c>
      <c r="AD1874" s="26" t="s">
        <v>0</v>
      </c>
      <c r="AE1874" s="25" t="str">
        <f t="shared" si="748"/>
        <v>null</v>
      </c>
      <c r="AF1874" s="26" t="s">
        <v>0</v>
      </c>
      <c r="AG1874" s="47" t="s">
        <v>4816</v>
      </c>
    </row>
    <row r="1875" spans="1:33" ht="6.9" customHeight="1" x14ac:dyDescent="0.4">
      <c r="A1875" s="4">
        <f>ROW()</f>
        <v>1875</v>
      </c>
      <c r="B1875" s="9" t="s">
        <v>27</v>
      </c>
      <c r="C1875" s="55" t="str">
        <f t="shared" si="797"/>
        <v>p.taxonomizar</v>
      </c>
      <c r="D1875" s="6" t="str">
        <f t="shared" si="798"/>
        <v>é.aplicada.em</v>
      </c>
      <c r="E1875" s="8" t="s">
        <v>28</v>
      </c>
      <c r="F1875" s="42" t="str">
        <f t="shared" si="799"/>
        <v>d.taxonomizar</v>
      </c>
      <c r="G1875" s="46" t="s">
        <v>2514</v>
      </c>
      <c r="H1875" s="41" t="s">
        <v>2121</v>
      </c>
      <c r="I1875" s="16" t="str">
        <f t="shared" si="800"/>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775"/>
        <v>Propriedade destinada a taxonomizar: é.aplicada.em</v>
      </c>
      <c r="V1875" s="5" t="str">
        <f t="shared" si="776"/>
        <v>Dado para taxonomizar:  aplicada.em  Deve ser formatado como (rdfs:Literal  or  xsd:string)</v>
      </c>
      <c r="W1875" s="5" t="s">
        <v>6469</v>
      </c>
      <c r="X1875" s="24" t="str">
        <f t="shared" si="777"/>
        <v>taxon.105</v>
      </c>
      <c r="Y1875" s="24" t="str">
        <f t="shared" si="778"/>
        <v>Ação de taxonomizar</v>
      </c>
      <c r="Z1875" s="47" t="s">
        <v>2559</v>
      </c>
      <c r="AA1875" s="25" t="str">
        <f t="shared" si="801"/>
        <v>null</v>
      </c>
      <c r="AB1875" s="26" t="s">
        <v>0</v>
      </c>
      <c r="AC1875" s="25" t="str">
        <f t="shared" si="802"/>
        <v>null</v>
      </c>
      <c r="AD1875" s="26" t="s">
        <v>0</v>
      </c>
      <c r="AE1875" s="25" t="str">
        <f t="shared" si="748"/>
        <v>null</v>
      </c>
      <c r="AF1875" s="26" t="s">
        <v>0</v>
      </c>
      <c r="AG1875" s="47" t="s">
        <v>3288</v>
      </c>
    </row>
    <row r="1876" spans="1:33" ht="6.9" customHeight="1" x14ac:dyDescent="0.4">
      <c r="A1876" s="4">
        <f>ROW()</f>
        <v>1876</v>
      </c>
      <c r="B1876" s="9" t="s">
        <v>27</v>
      </c>
      <c r="C1876" s="55" t="str">
        <f t="shared" si="797"/>
        <v>p.taxonomizar</v>
      </c>
      <c r="D1876" s="6" t="str">
        <f t="shared" si="798"/>
        <v>é.apoiador</v>
      </c>
      <c r="E1876" s="8" t="s">
        <v>28</v>
      </c>
      <c r="F1876" s="42" t="str">
        <f t="shared" si="799"/>
        <v>d.taxonomizar</v>
      </c>
      <c r="G1876" s="46" t="s">
        <v>2320</v>
      </c>
      <c r="H1876" s="41" t="s">
        <v>2121</v>
      </c>
      <c r="I1876" s="16" t="str">
        <f t="shared" si="800"/>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775"/>
        <v>Propriedade destinada a taxonomizar: é.apoiador</v>
      </c>
      <c r="V1876" s="5" t="str">
        <f t="shared" si="776"/>
        <v>Dado para taxonomizar:  apoiador  Deve ser formatado como (rdfs:Literal  or  xsd:string)</v>
      </c>
      <c r="W1876" s="5" t="s">
        <v>6470</v>
      </c>
      <c r="X1876" s="24" t="str">
        <f t="shared" si="777"/>
        <v>taxon.106</v>
      </c>
      <c r="Y1876" s="24" t="str">
        <f t="shared" si="778"/>
        <v>Ação de taxonomizar</v>
      </c>
      <c r="Z1876" s="47" t="s">
        <v>2561</v>
      </c>
      <c r="AA1876" s="25" t="str">
        <f t="shared" si="801"/>
        <v>null</v>
      </c>
      <c r="AB1876" s="26" t="s">
        <v>0</v>
      </c>
      <c r="AC1876" s="25" t="str">
        <f t="shared" si="802"/>
        <v>null</v>
      </c>
      <c r="AD1876" s="26" t="s">
        <v>0</v>
      </c>
      <c r="AE1876" s="25" t="str">
        <f t="shared" si="748"/>
        <v>null</v>
      </c>
      <c r="AF1876" s="26" t="s">
        <v>0</v>
      </c>
      <c r="AG1876" s="47" t="s">
        <v>4747</v>
      </c>
    </row>
    <row r="1877" spans="1:33" ht="6.9" customHeight="1" x14ac:dyDescent="0.4">
      <c r="A1877" s="4">
        <f>ROW()</f>
        <v>1877</v>
      </c>
      <c r="B1877" s="9" t="s">
        <v>27</v>
      </c>
      <c r="C1877" s="55" t="str">
        <f t="shared" si="797"/>
        <v>p.taxonomizar</v>
      </c>
      <c r="D1877" s="6" t="str">
        <f t="shared" si="798"/>
        <v>é.apoiador.técnico</v>
      </c>
      <c r="E1877" s="8" t="s">
        <v>28</v>
      </c>
      <c r="F1877" s="42" t="str">
        <f t="shared" si="799"/>
        <v>d.taxonomizar</v>
      </c>
      <c r="G1877" s="46" t="s">
        <v>2321</v>
      </c>
      <c r="H1877" s="41" t="s">
        <v>2121</v>
      </c>
      <c r="I1877" s="16" t="str">
        <f t="shared" si="800"/>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775"/>
        <v>Propriedade destinada a taxonomizar: é.apoiador.técnico</v>
      </c>
      <c r="V1877" s="5" t="str">
        <f t="shared" si="776"/>
        <v>Dado para taxonomizar:  apoiador.técnico  Deve ser formatado como (rdfs:Literal  or  xsd:string)</v>
      </c>
      <c r="W1877" s="5" t="s">
        <v>6471</v>
      </c>
      <c r="X1877" s="24" t="str">
        <f t="shared" si="777"/>
        <v>taxon.107</v>
      </c>
      <c r="Y1877" s="24" t="str">
        <f t="shared" si="778"/>
        <v>Ação de taxonomizar</v>
      </c>
      <c r="Z1877" s="47" t="s">
        <v>2562</v>
      </c>
      <c r="AA1877" s="25" t="str">
        <f t="shared" si="801"/>
        <v>null</v>
      </c>
      <c r="AB1877" s="26" t="s">
        <v>0</v>
      </c>
      <c r="AC1877" s="25" t="str">
        <f t="shared" si="802"/>
        <v>null</v>
      </c>
      <c r="AD1877" s="26" t="s">
        <v>0</v>
      </c>
      <c r="AE1877" s="25" t="str">
        <f t="shared" si="748"/>
        <v>null</v>
      </c>
      <c r="AF1877" s="26" t="s">
        <v>0</v>
      </c>
      <c r="AG1877" s="47" t="s">
        <v>4748</v>
      </c>
    </row>
    <row r="1878" spans="1:33" ht="6.9" customHeight="1" x14ac:dyDescent="0.4">
      <c r="A1878" s="4">
        <f>ROW()</f>
        <v>1878</v>
      </c>
      <c r="B1878" s="9" t="s">
        <v>27</v>
      </c>
      <c r="C1878" s="55" t="str">
        <f t="shared" si="797"/>
        <v>p.taxonomizar</v>
      </c>
      <c r="D1878" s="6" t="str">
        <f t="shared" si="798"/>
        <v>é.área.temática</v>
      </c>
      <c r="E1878" s="8" t="s">
        <v>28</v>
      </c>
      <c r="F1878" s="42" t="str">
        <f t="shared" si="799"/>
        <v>d.taxonomizar</v>
      </c>
      <c r="G1878" s="46" t="s">
        <v>2286</v>
      </c>
      <c r="H1878" s="41" t="s">
        <v>2121</v>
      </c>
      <c r="I1878" s="16" t="str">
        <f t="shared" si="800"/>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775"/>
        <v>Propriedade destinada a taxonomizar: é.área.temática</v>
      </c>
      <c r="V1878" s="5" t="str">
        <f t="shared" si="776"/>
        <v>Dado para taxonomizar:  área.temática  Deve ser formatado como (rdfs:Literal  or  xsd:string)</v>
      </c>
      <c r="W1878" s="5" t="s">
        <v>6472</v>
      </c>
      <c r="X1878" s="24" t="str">
        <f t="shared" si="777"/>
        <v>taxon.108</v>
      </c>
      <c r="Y1878" s="24" t="str">
        <f t="shared" si="778"/>
        <v>Ação de taxonomizar</v>
      </c>
      <c r="Z1878" s="47" t="s">
        <v>2563</v>
      </c>
      <c r="AA1878" s="25" t="str">
        <f t="shared" si="801"/>
        <v>null</v>
      </c>
      <c r="AB1878" s="26" t="s">
        <v>0</v>
      </c>
      <c r="AC1878" s="25" t="str">
        <f t="shared" si="802"/>
        <v>null</v>
      </c>
      <c r="AD1878" s="26" t="s">
        <v>0</v>
      </c>
      <c r="AE1878" s="25" t="str">
        <f t="shared" si="748"/>
        <v>null</v>
      </c>
      <c r="AF1878" s="26" t="s">
        <v>0</v>
      </c>
      <c r="AG1878" s="47" t="s">
        <v>3291</v>
      </c>
    </row>
    <row r="1879" spans="1:33" ht="6.9" customHeight="1" x14ac:dyDescent="0.4">
      <c r="A1879" s="4">
        <f>ROW()</f>
        <v>1879</v>
      </c>
      <c r="B1879" s="9" t="s">
        <v>27</v>
      </c>
      <c r="C1879" s="55" t="str">
        <f t="shared" si="797"/>
        <v>p.taxonomizar</v>
      </c>
      <c r="D1879" s="6" t="str">
        <f t="shared" si="798"/>
        <v>é.atividade</v>
      </c>
      <c r="E1879" s="8" t="s">
        <v>28</v>
      </c>
      <c r="F1879" s="42" t="str">
        <f t="shared" si="799"/>
        <v>d.taxonomizar</v>
      </c>
      <c r="G1879" s="46" t="s">
        <v>2328</v>
      </c>
      <c r="H1879" s="41" t="s">
        <v>2121</v>
      </c>
      <c r="I1879" s="16" t="str">
        <f t="shared" si="800"/>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775"/>
        <v>Propriedade destinada a taxonomizar: é.atividade</v>
      </c>
      <c r="V1879" s="5" t="str">
        <f t="shared" si="776"/>
        <v>Dado para taxonomizar:  atividade  Deve ser formatado como (rdfs:Literal  or  xsd:string)</v>
      </c>
      <c r="W1879" s="5" t="s">
        <v>6473</v>
      </c>
      <c r="X1879" s="24" t="str">
        <f t="shared" si="777"/>
        <v>taxon.109</v>
      </c>
      <c r="Y1879" s="24" t="str">
        <f t="shared" si="778"/>
        <v>Ação de taxonomizar</v>
      </c>
      <c r="Z1879" s="47" t="s">
        <v>2564</v>
      </c>
      <c r="AA1879" s="25" t="str">
        <f t="shared" si="801"/>
        <v>null</v>
      </c>
      <c r="AB1879" s="26" t="s">
        <v>0</v>
      </c>
      <c r="AC1879" s="25" t="str">
        <f t="shared" si="802"/>
        <v>null</v>
      </c>
      <c r="AD1879" s="26" t="s">
        <v>0</v>
      </c>
      <c r="AE1879" s="25" t="str">
        <f t="shared" si="748"/>
        <v>null</v>
      </c>
      <c r="AF1879" s="26" t="s">
        <v>0</v>
      </c>
      <c r="AG1879" s="47" t="s">
        <v>3292</v>
      </c>
    </row>
    <row r="1880" spans="1:33" ht="6.9" customHeight="1" x14ac:dyDescent="0.4">
      <c r="A1880" s="4">
        <f>ROW()</f>
        <v>1880</v>
      </c>
      <c r="B1880" s="9" t="s">
        <v>27</v>
      </c>
      <c r="C1880" s="55" t="str">
        <f t="shared" si="797"/>
        <v>p.taxonomizar</v>
      </c>
      <c r="D1880" s="6" t="str">
        <f t="shared" si="798"/>
        <v>é.atividade.elegível</v>
      </c>
      <c r="E1880" s="8" t="s">
        <v>28</v>
      </c>
      <c r="F1880" s="42" t="str">
        <f t="shared" si="799"/>
        <v>d.taxonomizar</v>
      </c>
      <c r="G1880" s="46" t="s">
        <v>2270</v>
      </c>
      <c r="H1880" s="41" t="s">
        <v>2121</v>
      </c>
      <c r="I1880" s="16" t="str">
        <f t="shared" si="800"/>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775"/>
        <v>Propriedade destinada a taxonomizar: é.atividade.elegível</v>
      </c>
      <c r="V1880" s="5" t="str">
        <f t="shared" si="776"/>
        <v>Dado para taxonomizar:  atividade.elegível  Deve ser formatado como (rdfs:Literal  or  xsd:string)</v>
      </c>
      <c r="W1880" s="5" t="s">
        <v>6474</v>
      </c>
      <c r="X1880" s="24" t="str">
        <f t="shared" si="777"/>
        <v>taxon.110</v>
      </c>
      <c r="Y1880" s="24" t="str">
        <f t="shared" si="778"/>
        <v>Ação de taxonomizar</v>
      </c>
      <c r="Z1880" s="47" t="s">
        <v>2565</v>
      </c>
      <c r="AA1880" s="25" t="str">
        <f t="shared" si="801"/>
        <v>null</v>
      </c>
      <c r="AB1880" s="26" t="s">
        <v>0</v>
      </c>
      <c r="AC1880" s="25" t="str">
        <f t="shared" si="802"/>
        <v>null</v>
      </c>
      <c r="AD1880" s="26" t="s">
        <v>0</v>
      </c>
      <c r="AE1880" s="25" t="str">
        <f t="shared" si="748"/>
        <v>null</v>
      </c>
      <c r="AF1880" s="26" t="s">
        <v>0</v>
      </c>
      <c r="AG1880" s="47" t="s">
        <v>3293</v>
      </c>
    </row>
    <row r="1881" spans="1:33" ht="6.9" customHeight="1" x14ac:dyDescent="0.4">
      <c r="A1881" s="4">
        <f>ROW()</f>
        <v>1881</v>
      </c>
      <c r="B1881" s="9" t="s">
        <v>27</v>
      </c>
      <c r="C1881" s="55" t="str">
        <f t="shared" si="797"/>
        <v>p.taxonomizar</v>
      </c>
      <c r="D1881" s="6" t="str">
        <f t="shared" si="798"/>
        <v>é.benéfica.para.ameaça</v>
      </c>
      <c r="E1881" s="8" t="s">
        <v>28</v>
      </c>
      <c r="F1881" s="42" t="str">
        <f t="shared" si="799"/>
        <v>d.taxonomizar</v>
      </c>
      <c r="G1881" s="46" t="s">
        <v>2349</v>
      </c>
      <c r="H1881" s="41" t="s">
        <v>2121</v>
      </c>
      <c r="I1881" s="16" t="str">
        <f t="shared" si="800"/>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775"/>
        <v>Propriedade destinada a taxonomizar: é.benéfica.para.ameaça</v>
      </c>
      <c r="V1881" s="5" t="str">
        <f t="shared" si="776"/>
        <v>Dado para taxonomizar:  benéfica.para.ameaça  Deve ser formatado como (rdfs:Literal  or  xsd:string)</v>
      </c>
      <c r="W1881" s="5" t="s">
        <v>6475</v>
      </c>
      <c r="X1881" s="24" t="str">
        <f t="shared" si="777"/>
        <v>taxon.111</v>
      </c>
      <c r="Y1881" s="24" t="str">
        <f t="shared" si="778"/>
        <v>Ação de taxonomizar</v>
      </c>
      <c r="Z1881" s="47" t="s">
        <v>2566</v>
      </c>
      <c r="AA1881" s="25" t="str">
        <f t="shared" si="801"/>
        <v>null</v>
      </c>
      <c r="AB1881" s="26" t="s">
        <v>0</v>
      </c>
      <c r="AC1881" s="25" t="str">
        <f t="shared" si="802"/>
        <v>null</v>
      </c>
      <c r="AD1881" s="26" t="s">
        <v>0</v>
      </c>
      <c r="AE1881" s="25" t="str">
        <f t="shared" si="748"/>
        <v>null</v>
      </c>
      <c r="AF1881" s="26" t="s">
        <v>0</v>
      </c>
      <c r="AG1881" s="47" t="s">
        <v>3294</v>
      </c>
    </row>
    <row r="1882" spans="1:33" ht="6.9" customHeight="1" x14ac:dyDescent="0.4">
      <c r="A1882" s="4">
        <f>ROW()</f>
        <v>1882</v>
      </c>
      <c r="B1882" s="9" t="s">
        <v>27</v>
      </c>
      <c r="C1882" s="55" t="str">
        <f t="shared" si="797"/>
        <v>p.taxonomizar</v>
      </c>
      <c r="D1882" s="6" t="str">
        <f t="shared" si="798"/>
        <v>é.capex.alinhado</v>
      </c>
      <c r="E1882" s="8" t="s">
        <v>28</v>
      </c>
      <c r="F1882" s="42" t="str">
        <f t="shared" si="799"/>
        <v>d.taxonomizar</v>
      </c>
      <c r="G1882" s="18" t="s">
        <v>2339</v>
      </c>
      <c r="H1882" s="42" t="s">
        <v>36</v>
      </c>
      <c r="I1882" s="16" t="str">
        <f t="shared" si="800"/>
        <v>null</v>
      </c>
      <c r="J1882" s="13" t="s">
        <v>0</v>
      </c>
      <c r="K1882" s="13" t="s">
        <v>0</v>
      </c>
      <c r="L1882" s="13" t="s">
        <v>0</v>
      </c>
      <c r="M1882" s="13" t="s">
        <v>0</v>
      </c>
      <c r="N1882" s="15" t="s">
        <v>0</v>
      </c>
      <c r="O1882" s="13" t="s">
        <v>0</v>
      </c>
      <c r="P1882" s="13" t="s">
        <v>0</v>
      </c>
      <c r="Q1882" s="13" t="s">
        <v>2346</v>
      </c>
      <c r="R1882" s="15" t="s">
        <v>0</v>
      </c>
      <c r="S1882" s="10" t="s">
        <v>1</v>
      </c>
      <c r="T1882" s="10" t="s">
        <v>32</v>
      </c>
      <c r="U1882" s="5" t="str">
        <f t="shared" si="775"/>
        <v>Propriedade destinada a taxonomizar: é.capex.alinhado</v>
      </c>
      <c r="V1882" s="5" t="str">
        <f t="shared" si="776"/>
        <v>Dado para taxonomizar:  capex.alinhado  Deve ser formatado como (xsd:double)</v>
      </c>
      <c r="W1882" s="5" t="s">
        <v>6476</v>
      </c>
      <c r="X1882" s="24" t="str">
        <f t="shared" si="777"/>
        <v>taxon.112</v>
      </c>
      <c r="Y1882" s="24" t="str">
        <f t="shared" si="778"/>
        <v>Ação de taxonomizar</v>
      </c>
      <c r="Z1882" s="47" t="s">
        <v>2567</v>
      </c>
      <c r="AA1882" s="25" t="str">
        <f t="shared" si="801"/>
        <v>null</v>
      </c>
      <c r="AB1882" s="26" t="s">
        <v>0</v>
      </c>
      <c r="AC1882" s="25" t="str">
        <f t="shared" si="802"/>
        <v>null</v>
      </c>
      <c r="AD1882" s="26" t="s">
        <v>0</v>
      </c>
      <c r="AE1882" s="25" t="str">
        <f t="shared" si="748"/>
        <v>null</v>
      </c>
      <c r="AF1882" s="26" t="s">
        <v>0</v>
      </c>
      <c r="AG1882" s="47" t="s">
        <v>3295</v>
      </c>
    </row>
    <row r="1883" spans="1:33" ht="6.9" customHeight="1" x14ac:dyDescent="0.4">
      <c r="A1883" s="4">
        <f>ROW()</f>
        <v>1883</v>
      </c>
      <c r="B1883" s="9" t="s">
        <v>27</v>
      </c>
      <c r="C1883" s="55" t="str">
        <f t="shared" si="797"/>
        <v>p.taxonomizar</v>
      </c>
      <c r="D1883" s="6" t="str">
        <f t="shared" si="798"/>
        <v>é.capex.percentual</v>
      </c>
      <c r="E1883" s="8" t="s">
        <v>28</v>
      </c>
      <c r="F1883" s="42" t="str">
        <f t="shared" si="799"/>
        <v>d.taxonomizar</v>
      </c>
      <c r="G1883" s="18" t="s">
        <v>2333</v>
      </c>
      <c r="H1883" s="42" t="s">
        <v>36</v>
      </c>
      <c r="I1883" s="16" t="str">
        <f t="shared" si="800"/>
        <v>null</v>
      </c>
      <c r="J1883" s="13" t="s">
        <v>0</v>
      </c>
      <c r="K1883" s="13" t="s">
        <v>0</v>
      </c>
      <c r="L1883" s="13" t="s">
        <v>0</v>
      </c>
      <c r="M1883" s="13" t="s">
        <v>0</v>
      </c>
      <c r="N1883" s="15" t="s">
        <v>0</v>
      </c>
      <c r="O1883" s="13" t="s">
        <v>0</v>
      </c>
      <c r="P1883" s="13" t="s">
        <v>0</v>
      </c>
      <c r="Q1883" s="13" t="s">
        <v>2338</v>
      </c>
      <c r="R1883" s="15" t="s">
        <v>0</v>
      </c>
      <c r="S1883" s="10" t="s">
        <v>1</v>
      </c>
      <c r="T1883" s="10" t="s">
        <v>32</v>
      </c>
      <c r="U1883" s="5" t="str">
        <f t="shared" si="775"/>
        <v>Propriedade destinada a taxonomizar: é.capex.percentual</v>
      </c>
      <c r="V1883" s="5" t="str">
        <f t="shared" si="776"/>
        <v>Dado para taxonomizar:  capex.percentual  Deve ser formatado como (xsd:double)</v>
      </c>
      <c r="W1883" s="5" t="s">
        <v>6477</v>
      </c>
      <c r="X1883" s="24" t="str">
        <f t="shared" si="777"/>
        <v>taxon.113</v>
      </c>
      <c r="Y1883" s="24" t="str">
        <f t="shared" si="778"/>
        <v>Ação de taxonomizar</v>
      </c>
      <c r="Z1883" s="47" t="s">
        <v>2568</v>
      </c>
      <c r="AA1883" s="25" t="str">
        <f t="shared" si="801"/>
        <v>null</v>
      </c>
      <c r="AB1883" s="26" t="s">
        <v>0</v>
      </c>
      <c r="AC1883" s="25" t="str">
        <f t="shared" si="802"/>
        <v>null</v>
      </c>
      <c r="AD1883" s="26" t="s">
        <v>0</v>
      </c>
      <c r="AE1883" s="25" t="str">
        <f t="shared" si="748"/>
        <v>null</v>
      </c>
      <c r="AF1883" s="26" t="s">
        <v>0</v>
      </c>
      <c r="AG1883" s="47" t="s">
        <v>3296</v>
      </c>
    </row>
    <row r="1884" spans="1:33" ht="6.9" customHeight="1" x14ac:dyDescent="0.4">
      <c r="A1884" s="4">
        <f>ROW()</f>
        <v>1884</v>
      </c>
      <c r="B1884" s="9" t="s">
        <v>27</v>
      </c>
      <c r="C1884" s="55" t="str">
        <f t="shared" si="797"/>
        <v>p.taxonomizar</v>
      </c>
      <c r="D1884" s="6" t="str">
        <f t="shared" si="798"/>
        <v>é.capex.semi.alinhado</v>
      </c>
      <c r="E1884" s="8" t="s">
        <v>28</v>
      </c>
      <c r="F1884" s="42" t="str">
        <f t="shared" si="799"/>
        <v>d.taxonomizar</v>
      </c>
      <c r="G1884" s="18" t="s">
        <v>2340</v>
      </c>
      <c r="H1884" s="42" t="s">
        <v>36</v>
      </c>
      <c r="I1884" s="16" t="str">
        <f t="shared" si="800"/>
        <v>null</v>
      </c>
      <c r="J1884" s="13" t="s">
        <v>0</v>
      </c>
      <c r="K1884" s="13" t="s">
        <v>0</v>
      </c>
      <c r="L1884" s="13" t="s">
        <v>0</v>
      </c>
      <c r="M1884" s="13" t="s">
        <v>0</v>
      </c>
      <c r="N1884" s="15" t="s">
        <v>0</v>
      </c>
      <c r="O1884" s="13" t="s">
        <v>0</v>
      </c>
      <c r="P1884" s="13" t="s">
        <v>0</v>
      </c>
      <c r="Q1884" s="13" t="s">
        <v>2345</v>
      </c>
      <c r="R1884" s="15" t="s">
        <v>0</v>
      </c>
      <c r="S1884" s="10" t="s">
        <v>1</v>
      </c>
      <c r="T1884" s="10" t="s">
        <v>32</v>
      </c>
      <c r="U1884" s="5" t="str">
        <f t="shared" si="775"/>
        <v>Propriedade destinada a taxonomizar: é.capex.semi.alinhado</v>
      </c>
      <c r="V1884" s="5" t="str">
        <f t="shared" si="776"/>
        <v>Dado para taxonomizar:  capex.semi.alinhado  Deve ser formatado como (xsd:double)</v>
      </c>
      <c r="W1884" s="5" t="s">
        <v>6478</v>
      </c>
      <c r="X1884" s="24" t="str">
        <f t="shared" si="777"/>
        <v>taxon.114</v>
      </c>
      <c r="Y1884" s="24" t="str">
        <f t="shared" si="778"/>
        <v>Ação de taxonomizar</v>
      </c>
      <c r="Z1884" s="47" t="s">
        <v>2569</v>
      </c>
      <c r="AA1884" s="25" t="str">
        <f t="shared" si="801"/>
        <v>null</v>
      </c>
      <c r="AB1884" s="26" t="s">
        <v>0</v>
      </c>
      <c r="AC1884" s="25" t="str">
        <f t="shared" si="802"/>
        <v>null</v>
      </c>
      <c r="AD1884" s="26" t="s">
        <v>0</v>
      </c>
      <c r="AE1884" s="25" t="str">
        <f t="shared" si="748"/>
        <v>null</v>
      </c>
      <c r="AF1884" s="26" t="s">
        <v>0</v>
      </c>
      <c r="AG1884" s="47" t="s">
        <v>3297</v>
      </c>
    </row>
    <row r="1885" spans="1:33" ht="6.9" customHeight="1" x14ac:dyDescent="0.4">
      <c r="A1885" s="4">
        <f>ROW()</f>
        <v>1885</v>
      </c>
      <c r="B1885" s="9" t="s">
        <v>27</v>
      </c>
      <c r="C1885" s="55" t="str">
        <f t="shared" si="797"/>
        <v>p.taxonomizar</v>
      </c>
      <c r="D1885" s="6" t="str">
        <f t="shared" si="798"/>
        <v>é.capex.total</v>
      </c>
      <c r="E1885" s="8" t="s">
        <v>28</v>
      </c>
      <c r="F1885" s="42" t="str">
        <f t="shared" si="799"/>
        <v>d.taxonomizar</v>
      </c>
      <c r="G1885" s="18" t="s">
        <v>2332</v>
      </c>
      <c r="H1885" s="42" t="s">
        <v>36</v>
      </c>
      <c r="I1885" s="16" t="str">
        <f t="shared" si="800"/>
        <v>null</v>
      </c>
      <c r="J1885" s="13" t="s">
        <v>0</v>
      </c>
      <c r="K1885" s="13" t="s">
        <v>0</v>
      </c>
      <c r="L1885" s="13" t="s">
        <v>0</v>
      </c>
      <c r="M1885" s="13" t="s">
        <v>0</v>
      </c>
      <c r="N1885" s="15" t="s">
        <v>0</v>
      </c>
      <c r="O1885" s="13" t="s">
        <v>0</v>
      </c>
      <c r="P1885" s="13" t="s">
        <v>0</v>
      </c>
      <c r="Q1885" s="13" t="s">
        <v>2337</v>
      </c>
      <c r="R1885" s="15" t="s">
        <v>0</v>
      </c>
      <c r="S1885" s="10" t="s">
        <v>1</v>
      </c>
      <c r="T1885" s="10" t="s">
        <v>32</v>
      </c>
      <c r="U1885" s="5" t="str">
        <f t="shared" si="775"/>
        <v>Propriedade destinada a taxonomizar: é.capex.total</v>
      </c>
      <c r="V1885" s="5" t="str">
        <f t="shared" si="776"/>
        <v>Dado para taxonomizar:  capex.total  Deve ser formatado como (xsd:double)</v>
      </c>
      <c r="W1885" s="5" t="s">
        <v>6479</v>
      </c>
      <c r="X1885" s="24" t="str">
        <f t="shared" si="777"/>
        <v>taxon.115</v>
      </c>
      <c r="Y1885" s="24" t="str">
        <f t="shared" si="778"/>
        <v>Ação de taxonomizar</v>
      </c>
      <c r="Z1885" s="47" t="s">
        <v>2570</v>
      </c>
      <c r="AA1885" s="25" t="str">
        <f t="shared" si="801"/>
        <v>null</v>
      </c>
      <c r="AB1885" s="26" t="s">
        <v>0</v>
      </c>
      <c r="AC1885" s="25" t="str">
        <f t="shared" si="802"/>
        <v>null</v>
      </c>
      <c r="AD1885" s="26" t="s">
        <v>0</v>
      </c>
      <c r="AE1885" s="25" t="str">
        <f t="shared" si="748"/>
        <v>null</v>
      </c>
      <c r="AF1885" s="26" t="s">
        <v>0</v>
      </c>
      <c r="AG1885" s="47" t="s">
        <v>3298</v>
      </c>
    </row>
    <row r="1886" spans="1:33" ht="6.9" customHeight="1" x14ac:dyDescent="0.4">
      <c r="A1886" s="4">
        <f>ROW()</f>
        <v>1886</v>
      </c>
      <c r="B1886" s="9" t="s">
        <v>27</v>
      </c>
      <c r="C1886" s="55" t="str">
        <f t="shared" si="797"/>
        <v>p.taxonomizar</v>
      </c>
      <c r="D1886" s="6" t="str">
        <f t="shared" si="798"/>
        <v>é.causa</v>
      </c>
      <c r="E1886" s="8" t="s">
        <v>28</v>
      </c>
      <c r="F1886" s="42" t="str">
        <f t="shared" si="799"/>
        <v>d.taxonomizar</v>
      </c>
      <c r="G1886" s="46" t="s">
        <v>2304</v>
      </c>
      <c r="H1886" s="41" t="s">
        <v>2121</v>
      </c>
      <c r="I1886" s="16" t="str">
        <f t="shared" si="800"/>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775"/>
        <v>Propriedade destinada a taxonomizar: é.causa</v>
      </c>
      <c r="V1886" s="5" t="str">
        <f t="shared" si="776"/>
        <v>Dado para taxonomizar:  causa  Deve ser formatado como (rdfs:Literal  or  xsd:string)</v>
      </c>
      <c r="W1886" s="5" t="s">
        <v>6480</v>
      </c>
      <c r="X1886" s="24" t="str">
        <f t="shared" si="777"/>
        <v>taxon.116</v>
      </c>
      <c r="Y1886" s="24" t="str">
        <f t="shared" si="778"/>
        <v>Ação de taxonomizar</v>
      </c>
      <c r="Z1886" s="47" t="s">
        <v>2571</v>
      </c>
      <c r="AA1886" s="25" t="str">
        <f t="shared" si="801"/>
        <v>null</v>
      </c>
      <c r="AB1886" s="26" t="s">
        <v>0</v>
      </c>
      <c r="AC1886" s="25" t="str">
        <f t="shared" si="802"/>
        <v>null</v>
      </c>
      <c r="AD1886" s="26" t="s">
        <v>0</v>
      </c>
      <c r="AE1886" s="25" t="str">
        <f t="shared" si="748"/>
        <v>null</v>
      </c>
      <c r="AF1886" s="26" t="s">
        <v>0</v>
      </c>
      <c r="AG1886" s="47" t="s">
        <v>3299</v>
      </c>
    </row>
    <row r="1887" spans="1:33" ht="6.9" customHeight="1" x14ac:dyDescent="0.4">
      <c r="A1887" s="4">
        <f>ROW()</f>
        <v>1887</v>
      </c>
      <c r="B1887" s="9" t="s">
        <v>27</v>
      </c>
      <c r="C1887" s="55" t="str">
        <f t="shared" si="797"/>
        <v>p.taxonomizar</v>
      </c>
      <c r="D1887" s="6" t="str">
        <f t="shared" si="798"/>
        <v>é.certificação</v>
      </c>
      <c r="E1887" s="8" t="s">
        <v>28</v>
      </c>
      <c r="F1887" s="42" t="str">
        <f t="shared" si="799"/>
        <v>d.taxonomizar</v>
      </c>
      <c r="G1887" s="46" t="s">
        <v>2271</v>
      </c>
      <c r="H1887" s="41" t="s">
        <v>2121</v>
      </c>
      <c r="I1887" s="16" t="str">
        <f t="shared" si="800"/>
        <v>null</v>
      </c>
      <c r="J1887" s="13" t="s">
        <v>0</v>
      </c>
      <c r="K1887" s="13" t="s">
        <v>0</v>
      </c>
      <c r="L1887" s="13" t="s">
        <v>0</v>
      </c>
      <c r="M1887" s="13" t="s">
        <v>0</v>
      </c>
      <c r="N1887" s="15" t="s">
        <v>0</v>
      </c>
      <c r="O1887" s="13" t="s">
        <v>0</v>
      </c>
      <c r="P1887" s="13" t="s">
        <v>0</v>
      </c>
      <c r="Q1887" s="13" t="s">
        <v>2355</v>
      </c>
      <c r="R1887" s="15" t="s">
        <v>0</v>
      </c>
      <c r="S1887" s="10" t="s">
        <v>1</v>
      </c>
      <c r="T1887" s="10" t="s">
        <v>32</v>
      </c>
      <c r="U1887" s="5" t="str">
        <f t="shared" si="775"/>
        <v>Propriedade destinada a taxonomizar: é.certificação</v>
      </c>
      <c r="V1887" s="5" t="str">
        <f t="shared" si="776"/>
        <v>Dado para taxonomizar:  certificação  Deve ser formatado como (rdfs:Literal  or  xsd:string)</v>
      </c>
      <c r="W1887" s="5" t="s">
        <v>6481</v>
      </c>
      <c r="X1887" s="24" t="str">
        <f t="shared" si="777"/>
        <v>taxon.117</v>
      </c>
      <c r="Y1887" s="24" t="str">
        <f t="shared" si="778"/>
        <v>Ação de taxonomizar</v>
      </c>
      <c r="Z1887" s="47" t="s">
        <v>2572</v>
      </c>
      <c r="AA1887" s="25" t="str">
        <f t="shared" si="801"/>
        <v>null</v>
      </c>
      <c r="AB1887" s="26" t="s">
        <v>0</v>
      </c>
      <c r="AC1887" s="25" t="str">
        <f t="shared" si="802"/>
        <v>null</v>
      </c>
      <c r="AD1887" s="26" t="s">
        <v>0</v>
      </c>
      <c r="AE1887" s="25" t="str">
        <f t="shared" si="748"/>
        <v>null</v>
      </c>
      <c r="AF1887" s="26" t="s">
        <v>0</v>
      </c>
      <c r="AG1887" s="47" t="s">
        <v>3300</v>
      </c>
    </row>
    <row r="1888" spans="1:33" ht="6.9" customHeight="1" x14ac:dyDescent="0.4">
      <c r="A1888" s="4">
        <f>ROW()</f>
        <v>1888</v>
      </c>
      <c r="B1888" s="9" t="s">
        <v>27</v>
      </c>
      <c r="C1888" s="55" t="str">
        <f t="shared" si="797"/>
        <v>p.taxonomizar</v>
      </c>
      <c r="D1888" s="6" t="str">
        <f t="shared" si="798"/>
        <v>é.certificado.por</v>
      </c>
      <c r="E1888" s="8" t="s">
        <v>28</v>
      </c>
      <c r="F1888" s="42" t="str">
        <f t="shared" si="799"/>
        <v>d.taxonomizar</v>
      </c>
      <c r="G1888" s="46" t="s">
        <v>2354</v>
      </c>
      <c r="H1888" s="41" t="s">
        <v>2121</v>
      </c>
      <c r="I1888" s="16" t="str">
        <f t="shared" si="800"/>
        <v>null</v>
      </c>
      <c r="J1888" s="13" t="s">
        <v>0</v>
      </c>
      <c r="K1888" s="13" t="s">
        <v>0</v>
      </c>
      <c r="L1888" s="13" t="s">
        <v>0</v>
      </c>
      <c r="M1888" s="13" t="s">
        <v>0</v>
      </c>
      <c r="N1888" s="15" t="s">
        <v>0</v>
      </c>
      <c r="O1888" s="13" t="s">
        <v>0</v>
      </c>
      <c r="P1888" s="13" t="s">
        <v>0</v>
      </c>
      <c r="Q1888" s="13" t="s">
        <v>2356</v>
      </c>
      <c r="R1888" s="15" t="s">
        <v>0</v>
      </c>
      <c r="S1888" s="10" t="s">
        <v>1</v>
      </c>
      <c r="T1888" s="10" t="s">
        <v>32</v>
      </c>
      <c r="U1888" s="5" t="str">
        <f t="shared" si="775"/>
        <v>Propriedade destinada a taxonomizar: é.certificado.por</v>
      </c>
      <c r="V1888" s="5" t="str">
        <f t="shared" si="776"/>
        <v>Dado para taxonomizar:  certificado.por  Deve ser formatado como (rdfs:Literal  or  xsd:string)</v>
      </c>
      <c r="W1888" s="5" t="s">
        <v>6482</v>
      </c>
      <c r="X1888" s="24" t="str">
        <f t="shared" si="777"/>
        <v>taxon.118</v>
      </c>
      <c r="Y1888" s="24" t="str">
        <f t="shared" si="778"/>
        <v>Ação de taxonomizar</v>
      </c>
      <c r="Z1888" s="47" t="s">
        <v>2573</v>
      </c>
      <c r="AA1888" s="25" t="str">
        <f t="shared" si="801"/>
        <v>null</v>
      </c>
      <c r="AB1888" s="26" t="s">
        <v>0</v>
      </c>
      <c r="AC1888" s="25" t="str">
        <f t="shared" si="802"/>
        <v>null</v>
      </c>
      <c r="AD1888" s="26" t="s">
        <v>0</v>
      </c>
      <c r="AE1888" s="25" t="str">
        <f t="shared" si="748"/>
        <v>null</v>
      </c>
      <c r="AF1888" s="26" t="s">
        <v>0</v>
      </c>
      <c r="AG1888" s="47" t="s">
        <v>3301</v>
      </c>
    </row>
    <row r="1889" spans="1:33" ht="6.9" customHeight="1" x14ac:dyDescent="0.4">
      <c r="A1889" s="4">
        <f>ROW()</f>
        <v>1889</v>
      </c>
      <c r="B1889" s="9" t="s">
        <v>27</v>
      </c>
      <c r="C1889" s="55" t="str">
        <f t="shared" si="797"/>
        <v>p.taxonomizar</v>
      </c>
      <c r="D1889" s="6" t="str">
        <f t="shared" si="798"/>
        <v>é.comentário</v>
      </c>
      <c r="E1889" s="8" t="s">
        <v>28</v>
      </c>
      <c r="F1889" s="42" t="str">
        <f t="shared" si="799"/>
        <v>d.taxonomizar</v>
      </c>
      <c r="G1889" s="46" t="s">
        <v>2291</v>
      </c>
      <c r="H1889" s="41" t="s">
        <v>2121</v>
      </c>
      <c r="I1889" s="16" t="str">
        <f t="shared" si="800"/>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775"/>
        <v>Propriedade destinada a taxonomizar: é.comentário</v>
      </c>
      <c r="V1889" s="5" t="str">
        <f t="shared" si="776"/>
        <v>Dado para taxonomizar:  comentário  Deve ser formatado como (rdfs:Literal  or  xsd:string)</v>
      </c>
      <c r="W1889" s="5" t="s">
        <v>6483</v>
      </c>
      <c r="X1889" s="24" t="str">
        <f t="shared" si="777"/>
        <v>taxon.119</v>
      </c>
      <c r="Y1889" s="24" t="str">
        <f t="shared" si="778"/>
        <v>Ação de taxonomizar</v>
      </c>
      <c r="Z1889" s="47" t="s">
        <v>4617</v>
      </c>
      <c r="AA1889" s="25" t="str">
        <f t="shared" si="801"/>
        <v>null</v>
      </c>
      <c r="AB1889" s="26" t="s">
        <v>0</v>
      </c>
      <c r="AC1889" s="25" t="str">
        <f t="shared" si="802"/>
        <v>null</v>
      </c>
      <c r="AD1889" s="26" t="s">
        <v>0</v>
      </c>
      <c r="AE1889" s="25" t="str">
        <f t="shared" si="748"/>
        <v>null</v>
      </c>
      <c r="AF1889" s="26" t="s">
        <v>0</v>
      </c>
      <c r="AG1889" s="47" t="s">
        <v>3302</v>
      </c>
    </row>
    <row r="1890" spans="1:33" ht="6.9" customHeight="1" x14ac:dyDescent="0.4">
      <c r="A1890" s="4">
        <f>ROW()</f>
        <v>1890</v>
      </c>
      <c r="B1890" s="9" t="s">
        <v>27</v>
      </c>
      <c r="C1890" s="55" t="str">
        <f t="shared" si="797"/>
        <v>p.taxonomizar</v>
      </c>
      <c r="D1890" s="6" t="str">
        <f t="shared" si="798"/>
        <v>é.complementada.com.nota</v>
      </c>
      <c r="E1890" s="8" t="s">
        <v>28</v>
      </c>
      <c r="F1890" s="42" t="str">
        <f t="shared" si="799"/>
        <v>d.taxonomizar</v>
      </c>
      <c r="G1890" s="46" t="s">
        <v>2279</v>
      </c>
      <c r="H1890" s="41" t="s">
        <v>2121</v>
      </c>
      <c r="I1890" s="16" t="str">
        <f t="shared" si="800"/>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775"/>
        <v>Propriedade destinada a taxonomizar: é.complementada.com.nota</v>
      </c>
      <c r="V1890" s="5" t="str">
        <f t="shared" si="776"/>
        <v>Dado para taxonomizar:  complementada.com.nota  Deve ser formatado como (rdfs:Literal  or  xsd:string)</v>
      </c>
      <c r="W1890" s="5" t="s">
        <v>6484</v>
      </c>
      <c r="X1890" s="24" t="str">
        <f t="shared" si="777"/>
        <v>taxon.120</v>
      </c>
      <c r="Y1890" s="24" t="str">
        <f t="shared" si="778"/>
        <v>Ação de taxonomizar</v>
      </c>
      <c r="Z1890" s="47" t="s">
        <v>4616</v>
      </c>
      <c r="AA1890" s="25" t="str">
        <f t="shared" si="801"/>
        <v>null</v>
      </c>
      <c r="AB1890" s="26" t="s">
        <v>0</v>
      </c>
      <c r="AC1890" s="25" t="str">
        <f t="shared" si="802"/>
        <v>null</v>
      </c>
      <c r="AD1890" s="26" t="s">
        <v>0</v>
      </c>
      <c r="AE1890" s="25" t="str">
        <f t="shared" si="748"/>
        <v>null</v>
      </c>
      <c r="AF1890" s="26" t="s">
        <v>0</v>
      </c>
      <c r="AG1890" s="47" t="s">
        <v>3303</v>
      </c>
    </row>
    <row r="1891" spans="1:33" ht="6.9" customHeight="1" x14ac:dyDescent="0.4">
      <c r="A1891" s="4">
        <f>ROW()</f>
        <v>1891</v>
      </c>
      <c r="B1891" s="9" t="s">
        <v>27</v>
      </c>
      <c r="C1891" s="55" t="str">
        <f t="shared" si="797"/>
        <v>p.taxonomizar</v>
      </c>
      <c r="D1891" s="6" t="str">
        <f t="shared" si="798"/>
        <v>é.condição.de.elegibilidade</v>
      </c>
      <c r="E1891" s="8" t="s">
        <v>28</v>
      </c>
      <c r="F1891" s="42" t="str">
        <f t="shared" si="799"/>
        <v>d.taxonomizar</v>
      </c>
      <c r="G1891" s="46" t="s">
        <v>2272</v>
      </c>
      <c r="H1891" s="41" t="s">
        <v>2121</v>
      </c>
      <c r="I1891" s="16" t="str">
        <f t="shared" si="800"/>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775"/>
        <v>Propriedade destinada a taxonomizar: é.condição.de.elegibilidade</v>
      </c>
      <c r="V1891" s="5" t="str">
        <f t="shared" si="776"/>
        <v>Dado para taxonomizar:  condição.de.elegibilidade  Deve ser formatado como (rdfs:Literal  or  xsd:string)</v>
      </c>
      <c r="W1891" s="5" t="s">
        <v>6485</v>
      </c>
      <c r="X1891" s="24" t="str">
        <f t="shared" si="777"/>
        <v>taxon.121</v>
      </c>
      <c r="Y1891" s="24" t="str">
        <f t="shared" si="778"/>
        <v>Ação de taxonomizar</v>
      </c>
      <c r="Z1891" s="47" t="s">
        <v>2574</v>
      </c>
      <c r="AA1891" s="25" t="str">
        <f t="shared" si="801"/>
        <v>null</v>
      </c>
      <c r="AB1891" s="26" t="s">
        <v>0</v>
      </c>
      <c r="AC1891" s="25" t="str">
        <f t="shared" si="802"/>
        <v>null</v>
      </c>
      <c r="AD1891" s="26" t="s">
        <v>0</v>
      </c>
      <c r="AE1891" s="25" t="str">
        <f t="shared" si="748"/>
        <v>null</v>
      </c>
      <c r="AF1891" s="26" t="s">
        <v>0</v>
      </c>
      <c r="AG1891" s="47" t="s">
        <v>3304</v>
      </c>
    </row>
    <row r="1892" spans="1:33" ht="6.9" customHeight="1" x14ac:dyDescent="0.4">
      <c r="A1892" s="4">
        <f>ROW()</f>
        <v>1892</v>
      </c>
      <c r="B1892" s="9" t="s">
        <v>27</v>
      </c>
      <c r="C1892" s="55" t="str">
        <f t="shared" si="797"/>
        <v>p.taxonomizar</v>
      </c>
      <c r="D1892" s="6" t="str">
        <f t="shared" si="798"/>
        <v>é.consequência</v>
      </c>
      <c r="E1892" s="8" t="s">
        <v>28</v>
      </c>
      <c r="F1892" s="42" t="str">
        <f t="shared" si="799"/>
        <v>d.taxonomizar</v>
      </c>
      <c r="G1892" s="46" t="s">
        <v>2303</v>
      </c>
      <c r="H1892" s="41" t="s">
        <v>2121</v>
      </c>
      <c r="I1892" s="16" t="str">
        <f t="shared" si="800"/>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775"/>
        <v>Propriedade destinada a taxonomizar: é.consequência</v>
      </c>
      <c r="V1892" s="5" t="str">
        <f t="shared" si="776"/>
        <v>Dado para taxonomizar:  consequência  Deve ser formatado como (rdfs:Literal  or  xsd:string)</v>
      </c>
      <c r="W1892" s="5" t="s">
        <v>6486</v>
      </c>
      <c r="X1892" s="24" t="str">
        <f t="shared" si="777"/>
        <v>taxon.122</v>
      </c>
      <c r="Y1892" s="24" t="str">
        <f t="shared" si="778"/>
        <v>Ação de taxonomizar</v>
      </c>
      <c r="Z1892" s="47" t="s">
        <v>2575</v>
      </c>
      <c r="AA1892" s="25" t="str">
        <f t="shared" si="801"/>
        <v>null</v>
      </c>
      <c r="AB1892" s="26" t="s">
        <v>0</v>
      </c>
      <c r="AC1892" s="25" t="str">
        <f t="shared" si="802"/>
        <v>null</v>
      </c>
      <c r="AD1892" s="26" t="s">
        <v>0</v>
      </c>
      <c r="AE1892" s="25" t="str">
        <f t="shared" si="748"/>
        <v>null</v>
      </c>
      <c r="AF1892" s="26" t="s">
        <v>0</v>
      </c>
      <c r="AG1892" s="47" t="s">
        <v>3305</v>
      </c>
    </row>
    <row r="1893" spans="1:33" ht="6.9" customHeight="1" x14ac:dyDescent="0.4">
      <c r="A1893" s="4">
        <f>ROW()</f>
        <v>1893</v>
      </c>
      <c r="B1893" s="9" t="s">
        <v>27</v>
      </c>
      <c r="C1893" s="55" t="str">
        <f t="shared" si="797"/>
        <v>p.taxonomizar</v>
      </c>
      <c r="D1893" s="6" t="str">
        <f t="shared" si="798"/>
        <v>é.consultor.técnico</v>
      </c>
      <c r="E1893" s="8" t="s">
        <v>28</v>
      </c>
      <c r="F1893" s="42" t="str">
        <f t="shared" si="799"/>
        <v>d.taxonomizar</v>
      </c>
      <c r="G1893" s="46" t="s">
        <v>2361</v>
      </c>
      <c r="H1893" s="41" t="s">
        <v>2121</v>
      </c>
      <c r="I1893" s="16" t="str">
        <f t="shared" si="800"/>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775"/>
        <v>Propriedade destinada a taxonomizar: é.consultor.técnico</v>
      </c>
      <c r="V1893" s="5" t="str">
        <f t="shared" si="776"/>
        <v>Dado para taxonomizar:  consultor.técnico  Deve ser formatado como (rdfs:Literal  or  xsd:string)</v>
      </c>
      <c r="W1893" s="5" t="s">
        <v>6487</v>
      </c>
      <c r="X1893" s="24" t="str">
        <f t="shared" si="777"/>
        <v>taxon.123</v>
      </c>
      <c r="Y1893" s="24" t="str">
        <f t="shared" si="778"/>
        <v>Ação de taxonomizar</v>
      </c>
      <c r="Z1893" s="47" t="s">
        <v>2576</v>
      </c>
      <c r="AA1893" s="25" t="str">
        <f t="shared" si="801"/>
        <v>null</v>
      </c>
      <c r="AB1893" s="26" t="s">
        <v>0</v>
      </c>
      <c r="AC1893" s="25" t="str">
        <f t="shared" si="802"/>
        <v>null</v>
      </c>
      <c r="AD1893" s="26" t="s">
        <v>0</v>
      </c>
      <c r="AE1893" s="25" t="str">
        <f t="shared" ref="AE1893:AE1956" si="803">IF(AF1893="null", "null", "propriedade")</f>
        <v>null</v>
      </c>
      <c r="AF1893" s="26" t="s">
        <v>0</v>
      </c>
      <c r="AG1893" s="47" t="s">
        <v>3306</v>
      </c>
    </row>
    <row r="1894" spans="1:33" ht="6.9" customHeight="1" x14ac:dyDescent="0.4">
      <c r="A1894" s="4">
        <f>ROW()</f>
        <v>1894</v>
      </c>
      <c r="B1894" s="9" t="s">
        <v>27</v>
      </c>
      <c r="C1894" s="55" t="str">
        <f t="shared" si="797"/>
        <v>p.taxonomizar</v>
      </c>
      <c r="D1894" s="6" t="str">
        <f t="shared" si="798"/>
        <v>é.contribuição.substancial.de</v>
      </c>
      <c r="E1894" s="8" t="s">
        <v>28</v>
      </c>
      <c r="F1894" s="42" t="str">
        <f t="shared" si="799"/>
        <v>d.taxonomizar</v>
      </c>
      <c r="G1894" s="46" t="s">
        <v>2358</v>
      </c>
      <c r="H1894" s="41" t="s">
        <v>2121</v>
      </c>
      <c r="I1894" s="16" t="str">
        <f t="shared" si="800"/>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775"/>
        <v>Propriedade destinada a taxonomizar: é.contribuição.substancial.de</v>
      </c>
      <c r="V1894" s="5" t="str">
        <f t="shared" si="776"/>
        <v>Dado para taxonomizar:  contribuição.substancial.de  Deve ser formatado como (rdfs:Literal  or  xsd:string)</v>
      </c>
      <c r="W1894" s="5" t="s">
        <v>6488</v>
      </c>
      <c r="X1894" s="24" t="str">
        <f t="shared" si="777"/>
        <v>taxon.124</v>
      </c>
      <c r="Y1894" s="24" t="str">
        <f t="shared" si="778"/>
        <v>Ação de taxonomizar</v>
      </c>
      <c r="Z1894" s="47" t="s">
        <v>2577</v>
      </c>
      <c r="AA1894" s="25" t="str">
        <f t="shared" si="801"/>
        <v>null</v>
      </c>
      <c r="AB1894" s="26" t="s">
        <v>0</v>
      </c>
      <c r="AC1894" s="25" t="str">
        <f t="shared" si="802"/>
        <v>null</v>
      </c>
      <c r="AD1894" s="26" t="s">
        <v>0</v>
      </c>
      <c r="AE1894" s="25" t="str">
        <f t="shared" si="803"/>
        <v>null</v>
      </c>
      <c r="AF1894" s="26" t="s">
        <v>0</v>
      </c>
      <c r="AG1894" s="47" t="s">
        <v>3307</v>
      </c>
    </row>
    <row r="1895" spans="1:33" ht="6.9" customHeight="1" x14ac:dyDescent="0.4">
      <c r="A1895" s="4">
        <f>ROW()</f>
        <v>1895</v>
      </c>
      <c r="B1895" s="9" t="s">
        <v>27</v>
      </c>
      <c r="C1895" s="55" t="str">
        <f t="shared" si="797"/>
        <v>p.taxonomizar</v>
      </c>
      <c r="D1895" s="6" t="str">
        <f t="shared" si="798"/>
        <v>é.critério</v>
      </c>
      <c r="E1895" s="8" t="s">
        <v>28</v>
      </c>
      <c r="F1895" s="42" t="str">
        <f t="shared" si="799"/>
        <v>d.taxonomizar</v>
      </c>
      <c r="G1895" s="46" t="s">
        <v>2284</v>
      </c>
      <c r="H1895" s="41" t="s">
        <v>2121</v>
      </c>
      <c r="I1895" s="16" t="str">
        <f t="shared" si="800"/>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775"/>
        <v>Propriedade destinada a taxonomizar: é.critério</v>
      </c>
      <c r="V1895" s="5" t="str">
        <f t="shared" si="776"/>
        <v>Dado para taxonomizar:  critério  Deve ser formatado como (rdfs:Literal  or  xsd:string)</v>
      </c>
      <c r="W1895" s="5" t="s">
        <v>6489</v>
      </c>
      <c r="X1895" s="24" t="str">
        <f t="shared" si="777"/>
        <v>taxon.125</v>
      </c>
      <c r="Y1895" s="24" t="str">
        <f t="shared" si="778"/>
        <v>Ação de taxonomizar</v>
      </c>
      <c r="Z1895" s="47" t="s">
        <v>2578</v>
      </c>
      <c r="AA1895" s="25" t="str">
        <f t="shared" si="801"/>
        <v>null</v>
      </c>
      <c r="AB1895" s="26" t="s">
        <v>0</v>
      </c>
      <c r="AC1895" s="25" t="str">
        <f t="shared" si="802"/>
        <v>null</v>
      </c>
      <c r="AD1895" s="26" t="s">
        <v>0</v>
      </c>
      <c r="AE1895" s="25" t="str">
        <f t="shared" si="803"/>
        <v>null</v>
      </c>
      <c r="AF1895" s="26" t="s">
        <v>0</v>
      </c>
      <c r="AG1895" s="47" t="s">
        <v>3308</v>
      </c>
    </row>
    <row r="1896" spans="1:33" ht="6.9" customHeight="1" x14ac:dyDescent="0.4">
      <c r="A1896" s="4">
        <f>ROW()</f>
        <v>1896</v>
      </c>
      <c r="B1896" s="9" t="s">
        <v>27</v>
      </c>
      <c r="C1896" s="55" t="str">
        <f t="shared" si="797"/>
        <v>p.taxonomizar</v>
      </c>
      <c r="D1896" s="6" t="str">
        <f t="shared" si="798"/>
        <v>é.critério.de</v>
      </c>
      <c r="E1896" s="8" t="s">
        <v>28</v>
      </c>
      <c r="F1896" s="42" t="str">
        <f t="shared" si="799"/>
        <v>d.taxonomizar</v>
      </c>
      <c r="G1896" s="46" t="s">
        <v>2273</v>
      </c>
      <c r="H1896" s="41" t="s">
        <v>2121</v>
      </c>
      <c r="I1896" s="16" t="str">
        <f t="shared" si="800"/>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775"/>
        <v>Propriedade destinada a taxonomizar: é.critério.de</v>
      </c>
      <c r="V1896" s="5" t="str">
        <f t="shared" si="776"/>
        <v>Dado para taxonomizar:  critério.de  Deve ser formatado como (rdfs:Literal  or  xsd:string)</v>
      </c>
      <c r="W1896" s="5" t="s">
        <v>6489</v>
      </c>
      <c r="X1896" s="24" t="str">
        <f t="shared" si="777"/>
        <v>taxon.126</v>
      </c>
      <c r="Y1896" s="24" t="str">
        <f t="shared" si="778"/>
        <v>Ação de taxonomizar</v>
      </c>
      <c r="Z1896" s="47" t="s">
        <v>2578</v>
      </c>
      <c r="AA1896" s="25" t="str">
        <f t="shared" si="801"/>
        <v>null</v>
      </c>
      <c r="AB1896" s="26" t="s">
        <v>0</v>
      </c>
      <c r="AC1896" s="25" t="str">
        <f t="shared" si="802"/>
        <v>null</v>
      </c>
      <c r="AD1896" s="26" t="s">
        <v>0</v>
      </c>
      <c r="AE1896" s="25" t="str">
        <f t="shared" si="803"/>
        <v>null</v>
      </c>
      <c r="AF1896" s="26" t="s">
        <v>0</v>
      </c>
      <c r="AG1896" s="47" t="s">
        <v>3308</v>
      </c>
    </row>
    <row r="1897" spans="1:33" ht="6.9" customHeight="1" x14ac:dyDescent="0.4">
      <c r="A1897" s="4">
        <f>ROW()</f>
        <v>1897</v>
      </c>
      <c r="B1897" s="9" t="s">
        <v>27</v>
      </c>
      <c r="C1897" s="55" t="str">
        <f t="shared" si="797"/>
        <v>p.taxonomizar</v>
      </c>
      <c r="D1897" s="6" t="str">
        <f t="shared" si="798"/>
        <v>é.dimensão</v>
      </c>
      <c r="E1897" s="8" t="s">
        <v>28</v>
      </c>
      <c r="F1897" s="42" t="str">
        <f t="shared" si="799"/>
        <v>d.taxonomizar</v>
      </c>
      <c r="G1897" s="46" t="s">
        <v>2281</v>
      </c>
      <c r="H1897" s="41" t="s">
        <v>2121</v>
      </c>
      <c r="I1897" s="16" t="str">
        <f t="shared" si="800"/>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775"/>
        <v>Propriedade destinada a taxonomizar: é.dimensão</v>
      </c>
      <c r="V1897" s="5" t="str">
        <f t="shared" si="776"/>
        <v>Dado para taxonomizar:  dimensão  Deve ser formatado como (rdfs:Literal  or  xsd:string)</v>
      </c>
      <c r="W1897" s="5" t="s">
        <v>6490</v>
      </c>
      <c r="X1897" s="24" t="str">
        <f t="shared" si="777"/>
        <v>taxon.127</v>
      </c>
      <c r="Y1897" s="24" t="str">
        <f t="shared" si="778"/>
        <v>Ação de taxonomizar</v>
      </c>
      <c r="Z1897" s="47" t="s">
        <v>2579</v>
      </c>
      <c r="AA1897" s="25" t="str">
        <f t="shared" si="801"/>
        <v>null</v>
      </c>
      <c r="AB1897" s="26" t="s">
        <v>0</v>
      </c>
      <c r="AC1897" s="25" t="str">
        <f t="shared" si="802"/>
        <v>null</v>
      </c>
      <c r="AD1897" s="26" t="s">
        <v>0</v>
      </c>
      <c r="AE1897" s="25" t="str">
        <f t="shared" si="803"/>
        <v>null</v>
      </c>
      <c r="AF1897" s="26" t="s">
        <v>0</v>
      </c>
      <c r="AG1897" s="47" t="s">
        <v>3309</v>
      </c>
    </row>
    <row r="1898" spans="1:33" ht="6.9" customHeight="1" x14ac:dyDescent="0.4">
      <c r="A1898" s="4">
        <f>ROW()</f>
        <v>1898</v>
      </c>
      <c r="B1898" s="9" t="s">
        <v>27</v>
      </c>
      <c r="C1898" s="55" t="str">
        <f t="shared" si="797"/>
        <v>p.taxonomizar</v>
      </c>
      <c r="D1898" s="6" t="str">
        <f t="shared" si="798"/>
        <v>é.disponível.em</v>
      </c>
      <c r="E1898" s="8" t="s">
        <v>28</v>
      </c>
      <c r="F1898" s="42" t="str">
        <f t="shared" si="799"/>
        <v>d.taxonomizar</v>
      </c>
      <c r="G1898" s="46" t="s">
        <v>2285</v>
      </c>
      <c r="H1898" s="41" t="s">
        <v>2121</v>
      </c>
      <c r="I1898" s="16" t="str">
        <f t="shared" si="800"/>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775"/>
        <v>Propriedade destinada a taxonomizar: é.disponível.em</v>
      </c>
      <c r="V1898" s="5" t="str">
        <f t="shared" si="776"/>
        <v>Dado para taxonomizar:  disponível.em  Deve ser formatado como (rdfs:Literal  or  xsd:string)</v>
      </c>
      <c r="W1898" s="5" t="s">
        <v>6491</v>
      </c>
      <c r="X1898" s="24" t="str">
        <f t="shared" si="777"/>
        <v>taxon.128</v>
      </c>
      <c r="Y1898" s="24" t="str">
        <f t="shared" si="778"/>
        <v>Ação de taxonomizar</v>
      </c>
      <c r="Z1898" s="47" t="s">
        <v>2580</v>
      </c>
      <c r="AA1898" s="25" t="str">
        <f t="shared" si="801"/>
        <v>null</v>
      </c>
      <c r="AB1898" s="26" t="s">
        <v>0</v>
      </c>
      <c r="AC1898" s="25" t="str">
        <f t="shared" si="802"/>
        <v>null</v>
      </c>
      <c r="AD1898" s="26" t="s">
        <v>0</v>
      </c>
      <c r="AE1898" s="25" t="str">
        <f t="shared" si="803"/>
        <v>null</v>
      </c>
      <c r="AF1898" s="26" t="s">
        <v>0</v>
      </c>
      <c r="AG1898" s="47" t="s">
        <v>3310</v>
      </c>
    </row>
    <row r="1899" spans="1:33" ht="6.9" customHeight="1" x14ac:dyDescent="0.4">
      <c r="A1899" s="4">
        <f>ROW()</f>
        <v>1899</v>
      </c>
      <c r="B1899" s="9" t="s">
        <v>27</v>
      </c>
      <c r="C1899" s="55" t="str">
        <f t="shared" si="797"/>
        <v>p.taxonomizar</v>
      </c>
      <c r="D1899" s="6" t="str">
        <f t="shared" si="798"/>
        <v>é.eixo.temático</v>
      </c>
      <c r="E1899" s="8" t="s">
        <v>28</v>
      </c>
      <c r="F1899" s="42" t="str">
        <f t="shared" si="799"/>
        <v>d.taxonomizar</v>
      </c>
      <c r="G1899" s="46" t="s">
        <v>2324</v>
      </c>
      <c r="H1899" s="41" t="s">
        <v>2121</v>
      </c>
      <c r="I1899" s="16" t="str">
        <f t="shared" si="800"/>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775"/>
        <v>Propriedade destinada a taxonomizar: é.eixo.temático</v>
      </c>
      <c r="V1899" s="5" t="str">
        <f t="shared" si="776"/>
        <v>Dado para taxonomizar:  eixo.temático  Deve ser formatado como (rdfs:Literal  or  xsd:string)</v>
      </c>
      <c r="W1899" s="5" t="s">
        <v>6492</v>
      </c>
      <c r="X1899" s="24" t="str">
        <f t="shared" si="777"/>
        <v>taxon.129</v>
      </c>
      <c r="Y1899" s="24" t="str">
        <f t="shared" si="778"/>
        <v>Ação de taxonomizar</v>
      </c>
      <c r="Z1899" s="47" t="s">
        <v>2581</v>
      </c>
      <c r="AA1899" s="25" t="str">
        <f t="shared" si="801"/>
        <v>null</v>
      </c>
      <c r="AB1899" s="26" t="s">
        <v>0</v>
      </c>
      <c r="AC1899" s="25" t="str">
        <f t="shared" si="802"/>
        <v>null</v>
      </c>
      <c r="AD1899" s="26" t="s">
        <v>0</v>
      </c>
      <c r="AE1899" s="25" t="str">
        <f t="shared" si="803"/>
        <v>null</v>
      </c>
      <c r="AF1899" s="26" t="s">
        <v>0</v>
      </c>
      <c r="AG1899" s="47" t="s">
        <v>3311</v>
      </c>
    </row>
    <row r="1900" spans="1:33" ht="6.9" customHeight="1" x14ac:dyDescent="0.4">
      <c r="A1900" s="4">
        <f>ROW()</f>
        <v>1900</v>
      </c>
      <c r="B1900" s="9" t="s">
        <v>27</v>
      </c>
      <c r="C1900" s="55" t="str">
        <f t="shared" si="797"/>
        <v>p.taxonomizar</v>
      </c>
      <c r="D1900" s="6" t="str">
        <f t="shared" si="798"/>
        <v>é.elegível.de</v>
      </c>
      <c r="E1900" s="8" t="s">
        <v>28</v>
      </c>
      <c r="F1900" s="42" t="str">
        <f t="shared" si="799"/>
        <v>d.taxonomizar</v>
      </c>
      <c r="G1900" s="46" t="s">
        <v>2323</v>
      </c>
      <c r="H1900" s="41" t="s">
        <v>2121</v>
      </c>
      <c r="I1900" s="16" t="str">
        <f t="shared" si="800"/>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775"/>
        <v>Propriedade destinada a taxonomizar: é.elegível.de</v>
      </c>
      <c r="V1900" s="5" t="str">
        <f t="shared" si="776"/>
        <v>Dado para taxonomizar:  elegível.de  Deve ser formatado como (rdfs:Literal  or  xsd:string)</v>
      </c>
      <c r="W1900" s="5" t="s">
        <v>6493</v>
      </c>
      <c r="X1900" s="24" t="str">
        <f t="shared" si="777"/>
        <v>taxon.130</v>
      </c>
      <c r="Y1900" s="24" t="str">
        <f t="shared" si="778"/>
        <v>Ação de taxonomizar</v>
      </c>
      <c r="Z1900" s="47" t="s">
        <v>2582</v>
      </c>
      <c r="AA1900" s="25" t="str">
        <f t="shared" si="801"/>
        <v>null</v>
      </c>
      <c r="AB1900" s="26" t="s">
        <v>0</v>
      </c>
      <c r="AC1900" s="25" t="str">
        <f t="shared" si="802"/>
        <v>null</v>
      </c>
      <c r="AD1900" s="26" t="s">
        <v>0</v>
      </c>
      <c r="AE1900" s="25" t="str">
        <f t="shared" si="803"/>
        <v>null</v>
      </c>
      <c r="AF1900" s="26" t="s">
        <v>0</v>
      </c>
      <c r="AG1900" s="47" t="s">
        <v>3312</v>
      </c>
    </row>
    <row r="1901" spans="1:33" ht="6.9" customHeight="1" x14ac:dyDescent="0.4">
      <c r="A1901" s="4">
        <f>ROW()</f>
        <v>1901</v>
      </c>
      <c r="B1901" s="9" t="s">
        <v>27</v>
      </c>
      <c r="C1901" s="55" t="str">
        <f t="shared" si="797"/>
        <v>p.taxonomizar</v>
      </c>
      <c r="D1901" s="6" t="str">
        <f t="shared" si="798"/>
        <v>é.empregos.gerados</v>
      </c>
      <c r="E1901" s="8" t="s">
        <v>28</v>
      </c>
      <c r="F1901" s="42" t="str">
        <f t="shared" si="799"/>
        <v>d.taxonomizar</v>
      </c>
      <c r="G1901" s="46" t="s">
        <v>2301</v>
      </c>
      <c r="H1901" s="41" t="s">
        <v>2121</v>
      </c>
      <c r="I1901" s="16" t="str">
        <f t="shared" si="800"/>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775"/>
        <v>Propriedade destinada a taxonomizar: é.empregos.gerados</v>
      </c>
      <c r="V1901" s="5" t="str">
        <f t="shared" si="776"/>
        <v>Dado para taxonomizar:  empregos.gerados  Deve ser formatado como (rdfs:Literal  or  xsd:string)</v>
      </c>
      <c r="W1901" s="5" t="s">
        <v>6470</v>
      </c>
      <c r="X1901" s="24" t="str">
        <f t="shared" si="777"/>
        <v>taxon.131</v>
      </c>
      <c r="Y1901" s="24" t="str">
        <f t="shared" si="778"/>
        <v>Ação de taxonomizar</v>
      </c>
      <c r="Z1901" s="47" t="s">
        <v>2561</v>
      </c>
      <c r="AA1901" s="25" t="str">
        <f t="shared" si="801"/>
        <v>null</v>
      </c>
      <c r="AB1901" s="26" t="s">
        <v>0</v>
      </c>
      <c r="AC1901" s="25" t="str">
        <f t="shared" si="802"/>
        <v>null</v>
      </c>
      <c r="AD1901" s="26" t="s">
        <v>0</v>
      </c>
      <c r="AE1901" s="25" t="str">
        <f t="shared" si="803"/>
        <v>null</v>
      </c>
      <c r="AF1901" s="26" t="s">
        <v>0</v>
      </c>
      <c r="AG1901" s="47" t="s">
        <v>4747</v>
      </c>
    </row>
    <row r="1902" spans="1:33" ht="6.9" customHeight="1" x14ac:dyDescent="0.4">
      <c r="A1902" s="4">
        <f>ROW()</f>
        <v>1902</v>
      </c>
      <c r="B1902" s="9" t="s">
        <v>27</v>
      </c>
      <c r="C1902" s="55" t="str">
        <f t="shared" si="797"/>
        <v>p.taxonomizar</v>
      </c>
      <c r="D1902" s="6" t="str">
        <f t="shared" si="798"/>
        <v>é.encontrado.em</v>
      </c>
      <c r="E1902" s="8" t="s">
        <v>28</v>
      </c>
      <c r="F1902" s="42" t="str">
        <f t="shared" si="799"/>
        <v>d.taxonomizar</v>
      </c>
      <c r="G1902" s="46" t="s">
        <v>2290</v>
      </c>
      <c r="H1902" s="41" t="s">
        <v>2121</v>
      </c>
      <c r="I1902" s="16" t="str">
        <f t="shared" si="800"/>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775"/>
        <v>Propriedade destinada a taxonomizar: é.encontrado.em</v>
      </c>
      <c r="V1902" s="5" t="str">
        <f t="shared" si="776"/>
        <v>Dado para taxonomizar:  encontrado.em  Deve ser formatado como (rdfs:Literal  or  xsd:string)</v>
      </c>
      <c r="W1902" s="5" t="s">
        <v>6494</v>
      </c>
      <c r="X1902" s="24" t="str">
        <f t="shared" si="777"/>
        <v>taxon.132</v>
      </c>
      <c r="Y1902" s="24" t="str">
        <f t="shared" si="778"/>
        <v>Ação de taxonomizar</v>
      </c>
      <c r="Z1902" s="47" t="s">
        <v>2583</v>
      </c>
      <c r="AA1902" s="25" t="str">
        <f t="shared" si="801"/>
        <v>null</v>
      </c>
      <c r="AB1902" s="26" t="s">
        <v>0</v>
      </c>
      <c r="AC1902" s="25" t="str">
        <f t="shared" si="802"/>
        <v>null</v>
      </c>
      <c r="AD1902" s="26" t="s">
        <v>0</v>
      </c>
      <c r="AE1902" s="25" t="str">
        <f t="shared" si="803"/>
        <v>null</v>
      </c>
      <c r="AF1902" s="26" t="s">
        <v>0</v>
      </c>
      <c r="AG1902" s="47" t="s">
        <v>3313</v>
      </c>
    </row>
    <row r="1903" spans="1:33" ht="6.9" customHeight="1" x14ac:dyDescent="0.4">
      <c r="A1903" s="4">
        <f>ROW()</f>
        <v>1903</v>
      </c>
      <c r="B1903" s="9" t="s">
        <v>27</v>
      </c>
      <c r="C1903" s="55" t="str">
        <f t="shared" ref="C1903:C1936" si="804">SUBSTITUTE(F1903,"d.","p.")</f>
        <v>p.taxonomizar</v>
      </c>
      <c r="D1903" s="6" t="str">
        <f t="shared" si="798"/>
        <v>é.esperado.que</v>
      </c>
      <c r="E1903" s="8" t="s">
        <v>28</v>
      </c>
      <c r="F1903" s="42" t="str">
        <f t="shared" si="799"/>
        <v>d.taxonomizar</v>
      </c>
      <c r="G1903" s="46" t="s">
        <v>2280</v>
      </c>
      <c r="H1903" s="41" t="s">
        <v>2121</v>
      </c>
      <c r="I1903" s="16" t="str">
        <f t="shared" ref="I1903:I1934" si="805">J1903</f>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775"/>
        <v>Propriedade destinada a taxonomizar: é.esperado.que</v>
      </c>
      <c r="V1903" s="5" t="str">
        <f t="shared" si="776"/>
        <v>Dado para taxonomizar:  esperado.que  Deve ser formatado como (rdfs:Literal  or  xsd:string)</v>
      </c>
      <c r="W1903" s="5" t="s">
        <v>6495</v>
      </c>
      <c r="X1903" s="24" t="str">
        <f t="shared" si="777"/>
        <v>taxon.133</v>
      </c>
      <c r="Y1903" s="24" t="str">
        <f t="shared" si="778"/>
        <v>Ação de taxonomizar</v>
      </c>
      <c r="Z1903" s="47" t="s">
        <v>2584</v>
      </c>
      <c r="AA1903" s="25" t="str">
        <f t="shared" ref="AA1903:AA1934" si="806">IF(AB1903="null", "null", "categoria.revit")</f>
        <v>null</v>
      </c>
      <c r="AB1903" s="26" t="s">
        <v>0</v>
      </c>
      <c r="AC1903" s="25" t="str">
        <f t="shared" ref="AC1903:AC1934" si="807">IF(AD1903="null", "null", "classe.ifc")</f>
        <v>null</v>
      </c>
      <c r="AD1903" s="26" t="s">
        <v>0</v>
      </c>
      <c r="AE1903" s="25" t="str">
        <f t="shared" si="803"/>
        <v>null</v>
      </c>
      <c r="AF1903" s="26" t="s">
        <v>0</v>
      </c>
      <c r="AG1903" s="47" t="s">
        <v>3314</v>
      </c>
    </row>
    <row r="1904" spans="1:33" ht="6.9" customHeight="1" x14ac:dyDescent="0.4">
      <c r="A1904" s="4">
        <f>ROW()</f>
        <v>1904</v>
      </c>
      <c r="B1904" s="9" t="s">
        <v>27</v>
      </c>
      <c r="C1904" s="55" t="str">
        <f t="shared" si="804"/>
        <v>p.taxonomizar</v>
      </c>
      <c r="D1904" s="6" t="str">
        <f t="shared" si="798"/>
        <v>é.estratégia.de</v>
      </c>
      <c r="E1904" s="8" t="s">
        <v>28</v>
      </c>
      <c r="F1904" s="42" t="str">
        <f t="shared" si="799"/>
        <v>d.taxonomizar</v>
      </c>
      <c r="G1904" s="46" t="s">
        <v>2274</v>
      </c>
      <c r="H1904" s="41" t="s">
        <v>2121</v>
      </c>
      <c r="I1904" s="16" t="str">
        <f t="shared" si="805"/>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775"/>
        <v>Propriedade destinada a taxonomizar: é.estratégia.de</v>
      </c>
      <c r="V1904" s="5" t="str">
        <f t="shared" si="776"/>
        <v>Dado para taxonomizar:  estratégia.de  Deve ser formatado como (rdfs:Literal  or  xsd:string)</v>
      </c>
      <c r="W1904" s="5" t="s">
        <v>6496</v>
      </c>
      <c r="X1904" s="24" t="str">
        <f t="shared" si="777"/>
        <v>taxon.134</v>
      </c>
      <c r="Y1904" s="24" t="str">
        <f t="shared" si="778"/>
        <v>Ação de taxonomizar</v>
      </c>
      <c r="Z1904" s="47" t="s">
        <v>4618</v>
      </c>
      <c r="AA1904" s="25" t="str">
        <f t="shared" si="806"/>
        <v>null</v>
      </c>
      <c r="AB1904" s="26" t="s">
        <v>0</v>
      </c>
      <c r="AC1904" s="25" t="str">
        <f t="shared" si="807"/>
        <v>null</v>
      </c>
      <c r="AD1904" s="26" t="s">
        <v>0</v>
      </c>
      <c r="AE1904" s="25" t="str">
        <f t="shared" si="803"/>
        <v>null</v>
      </c>
      <c r="AF1904" s="26" t="s">
        <v>0</v>
      </c>
      <c r="AG1904" s="47" t="s">
        <v>3315</v>
      </c>
    </row>
    <row r="1905" spans="1:33" ht="6.9" customHeight="1" x14ac:dyDescent="0.4">
      <c r="A1905" s="4">
        <f>ROW()</f>
        <v>1905</v>
      </c>
      <c r="B1905" s="9" t="s">
        <v>27</v>
      </c>
      <c r="C1905" s="55" t="str">
        <f t="shared" si="804"/>
        <v>p.taxonomizar</v>
      </c>
      <c r="D1905" s="6" t="str">
        <f t="shared" si="798"/>
        <v>é.estratégia.usada</v>
      </c>
      <c r="E1905" s="8" t="s">
        <v>28</v>
      </c>
      <c r="F1905" s="42" t="str">
        <f t="shared" si="799"/>
        <v>d.taxonomizar</v>
      </c>
      <c r="G1905" s="46" t="s">
        <v>2275</v>
      </c>
      <c r="H1905" s="41" t="s">
        <v>2121</v>
      </c>
      <c r="I1905" s="16" t="str">
        <f t="shared" si="805"/>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775"/>
        <v>Propriedade destinada a taxonomizar: é.estratégia.usada</v>
      </c>
      <c r="V1905" s="5" t="str">
        <f t="shared" si="776"/>
        <v>Dado para taxonomizar:  estratégia.usada  Deve ser formatado como (rdfs:Literal  or  xsd:string)</v>
      </c>
      <c r="W1905" s="5" t="s">
        <v>6497</v>
      </c>
      <c r="X1905" s="24" t="str">
        <f t="shared" si="777"/>
        <v>taxon.135</v>
      </c>
      <c r="Y1905" s="24" t="str">
        <f t="shared" si="778"/>
        <v>Ação de taxonomizar</v>
      </c>
      <c r="Z1905" s="47" t="s">
        <v>2585</v>
      </c>
      <c r="AA1905" s="25" t="str">
        <f t="shared" si="806"/>
        <v>null</v>
      </c>
      <c r="AB1905" s="26" t="s">
        <v>0</v>
      </c>
      <c r="AC1905" s="25" t="str">
        <f t="shared" si="807"/>
        <v>null</v>
      </c>
      <c r="AD1905" s="26" t="s">
        <v>0</v>
      </c>
      <c r="AE1905" s="25" t="str">
        <f t="shared" si="803"/>
        <v>null</v>
      </c>
      <c r="AF1905" s="26" t="s">
        <v>0</v>
      </c>
      <c r="AG1905" s="47" t="s">
        <v>3316</v>
      </c>
    </row>
    <row r="1906" spans="1:33" ht="6.9" customHeight="1" x14ac:dyDescent="0.4">
      <c r="A1906" s="4">
        <f>ROW()</f>
        <v>1906</v>
      </c>
      <c r="B1906" s="9" t="s">
        <v>27</v>
      </c>
      <c r="C1906" s="55" t="str">
        <f t="shared" si="804"/>
        <v>p.taxonomizar</v>
      </c>
      <c r="D1906" s="6" t="str">
        <f t="shared" si="798"/>
        <v>é.explicado.em</v>
      </c>
      <c r="E1906" s="8" t="s">
        <v>28</v>
      </c>
      <c r="F1906" s="42" t="str">
        <f t="shared" si="799"/>
        <v>d.taxonomizar</v>
      </c>
      <c r="G1906" s="46" t="s">
        <v>2297</v>
      </c>
      <c r="H1906" s="41" t="s">
        <v>2121</v>
      </c>
      <c r="I1906" s="16" t="str">
        <f t="shared" si="805"/>
        <v>null</v>
      </c>
      <c r="J1906" s="13" t="s">
        <v>0</v>
      </c>
      <c r="K1906" s="13" t="s">
        <v>0</v>
      </c>
      <c r="L1906" s="13" t="s">
        <v>0</v>
      </c>
      <c r="M1906" s="13" t="s">
        <v>0</v>
      </c>
      <c r="N1906" s="13" t="s">
        <v>270</v>
      </c>
      <c r="O1906" s="13" t="s">
        <v>0</v>
      </c>
      <c r="P1906" s="13" t="s">
        <v>271</v>
      </c>
      <c r="Q1906" s="13" t="s">
        <v>2298</v>
      </c>
      <c r="R1906" s="15" t="s">
        <v>0</v>
      </c>
      <c r="S1906" s="10" t="s">
        <v>1</v>
      </c>
      <c r="T1906" s="10" t="s">
        <v>32</v>
      </c>
      <c r="U1906" s="5" t="str">
        <f t="shared" si="775"/>
        <v>Propriedade destinada a taxonomizar: é.explicado.em</v>
      </c>
      <c r="V1906" s="5" t="str">
        <f t="shared" si="776"/>
        <v>Dado para taxonomizar:  explicado.em  Deve ser formatado como (rdfs:Literal  or  xsd:string)</v>
      </c>
      <c r="W1906" s="5" t="s">
        <v>6498</v>
      </c>
      <c r="X1906" s="24" t="str">
        <f t="shared" si="777"/>
        <v>taxon.136</v>
      </c>
      <c r="Y1906" s="24" t="str">
        <f t="shared" si="778"/>
        <v>Ação de taxonomizar</v>
      </c>
      <c r="Z1906" s="47" t="s">
        <v>4619</v>
      </c>
      <c r="AA1906" s="25" t="str">
        <f t="shared" si="806"/>
        <v>null</v>
      </c>
      <c r="AB1906" s="26" t="s">
        <v>0</v>
      </c>
      <c r="AC1906" s="25" t="str">
        <f t="shared" si="807"/>
        <v>null</v>
      </c>
      <c r="AD1906" s="26" t="s">
        <v>0</v>
      </c>
      <c r="AE1906" s="25" t="str">
        <f t="shared" si="803"/>
        <v>null</v>
      </c>
      <c r="AF1906" s="26" t="s">
        <v>0</v>
      </c>
      <c r="AG1906" s="47" t="s">
        <v>4817</v>
      </c>
    </row>
    <row r="1907" spans="1:33" ht="6.9" customHeight="1" x14ac:dyDescent="0.4">
      <c r="A1907" s="4">
        <f>ROW()</f>
        <v>1907</v>
      </c>
      <c r="B1907" s="9" t="s">
        <v>27</v>
      </c>
      <c r="C1907" s="55" t="str">
        <f t="shared" si="804"/>
        <v>p.taxonomizar</v>
      </c>
      <c r="D1907" s="6" t="str">
        <f t="shared" si="798"/>
        <v>é.explicativa.de</v>
      </c>
      <c r="E1907" s="8" t="s">
        <v>28</v>
      </c>
      <c r="F1907" s="42" t="str">
        <f t="shared" si="799"/>
        <v>d.taxonomizar</v>
      </c>
      <c r="G1907" s="46" t="s">
        <v>2296</v>
      </c>
      <c r="H1907" s="41" t="s">
        <v>2121</v>
      </c>
      <c r="I1907" s="16" t="str">
        <f t="shared" si="805"/>
        <v>null</v>
      </c>
      <c r="J1907" s="13" t="s">
        <v>0</v>
      </c>
      <c r="K1907" s="13" t="s">
        <v>0</v>
      </c>
      <c r="L1907" s="13" t="s">
        <v>0</v>
      </c>
      <c r="M1907" s="13" t="s">
        <v>0</v>
      </c>
      <c r="N1907" s="13" t="s">
        <v>270</v>
      </c>
      <c r="O1907" s="13" t="s">
        <v>0</v>
      </c>
      <c r="P1907" s="13" t="s">
        <v>271</v>
      </c>
      <c r="Q1907" s="13" t="s">
        <v>2299</v>
      </c>
      <c r="R1907" s="15" t="s">
        <v>0</v>
      </c>
      <c r="S1907" s="10" t="s">
        <v>1</v>
      </c>
      <c r="T1907" s="10" t="s">
        <v>32</v>
      </c>
      <c r="U1907" s="5" t="str">
        <f t="shared" si="775"/>
        <v>Propriedade destinada a taxonomizar: é.explicativa.de</v>
      </c>
      <c r="V1907" s="5" t="str">
        <f t="shared" si="776"/>
        <v>Dado para taxonomizar:  explicativa.de  Deve ser formatado como (rdfs:Literal  or  xsd:string)</v>
      </c>
      <c r="W1907" s="5" t="s">
        <v>6499</v>
      </c>
      <c r="X1907" s="24" t="str">
        <f t="shared" si="777"/>
        <v>taxon.137</v>
      </c>
      <c r="Y1907" s="24" t="str">
        <f t="shared" si="778"/>
        <v>Ação de taxonomizar</v>
      </c>
      <c r="Z1907" s="47" t="s">
        <v>4620</v>
      </c>
      <c r="AA1907" s="25" t="str">
        <f t="shared" si="806"/>
        <v>null</v>
      </c>
      <c r="AB1907" s="26" t="s">
        <v>0</v>
      </c>
      <c r="AC1907" s="25" t="str">
        <f t="shared" si="807"/>
        <v>null</v>
      </c>
      <c r="AD1907" s="26" t="s">
        <v>0</v>
      </c>
      <c r="AE1907" s="25" t="str">
        <f t="shared" si="803"/>
        <v>null</v>
      </c>
      <c r="AF1907" s="26" t="s">
        <v>0</v>
      </c>
      <c r="AG1907" s="47" t="s">
        <v>4818</v>
      </c>
    </row>
    <row r="1908" spans="1:33" ht="6.9" customHeight="1" x14ac:dyDescent="0.4">
      <c r="A1908" s="4">
        <f>ROW()</f>
        <v>1908</v>
      </c>
      <c r="B1908" s="9" t="s">
        <v>27</v>
      </c>
      <c r="C1908" s="55" t="str">
        <f t="shared" si="804"/>
        <v>p.taxonomizar</v>
      </c>
      <c r="D1908" s="6" t="str">
        <f t="shared" si="798"/>
        <v>é.financiador</v>
      </c>
      <c r="E1908" s="8" t="s">
        <v>28</v>
      </c>
      <c r="F1908" s="42" t="str">
        <f t="shared" si="799"/>
        <v>d.taxonomizar</v>
      </c>
      <c r="G1908" s="46" t="s">
        <v>2322</v>
      </c>
      <c r="H1908" s="41" t="s">
        <v>2121</v>
      </c>
      <c r="I1908" s="16" t="str">
        <f t="shared" si="805"/>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775"/>
        <v>Propriedade destinada a taxonomizar: é.financiador</v>
      </c>
      <c r="V1908" s="5" t="str">
        <f t="shared" si="776"/>
        <v>Dado para taxonomizar:  financiador  Deve ser formatado como (rdfs:Literal  or  xsd:string)</v>
      </c>
      <c r="W1908" s="5" t="s">
        <v>6500</v>
      </c>
      <c r="X1908" s="24" t="str">
        <f t="shared" si="777"/>
        <v>taxon.138</v>
      </c>
      <c r="Y1908" s="24" t="str">
        <f t="shared" si="778"/>
        <v>Ação de taxonomizar</v>
      </c>
      <c r="Z1908" s="47" t="s">
        <v>2586</v>
      </c>
      <c r="AA1908" s="25" t="str">
        <f t="shared" si="806"/>
        <v>null</v>
      </c>
      <c r="AB1908" s="26" t="s">
        <v>0</v>
      </c>
      <c r="AC1908" s="25" t="str">
        <f t="shared" si="807"/>
        <v>null</v>
      </c>
      <c r="AD1908" s="26" t="s">
        <v>0</v>
      </c>
      <c r="AE1908" s="25" t="str">
        <f t="shared" si="803"/>
        <v>null</v>
      </c>
      <c r="AF1908" s="26" t="s">
        <v>0</v>
      </c>
      <c r="AG1908" s="47" t="s">
        <v>3317</v>
      </c>
    </row>
    <row r="1909" spans="1:33" ht="6.9" customHeight="1" x14ac:dyDescent="0.4">
      <c r="A1909" s="4">
        <f>ROW()</f>
        <v>1909</v>
      </c>
      <c r="B1909" s="9" t="s">
        <v>27</v>
      </c>
      <c r="C1909" s="55" t="str">
        <f t="shared" si="804"/>
        <v>p.taxonomizar</v>
      </c>
      <c r="D1909" s="6" t="str">
        <f t="shared" si="798"/>
        <v>é.fora.do.escopo</v>
      </c>
      <c r="E1909" s="8" t="s">
        <v>28</v>
      </c>
      <c r="F1909" s="42" t="str">
        <f t="shared" si="799"/>
        <v>d.taxonomizar</v>
      </c>
      <c r="G1909" s="18" t="s">
        <v>2357</v>
      </c>
      <c r="H1909" s="41" t="s">
        <v>2121</v>
      </c>
      <c r="I1909" s="16" t="str">
        <f t="shared" si="805"/>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775"/>
        <v>Propriedade destinada a taxonomizar: é.fora.do.escopo</v>
      </c>
      <c r="V1909" s="5" t="str">
        <f t="shared" si="776"/>
        <v>Dado para taxonomizar:  fora.do.escopo  Deve ser formatado como (rdfs:Literal  or  xsd:string)</v>
      </c>
      <c r="W1909" s="5" t="s">
        <v>6501</v>
      </c>
      <c r="X1909" s="24" t="str">
        <f t="shared" si="777"/>
        <v>taxon.139</v>
      </c>
      <c r="Y1909" s="24" t="str">
        <f t="shared" si="778"/>
        <v>Ação de taxonomizar</v>
      </c>
      <c r="Z1909" s="47" t="s">
        <v>4621</v>
      </c>
      <c r="AA1909" s="25" t="str">
        <f t="shared" si="806"/>
        <v>null</v>
      </c>
      <c r="AB1909" s="26" t="s">
        <v>0</v>
      </c>
      <c r="AC1909" s="25" t="str">
        <f t="shared" si="807"/>
        <v>null</v>
      </c>
      <c r="AD1909" s="26" t="s">
        <v>0</v>
      </c>
      <c r="AE1909" s="25" t="str">
        <f t="shared" si="803"/>
        <v>null</v>
      </c>
      <c r="AF1909" s="26" t="s">
        <v>0</v>
      </c>
      <c r="AG1909" s="47" t="s">
        <v>3318</v>
      </c>
    </row>
    <row r="1910" spans="1:33" ht="6.9" customHeight="1" x14ac:dyDescent="0.4">
      <c r="A1910" s="4">
        <f>ROW()</f>
        <v>1910</v>
      </c>
      <c r="B1910" s="9" t="s">
        <v>27</v>
      </c>
      <c r="C1910" s="55" t="str">
        <f t="shared" si="804"/>
        <v>p.taxonomizar</v>
      </c>
      <c r="D1910" s="6" t="str">
        <f t="shared" si="798"/>
        <v>é.fundamentado.em</v>
      </c>
      <c r="E1910" s="8" t="s">
        <v>28</v>
      </c>
      <c r="F1910" s="42" t="str">
        <f t="shared" si="799"/>
        <v>d.taxonomizar</v>
      </c>
      <c r="G1910" s="46" t="s">
        <v>2317</v>
      </c>
      <c r="H1910" s="41" t="s">
        <v>2121</v>
      </c>
      <c r="I1910" s="16" t="str">
        <f t="shared" si="805"/>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775"/>
        <v>Propriedade destinada a taxonomizar: é.fundamentado.em</v>
      </c>
      <c r="V1910" s="5" t="str">
        <f t="shared" si="776"/>
        <v>Dado para taxonomizar:  fundamentado.em  Deve ser formatado como (rdfs:Literal  or  xsd:string)</v>
      </c>
      <c r="W1910" s="5" t="s">
        <v>6502</v>
      </c>
      <c r="X1910" s="24" t="str">
        <f t="shared" si="777"/>
        <v>taxon.140</v>
      </c>
      <c r="Y1910" s="24" t="str">
        <f t="shared" si="778"/>
        <v>Ação de taxonomizar</v>
      </c>
      <c r="Z1910" s="47" t="s">
        <v>2587</v>
      </c>
      <c r="AA1910" s="25" t="str">
        <f t="shared" si="806"/>
        <v>null</v>
      </c>
      <c r="AB1910" s="26" t="s">
        <v>0</v>
      </c>
      <c r="AC1910" s="25" t="str">
        <f t="shared" si="807"/>
        <v>null</v>
      </c>
      <c r="AD1910" s="26" t="s">
        <v>0</v>
      </c>
      <c r="AE1910" s="25" t="str">
        <f t="shared" si="803"/>
        <v>null</v>
      </c>
      <c r="AF1910" s="26" t="s">
        <v>0</v>
      </c>
      <c r="AG1910" s="47" t="s">
        <v>4749</v>
      </c>
    </row>
    <row r="1911" spans="1:33" ht="6.9" customHeight="1" x14ac:dyDescent="0.4">
      <c r="A1911" s="4">
        <f>ROW()</f>
        <v>1911</v>
      </c>
      <c r="B1911" s="9" t="s">
        <v>27</v>
      </c>
      <c r="C1911" s="55" t="str">
        <f t="shared" si="804"/>
        <v>p.taxonomizar</v>
      </c>
      <c r="D1911" s="6" t="str">
        <f t="shared" si="798"/>
        <v>é.impacto</v>
      </c>
      <c r="E1911" s="8" t="s">
        <v>28</v>
      </c>
      <c r="F1911" s="42" t="str">
        <f t="shared" si="799"/>
        <v>d.taxonomizar</v>
      </c>
      <c r="G1911" s="46" t="s">
        <v>2330</v>
      </c>
      <c r="H1911" s="41" t="s">
        <v>2121</v>
      </c>
      <c r="I1911" s="16" t="str">
        <f t="shared" si="805"/>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775"/>
        <v>Propriedade destinada a taxonomizar: é.impacto</v>
      </c>
      <c r="V1911" s="5" t="str">
        <f t="shared" si="776"/>
        <v>Dado para taxonomizar:  impacto  Deve ser formatado como (rdfs:Literal  or  xsd:string)</v>
      </c>
      <c r="W1911" s="5" t="s">
        <v>6503</v>
      </c>
      <c r="X1911" s="24" t="str">
        <f t="shared" si="777"/>
        <v>taxon.141</v>
      </c>
      <c r="Y1911" s="24" t="str">
        <f t="shared" si="778"/>
        <v>Ação de taxonomizar</v>
      </c>
      <c r="Z1911" s="47" t="s">
        <v>4623</v>
      </c>
      <c r="AA1911" s="25" t="str">
        <f t="shared" si="806"/>
        <v>null</v>
      </c>
      <c r="AB1911" s="26" t="s">
        <v>0</v>
      </c>
      <c r="AC1911" s="25" t="str">
        <f t="shared" si="807"/>
        <v>null</v>
      </c>
      <c r="AD1911" s="26" t="s">
        <v>0</v>
      </c>
      <c r="AE1911" s="25" t="str">
        <f t="shared" si="803"/>
        <v>null</v>
      </c>
      <c r="AF1911" s="26" t="s">
        <v>0</v>
      </c>
      <c r="AG1911" s="47" t="s">
        <v>4819</v>
      </c>
    </row>
    <row r="1912" spans="1:33" ht="6.9" customHeight="1" x14ac:dyDescent="0.4">
      <c r="A1912" s="4">
        <f>ROW()</f>
        <v>1912</v>
      </c>
      <c r="B1912" s="9" t="s">
        <v>27</v>
      </c>
      <c r="C1912" s="55" t="str">
        <f t="shared" si="804"/>
        <v>p.taxonomizar</v>
      </c>
      <c r="D1912" s="6" t="str">
        <f t="shared" si="798"/>
        <v>é.indicador</v>
      </c>
      <c r="E1912" s="8" t="s">
        <v>28</v>
      </c>
      <c r="F1912" s="42" t="str">
        <f>F1910</f>
        <v>d.taxonomizar</v>
      </c>
      <c r="G1912" s="46" t="s">
        <v>2289</v>
      </c>
      <c r="H1912" s="41" t="s">
        <v>2121</v>
      </c>
      <c r="I1912" s="16" t="str">
        <f t="shared" si="805"/>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775"/>
        <v>Propriedade destinada a taxonomizar: é.indicador</v>
      </c>
      <c r="V1912" s="5" t="str">
        <f t="shared" si="776"/>
        <v>Dado para taxonomizar:  indicador  Deve ser formatado como (rdfs:Literal  or  xsd:string)</v>
      </c>
      <c r="W1912" s="5" t="s">
        <v>6504</v>
      </c>
      <c r="X1912" s="24" t="str">
        <f t="shared" si="777"/>
        <v>taxon.142</v>
      </c>
      <c r="Y1912" s="24" t="str">
        <f t="shared" si="778"/>
        <v>Ação de taxonomizar</v>
      </c>
      <c r="Z1912" s="47" t="s">
        <v>4622</v>
      </c>
      <c r="AA1912" s="25" t="str">
        <f t="shared" si="806"/>
        <v>null</v>
      </c>
      <c r="AB1912" s="26" t="s">
        <v>0</v>
      </c>
      <c r="AC1912" s="25" t="str">
        <f t="shared" si="807"/>
        <v>null</v>
      </c>
      <c r="AD1912" s="26" t="s">
        <v>0</v>
      </c>
      <c r="AE1912" s="25" t="str">
        <f t="shared" si="803"/>
        <v>null</v>
      </c>
      <c r="AF1912" s="26" t="s">
        <v>0</v>
      </c>
      <c r="AG1912" s="47" t="s">
        <v>3319</v>
      </c>
    </row>
    <row r="1913" spans="1:33" ht="6.9" customHeight="1" x14ac:dyDescent="0.4">
      <c r="A1913" s="4">
        <f>ROW()</f>
        <v>1913</v>
      </c>
      <c r="B1913" s="9" t="s">
        <v>27</v>
      </c>
      <c r="C1913" s="55" t="str">
        <f t="shared" si="804"/>
        <v>p.taxonomizar</v>
      </c>
      <c r="D1913" s="6" t="str">
        <f t="shared" si="798"/>
        <v>é.introdução</v>
      </c>
      <c r="E1913" s="8" t="s">
        <v>28</v>
      </c>
      <c r="F1913" s="42" t="str">
        <f>F1911</f>
        <v>d.taxonomizar</v>
      </c>
      <c r="G1913" s="46" t="s">
        <v>2364</v>
      </c>
      <c r="H1913" s="41" t="s">
        <v>2121</v>
      </c>
      <c r="I1913" s="16" t="str">
        <f t="shared" si="805"/>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775"/>
        <v>Propriedade destinada a taxonomizar: é.introdução</v>
      </c>
      <c r="V1913" s="5" t="str">
        <f t="shared" si="776"/>
        <v>Dado para taxonomizar:  introdução  Deve ser formatado como (rdfs:Literal  or  xsd:string)</v>
      </c>
      <c r="W1913" s="5" t="s">
        <v>6505</v>
      </c>
      <c r="X1913" s="24" t="str">
        <f t="shared" si="777"/>
        <v>taxon.143</v>
      </c>
      <c r="Y1913" s="24" t="str">
        <f t="shared" si="778"/>
        <v>Ação de taxonomizar</v>
      </c>
      <c r="Z1913" s="47" t="s">
        <v>4624</v>
      </c>
      <c r="AA1913" s="25" t="str">
        <f t="shared" si="806"/>
        <v>null</v>
      </c>
      <c r="AB1913" s="26" t="s">
        <v>0</v>
      </c>
      <c r="AC1913" s="25" t="str">
        <f t="shared" si="807"/>
        <v>null</v>
      </c>
      <c r="AD1913" s="26" t="s">
        <v>0</v>
      </c>
      <c r="AE1913" s="25" t="str">
        <f t="shared" si="803"/>
        <v>null</v>
      </c>
      <c r="AF1913" s="26" t="s">
        <v>0</v>
      </c>
      <c r="AG1913" s="47" t="s">
        <v>3320</v>
      </c>
    </row>
    <row r="1914" spans="1:33" ht="6.9" customHeight="1" x14ac:dyDescent="0.4">
      <c r="A1914" s="4">
        <f>ROW()</f>
        <v>1914</v>
      </c>
      <c r="B1914" s="9" t="s">
        <v>27</v>
      </c>
      <c r="C1914" s="55" t="str">
        <f t="shared" si="804"/>
        <v>p.taxonomizar</v>
      </c>
      <c r="D1914" s="6" t="str">
        <f t="shared" si="798"/>
        <v>é.medida.qualificada</v>
      </c>
      <c r="E1914" s="8" t="s">
        <v>28</v>
      </c>
      <c r="F1914" s="42" t="str">
        <f t="shared" ref="F1914:F1935" si="808">F1913</f>
        <v>d.taxonomizar</v>
      </c>
      <c r="G1914" s="18" t="s">
        <v>2348</v>
      </c>
      <c r="H1914" s="41" t="s">
        <v>2121</v>
      </c>
      <c r="I1914" s="16" t="str">
        <f t="shared" si="805"/>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775"/>
        <v>Propriedade destinada a taxonomizar: é.medida.qualificada</v>
      </c>
      <c r="V1914" s="5" t="str">
        <f t="shared" si="776"/>
        <v>Dado para taxonomizar:  medida.qualificada  Deve ser formatado como (rdfs:Literal  or  xsd:string)</v>
      </c>
      <c r="W1914" s="5" t="s">
        <v>6506</v>
      </c>
      <c r="X1914" s="24" t="str">
        <f t="shared" si="777"/>
        <v>taxon.144</v>
      </c>
      <c r="Y1914" s="24" t="str">
        <f t="shared" si="778"/>
        <v>Ação de taxonomizar</v>
      </c>
      <c r="Z1914" s="47" t="s">
        <v>4625</v>
      </c>
      <c r="AA1914" s="25" t="str">
        <f t="shared" si="806"/>
        <v>null</v>
      </c>
      <c r="AB1914" s="26" t="s">
        <v>0</v>
      </c>
      <c r="AC1914" s="25" t="str">
        <f t="shared" si="807"/>
        <v>null</v>
      </c>
      <c r="AD1914" s="26" t="s">
        <v>0</v>
      </c>
      <c r="AE1914" s="25" t="str">
        <f t="shared" si="803"/>
        <v>null</v>
      </c>
      <c r="AF1914" s="26" t="s">
        <v>0</v>
      </c>
      <c r="AG1914" s="47" t="s">
        <v>3321</v>
      </c>
    </row>
    <row r="1915" spans="1:33" ht="6.9" customHeight="1" x14ac:dyDescent="0.4">
      <c r="A1915" s="4">
        <f>ROW()</f>
        <v>1915</v>
      </c>
      <c r="B1915" s="9" t="s">
        <v>27</v>
      </c>
      <c r="C1915" s="55" t="str">
        <f t="shared" si="804"/>
        <v>p.taxonomizar</v>
      </c>
      <c r="D1915" s="6" t="str">
        <f t="shared" si="798"/>
        <v>é.missão.principal</v>
      </c>
      <c r="E1915" s="8" t="s">
        <v>28</v>
      </c>
      <c r="F1915" s="42" t="str">
        <f t="shared" si="808"/>
        <v>d.taxonomizar</v>
      </c>
      <c r="G1915" s="46" t="s">
        <v>2325</v>
      </c>
      <c r="H1915" s="41" t="s">
        <v>2121</v>
      </c>
      <c r="I1915" s="16" t="str">
        <f t="shared" si="805"/>
        <v>null</v>
      </c>
      <c r="J1915" s="13" t="s">
        <v>0</v>
      </c>
      <c r="K1915" s="13" t="s">
        <v>0</v>
      </c>
      <c r="L1915" s="13" t="s">
        <v>0</v>
      </c>
      <c r="M1915" s="13" t="s">
        <v>0</v>
      </c>
      <c r="N1915" s="15" t="s">
        <v>0</v>
      </c>
      <c r="O1915" s="13" t="s">
        <v>0</v>
      </c>
      <c r="P1915" s="13" t="s">
        <v>0</v>
      </c>
      <c r="Q1915" s="13" t="s">
        <v>0</v>
      </c>
      <c r="R1915" s="15" t="s">
        <v>2327</v>
      </c>
      <c r="S1915" s="10" t="s">
        <v>1</v>
      </c>
      <c r="T1915" s="10" t="s">
        <v>32</v>
      </c>
      <c r="U1915" s="5" t="str">
        <f t="shared" si="775"/>
        <v>Propriedade destinada a taxonomizar: é.missão.principal</v>
      </c>
      <c r="V1915" s="5" t="str">
        <f t="shared" si="776"/>
        <v>Dado para taxonomizar:  missão.principal  Deve ser formatado como (rdfs:Literal  or  xsd:string)</v>
      </c>
      <c r="W1915" s="5" t="s">
        <v>6507</v>
      </c>
      <c r="X1915" s="24" t="str">
        <f t="shared" si="777"/>
        <v>taxon.145</v>
      </c>
      <c r="Y1915" s="24" t="str">
        <f t="shared" si="778"/>
        <v>Ação de taxonomizar</v>
      </c>
      <c r="Z1915" s="47" t="s">
        <v>2588</v>
      </c>
      <c r="AA1915" s="25" t="str">
        <f t="shared" si="806"/>
        <v>null</v>
      </c>
      <c r="AB1915" s="26" t="s">
        <v>0</v>
      </c>
      <c r="AC1915" s="25" t="str">
        <f t="shared" si="807"/>
        <v>null</v>
      </c>
      <c r="AD1915" s="26" t="s">
        <v>0</v>
      </c>
      <c r="AE1915" s="25" t="str">
        <f t="shared" si="803"/>
        <v>null</v>
      </c>
      <c r="AF1915" s="26" t="s">
        <v>0</v>
      </c>
      <c r="AG1915" s="47" t="s">
        <v>3322</v>
      </c>
    </row>
    <row r="1916" spans="1:33" ht="6.9" customHeight="1" x14ac:dyDescent="0.4">
      <c r="A1916" s="4">
        <f>ROW()</f>
        <v>1916</v>
      </c>
      <c r="B1916" s="9" t="s">
        <v>27</v>
      </c>
      <c r="C1916" s="55" t="str">
        <f t="shared" si="804"/>
        <v>p.taxonomizar</v>
      </c>
      <c r="D1916" s="6" t="str">
        <f t="shared" si="798"/>
        <v>é.não.prejudicar</v>
      </c>
      <c r="E1916" s="8" t="s">
        <v>28</v>
      </c>
      <c r="F1916" s="42" t="str">
        <f t="shared" si="808"/>
        <v>d.taxonomizar</v>
      </c>
      <c r="G1916" s="18" t="s">
        <v>2353</v>
      </c>
      <c r="H1916" s="41" t="s">
        <v>2121</v>
      </c>
      <c r="I1916" s="16" t="str">
        <f t="shared" si="805"/>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775"/>
        <v>Propriedade destinada a taxonomizar: é.não.prejudicar</v>
      </c>
      <c r="V1916" s="5" t="str">
        <f t="shared" si="776"/>
        <v>Dado para taxonomizar:  não.prejudicar  Deve ser formatado como (rdfs:Literal  or  xsd:string)</v>
      </c>
      <c r="W1916" s="5" t="s">
        <v>6508</v>
      </c>
      <c r="X1916" s="24" t="str">
        <f t="shared" si="777"/>
        <v>taxon.146</v>
      </c>
      <c r="Y1916" s="24" t="str">
        <f t="shared" si="778"/>
        <v>Ação de taxonomizar</v>
      </c>
      <c r="Z1916" s="47" t="s">
        <v>2589</v>
      </c>
      <c r="AA1916" s="25" t="str">
        <f t="shared" si="806"/>
        <v>null</v>
      </c>
      <c r="AB1916" s="26" t="s">
        <v>0</v>
      </c>
      <c r="AC1916" s="25" t="str">
        <f t="shared" si="807"/>
        <v>null</v>
      </c>
      <c r="AD1916" s="26" t="s">
        <v>0</v>
      </c>
      <c r="AE1916" s="25" t="str">
        <f t="shared" si="803"/>
        <v>null</v>
      </c>
      <c r="AF1916" s="26" t="s">
        <v>0</v>
      </c>
      <c r="AG1916" s="47" t="s">
        <v>3323</v>
      </c>
    </row>
    <row r="1917" spans="1:33" ht="6.9" customHeight="1" x14ac:dyDescent="0.4">
      <c r="A1917" s="4">
        <f>ROW()</f>
        <v>1917</v>
      </c>
      <c r="B1917" s="9" t="s">
        <v>27</v>
      </c>
      <c r="C1917" s="55" t="str">
        <f t="shared" si="804"/>
        <v>p.taxonomizar</v>
      </c>
      <c r="D1917" s="6" t="str">
        <f t="shared" si="798"/>
        <v>é.nível.de.atuação</v>
      </c>
      <c r="E1917" s="8" t="s">
        <v>28</v>
      </c>
      <c r="F1917" s="42" t="str">
        <f t="shared" si="808"/>
        <v>d.taxonomizar</v>
      </c>
      <c r="G1917" s="46" t="s">
        <v>2282</v>
      </c>
      <c r="H1917" s="41" t="s">
        <v>2121</v>
      </c>
      <c r="I1917" s="16" t="str">
        <f t="shared" si="805"/>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775"/>
        <v>Propriedade destinada a taxonomizar: é.nível.de.atuação</v>
      </c>
      <c r="V1917" s="5" t="str">
        <f t="shared" si="776"/>
        <v>Dado para taxonomizar:  nível.de.atuação  Deve ser formatado como (rdfs:Literal  or  xsd:string)</v>
      </c>
      <c r="W1917" s="5" t="s">
        <v>6509</v>
      </c>
      <c r="X1917" s="24" t="str">
        <f t="shared" si="777"/>
        <v>taxon.147</v>
      </c>
      <c r="Y1917" s="24" t="str">
        <f t="shared" si="778"/>
        <v>Ação de taxonomizar</v>
      </c>
      <c r="Z1917" s="47" t="s">
        <v>4626</v>
      </c>
      <c r="AA1917" s="25" t="str">
        <f t="shared" si="806"/>
        <v>null</v>
      </c>
      <c r="AB1917" s="26" t="s">
        <v>0</v>
      </c>
      <c r="AC1917" s="25" t="str">
        <f t="shared" si="807"/>
        <v>null</v>
      </c>
      <c r="AD1917" s="26" t="s">
        <v>0</v>
      </c>
      <c r="AE1917" s="25" t="str">
        <f t="shared" si="803"/>
        <v>null</v>
      </c>
      <c r="AF1917" s="26" t="s">
        <v>0</v>
      </c>
      <c r="AG1917" s="47" t="s">
        <v>4750</v>
      </c>
    </row>
    <row r="1918" spans="1:33" ht="6.9" customHeight="1" x14ac:dyDescent="0.4">
      <c r="A1918" s="4">
        <f>ROW()</f>
        <v>1918</v>
      </c>
      <c r="B1918" s="9" t="s">
        <v>27</v>
      </c>
      <c r="C1918" s="55" t="str">
        <f t="shared" si="804"/>
        <v>p.taxonomizar</v>
      </c>
      <c r="D1918" s="6" t="str">
        <f t="shared" si="798"/>
        <v>é.nota</v>
      </c>
      <c r="E1918" s="8" t="s">
        <v>28</v>
      </c>
      <c r="F1918" s="42" t="str">
        <f t="shared" si="808"/>
        <v>d.taxonomizar</v>
      </c>
      <c r="G1918" s="46" t="s">
        <v>2276</v>
      </c>
      <c r="H1918" s="41" t="s">
        <v>2121</v>
      </c>
      <c r="I1918" s="16" t="str">
        <f t="shared" si="805"/>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775"/>
        <v>Propriedade destinada a taxonomizar: é.nota</v>
      </c>
      <c r="V1918" s="5" t="str">
        <f t="shared" si="776"/>
        <v>Dado para taxonomizar:  nota  Deve ser formatado como (rdfs:Literal  or  xsd:string)</v>
      </c>
      <c r="W1918" s="5" t="s">
        <v>6510</v>
      </c>
      <c r="X1918" s="24" t="str">
        <f t="shared" si="777"/>
        <v>taxon.148</v>
      </c>
      <c r="Y1918" s="24" t="str">
        <f t="shared" si="778"/>
        <v>Ação de taxonomizar</v>
      </c>
      <c r="Z1918" s="47" t="s">
        <v>4627</v>
      </c>
      <c r="AA1918" s="25" t="str">
        <f t="shared" si="806"/>
        <v>null</v>
      </c>
      <c r="AB1918" s="26" t="s">
        <v>0</v>
      </c>
      <c r="AC1918" s="25" t="str">
        <f t="shared" si="807"/>
        <v>null</v>
      </c>
      <c r="AD1918" s="26" t="s">
        <v>0</v>
      </c>
      <c r="AE1918" s="25" t="str">
        <f t="shared" si="803"/>
        <v>null</v>
      </c>
      <c r="AF1918" s="26" t="s">
        <v>0</v>
      </c>
      <c r="AG1918" s="47" t="s">
        <v>3324</v>
      </c>
    </row>
    <row r="1919" spans="1:33" ht="6.9" customHeight="1" x14ac:dyDescent="0.4">
      <c r="A1919" s="4">
        <f>ROW()</f>
        <v>1919</v>
      </c>
      <c r="B1919" s="9" t="s">
        <v>27</v>
      </c>
      <c r="C1919" s="55" t="str">
        <f t="shared" si="804"/>
        <v>p.taxonomizar</v>
      </c>
      <c r="D1919" s="6" t="str">
        <f t="shared" si="798"/>
        <v>é.nota.aplicada</v>
      </c>
      <c r="E1919" s="8" t="s">
        <v>28</v>
      </c>
      <c r="F1919" s="42" t="str">
        <f t="shared" si="808"/>
        <v>d.taxonomizar</v>
      </c>
      <c r="G1919" s="46" t="s">
        <v>2277</v>
      </c>
      <c r="H1919" s="41" t="s">
        <v>2121</v>
      </c>
      <c r="I1919" s="16" t="str">
        <f t="shared" si="805"/>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775"/>
        <v>Propriedade destinada a taxonomizar: é.nota.aplicada</v>
      </c>
      <c r="V1919" s="5" t="str">
        <f t="shared" si="776"/>
        <v>Dado para taxonomizar:  nota.aplicada  Deve ser formatado como (rdfs:Literal  or  xsd:string)</v>
      </c>
      <c r="W1919" s="5" t="s">
        <v>6511</v>
      </c>
      <c r="X1919" s="24" t="str">
        <f t="shared" si="777"/>
        <v>taxon.149</v>
      </c>
      <c r="Y1919" s="24" t="str">
        <f t="shared" si="778"/>
        <v>Ação de taxonomizar</v>
      </c>
      <c r="Z1919" s="47" t="s">
        <v>2590</v>
      </c>
      <c r="AA1919" s="25" t="str">
        <f t="shared" si="806"/>
        <v>null</v>
      </c>
      <c r="AB1919" s="26" t="s">
        <v>0</v>
      </c>
      <c r="AC1919" s="25" t="str">
        <f t="shared" si="807"/>
        <v>null</v>
      </c>
      <c r="AD1919" s="26" t="s">
        <v>0</v>
      </c>
      <c r="AE1919" s="25" t="str">
        <f t="shared" si="803"/>
        <v>null</v>
      </c>
      <c r="AF1919" s="26" t="s">
        <v>0</v>
      </c>
      <c r="AG1919" s="47" t="s">
        <v>3325</v>
      </c>
    </row>
    <row r="1920" spans="1:33" ht="6.9" customHeight="1" x14ac:dyDescent="0.4">
      <c r="A1920" s="4">
        <f>ROW()</f>
        <v>1920</v>
      </c>
      <c r="B1920" s="9" t="s">
        <v>27</v>
      </c>
      <c r="C1920" s="55" t="str">
        <f t="shared" si="804"/>
        <v>p.taxonomizar</v>
      </c>
      <c r="D1920" s="6" t="str">
        <f t="shared" si="798"/>
        <v>é.orientação.de.preenchimento</v>
      </c>
      <c r="E1920" s="8" t="s">
        <v>28</v>
      </c>
      <c r="F1920" s="42" t="str">
        <f t="shared" si="808"/>
        <v>d.taxonomizar</v>
      </c>
      <c r="G1920" s="46" t="s">
        <v>2283</v>
      </c>
      <c r="H1920" s="41" t="s">
        <v>2121</v>
      </c>
      <c r="I1920" s="16" t="str">
        <f t="shared" si="805"/>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775"/>
        <v>Propriedade destinada a taxonomizar: é.orientação.de.preenchimento</v>
      </c>
      <c r="V1920" s="5" t="str">
        <f t="shared" si="776"/>
        <v>Dado para taxonomizar:  orientação.de.preenchimento  Deve ser formatado como (rdfs:Literal  or  xsd:string)</v>
      </c>
      <c r="W1920" s="5" t="s">
        <v>6512</v>
      </c>
      <c r="X1920" s="24" t="str">
        <f t="shared" si="777"/>
        <v>taxon.150</v>
      </c>
      <c r="Y1920" s="24" t="str">
        <f t="shared" si="778"/>
        <v>Ação de taxonomizar</v>
      </c>
      <c r="Z1920" s="47" t="s">
        <v>2591</v>
      </c>
      <c r="AA1920" s="25" t="str">
        <f t="shared" si="806"/>
        <v>null</v>
      </c>
      <c r="AB1920" s="26" t="s">
        <v>0</v>
      </c>
      <c r="AC1920" s="25" t="str">
        <f t="shared" si="807"/>
        <v>null</v>
      </c>
      <c r="AD1920" s="26" t="s">
        <v>0</v>
      </c>
      <c r="AE1920" s="25" t="str">
        <f t="shared" si="803"/>
        <v>null</v>
      </c>
      <c r="AF1920" s="26" t="s">
        <v>0</v>
      </c>
      <c r="AG1920" s="47" t="s">
        <v>4751</v>
      </c>
    </row>
    <row r="1921" spans="1:33" ht="6.9" customHeight="1" x14ac:dyDescent="0.4">
      <c r="A1921" s="4">
        <f>ROW()</f>
        <v>1921</v>
      </c>
      <c r="B1921" s="9" t="s">
        <v>27</v>
      </c>
      <c r="C1921" s="55" t="str">
        <f t="shared" si="804"/>
        <v>p.taxonomizar</v>
      </c>
      <c r="D1921" s="6" t="str">
        <f t="shared" si="798"/>
        <v>é.para.certificar</v>
      </c>
      <c r="E1921" s="8" t="s">
        <v>28</v>
      </c>
      <c r="F1921" s="42" t="str">
        <f t="shared" si="808"/>
        <v>d.taxonomizar</v>
      </c>
      <c r="G1921" s="46" t="s">
        <v>2278</v>
      </c>
      <c r="H1921" s="41" t="s">
        <v>2121</v>
      </c>
      <c r="I1921" s="16" t="str">
        <f t="shared" si="805"/>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775"/>
        <v>Propriedade destinada a taxonomizar: é.para.certificar</v>
      </c>
      <c r="V1921" s="5" t="str">
        <f t="shared" si="776"/>
        <v>Dado para taxonomizar:  para.certificar  Deve ser formatado como (rdfs:Literal  or  xsd:string)</v>
      </c>
      <c r="W1921" s="5" t="s">
        <v>6513</v>
      </c>
      <c r="X1921" s="24" t="str">
        <f t="shared" si="777"/>
        <v>taxon.151</v>
      </c>
      <c r="Y1921" s="24" t="str">
        <f t="shared" si="778"/>
        <v>Ação de taxonomizar</v>
      </c>
      <c r="Z1921" s="47" t="s">
        <v>2592</v>
      </c>
      <c r="AA1921" s="25" t="str">
        <f t="shared" si="806"/>
        <v>null</v>
      </c>
      <c r="AB1921" s="26" t="s">
        <v>0</v>
      </c>
      <c r="AC1921" s="25" t="str">
        <f t="shared" si="807"/>
        <v>null</v>
      </c>
      <c r="AD1921" s="26" t="s">
        <v>0</v>
      </c>
      <c r="AE1921" s="25" t="str">
        <f t="shared" si="803"/>
        <v>null</v>
      </c>
      <c r="AF1921" s="26" t="s">
        <v>0</v>
      </c>
      <c r="AG1921" s="47" t="s">
        <v>3326</v>
      </c>
    </row>
    <row r="1922" spans="1:33" ht="6.9" customHeight="1" x14ac:dyDescent="0.4">
      <c r="A1922" s="4">
        <f>ROW()</f>
        <v>1922</v>
      </c>
      <c r="B1922" s="9" t="s">
        <v>27</v>
      </c>
      <c r="C1922" s="55" t="str">
        <f t="shared" si="804"/>
        <v>p.taxonomizar</v>
      </c>
      <c r="D1922" s="6" t="str">
        <f t="shared" si="798"/>
        <v>é.para.qualificar</v>
      </c>
      <c r="E1922" s="8" t="s">
        <v>28</v>
      </c>
      <c r="F1922" s="42" t="str">
        <f t="shared" si="808"/>
        <v>d.taxonomizar</v>
      </c>
      <c r="G1922" s="18" t="s">
        <v>2350</v>
      </c>
      <c r="H1922" s="41" t="s">
        <v>2121</v>
      </c>
      <c r="I1922" s="16" t="str">
        <f t="shared" si="805"/>
        <v>null</v>
      </c>
      <c r="J1922" s="13" t="s">
        <v>0</v>
      </c>
      <c r="K1922" s="13" t="s">
        <v>0</v>
      </c>
      <c r="L1922" s="13" t="s">
        <v>0</v>
      </c>
      <c r="M1922" s="13" t="s">
        <v>0</v>
      </c>
      <c r="N1922" s="15" t="s">
        <v>0</v>
      </c>
      <c r="O1922" s="13" t="s">
        <v>0</v>
      </c>
      <c r="P1922" s="13" t="s">
        <v>0</v>
      </c>
      <c r="Q1922" s="13" t="s">
        <v>2352</v>
      </c>
      <c r="R1922" s="15" t="s">
        <v>0</v>
      </c>
      <c r="S1922" s="10" t="s">
        <v>1</v>
      </c>
      <c r="T1922" s="10" t="s">
        <v>32</v>
      </c>
      <c r="U1922" s="5" t="str">
        <f t="shared" ref="U1922:U1985" si="809">_xlfn.CONCAT("Propriedade destinada a ",MID(C1922,FIND("p.",C1922,1)+2,100),": ",D1922)</f>
        <v>Propriedade destinada a taxonomizar: é.para.qualificar</v>
      </c>
      <c r="V1922" s="5" t="str">
        <f t="shared" ref="V1922:V1985" si="810">_xlfn.CONCAT("Dado para ",MID(F1922,FIND("d.",F1922,1)+2,100),":  ",G1922, "  Deve ser formatado como (",H1922, ")")</f>
        <v>Dado para taxonomizar:  para.qualificar  Deve ser formatado como (rdfs:Literal  or  xsd:string)</v>
      </c>
      <c r="W1922" s="5" t="s">
        <v>6514</v>
      </c>
      <c r="X1922" s="24" t="str">
        <f t="shared" si="777"/>
        <v>taxon.152</v>
      </c>
      <c r="Y1922" s="24" t="str">
        <f t="shared" si="778"/>
        <v>Ação de taxonomizar</v>
      </c>
      <c r="Z1922" s="47" t="s">
        <v>2593</v>
      </c>
      <c r="AA1922" s="25" t="str">
        <f t="shared" si="806"/>
        <v>null</v>
      </c>
      <c r="AB1922" s="26" t="s">
        <v>0</v>
      </c>
      <c r="AC1922" s="25" t="str">
        <f t="shared" si="807"/>
        <v>null</v>
      </c>
      <c r="AD1922" s="26" t="s">
        <v>0</v>
      </c>
      <c r="AE1922" s="25" t="str">
        <f t="shared" si="803"/>
        <v>null</v>
      </c>
      <c r="AF1922" s="26" t="s">
        <v>0</v>
      </c>
      <c r="AG1922" s="47" t="s">
        <v>3327</v>
      </c>
    </row>
    <row r="1923" spans="1:33" ht="6.9" customHeight="1" x14ac:dyDescent="0.4">
      <c r="A1923" s="4">
        <f>ROW()</f>
        <v>1923</v>
      </c>
      <c r="B1923" s="9" t="s">
        <v>27</v>
      </c>
      <c r="C1923" s="55" t="str">
        <f t="shared" si="804"/>
        <v>p.taxonomizar</v>
      </c>
      <c r="D1923" s="6" t="str">
        <f t="shared" si="798"/>
        <v>é.paradigma</v>
      </c>
      <c r="E1923" s="8" t="s">
        <v>28</v>
      </c>
      <c r="F1923" s="42" t="str">
        <f t="shared" si="808"/>
        <v>d.taxonomizar</v>
      </c>
      <c r="G1923" s="46" t="s">
        <v>2295</v>
      </c>
      <c r="H1923" s="41" t="s">
        <v>2121</v>
      </c>
      <c r="I1923" s="16" t="str">
        <f t="shared" si="805"/>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09"/>
        <v>Propriedade destinada a taxonomizar: é.paradigma</v>
      </c>
      <c r="V1923" s="5" t="str">
        <f t="shared" si="810"/>
        <v>Dado para taxonomizar:  paradigma  Deve ser formatado como (rdfs:Literal  or  xsd:string)</v>
      </c>
      <c r="W1923" s="5" t="s">
        <v>6515</v>
      </c>
      <c r="X1923" s="24" t="str">
        <f t="shared" ref="X1923:X1986" si="811">IF(F1922&lt;&gt;F1923,_xlfn.CONCAT(RIGHT(LEFT(F1923,7),5),".100"),_xlfn.CONCAT(RIGHT(LEFT(F1923,7),5),".",SUM(VALUE(RIGHT(X1922,3)),1)))</f>
        <v>taxon.153</v>
      </c>
      <c r="Y1923" s="24" t="str">
        <f t="shared" ref="Y1923:Y1986" si="812">_xlfn.CONCAT("Ação de ", SUBSTITUTE(F1923, "d.",  ""))</f>
        <v>Ação de taxonomizar</v>
      </c>
      <c r="Z1923" s="47" t="s">
        <v>2594</v>
      </c>
      <c r="AA1923" s="25" t="str">
        <f t="shared" si="806"/>
        <v>null</v>
      </c>
      <c r="AB1923" s="26" t="s">
        <v>0</v>
      </c>
      <c r="AC1923" s="25" t="str">
        <f t="shared" si="807"/>
        <v>null</v>
      </c>
      <c r="AD1923" s="26" t="s">
        <v>0</v>
      </c>
      <c r="AE1923" s="25" t="str">
        <f t="shared" si="803"/>
        <v>null</v>
      </c>
      <c r="AF1923" s="26" t="s">
        <v>0</v>
      </c>
      <c r="AG1923" s="47" t="s">
        <v>3328</v>
      </c>
    </row>
    <row r="1924" spans="1:33" ht="6.9" customHeight="1" x14ac:dyDescent="0.4">
      <c r="A1924" s="4">
        <f>ROW()</f>
        <v>1924</v>
      </c>
      <c r="B1924" s="9" t="s">
        <v>27</v>
      </c>
      <c r="C1924" s="55" t="str">
        <f t="shared" si="804"/>
        <v>p.taxonomizar</v>
      </c>
      <c r="D1924" s="6" t="str">
        <f t="shared" si="798"/>
        <v>é.percentual.do.pbi</v>
      </c>
      <c r="E1924" s="8" t="s">
        <v>28</v>
      </c>
      <c r="F1924" s="42" t="str">
        <f t="shared" si="808"/>
        <v>d.taxonomizar</v>
      </c>
      <c r="G1924" s="46" t="s">
        <v>2302</v>
      </c>
      <c r="H1924" s="41" t="s">
        <v>2121</v>
      </c>
      <c r="I1924" s="16" t="str">
        <f t="shared" si="805"/>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09"/>
        <v>Propriedade destinada a taxonomizar: é.percentual.do.pbi</v>
      </c>
      <c r="V1924" s="5" t="str">
        <f t="shared" si="810"/>
        <v>Dado para taxonomizar:  percentual.do.pbi  Deve ser formatado como (rdfs:Literal  or  xsd:string)</v>
      </c>
      <c r="W1924" s="5" t="s">
        <v>6500</v>
      </c>
      <c r="X1924" s="24" t="str">
        <f t="shared" si="811"/>
        <v>taxon.154</v>
      </c>
      <c r="Y1924" s="24" t="str">
        <f t="shared" si="812"/>
        <v>Ação de taxonomizar</v>
      </c>
      <c r="Z1924" s="47" t="s">
        <v>2586</v>
      </c>
      <c r="AA1924" s="25" t="str">
        <f t="shared" si="806"/>
        <v>null</v>
      </c>
      <c r="AB1924" s="26" t="s">
        <v>0</v>
      </c>
      <c r="AC1924" s="25" t="str">
        <f t="shared" si="807"/>
        <v>null</v>
      </c>
      <c r="AD1924" s="26" t="s">
        <v>0</v>
      </c>
      <c r="AE1924" s="25" t="str">
        <f t="shared" si="803"/>
        <v>null</v>
      </c>
      <c r="AF1924" s="26" t="s">
        <v>0</v>
      </c>
      <c r="AG1924" s="47" t="s">
        <v>3317</v>
      </c>
    </row>
    <row r="1925" spans="1:33" ht="6.9" customHeight="1" x14ac:dyDescent="0.4">
      <c r="A1925" s="4">
        <f>ROW()</f>
        <v>1925</v>
      </c>
      <c r="B1925" s="9" t="s">
        <v>27</v>
      </c>
      <c r="C1925" s="55" t="str">
        <f t="shared" si="804"/>
        <v>p.taxonomizar</v>
      </c>
      <c r="D1925" s="6" t="str">
        <f t="shared" si="798"/>
        <v>é.princípio</v>
      </c>
      <c r="E1925" s="8" t="s">
        <v>28</v>
      </c>
      <c r="F1925" s="42" t="str">
        <f t="shared" si="808"/>
        <v>d.taxonomizar</v>
      </c>
      <c r="G1925" s="46" t="s">
        <v>2287</v>
      </c>
      <c r="H1925" s="41" t="s">
        <v>2121</v>
      </c>
      <c r="I1925" s="16" t="str">
        <f t="shared" si="805"/>
        <v>null</v>
      </c>
      <c r="J1925" s="13" t="s">
        <v>0</v>
      </c>
      <c r="K1925" s="13" t="s">
        <v>0</v>
      </c>
      <c r="L1925" s="13" t="s">
        <v>0</v>
      </c>
      <c r="M1925" s="13" t="s">
        <v>0</v>
      </c>
      <c r="N1925" s="15" t="s">
        <v>0</v>
      </c>
      <c r="O1925" s="13" t="s">
        <v>0</v>
      </c>
      <c r="P1925" s="13" t="s">
        <v>0</v>
      </c>
      <c r="Q1925" s="13" t="s">
        <v>0</v>
      </c>
      <c r="R1925" s="15" t="s">
        <v>2326</v>
      </c>
      <c r="S1925" s="10" t="s">
        <v>1</v>
      </c>
      <c r="T1925" s="10" t="s">
        <v>32</v>
      </c>
      <c r="U1925" s="5" t="str">
        <f t="shared" si="809"/>
        <v>Propriedade destinada a taxonomizar: é.princípio</v>
      </c>
      <c r="V1925" s="5" t="str">
        <f t="shared" si="810"/>
        <v>Dado para taxonomizar:  princípio  Deve ser formatado como (rdfs:Literal  or  xsd:string)</v>
      </c>
      <c r="W1925" s="5" t="s">
        <v>6516</v>
      </c>
      <c r="X1925" s="24" t="str">
        <f t="shared" si="811"/>
        <v>taxon.155</v>
      </c>
      <c r="Y1925" s="24" t="str">
        <f t="shared" si="812"/>
        <v>Ação de taxonomizar</v>
      </c>
      <c r="Z1925" s="47" t="s">
        <v>4586</v>
      </c>
      <c r="AA1925" s="25" t="str">
        <f t="shared" si="806"/>
        <v>null</v>
      </c>
      <c r="AB1925" s="26" t="s">
        <v>0</v>
      </c>
      <c r="AC1925" s="25" t="str">
        <f t="shared" si="807"/>
        <v>null</v>
      </c>
      <c r="AD1925" s="26" t="s">
        <v>0</v>
      </c>
      <c r="AE1925" s="25" t="str">
        <f t="shared" si="803"/>
        <v>null</v>
      </c>
      <c r="AF1925" s="26" t="s">
        <v>0</v>
      </c>
      <c r="AG1925" s="47" t="s">
        <v>4820</v>
      </c>
    </row>
    <row r="1926" spans="1:33" ht="6.9" customHeight="1" x14ac:dyDescent="0.4">
      <c r="A1926" s="4">
        <f>ROW()</f>
        <v>1926</v>
      </c>
      <c r="B1926" s="9" t="s">
        <v>27</v>
      </c>
      <c r="C1926" s="55" t="str">
        <f t="shared" si="804"/>
        <v>p.taxonomizar</v>
      </c>
      <c r="D1926" s="6" t="str">
        <f t="shared" si="798"/>
        <v>é.qualificada.com</v>
      </c>
      <c r="E1926" s="8" t="s">
        <v>28</v>
      </c>
      <c r="F1926" s="42" t="str">
        <f t="shared" si="808"/>
        <v>d.taxonomizar</v>
      </c>
      <c r="G1926" s="46" t="s">
        <v>2351</v>
      </c>
      <c r="H1926" s="41" t="s">
        <v>2121</v>
      </c>
      <c r="I1926" s="16" t="str">
        <f t="shared" si="805"/>
        <v>null</v>
      </c>
      <c r="J1926" s="13" t="s">
        <v>0</v>
      </c>
      <c r="K1926" s="13" t="s">
        <v>0</v>
      </c>
      <c r="L1926" s="13" t="s">
        <v>0</v>
      </c>
      <c r="M1926" s="13" t="s">
        <v>0</v>
      </c>
      <c r="N1926" s="15" t="s">
        <v>0</v>
      </c>
      <c r="O1926" s="13" t="s">
        <v>0</v>
      </c>
      <c r="P1926" s="13" t="s">
        <v>0</v>
      </c>
      <c r="Q1926" s="13" t="s">
        <v>2360</v>
      </c>
      <c r="R1926" s="15" t="s">
        <v>0</v>
      </c>
      <c r="S1926" s="10" t="s">
        <v>1</v>
      </c>
      <c r="T1926" s="10" t="s">
        <v>32</v>
      </c>
      <c r="U1926" s="5" t="str">
        <f t="shared" si="809"/>
        <v>Propriedade destinada a taxonomizar: é.qualificada.com</v>
      </c>
      <c r="V1926" s="5" t="str">
        <f t="shared" si="810"/>
        <v>Dado para taxonomizar:  qualificada.com  Deve ser formatado como (rdfs:Literal  or  xsd:string)</v>
      </c>
      <c r="W1926" s="5" t="s">
        <v>6517</v>
      </c>
      <c r="X1926" s="24" t="str">
        <f t="shared" si="811"/>
        <v>taxon.156</v>
      </c>
      <c r="Y1926" s="24" t="str">
        <f t="shared" si="812"/>
        <v>Ação de taxonomizar</v>
      </c>
      <c r="Z1926" s="47" t="s">
        <v>4628</v>
      </c>
      <c r="AA1926" s="25" t="str">
        <f t="shared" si="806"/>
        <v>null</v>
      </c>
      <c r="AB1926" s="26" t="s">
        <v>0</v>
      </c>
      <c r="AC1926" s="25" t="str">
        <f t="shared" si="807"/>
        <v>null</v>
      </c>
      <c r="AD1926" s="26" t="s">
        <v>0</v>
      </c>
      <c r="AE1926" s="25" t="str">
        <f t="shared" si="803"/>
        <v>null</v>
      </c>
      <c r="AF1926" s="26" t="s">
        <v>0</v>
      </c>
      <c r="AG1926" s="47" t="s">
        <v>3329</v>
      </c>
    </row>
    <row r="1927" spans="1:33" ht="6.9" customHeight="1" x14ac:dyDescent="0.4">
      <c r="A1927" s="4">
        <f>ROW()</f>
        <v>1927</v>
      </c>
      <c r="B1927" s="9" t="s">
        <v>27</v>
      </c>
      <c r="C1927" s="55" t="str">
        <f t="shared" si="804"/>
        <v>p.taxonomizar</v>
      </c>
      <c r="D1927" s="6" t="str">
        <f t="shared" si="798"/>
        <v>é.qualificadora.de</v>
      </c>
      <c r="E1927" s="8" t="s">
        <v>28</v>
      </c>
      <c r="F1927" s="42" t="str">
        <f t="shared" si="808"/>
        <v>d.taxonomizar</v>
      </c>
      <c r="G1927" s="46" t="s">
        <v>2359</v>
      </c>
      <c r="H1927" s="41" t="s">
        <v>2121</v>
      </c>
      <c r="I1927" s="16" t="str">
        <f t="shared" si="805"/>
        <v>null</v>
      </c>
      <c r="J1927" s="13" t="s">
        <v>0</v>
      </c>
      <c r="K1927" s="13" t="s">
        <v>0</v>
      </c>
      <c r="L1927" s="13" t="s">
        <v>0</v>
      </c>
      <c r="M1927" s="13" t="s">
        <v>0</v>
      </c>
      <c r="N1927" s="15" t="s">
        <v>0</v>
      </c>
      <c r="O1927" s="13" t="s">
        <v>0</v>
      </c>
      <c r="P1927" s="13" t="s">
        <v>0</v>
      </c>
      <c r="Q1927" s="13" t="s">
        <v>2352</v>
      </c>
      <c r="R1927" s="15" t="s">
        <v>0</v>
      </c>
      <c r="S1927" s="10" t="s">
        <v>1</v>
      </c>
      <c r="T1927" s="10" t="s">
        <v>32</v>
      </c>
      <c r="U1927" s="5" t="str">
        <f t="shared" si="809"/>
        <v>Propriedade destinada a taxonomizar: é.qualificadora.de</v>
      </c>
      <c r="V1927" s="5" t="str">
        <f t="shared" si="810"/>
        <v>Dado para taxonomizar:  qualificadora.de  Deve ser formatado como (rdfs:Literal  or  xsd:string)</v>
      </c>
      <c r="W1927" s="5" t="s">
        <v>6518</v>
      </c>
      <c r="X1927" s="24" t="str">
        <f t="shared" si="811"/>
        <v>taxon.157</v>
      </c>
      <c r="Y1927" s="24" t="str">
        <f t="shared" si="812"/>
        <v>Ação de taxonomizar</v>
      </c>
      <c r="Z1927" s="47" t="s">
        <v>4629</v>
      </c>
      <c r="AA1927" s="25" t="str">
        <f t="shared" si="806"/>
        <v>null</v>
      </c>
      <c r="AB1927" s="26" t="s">
        <v>0</v>
      </c>
      <c r="AC1927" s="25" t="str">
        <f t="shared" si="807"/>
        <v>null</v>
      </c>
      <c r="AD1927" s="26" t="s">
        <v>0</v>
      </c>
      <c r="AE1927" s="25" t="str">
        <f t="shared" si="803"/>
        <v>null</v>
      </c>
      <c r="AF1927" s="26" t="s">
        <v>0</v>
      </c>
      <c r="AG1927" s="47" t="s">
        <v>3330</v>
      </c>
    </row>
    <row r="1928" spans="1:33" ht="6.9" customHeight="1" x14ac:dyDescent="0.4">
      <c r="A1928" s="4">
        <f>ROW()</f>
        <v>1928</v>
      </c>
      <c r="B1928" s="9" t="s">
        <v>27</v>
      </c>
      <c r="C1928" s="55" t="str">
        <f t="shared" si="804"/>
        <v>p.taxonomizar</v>
      </c>
      <c r="D1928" s="6" t="str">
        <f t="shared" si="798"/>
        <v>é.receita.alinhada</v>
      </c>
      <c r="E1928" s="8" t="s">
        <v>28</v>
      </c>
      <c r="F1928" s="42" t="str">
        <f t="shared" si="808"/>
        <v>d.taxonomizar</v>
      </c>
      <c r="G1928" s="18" t="s">
        <v>2341</v>
      </c>
      <c r="H1928" s="42" t="s">
        <v>36</v>
      </c>
      <c r="I1928" s="16" t="str">
        <f t="shared" si="805"/>
        <v>null</v>
      </c>
      <c r="J1928" s="13" t="s">
        <v>0</v>
      </c>
      <c r="K1928" s="13" t="s">
        <v>0</v>
      </c>
      <c r="L1928" s="13" t="s">
        <v>0</v>
      </c>
      <c r="M1928" s="13" t="s">
        <v>0</v>
      </c>
      <c r="N1928" s="15" t="s">
        <v>0</v>
      </c>
      <c r="O1928" s="13" t="s">
        <v>0</v>
      </c>
      <c r="P1928" s="13" t="s">
        <v>0</v>
      </c>
      <c r="Q1928" s="13" t="s">
        <v>2344</v>
      </c>
      <c r="R1928" s="15" t="s">
        <v>0</v>
      </c>
      <c r="S1928" s="10" t="s">
        <v>1</v>
      </c>
      <c r="T1928" s="10" t="s">
        <v>32</v>
      </c>
      <c r="U1928" s="5" t="str">
        <f t="shared" si="809"/>
        <v>Propriedade destinada a taxonomizar: é.receita.alinhada</v>
      </c>
      <c r="V1928" s="5" t="str">
        <f t="shared" si="810"/>
        <v>Dado para taxonomizar:  receita.alinhada  Deve ser formatado como (xsd:double)</v>
      </c>
      <c r="W1928" s="5" t="s">
        <v>6519</v>
      </c>
      <c r="X1928" s="24" t="str">
        <f t="shared" si="811"/>
        <v>taxon.158</v>
      </c>
      <c r="Y1928" s="24" t="str">
        <f t="shared" si="812"/>
        <v>Ação de taxonomizar</v>
      </c>
      <c r="Z1928" s="47" t="s">
        <v>4630</v>
      </c>
      <c r="AA1928" s="25" t="str">
        <f t="shared" si="806"/>
        <v>null</v>
      </c>
      <c r="AB1928" s="26" t="s">
        <v>0</v>
      </c>
      <c r="AC1928" s="25" t="str">
        <f t="shared" si="807"/>
        <v>null</v>
      </c>
      <c r="AD1928" s="26" t="s">
        <v>0</v>
      </c>
      <c r="AE1928" s="25" t="str">
        <f t="shared" si="803"/>
        <v>null</v>
      </c>
      <c r="AF1928" s="26" t="s">
        <v>0</v>
      </c>
      <c r="AG1928" s="47" t="s">
        <v>3331</v>
      </c>
    </row>
    <row r="1929" spans="1:33" ht="6.9" customHeight="1" x14ac:dyDescent="0.4">
      <c r="A1929" s="4">
        <f>ROW()</f>
        <v>1929</v>
      </c>
      <c r="B1929" s="9" t="s">
        <v>27</v>
      </c>
      <c r="C1929" s="55" t="str">
        <f t="shared" si="804"/>
        <v>p.taxonomizar</v>
      </c>
      <c r="D1929" s="6" t="str">
        <f t="shared" si="798"/>
        <v>é.receita.anual.gerada</v>
      </c>
      <c r="E1929" s="8" t="s">
        <v>28</v>
      </c>
      <c r="F1929" s="42" t="str">
        <f t="shared" si="808"/>
        <v>d.taxonomizar</v>
      </c>
      <c r="G1929" s="46" t="s">
        <v>2300</v>
      </c>
      <c r="H1929" s="42" t="s">
        <v>36</v>
      </c>
      <c r="I1929" s="16" t="str">
        <f t="shared" si="805"/>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09"/>
        <v>Propriedade destinada a taxonomizar: é.receita.anual.gerada</v>
      </c>
      <c r="V1929" s="5" t="str">
        <f t="shared" si="810"/>
        <v>Dado para taxonomizar:  receita.anual.gerada  Deve ser formatado como (xsd:double)</v>
      </c>
      <c r="W1929" s="5" t="s">
        <v>6471</v>
      </c>
      <c r="X1929" s="24" t="str">
        <f t="shared" si="811"/>
        <v>taxon.159</v>
      </c>
      <c r="Y1929" s="24" t="str">
        <f t="shared" si="812"/>
        <v>Ação de taxonomizar</v>
      </c>
      <c r="Z1929" s="47" t="s">
        <v>2562</v>
      </c>
      <c r="AA1929" s="25" t="str">
        <f t="shared" si="806"/>
        <v>null</v>
      </c>
      <c r="AB1929" s="26" t="s">
        <v>0</v>
      </c>
      <c r="AC1929" s="25" t="str">
        <f t="shared" si="807"/>
        <v>null</v>
      </c>
      <c r="AD1929" s="26" t="s">
        <v>0</v>
      </c>
      <c r="AE1929" s="25" t="str">
        <f t="shared" si="803"/>
        <v>null</v>
      </c>
      <c r="AF1929" s="26" t="s">
        <v>0</v>
      </c>
      <c r="AG1929" s="47" t="s">
        <v>4748</v>
      </c>
    </row>
    <row r="1930" spans="1:33" ht="6.9" customHeight="1" x14ac:dyDescent="0.4">
      <c r="A1930" s="4">
        <f>ROW()</f>
        <v>1930</v>
      </c>
      <c r="B1930" s="9" t="s">
        <v>27</v>
      </c>
      <c r="C1930" s="55" t="str">
        <f t="shared" si="804"/>
        <v>p.taxonomizar</v>
      </c>
      <c r="D1930" s="6" t="str">
        <f t="shared" si="798"/>
        <v>é.receita.percentual</v>
      </c>
      <c r="E1930" s="8" t="s">
        <v>28</v>
      </c>
      <c r="F1930" s="42" t="str">
        <f t="shared" si="808"/>
        <v>d.taxonomizar</v>
      </c>
      <c r="G1930" s="18" t="s">
        <v>2334</v>
      </c>
      <c r="H1930" s="42" t="s">
        <v>36</v>
      </c>
      <c r="I1930" s="16" t="str">
        <f t="shared" si="805"/>
        <v>null</v>
      </c>
      <c r="J1930" s="13" t="s">
        <v>0</v>
      </c>
      <c r="K1930" s="13" t="s">
        <v>0</v>
      </c>
      <c r="L1930" s="13" t="s">
        <v>0</v>
      </c>
      <c r="M1930" s="13" t="s">
        <v>0</v>
      </c>
      <c r="N1930" s="15" t="s">
        <v>0</v>
      </c>
      <c r="O1930" s="13" t="s">
        <v>0</v>
      </c>
      <c r="P1930" s="13" t="s">
        <v>0</v>
      </c>
      <c r="Q1930" s="13" t="s">
        <v>2336</v>
      </c>
      <c r="R1930" s="15" t="s">
        <v>0</v>
      </c>
      <c r="S1930" s="10" t="s">
        <v>1</v>
      </c>
      <c r="T1930" s="10" t="s">
        <v>32</v>
      </c>
      <c r="U1930" s="5" t="str">
        <f t="shared" si="809"/>
        <v>Propriedade destinada a taxonomizar: é.receita.percentual</v>
      </c>
      <c r="V1930" s="5" t="str">
        <f t="shared" si="810"/>
        <v>Dado para taxonomizar:  receita.percentual  Deve ser formatado como (xsd:double)</v>
      </c>
      <c r="W1930" s="5" t="s">
        <v>6520</v>
      </c>
      <c r="X1930" s="24" t="str">
        <f t="shared" si="811"/>
        <v>taxon.160</v>
      </c>
      <c r="Y1930" s="24" t="str">
        <f t="shared" si="812"/>
        <v>Ação de taxonomizar</v>
      </c>
      <c r="Z1930" s="47" t="s">
        <v>2595</v>
      </c>
      <c r="AA1930" s="25" t="str">
        <f t="shared" si="806"/>
        <v>null</v>
      </c>
      <c r="AB1930" s="26" t="s">
        <v>0</v>
      </c>
      <c r="AC1930" s="25" t="str">
        <f t="shared" si="807"/>
        <v>null</v>
      </c>
      <c r="AD1930" s="26" t="s">
        <v>0</v>
      </c>
      <c r="AE1930" s="25" t="str">
        <f t="shared" si="803"/>
        <v>null</v>
      </c>
      <c r="AF1930" s="26" t="s">
        <v>0</v>
      </c>
      <c r="AG1930" s="47" t="s">
        <v>3332</v>
      </c>
    </row>
    <row r="1931" spans="1:33" ht="6.9" customHeight="1" x14ac:dyDescent="0.4">
      <c r="A1931" s="4">
        <f>ROW()</f>
        <v>1931</v>
      </c>
      <c r="B1931" s="9" t="s">
        <v>27</v>
      </c>
      <c r="C1931" s="55" t="str">
        <f t="shared" si="804"/>
        <v>p.taxonomizar</v>
      </c>
      <c r="D1931" s="6" t="str">
        <f t="shared" si="798"/>
        <v>é.receita.semi.alinhada</v>
      </c>
      <c r="E1931" s="8" t="s">
        <v>28</v>
      </c>
      <c r="F1931" s="42" t="str">
        <f t="shared" si="808"/>
        <v>d.taxonomizar</v>
      </c>
      <c r="G1931" s="18" t="s">
        <v>2342</v>
      </c>
      <c r="H1931" s="42" t="s">
        <v>36</v>
      </c>
      <c r="I1931" s="16" t="str">
        <f t="shared" si="805"/>
        <v>null</v>
      </c>
      <c r="J1931" s="13" t="s">
        <v>0</v>
      </c>
      <c r="K1931" s="13" t="s">
        <v>0</v>
      </c>
      <c r="L1931" s="13" t="s">
        <v>0</v>
      </c>
      <c r="M1931" s="13" t="s">
        <v>0</v>
      </c>
      <c r="N1931" s="15" t="s">
        <v>0</v>
      </c>
      <c r="O1931" s="13" t="s">
        <v>0</v>
      </c>
      <c r="P1931" s="13" t="s">
        <v>0</v>
      </c>
      <c r="Q1931" s="13" t="s">
        <v>2343</v>
      </c>
      <c r="R1931" s="15" t="s">
        <v>0</v>
      </c>
      <c r="S1931" s="10" t="s">
        <v>1</v>
      </c>
      <c r="T1931" s="10" t="s">
        <v>32</v>
      </c>
      <c r="U1931" s="5" t="str">
        <f t="shared" si="809"/>
        <v>Propriedade destinada a taxonomizar: é.receita.semi.alinhada</v>
      </c>
      <c r="V1931" s="5" t="str">
        <f t="shared" si="810"/>
        <v>Dado para taxonomizar:  receita.semi.alinhada  Deve ser formatado como (xsd:double)</v>
      </c>
      <c r="W1931" s="5" t="s">
        <v>6521</v>
      </c>
      <c r="X1931" s="24" t="str">
        <f t="shared" si="811"/>
        <v>taxon.161</v>
      </c>
      <c r="Y1931" s="24" t="str">
        <f t="shared" si="812"/>
        <v>Ação de taxonomizar</v>
      </c>
      <c r="Z1931" s="47" t="s">
        <v>2596</v>
      </c>
      <c r="AA1931" s="25" t="str">
        <f t="shared" si="806"/>
        <v>null</v>
      </c>
      <c r="AB1931" s="26" t="s">
        <v>0</v>
      </c>
      <c r="AC1931" s="25" t="str">
        <f t="shared" si="807"/>
        <v>null</v>
      </c>
      <c r="AD1931" s="26" t="s">
        <v>0</v>
      </c>
      <c r="AE1931" s="25" t="str">
        <f t="shared" si="803"/>
        <v>null</v>
      </c>
      <c r="AF1931" s="26" t="s">
        <v>0</v>
      </c>
      <c r="AG1931" s="47" t="s">
        <v>3333</v>
      </c>
    </row>
    <row r="1932" spans="1:33" ht="6.9" customHeight="1" x14ac:dyDescent="0.4">
      <c r="A1932" s="4">
        <f>ROW()</f>
        <v>1932</v>
      </c>
      <c r="B1932" s="9" t="s">
        <v>27</v>
      </c>
      <c r="C1932" s="55" t="str">
        <f t="shared" si="804"/>
        <v>p.taxonomizar</v>
      </c>
      <c r="D1932" s="6" t="str">
        <f t="shared" si="798"/>
        <v>é.receita.total</v>
      </c>
      <c r="E1932" s="8" t="s">
        <v>28</v>
      </c>
      <c r="F1932" s="42" t="str">
        <f t="shared" si="808"/>
        <v>d.taxonomizar</v>
      </c>
      <c r="G1932" s="18" t="s">
        <v>2331</v>
      </c>
      <c r="H1932" s="42" t="s">
        <v>36</v>
      </c>
      <c r="I1932" s="16" t="str">
        <f t="shared" si="805"/>
        <v>null</v>
      </c>
      <c r="J1932" s="13" t="s">
        <v>0</v>
      </c>
      <c r="K1932" s="13" t="s">
        <v>0</v>
      </c>
      <c r="L1932" s="13" t="s">
        <v>0</v>
      </c>
      <c r="M1932" s="13" t="s">
        <v>0</v>
      </c>
      <c r="N1932" s="15" t="s">
        <v>0</v>
      </c>
      <c r="O1932" s="13" t="s">
        <v>0</v>
      </c>
      <c r="P1932" s="13" t="s">
        <v>0</v>
      </c>
      <c r="Q1932" s="13" t="s">
        <v>2335</v>
      </c>
      <c r="R1932" s="15" t="s">
        <v>0</v>
      </c>
      <c r="S1932" s="10" t="s">
        <v>1</v>
      </c>
      <c r="T1932" s="10" t="s">
        <v>32</v>
      </c>
      <c r="U1932" s="5" t="str">
        <f t="shared" si="809"/>
        <v>Propriedade destinada a taxonomizar: é.receita.total</v>
      </c>
      <c r="V1932" s="5" t="str">
        <f t="shared" si="810"/>
        <v>Dado para taxonomizar:  receita.total  Deve ser formatado como (xsd:double)</v>
      </c>
      <c r="W1932" s="5" t="s">
        <v>6522</v>
      </c>
      <c r="X1932" s="24" t="str">
        <f t="shared" si="811"/>
        <v>taxon.162</v>
      </c>
      <c r="Y1932" s="24" t="str">
        <f t="shared" si="812"/>
        <v>Ação de taxonomizar</v>
      </c>
      <c r="Z1932" s="47" t="s">
        <v>2597</v>
      </c>
      <c r="AA1932" s="25" t="str">
        <f t="shared" si="806"/>
        <v>null</v>
      </c>
      <c r="AB1932" s="26" t="s">
        <v>0</v>
      </c>
      <c r="AC1932" s="25" t="str">
        <f t="shared" si="807"/>
        <v>null</v>
      </c>
      <c r="AD1932" s="26" t="s">
        <v>0</v>
      </c>
      <c r="AE1932" s="25" t="str">
        <f t="shared" si="803"/>
        <v>null</v>
      </c>
      <c r="AF1932" s="26" t="s">
        <v>0</v>
      </c>
      <c r="AG1932" s="47" t="s">
        <v>3334</v>
      </c>
    </row>
    <row r="1933" spans="1:33" ht="6.9" customHeight="1" x14ac:dyDescent="0.4">
      <c r="A1933" s="4">
        <f>ROW()</f>
        <v>1933</v>
      </c>
      <c r="B1933" s="9" t="s">
        <v>27</v>
      </c>
      <c r="C1933" s="55" t="str">
        <f t="shared" si="804"/>
        <v>p.taxonomizar</v>
      </c>
      <c r="D1933" s="6" t="str">
        <f t="shared" si="798"/>
        <v>é.salvaguarda.mínima</v>
      </c>
      <c r="E1933" s="8" t="s">
        <v>28</v>
      </c>
      <c r="F1933" s="42" t="str">
        <f t="shared" si="808"/>
        <v>d.taxonomizar</v>
      </c>
      <c r="G1933" s="46" t="s">
        <v>2288</v>
      </c>
      <c r="H1933" s="41" t="s">
        <v>2121</v>
      </c>
      <c r="I1933" s="16" t="str">
        <f t="shared" si="805"/>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09"/>
        <v>Propriedade destinada a taxonomizar: é.salvaguarda.mínima</v>
      </c>
      <c r="V1933" s="5" t="str">
        <f t="shared" si="810"/>
        <v>Dado para taxonomizar:  salvaguarda.mínima  Deve ser formatado como (rdfs:Literal  or  xsd:string)</v>
      </c>
      <c r="W1933" s="5" t="s">
        <v>6523</v>
      </c>
      <c r="X1933" s="24" t="str">
        <f t="shared" si="811"/>
        <v>taxon.163</v>
      </c>
      <c r="Y1933" s="24" t="str">
        <f t="shared" si="812"/>
        <v>Ação de taxonomizar</v>
      </c>
      <c r="Z1933" s="47" t="s">
        <v>2598</v>
      </c>
      <c r="AA1933" s="25" t="str">
        <f t="shared" si="806"/>
        <v>null</v>
      </c>
      <c r="AB1933" s="26" t="s">
        <v>0</v>
      </c>
      <c r="AC1933" s="25" t="str">
        <f t="shared" si="807"/>
        <v>null</v>
      </c>
      <c r="AD1933" s="26" t="s">
        <v>0</v>
      </c>
      <c r="AE1933" s="25" t="str">
        <f t="shared" si="803"/>
        <v>null</v>
      </c>
      <c r="AF1933" s="26" t="s">
        <v>0</v>
      </c>
      <c r="AG1933" s="47" t="s">
        <v>3335</v>
      </c>
    </row>
    <row r="1934" spans="1:33" ht="6.9" customHeight="1" x14ac:dyDescent="0.4">
      <c r="A1934" s="4">
        <f>ROW()</f>
        <v>1934</v>
      </c>
      <c r="B1934" s="9" t="s">
        <v>27</v>
      </c>
      <c r="C1934" s="55" t="str">
        <f t="shared" si="804"/>
        <v>p.taxonomizar</v>
      </c>
      <c r="D1934" s="6" t="str">
        <f t="shared" si="798"/>
        <v>é.solução</v>
      </c>
      <c r="E1934" s="8" t="s">
        <v>28</v>
      </c>
      <c r="F1934" s="42" t="str">
        <f t="shared" si="808"/>
        <v>d.taxonomizar</v>
      </c>
      <c r="G1934" s="46" t="s">
        <v>2294</v>
      </c>
      <c r="H1934" s="41" t="s">
        <v>2121</v>
      </c>
      <c r="I1934" s="16" t="str">
        <f t="shared" si="805"/>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09"/>
        <v>Propriedade destinada a taxonomizar: é.solução</v>
      </c>
      <c r="V1934" s="5" t="str">
        <f t="shared" si="810"/>
        <v>Dado para taxonomizar:  solução  Deve ser formatado como (rdfs:Literal  or  xsd:string)</v>
      </c>
      <c r="W1934" s="5" t="s">
        <v>6524</v>
      </c>
      <c r="X1934" s="24" t="str">
        <f t="shared" si="811"/>
        <v>taxon.164</v>
      </c>
      <c r="Y1934" s="24" t="str">
        <f t="shared" si="812"/>
        <v>Ação de taxonomizar</v>
      </c>
      <c r="Z1934" s="47" t="s">
        <v>2599</v>
      </c>
      <c r="AA1934" s="25" t="str">
        <f t="shared" si="806"/>
        <v>null</v>
      </c>
      <c r="AB1934" s="26" t="s">
        <v>0</v>
      </c>
      <c r="AC1934" s="25" t="str">
        <f t="shared" si="807"/>
        <v>null</v>
      </c>
      <c r="AD1934" s="26" t="s">
        <v>0</v>
      </c>
      <c r="AE1934" s="25" t="str">
        <f t="shared" si="803"/>
        <v>null</v>
      </c>
      <c r="AF1934" s="26" t="s">
        <v>0</v>
      </c>
      <c r="AG1934" s="47" t="s">
        <v>3336</v>
      </c>
    </row>
    <row r="1935" spans="1:33" ht="6.9" customHeight="1" x14ac:dyDescent="0.4">
      <c r="A1935" s="4">
        <f>ROW()</f>
        <v>1935</v>
      </c>
      <c r="B1935" s="9" t="s">
        <v>27</v>
      </c>
      <c r="C1935" s="55" t="str">
        <f t="shared" si="804"/>
        <v>p.taxonomizar</v>
      </c>
      <c r="D1935" s="6" t="str">
        <f t="shared" ref="D1935:D1998" si="813">_xlfn.CONCAT("é.",G1935)</f>
        <v>é.tipo.de.atividade</v>
      </c>
      <c r="E1935" s="8" t="s">
        <v>28</v>
      </c>
      <c r="F1935" s="42" t="str">
        <f t="shared" si="808"/>
        <v>d.taxonomizar</v>
      </c>
      <c r="G1935" s="46" t="s">
        <v>2347</v>
      </c>
      <c r="H1935" s="41" t="s">
        <v>2121</v>
      </c>
      <c r="I1935" s="16" t="str">
        <f t="shared" ref="I1935" si="814">J1935</f>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09"/>
        <v>Propriedade destinada a taxonomizar: é.tipo.de.atividade</v>
      </c>
      <c r="V1935" s="5" t="str">
        <f t="shared" si="810"/>
        <v>Dado para taxonomizar:  tipo.de.atividade  Deve ser formatado como (rdfs:Literal  or  xsd:string)</v>
      </c>
      <c r="W1935" s="5" t="s">
        <v>6525</v>
      </c>
      <c r="X1935" s="24" t="str">
        <f t="shared" si="811"/>
        <v>taxon.165</v>
      </c>
      <c r="Y1935" s="24" t="str">
        <f t="shared" si="812"/>
        <v>Ação de taxonomizar</v>
      </c>
      <c r="Z1935" s="47" t="s">
        <v>2600</v>
      </c>
      <c r="AA1935" s="25" t="str">
        <f t="shared" ref="AA1935" si="815">IF(AB1935="null", "null", "categoria.revit")</f>
        <v>null</v>
      </c>
      <c r="AB1935" s="26" t="s">
        <v>0</v>
      </c>
      <c r="AC1935" s="25" t="str">
        <f t="shared" ref="AC1935" si="816">IF(AD1935="null", "null", "classe.ifc")</f>
        <v>null</v>
      </c>
      <c r="AD1935" s="26" t="s">
        <v>0</v>
      </c>
      <c r="AE1935" s="25" t="str">
        <f t="shared" si="803"/>
        <v>null</v>
      </c>
      <c r="AF1935" s="26" t="s">
        <v>0</v>
      </c>
      <c r="AG1935" s="47" t="s">
        <v>3337</v>
      </c>
    </row>
    <row r="1936" spans="1:33" ht="6.9" customHeight="1" x14ac:dyDescent="0.4">
      <c r="A1936" s="4">
        <f>ROW()</f>
        <v>1936</v>
      </c>
      <c r="B1936" s="9" t="s">
        <v>27</v>
      </c>
      <c r="C1936" s="54" t="str">
        <f t="shared" si="804"/>
        <v>p.telhar</v>
      </c>
      <c r="D1936" s="6" t="str">
        <f t="shared" si="813"/>
        <v>é.caibro</v>
      </c>
      <c r="E1936" s="8" t="s">
        <v>28</v>
      </c>
      <c r="F1936" s="51" t="s">
        <v>3938</v>
      </c>
      <c r="G1936" s="18" t="s">
        <v>4502</v>
      </c>
      <c r="H1936" s="41" t="s">
        <v>2121</v>
      </c>
      <c r="I1936" s="16" t="str">
        <f t="shared" ref="I1936:I1941" si="817">J1936</f>
        <v>null</v>
      </c>
      <c r="J1936" s="13" t="s">
        <v>0</v>
      </c>
      <c r="K1936" s="13" t="s">
        <v>0</v>
      </c>
      <c r="L1936" s="13" t="s">
        <v>0</v>
      </c>
      <c r="M1936" s="13" t="s">
        <v>0</v>
      </c>
      <c r="N1936" s="13" t="s">
        <v>0</v>
      </c>
      <c r="O1936" s="13" t="s">
        <v>0</v>
      </c>
      <c r="P1936" s="13" t="s">
        <v>0</v>
      </c>
      <c r="Q1936" s="13" t="s">
        <v>0</v>
      </c>
      <c r="R1936" s="15" t="s">
        <v>0</v>
      </c>
      <c r="S1936" s="10" t="s">
        <v>1</v>
      </c>
      <c r="T1936" s="10" t="s">
        <v>32</v>
      </c>
      <c r="U1936" s="5" t="str">
        <f t="shared" si="809"/>
        <v>Propriedade destinada a telhar: é.caibro</v>
      </c>
      <c r="V1936" s="5" t="str">
        <f t="shared" si="810"/>
        <v>Dado para telhar:  caibro  Deve ser formatado como (rdfs:Literal  or  xsd:string)</v>
      </c>
      <c r="W1936" s="5" t="s">
        <v>6530</v>
      </c>
      <c r="X1936" s="24" t="str">
        <f t="shared" si="811"/>
        <v>telha.100</v>
      </c>
      <c r="Y1936" s="24" t="str">
        <f t="shared" si="812"/>
        <v>Ação de telhar</v>
      </c>
      <c r="Z1936" s="47" t="s">
        <v>4074</v>
      </c>
      <c r="AA1936" s="25" t="str">
        <f t="shared" ref="AA1936:AA1941" si="818">IF(AB1936="null", "null", "categoria.revit")</f>
        <v>null</v>
      </c>
      <c r="AB1936" s="26" t="s">
        <v>0</v>
      </c>
      <c r="AC1936" s="25" t="str">
        <f t="shared" ref="AC1936:AC1941" si="819">IF(AD1936="null", "null", "classe.ifc")</f>
        <v>null</v>
      </c>
      <c r="AD1936" s="26" t="s">
        <v>0</v>
      </c>
      <c r="AE1936" s="25" t="str">
        <f t="shared" ref="AE1936:AE1941" si="820">IF(AF1936="null", "null", "propriedade")</f>
        <v>null</v>
      </c>
      <c r="AF1936" s="26" t="s">
        <v>0</v>
      </c>
      <c r="AG1936" s="47" t="s">
        <v>4066</v>
      </c>
    </row>
    <row r="1937" spans="1:33" ht="6.9" customHeight="1" x14ac:dyDescent="0.4">
      <c r="A1937" s="4">
        <f>ROW()</f>
        <v>1937</v>
      </c>
      <c r="B1937" s="9" t="s">
        <v>27</v>
      </c>
      <c r="C1937" s="55" t="str">
        <f>SUBSTITUTE(F1937,"d.","p.")</f>
        <v>p.telhar</v>
      </c>
      <c r="D1937" s="6" t="str">
        <f t="shared" si="813"/>
        <v>é.cumeeira</v>
      </c>
      <c r="E1937" s="8" t="s">
        <v>28</v>
      </c>
      <c r="F1937" s="42" t="str">
        <f>F1936</f>
        <v>d.telhar</v>
      </c>
      <c r="G1937" s="18" t="s">
        <v>4499</v>
      </c>
      <c r="H1937" s="41" t="s">
        <v>2121</v>
      </c>
      <c r="I1937" s="16" t="str">
        <f t="shared" si="817"/>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809"/>
        <v>Propriedade destinada a telhar: é.cumeeira</v>
      </c>
      <c r="V1937" s="5" t="str">
        <f t="shared" si="810"/>
        <v>Dado para telhar:  cumeeira  Deve ser formatado como (rdfs:Literal  or  xsd:string)</v>
      </c>
      <c r="W1937" s="5" t="s">
        <v>6527</v>
      </c>
      <c r="X1937" s="24" t="str">
        <f t="shared" si="811"/>
        <v>telha.101</v>
      </c>
      <c r="Y1937" s="24" t="str">
        <f t="shared" si="812"/>
        <v>Ação de telhar</v>
      </c>
      <c r="Z1937" s="47" t="s">
        <v>4075</v>
      </c>
      <c r="AA1937" s="25" t="str">
        <f t="shared" si="818"/>
        <v>null</v>
      </c>
      <c r="AB1937" s="26" t="s">
        <v>0</v>
      </c>
      <c r="AC1937" s="25" t="str">
        <f t="shared" si="819"/>
        <v>null</v>
      </c>
      <c r="AD1937" s="26" t="s">
        <v>0</v>
      </c>
      <c r="AE1937" s="25" t="str">
        <f t="shared" si="820"/>
        <v>null</v>
      </c>
      <c r="AF1937" s="26" t="s">
        <v>0</v>
      </c>
      <c r="AG1937" s="47" t="s">
        <v>4076</v>
      </c>
    </row>
    <row r="1938" spans="1:33" ht="6.9" customHeight="1" x14ac:dyDescent="0.4">
      <c r="A1938" s="4">
        <f>ROW()</f>
        <v>1938</v>
      </c>
      <c r="B1938" s="9" t="s">
        <v>27</v>
      </c>
      <c r="C1938" s="55" t="str">
        <f t="shared" ref="C1938:C1942" si="821">SUBSTITUTE(F1938,"d.","p.")</f>
        <v>p.telhar</v>
      </c>
      <c r="D1938" s="6" t="str">
        <f t="shared" si="813"/>
        <v>é.rincão</v>
      </c>
      <c r="E1938" s="8" t="s">
        <v>28</v>
      </c>
      <c r="F1938" s="42" t="str">
        <f t="shared" ref="F1938:F1942" si="822">F1937</f>
        <v>d.telhar</v>
      </c>
      <c r="G1938" s="18" t="s">
        <v>4500</v>
      </c>
      <c r="H1938" s="41" t="s">
        <v>2121</v>
      </c>
      <c r="I1938" s="16" t="str">
        <f t="shared" si="817"/>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809"/>
        <v>Propriedade destinada a telhar: é.rincão</v>
      </c>
      <c r="V1938" s="5" t="str">
        <f t="shared" si="810"/>
        <v>Dado para telhar:  rincão  Deve ser formatado como (rdfs:Literal  or  xsd:string)</v>
      </c>
      <c r="W1938" s="5" t="s">
        <v>6528</v>
      </c>
      <c r="X1938" s="24" t="str">
        <f t="shared" si="811"/>
        <v>telha.102</v>
      </c>
      <c r="Y1938" s="24" t="str">
        <f t="shared" si="812"/>
        <v>Ação de telhar</v>
      </c>
      <c r="Z1938" s="47" t="s">
        <v>4077</v>
      </c>
      <c r="AA1938" s="25" t="str">
        <f t="shared" si="818"/>
        <v>null</v>
      </c>
      <c r="AB1938" s="26" t="s">
        <v>0</v>
      </c>
      <c r="AC1938" s="25" t="str">
        <f t="shared" si="819"/>
        <v>null</v>
      </c>
      <c r="AD1938" s="26" t="s">
        <v>0</v>
      </c>
      <c r="AE1938" s="25" t="str">
        <f t="shared" si="820"/>
        <v>null</v>
      </c>
      <c r="AF1938" s="26" t="s">
        <v>0</v>
      </c>
      <c r="AG1938" s="47" t="s">
        <v>4078</v>
      </c>
    </row>
    <row r="1939" spans="1:33" ht="6.9" customHeight="1" x14ac:dyDescent="0.4">
      <c r="A1939" s="4">
        <f>ROW()</f>
        <v>1939</v>
      </c>
      <c r="B1939" s="9" t="s">
        <v>27</v>
      </c>
      <c r="C1939" s="55" t="str">
        <f t="shared" si="821"/>
        <v>p.telhar</v>
      </c>
      <c r="D1939" s="6" t="str">
        <f t="shared" si="813"/>
        <v>é.ripa</v>
      </c>
      <c r="E1939" s="8" t="s">
        <v>28</v>
      </c>
      <c r="F1939" s="42" t="str">
        <f t="shared" si="822"/>
        <v>d.telhar</v>
      </c>
      <c r="G1939" s="18" t="s">
        <v>4503</v>
      </c>
      <c r="H1939" s="41" t="s">
        <v>2121</v>
      </c>
      <c r="I1939" s="16" t="str">
        <f t="shared" si="817"/>
        <v>null</v>
      </c>
      <c r="J1939" s="13" t="s">
        <v>0</v>
      </c>
      <c r="K1939" s="13" t="s">
        <v>0</v>
      </c>
      <c r="L1939" s="13" t="s">
        <v>0</v>
      </c>
      <c r="M1939" s="13" t="s">
        <v>0</v>
      </c>
      <c r="N1939" s="13" t="s">
        <v>0</v>
      </c>
      <c r="O1939" s="13" t="s">
        <v>0</v>
      </c>
      <c r="P1939" s="13" t="s">
        <v>0</v>
      </c>
      <c r="Q1939" s="13" t="s">
        <v>0</v>
      </c>
      <c r="R1939" s="15" t="s">
        <v>0</v>
      </c>
      <c r="S1939" s="10" t="s">
        <v>1</v>
      </c>
      <c r="T1939" s="10" t="s">
        <v>32</v>
      </c>
      <c r="U1939" s="5" t="str">
        <f t="shared" si="809"/>
        <v>Propriedade destinada a telhar: é.ripa</v>
      </c>
      <c r="V1939" s="5" t="str">
        <f t="shared" si="810"/>
        <v>Dado para telhar:  ripa  Deve ser formatado como (rdfs:Literal  or  xsd:string)</v>
      </c>
      <c r="W1939" s="5" t="s">
        <v>6531</v>
      </c>
      <c r="X1939" s="24" t="str">
        <f t="shared" si="811"/>
        <v>telha.103</v>
      </c>
      <c r="Y1939" s="24" t="str">
        <f t="shared" si="812"/>
        <v>Ação de telhar</v>
      </c>
      <c r="Z1939" s="47" t="s">
        <v>4073</v>
      </c>
      <c r="AA1939" s="25" t="str">
        <f t="shared" si="818"/>
        <v>null</v>
      </c>
      <c r="AB1939" s="26" t="s">
        <v>0</v>
      </c>
      <c r="AC1939" s="25" t="str">
        <f t="shared" si="819"/>
        <v>null</v>
      </c>
      <c r="AD1939" s="26" t="s">
        <v>0</v>
      </c>
      <c r="AE1939" s="25" t="str">
        <f t="shared" si="820"/>
        <v>null</v>
      </c>
      <c r="AF1939" s="26" t="s">
        <v>0</v>
      </c>
      <c r="AG1939" s="47" t="s">
        <v>4067</v>
      </c>
    </row>
    <row r="1940" spans="1:33" ht="6.9" customHeight="1" x14ac:dyDescent="0.4">
      <c r="A1940" s="4">
        <f>ROW()</f>
        <v>1940</v>
      </c>
      <c r="B1940" s="9" t="s">
        <v>27</v>
      </c>
      <c r="C1940" s="55" t="str">
        <f t="shared" si="821"/>
        <v>p.telhar</v>
      </c>
      <c r="D1940" s="6" t="str">
        <f t="shared" si="813"/>
        <v>é.telha</v>
      </c>
      <c r="E1940" s="8" t="s">
        <v>28</v>
      </c>
      <c r="F1940" s="42" t="str">
        <f t="shared" si="822"/>
        <v>d.telhar</v>
      </c>
      <c r="G1940" s="18" t="s">
        <v>4504</v>
      </c>
      <c r="H1940" s="41" t="s">
        <v>2121</v>
      </c>
      <c r="I1940" s="16" t="str">
        <f t="shared" si="817"/>
        <v>null</v>
      </c>
      <c r="J1940" s="13" t="s">
        <v>0</v>
      </c>
      <c r="K1940" s="13" t="s">
        <v>0</v>
      </c>
      <c r="L1940" s="13" t="s">
        <v>0</v>
      </c>
      <c r="M1940" s="13" t="s">
        <v>0</v>
      </c>
      <c r="N1940" s="13" t="s">
        <v>0</v>
      </c>
      <c r="O1940" s="13" t="s">
        <v>0</v>
      </c>
      <c r="P1940" s="13" t="s">
        <v>0</v>
      </c>
      <c r="Q1940" s="13" t="s">
        <v>0</v>
      </c>
      <c r="R1940" s="15" t="s">
        <v>0</v>
      </c>
      <c r="S1940" s="10" t="s">
        <v>1</v>
      </c>
      <c r="T1940" s="10" t="s">
        <v>32</v>
      </c>
      <c r="U1940" s="5" t="str">
        <f t="shared" si="809"/>
        <v>Propriedade destinada a telhar: é.telha</v>
      </c>
      <c r="V1940" s="5" t="str">
        <f t="shared" si="810"/>
        <v>Dado para telhar:  telha  Deve ser formatado como (rdfs:Literal  or  xsd:string)</v>
      </c>
      <c r="W1940" s="5" t="s">
        <v>6532</v>
      </c>
      <c r="X1940" s="24" t="str">
        <f t="shared" si="811"/>
        <v>telha.104</v>
      </c>
      <c r="Y1940" s="24" t="str">
        <f t="shared" si="812"/>
        <v>Ação de telhar</v>
      </c>
      <c r="Z1940" s="47" t="s">
        <v>4006</v>
      </c>
      <c r="AA1940" s="25" t="str">
        <f t="shared" si="818"/>
        <v>null</v>
      </c>
      <c r="AB1940" s="26" t="s">
        <v>0</v>
      </c>
      <c r="AC1940" s="25" t="str">
        <f t="shared" si="819"/>
        <v>null</v>
      </c>
      <c r="AD1940" s="26" t="s">
        <v>0</v>
      </c>
      <c r="AE1940" s="25" t="str">
        <f t="shared" si="820"/>
        <v>null</v>
      </c>
      <c r="AF1940" s="26" t="s">
        <v>0</v>
      </c>
      <c r="AG1940" s="47" t="s">
        <v>4068</v>
      </c>
    </row>
    <row r="1941" spans="1:33" ht="6.9" customHeight="1" x14ac:dyDescent="0.4">
      <c r="A1941" s="4">
        <f>ROW()</f>
        <v>1941</v>
      </c>
      <c r="B1941" s="9" t="s">
        <v>27</v>
      </c>
      <c r="C1941" s="55" t="str">
        <f t="shared" si="821"/>
        <v>p.telhar</v>
      </c>
      <c r="D1941" s="6" t="str">
        <f t="shared" si="813"/>
        <v>é.terça</v>
      </c>
      <c r="E1941" s="8" t="s">
        <v>28</v>
      </c>
      <c r="F1941" s="42" t="str">
        <f t="shared" si="822"/>
        <v>d.telhar</v>
      </c>
      <c r="G1941" s="18" t="s">
        <v>4501</v>
      </c>
      <c r="H1941" s="41" t="s">
        <v>2121</v>
      </c>
      <c r="I1941" s="16" t="str">
        <f t="shared" si="817"/>
        <v>null</v>
      </c>
      <c r="J1941" s="13" t="s">
        <v>0</v>
      </c>
      <c r="K1941" s="13" t="s">
        <v>0</v>
      </c>
      <c r="L1941" s="13" t="s">
        <v>0</v>
      </c>
      <c r="M1941" s="13" t="s">
        <v>0</v>
      </c>
      <c r="N1941" s="13" t="s">
        <v>0</v>
      </c>
      <c r="O1941" s="13" t="s">
        <v>0</v>
      </c>
      <c r="P1941" s="13" t="s">
        <v>0</v>
      </c>
      <c r="Q1941" s="13" t="s">
        <v>0</v>
      </c>
      <c r="R1941" s="15" t="s">
        <v>0</v>
      </c>
      <c r="S1941" s="10" t="s">
        <v>1</v>
      </c>
      <c r="T1941" s="10" t="s">
        <v>32</v>
      </c>
      <c r="U1941" s="5" t="str">
        <f t="shared" si="809"/>
        <v>Propriedade destinada a telhar: é.terça</v>
      </c>
      <c r="V1941" s="5" t="str">
        <f t="shared" si="810"/>
        <v>Dado para telhar:  terça  Deve ser formatado como (rdfs:Literal  or  xsd:string)</v>
      </c>
      <c r="W1941" s="5" t="s">
        <v>6529</v>
      </c>
      <c r="X1941" s="24" t="str">
        <f t="shared" si="811"/>
        <v>telha.105</v>
      </c>
      <c r="Y1941" s="24" t="str">
        <f t="shared" si="812"/>
        <v>Ação de telhar</v>
      </c>
      <c r="Z1941" s="47" t="s">
        <v>4072</v>
      </c>
      <c r="AA1941" s="25" t="str">
        <f t="shared" si="818"/>
        <v>null</v>
      </c>
      <c r="AB1941" s="26" t="s">
        <v>0</v>
      </c>
      <c r="AC1941" s="25" t="str">
        <f t="shared" si="819"/>
        <v>null</v>
      </c>
      <c r="AD1941" s="26" t="s">
        <v>0</v>
      </c>
      <c r="AE1941" s="25" t="str">
        <f t="shared" si="820"/>
        <v>null</v>
      </c>
      <c r="AF1941" s="26" t="s">
        <v>0</v>
      </c>
      <c r="AG1941" s="47" t="s">
        <v>4070</v>
      </c>
    </row>
    <row r="1942" spans="1:33" ht="6.9" customHeight="1" x14ac:dyDescent="0.4">
      <c r="A1942" s="4">
        <f>ROW()</f>
        <v>1942</v>
      </c>
      <c r="B1942" s="9" t="s">
        <v>27</v>
      </c>
      <c r="C1942" s="55" t="str">
        <f t="shared" si="821"/>
        <v>p.telhar</v>
      </c>
      <c r="D1942" s="6" t="str">
        <f t="shared" si="813"/>
        <v>é.tesoura</v>
      </c>
      <c r="E1942" s="8" t="s">
        <v>28</v>
      </c>
      <c r="F1942" s="42" t="str">
        <f t="shared" si="822"/>
        <v>d.telhar</v>
      </c>
      <c r="G1942" s="18" t="s">
        <v>4498</v>
      </c>
      <c r="H1942" s="41" t="s">
        <v>2121</v>
      </c>
      <c r="I1942" s="16" t="str">
        <f t="shared" ref="I1942" si="823">J1942</f>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809"/>
        <v>Propriedade destinada a telhar: é.tesoura</v>
      </c>
      <c r="V1942" s="5" t="str">
        <f t="shared" si="810"/>
        <v>Dado para telhar:  tesoura  Deve ser formatado como (rdfs:Literal  or  xsd:string)</v>
      </c>
      <c r="W1942" s="5" t="s">
        <v>6526</v>
      </c>
      <c r="X1942" s="24" t="str">
        <f t="shared" si="811"/>
        <v>telha.106</v>
      </c>
      <c r="Y1942" s="24" t="str">
        <f t="shared" si="812"/>
        <v>Ação de telhar</v>
      </c>
      <c r="Z1942" s="47" t="s">
        <v>4071</v>
      </c>
      <c r="AA1942" s="25" t="str">
        <f t="shared" ref="AA1942" si="824">IF(AB1942="null", "null", "categoria.revit")</f>
        <v>null</v>
      </c>
      <c r="AB1942" s="26" t="s">
        <v>0</v>
      </c>
      <c r="AC1942" s="25" t="str">
        <f t="shared" ref="AC1942" si="825">IF(AD1942="null", "null", "classe.ifc")</f>
        <v>null</v>
      </c>
      <c r="AD1942" s="26" t="s">
        <v>0</v>
      </c>
      <c r="AE1942" s="25" t="str">
        <f t="shared" ref="AE1942" si="826">IF(AF1942="null", "null", "propriedade")</f>
        <v>null</v>
      </c>
      <c r="AF1942" s="26" t="s">
        <v>0</v>
      </c>
      <c r="AG1942" s="47" t="s">
        <v>4069</v>
      </c>
    </row>
    <row r="1943" spans="1:33" ht="6.9" customHeight="1" x14ac:dyDescent="0.4">
      <c r="A1943" s="4">
        <f>ROW()</f>
        <v>1943</v>
      </c>
      <c r="B1943" s="9" t="s">
        <v>27</v>
      </c>
      <c r="C1943" s="54" t="str">
        <f t="shared" ref="C1943" si="827">SUBSTITUTE(F1943,"d.","p.")</f>
        <v>p.temporalizar</v>
      </c>
      <c r="D1943" s="6" t="str">
        <f t="shared" si="813"/>
        <v>é.ano</v>
      </c>
      <c r="E1943" s="8" t="s">
        <v>28</v>
      </c>
      <c r="F1943" s="51" t="s">
        <v>3637</v>
      </c>
      <c r="G1943" s="17" t="s">
        <v>201</v>
      </c>
      <c r="H1943" s="41" t="s">
        <v>330</v>
      </c>
      <c r="I1943" s="16" t="str">
        <f t="shared" ref="I1943:I1956" si="828">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809"/>
        <v>Propriedade destinada a temporalizar: é.ano</v>
      </c>
      <c r="V1943" s="5" t="str">
        <f t="shared" si="810"/>
        <v>Dado para temporalizar:  ano  Deve ser formatado como (xsd:gYear)</v>
      </c>
      <c r="W1943" s="5" t="s">
        <v>6533</v>
      </c>
      <c r="X1943" s="24" t="str">
        <f t="shared" si="811"/>
        <v>tempo.100</v>
      </c>
      <c r="Y1943" s="24" t="str">
        <f t="shared" si="812"/>
        <v>Ação de temporalizar</v>
      </c>
      <c r="Z1943" s="47" t="s">
        <v>1892</v>
      </c>
      <c r="AA1943" s="25" t="str">
        <f t="shared" ref="AA1943:AA1956" si="829">IF(AB1943="null", "null", "categoria.revit")</f>
        <v>null</v>
      </c>
      <c r="AB1943" s="26" t="s">
        <v>0</v>
      </c>
      <c r="AC1943" s="25" t="str">
        <f t="shared" ref="AC1943:AC1956" si="830">IF(AD1943="null", "null", "classe.ifc")</f>
        <v>null</v>
      </c>
      <c r="AD1943" s="26" t="s">
        <v>0</v>
      </c>
      <c r="AE1943" s="25" t="str">
        <f t="shared" si="803"/>
        <v>null</v>
      </c>
      <c r="AF1943" s="26" t="s">
        <v>0</v>
      </c>
      <c r="AG1943" s="47" t="s">
        <v>4838</v>
      </c>
    </row>
    <row r="1944" spans="1:33" ht="6.9" customHeight="1" x14ac:dyDescent="0.4">
      <c r="A1944" s="4">
        <f>ROW()</f>
        <v>1944</v>
      </c>
      <c r="B1944" s="9" t="s">
        <v>27</v>
      </c>
      <c r="C1944" s="55" t="str">
        <f>SUBSTITUTE(F1944,"d.","p.")</f>
        <v>p.temporalizar</v>
      </c>
      <c r="D1944" s="6" t="str">
        <f t="shared" si="813"/>
        <v>é.ano.fiscal</v>
      </c>
      <c r="E1944" s="8" t="s">
        <v>28</v>
      </c>
      <c r="F1944" s="42" t="str">
        <f>F1943</f>
        <v>d.temporalizar</v>
      </c>
      <c r="G1944" s="17" t="s">
        <v>1017</v>
      </c>
      <c r="H1944" s="41" t="s">
        <v>330</v>
      </c>
      <c r="I1944" s="16" t="str">
        <f t="shared" si="828"/>
        <v>Functional</v>
      </c>
      <c r="J1944" s="13" t="s">
        <v>29</v>
      </c>
      <c r="K1944" s="15" t="s">
        <v>0</v>
      </c>
      <c r="L1944" s="15" t="s">
        <v>0</v>
      </c>
      <c r="M1944" s="15" t="s">
        <v>0</v>
      </c>
      <c r="N1944" s="15" t="s">
        <v>0</v>
      </c>
      <c r="O1944" s="15" t="s">
        <v>0</v>
      </c>
      <c r="P1944" s="15" t="s">
        <v>0</v>
      </c>
      <c r="Q1944" s="15" t="s">
        <v>0</v>
      </c>
      <c r="R1944" s="15" t="s">
        <v>0</v>
      </c>
      <c r="S1944" s="10" t="s">
        <v>1</v>
      </c>
      <c r="T1944" s="10" t="s">
        <v>32</v>
      </c>
      <c r="U1944" s="5" t="str">
        <f t="shared" si="809"/>
        <v>Propriedade destinada a temporalizar: é.ano.fiscal</v>
      </c>
      <c r="V1944" s="5" t="str">
        <f t="shared" si="810"/>
        <v>Dado para temporalizar:  ano.fiscal  Deve ser formatado como (xsd:gYear)</v>
      </c>
      <c r="W1944" s="5" t="s">
        <v>6534</v>
      </c>
      <c r="X1944" s="24" t="str">
        <f t="shared" si="811"/>
        <v>tempo.101</v>
      </c>
      <c r="Y1944" s="24" t="str">
        <f t="shared" si="812"/>
        <v>Ação de temporalizar</v>
      </c>
      <c r="Z1944" s="47" t="s">
        <v>1893</v>
      </c>
      <c r="AA1944" s="25" t="str">
        <f t="shared" si="829"/>
        <v>null</v>
      </c>
      <c r="AB1944" s="26" t="s">
        <v>0</v>
      </c>
      <c r="AC1944" s="25" t="str">
        <f t="shared" si="830"/>
        <v>null</v>
      </c>
      <c r="AD1944" s="26" t="s">
        <v>0</v>
      </c>
      <c r="AE1944" s="25" t="str">
        <f t="shared" si="803"/>
        <v>null</v>
      </c>
      <c r="AF1944" s="26" t="s">
        <v>0</v>
      </c>
      <c r="AG1944" s="47" t="s">
        <v>3263</v>
      </c>
    </row>
    <row r="1945" spans="1:33" ht="6.9" customHeight="1" x14ac:dyDescent="0.4">
      <c r="A1945" s="4">
        <f>ROW()</f>
        <v>1945</v>
      </c>
      <c r="B1945" s="9" t="s">
        <v>27</v>
      </c>
      <c r="C1945" s="55" t="str">
        <f t="shared" ref="C1945:C1968" si="831">SUBSTITUTE(F1945,"d.","p.")</f>
        <v>p.temporalizar</v>
      </c>
      <c r="D1945" s="6" t="str">
        <f t="shared" si="813"/>
        <v>é.data</v>
      </c>
      <c r="E1945" s="8" t="s">
        <v>28</v>
      </c>
      <c r="F1945" s="42" t="str">
        <f t="shared" ref="F1945:F1957" si="832">F1944</f>
        <v>d.temporalizar</v>
      </c>
      <c r="G1945" s="17" t="s">
        <v>1243</v>
      </c>
      <c r="H1945" s="41" t="s">
        <v>328</v>
      </c>
      <c r="I1945" s="16" t="str">
        <f t="shared" si="828"/>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809"/>
        <v>Propriedade destinada a temporalizar: é.data</v>
      </c>
      <c r="V1945" s="5" t="str">
        <f t="shared" si="810"/>
        <v>Dado para temporalizar:  data  Deve ser formatado como (xsd:date)</v>
      </c>
      <c r="W1945" s="5" t="s">
        <v>6535</v>
      </c>
      <c r="X1945" s="24" t="str">
        <f t="shared" si="811"/>
        <v>tempo.102</v>
      </c>
      <c r="Y1945" s="24" t="str">
        <f t="shared" si="812"/>
        <v>Ação de temporalizar</v>
      </c>
      <c r="Z1945" s="47" t="s">
        <v>4574</v>
      </c>
      <c r="AA1945" s="25" t="str">
        <f t="shared" si="829"/>
        <v>null</v>
      </c>
      <c r="AB1945" s="26" t="s">
        <v>0</v>
      </c>
      <c r="AC1945" s="25" t="str">
        <f t="shared" si="830"/>
        <v>null</v>
      </c>
      <c r="AD1945" s="26" t="s">
        <v>0</v>
      </c>
      <c r="AE1945" s="25" t="str">
        <f t="shared" si="803"/>
        <v>null</v>
      </c>
      <c r="AF1945" s="26" t="s">
        <v>0</v>
      </c>
      <c r="AG1945" s="47" t="s">
        <v>4842</v>
      </c>
    </row>
    <row r="1946" spans="1:33" ht="6.9" customHeight="1" x14ac:dyDescent="0.4">
      <c r="A1946" s="4">
        <f>ROW()</f>
        <v>1946</v>
      </c>
      <c r="B1946" s="9" t="s">
        <v>27</v>
      </c>
      <c r="C1946" s="55" t="str">
        <f t="shared" si="831"/>
        <v>p.temporalizar</v>
      </c>
      <c r="D1946" s="6" t="str">
        <f t="shared" si="813"/>
        <v>é.data.de.levantamento</v>
      </c>
      <c r="E1946" s="8" t="s">
        <v>28</v>
      </c>
      <c r="F1946" s="42" t="str">
        <f t="shared" si="832"/>
        <v>d.temporalizar</v>
      </c>
      <c r="G1946" s="17" t="s">
        <v>1016</v>
      </c>
      <c r="H1946" s="41" t="s">
        <v>328</v>
      </c>
      <c r="I1946" s="16" t="str">
        <f t="shared" si="828"/>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809"/>
        <v>Propriedade destinada a temporalizar: é.data.de.levantamento</v>
      </c>
      <c r="V1946" s="5" t="str">
        <f t="shared" si="810"/>
        <v>Dado para temporalizar:  data.de.levantamento  Deve ser formatado como (xsd:date)</v>
      </c>
      <c r="W1946" s="5" t="s">
        <v>6536</v>
      </c>
      <c r="X1946" s="24" t="str">
        <f t="shared" si="811"/>
        <v>tempo.103</v>
      </c>
      <c r="Y1946" s="24" t="str">
        <f t="shared" si="812"/>
        <v>Ação de temporalizar</v>
      </c>
      <c r="Z1946" s="47" t="s">
        <v>4577</v>
      </c>
      <c r="AA1946" s="25" t="str">
        <f t="shared" si="829"/>
        <v>null</v>
      </c>
      <c r="AB1946" s="26" t="s">
        <v>0</v>
      </c>
      <c r="AC1946" s="25" t="str">
        <f t="shared" si="830"/>
        <v>null</v>
      </c>
      <c r="AD1946" s="26" t="s">
        <v>0</v>
      </c>
      <c r="AE1946" s="25" t="str">
        <f t="shared" si="803"/>
        <v>null</v>
      </c>
      <c r="AF1946" s="26" t="s">
        <v>0</v>
      </c>
      <c r="AG1946" s="47" t="s">
        <v>4844</v>
      </c>
    </row>
    <row r="1947" spans="1:33" ht="6.9" customHeight="1" x14ac:dyDescent="0.4">
      <c r="A1947" s="4">
        <f>ROW()</f>
        <v>1947</v>
      </c>
      <c r="B1947" s="9" t="s">
        <v>27</v>
      </c>
      <c r="C1947" s="55" t="str">
        <f t="shared" si="831"/>
        <v>p.temporalizar</v>
      </c>
      <c r="D1947" s="6" t="str">
        <f t="shared" si="813"/>
        <v>é.data.de.validade</v>
      </c>
      <c r="E1947" s="8" t="s">
        <v>28</v>
      </c>
      <c r="F1947" s="42" t="str">
        <f t="shared" si="832"/>
        <v>d.temporalizar</v>
      </c>
      <c r="G1947" s="17" t="s">
        <v>1014</v>
      </c>
      <c r="H1947" s="41" t="s">
        <v>328</v>
      </c>
      <c r="I1947" s="16" t="str">
        <f t="shared" si="828"/>
        <v>Functional</v>
      </c>
      <c r="J1947" s="13" t="s">
        <v>29</v>
      </c>
      <c r="K1947" s="15" t="s">
        <v>0</v>
      </c>
      <c r="L1947" s="15" t="s">
        <v>0</v>
      </c>
      <c r="M1947" s="15" t="s">
        <v>0</v>
      </c>
      <c r="N1947" s="15" t="s">
        <v>0</v>
      </c>
      <c r="O1947" s="15" t="s">
        <v>0</v>
      </c>
      <c r="P1947" s="15" t="s">
        <v>0</v>
      </c>
      <c r="Q1947" s="15" t="s">
        <v>0</v>
      </c>
      <c r="R1947" s="15" t="s">
        <v>0</v>
      </c>
      <c r="S1947" s="10" t="s">
        <v>1</v>
      </c>
      <c r="T1947" s="10" t="s">
        <v>32</v>
      </c>
      <c r="U1947" s="5" t="str">
        <f t="shared" si="809"/>
        <v>Propriedade destinada a temporalizar: é.data.de.validade</v>
      </c>
      <c r="V1947" s="5" t="str">
        <f t="shared" si="810"/>
        <v>Dado para temporalizar:  data.de.validade  Deve ser formatado como (xsd:date)</v>
      </c>
      <c r="W1947" s="5" t="s">
        <v>6537</v>
      </c>
      <c r="X1947" s="24" t="str">
        <f t="shared" si="811"/>
        <v>tempo.104</v>
      </c>
      <c r="Y1947" s="24" t="str">
        <f t="shared" si="812"/>
        <v>Ação de temporalizar</v>
      </c>
      <c r="Z1947" s="47" t="s">
        <v>4575</v>
      </c>
      <c r="AA1947" s="25" t="str">
        <f t="shared" si="829"/>
        <v>null</v>
      </c>
      <c r="AB1947" s="26" t="s">
        <v>0</v>
      </c>
      <c r="AC1947" s="25" t="str">
        <f t="shared" si="830"/>
        <v>null</v>
      </c>
      <c r="AD1947" s="26" t="s">
        <v>0</v>
      </c>
      <c r="AE1947" s="25" t="str">
        <f t="shared" si="803"/>
        <v>null</v>
      </c>
      <c r="AF1947" s="26" t="s">
        <v>0</v>
      </c>
      <c r="AG1947" s="47" t="s">
        <v>4845</v>
      </c>
    </row>
    <row r="1948" spans="1:33" ht="6.9" customHeight="1" x14ac:dyDescent="0.4">
      <c r="A1948" s="4">
        <f>ROW()</f>
        <v>1948</v>
      </c>
      <c r="B1948" s="9" t="s">
        <v>27</v>
      </c>
      <c r="C1948" s="55" t="str">
        <f t="shared" si="831"/>
        <v>p.temporalizar</v>
      </c>
      <c r="D1948" s="6" t="str">
        <f t="shared" si="813"/>
        <v>é.data.de.verificação</v>
      </c>
      <c r="E1948" s="8" t="s">
        <v>28</v>
      </c>
      <c r="F1948" s="42" t="str">
        <f t="shared" si="832"/>
        <v>d.temporalizar</v>
      </c>
      <c r="G1948" s="17" t="s">
        <v>1015</v>
      </c>
      <c r="H1948" s="41" t="s">
        <v>328</v>
      </c>
      <c r="I1948" s="16" t="str">
        <f t="shared" si="828"/>
        <v>Functional</v>
      </c>
      <c r="J1948" s="13" t="s">
        <v>29</v>
      </c>
      <c r="K1948" s="15" t="s">
        <v>0</v>
      </c>
      <c r="L1948" s="15" t="s">
        <v>0</v>
      </c>
      <c r="M1948" s="15" t="s">
        <v>0</v>
      </c>
      <c r="N1948" s="15" t="s">
        <v>0</v>
      </c>
      <c r="O1948" s="15" t="s">
        <v>0</v>
      </c>
      <c r="P1948" s="15" t="s">
        <v>0</v>
      </c>
      <c r="Q1948" s="15" t="s">
        <v>0</v>
      </c>
      <c r="R1948" s="15" t="s">
        <v>0</v>
      </c>
      <c r="S1948" s="10" t="s">
        <v>1</v>
      </c>
      <c r="T1948" s="10" t="s">
        <v>32</v>
      </c>
      <c r="U1948" s="5" t="str">
        <f t="shared" si="809"/>
        <v>Propriedade destinada a temporalizar: é.data.de.verificação</v>
      </c>
      <c r="V1948" s="5" t="str">
        <f t="shared" si="810"/>
        <v>Dado para temporalizar:  data.de.verificação  Deve ser formatado como (xsd:date)</v>
      </c>
      <c r="W1948" s="5" t="s">
        <v>6538</v>
      </c>
      <c r="X1948" s="24" t="str">
        <f t="shared" si="811"/>
        <v>tempo.105</v>
      </c>
      <c r="Y1948" s="24" t="str">
        <f t="shared" si="812"/>
        <v>Ação de temporalizar</v>
      </c>
      <c r="Z1948" s="47" t="s">
        <v>4576</v>
      </c>
      <c r="AA1948" s="25" t="str">
        <f t="shared" si="829"/>
        <v>null</v>
      </c>
      <c r="AB1948" s="26" t="s">
        <v>0</v>
      </c>
      <c r="AC1948" s="25" t="str">
        <f t="shared" si="830"/>
        <v>null</v>
      </c>
      <c r="AD1948" s="26" t="s">
        <v>0</v>
      </c>
      <c r="AE1948" s="25" t="str">
        <f t="shared" si="803"/>
        <v>null</v>
      </c>
      <c r="AF1948" s="26" t="s">
        <v>0</v>
      </c>
      <c r="AG1948" s="47" t="s">
        <v>4843</v>
      </c>
    </row>
    <row r="1949" spans="1:33" ht="6.9" customHeight="1" x14ac:dyDescent="0.4">
      <c r="A1949" s="4">
        <f>ROW()</f>
        <v>1949</v>
      </c>
      <c r="B1949" s="9" t="s">
        <v>27</v>
      </c>
      <c r="C1949" s="55" t="str">
        <f t="shared" si="831"/>
        <v>p.temporalizar</v>
      </c>
      <c r="D1949" s="6" t="str">
        <f t="shared" si="813"/>
        <v>é.dia</v>
      </c>
      <c r="E1949" s="8" t="s">
        <v>28</v>
      </c>
      <c r="F1949" s="42" t="str">
        <f t="shared" si="832"/>
        <v>d.temporalizar</v>
      </c>
      <c r="G1949" s="17" t="s">
        <v>199</v>
      </c>
      <c r="H1949" s="41" t="s">
        <v>328</v>
      </c>
      <c r="I1949" s="16" t="str">
        <f t="shared" si="828"/>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809"/>
        <v>Propriedade destinada a temporalizar: é.dia</v>
      </c>
      <c r="V1949" s="5" t="str">
        <f t="shared" si="810"/>
        <v>Dado para temporalizar:  dia  Deve ser formatado como (xsd:date)</v>
      </c>
      <c r="W1949" s="5" t="s">
        <v>6539</v>
      </c>
      <c r="X1949" s="24" t="str">
        <f t="shared" si="811"/>
        <v>tempo.106</v>
      </c>
      <c r="Y1949" s="24" t="str">
        <f t="shared" si="812"/>
        <v>Ação de temporalizar</v>
      </c>
      <c r="Z1949" s="47" t="s">
        <v>1890</v>
      </c>
      <c r="AA1949" s="25" t="str">
        <f t="shared" si="829"/>
        <v>null</v>
      </c>
      <c r="AB1949" s="26" t="s">
        <v>0</v>
      </c>
      <c r="AC1949" s="25" t="str">
        <f t="shared" si="830"/>
        <v>null</v>
      </c>
      <c r="AD1949" s="26" t="s">
        <v>0</v>
      </c>
      <c r="AE1949" s="25" t="str">
        <f t="shared" si="803"/>
        <v>null</v>
      </c>
      <c r="AF1949" s="26" t="s">
        <v>0</v>
      </c>
      <c r="AG1949" s="47" t="s">
        <v>4837</v>
      </c>
    </row>
    <row r="1950" spans="1:33" ht="6.9" customHeight="1" x14ac:dyDescent="0.4">
      <c r="A1950" s="4">
        <f>ROW()</f>
        <v>1950</v>
      </c>
      <c r="B1950" s="9" t="s">
        <v>27</v>
      </c>
      <c r="C1950" s="55" t="str">
        <f t="shared" si="831"/>
        <v>p.temporalizar</v>
      </c>
      <c r="D1950" s="6" t="str">
        <f t="shared" si="813"/>
        <v>é.durabilidade</v>
      </c>
      <c r="E1950" s="8" t="s">
        <v>28</v>
      </c>
      <c r="F1950" s="42" t="str">
        <f t="shared" si="832"/>
        <v>d.temporalizar</v>
      </c>
      <c r="G1950" s="18" t="s">
        <v>226</v>
      </c>
      <c r="H1950" s="41" t="s">
        <v>332</v>
      </c>
      <c r="I1950" s="16" t="str">
        <f t="shared" si="828"/>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809"/>
        <v>Propriedade destinada a temporalizar: é.durabilidade</v>
      </c>
      <c r="V1950" s="5" t="str">
        <f t="shared" si="810"/>
        <v>Dado para temporalizar:  durabilidade  Deve ser formatado como (xsd:duration)</v>
      </c>
      <c r="W1950" s="5" t="s">
        <v>6540</v>
      </c>
      <c r="X1950" s="24" t="str">
        <f t="shared" si="811"/>
        <v>tempo.107</v>
      </c>
      <c r="Y1950" s="24" t="str">
        <f t="shared" si="812"/>
        <v>Ação de temporalizar</v>
      </c>
      <c r="Z1950" s="47" t="s">
        <v>4612</v>
      </c>
      <c r="AA1950" s="25" t="str">
        <f t="shared" si="829"/>
        <v>null</v>
      </c>
      <c r="AB1950" s="26" t="s">
        <v>0</v>
      </c>
      <c r="AC1950" s="25" t="str">
        <f t="shared" si="830"/>
        <v>null</v>
      </c>
      <c r="AD1950" s="26" t="s">
        <v>0</v>
      </c>
      <c r="AE1950" s="25" t="str">
        <f t="shared" si="803"/>
        <v>null</v>
      </c>
      <c r="AF1950" s="26" t="s">
        <v>0</v>
      </c>
      <c r="AG1950" s="47" t="s">
        <v>4829</v>
      </c>
    </row>
    <row r="1951" spans="1:33" ht="6.9" customHeight="1" x14ac:dyDescent="0.4">
      <c r="A1951" s="4">
        <f>ROW()</f>
        <v>1951</v>
      </c>
      <c r="B1951" s="9" t="s">
        <v>27</v>
      </c>
      <c r="C1951" s="55" t="str">
        <f t="shared" si="831"/>
        <v>p.temporalizar</v>
      </c>
      <c r="D1951" s="6" t="str">
        <f t="shared" si="813"/>
        <v>é.duração</v>
      </c>
      <c r="E1951" s="8" t="s">
        <v>28</v>
      </c>
      <c r="F1951" s="42" t="str">
        <f t="shared" si="832"/>
        <v>d.temporalizar</v>
      </c>
      <c r="G1951" s="18" t="s">
        <v>111</v>
      </c>
      <c r="H1951" s="41" t="s">
        <v>332</v>
      </c>
      <c r="I1951" s="16" t="str">
        <f t="shared" si="828"/>
        <v>Functional</v>
      </c>
      <c r="J1951" s="13" t="s">
        <v>29</v>
      </c>
      <c r="K1951" s="13" t="s">
        <v>0</v>
      </c>
      <c r="L1951" s="13" t="s">
        <v>0</v>
      </c>
      <c r="M1951" s="13" t="s">
        <v>0</v>
      </c>
      <c r="N1951" s="13" t="s">
        <v>0</v>
      </c>
      <c r="O1951" s="13" t="s">
        <v>0</v>
      </c>
      <c r="P1951" s="13" t="s">
        <v>0</v>
      </c>
      <c r="Q1951" s="13" t="s">
        <v>0</v>
      </c>
      <c r="R1951" s="15" t="s">
        <v>0</v>
      </c>
      <c r="S1951" s="10" t="s">
        <v>1</v>
      </c>
      <c r="T1951" s="10" t="s">
        <v>32</v>
      </c>
      <c r="U1951" s="5" t="str">
        <f t="shared" si="809"/>
        <v>Propriedade destinada a temporalizar: é.duração</v>
      </c>
      <c r="V1951" s="5" t="str">
        <f t="shared" si="810"/>
        <v>Dado para temporalizar:  duração  Deve ser formatado como (xsd:duration)</v>
      </c>
      <c r="W1951" s="5" t="s">
        <v>6541</v>
      </c>
      <c r="X1951" s="24" t="str">
        <f t="shared" si="811"/>
        <v>tempo.108</v>
      </c>
      <c r="Y1951" s="24" t="str">
        <f t="shared" si="812"/>
        <v>Ação de temporalizar</v>
      </c>
      <c r="Z1951" s="47" t="s">
        <v>4572</v>
      </c>
      <c r="AA1951" s="25" t="str">
        <f t="shared" si="829"/>
        <v>null</v>
      </c>
      <c r="AB1951" s="26" t="s">
        <v>0</v>
      </c>
      <c r="AC1951" s="25" t="str">
        <f t="shared" si="830"/>
        <v>null</v>
      </c>
      <c r="AD1951" s="26" t="s">
        <v>0</v>
      </c>
      <c r="AE1951" s="25" t="str">
        <f t="shared" si="803"/>
        <v>null</v>
      </c>
      <c r="AF1951" s="26" t="s">
        <v>0</v>
      </c>
      <c r="AG1951" s="47" t="s">
        <v>4840</v>
      </c>
    </row>
    <row r="1952" spans="1:33" ht="6.9" customHeight="1" x14ac:dyDescent="0.4">
      <c r="A1952" s="4">
        <f>ROW()</f>
        <v>1952</v>
      </c>
      <c r="B1952" s="9" t="s">
        <v>27</v>
      </c>
      <c r="C1952" s="55" t="str">
        <f t="shared" si="831"/>
        <v>p.temporalizar</v>
      </c>
      <c r="D1952" s="6" t="str">
        <f t="shared" si="813"/>
        <v>é.horário</v>
      </c>
      <c r="E1952" s="8" t="s">
        <v>28</v>
      </c>
      <c r="F1952" s="42" t="str">
        <f t="shared" si="832"/>
        <v>d.temporalizar</v>
      </c>
      <c r="G1952" s="18" t="s">
        <v>112</v>
      </c>
      <c r="H1952" s="41" t="s">
        <v>329</v>
      </c>
      <c r="I1952" s="16" t="str">
        <f t="shared" si="828"/>
        <v>Functional</v>
      </c>
      <c r="J1952" s="13" t="s">
        <v>29</v>
      </c>
      <c r="K1952" s="13" t="s">
        <v>0</v>
      </c>
      <c r="L1952" s="13" t="s">
        <v>0</v>
      </c>
      <c r="M1952" s="13" t="s">
        <v>0</v>
      </c>
      <c r="N1952" s="13" t="s">
        <v>0</v>
      </c>
      <c r="O1952" s="13" t="s">
        <v>0</v>
      </c>
      <c r="P1952" s="13" t="s">
        <v>0</v>
      </c>
      <c r="Q1952" s="13" t="s">
        <v>0</v>
      </c>
      <c r="R1952" s="15" t="s">
        <v>0</v>
      </c>
      <c r="S1952" s="10" t="s">
        <v>1</v>
      </c>
      <c r="T1952" s="10" t="s">
        <v>32</v>
      </c>
      <c r="U1952" s="5" t="str">
        <f t="shared" si="809"/>
        <v>Propriedade destinada a temporalizar: é.horário</v>
      </c>
      <c r="V1952" s="5" t="str">
        <f t="shared" si="810"/>
        <v>Dado para temporalizar:  horário  Deve ser formatado como (xsd:time)</v>
      </c>
      <c r="W1952" s="5" t="s">
        <v>6542</v>
      </c>
      <c r="X1952" s="24" t="str">
        <f t="shared" si="811"/>
        <v>tempo.109</v>
      </c>
      <c r="Y1952" s="24" t="str">
        <f t="shared" si="812"/>
        <v>Ação de temporalizar</v>
      </c>
      <c r="Z1952" s="47" t="s">
        <v>4573</v>
      </c>
      <c r="AA1952" s="25" t="str">
        <f t="shared" si="829"/>
        <v>null</v>
      </c>
      <c r="AB1952" s="26" t="s">
        <v>0</v>
      </c>
      <c r="AC1952" s="25" t="str">
        <f t="shared" si="830"/>
        <v>null</v>
      </c>
      <c r="AD1952" s="26" t="s">
        <v>0</v>
      </c>
      <c r="AE1952" s="25" t="str">
        <f t="shared" si="803"/>
        <v>null</v>
      </c>
      <c r="AF1952" s="26" t="s">
        <v>0</v>
      </c>
      <c r="AG1952" s="47" t="s">
        <v>4841</v>
      </c>
    </row>
    <row r="1953" spans="1:33" ht="6.9" customHeight="1" x14ac:dyDescent="0.4">
      <c r="A1953" s="4">
        <f>ROW()</f>
        <v>1953</v>
      </c>
      <c r="B1953" s="9" t="s">
        <v>27</v>
      </c>
      <c r="C1953" s="55" t="str">
        <f t="shared" si="831"/>
        <v>p.temporalizar</v>
      </c>
      <c r="D1953" s="6" t="str">
        <f t="shared" si="813"/>
        <v>é.instante</v>
      </c>
      <c r="E1953" s="8" t="s">
        <v>28</v>
      </c>
      <c r="F1953" s="42" t="str">
        <f t="shared" si="832"/>
        <v>d.temporalizar</v>
      </c>
      <c r="G1953" s="18" t="s">
        <v>3926</v>
      </c>
      <c r="H1953" s="42" t="s">
        <v>33</v>
      </c>
      <c r="I1953" s="16" t="str">
        <f t="shared" si="828"/>
        <v>null</v>
      </c>
      <c r="J1953" s="13" t="s">
        <v>0</v>
      </c>
      <c r="K1953" s="13" t="s">
        <v>0</v>
      </c>
      <c r="L1953" s="13" t="s">
        <v>0</v>
      </c>
      <c r="M1953" s="13" t="s">
        <v>0</v>
      </c>
      <c r="N1953" s="15" t="s">
        <v>0</v>
      </c>
      <c r="O1953" s="13" t="s">
        <v>0</v>
      </c>
      <c r="P1953" s="13" t="s">
        <v>0</v>
      </c>
      <c r="Q1953" s="13" t="s">
        <v>0</v>
      </c>
      <c r="R1953" s="65" t="s">
        <v>0</v>
      </c>
      <c r="S1953" s="10" t="s">
        <v>1</v>
      </c>
      <c r="T1953" s="10" t="s">
        <v>32</v>
      </c>
      <c r="U1953" s="5" t="str">
        <f t="shared" si="809"/>
        <v>Propriedade destinada a temporalizar: é.instante</v>
      </c>
      <c r="V1953" s="5" t="str">
        <f t="shared" si="810"/>
        <v>Dado para temporalizar:  instante  Deve ser formatado como (xsd:integer)</v>
      </c>
      <c r="W1953" s="5" t="s">
        <v>6543</v>
      </c>
      <c r="X1953" s="24" t="str">
        <f t="shared" si="811"/>
        <v>tempo.110</v>
      </c>
      <c r="Y1953" s="24" t="str">
        <f t="shared" si="812"/>
        <v>Ação de temporalizar</v>
      </c>
      <c r="Z1953" s="47" t="s">
        <v>3927</v>
      </c>
      <c r="AA1953" s="25" t="str">
        <f t="shared" si="829"/>
        <v>null</v>
      </c>
      <c r="AB1953" s="26" t="s">
        <v>0</v>
      </c>
      <c r="AC1953" s="25" t="str">
        <f t="shared" si="830"/>
        <v>null</v>
      </c>
      <c r="AD1953" s="26" t="s">
        <v>0</v>
      </c>
      <c r="AE1953" s="25" t="str">
        <f t="shared" si="803"/>
        <v>null</v>
      </c>
      <c r="AF1953" s="26" t="s">
        <v>0</v>
      </c>
      <c r="AG1953" s="47" t="s">
        <v>3928</v>
      </c>
    </row>
    <row r="1954" spans="1:33" ht="6.9" customHeight="1" x14ac:dyDescent="0.4">
      <c r="A1954" s="4">
        <f>ROW()</f>
        <v>1954</v>
      </c>
      <c r="B1954" s="9" t="s">
        <v>27</v>
      </c>
      <c r="C1954" s="55" t="str">
        <f t="shared" si="831"/>
        <v>p.temporalizar</v>
      </c>
      <c r="D1954" s="6" t="str">
        <f t="shared" si="813"/>
        <v>é.mês</v>
      </c>
      <c r="E1954" s="8" t="s">
        <v>28</v>
      </c>
      <c r="F1954" s="42" t="str">
        <f t="shared" si="832"/>
        <v>d.temporalizar</v>
      </c>
      <c r="G1954" s="17" t="s">
        <v>200</v>
      </c>
      <c r="H1954" s="41" t="s">
        <v>2013</v>
      </c>
      <c r="I1954" s="16" t="str">
        <f t="shared" si="828"/>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809"/>
        <v>Propriedade destinada a temporalizar: é.mês</v>
      </c>
      <c r="V1954" s="5" t="str">
        <f t="shared" si="810"/>
        <v>Dado para temporalizar:  mês  Deve ser formatado como (xsd:gYearMonth)</v>
      </c>
      <c r="W1954" s="5" t="s">
        <v>6544</v>
      </c>
      <c r="X1954" s="24" t="str">
        <f t="shared" si="811"/>
        <v>tempo.111</v>
      </c>
      <c r="Y1954" s="24" t="str">
        <f t="shared" si="812"/>
        <v>Ação de temporalizar</v>
      </c>
      <c r="Z1954" s="47" t="s">
        <v>1891</v>
      </c>
      <c r="AA1954" s="25" t="str">
        <f t="shared" si="829"/>
        <v>null</v>
      </c>
      <c r="AB1954" s="26" t="s">
        <v>0</v>
      </c>
      <c r="AC1954" s="25" t="str">
        <f t="shared" si="830"/>
        <v>null</v>
      </c>
      <c r="AD1954" s="26" t="s">
        <v>0</v>
      </c>
      <c r="AE1954" s="25" t="str">
        <f t="shared" si="803"/>
        <v>null</v>
      </c>
      <c r="AF1954" s="26" t="s">
        <v>0</v>
      </c>
      <c r="AG1954" s="47" t="s">
        <v>4752</v>
      </c>
    </row>
    <row r="1955" spans="1:33" ht="6.9" customHeight="1" x14ac:dyDescent="0.4">
      <c r="A1955" s="4">
        <f>ROW()</f>
        <v>1955</v>
      </c>
      <c r="B1955" s="9" t="s">
        <v>27</v>
      </c>
      <c r="C1955" s="55" t="str">
        <f t="shared" si="831"/>
        <v>p.temporalizar</v>
      </c>
      <c r="D1955" s="6" t="str">
        <f t="shared" si="813"/>
        <v>é.momento</v>
      </c>
      <c r="E1955" s="8" t="s">
        <v>28</v>
      </c>
      <c r="F1955" s="42" t="str">
        <f t="shared" si="832"/>
        <v>d.temporalizar</v>
      </c>
      <c r="G1955" s="18" t="s">
        <v>168</v>
      </c>
      <c r="H1955" s="41" t="s">
        <v>331</v>
      </c>
      <c r="I1955" s="16" t="str">
        <f t="shared" si="828"/>
        <v>Functional</v>
      </c>
      <c r="J1955" s="13" t="s">
        <v>29</v>
      </c>
      <c r="K1955" s="13" t="s">
        <v>0</v>
      </c>
      <c r="L1955" s="13" t="s">
        <v>0</v>
      </c>
      <c r="M1955" s="13" t="s">
        <v>0</v>
      </c>
      <c r="N1955" s="13" t="s">
        <v>0</v>
      </c>
      <c r="O1955" s="13" t="s">
        <v>0</v>
      </c>
      <c r="P1955" s="13" t="s">
        <v>0</v>
      </c>
      <c r="Q1955" s="13" t="s">
        <v>0</v>
      </c>
      <c r="R1955" s="15" t="s">
        <v>0</v>
      </c>
      <c r="S1955" s="10" t="s">
        <v>1</v>
      </c>
      <c r="T1955" s="10" t="s">
        <v>32</v>
      </c>
      <c r="U1955" s="5" t="str">
        <f t="shared" si="809"/>
        <v>Propriedade destinada a temporalizar: é.momento</v>
      </c>
      <c r="V1955" s="5" t="str">
        <f t="shared" si="810"/>
        <v>Dado para temporalizar:  momento  Deve ser formatado como (xsd:dayTimeDuration)</v>
      </c>
      <c r="W1955" s="5" t="s">
        <v>7446</v>
      </c>
      <c r="X1955" s="24" t="str">
        <f t="shared" si="811"/>
        <v>tempo.112</v>
      </c>
      <c r="Y1955" s="24" t="str">
        <f t="shared" si="812"/>
        <v>Ação de temporalizar</v>
      </c>
      <c r="Z1955" s="47" t="s">
        <v>4570</v>
      </c>
      <c r="AA1955" s="25" t="str">
        <f t="shared" si="829"/>
        <v>null</v>
      </c>
      <c r="AB1955" s="26" t="s">
        <v>0</v>
      </c>
      <c r="AC1955" s="25" t="str">
        <f t="shared" si="830"/>
        <v>null</v>
      </c>
      <c r="AD1955" s="26" t="s">
        <v>0</v>
      </c>
      <c r="AE1955" s="25" t="str">
        <f t="shared" si="803"/>
        <v>null</v>
      </c>
      <c r="AF1955" s="26" t="s">
        <v>0</v>
      </c>
      <c r="AG1955" s="47" t="s">
        <v>4839</v>
      </c>
    </row>
    <row r="1956" spans="1:33" ht="6.9" customHeight="1" x14ac:dyDescent="0.4">
      <c r="A1956" s="4">
        <f>ROW()</f>
        <v>1956</v>
      </c>
      <c r="B1956" s="9" t="s">
        <v>27</v>
      </c>
      <c r="C1956" s="55" t="str">
        <f t="shared" si="831"/>
        <v>p.temporalizar</v>
      </c>
      <c r="D1956" s="6" t="str">
        <f t="shared" si="813"/>
        <v>é.momento.final</v>
      </c>
      <c r="E1956" s="8" t="s">
        <v>28</v>
      </c>
      <c r="F1956" s="42" t="str">
        <f t="shared" si="832"/>
        <v>d.temporalizar</v>
      </c>
      <c r="G1956" s="18" t="s">
        <v>1013</v>
      </c>
      <c r="H1956" s="41" t="s">
        <v>331</v>
      </c>
      <c r="I1956" s="16" t="str">
        <f t="shared" si="828"/>
        <v>Functional</v>
      </c>
      <c r="J1956" s="13" t="s">
        <v>29</v>
      </c>
      <c r="K1956" s="13" t="s">
        <v>0</v>
      </c>
      <c r="L1956" s="13" t="s">
        <v>0</v>
      </c>
      <c r="M1956" s="13" t="s">
        <v>0</v>
      </c>
      <c r="N1956" s="13" t="s">
        <v>0</v>
      </c>
      <c r="O1956" s="13" t="s">
        <v>0</v>
      </c>
      <c r="P1956" s="13" t="s">
        <v>0</v>
      </c>
      <c r="Q1956" s="13" t="s">
        <v>0</v>
      </c>
      <c r="R1956" s="15" t="s">
        <v>0</v>
      </c>
      <c r="S1956" s="10" t="s">
        <v>1</v>
      </c>
      <c r="T1956" s="10" t="s">
        <v>32</v>
      </c>
      <c r="U1956" s="5" t="str">
        <f t="shared" si="809"/>
        <v>Propriedade destinada a temporalizar: é.momento.final</v>
      </c>
      <c r="V1956" s="5" t="str">
        <f t="shared" si="810"/>
        <v>Dado para temporalizar:  momento.final  Deve ser formatado como (xsd:dayTimeDuration)</v>
      </c>
      <c r="W1956" s="5" t="s">
        <v>7447</v>
      </c>
      <c r="X1956" s="24" t="str">
        <f t="shared" si="811"/>
        <v>tempo.113</v>
      </c>
      <c r="Y1956" s="24" t="str">
        <f t="shared" si="812"/>
        <v>Ação de temporalizar</v>
      </c>
      <c r="Z1956" s="47" t="s">
        <v>4571</v>
      </c>
      <c r="AA1956" s="25" t="str">
        <f t="shared" si="829"/>
        <v>null</v>
      </c>
      <c r="AB1956" s="26" t="s">
        <v>0</v>
      </c>
      <c r="AC1956" s="25" t="str">
        <f t="shared" si="830"/>
        <v>null</v>
      </c>
      <c r="AD1956" s="26" t="s">
        <v>0</v>
      </c>
      <c r="AE1956" s="25" t="str">
        <f t="shared" si="803"/>
        <v>null</v>
      </c>
      <c r="AF1956" s="26" t="s">
        <v>0</v>
      </c>
      <c r="AG1956" s="47" t="s">
        <v>4828</v>
      </c>
    </row>
    <row r="1957" spans="1:33" ht="6.9" customHeight="1" x14ac:dyDescent="0.4">
      <c r="A1957" s="4">
        <f>ROW()</f>
        <v>1957</v>
      </c>
      <c r="B1957" s="9" t="s">
        <v>27</v>
      </c>
      <c r="C1957" s="55" t="str">
        <f t="shared" si="831"/>
        <v>p.temporalizar</v>
      </c>
      <c r="D1957" s="6" t="str">
        <f t="shared" si="813"/>
        <v>é.momento.inicial</v>
      </c>
      <c r="E1957" s="8" t="s">
        <v>28</v>
      </c>
      <c r="F1957" s="42" t="str">
        <f t="shared" si="832"/>
        <v>d.temporalizar</v>
      </c>
      <c r="G1957" s="18" t="s">
        <v>1012</v>
      </c>
      <c r="H1957" s="41" t="s">
        <v>331</v>
      </c>
      <c r="I1957" s="16" t="str">
        <f t="shared" ref="I1957:I1960" si="833">J1957</f>
        <v>Functional</v>
      </c>
      <c r="J1957" s="13" t="s">
        <v>29</v>
      </c>
      <c r="K1957" s="13" t="s">
        <v>0</v>
      </c>
      <c r="L1957" s="13" t="s">
        <v>0</v>
      </c>
      <c r="M1957" s="13" t="s">
        <v>0</v>
      </c>
      <c r="N1957" s="13" t="s">
        <v>0</v>
      </c>
      <c r="O1957" s="13" t="s">
        <v>0</v>
      </c>
      <c r="P1957" s="13" t="s">
        <v>0</v>
      </c>
      <c r="Q1957" s="13" t="s">
        <v>0</v>
      </c>
      <c r="R1957" s="15" t="s">
        <v>0</v>
      </c>
      <c r="S1957" s="10" t="s">
        <v>1</v>
      </c>
      <c r="T1957" s="10" t="s">
        <v>32</v>
      </c>
      <c r="U1957" s="5" t="str">
        <f t="shared" si="809"/>
        <v>Propriedade destinada a temporalizar: é.momento.inicial</v>
      </c>
      <c r="V1957" s="5" t="str">
        <f t="shared" si="810"/>
        <v>Dado para temporalizar:  momento.inicial  Deve ser formatado como (xsd:dayTimeDuration)</v>
      </c>
      <c r="W1957" s="5" t="s">
        <v>7448</v>
      </c>
      <c r="X1957" s="24" t="str">
        <f t="shared" si="811"/>
        <v>tempo.114</v>
      </c>
      <c r="Y1957" s="24" t="str">
        <f t="shared" si="812"/>
        <v>Ação de temporalizar</v>
      </c>
      <c r="Z1957" s="47" t="s">
        <v>4569</v>
      </c>
      <c r="AA1957" s="25" t="str">
        <f t="shared" ref="AA1957:AA1960" si="834">IF(AB1957="null", "null", "categoria.revit")</f>
        <v>null</v>
      </c>
      <c r="AB1957" s="26" t="s">
        <v>0</v>
      </c>
      <c r="AC1957" s="25" t="str">
        <f t="shared" ref="AC1957:AC1960" si="835">IF(AD1957="null", "null", "classe.ifc")</f>
        <v>null</v>
      </c>
      <c r="AD1957" s="26" t="s">
        <v>0</v>
      </c>
      <c r="AE1957" s="25" t="str">
        <f t="shared" ref="AE1957:AE2014" si="836">IF(AF1957="null", "null", "propriedade")</f>
        <v>null</v>
      </c>
      <c r="AF1957" s="26" t="s">
        <v>0</v>
      </c>
      <c r="AG1957" s="47" t="s">
        <v>4827</v>
      </c>
    </row>
    <row r="1958" spans="1:33" ht="6.9" customHeight="1" x14ac:dyDescent="0.4">
      <c r="A1958" s="4">
        <f>ROW()</f>
        <v>1958</v>
      </c>
      <c r="B1958" s="9" t="s">
        <v>27</v>
      </c>
      <c r="C1958" s="55" t="str">
        <f t="shared" ref="C1958:C1960" si="837">SUBSTITUTE(F1958,"d.","p.")</f>
        <v>p.temporalizar</v>
      </c>
      <c r="D1958" s="6" t="str">
        <f t="shared" si="813"/>
        <v>é.periodicidade</v>
      </c>
      <c r="E1958" s="8" t="s">
        <v>28</v>
      </c>
      <c r="F1958" s="42" t="str">
        <f>F1956</f>
        <v>d.temporalizar</v>
      </c>
      <c r="G1958" s="18" t="s">
        <v>62</v>
      </c>
      <c r="H1958" s="41" t="s">
        <v>2121</v>
      </c>
      <c r="I1958" s="16" t="str">
        <f t="shared" si="833"/>
        <v>null</v>
      </c>
      <c r="J1958" s="13" t="s">
        <v>0</v>
      </c>
      <c r="K1958" s="13" t="s">
        <v>0</v>
      </c>
      <c r="L1958" s="15" t="s">
        <v>0</v>
      </c>
      <c r="M1958" s="13" t="s">
        <v>0</v>
      </c>
      <c r="N1958" s="15" t="s">
        <v>0</v>
      </c>
      <c r="O1958" s="13" t="s">
        <v>0</v>
      </c>
      <c r="P1958" s="13" t="s">
        <v>0</v>
      </c>
      <c r="Q1958" s="13" t="s">
        <v>0</v>
      </c>
      <c r="R1958" s="15" t="s">
        <v>0</v>
      </c>
      <c r="S1958" s="10" t="s">
        <v>1</v>
      </c>
      <c r="T1958" s="10" t="s">
        <v>32</v>
      </c>
      <c r="U1958" s="5" t="str">
        <f t="shared" si="809"/>
        <v>Propriedade destinada a temporalizar: é.periodicidade</v>
      </c>
      <c r="V1958" s="5" t="str">
        <f t="shared" si="810"/>
        <v>Dado para temporalizar:  periodicidade  Deve ser formatado como (rdfs:Literal  or  xsd:string)</v>
      </c>
      <c r="W1958" s="5" t="s">
        <v>7449</v>
      </c>
      <c r="X1958" s="24" t="str">
        <f t="shared" si="811"/>
        <v>tempo.115</v>
      </c>
      <c r="Y1958" s="24" t="str">
        <f t="shared" si="812"/>
        <v>Ação de temporalizar</v>
      </c>
      <c r="Z1958" s="47" t="s">
        <v>4578</v>
      </c>
      <c r="AA1958" s="25" t="str">
        <f t="shared" si="834"/>
        <v>null</v>
      </c>
      <c r="AB1958" s="26" t="s">
        <v>0</v>
      </c>
      <c r="AC1958" s="25" t="str">
        <f t="shared" si="835"/>
        <v>null</v>
      </c>
      <c r="AD1958" s="26" t="s">
        <v>0</v>
      </c>
      <c r="AE1958" s="25" t="str">
        <f t="shared" ref="AE1958:AE1960" si="838">IF(AF1958="null", "null", "propriedade")</f>
        <v>null</v>
      </c>
      <c r="AF1958" s="26" t="s">
        <v>0</v>
      </c>
      <c r="AG1958" s="47" t="s">
        <v>4830</v>
      </c>
    </row>
    <row r="1959" spans="1:33" ht="6.9" customHeight="1" x14ac:dyDescent="0.4">
      <c r="A1959" s="4">
        <f>ROW()</f>
        <v>1959</v>
      </c>
      <c r="B1959" s="9" t="s">
        <v>27</v>
      </c>
      <c r="C1959" s="55" t="str">
        <f t="shared" ref="C1959" si="839">SUBSTITUTE(F1959,"d.","p.")</f>
        <v>p.temporalizar</v>
      </c>
      <c r="D1959" s="6" t="str">
        <f t="shared" si="813"/>
        <v>é.tempo.de.cura.inicial</v>
      </c>
      <c r="E1959" s="8" t="s">
        <v>28</v>
      </c>
      <c r="F1959" s="42" t="str">
        <f t="shared" ref="F1959:F1962" si="840">F1957</f>
        <v>d.temporalizar</v>
      </c>
      <c r="G1959" s="18" t="s">
        <v>7554</v>
      </c>
      <c r="H1959" s="41" t="s">
        <v>331</v>
      </c>
      <c r="I1959" s="16" t="str">
        <f t="shared" si="833"/>
        <v>null</v>
      </c>
      <c r="J1959" s="13" t="s">
        <v>0</v>
      </c>
      <c r="K1959" s="13" t="s">
        <v>0</v>
      </c>
      <c r="L1959" s="15" t="s">
        <v>0</v>
      </c>
      <c r="M1959" s="13" t="s">
        <v>0</v>
      </c>
      <c r="N1959" s="15" t="s">
        <v>0</v>
      </c>
      <c r="O1959" s="13" t="s">
        <v>0</v>
      </c>
      <c r="P1959" s="13" t="s">
        <v>0</v>
      </c>
      <c r="Q1959" s="13" t="s">
        <v>0</v>
      </c>
      <c r="R1959" s="15" t="s">
        <v>0</v>
      </c>
      <c r="S1959" s="10" t="s">
        <v>1</v>
      </c>
      <c r="T1959" s="10" t="s">
        <v>32</v>
      </c>
      <c r="U1959" s="5" t="str">
        <f t="shared" si="809"/>
        <v>Propriedade destinada a temporalizar: é.tempo.de.cura.inicial</v>
      </c>
      <c r="V1959" s="5" t="str">
        <f t="shared" si="810"/>
        <v>Dado para temporalizar:  tempo.de.cura.inicial  Deve ser formatado como (xsd:dayTimeDuration)</v>
      </c>
      <c r="W1959" s="5" t="s">
        <v>7555</v>
      </c>
      <c r="X1959" s="24" t="str">
        <f t="shared" si="811"/>
        <v>tempo.116</v>
      </c>
      <c r="Y1959" s="24" t="str">
        <f t="shared" si="812"/>
        <v>Ação de temporalizar</v>
      </c>
      <c r="Z1959" s="47" t="s">
        <v>7563</v>
      </c>
      <c r="AA1959" s="25" t="str">
        <f t="shared" ref="AA1959" si="841">IF(AB1959="null", "null", "categoria.revit")</f>
        <v>null</v>
      </c>
      <c r="AB1959" s="26" t="s">
        <v>0</v>
      </c>
      <c r="AC1959" s="25" t="str">
        <f t="shared" ref="AC1959" si="842">IF(AD1959="null", "null", "classe.ifc")</f>
        <v>null</v>
      </c>
      <c r="AD1959" s="26" t="s">
        <v>0</v>
      </c>
      <c r="AE1959" s="25" t="str">
        <f t="shared" ref="AE1959" si="843">IF(AF1959="null", "null", "propriedade")</f>
        <v>propriedade</v>
      </c>
      <c r="AF1959" s="26" t="s">
        <v>7565</v>
      </c>
      <c r="AG1959" s="47" t="s">
        <v>7559</v>
      </c>
    </row>
    <row r="1960" spans="1:33" ht="6.9" customHeight="1" x14ac:dyDescent="0.4">
      <c r="A1960" s="4">
        <f>ROW()</f>
        <v>1960</v>
      </c>
      <c r="B1960" s="9" t="s">
        <v>27</v>
      </c>
      <c r="C1960" s="55" t="str">
        <f t="shared" si="837"/>
        <v>p.temporalizar</v>
      </c>
      <c r="D1960" s="6" t="str">
        <f t="shared" si="813"/>
        <v>é.tempo.de.cura.total</v>
      </c>
      <c r="E1960" s="8" t="s">
        <v>28</v>
      </c>
      <c r="F1960" s="42" t="str">
        <f t="shared" si="840"/>
        <v>d.temporalizar</v>
      </c>
      <c r="G1960" s="18" t="s">
        <v>7553</v>
      </c>
      <c r="H1960" s="41" t="s">
        <v>331</v>
      </c>
      <c r="I1960" s="16" t="str">
        <f t="shared" si="833"/>
        <v>null</v>
      </c>
      <c r="J1960" s="13" t="s">
        <v>0</v>
      </c>
      <c r="K1960" s="13" t="s">
        <v>0</v>
      </c>
      <c r="L1960" s="15" t="s">
        <v>0</v>
      </c>
      <c r="M1960" s="13" t="s">
        <v>0</v>
      </c>
      <c r="N1960" s="15" t="s">
        <v>0</v>
      </c>
      <c r="O1960" s="13" t="s">
        <v>0</v>
      </c>
      <c r="P1960" s="13" t="s">
        <v>0</v>
      </c>
      <c r="Q1960" s="13" t="s">
        <v>0</v>
      </c>
      <c r="R1960" s="15" t="s">
        <v>0</v>
      </c>
      <c r="S1960" s="10" t="s">
        <v>1</v>
      </c>
      <c r="T1960" s="10" t="s">
        <v>32</v>
      </c>
      <c r="U1960" s="5" t="str">
        <f t="shared" si="809"/>
        <v>Propriedade destinada a temporalizar: é.tempo.de.cura.total</v>
      </c>
      <c r="V1960" s="5" t="str">
        <f t="shared" si="810"/>
        <v>Dado para temporalizar:  tempo.de.cura.total  Deve ser formatado como (xsd:dayTimeDuration)</v>
      </c>
      <c r="W1960" s="5" t="s">
        <v>7556</v>
      </c>
      <c r="X1960" s="24" t="str">
        <f t="shared" si="811"/>
        <v>tempo.117</v>
      </c>
      <c r="Y1960" s="24" t="str">
        <f t="shared" si="812"/>
        <v>Ação de temporalizar</v>
      </c>
      <c r="Z1960" s="47" t="s">
        <v>7564</v>
      </c>
      <c r="AA1960" s="25" t="str">
        <f t="shared" si="834"/>
        <v>null</v>
      </c>
      <c r="AB1960" s="26" t="s">
        <v>0</v>
      </c>
      <c r="AC1960" s="25" t="str">
        <f t="shared" si="835"/>
        <v>null</v>
      </c>
      <c r="AD1960" s="26" t="s">
        <v>0</v>
      </c>
      <c r="AE1960" s="25" t="str">
        <f t="shared" si="838"/>
        <v>propriedade</v>
      </c>
      <c r="AF1960" s="26" t="s">
        <v>7565</v>
      </c>
      <c r="AG1960" s="47" t="s">
        <v>7560</v>
      </c>
    </row>
    <row r="1961" spans="1:33" ht="6.9" customHeight="1" x14ac:dyDescent="0.4">
      <c r="A1961" s="4">
        <f>ROW()</f>
        <v>1961</v>
      </c>
      <c r="B1961" s="9" t="s">
        <v>27</v>
      </c>
      <c r="C1961" s="55" t="str">
        <f t="shared" ref="C1961" si="844">SUBSTITUTE(F1961,"d.","p.")</f>
        <v>p.temporalizar</v>
      </c>
      <c r="D1961" s="6" t="str">
        <f t="shared" si="813"/>
        <v>é.tempo.de.espera</v>
      </c>
      <c r="E1961" s="8" t="s">
        <v>28</v>
      </c>
      <c r="F1961" s="42" t="str">
        <f t="shared" si="840"/>
        <v>d.temporalizar</v>
      </c>
      <c r="G1961" s="18" t="s">
        <v>7549</v>
      </c>
      <c r="H1961" s="41" t="s">
        <v>331</v>
      </c>
      <c r="I1961" s="16" t="str">
        <f t="shared" ref="I1961" si="845">J1961</f>
        <v>null</v>
      </c>
      <c r="J1961" s="13" t="s">
        <v>0</v>
      </c>
      <c r="K1961" s="13" t="s">
        <v>0</v>
      </c>
      <c r="L1961" s="15" t="s">
        <v>0</v>
      </c>
      <c r="M1961" s="13" t="s">
        <v>0</v>
      </c>
      <c r="N1961" s="15" t="s">
        <v>0</v>
      </c>
      <c r="O1961" s="13" t="s">
        <v>0</v>
      </c>
      <c r="P1961" s="13" t="s">
        <v>0</v>
      </c>
      <c r="Q1961" s="13" t="s">
        <v>0</v>
      </c>
      <c r="R1961" s="15" t="s">
        <v>0</v>
      </c>
      <c r="S1961" s="10" t="s">
        <v>1</v>
      </c>
      <c r="T1961" s="10" t="s">
        <v>32</v>
      </c>
      <c r="U1961" s="5" t="str">
        <f t="shared" si="809"/>
        <v>Propriedade destinada a temporalizar: é.tempo.de.espera</v>
      </c>
      <c r="V1961" s="5" t="str">
        <f t="shared" si="810"/>
        <v>Dado para temporalizar:  tempo.de.espera  Deve ser formatado como (xsd:dayTimeDuration)</v>
      </c>
      <c r="W1961" s="5" t="s">
        <v>7551</v>
      </c>
      <c r="X1961" s="24" t="str">
        <f t="shared" si="811"/>
        <v>tempo.118</v>
      </c>
      <c r="Y1961" s="24" t="str">
        <f t="shared" si="812"/>
        <v>Ação de temporalizar</v>
      </c>
      <c r="Z1961" s="47" t="s">
        <v>7561</v>
      </c>
      <c r="AA1961" s="25" t="str">
        <f t="shared" ref="AA1961" si="846">IF(AB1961="null", "null", "categoria.revit")</f>
        <v>null</v>
      </c>
      <c r="AB1961" s="26" t="s">
        <v>0</v>
      </c>
      <c r="AC1961" s="25" t="str">
        <f t="shared" ref="AC1961" si="847">IF(AD1961="null", "null", "classe.ifc")</f>
        <v>null</v>
      </c>
      <c r="AD1961" s="26" t="s">
        <v>0</v>
      </c>
      <c r="AE1961" s="25" t="str">
        <f t="shared" ref="AE1961" si="848">IF(AF1961="null", "null", "propriedade")</f>
        <v>propriedade</v>
      </c>
      <c r="AF1961" s="26" t="s">
        <v>7567</v>
      </c>
      <c r="AG1961" s="47" t="s">
        <v>7557</v>
      </c>
    </row>
    <row r="1962" spans="1:33" ht="6.9" customHeight="1" x14ac:dyDescent="0.4">
      <c r="A1962" s="4">
        <f>ROW()</f>
        <v>1962</v>
      </c>
      <c r="B1962" s="9" t="s">
        <v>27</v>
      </c>
      <c r="C1962" s="55" t="str">
        <f t="shared" si="831"/>
        <v>p.temporalizar</v>
      </c>
      <c r="D1962" s="6" t="str">
        <f t="shared" si="813"/>
        <v>é.tempo.de.secagem</v>
      </c>
      <c r="E1962" s="8" t="s">
        <v>28</v>
      </c>
      <c r="F1962" s="42" t="str">
        <f t="shared" si="840"/>
        <v>d.temporalizar</v>
      </c>
      <c r="G1962" s="18" t="s">
        <v>7550</v>
      </c>
      <c r="H1962" s="41" t="s">
        <v>331</v>
      </c>
      <c r="I1962" s="16" t="str">
        <f t="shared" ref="I1962:I1965" si="849">J1962</f>
        <v>null</v>
      </c>
      <c r="J1962" s="13" t="s">
        <v>0</v>
      </c>
      <c r="K1962" s="13" t="s">
        <v>0</v>
      </c>
      <c r="L1962" s="15" t="s">
        <v>0</v>
      </c>
      <c r="M1962" s="13" t="s">
        <v>0</v>
      </c>
      <c r="N1962" s="15" t="s">
        <v>0</v>
      </c>
      <c r="O1962" s="13" t="s">
        <v>0</v>
      </c>
      <c r="P1962" s="13" t="s">
        <v>0</v>
      </c>
      <c r="Q1962" s="13" t="s">
        <v>0</v>
      </c>
      <c r="R1962" s="15" t="s">
        <v>0</v>
      </c>
      <c r="S1962" s="10" t="s">
        <v>1</v>
      </c>
      <c r="T1962" s="10" t="s">
        <v>32</v>
      </c>
      <c r="U1962" s="5" t="str">
        <f t="shared" si="809"/>
        <v>Propriedade destinada a temporalizar: é.tempo.de.secagem</v>
      </c>
      <c r="V1962" s="5" t="str">
        <f t="shared" si="810"/>
        <v>Dado para temporalizar:  tempo.de.secagem  Deve ser formatado como (xsd:dayTimeDuration)</v>
      </c>
      <c r="W1962" s="5" t="s">
        <v>7552</v>
      </c>
      <c r="X1962" s="24" t="str">
        <f t="shared" si="811"/>
        <v>tempo.119</v>
      </c>
      <c r="Y1962" s="24" t="str">
        <f t="shared" si="812"/>
        <v>Ação de temporalizar</v>
      </c>
      <c r="Z1962" s="47" t="s">
        <v>7562</v>
      </c>
      <c r="AA1962" s="25" t="str">
        <f t="shared" ref="AA1962:AA1965" si="850">IF(AB1962="null", "null", "categoria.revit")</f>
        <v>null</v>
      </c>
      <c r="AB1962" s="26" t="s">
        <v>0</v>
      </c>
      <c r="AC1962" s="25" t="str">
        <f t="shared" ref="AC1962:AC1965" si="851">IF(AD1962="null", "null", "classe.ifc")</f>
        <v>null</v>
      </c>
      <c r="AD1962" s="26" t="s">
        <v>0</v>
      </c>
      <c r="AE1962" s="25" t="str">
        <f t="shared" si="836"/>
        <v>propriedade</v>
      </c>
      <c r="AF1962" s="26" t="s">
        <v>7566</v>
      </c>
      <c r="AG1962" s="47" t="s">
        <v>7558</v>
      </c>
    </row>
    <row r="1963" spans="1:33" ht="6.9" customHeight="1" x14ac:dyDescent="0.4">
      <c r="A1963" s="4">
        <f>ROW()</f>
        <v>1963</v>
      </c>
      <c r="B1963" s="9" t="s">
        <v>27</v>
      </c>
      <c r="C1963" s="54" t="str">
        <f t="shared" si="831"/>
        <v>p.transitar</v>
      </c>
      <c r="D1963" s="6" t="str">
        <f t="shared" si="813"/>
        <v>é.caminho</v>
      </c>
      <c r="E1963" s="8" t="s">
        <v>28</v>
      </c>
      <c r="F1963" s="51" t="s">
        <v>3638</v>
      </c>
      <c r="G1963" s="23" t="s">
        <v>5013</v>
      </c>
      <c r="H1963" s="41" t="s">
        <v>2121</v>
      </c>
      <c r="I1963" s="16" t="str">
        <f t="shared" si="849"/>
        <v>null</v>
      </c>
      <c r="J1963" s="15" t="s">
        <v>0</v>
      </c>
      <c r="K1963" s="13" t="s">
        <v>0</v>
      </c>
      <c r="L1963" s="13" t="s">
        <v>0</v>
      </c>
      <c r="M1963" s="13" t="s">
        <v>0</v>
      </c>
      <c r="N1963" s="13" t="s">
        <v>0</v>
      </c>
      <c r="O1963" s="13" t="s">
        <v>0</v>
      </c>
      <c r="P1963" s="13" t="s">
        <v>0</v>
      </c>
      <c r="Q1963" s="13" t="s">
        <v>0</v>
      </c>
      <c r="R1963" s="15" t="s">
        <v>0</v>
      </c>
      <c r="S1963" s="10" t="s">
        <v>1</v>
      </c>
      <c r="T1963" s="10" t="s">
        <v>32</v>
      </c>
      <c r="U1963" s="5" t="str">
        <f t="shared" si="809"/>
        <v>Propriedade destinada a transitar: é.caminho</v>
      </c>
      <c r="V1963" s="5" t="str">
        <f t="shared" si="810"/>
        <v>Dado para transitar:  caminho  Deve ser formatado como (rdfs:Literal  or  xsd:string)</v>
      </c>
      <c r="W1963" s="5" t="s">
        <v>6545</v>
      </c>
      <c r="X1963" s="24" t="str">
        <f t="shared" si="811"/>
        <v>trans.100</v>
      </c>
      <c r="Y1963" s="24" t="str">
        <f t="shared" si="812"/>
        <v>Ação de transitar</v>
      </c>
      <c r="Z1963" s="47" t="s">
        <v>6613</v>
      </c>
      <c r="AA1963" s="25" t="str">
        <f t="shared" si="850"/>
        <v>categoria.revit</v>
      </c>
      <c r="AB1963" s="26" t="s">
        <v>3520</v>
      </c>
      <c r="AC1963" s="25" t="str">
        <f t="shared" si="851"/>
        <v>classe.ifc</v>
      </c>
      <c r="AD1963" s="26" t="s">
        <v>3460</v>
      </c>
      <c r="AE1963" s="25" t="str">
        <f t="shared" si="836"/>
        <v>null</v>
      </c>
      <c r="AF1963" s="26" t="s">
        <v>0</v>
      </c>
      <c r="AG1963" s="47" t="s">
        <v>6668</v>
      </c>
    </row>
    <row r="1964" spans="1:33" ht="6.9" customHeight="1" x14ac:dyDescent="0.4">
      <c r="A1964" s="4">
        <f>ROW()</f>
        <v>1964</v>
      </c>
      <c r="B1964" s="9" t="s">
        <v>27</v>
      </c>
      <c r="C1964" s="55" t="str">
        <f t="shared" si="831"/>
        <v>p.transitar</v>
      </c>
      <c r="D1964" s="6" t="str">
        <f t="shared" si="813"/>
        <v>é.eixo.de.carga</v>
      </c>
      <c r="E1964" s="8" t="s">
        <v>28</v>
      </c>
      <c r="F1964" s="42" t="str">
        <f t="shared" ref="F1964:F1967" si="852">F1963</f>
        <v>d.transitar</v>
      </c>
      <c r="G1964" s="23" t="s">
        <v>2043</v>
      </c>
      <c r="H1964" s="41" t="s">
        <v>2121</v>
      </c>
      <c r="I1964" s="16" t="str">
        <f t="shared" si="849"/>
        <v>null</v>
      </c>
      <c r="J1964" s="15" t="s">
        <v>0</v>
      </c>
      <c r="K1964" s="13" t="s">
        <v>0</v>
      </c>
      <c r="L1964" s="13" t="s">
        <v>0</v>
      </c>
      <c r="M1964" s="13" t="s">
        <v>0</v>
      </c>
      <c r="N1964" s="13" t="s">
        <v>0</v>
      </c>
      <c r="O1964" s="13" t="s">
        <v>0</v>
      </c>
      <c r="P1964" s="13" t="s">
        <v>0</v>
      </c>
      <c r="Q1964" s="13" t="s">
        <v>0</v>
      </c>
      <c r="R1964" s="15" t="s">
        <v>0</v>
      </c>
      <c r="S1964" s="10" t="s">
        <v>1</v>
      </c>
      <c r="T1964" s="10" t="s">
        <v>32</v>
      </c>
      <c r="U1964" s="5" t="str">
        <f t="shared" si="809"/>
        <v>Propriedade destinada a transitar: é.eixo.de.carga</v>
      </c>
      <c r="V1964" s="5" t="str">
        <f t="shared" si="810"/>
        <v>Dado para transitar:  eixo.de.carga  Deve ser formatado como (rdfs:Literal  or  xsd:string)</v>
      </c>
      <c r="W1964" s="5" t="s">
        <v>6546</v>
      </c>
      <c r="X1964" s="24" t="str">
        <f t="shared" si="811"/>
        <v>trans.101</v>
      </c>
      <c r="Y1964" s="24" t="str">
        <f t="shared" si="812"/>
        <v>Ação de transitar</v>
      </c>
      <c r="Z1964" s="47" t="s">
        <v>6614</v>
      </c>
      <c r="AA1964" s="25" t="str">
        <f t="shared" si="850"/>
        <v>categoria.revit</v>
      </c>
      <c r="AB1964" s="26" t="s">
        <v>3520</v>
      </c>
      <c r="AC1964" s="25" t="str">
        <f t="shared" si="851"/>
        <v>classe.ifc</v>
      </c>
      <c r="AD1964" s="26" t="s">
        <v>3460</v>
      </c>
      <c r="AE1964" s="25" t="str">
        <f t="shared" si="836"/>
        <v>null</v>
      </c>
      <c r="AF1964" s="26" t="s">
        <v>0</v>
      </c>
      <c r="AG1964" s="47" t="s">
        <v>6669</v>
      </c>
    </row>
    <row r="1965" spans="1:33" ht="6.9" customHeight="1" x14ac:dyDescent="0.4">
      <c r="A1965" s="4">
        <f>ROW()</f>
        <v>1965</v>
      </c>
      <c r="B1965" s="9" t="s">
        <v>27</v>
      </c>
      <c r="C1965" s="55" t="str">
        <f t="shared" si="831"/>
        <v>p.transitar</v>
      </c>
      <c r="D1965" s="6" t="str">
        <f t="shared" si="813"/>
        <v>é.largura.efetiva</v>
      </c>
      <c r="E1965" s="8" t="s">
        <v>28</v>
      </c>
      <c r="F1965" s="42" t="str">
        <f t="shared" si="852"/>
        <v>d.transitar</v>
      </c>
      <c r="G1965" s="23" t="s">
        <v>2044</v>
      </c>
      <c r="H1965" s="41" t="s">
        <v>36</v>
      </c>
      <c r="I1965" s="16" t="str">
        <f t="shared" si="849"/>
        <v>null</v>
      </c>
      <c r="J1965" s="15" t="s">
        <v>0</v>
      </c>
      <c r="K1965" s="13" t="s">
        <v>0</v>
      </c>
      <c r="L1965" s="13" t="s">
        <v>0</v>
      </c>
      <c r="M1965" s="13" t="s">
        <v>0</v>
      </c>
      <c r="N1965" s="13" t="s">
        <v>0</v>
      </c>
      <c r="O1965" s="13" t="s">
        <v>0</v>
      </c>
      <c r="P1965" s="13" t="s">
        <v>0</v>
      </c>
      <c r="Q1965" s="13" t="s">
        <v>0</v>
      </c>
      <c r="R1965" s="15" t="s">
        <v>0</v>
      </c>
      <c r="S1965" s="10" t="s">
        <v>1</v>
      </c>
      <c r="T1965" s="10" t="s">
        <v>32</v>
      </c>
      <c r="U1965" s="5" t="str">
        <f t="shared" si="809"/>
        <v>Propriedade destinada a transitar: é.largura.efetiva</v>
      </c>
      <c r="V1965" s="5" t="str">
        <f t="shared" si="810"/>
        <v>Dado para transitar:  largura.efetiva  Deve ser formatado como (xsd:double)</v>
      </c>
      <c r="W1965" s="5" t="s">
        <v>6547</v>
      </c>
      <c r="X1965" s="24" t="str">
        <f t="shared" si="811"/>
        <v>trans.102</v>
      </c>
      <c r="Y1965" s="24" t="str">
        <f t="shared" si="812"/>
        <v>Ação de transitar</v>
      </c>
      <c r="Z1965" s="47" t="s">
        <v>6615</v>
      </c>
      <c r="AA1965" s="25" t="str">
        <f t="shared" si="850"/>
        <v>categoria.revit</v>
      </c>
      <c r="AB1965" s="26" t="s">
        <v>3520</v>
      </c>
      <c r="AC1965" s="25" t="str">
        <f t="shared" si="851"/>
        <v>classe.ifc</v>
      </c>
      <c r="AD1965" s="26" t="s">
        <v>3460</v>
      </c>
      <c r="AE1965" s="25" t="str">
        <f t="shared" si="836"/>
        <v>null</v>
      </c>
      <c r="AF1965" s="26" t="s">
        <v>0</v>
      </c>
      <c r="AG1965" s="47" t="s">
        <v>6670</v>
      </c>
    </row>
    <row r="1966" spans="1:33" ht="6.9" customHeight="1" x14ac:dyDescent="0.4">
      <c r="A1966" s="4">
        <f>ROW()</f>
        <v>1966</v>
      </c>
      <c r="B1966" s="9" t="s">
        <v>27</v>
      </c>
      <c r="C1966" s="55" t="str">
        <f t="shared" si="831"/>
        <v>p.transitar</v>
      </c>
      <c r="D1966" s="6" t="str">
        <f t="shared" si="813"/>
        <v>é.vão</v>
      </c>
      <c r="E1966" s="8" t="s">
        <v>28</v>
      </c>
      <c r="F1966" s="42" t="str">
        <f t="shared" si="852"/>
        <v>d.transitar</v>
      </c>
      <c r="G1966" s="23" t="s">
        <v>2047</v>
      </c>
      <c r="H1966" s="41" t="s">
        <v>36</v>
      </c>
      <c r="I1966" s="16" t="str">
        <f t="shared" ref="I1966" si="853">J1966</f>
        <v>null</v>
      </c>
      <c r="J1966" s="15" t="s">
        <v>0</v>
      </c>
      <c r="K1966" s="13" t="s">
        <v>0</v>
      </c>
      <c r="L1966" s="13" t="s">
        <v>0</v>
      </c>
      <c r="M1966" s="13" t="s">
        <v>0</v>
      </c>
      <c r="N1966" s="13" t="s">
        <v>0</v>
      </c>
      <c r="O1966" s="13" t="s">
        <v>0</v>
      </c>
      <c r="P1966" s="13" t="s">
        <v>0</v>
      </c>
      <c r="Q1966" s="13" t="s">
        <v>0</v>
      </c>
      <c r="R1966" s="15" t="s">
        <v>0</v>
      </c>
      <c r="S1966" s="10" t="s">
        <v>1</v>
      </c>
      <c r="T1966" s="10" t="s">
        <v>32</v>
      </c>
      <c r="U1966" s="5" t="str">
        <f t="shared" si="809"/>
        <v>Propriedade destinada a transitar: é.vão</v>
      </c>
      <c r="V1966" s="5" t="str">
        <f t="shared" si="810"/>
        <v>Dado para transitar:  vão  Deve ser formatado como (xsd:double)</v>
      </c>
      <c r="W1966" s="5" t="s">
        <v>6548</v>
      </c>
      <c r="X1966" s="24" t="str">
        <f t="shared" si="811"/>
        <v>trans.103</v>
      </c>
      <c r="Y1966" s="24" t="str">
        <f t="shared" si="812"/>
        <v>Ação de transitar</v>
      </c>
      <c r="Z1966" s="47" t="s">
        <v>6616</v>
      </c>
      <c r="AA1966" s="25" t="str">
        <f t="shared" ref="AA1966" si="854">IF(AB1966="null", "null", "categoria.revit")</f>
        <v>categoria.revit</v>
      </c>
      <c r="AB1966" s="26" t="s">
        <v>3520</v>
      </c>
      <c r="AC1966" s="25" t="str">
        <f t="shared" ref="AC1966" si="855">IF(AD1966="null", "null", "classe.ifc")</f>
        <v>classe.ifc</v>
      </c>
      <c r="AD1966" s="26" t="s">
        <v>3460</v>
      </c>
      <c r="AE1966" s="25" t="str">
        <f t="shared" si="836"/>
        <v>null</v>
      </c>
      <c r="AF1966" s="26" t="s">
        <v>0</v>
      </c>
      <c r="AG1966" s="47" t="s">
        <v>6671</v>
      </c>
    </row>
    <row r="1967" spans="1:33" ht="6.9" customHeight="1" x14ac:dyDescent="0.4">
      <c r="A1967" s="4">
        <f>ROW()</f>
        <v>1967</v>
      </c>
      <c r="B1967" s="9" t="s">
        <v>27</v>
      </c>
      <c r="C1967" s="55" t="str">
        <f t="shared" si="831"/>
        <v>p.transitar</v>
      </c>
      <c r="D1967" s="6" t="str">
        <f t="shared" si="813"/>
        <v>é.vão.livre</v>
      </c>
      <c r="E1967" s="8" t="s">
        <v>28</v>
      </c>
      <c r="F1967" s="42" t="str">
        <f t="shared" si="852"/>
        <v>d.transitar</v>
      </c>
      <c r="G1967" s="23" t="s">
        <v>2046</v>
      </c>
      <c r="H1967" s="41" t="s">
        <v>36</v>
      </c>
      <c r="I1967" s="16" t="str">
        <f>J1967</f>
        <v>null</v>
      </c>
      <c r="J1967" s="15" t="s">
        <v>0</v>
      </c>
      <c r="K1967" s="13" t="s">
        <v>0</v>
      </c>
      <c r="L1967" s="13" t="s">
        <v>0</v>
      </c>
      <c r="M1967" s="13" t="s">
        <v>0</v>
      </c>
      <c r="N1967" s="13" t="s">
        <v>0</v>
      </c>
      <c r="O1967" s="13" t="s">
        <v>0</v>
      </c>
      <c r="P1967" s="13" t="s">
        <v>0</v>
      </c>
      <c r="Q1967" s="13" t="s">
        <v>0</v>
      </c>
      <c r="R1967" s="15" t="s">
        <v>0</v>
      </c>
      <c r="S1967" s="10" t="s">
        <v>1</v>
      </c>
      <c r="T1967" s="10" t="s">
        <v>32</v>
      </c>
      <c r="U1967" s="5" t="str">
        <f t="shared" si="809"/>
        <v>Propriedade destinada a transitar: é.vão.livre</v>
      </c>
      <c r="V1967" s="5" t="str">
        <f t="shared" si="810"/>
        <v>Dado para transitar:  vão.livre  Deve ser formatado como (xsd:double)</v>
      </c>
      <c r="W1967" s="5" t="s">
        <v>6549</v>
      </c>
      <c r="X1967" s="24" t="str">
        <f t="shared" si="811"/>
        <v>trans.104</v>
      </c>
      <c r="Y1967" s="24" t="str">
        <f t="shared" si="812"/>
        <v>Ação de transitar</v>
      </c>
      <c r="Z1967" s="47" t="s">
        <v>6617</v>
      </c>
      <c r="AA1967" s="25" t="str">
        <f>IF(AB1967="null", "null", "categoria.revit")</f>
        <v>categoria.revit</v>
      </c>
      <c r="AB1967" s="26" t="s">
        <v>3520</v>
      </c>
      <c r="AC1967" s="25" t="str">
        <f>IF(AD1967="null", "null", "classe.ifc")</f>
        <v>classe.ifc</v>
      </c>
      <c r="AD1967" s="26" t="s">
        <v>3460</v>
      </c>
      <c r="AE1967" s="25" t="str">
        <f t="shared" si="836"/>
        <v>null</v>
      </c>
      <c r="AF1967" s="26" t="s">
        <v>0</v>
      </c>
      <c r="AG1967" s="47" t="s">
        <v>6672</v>
      </c>
    </row>
    <row r="1968" spans="1:33" ht="6.9" customHeight="1" x14ac:dyDescent="0.4">
      <c r="A1968" s="4">
        <f>ROW()</f>
        <v>1968</v>
      </c>
      <c r="B1968" s="9" t="s">
        <v>27</v>
      </c>
      <c r="C1968" s="55" t="str">
        <f t="shared" si="831"/>
        <v>p.transitar</v>
      </c>
      <c r="D1968" s="6" t="str">
        <f t="shared" si="813"/>
        <v>é.veículo.tipo</v>
      </c>
      <c r="E1968" s="8" t="s">
        <v>28</v>
      </c>
      <c r="F1968" s="42" t="str">
        <f>F1967</f>
        <v>d.transitar</v>
      </c>
      <c r="G1968" s="23" t="s">
        <v>2045</v>
      </c>
      <c r="H1968" s="41" t="s">
        <v>2121</v>
      </c>
      <c r="I1968" s="16" t="str">
        <f>J1968</f>
        <v>null</v>
      </c>
      <c r="J1968" s="15" t="s">
        <v>0</v>
      </c>
      <c r="K1968" s="13" t="s">
        <v>0</v>
      </c>
      <c r="L1968" s="13" t="s">
        <v>0</v>
      </c>
      <c r="M1968" s="13" t="s">
        <v>0</v>
      </c>
      <c r="N1968" s="13" t="s">
        <v>0</v>
      </c>
      <c r="O1968" s="13" t="s">
        <v>0</v>
      </c>
      <c r="P1968" s="13" t="s">
        <v>0</v>
      </c>
      <c r="Q1968" s="13" t="s">
        <v>0</v>
      </c>
      <c r="R1968" s="15" t="s">
        <v>0</v>
      </c>
      <c r="S1968" s="10" t="s">
        <v>1</v>
      </c>
      <c r="T1968" s="10" t="s">
        <v>32</v>
      </c>
      <c r="U1968" s="5" t="str">
        <f t="shared" si="809"/>
        <v>Propriedade destinada a transitar: é.veículo.tipo</v>
      </c>
      <c r="V1968" s="5" t="str">
        <f t="shared" si="810"/>
        <v>Dado para transitar:  veículo.tipo  Deve ser formatado como (rdfs:Literal  or  xsd:string)</v>
      </c>
      <c r="W1968" s="5" t="s">
        <v>6550</v>
      </c>
      <c r="X1968" s="24" t="str">
        <f t="shared" si="811"/>
        <v>trans.105</v>
      </c>
      <c r="Y1968" s="24" t="str">
        <f t="shared" si="812"/>
        <v>Ação de transitar</v>
      </c>
      <c r="Z1968" s="47" t="s">
        <v>6618</v>
      </c>
      <c r="AA1968" s="25" t="str">
        <f>IF(AB1968="null", "null", "categoria.revit")</f>
        <v>categoria.revit</v>
      </c>
      <c r="AB1968" s="26" t="s">
        <v>3520</v>
      </c>
      <c r="AC1968" s="25" t="str">
        <f>IF(AD1968="null", "null", "classe.ifc")</f>
        <v>classe.ifc</v>
      </c>
      <c r="AD1968" s="26" t="s">
        <v>3460</v>
      </c>
      <c r="AE1968" s="25" t="str">
        <f t="shared" si="836"/>
        <v>null</v>
      </c>
      <c r="AF1968" s="26" t="s">
        <v>0</v>
      </c>
      <c r="AG1968" s="47" t="s">
        <v>6673</v>
      </c>
    </row>
    <row r="1969" spans="1:33" ht="6.9" customHeight="1" x14ac:dyDescent="0.4">
      <c r="A1969" s="4">
        <f>ROW()</f>
        <v>1969</v>
      </c>
      <c r="B1969" s="9" t="s">
        <v>27</v>
      </c>
      <c r="C1969" s="54" t="str">
        <f t="shared" ref="C1969:C2021" si="856">SUBSTITUTE(F1969,"d.","p.")</f>
        <v>p.urbanizar</v>
      </c>
      <c r="D1969" s="6" t="str">
        <f t="shared" si="813"/>
        <v>é.afastamento.lateral</v>
      </c>
      <c r="E1969" s="8" t="s">
        <v>28</v>
      </c>
      <c r="F1969" s="51" t="s">
        <v>3639</v>
      </c>
      <c r="G1969" s="18" t="s">
        <v>1022</v>
      </c>
      <c r="H1969" s="41" t="s">
        <v>36</v>
      </c>
      <c r="I1969" s="16" t="str">
        <f t="shared" ref="I1969:I1974" si="857">J1969</f>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809"/>
        <v>Propriedade destinada a urbanizar: é.afastamento.lateral</v>
      </c>
      <c r="V1969" s="5" t="str">
        <f t="shared" si="810"/>
        <v>Dado para urbanizar:  afastamento.lateral  Deve ser formatado como (xsd:double)</v>
      </c>
      <c r="W1969" s="5" t="s">
        <v>6551</v>
      </c>
      <c r="X1969" s="24" t="str">
        <f t="shared" si="811"/>
        <v>urban.100</v>
      </c>
      <c r="Y1969" s="24" t="str">
        <f t="shared" si="812"/>
        <v>Ação de urbanizar</v>
      </c>
      <c r="Z1969" s="47" t="s">
        <v>4562</v>
      </c>
      <c r="AA1969" s="25" t="str">
        <f t="shared" ref="AA1969:AA2042" si="858">IF(AB1969="null", "null", "categoria.revit")</f>
        <v>null</v>
      </c>
      <c r="AB1969" s="26" t="s">
        <v>0</v>
      </c>
      <c r="AC1969" s="25" t="str">
        <f t="shared" ref="AC1969:AC2042" si="859">IF(AD1969="null", "null", "classe.ifc")</f>
        <v>null</v>
      </c>
      <c r="AD1969" s="26" t="s">
        <v>0</v>
      </c>
      <c r="AE1969" s="25" t="str">
        <f t="shared" si="836"/>
        <v>null</v>
      </c>
      <c r="AF1969" s="26" t="s">
        <v>0</v>
      </c>
      <c r="AG1969" s="47" t="s">
        <v>4847</v>
      </c>
    </row>
    <row r="1970" spans="1:33" ht="6.9" customHeight="1" x14ac:dyDescent="0.4">
      <c r="A1970" s="4">
        <f>ROW()</f>
        <v>1970</v>
      </c>
      <c r="B1970" s="9" t="s">
        <v>27</v>
      </c>
      <c r="C1970" s="55" t="str">
        <f t="shared" si="856"/>
        <v>p.urbanizar</v>
      </c>
      <c r="D1970" s="6" t="str">
        <f t="shared" si="813"/>
        <v>é.altura.predial</v>
      </c>
      <c r="E1970" s="8" t="s">
        <v>28</v>
      </c>
      <c r="F1970" s="42" t="str">
        <f t="shared" ref="F1970:F1984" si="860">F1969</f>
        <v>d.urbanizar</v>
      </c>
      <c r="G1970" s="18" t="s">
        <v>1023</v>
      </c>
      <c r="H1970" s="41" t="s">
        <v>36</v>
      </c>
      <c r="I1970" s="16" t="str">
        <f t="shared" si="857"/>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809"/>
        <v>Propriedade destinada a urbanizar: é.altura.predial</v>
      </c>
      <c r="V1970" s="5" t="str">
        <f t="shared" si="810"/>
        <v>Dado para urbanizar:  altura.predial  Deve ser formatado como (xsd:double)</v>
      </c>
      <c r="W1970" s="5" t="s">
        <v>6552</v>
      </c>
      <c r="X1970" s="24" t="str">
        <f t="shared" si="811"/>
        <v>urban.101</v>
      </c>
      <c r="Y1970" s="24" t="str">
        <f t="shared" si="812"/>
        <v>Ação de urbanizar</v>
      </c>
      <c r="Z1970" s="47" t="s">
        <v>4563</v>
      </c>
      <c r="AA1970" s="25" t="str">
        <f t="shared" si="858"/>
        <v>null</v>
      </c>
      <c r="AB1970" s="26" t="s">
        <v>0</v>
      </c>
      <c r="AC1970" s="25" t="str">
        <f t="shared" si="859"/>
        <v>null</v>
      </c>
      <c r="AD1970" s="26" t="s">
        <v>0</v>
      </c>
      <c r="AE1970" s="25" t="str">
        <f t="shared" si="836"/>
        <v>null</v>
      </c>
      <c r="AF1970" s="26" t="s">
        <v>0</v>
      </c>
      <c r="AG1970" s="47" t="s">
        <v>4846</v>
      </c>
    </row>
    <row r="1971" spans="1:33" ht="6.9" customHeight="1" x14ac:dyDescent="0.4">
      <c r="A1971" s="4">
        <f>ROW()</f>
        <v>1971</v>
      </c>
      <c r="B1971" s="9" t="s">
        <v>27</v>
      </c>
      <c r="C1971" s="55" t="str">
        <f t="shared" si="856"/>
        <v>p.urbanizar</v>
      </c>
      <c r="D1971" s="6" t="str">
        <f t="shared" si="813"/>
        <v>é.área.de.planejamento</v>
      </c>
      <c r="E1971" s="8" t="s">
        <v>28</v>
      </c>
      <c r="F1971" s="42" t="str">
        <f t="shared" si="860"/>
        <v>d.urbanizar</v>
      </c>
      <c r="G1971" s="18" t="s">
        <v>6981</v>
      </c>
      <c r="H1971" s="41" t="s">
        <v>2121</v>
      </c>
      <c r="I1971" s="16" t="str">
        <f t="shared" si="857"/>
        <v>Functional</v>
      </c>
      <c r="J1971" s="13" t="s">
        <v>29</v>
      </c>
      <c r="K1971" s="13" t="s">
        <v>0</v>
      </c>
      <c r="L1971" s="13" t="s">
        <v>0</v>
      </c>
      <c r="M1971" s="13" t="s">
        <v>0</v>
      </c>
      <c r="N1971" s="15" t="s">
        <v>0</v>
      </c>
      <c r="O1971" s="13" t="s">
        <v>0</v>
      </c>
      <c r="P1971" s="13" t="s">
        <v>0</v>
      </c>
      <c r="Q1971" s="13" t="s">
        <v>0</v>
      </c>
      <c r="R1971" s="15" t="s">
        <v>0</v>
      </c>
      <c r="S1971" s="10" t="s">
        <v>1</v>
      </c>
      <c r="T1971" s="10" t="s">
        <v>32</v>
      </c>
      <c r="U1971" s="5" t="str">
        <f t="shared" si="809"/>
        <v>Propriedade destinada a urbanizar: é.área.de.planejamento</v>
      </c>
      <c r="V1971" s="5" t="str">
        <f t="shared" si="810"/>
        <v>Dado para urbanizar:  área.de.planejamento  Deve ser formatado como (rdfs:Literal  or  xsd:string)</v>
      </c>
      <c r="W1971" s="5" t="s">
        <v>6553</v>
      </c>
      <c r="X1971" s="24" t="str">
        <f t="shared" si="811"/>
        <v>urban.102</v>
      </c>
      <c r="Y1971" s="24" t="str">
        <f t="shared" si="812"/>
        <v>Ação de urbanizar</v>
      </c>
      <c r="Z1971" s="47" t="s">
        <v>4564</v>
      </c>
      <c r="AA1971" s="25" t="str">
        <f t="shared" si="858"/>
        <v>null</v>
      </c>
      <c r="AB1971" s="26" t="s">
        <v>0</v>
      </c>
      <c r="AC1971" s="25" t="str">
        <f t="shared" si="859"/>
        <v>null</v>
      </c>
      <c r="AD1971" s="26" t="s">
        <v>0</v>
      </c>
      <c r="AE1971" s="25" t="str">
        <f t="shared" si="836"/>
        <v>propriedade</v>
      </c>
      <c r="AF1971" s="26" t="s">
        <v>2416</v>
      </c>
      <c r="AG1971" s="47" t="s">
        <v>8189</v>
      </c>
    </row>
    <row r="1972" spans="1:33" ht="6.9" customHeight="1" x14ac:dyDescent="0.4">
      <c r="A1972" s="4">
        <f>ROW()</f>
        <v>1972</v>
      </c>
      <c r="B1972" s="9" t="s">
        <v>27</v>
      </c>
      <c r="C1972" s="55" t="str">
        <f t="shared" si="856"/>
        <v>p.urbanizar</v>
      </c>
      <c r="D1972" s="6" t="str">
        <f t="shared" si="813"/>
        <v>é.calor.antropogênico</v>
      </c>
      <c r="E1972" s="8" t="s">
        <v>28</v>
      </c>
      <c r="F1972" s="42" t="str">
        <f t="shared" si="860"/>
        <v>d.urbanizar</v>
      </c>
      <c r="G1972" s="18" t="s">
        <v>6980</v>
      </c>
      <c r="H1972" s="41" t="s">
        <v>36</v>
      </c>
      <c r="I1972" s="16" t="str">
        <f t="shared" si="857"/>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809"/>
        <v>Propriedade destinada a urbanizar: é.calor.antropogênico</v>
      </c>
      <c r="V1972" s="5" t="str">
        <f t="shared" si="810"/>
        <v>Dado para urbanizar:  calor.antropogênico  Deve ser formatado como (xsd:double)</v>
      </c>
      <c r="W1972" s="5" t="s">
        <v>6554</v>
      </c>
      <c r="X1972" s="24" t="str">
        <f t="shared" si="811"/>
        <v>urban.103</v>
      </c>
      <c r="Y1972" s="24" t="str">
        <f t="shared" si="812"/>
        <v>Ação de urbanizar</v>
      </c>
      <c r="Z1972" s="47" t="s">
        <v>4565</v>
      </c>
      <c r="AA1972" s="25" t="str">
        <f t="shared" si="858"/>
        <v>null</v>
      </c>
      <c r="AB1972" s="26" t="s">
        <v>0</v>
      </c>
      <c r="AC1972" s="25" t="str">
        <f t="shared" si="859"/>
        <v>null</v>
      </c>
      <c r="AD1972" s="26" t="s">
        <v>0</v>
      </c>
      <c r="AE1972" s="25" t="str">
        <f t="shared" si="836"/>
        <v>null</v>
      </c>
      <c r="AF1972" s="26" t="s">
        <v>0</v>
      </c>
      <c r="AG1972" s="47" t="s">
        <v>4848</v>
      </c>
    </row>
    <row r="1973" spans="1:33" ht="6.9" customHeight="1" x14ac:dyDescent="0.4">
      <c r="A1973" s="4">
        <f>ROW()</f>
        <v>1973</v>
      </c>
      <c r="B1973" s="9" t="s">
        <v>27</v>
      </c>
      <c r="C1973" s="55" t="str">
        <f t="shared" si="856"/>
        <v>p.urbanizar</v>
      </c>
      <c r="D1973" s="6" t="str">
        <f t="shared" si="813"/>
        <v>é.cobertura.impermeável</v>
      </c>
      <c r="E1973" s="8" t="s">
        <v>28</v>
      </c>
      <c r="F1973" s="42" t="str">
        <f t="shared" si="860"/>
        <v>d.urbanizar</v>
      </c>
      <c r="G1973" s="18" t="s">
        <v>1024</v>
      </c>
      <c r="H1973" s="41" t="s">
        <v>2121</v>
      </c>
      <c r="I1973" s="16" t="str">
        <f t="shared" si="857"/>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809"/>
        <v>Propriedade destinada a urbanizar: é.cobertura.impermeável</v>
      </c>
      <c r="V1973" s="5" t="str">
        <f t="shared" si="810"/>
        <v>Dado para urbanizar:  cobertura.impermeável  Deve ser formatado como (rdfs:Literal  or  xsd:string)</v>
      </c>
      <c r="W1973" s="5" t="s">
        <v>6555</v>
      </c>
      <c r="X1973" s="24" t="str">
        <f t="shared" si="811"/>
        <v>urban.104</v>
      </c>
      <c r="Y1973" s="24" t="str">
        <f t="shared" si="812"/>
        <v>Ação de urbanizar</v>
      </c>
      <c r="Z1973" s="47" t="s">
        <v>4566</v>
      </c>
      <c r="AA1973" s="25" t="str">
        <f t="shared" si="858"/>
        <v>null</v>
      </c>
      <c r="AB1973" s="26" t="s">
        <v>0</v>
      </c>
      <c r="AC1973" s="25" t="str">
        <f t="shared" si="859"/>
        <v>null</v>
      </c>
      <c r="AD1973" s="26" t="s">
        <v>0</v>
      </c>
      <c r="AE1973" s="25" t="str">
        <f t="shared" si="836"/>
        <v>null</v>
      </c>
      <c r="AF1973" s="26" t="s">
        <v>0</v>
      </c>
      <c r="AG1973" s="47" t="s">
        <v>4849</v>
      </c>
    </row>
    <row r="1974" spans="1:33" ht="6.9" customHeight="1" x14ac:dyDescent="0.4">
      <c r="A1974" s="4">
        <f>ROW()</f>
        <v>1974</v>
      </c>
      <c r="B1974" s="9" t="s">
        <v>27</v>
      </c>
      <c r="C1974" s="55" t="str">
        <f t="shared" si="856"/>
        <v>p.urbanizar</v>
      </c>
      <c r="D1974" s="6" t="str">
        <f t="shared" si="813"/>
        <v>é.divisa</v>
      </c>
      <c r="E1974" s="8" t="s">
        <v>28</v>
      </c>
      <c r="F1974" s="42" t="str">
        <f t="shared" si="860"/>
        <v>d.urbanizar</v>
      </c>
      <c r="G1974" s="18" t="s">
        <v>445</v>
      </c>
      <c r="H1974" s="41" t="s">
        <v>2121</v>
      </c>
      <c r="I1974" s="16" t="str">
        <f t="shared" si="857"/>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809"/>
        <v>Propriedade destinada a urbanizar: é.divisa</v>
      </c>
      <c r="V1974" s="5" t="str">
        <f t="shared" si="810"/>
        <v>Dado para urbanizar:  divisa  Deve ser formatado como (rdfs:Literal  or  xsd:string)</v>
      </c>
      <c r="W1974" s="5" t="s">
        <v>6556</v>
      </c>
      <c r="X1974" s="24" t="str">
        <f t="shared" si="811"/>
        <v>urban.105</v>
      </c>
      <c r="Y1974" s="24" t="str">
        <f t="shared" si="812"/>
        <v>Ação de urbanizar</v>
      </c>
      <c r="Z1974" s="47" t="s">
        <v>4567</v>
      </c>
      <c r="AA1974" s="25" t="str">
        <f t="shared" si="858"/>
        <v>categoria.revit</v>
      </c>
      <c r="AB1974" s="26" t="s">
        <v>3537</v>
      </c>
      <c r="AC1974" s="25" t="str">
        <f t="shared" si="859"/>
        <v>classe.ifc</v>
      </c>
      <c r="AD1974" s="26" t="s">
        <v>3488</v>
      </c>
      <c r="AE1974" s="25" t="str">
        <f t="shared" si="836"/>
        <v>null</v>
      </c>
      <c r="AF1974" s="26" t="s">
        <v>0</v>
      </c>
      <c r="AG1974" s="47" t="s">
        <v>4850</v>
      </c>
    </row>
    <row r="1975" spans="1:33" ht="6.9" customHeight="1" x14ac:dyDescent="0.4">
      <c r="A1975" s="4">
        <f>ROW()</f>
        <v>1975</v>
      </c>
      <c r="B1975" s="9" t="s">
        <v>27</v>
      </c>
      <c r="C1975" s="55" t="str">
        <f t="shared" si="856"/>
        <v>p.urbanizar</v>
      </c>
      <c r="D1975" s="6" t="str">
        <f t="shared" si="813"/>
        <v>é.fator.de.forma</v>
      </c>
      <c r="E1975" s="8" t="s">
        <v>28</v>
      </c>
      <c r="F1975" s="42" t="str">
        <f t="shared" si="860"/>
        <v>d.urbanizar</v>
      </c>
      <c r="G1975" s="18" t="s">
        <v>1025</v>
      </c>
      <c r="H1975" s="41" t="s">
        <v>2121</v>
      </c>
      <c r="I1975" s="16" t="str">
        <f t="shared" ref="I1975:I2046" si="861">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809"/>
        <v>Propriedade destinada a urbanizar: é.fator.de.forma</v>
      </c>
      <c r="V1975" s="5" t="str">
        <f t="shared" si="810"/>
        <v>Dado para urbanizar:  fator.de.forma  Deve ser formatado como (rdfs:Literal  or  xsd:string)</v>
      </c>
      <c r="W1975" s="5" t="s">
        <v>6557</v>
      </c>
      <c r="X1975" s="24" t="str">
        <f t="shared" si="811"/>
        <v>urban.106</v>
      </c>
      <c r="Y1975" s="24" t="str">
        <f t="shared" si="812"/>
        <v>Ação de urbanizar</v>
      </c>
      <c r="Z1975" s="47" t="s">
        <v>4568</v>
      </c>
      <c r="AA1975" s="25" t="str">
        <f t="shared" si="858"/>
        <v>null</v>
      </c>
      <c r="AB1975" s="26" t="s">
        <v>0</v>
      </c>
      <c r="AC1975" s="25" t="str">
        <f t="shared" si="859"/>
        <v>null</v>
      </c>
      <c r="AD1975" s="26" t="s">
        <v>0</v>
      </c>
      <c r="AE1975" s="25" t="str">
        <f t="shared" si="836"/>
        <v>null</v>
      </c>
      <c r="AF1975" s="26" t="s">
        <v>0</v>
      </c>
      <c r="AG1975" s="47" t="s">
        <v>4852</v>
      </c>
    </row>
    <row r="1976" spans="1:33" ht="6.9" customHeight="1" x14ac:dyDescent="0.4">
      <c r="A1976" s="4">
        <f>ROW()</f>
        <v>1976</v>
      </c>
      <c r="B1976" s="9" t="s">
        <v>27</v>
      </c>
      <c r="C1976" s="55" t="str">
        <f t="shared" si="856"/>
        <v>p.urbanizar</v>
      </c>
      <c r="D1976" s="6" t="str">
        <f t="shared" si="813"/>
        <v>é.gabarito</v>
      </c>
      <c r="E1976" s="8" t="s">
        <v>28</v>
      </c>
      <c r="F1976" s="42" t="str">
        <f t="shared" si="860"/>
        <v>d.urbanizar</v>
      </c>
      <c r="G1976" s="18" t="s">
        <v>224</v>
      </c>
      <c r="H1976" s="41" t="s">
        <v>36</v>
      </c>
      <c r="I1976" s="16" t="str">
        <f t="shared" si="861"/>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809"/>
        <v>Propriedade destinada a urbanizar: é.gabarito</v>
      </c>
      <c r="V1976" s="5" t="str">
        <f t="shared" si="810"/>
        <v>Dado para urbanizar:  gabarito  Deve ser formatado como (xsd:double)</v>
      </c>
      <c r="W1976" s="5" t="s">
        <v>6558</v>
      </c>
      <c r="X1976" s="24" t="str">
        <f t="shared" si="811"/>
        <v>urban.107</v>
      </c>
      <c r="Y1976" s="24" t="str">
        <f t="shared" si="812"/>
        <v>Ação de urbanizar</v>
      </c>
      <c r="Z1976" s="47" t="s">
        <v>4561</v>
      </c>
      <c r="AA1976" s="25" t="str">
        <f t="shared" si="858"/>
        <v>null</v>
      </c>
      <c r="AB1976" s="26" t="s">
        <v>0</v>
      </c>
      <c r="AC1976" s="25" t="str">
        <f t="shared" si="859"/>
        <v>null</v>
      </c>
      <c r="AD1976" s="26" t="s">
        <v>0</v>
      </c>
      <c r="AE1976" s="25" t="str">
        <f t="shared" si="836"/>
        <v>null</v>
      </c>
      <c r="AF1976" s="26" t="s">
        <v>0</v>
      </c>
      <c r="AG1976" s="47" t="s">
        <v>4851</v>
      </c>
    </row>
    <row r="1977" spans="1:33" ht="6.9" customHeight="1" x14ac:dyDescent="0.4">
      <c r="A1977" s="4">
        <f>ROW()</f>
        <v>1977</v>
      </c>
      <c r="B1977" s="9" t="s">
        <v>27</v>
      </c>
      <c r="C1977" s="55" t="str">
        <f t="shared" si="856"/>
        <v>p.urbanizar</v>
      </c>
      <c r="D1977" s="6" t="str">
        <f t="shared" si="813"/>
        <v>é.índice.de.aproveitamento</v>
      </c>
      <c r="E1977" s="8" t="s">
        <v>28</v>
      </c>
      <c r="F1977" s="42" t="str">
        <f t="shared" si="860"/>
        <v>d.urbanizar</v>
      </c>
      <c r="G1977" s="18" t="s">
        <v>1026</v>
      </c>
      <c r="H1977" s="41" t="s">
        <v>36</v>
      </c>
      <c r="I1977" s="16" t="str">
        <f t="shared" si="861"/>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809"/>
        <v>Propriedade destinada a urbanizar: é.índice.de.aproveitamento</v>
      </c>
      <c r="V1977" s="5" t="str">
        <f t="shared" si="810"/>
        <v>Dado para urbanizar:  índice.de.aproveitamento  Deve ser formatado como (xsd:double)</v>
      </c>
      <c r="W1977" s="5" t="s">
        <v>6559</v>
      </c>
      <c r="X1977" s="24" t="str">
        <f t="shared" si="811"/>
        <v>urban.108</v>
      </c>
      <c r="Y1977" s="24" t="str">
        <f t="shared" si="812"/>
        <v>Ação de urbanizar</v>
      </c>
      <c r="Z1977" s="47" t="s">
        <v>4560</v>
      </c>
      <c r="AA1977" s="25" t="str">
        <f t="shared" si="858"/>
        <v>null</v>
      </c>
      <c r="AB1977" s="26" t="s">
        <v>0</v>
      </c>
      <c r="AC1977" s="25" t="str">
        <f t="shared" si="859"/>
        <v>null</v>
      </c>
      <c r="AD1977" s="26" t="s">
        <v>0</v>
      </c>
      <c r="AE1977" s="25" t="str">
        <f t="shared" si="836"/>
        <v>null</v>
      </c>
      <c r="AF1977" s="26" t="s">
        <v>0</v>
      </c>
      <c r="AG1977" s="47" t="s">
        <v>4853</v>
      </c>
    </row>
    <row r="1978" spans="1:33" ht="6.9" customHeight="1" x14ac:dyDescent="0.4">
      <c r="A1978" s="4">
        <f>ROW()</f>
        <v>1978</v>
      </c>
      <c r="B1978" s="9" t="s">
        <v>27</v>
      </c>
      <c r="C1978" s="55" t="str">
        <f t="shared" si="856"/>
        <v>p.urbanizar</v>
      </c>
      <c r="D1978" s="6" t="str">
        <f t="shared" si="813"/>
        <v>é.lote.urbano</v>
      </c>
      <c r="E1978" s="8" t="s">
        <v>28</v>
      </c>
      <c r="F1978" s="42" t="str">
        <f t="shared" si="860"/>
        <v>d.urbanizar</v>
      </c>
      <c r="G1978" s="18" t="s">
        <v>1027</v>
      </c>
      <c r="H1978" s="41" t="s">
        <v>2121</v>
      </c>
      <c r="I1978" s="16" t="str">
        <f t="shared" si="861"/>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809"/>
        <v>Propriedade destinada a urbanizar: é.lote.urbano</v>
      </c>
      <c r="V1978" s="5" t="str">
        <f t="shared" si="810"/>
        <v>Dado para urbanizar:  lote.urbano  Deve ser formatado como (rdfs:Literal  or  xsd:string)</v>
      </c>
      <c r="W1978" s="5" t="s">
        <v>6560</v>
      </c>
      <c r="X1978" s="24" t="str">
        <f t="shared" si="811"/>
        <v>urban.109</v>
      </c>
      <c r="Y1978" s="24" t="str">
        <f t="shared" si="812"/>
        <v>Ação de urbanizar</v>
      </c>
      <c r="Z1978" s="47" t="s">
        <v>1899</v>
      </c>
      <c r="AA1978" s="25" t="str">
        <f t="shared" si="858"/>
        <v>categoria.revit</v>
      </c>
      <c r="AB1978" s="26" t="s">
        <v>3537</v>
      </c>
      <c r="AC1978" s="25" t="str">
        <f t="shared" si="859"/>
        <v>classe.ifc</v>
      </c>
      <c r="AD1978" s="26" t="s">
        <v>3488</v>
      </c>
      <c r="AE1978" s="25" t="str">
        <f t="shared" si="836"/>
        <v>null</v>
      </c>
      <c r="AF1978" s="26" t="s">
        <v>0</v>
      </c>
      <c r="AG1978" s="47" t="s">
        <v>4753</v>
      </c>
    </row>
    <row r="1979" spans="1:33" ht="6.9" customHeight="1" x14ac:dyDescent="0.4">
      <c r="A1979" s="4">
        <f>ROW()</f>
        <v>1979</v>
      </c>
      <c r="B1979" s="9" t="s">
        <v>27</v>
      </c>
      <c r="C1979" s="55" t="str">
        <f t="shared" si="856"/>
        <v>p.urbanizar</v>
      </c>
      <c r="D1979" s="6" t="str">
        <f t="shared" si="813"/>
        <v>é.meio.fio</v>
      </c>
      <c r="E1979" s="8" t="s">
        <v>28</v>
      </c>
      <c r="F1979" s="42" t="str">
        <f t="shared" si="860"/>
        <v>d.urbanizar</v>
      </c>
      <c r="G1979" s="18" t="s">
        <v>1028</v>
      </c>
      <c r="H1979" s="41" t="s">
        <v>2121</v>
      </c>
      <c r="I1979" s="16" t="str">
        <f t="shared" si="861"/>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809"/>
        <v>Propriedade destinada a urbanizar: é.meio.fio</v>
      </c>
      <c r="V1979" s="5" t="str">
        <f t="shared" si="810"/>
        <v>Dado para urbanizar:  meio.fio  Deve ser formatado como (rdfs:Literal  or  xsd:string)</v>
      </c>
      <c r="W1979" s="5" t="s">
        <v>6561</v>
      </c>
      <c r="X1979" s="24" t="str">
        <f t="shared" si="811"/>
        <v>urban.110</v>
      </c>
      <c r="Y1979" s="24" t="str">
        <f t="shared" si="812"/>
        <v>Ação de urbanizar</v>
      </c>
      <c r="Z1979" s="47" t="s">
        <v>1900</v>
      </c>
      <c r="AA1979" s="25" t="str">
        <f t="shared" si="858"/>
        <v>categoria.revit</v>
      </c>
      <c r="AB1979" s="26" t="s">
        <v>3538</v>
      </c>
      <c r="AC1979" s="25" t="str">
        <f t="shared" si="859"/>
        <v>classe.ifc</v>
      </c>
      <c r="AD1979" s="26" t="s">
        <v>3489</v>
      </c>
      <c r="AE1979" s="25" t="str">
        <f t="shared" si="836"/>
        <v>null</v>
      </c>
      <c r="AF1979" s="26" t="s">
        <v>0</v>
      </c>
      <c r="AG1979" s="47" t="s">
        <v>4831</v>
      </c>
    </row>
    <row r="1980" spans="1:33" ht="6.9" customHeight="1" x14ac:dyDescent="0.4">
      <c r="A1980" s="4">
        <f>ROW()</f>
        <v>1980</v>
      </c>
      <c r="B1980" s="9" t="s">
        <v>27</v>
      </c>
      <c r="C1980" s="55" t="str">
        <f t="shared" si="856"/>
        <v>p.urbanizar</v>
      </c>
      <c r="D1980" s="6" t="str">
        <f t="shared" si="813"/>
        <v>é.operação.urbana</v>
      </c>
      <c r="E1980" s="8" t="s">
        <v>28</v>
      </c>
      <c r="F1980" s="42" t="str">
        <f t="shared" si="860"/>
        <v>d.urbanizar</v>
      </c>
      <c r="G1980" s="18" t="s">
        <v>1029</v>
      </c>
      <c r="H1980" s="41" t="s">
        <v>2121</v>
      </c>
      <c r="I1980" s="16" t="str">
        <f t="shared" si="861"/>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809"/>
        <v>Propriedade destinada a urbanizar: é.operação.urbana</v>
      </c>
      <c r="V1980" s="5" t="str">
        <f t="shared" si="810"/>
        <v>Dado para urbanizar:  operação.urbana  Deve ser formatado como (rdfs:Literal  or  xsd:string)</v>
      </c>
      <c r="W1980" s="5" t="s">
        <v>6562</v>
      </c>
      <c r="X1980" s="24" t="str">
        <f t="shared" si="811"/>
        <v>urban.111</v>
      </c>
      <c r="Y1980" s="24" t="str">
        <f t="shared" si="812"/>
        <v>Ação de urbanizar</v>
      </c>
      <c r="Z1980" s="47" t="s">
        <v>1901</v>
      </c>
      <c r="AA1980" s="25" t="str">
        <f t="shared" si="858"/>
        <v>null</v>
      </c>
      <c r="AB1980" s="26" t="s">
        <v>0</v>
      </c>
      <c r="AC1980" s="25" t="str">
        <f t="shared" si="859"/>
        <v>null</v>
      </c>
      <c r="AD1980" s="26" t="s">
        <v>0</v>
      </c>
      <c r="AE1980" s="25" t="str">
        <f t="shared" si="836"/>
        <v>null</v>
      </c>
      <c r="AF1980" s="26" t="s">
        <v>0</v>
      </c>
      <c r="AG1980" s="47" t="s">
        <v>3264</v>
      </c>
    </row>
    <row r="1981" spans="1:33" ht="6.9" customHeight="1" x14ac:dyDescent="0.4">
      <c r="A1981" s="4">
        <f>ROW()</f>
        <v>1981</v>
      </c>
      <c r="B1981" s="9" t="s">
        <v>27</v>
      </c>
      <c r="C1981" s="55" t="str">
        <f t="shared" si="856"/>
        <v>p.urbanizar</v>
      </c>
      <c r="D1981" s="6" t="str">
        <f t="shared" si="813"/>
        <v>é.recuo.frontal</v>
      </c>
      <c r="E1981" s="8" t="s">
        <v>28</v>
      </c>
      <c r="F1981" s="42" t="str">
        <f t="shared" si="860"/>
        <v>d.urbanizar</v>
      </c>
      <c r="G1981" s="18" t="s">
        <v>1030</v>
      </c>
      <c r="H1981" s="41" t="s">
        <v>36</v>
      </c>
      <c r="I1981" s="16" t="str">
        <f t="shared" si="861"/>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809"/>
        <v>Propriedade destinada a urbanizar: é.recuo.frontal</v>
      </c>
      <c r="V1981" s="5" t="str">
        <f t="shared" si="810"/>
        <v>Dado para urbanizar:  recuo.frontal  Deve ser formatado como (xsd:double)</v>
      </c>
      <c r="W1981" s="5" t="s">
        <v>6563</v>
      </c>
      <c r="X1981" s="24" t="str">
        <f t="shared" si="811"/>
        <v>urban.112</v>
      </c>
      <c r="Y1981" s="24" t="str">
        <f t="shared" si="812"/>
        <v>Ação de urbanizar</v>
      </c>
      <c r="Z1981" s="47" t="s">
        <v>1902</v>
      </c>
      <c r="AA1981" s="25" t="str">
        <f t="shared" si="858"/>
        <v>null</v>
      </c>
      <c r="AB1981" s="26" t="s">
        <v>0</v>
      </c>
      <c r="AC1981" s="25" t="str">
        <f t="shared" si="859"/>
        <v>null</v>
      </c>
      <c r="AD1981" s="26" t="s">
        <v>0</v>
      </c>
      <c r="AE1981" s="25" t="str">
        <f t="shared" si="836"/>
        <v>null</v>
      </c>
      <c r="AF1981" s="26" t="s">
        <v>0</v>
      </c>
      <c r="AG1981" s="47" t="s">
        <v>3265</v>
      </c>
    </row>
    <row r="1982" spans="1:33" ht="6.9" customHeight="1" x14ac:dyDescent="0.4">
      <c r="A1982" s="4">
        <f>ROW()</f>
        <v>1982</v>
      </c>
      <c r="B1982" s="9" t="s">
        <v>27</v>
      </c>
      <c r="C1982" s="55" t="str">
        <f t="shared" si="856"/>
        <v>p.urbanizar</v>
      </c>
      <c r="D1982" s="6" t="str">
        <f t="shared" si="813"/>
        <v>é.região.administrativa</v>
      </c>
      <c r="E1982" s="8" t="s">
        <v>28</v>
      </c>
      <c r="F1982" s="42" t="str">
        <f t="shared" si="860"/>
        <v>d.urbanizar</v>
      </c>
      <c r="G1982" s="18" t="s">
        <v>1031</v>
      </c>
      <c r="H1982" s="41" t="s">
        <v>2121</v>
      </c>
      <c r="I1982" s="16" t="str">
        <f t="shared" si="861"/>
        <v>Functional</v>
      </c>
      <c r="J1982" s="13" t="s">
        <v>29</v>
      </c>
      <c r="K1982" s="13" t="s">
        <v>0</v>
      </c>
      <c r="L1982" s="13" t="s">
        <v>0</v>
      </c>
      <c r="M1982" s="13" t="s">
        <v>0</v>
      </c>
      <c r="N1982" s="15" t="s">
        <v>0</v>
      </c>
      <c r="O1982" s="13" t="s">
        <v>0</v>
      </c>
      <c r="P1982" s="13" t="s">
        <v>0</v>
      </c>
      <c r="Q1982" s="13" t="s">
        <v>0</v>
      </c>
      <c r="R1982" s="15" t="s">
        <v>0</v>
      </c>
      <c r="S1982" s="10" t="s">
        <v>1</v>
      </c>
      <c r="T1982" s="10" t="s">
        <v>32</v>
      </c>
      <c r="U1982" s="5" t="str">
        <f t="shared" si="809"/>
        <v>Propriedade destinada a urbanizar: é.região.administrativa</v>
      </c>
      <c r="V1982" s="5" t="str">
        <f t="shared" si="810"/>
        <v>Dado para urbanizar:  região.administrativa  Deve ser formatado como (rdfs:Literal  or  xsd:string)</v>
      </c>
      <c r="W1982" s="5" t="s">
        <v>6564</v>
      </c>
      <c r="X1982" s="24" t="str">
        <f t="shared" si="811"/>
        <v>urban.113</v>
      </c>
      <c r="Y1982" s="24" t="str">
        <f t="shared" si="812"/>
        <v>Ação de urbanizar</v>
      </c>
      <c r="Z1982" s="47" t="s">
        <v>1903</v>
      </c>
      <c r="AA1982" s="25" t="str">
        <f t="shared" si="858"/>
        <v>null</v>
      </c>
      <c r="AB1982" s="26" t="s">
        <v>0</v>
      </c>
      <c r="AC1982" s="25" t="str">
        <f t="shared" si="859"/>
        <v>null</v>
      </c>
      <c r="AD1982" s="26" t="s">
        <v>0</v>
      </c>
      <c r="AE1982" s="25" t="str">
        <f t="shared" si="836"/>
        <v>propriedade</v>
      </c>
      <c r="AF1982" s="26" t="s">
        <v>2459</v>
      </c>
      <c r="AG1982" s="47" t="s">
        <v>3266</v>
      </c>
    </row>
    <row r="1983" spans="1:33" ht="6.9" customHeight="1" x14ac:dyDescent="0.4">
      <c r="A1983" s="4">
        <f>ROW()</f>
        <v>1983</v>
      </c>
      <c r="B1983" s="9" t="s">
        <v>27</v>
      </c>
      <c r="C1983" s="55" t="str">
        <f t="shared" si="856"/>
        <v>p.urbanizar</v>
      </c>
      <c r="D1983" s="6" t="str">
        <f t="shared" si="813"/>
        <v>é.taxa.de.ocupação</v>
      </c>
      <c r="E1983" s="8" t="s">
        <v>28</v>
      </c>
      <c r="F1983" s="42" t="str">
        <f t="shared" si="860"/>
        <v>d.urbanizar</v>
      </c>
      <c r="G1983" s="18" t="s">
        <v>1032</v>
      </c>
      <c r="H1983" s="41" t="s">
        <v>36</v>
      </c>
      <c r="I1983" s="16" t="str">
        <f t="shared" si="861"/>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809"/>
        <v>Propriedade destinada a urbanizar: é.taxa.de.ocupação</v>
      </c>
      <c r="V1983" s="5" t="str">
        <f t="shared" si="810"/>
        <v>Dado para urbanizar:  taxa.de.ocupação  Deve ser formatado como (xsd:double)</v>
      </c>
      <c r="W1983" s="5" t="s">
        <v>6565</v>
      </c>
      <c r="X1983" s="24" t="str">
        <f t="shared" si="811"/>
        <v>urban.114</v>
      </c>
      <c r="Y1983" s="24" t="str">
        <f t="shared" si="812"/>
        <v>Ação de urbanizar</v>
      </c>
      <c r="Z1983" s="47" t="s">
        <v>1904</v>
      </c>
      <c r="AA1983" s="25" t="str">
        <f t="shared" si="858"/>
        <v>null</v>
      </c>
      <c r="AB1983" s="26" t="s">
        <v>0</v>
      </c>
      <c r="AC1983" s="25" t="str">
        <f t="shared" si="859"/>
        <v>null</v>
      </c>
      <c r="AD1983" s="26" t="s">
        <v>0</v>
      </c>
      <c r="AE1983" s="25" t="str">
        <f t="shared" si="836"/>
        <v>null</v>
      </c>
      <c r="AF1983" s="26" t="s">
        <v>0</v>
      </c>
      <c r="AG1983" s="47" t="s">
        <v>3267</v>
      </c>
    </row>
    <row r="1984" spans="1:33" ht="6.9" customHeight="1" x14ac:dyDescent="0.4">
      <c r="A1984" s="4">
        <f>ROW()</f>
        <v>1984</v>
      </c>
      <c r="B1984" s="9" t="s">
        <v>27</v>
      </c>
      <c r="C1984" s="55" t="str">
        <f t="shared" si="856"/>
        <v>p.urbanizar</v>
      </c>
      <c r="D1984" s="6" t="str">
        <f t="shared" si="813"/>
        <v>é.zoneamento</v>
      </c>
      <c r="E1984" s="8" t="s">
        <v>28</v>
      </c>
      <c r="F1984" s="42" t="str">
        <f t="shared" si="860"/>
        <v>d.urbanizar</v>
      </c>
      <c r="G1984" s="18" t="s">
        <v>225</v>
      </c>
      <c r="H1984" s="41" t="s">
        <v>2121</v>
      </c>
      <c r="I1984" s="16" t="str">
        <f t="shared" si="861"/>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809"/>
        <v>Propriedade destinada a urbanizar: é.zoneamento</v>
      </c>
      <c r="V1984" s="5" t="str">
        <f t="shared" si="810"/>
        <v>Dado para urbanizar:  zoneamento  Deve ser formatado como (rdfs:Literal  or  xsd:string)</v>
      </c>
      <c r="W1984" s="5" t="s">
        <v>6566</v>
      </c>
      <c r="X1984" s="24" t="str">
        <f t="shared" si="811"/>
        <v>urban.115</v>
      </c>
      <c r="Y1984" s="24" t="str">
        <f t="shared" si="812"/>
        <v>Ação de urbanizar</v>
      </c>
      <c r="Z1984" s="47" t="s">
        <v>1905</v>
      </c>
      <c r="AA1984" s="25" t="str">
        <f t="shared" si="858"/>
        <v>null</v>
      </c>
      <c r="AB1984" s="26" t="s">
        <v>0</v>
      </c>
      <c r="AC1984" s="25" t="str">
        <f t="shared" si="859"/>
        <v>null</v>
      </c>
      <c r="AD1984" s="26" t="s">
        <v>0</v>
      </c>
      <c r="AE1984" s="25" t="str">
        <f t="shared" si="836"/>
        <v>propriedade</v>
      </c>
      <c r="AF1984" s="26" t="s">
        <v>2417</v>
      </c>
      <c r="AG1984" s="47" t="s">
        <v>3268</v>
      </c>
    </row>
    <row r="1985" spans="1:33" ht="6.9" customHeight="1" x14ac:dyDescent="0.4">
      <c r="A1985" s="4">
        <f>ROW()</f>
        <v>1985</v>
      </c>
      <c r="B1985" s="9" t="s">
        <v>27</v>
      </c>
      <c r="C1985" s="54" t="str">
        <f t="shared" si="856"/>
        <v>p.ver</v>
      </c>
      <c r="D1985" s="6" t="str">
        <f t="shared" si="813"/>
        <v>é.campo.visual.id</v>
      </c>
      <c r="E1985" s="8" t="s">
        <v>28</v>
      </c>
      <c r="F1985" s="51" t="s">
        <v>7986</v>
      </c>
      <c r="G1985" s="18" t="s">
        <v>8001</v>
      </c>
      <c r="H1985" s="41" t="s">
        <v>2121</v>
      </c>
      <c r="I1985" s="16" t="str">
        <f t="shared" si="861"/>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809"/>
        <v>Propriedade destinada a ver: é.campo.visual.id</v>
      </c>
      <c r="V1985" s="5" t="str">
        <f t="shared" si="810"/>
        <v>Dado para ver:  campo.visual.id  Deve ser formatado como (rdfs:Literal  or  xsd:string)</v>
      </c>
      <c r="W1985" s="5" t="s">
        <v>8000</v>
      </c>
      <c r="X1985" s="24" t="str">
        <f t="shared" si="811"/>
        <v>d.ver.100</v>
      </c>
      <c r="Y1985" s="24" t="str">
        <f t="shared" si="812"/>
        <v>Ação de ver</v>
      </c>
      <c r="Z1985" s="47" t="s">
        <v>8095</v>
      </c>
      <c r="AA1985" s="25" t="str">
        <f t="shared" si="858"/>
        <v>null</v>
      </c>
      <c r="AB1985" s="26" t="s">
        <v>0</v>
      </c>
      <c r="AC1985" s="25" t="str">
        <f t="shared" si="859"/>
        <v>null</v>
      </c>
      <c r="AD1985" s="26" t="s">
        <v>0</v>
      </c>
      <c r="AE1985" s="25" t="str">
        <f t="shared" si="836"/>
        <v>null</v>
      </c>
      <c r="AF1985" s="26" t="s">
        <v>0</v>
      </c>
      <c r="AG1985" s="47" t="s">
        <v>8179</v>
      </c>
    </row>
    <row r="1986" spans="1:33" ht="6.9" customHeight="1" x14ac:dyDescent="0.4">
      <c r="A1986" s="4">
        <f>ROW()</f>
        <v>1986</v>
      </c>
      <c r="B1986" s="9" t="s">
        <v>27</v>
      </c>
      <c r="C1986" s="55" t="str">
        <f>SUBSTITUTE(F1986,"d.","p.")</f>
        <v>p.ver</v>
      </c>
      <c r="D1986" s="6" t="str">
        <f t="shared" si="813"/>
        <v>é.campo.visual.ângulo</v>
      </c>
      <c r="E1986" s="8" t="s">
        <v>28</v>
      </c>
      <c r="F1986" s="42" t="str">
        <f>F1985</f>
        <v>d.ver</v>
      </c>
      <c r="G1986" s="18" t="s">
        <v>7999</v>
      </c>
      <c r="H1986" s="42" t="s">
        <v>36</v>
      </c>
      <c r="I1986" s="16" t="str">
        <f t="shared" si="861"/>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2046" si="862">_xlfn.CONCAT("Propriedade destinada a ",MID(C1986,FIND("p.",C1986,1)+2,100),": ",D1986)</f>
        <v>Propriedade destinada a ver: é.campo.visual.ângulo</v>
      </c>
      <c r="V1986" s="5" t="str">
        <f t="shared" ref="V1986:V2046" si="863">_xlfn.CONCAT("Dado para ",MID(F1986,FIND("d.",F1986,1)+2,100),":  ",G1986, "  Deve ser formatado como (",H1986, ")")</f>
        <v>Dado para ver:  campo.visual.ângulo  Deve ser formatado como (xsd:double)</v>
      </c>
      <c r="W1986" s="5" t="s">
        <v>7991</v>
      </c>
      <c r="X1986" s="24" t="str">
        <f t="shared" si="811"/>
        <v>d.ver.101</v>
      </c>
      <c r="Y1986" s="24" t="str">
        <f t="shared" si="812"/>
        <v>Ação de ver</v>
      </c>
      <c r="Z1986" s="47" t="s">
        <v>8096</v>
      </c>
      <c r="AA1986" s="25" t="str">
        <f t="shared" si="858"/>
        <v>null</v>
      </c>
      <c r="AB1986" s="26" t="s">
        <v>0</v>
      </c>
      <c r="AC1986" s="25" t="str">
        <f t="shared" si="859"/>
        <v>null</v>
      </c>
      <c r="AD1986" s="26" t="s">
        <v>0</v>
      </c>
      <c r="AE1986" s="25" t="str">
        <f t="shared" si="836"/>
        <v>null</v>
      </c>
      <c r="AF1986" s="26" t="s">
        <v>0</v>
      </c>
      <c r="AG1986" s="47" t="s">
        <v>8180</v>
      </c>
    </row>
    <row r="1987" spans="1:33" ht="6.9" customHeight="1" x14ac:dyDescent="0.4">
      <c r="A1987" s="4">
        <f>ROW()</f>
        <v>1987</v>
      </c>
      <c r="B1987" s="9" t="s">
        <v>27</v>
      </c>
      <c r="C1987" s="55" t="str">
        <f t="shared" ref="C1987:C1994" si="864">SUBSTITUTE(F1987,"d.","p.")</f>
        <v>p.ver</v>
      </c>
      <c r="D1987" s="6" t="str">
        <f t="shared" si="813"/>
        <v>é.campo.visual.área</v>
      </c>
      <c r="E1987" s="8" t="s">
        <v>28</v>
      </c>
      <c r="F1987" s="42" t="str">
        <f>F1985</f>
        <v>d.ver</v>
      </c>
      <c r="G1987" s="18" t="s">
        <v>7998</v>
      </c>
      <c r="H1987" s="42" t="s">
        <v>36</v>
      </c>
      <c r="I1987" s="16" t="str">
        <f t="shared" si="861"/>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862"/>
        <v>Propriedade destinada a ver: é.campo.visual.área</v>
      </c>
      <c r="V1987" s="5" t="str">
        <f t="shared" si="863"/>
        <v>Dado para ver:  campo.visual.área  Deve ser formatado como (xsd:double)</v>
      </c>
      <c r="W1987" s="5" t="s">
        <v>8005</v>
      </c>
      <c r="X1987" s="24" t="str">
        <f t="shared" ref="X1987:X2046" si="865">IF(F1986&lt;&gt;F1987,_xlfn.CONCAT(RIGHT(LEFT(F1987,7),5),".100"),_xlfn.CONCAT(RIGHT(LEFT(F1987,7),5),".",SUM(VALUE(RIGHT(X1986,3)),1)))</f>
        <v>d.ver.102</v>
      </c>
      <c r="Y1987" s="24" t="str">
        <f t="shared" ref="Y1987:Y2046" si="866">_xlfn.CONCAT("Ação de ", SUBSTITUTE(F1987, "d.",  ""))</f>
        <v>Ação de ver</v>
      </c>
      <c r="Z1987" s="47" t="s">
        <v>8097</v>
      </c>
      <c r="AA1987" s="25" t="str">
        <f t="shared" si="858"/>
        <v>null</v>
      </c>
      <c r="AB1987" s="26" t="s">
        <v>0</v>
      </c>
      <c r="AC1987" s="25" t="str">
        <f t="shared" si="859"/>
        <v>null</v>
      </c>
      <c r="AD1987" s="26" t="s">
        <v>0</v>
      </c>
      <c r="AE1987" s="25" t="str">
        <f t="shared" si="836"/>
        <v>null</v>
      </c>
      <c r="AF1987" s="26" t="s">
        <v>0</v>
      </c>
      <c r="AG1987" s="47" t="s">
        <v>8181</v>
      </c>
    </row>
    <row r="1988" spans="1:33" ht="6.9" customHeight="1" x14ac:dyDescent="0.4">
      <c r="A1988" s="4">
        <f>ROW()</f>
        <v>1988</v>
      </c>
      <c r="B1988" s="9" t="s">
        <v>27</v>
      </c>
      <c r="C1988" s="55" t="str">
        <f t="shared" si="864"/>
        <v>p.ver</v>
      </c>
      <c r="D1988" s="6" t="str">
        <f t="shared" si="813"/>
        <v>é.campo.visual.característica</v>
      </c>
      <c r="E1988" s="8" t="s">
        <v>28</v>
      </c>
      <c r="F1988" s="42" t="str">
        <f t="shared" ref="F1988:F1994" si="867">F1986</f>
        <v>d.ver</v>
      </c>
      <c r="G1988" s="18" t="s">
        <v>8003</v>
      </c>
      <c r="H1988" s="41" t="s">
        <v>2121</v>
      </c>
      <c r="I1988" s="16" t="str">
        <f t="shared" si="861"/>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62"/>
        <v>Propriedade destinada a ver: é.campo.visual.característica</v>
      </c>
      <c r="V1988" s="5" t="str">
        <f t="shared" si="863"/>
        <v>Dado para ver:  campo.visual.característica  Deve ser formatado como (rdfs:Literal  or  xsd:string)</v>
      </c>
      <c r="W1988" s="5" t="s">
        <v>8004</v>
      </c>
      <c r="X1988" s="24" t="str">
        <f t="shared" si="865"/>
        <v>d.ver.103</v>
      </c>
      <c r="Y1988" s="24" t="str">
        <f t="shared" si="866"/>
        <v>Ação de ver</v>
      </c>
      <c r="Z1988" s="47" t="s">
        <v>8098</v>
      </c>
      <c r="AA1988" s="25" t="str">
        <f t="shared" si="858"/>
        <v>null</v>
      </c>
      <c r="AB1988" s="26" t="s">
        <v>0</v>
      </c>
      <c r="AC1988" s="25" t="str">
        <f t="shared" si="859"/>
        <v>null</v>
      </c>
      <c r="AD1988" s="26" t="s">
        <v>0</v>
      </c>
      <c r="AE1988" s="25" t="str">
        <f t="shared" si="836"/>
        <v>null</v>
      </c>
      <c r="AF1988" s="26" t="s">
        <v>0</v>
      </c>
      <c r="AG1988" s="47" t="s">
        <v>8182</v>
      </c>
    </row>
    <row r="1989" spans="1:33" ht="6.9" customHeight="1" x14ac:dyDescent="0.4">
      <c r="A1989" s="4">
        <f>ROW()</f>
        <v>1989</v>
      </c>
      <c r="B1989" s="9" t="s">
        <v>27</v>
      </c>
      <c r="C1989" s="55" t="str">
        <f t="shared" si="864"/>
        <v>p.ver</v>
      </c>
      <c r="D1989" s="6" t="str">
        <f t="shared" si="813"/>
        <v>é.campo.visual.profundidade</v>
      </c>
      <c r="E1989" s="8" t="s">
        <v>28</v>
      </c>
      <c r="F1989" s="42" t="str">
        <f t="shared" si="867"/>
        <v>d.ver</v>
      </c>
      <c r="G1989" s="18" t="s">
        <v>8002</v>
      </c>
      <c r="H1989" s="42" t="s">
        <v>36</v>
      </c>
      <c r="I1989" s="16" t="str">
        <f t="shared" si="861"/>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62"/>
        <v>Propriedade destinada a ver: é.campo.visual.profundidade</v>
      </c>
      <c r="V1989" s="5" t="str">
        <f t="shared" si="863"/>
        <v>Dado para ver:  campo.visual.profundidade  Deve ser formatado como (xsd:double)</v>
      </c>
      <c r="W1989" s="5" t="s">
        <v>7992</v>
      </c>
      <c r="X1989" s="24" t="str">
        <f t="shared" si="865"/>
        <v>d.ver.104</v>
      </c>
      <c r="Y1989" s="24" t="str">
        <f t="shared" si="866"/>
        <v>Ação de ver</v>
      </c>
      <c r="Z1989" s="47" t="s">
        <v>8099</v>
      </c>
      <c r="AA1989" s="25" t="str">
        <f t="shared" si="858"/>
        <v>null</v>
      </c>
      <c r="AB1989" s="26" t="s">
        <v>0</v>
      </c>
      <c r="AC1989" s="25" t="str">
        <f t="shared" si="859"/>
        <v>null</v>
      </c>
      <c r="AD1989" s="26" t="s">
        <v>0</v>
      </c>
      <c r="AE1989" s="25" t="str">
        <f t="shared" si="836"/>
        <v>null</v>
      </c>
      <c r="AF1989" s="26" t="s">
        <v>0</v>
      </c>
      <c r="AG1989" s="47" t="s">
        <v>8183</v>
      </c>
    </row>
    <row r="1990" spans="1:33" ht="6.9" customHeight="1" x14ac:dyDescent="0.4">
      <c r="A1990" s="4">
        <f>ROW()</f>
        <v>1990</v>
      </c>
      <c r="B1990" s="9" t="s">
        <v>27</v>
      </c>
      <c r="C1990" s="55" t="str">
        <f t="shared" si="864"/>
        <v>p.ver</v>
      </c>
      <c r="D1990" s="6" t="str">
        <f t="shared" si="813"/>
        <v>é.imagem.histórica</v>
      </c>
      <c r="E1990" s="8" t="s">
        <v>28</v>
      </c>
      <c r="F1990" s="42" t="str">
        <f t="shared" si="867"/>
        <v>d.ver</v>
      </c>
      <c r="G1990" s="18" t="s">
        <v>7995</v>
      </c>
      <c r="H1990" s="41" t="s">
        <v>2121</v>
      </c>
      <c r="I1990" s="16" t="str">
        <f>J1990</f>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862"/>
        <v>Propriedade destinada a ver: é.imagem.histórica</v>
      </c>
      <c r="V1990" s="5" t="str">
        <f t="shared" si="863"/>
        <v>Dado para ver:  imagem.histórica  Deve ser formatado como (rdfs:Literal  or  xsd:string)</v>
      </c>
      <c r="W1990" s="5" t="s">
        <v>7996</v>
      </c>
      <c r="X1990" s="24" t="str">
        <f t="shared" si="865"/>
        <v>d.ver.105</v>
      </c>
      <c r="Y1990" s="24" t="str">
        <f t="shared" si="866"/>
        <v>Ação de ver</v>
      </c>
      <c r="Z1990" s="47" t="s">
        <v>8100</v>
      </c>
      <c r="AA1990" s="25" t="str">
        <f>IF(AB1990="null", "null", "categoria.revit")</f>
        <v>null</v>
      </c>
      <c r="AB1990" s="26" t="s">
        <v>0</v>
      </c>
      <c r="AC1990" s="25" t="str">
        <f>IF(AD1990="null", "null", "classe.ifc")</f>
        <v>null</v>
      </c>
      <c r="AD1990" s="26" t="s">
        <v>0</v>
      </c>
      <c r="AE1990" s="25" t="str">
        <f>IF(AF1990="null", "null", "propriedade")</f>
        <v>null</v>
      </c>
      <c r="AF1990" s="26" t="s">
        <v>0</v>
      </c>
      <c r="AG1990" s="47" t="s">
        <v>8187</v>
      </c>
    </row>
    <row r="1991" spans="1:33" ht="6.9" customHeight="1" x14ac:dyDescent="0.4">
      <c r="A1991" s="4">
        <f>ROW()</f>
        <v>1991</v>
      </c>
      <c r="B1991" s="9" t="s">
        <v>27</v>
      </c>
      <c r="C1991" s="55" t="str">
        <f t="shared" si="864"/>
        <v>p.ver</v>
      </c>
      <c r="D1991" s="6" t="str">
        <f t="shared" si="813"/>
        <v>é.intervisível.com</v>
      </c>
      <c r="E1991" s="8" t="s">
        <v>28</v>
      </c>
      <c r="F1991" s="42" t="str">
        <f t="shared" si="867"/>
        <v>d.ver</v>
      </c>
      <c r="G1991" s="18" t="s">
        <v>8305</v>
      </c>
      <c r="H1991" s="42" t="s">
        <v>2121</v>
      </c>
      <c r="I1991" s="16" t="str">
        <f>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62"/>
        <v>Propriedade destinada a ver: é.intervisível.com</v>
      </c>
      <c r="V1991" s="5" t="str">
        <f t="shared" si="863"/>
        <v>Dado para ver:  intervisível.com  Deve ser formatado como (rdfs:Literal  or  xsd:string)</v>
      </c>
      <c r="W1991" s="5" t="s">
        <v>7997</v>
      </c>
      <c r="X1991" s="24" t="str">
        <f t="shared" si="865"/>
        <v>d.ver.106</v>
      </c>
      <c r="Y1991" s="24" t="str">
        <f t="shared" si="866"/>
        <v>Ação de ver</v>
      </c>
      <c r="Z1991" s="47" t="s">
        <v>8104</v>
      </c>
      <c r="AA1991" s="25" t="str">
        <f>IF(AB1991="null", "null", "categoria.revit")</f>
        <v>null</v>
      </c>
      <c r="AB1991" s="26" t="s">
        <v>0</v>
      </c>
      <c r="AC1991" s="25" t="str">
        <f>IF(AD1991="null", "null", "classe.ifc")</f>
        <v>null</v>
      </c>
      <c r="AD1991" s="26" t="s">
        <v>0</v>
      </c>
      <c r="AE1991" s="25" t="str">
        <f>IF(AF1991="null", "null", "propriedade")</f>
        <v>null</v>
      </c>
      <c r="AF1991" s="26" t="s">
        <v>0</v>
      </c>
      <c r="AG1991" s="47" t="s">
        <v>8188</v>
      </c>
    </row>
    <row r="1992" spans="1:33" ht="6.9" customHeight="1" x14ac:dyDescent="0.4">
      <c r="A1992" s="4">
        <f>ROW()</f>
        <v>1992</v>
      </c>
      <c r="B1992" s="9" t="s">
        <v>27</v>
      </c>
      <c r="C1992" s="55" t="str">
        <f t="shared" si="864"/>
        <v>p.ver</v>
      </c>
      <c r="D1992" s="6" t="str">
        <f t="shared" si="813"/>
        <v>é.polígono.isovista</v>
      </c>
      <c r="E1992" s="8" t="s">
        <v>28</v>
      </c>
      <c r="F1992" s="42" t="str">
        <f t="shared" si="867"/>
        <v>d.ver</v>
      </c>
      <c r="G1992" s="18" t="s">
        <v>7994</v>
      </c>
      <c r="H1992" s="41" t="s">
        <v>2121</v>
      </c>
      <c r="I1992" s="16" t="str">
        <f>J1992</f>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62"/>
        <v>Propriedade destinada a ver: é.polígono.isovista</v>
      </c>
      <c r="V1992" s="5" t="str">
        <f t="shared" si="863"/>
        <v>Dado para ver:  polígono.isovista  Deve ser formatado como (rdfs:Literal  or  xsd:string)</v>
      </c>
      <c r="W1992" s="5" t="s">
        <v>7993</v>
      </c>
      <c r="X1992" s="24" t="str">
        <f t="shared" si="865"/>
        <v>d.ver.107</v>
      </c>
      <c r="Y1992" s="24" t="str">
        <f t="shared" si="866"/>
        <v>Ação de ver</v>
      </c>
      <c r="Z1992" s="47" t="s">
        <v>8101</v>
      </c>
      <c r="AA1992" s="25" t="str">
        <f>IF(AB1992="null", "null", "categoria.revit")</f>
        <v>null</v>
      </c>
      <c r="AB1992" s="26" t="s">
        <v>0</v>
      </c>
      <c r="AC1992" s="25" t="str">
        <f>IF(AD1992="null", "null", "classe.ifc")</f>
        <v>null</v>
      </c>
      <c r="AD1992" s="26" t="s">
        <v>0</v>
      </c>
      <c r="AE1992" s="25" t="str">
        <f>IF(AF1992="null", "null", "propriedade")</f>
        <v>null</v>
      </c>
      <c r="AF1992" s="26" t="s">
        <v>0</v>
      </c>
      <c r="AG1992" s="47" t="s">
        <v>8184</v>
      </c>
    </row>
    <row r="1993" spans="1:33" ht="6.9" customHeight="1" x14ac:dyDescent="0.4">
      <c r="A1993" s="4">
        <f>ROW()</f>
        <v>1993</v>
      </c>
      <c r="B1993" s="9" t="s">
        <v>27</v>
      </c>
      <c r="C1993" s="55" t="str">
        <f t="shared" si="864"/>
        <v>p.ver</v>
      </c>
      <c r="D1993" s="6" t="str">
        <f t="shared" si="813"/>
        <v>é.ponto.de.isovista.parcial</v>
      </c>
      <c r="E1993" s="8" t="s">
        <v>28</v>
      </c>
      <c r="F1993" s="42" t="str">
        <f t="shared" si="867"/>
        <v>d.ver</v>
      </c>
      <c r="G1993" s="18" t="s">
        <v>7988</v>
      </c>
      <c r="H1993" s="41" t="s">
        <v>2121</v>
      </c>
      <c r="I1993" s="16" t="str">
        <f>J1993</f>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62"/>
        <v>Propriedade destinada a ver: é.ponto.de.isovista.parcial</v>
      </c>
      <c r="V1993" s="5" t="str">
        <f t="shared" si="863"/>
        <v>Dado para ver:  ponto.de.isovista.parcial  Deve ser formatado como (rdfs:Literal  or  xsd:string)</v>
      </c>
      <c r="W1993" s="5" t="s">
        <v>7989</v>
      </c>
      <c r="X1993" s="24" t="str">
        <f t="shared" si="865"/>
        <v>d.ver.108</v>
      </c>
      <c r="Y1993" s="24" t="str">
        <f t="shared" si="866"/>
        <v>Ação de ver</v>
      </c>
      <c r="Z1993" s="47" t="s">
        <v>8102</v>
      </c>
      <c r="AA1993" s="25" t="str">
        <f>IF(AB1993="null", "null", "categoria.revit")</f>
        <v>null</v>
      </c>
      <c r="AB1993" s="26" t="s">
        <v>0</v>
      </c>
      <c r="AC1993" s="25" t="str">
        <f>IF(AD1993="null", "null", "classe.ifc")</f>
        <v>null</v>
      </c>
      <c r="AD1993" s="26" t="s">
        <v>0</v>
      </c>
      <c r="AE1993" s="25" t="str">
        <f>IF(AF1993="null", "null", "propriedade")</f>
        <v>null</v>
      </c>
      <c r="AF1993" s="26" t="s">
        <v>0</v>
      </c>
      <c r="AG1993" s="47" t="s">
        <v>8185</v>
      </c>
    </row>
    <row r="1994" spans="1:33" ht="6.9" customHeight="1" x14ac:dyDescent="0.4">
      <c r="A1994" s="4">
        <f>ROW()</f>
        <v>1994</v>
      </c>
      <c r="B1994" s="9" t="s">
        <v>27</v>
      </c>
      <c r="C1994" s="55" t="str">
        <f t="shared" si="864"/>
        <v>p.ver</v>
      </c>
      <c r="D1994" s="6" t="str">
        <f t="shared" si="813"/>
        <v>é.ponto.de.isovista.total</v>
      </c>
      <c r="E1994" s="8" t="s">
        <v>28</v>
      </c>
      <c r="F1994" s="42" t="str">
        <f t="shared" si="867"/>
        <v>d.ver</v>
      </c>
      <c r="G1994" s="18" t="s">
        <v>7987</v>
      </c>
      <c r="H1994" s="41" t="s">
        <v>2121</v>
      </c>
      <c r="I1994" s="16" t="str">
        <f>J1994</f>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862"/>
        <v>Propriedade destinada a ver: é.ponto.de.isovista.total</v>
      </c>
      <c r="V1994" s="5" t="str">
        <f t="shared" si="863"/>
        <v>Dado para ver:  ponto.de.isovista.total  Deve ser formatado como (rdfs:Literal  or  xsd:string)</v>
      </c>
      <c r="W1994" s="5" t="s">
        <v>7990</v>
      </c>
      <c r="X1994" s="24" t="str">
        <f t="shared" si="865"/>
        <v>d.ver.109</v>
      </c>
      <c r="Y1994" s="24" t="str">
        <f t="shared" si="866"/>
        <v>Ação de ver</v>
      </c>
      <c r="Z1994" s="47" t="s">
        <v>8103</v>
      </c>
      <c r="AA1994" s="25" t="str">
        <f>IF(AB1994="null", "null", "categoria.revit")</f>
        <v>null</v>
      </c>
      <c r="AB1994" s="26" t="s">
        <v>0</v>
      </c>
      <c r="AC1994" s="25" t="str">
        <f>IF(AD1994="null", "null", "classe.ifc")</f>
        <v>null</v>
      </c>
      <c r="AD1994" s="26" t="s">
        <v>0</v>
      </c>
      <c r="AE1994" s="25" t="str">
        <f>IF(AF1994="null", "null", "propriedade")</f>
        <v>null</v>
      </c>
      <c r="AF1994" s="26" t="s">
        <v>0</v>
      </c>
      <c r="AG1994" s="47" t="s">
        <v>8186</v>
      </c>
    </row>
    <row r="1995" spans="1:33" ht="6.9" customHeight="1" x14ac:dyDescent="0.4">
      <c r="A1995" s="4">
        <f>ROW()</f>
        <v>1995</v>
      </c>
      <c r="B1995" s="9" t="s">
        <v>27</v>
      </c>
      <c r="C1995" s="54" t="str">
        <f t="shared" si="856"/>
        <v>p.vestir</v>
      </c>
      <c r="D1995" s="6" t="str">
        <f t="shared" si="813"/>
        <v>é.calçado</v>
      </c>
      <c r="E1995" s="8" t="s">
        <v>28</v>
      </c>
      <c r="F1995" s="51" t="s">
        <v>3640</v>
      </c>
      <c r="G1995" s="18" t="s">
        <v>314</v>
      </c>
      <c r="H1995" s="41" t="s">
        <v>37</v>
      </c>
      <c r="I1995" s="16" t="str">
        <f t="shared" si="861"/>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862"/>
        <v>Propriedade destinada a vestir: é.calçado</v>
      </c>
      <c r="V1995" s="5" t="str">
        <f t="shared" si="863"/>
        <v>Dado para vestir:  calçado  Deve ser formatado como (xsd:boolean)</v>
      </c>
      <c r="W1995" s="5" t="s">
        <v>6567</v>
      </c>
      <c r="X1995" s="24" t="str">
        <f t="shared" si="865"/>
        <v>vesti.100</v>
      </c>
      <c r="Y1995" s="24" t="str">
        <f t="shared" si="866"/>
        <v>Ação de vestir</v>
      </c>
      <c r="Z1995" s="47" t="s">
        <v>1906</v>
      </c>
      <c r="AA1995" s="25" t="str">
        <f t="shared" si="858"/>
        <v>null</v>
      </c>
      <c r="AB1995" s="26" t="s">
        <v>0</v>
      </c>
      <c r="AC1995" s="25" t="str">
        <f t="shared" si="859"/>
        <v>null</v>
      </c>
      <c r="AD1995" s="26" t="s">
        <v>0</v>
      </c>
      <c r="AE1995" s="25" t="str">
        <f t="shared" si="836"/>
        <v>null</v>
      </c>
      <c r="AF1995" s="26" t="s">
        <v>0</v>
      </c>
      <c r="AG1995" s="47" t="s">
        <v>3269</v>
      </c>
    </row>
    <row r="1996" spans="1:33" ht="6.9" customHeight="1" x14ac:dyDescent="0.4">
      <c r="A1996" s="4">
        <f>ROW()</f>
        <v>1996</v>
      </c>
      <c r="B1996" s="9" t="s">
        <v>27</v>
      </c>
      <c r="C1996" s="55" t="str">
        <f t="shared" si="856"/>
        <v>p.vestir</v>
      </c>
      <c r="D1996" s="6" t="str">
        <f t="shared" si="813"/>
        <v>é.capacete</v>
      </c>
      <c r="E1996" s="8" t="s">
        <v>28</v>
      </c>
      <c r="F1996" s="42" t="str">
        <f t="shared" ref="F1996:F2002" si="868">F1995</f>
        <v>d.vestir</v>
      </c>
      <c r="G1996" s="18" t="s">
        <v>327</v>
      </c>
      <c r="H1996" s="41" t="s">
        <v>37</v>
      </c>
      <c r="I1996" s="16" t="str">
        <f t="shared" si="861"/>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62"/>
        <v>Propriedade destinada a vestir: é.capacete</v>
      </c>
      <c r="V1996" s="5" t="str">
        <f t="shared" si="863"/>
        <v>Dado para vestir:  capacete  Deve ser formatado como (xsd:boolean)</v>
      </c>
      <c r="W1996" s="5" t="s">
        <v>6568</v>
      </c>
      <c r="X1996" s="24" t="str">
        <f t="shared" si="865"/>
        <v>vesti.101</v>
      </c>
      <c r="Y1996" s="24" t="str">
        <f t="shared" si="866"/>
        <v>Ação de vestir</v>
      </c>
      <c r="Z1996" s="47" t="s">
        <v>1907</v>
      </c>
      <c r="AA1996" s="25" t="str">
        <f t="shared" si="858"/>
        <v>null</v>
      </c>
      <c r="AB1996" s="26" t="s">
        <v>0</v>
      </c>
      <c r="AC1996" s="25" t="str">
        <f t="shared" si="859"/>
        <v>null</v>
      </c>
      <c r="AD1996" s="26" t="s">
        <v>0</v>
      </c>
      <c r="AE1996" s="25" t="str">
        <f t="shared" si="836"/>
        <v>null</v>
      </c>
      <c r="AF1996" s="26" t="s">
        <v>0</v>
      </c>
      <c r="AG1996" s="47" t="s">
        <v>3270</v>
      </c>
    </row>
    <row r="1997" spans="1:33" ht="6.9" customHeight="1" x14ac:dyDescent="0.4">
      <c r="A1997" s="4">
        <f>ROW()</f>
        <v>1997</v>
      </c>
      <c r="B1997" s="9" t="s">
        <v>27</v>
      </c>
      <c r="C1997" s="55" t="str">
        <f t="shared" si="856"/>
        <v>p.vestir</v>
      </c>
      <c r="D1997" s="6" t="str">
        <f t="shared" si="813"/>
        <v>é.cintado</v>
      </c>
      <c r="E1997" s="8" t="s">
        <v>28</v>
      </c>
      <c r="F1997" s="42" t="str">
        <f t="shared" si="868"/>
        <v>d.vestir</v>
      </c>
      <c r="G1997" s="18" t="s">
        <v>316</v>
      </c>
      <c r="H1997" s="41" t="s">
        <v>37</v>
      </c>
      <c r="I1997" s="16" t="str">
        <f t="shared" si="861"/>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862"/>
        <v>Propriedade destinada a vestir: é.cintado</v>
      </c>
      <c r="V1997" s="5" t="str">
        <f t="shared" si="863"/>
        <v>Dado para vestir:  cintado  Deve ser formatado como (xsd:boolean)</v>
      </c>
      <c r="W1997" s="5" t="s">
        <v>6569</v>
      </c>
      <c r="X1997" s="24" t="str">
        <f t="shared" si="865"/>
        <v>vesti.102</v>
      </c>
      <c r="Y1997" s="24" t="str">
        <f t="shared" si="866"/>
        <v>Ação de vestir</v>
      </c>
      <c r="Z1997" s="47" t="s">
        <v>1908</v>
      </c>
      <c r="AA1997" s="25" t="str">
        <f t="shared" si="858"/>
        <v>null</v>
      </c>
      <c r="AB1997" s="26" t="s">
        <v>0</v>
      </c>
      <c r="AC1997" s="25" t="str">
        <f t="shared" si="859"/>
        <v>null</v>
      </c>
      <c r="AD1997" s="26" t="s">
        <v>0</v>
      </c>
      <c r="AE1997" s="25" t="str">
        <f t="shared" si="836"/>
        <v>null</v>
      </c>
      <c r="AF1997" s="26" t="s">
        <v>0</v>
      </c>
      <c r="AG1997" s="47" t="s">
        <v>3271</v>
      </c>
    </row>
    <row r="1998" spans="1:33" ht="6.9" customHeight="1" x14ac:dyDescent="0.4">
      <c r="A1998" s="4">
        <f>ROW()</f>
        <v>1998</v>
      </c>
      <c r="B1998" s="9" t="s">
        <v>27</v>
      </c>
      <c r="C1998" s="55" t="str">
        <f t="shared" si="856"/>
        <v>p.vestir</v>
      </c>
      <c r="D1998" s="6" t="str">
        <f t="shared" si="813"/>
        <v>é.enluvado</v>
      </c>
      <c r="E1998" s="8" t="s">
        <v>28</v>
      </c>
      <c r="F1998" s="42" t="str">
        <f t="shared" si="868"/>
        <v>d.vestir</v>
      </c>
      <c r="G1998" s="18" t="s">
        <v>319</v>
      </c>
      <c r="H1998" s="41" t="s">
        <v>37</v>
      </c>
      <c r="I1998" s="16" t="str">
        <f t="shared" si="861"/>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862"/>
        <v>Propriedade destinada a vestir: é.enluvado</v>
      </c>
      <c r="V1998" s="5" t="str">
        <f t="shared" si="863"/>
        <v>Dado para vestir:  enluvado  Deve ser formatado como (xsd:boolean)</v>
      </c>
      <c r="W1998" s="5" t="s">
        <v>6570</v>
      </c>
      <c r="X1998" s="24" t="str">
        <f t="shared" si="865"/>
        <v>vesti.103</v>
      </c>
      <c r="Y1998" s="24" t="str">
        <f t="shared" si="866"/>
        <v>Ação de vestir</v>
      </c>
      <c r="Z1998" s="47" t="s">
        <v>1909</v>
      </c>
      <c r="AA1998" s="25" t="str">
        <f t="shared" si="858"/>
        <v>null</v>
      </c>
      <c r="AB1998" s="26" t="s">
        <v>0</v>
      </c>
      <c r="AC1998" s="25" t="str">
        <f t="shared" si="859"/>
        <v>null</v>
      </c>
      <c r="AD1998" s="26" t="s">
        <v>0</v>
      </c>
      <c r="AE1998" s="25" t="str">
        <f t="shared" si="836"/>
        <v>null</v>
      </c>
      <c r="AF1998" s="26" t="s">
        <v>0</v>
      </c>
      <c r="AG1998" s="47" t="s">
        <v>3272</v>
      </c>
    </row>
    <row r="1999" spans="1:33" ht="6.9" customHeight="1" x14ac:dyDescent="0.4">
      <c r="A1999" s="4">
        <f>ROW()</f>
        <v>1999</v>
      </c>
      <c r="B1999" s="9" t="s">
        <v>27</v>
      </c>
      <c r="C1999" s="55" t="str">
        <f t="shared" si="856"/>
        <v>p.vestir</v>
      </c>
      <c r="D1999" s="6" t="str">
        <f t="shared" ref="D1999:D2046" si="869">_xlfn.CONCAT("é.",G1999)</f>
        <v>é.epi</v>
      </c>
      <c r="E1999" s="8" t="s">
        <v>28</v>
      </c>
      <c r="F1999" s="42" t="str">
        <f t="shared" si="868"/>
        <v>d.vestir</v>
      </c>
      <c r="G1999" s="18" t="s">
        <v>315</v>
      </c>
      <c r="H1999" s="41" t="s">
        <v>37</v>
      </c>
      <c r="I1999" s="16" t="str">
        <f t="shared" si="861"/>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62"/>
        <v>Propriedade destinada a vestir: é.epi</v>
      </c>
      <c r="V1999" s="5" t="str">
        <f t="shared" si="863"/>
        <v>Dado para vestir:  epi  Deve ser formatado como (xsd:boolean)</v>
      </c>
      <c r="W1999" s="5" t="s">
        <v>6571</v>
      </c>
      <c r="X1999" s="24" t="str">
        <f t="shared" si="865"/>
        <v>vesti.104</v>
      </c>
      <c r="Y1999" s="24" t="str">
        <f t="shared" si="866"/>
        <v>Ação de vestir</v>
      </c>
      <c r="Z1999" s="47" t="s">
        <v>1910</v>
      </c>
      <c r="AA1999" s="25" t="str">
        <f t="shared" si="858"/>
        <v>null</v>
      </c>
      <c r="AB1999" s="26" t="s">
        <v>0</v>
      </c>
      <c r="AC1999" s="25" t="str">
        <f t="shared" si="859"/>
        <v>null</v>
      </c>
      <c r="AD1999" s="26" t="s">
        <v>0</v>
      </c>
      <c r="AE1999" s="25" t="str">
        <f t="shared" si="836"/>
        <v>null</v>
      </c>
      <c r="AF1999" s="26" t="s">
        <v>0</v>
      </c>
      <c r="AG1999" s="47" t="s">
        <v>3273</v>
      </c>
    </row>
    <row r="2000" spans="1:33" ht="6.9" customHeight="1" x14ac:dyDescent="0.4">
      <c r="A2000" s="4">
        <f>ROW()</f>
        <v>2000</v>
      </c>
      <c r="B2000" s="9" t="s">
        <v>27</v>
      </c>
      <c r="C2000" s="55" t="str">
        <f t="shared" si="856"/>
        <v>p.vestir</v>
      </c>
      <c r="D2000" s="6" t="str">
        <f t="shared" si="869"/>
        <v>é.mascarado</v>
      </c>
      <c r="E2000" s="8" t="s">
        <v>28</v>
      </c>
      <c r="F2000" s="42" t="str">
        <f t="shared" si="868"/>
        <v>d.vestir</v>
      </c>
      <c r="G2000" s="18" t="s">
        <v>317</v>
      </c>
      <c r="H2000" s="41" t="s">
        <v>37</v>
      </c>
      <c r="I2000" s="16" t="str">
        <f t="shared" si="861"/>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62"/>
        <v>Propriedade destinada a vestir: é.mascarado</v>
      </c>
      <c r="V2000" s="5" t="str">
        <f t="shared" si="863"/>
        <v>Dado para vestir:  mascarado  Deve ser formatado como (xsd:boolean)</v>
      </c>
      <c r="W2000" s="5" t="s">
        <v>6572</v>
      </c>
      <c r="X2000" s="24" t="str">
        <f t="shared" si="865"/>
        <v>vesti.105</v>
      </c>
      <c r="Y2000" s="24" t="str">
        <f t="shared" si="866"/>
        <v>Ação de vestir</v>
      </c>
      <c r="Z2000" s="47" t="s">
        <v>1911</v>
      </c>
      <c r="AA2000" s="25" t="str">
        <f t="shared" si="858"/>
        <v>null</v>
      </c>
      <c r="AB2000" s="26" t="s">
        <v>0</v>
      </c>
      <c r="AC2000" s="25" t="str">
        <f t="shared" si="859"/>
        <v>null</v>
      </c>
      <c r="AD2000" s="26" t="s">
        <v>0</v>
      </c>
      <c r="AE2000" s="25" t="str">
        <f t="shared" si="836"/>
        <v>null</v>
      </c>
      <c r="AF2000" s="26" t="s">
        <v>0</v>
      </c>
      <c r="AG2000" s="47" t="s">
        <v>3274</v>
      </c>
    </row>
    <row r="2001" spans="1:33" ht="6.9" customHeight="1" x14ac:dyDescent="0.4">
      <c r="A2001" s="4">
        <f>ROW()</f>
        <v>2001</v>
      </c>
      <c r="B2001" s="9" t="s">
        <v>27</v>
      </c>
      <c r="C2001" s="55" t="str">
        <f t="shared" si="856"/>
        <v>p.vestir</v>
      </c>
      <c r="D2001" s="6" t="str">
        <f t="shared" si="869"/>
        <v>é.paramentado</v>
      </c>
      <c r="E2001" s="8" t="s">
        <v>28</v>
      </c>
      <c r="F2001" s="42" t="str">
        <f t="shared" si="868"/>
        <v>d.vestir</v>
      </c>
      <c r="G2001" s="18" t="s">
        <v>411</v>
      </c>
      <c r="H2001" s="41" t="s">
        <v>37</v>
      </c>
      <c r="I2001" s="16" t="str">
        <f t="shared" si="861"/>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62"/>
        <v>Propriedade destinada a vestir: é.paramentado</v>
      </c>
      <c r="V2001" s="5" t="str">
        <f t="shared" si="863"/>
        <v>Dado para vestir:  paramentado  Deve ser formatado como (xsd:boolean)</v>
      </c>
      <c r="W2001" s="5" t="s">
        <v>6573</v>
      </c>
      <c r="X2001" s="24" t="str">
        <f t="shared" si="865"/>
        <v>vesti.106</v>
      </c>
      <c r="Y2001" s="24" t="str">
        <f t="shared" si="866"/>
        <v>Ação de vestir</v>
      </c>
      <c r="Z2001" s="47" t="s">
        <v>1912</v>
      </c>
      <c r="AA2001" s="25" t="str">
        <f t="shared" si="858"/>
        <v>null</v>
      </c>
      <c r="AB2001" s="26" t="s">
        <v>0</v>
      </c>
      <c r="AC2001" s="25" t="str">
        <f t="shared" si="859"/>
        <v>null</v>
      </c>
      <c r="AD2001" s="26" t="s">
        <v>0</v>
      </c>
      <c r="AE2001" s="25" t="str">
        <f t="shared" si="836"/>
        <v>null</v>
      </c>
      <c r="AF2001" s="26" t="s">
        <v>0</v>
      </c>
      <c r="AG2001" s="47" t="s">
        <v>3275</v>
      </c>
    </row>
    <row r="2002" spans="1:33" ht="6.9" customHeight="1" x14ac:dyDescent="0.4">
      <c r="A2002" s="4">
        <f>ROW()</f>
        <v>2002</v>
      </c>
      <c r="B2002" s="9" t="s">
        <v>27</v>
      </c>
      <c r="C2002" s="55" t="str">
        <f t="shared" si="856"/>
        <v>p.vestir</v>
      </c>
      <c r="D2002" s="6" t="str">
        <f t="shared" si="869"/>
        <v>é.uniformizado</v>
      </c>
      <c r="E2002" s="8" t="s">
        <v>28</v>
      </c>
      <c r="F2002" s="42" t="str">
        <f t="shared" si="868"/>
        <v>d.vestir</v>
      </c>
      <c r="G2002" s="18" t="s">
        <v>318</v>
      </c>
      <c r="H2002" s="41" t="s">
        <v>37</v>
      </c>
      <c r="I2002" s="16" t="str">
        <f t="shared" si="861"/>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62"/>
        <v>Propriedade destinada a vestir: é.uniformizado</v>
      </c>
      <c r="V2002" s="5" t="str">
        <f t="shared" si="863"/>
        <v>Dado para vestir:  uniformizado  Deve ser formatado como (xsd:boolean)</v>
      </c>
      <c r="W2002" s="5" t="s">
        <v>6574</v>
      </c>
      <c r="X2002" s="24" t="str">
        <f t="shared" si="865"/>
        <v>vesti.107</v>
      </c>
      <c r="Y2002" s="24" t="str">
        <f t="shared" si="866"/>
        <v>Ação de vestir</v>
      </c>
      <c r="Z2002" s="47" t="s">
        <v>1913</v>
      </c>
      <c r="AA2002" s="25" t="str">
        <f t="shared" si="858"/>
        <v>null</v>
      </c>
      <c r="AB2002" s="26" t="s">
        <v>0</v>
      </c>
      <c r="AC2002" s="25" t="str">
        <f t="shared" si="859"/>
        <v>null</v>
      </c>
      <c r="AD2002" s="26" t="s">
        <v>0</v>
      </c>
      <c r="AE2002" s="25" t="str">
        <f t="shared" si="836"/>
        <v>null</v>
      </c>
      <c r="AF2002" s="26" t="s">
        <v>0</v>
      </c>
      <c r="AG2002" s="47" t="s">
        <v>3276</v>
      </c>
    </row>
    <row r="2003" spans="1:33" ht="6.9" customHeight="1" x14ac:dyDescent="0.4">
      <c r="A2003" s="4">
        <f>ROW()</f>
        <v>2003</v>
      </c>
      <c r="B2003" s="9" t="s">
        <v>27</v>
      </c>
      <c r="C2003" s="54" t="str">
        <f t="shared" si="856"/>
        <v>p.vigiar</v>
      </c>
      <c r="D2003" s="6" t="str">
        <f t="shared" si="869"/>
        <v>é.blitz.eletrônica</v>
      </c>
      <c r="E2003" s="8" t="s">
        <v>28</v>
      </c>
      <c r="F2003" s="51" t="s">
        <v>7235</v>
      </c>
      <c r="G2003" s="18" t="s">
        <v>7254</v>
      </c>
      <c r="H2003" s="41" t="s">
        <v>2121</v>
      </c>
      <c r="I2003" s="16" t="str">
        <f t="shared" si="861"/>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62"/>
        <v>Propriedade destinada a vigiar: é.blitz.eletrônica</v>
      </c>
      <c r="V2003" s="5" t="str">
        <f t="shared" si="863"/>
        <v>Dado para vigiar:  blitz.eletrônica  Deve ser formatado como (rdfs:Literal  or  xsd:string)</v>
      </c>
      <c r="W2003" s="5" t="s">
        <v>7255</v>
      </c>
      <c r="X2003" s="24" t="str">
        <f t="shared" si="865"/>
        <v>vigia.100</v>
      </c>
      <c r="Y2003" s="24" t="str">
        <f t="shared" si="866"/>
        <v>Ação de vigiar</v>
      </c>
      <c r="Z2003" s="47" t="s">
        <v>7408</v>
      </c>
      <c r="AA2003" s="25" t="str">
        <f t="shared" si="858"/>
        <v>categoria.revit</v>
      </c>
      <c r="AB2003" s="26" t="s">
        <v>3526</v>
      </c>
      <c r="AC2003" s="25" t="str">
        <f t="shared" si="859"/>
        <v>classe.ifc</v>
      </c>
      <c r="AD2003" s="26" t="s">
        <v>3478</v>
      </c>
      <c r="AE2003" s="25" t="str">
        <f t="shared" si="836"/>
        <v>null</v>
      </c>
      <c r="AF2003" s="26" t="s">
        <v>0</v>
      </c>
      <c r="AG2003" s="47" t="s">
        <v>7272</v>
      </c>
    </row>
    <row r="2004" spans="1:33" ht="6.9" customHeight="1" x14ac:dyDescent="0.4">
      <c r="A2004" s="4">
        <f>ROW()</f>
        <v>2004</v>
      </c>
      <c r="B2004" s="9" t="s">
        <v>27</v>
      </c>
      <c r="C2004" s="55" t="str">
        <f t="shared" si="856"/>
        <v>p.vigiar</v>
      </c>
      <c r="D2004" s="6" t="str">
        <f t="shared" si="869"/>
        <v>é.câmera</v>
      </c>
      <c r="E2004" s="8" t="s">
        <v>28</v>
      </c>
      <c r="F2004" s="42" t="str">
        <f>F2003</f>
        <v>d.vigiar</v>
      </c>
      <c r="G2004" s="18" t="s">
        <v>4505</v>
      </c>
      <c r="H2004" s="41" t="s">
        <v>2121</v>
      </c>
      <c r="I2004" s="16" t="str">
        <f t="shared" si="861"/>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62"/>
        <v>Propriedade destinada a vigiar: é.câmera</v>
      </c>
      <c r="V2004" s="5" t="str">
        <f t="shared" si="863"/>
        <v>Dado para vigiar:  câmera  Deve ser formatado como (rdfs:Literal  or  xsd:string)</v>
      </c>
      <c r="W2004" s="5" t="s">
        <v>6575</v>
      </c>
      <c r="X2004" s="24" t="str">
        <f t="shared" si="865"/>
        <v>vigia.101</v>
      </c>
      <c r="Y2004" s="24" t="str">
        <f t="shared" si="866"/>
        <v>Ação de vigiar</v>
      </c>
      <c r="Z2004" s="47" t="s">
        <v>7409</v>
      </c>
      <c r="AA2004" s="25" t="str">
        <f t="shared" si="858"/>
        <v>categoria.revit</v>
      </c>
      <c r="AB2004" s="26" t="s">
        <v>3526</v>
      </c>
      <c r="AC2004" s="25" t="str">
        <f t="shared" si="859"/>
        <v>classe.ifc</v>
      </c>
      <c r="AD2004" s="26" t="s">
        <v>3478</v>
      </c>
      <c r="AE2004" s="25" t="str">
        <f t="shared" si="836"/>
        <v>null</v>
      </c>
      <c r="AF2004" s="26" t="s">
        <v>0</v>
      </c>
      <c r="AG2004" s="47" t="s">
        <v>7263</v>
      </c>
    </row>
    <row r="2005" spans="1:33" ht="6.9" customHeight="1" x14ac:dyDescent="0.4">
      <c r="A2005" s="4">
        <f>ROW()</f>
        <v>2005</v>
      </c>
      <c r="B2005" s="9" t="s">
        <v>27</v>
      </c>
      <c r="C2005" s="55" t="str">
        <f t="shared" si="856"/>
        <v>p.vigiar</v>
      </c>
      <c r="D2005" s="6" t="str">
        <f t="shared" si="869"/>
        <v>é.câmera.hdcvi</v>
      </c>
      <c r="E2005" s="8" t="s">
        <v>28</v>
      </c>
      <c r="F2005" s="42" t="str">
        <f t="shared" ref="F2005:F2018" si="870">F2004</f>
        <v>d.vigiar</v>
      </c>
      <c r="G2005" s="18" t="s">
        <v>2014</v>
      </c>
      <c r="H2005" s="41" t="s">
        <v>2121</v>
      </c>
      <c r="I2005" s="16" t="str">
        <f t="shared" si="861"/>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62"/>
        <v>Propriedade destinada a vigiar: é.câmera.hdcvi</v>
      </c>
      <c r="V2005" s="5" t="str">
        <f t="shared" si="863"/>
        <v>Dado para vigiar:  câmera.hdcvi  Deve ser formatado como (rdfs:Literal  or  xsd:string)</v>
      </c>
      <c r="W2005" s="5" t="s">
        <v>6576</v>
      </c>
      <c r="X2005" s="24" t="str">
        <f t="shared" si="865"/>
        <v>vigia.102</v>
      </c>
      <c r="Y2005" s="24" t="str">
        <f t="shared" si="866"/>
        <v>Ação de vigiar</v>
      </c>
      <c r="Z2005" s="47" t="s">
        <v>7410</v>
      </c>
      <c r="AA2005" s="25" t="str">
        <f t="shared" si="858"/>
        <v>categoria.revit</v>
      </c>
      <c r="AB2005" s="26" t="s">
        <v>3526</v>
      </c>
      <c r="AC2005" s="25" t="str">
        <f t="shared" si="859"/>
        <v>classe.ifc</v>
      </c>
      <c r="AD2005" s="26" t="s">
        <v>3478</v>
      </c>
      <c r="AE2005" s="25" t="str">
        <f t="shared" si="836"/>
        <v>null</v>
      </c>
      <c r="AF2005" s="26" t="s">
        <v>0</v>
      </c>
      <c r="AG2005" s="47" t="s">
        <v>7273</v>
      </c>
    </row>
    <row r="2006" spans="1:33" ht="6.9" customHeight="1" x14ac:dyDescent="0.4">
      <c r="A2006" s="4">
        <f>ROW()</f>
        <v>2006</v>
      </c>
      <c r="B2006" s="9" t="s">
        <v>27</v>
      </c>
      <c r="C2006" s="55" t="str">
        <f t="shared" si="856"/>
        <v>p.vigiar</v>
      </c>
      <c r="D2006" s="6" t="str">
        <f t="shared" si="869"/>
        <v>é.câmera.multi.hd</v>
      </c>
      <c r="E2006" s="8" t="s">
        <v>28</v>
      </c>
      <c r="F2006" s="42" t="str">
        <f t="shared" si="870"/>
        <v>d.vigiar</v>
      </c>
      <c r="G2006" s="18" t="s">
        <v>2015</v>
      </c>
      <c r="H2006" s="41" t="s">
        <v>2121</v>
      </c>
      <c r="I2006" s="16" t="str">
        <f t="shared" si="861"/>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62"/>
        <v>Propriedade destinada a vigiar: é.câmera.multi.hd</v>
      </c>
      <c r="V2006" s="5" t="str">
        <f t="shared" si="863"/>
        <v>Dado para vigiar:  câmera.multi.hd  Deve ser formatado como (rdfs:Literal  or  xsd:string)</v>
      </c>
      <c r="W2006" s="5" t="s">
        <v>6577</v>
      </c>
      <c r="X2006" s="24" t="str">
        <f t="shared" si="865"/>
        <v>vigia.103</v>
      </c>
      <c r="Y2006" s="24" t="str">
        <f t="shared" si="866"/>
        <v>Ação de vigiar</v>
      </c>
      <c r="Z2006" s="47" t="s">
        <v>7411</v>
      </c>
      <c r="AA2006" s="25" t="str">
        <f t="shared" si="858"/>
        <v>categoria.revit</v>
      </c>
      <c r="AB2006" s="26" t="s">
        <v>3526</v>
      </c>
      <c r="AC2006" s="25" t="str">
        <f t="shared" si="859"/>
        <v>classe.ifc</v>
      </c>
      <c r="AD2006" s="26" t="s">
        <v>3478</v>
      </c>
      <c r="AE2006" s="25" t="str">
        <f t="shared" si="836"/>
        <v>null</v>
      </c>
      <c r="AF2006" s="26" t="s">
        <v>0</v>
      </c>
      <c r="AG2006" s="47" t="s">
        <v>7274</v>
      </c>
    </row>
    <row r="2007" spans="1:33" ht="6.9" customHeight="1" x14ac:dyDescent="0.4">
      <c r="A2007" s="4">
        <f>ROW()</f>
        <v>2007</v>
      </c>
      <c r="B2007" s="9" t="s">
        <v>27</v>
      </c>
      <c r="C2007" s="55" t="str">
        <f t="shared" si="856"/>
        <v>p.vigiar</v>
      </c>
      <c r="D2007" s="6" t="str">
        <f t="shared" si="869"/>
        <v>é.gabriel.cam.plus</v>
      </c>
      <c r="E2007" s="8" t="s">
        <v>28</v>
      </c>
      <c r="F2007" s="42" t="str">
        <f t="shared" si="870"/>
        <v>d.vigiar</v>
      </c>
      <c r="G2007" s="18" t="s">
        <v>7260</v>
      </c>
      <c r="H2007" s="41" t="s">
        <v>2121</v>
      </c>
      <c r="I2007" s="16" t="str">
        <f t="shared" si="861"/>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62"/>
        <v>Propriedade destinada a vigiar: é.gabriel.cam.plus</v>
      </c>
      <c r="V2007" s="5" t="str">
        <f t="shared" si="863"/>
        <v>Dado para vigiar:  gabriel.cam.plus  Deve ser formatado como (rdfs:Literal  or  xsd:string)</v>
      </c>
      <c r="W2007" s="5" t="s">
        <v>7251</v>
      </c>
      <c r="X2007" s="24" t="str">
        <f t="shared" si="865"/>
        <v>vigia.104</v>
      </c>
      <c r="Y2007" s="24" t="str">
        <f t="shared" si="866"/>
        <v>Ação de vigiar</v>
      </c>
      <c r="Z2007" s="47" t="s">
        <v>7412</v>
      </c>
      <c r="AA2007" s="25" t="str">
        <f t="shared" si="858"/>
        <v>categoria.revit</v>
      </c>
      <c r="AB2007" s="26" t="s">
        <v>3526</v>
      </c>
      <c r="AC2007" s="25" t="str">
        <f t="shared" si="859"/>
        <v>classe.ifc</v>
      </c>
      <c r="AD2007" s="26" t="s">
        <v>3478</v>
      </c>
      <c r="AE2007" s="25" t="str">
        <f t="shared" si="836"/>
        <v>null</v>
      </c>
      <c r="AF2007" s="26" t="s">
        <v>0</v>
      </c>
      <c r="AG2007" s="47" t="s">
        <v>7264</v>
      </c>
    </row>
    <row r="2008" spans="1:33" ht="6.9" customHeight="1" x14ac:dyDescent="0.4">
      <c r="A2008" s="4">
        <f>ROW()</f>
        <v>2008</v>
      </c>
      <c r="B2008" s="9" t="s">
        <v>27</v>
      </c>
      <c r="C2008" s="55" t="str">
        <f t="shared" si="856"/>
        <v>p.vigiar</v>
      </c>
      <c r="D2008" s="6" t="str">
        <f t="shared" si="869"/>
        <v>é.gabriel.cam.max</v>
      </c>
      <c r="E2008" s="8" t="s">
        <v>28</v>
      </c>
      <c r="F2008" s="42" t="str">
        <f t="shared" si="870"/>
        <v>d.vigiar</v>
      </c>
      <c r="G2008" s="18" t="s">
        <v>7259</v>
      </c>
      <c r="H2008" s="41" t="s">
        <v>2121</v>
      </c>
      <c r="I2008" s="16" t="str">
        <f t="shared" si="861"/>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62"/>
        <v>Propriedade destinada a vigiar: é.gabriel.cam.max</v>
      </c>
      <c r="V2008" s="5" t="str">
        <f t="shared" si="863"/>
        <v>Dado para vigiar:  gabriel.cam.max  Deve ser formatado como (rdfs:Literal  or  xsd:string)</v>
      </c>
      <c r="W2008" s="5" t="s">
        <v>7251</v>
      </c>
      <c r="X2008" s="24" t="str">
        <f t="shared" si="865"/>
        <v>vigia.105</v>
      </c>
      <c r="Y2008" s="24" t="str">
        <f t="shared" si="866"/>
        <v>Ação de vigiar</v>
      </c>
      <c r="Z2008" s="47" t="s">
        <v>7412</v>
      </c>
      <c r="AA2008" s="25" t="str">
        <f t="shared" si="858"/>
        <v>categoria.revit</v>
      </c>
      <c r="AB2008" s="26" t="s">
        <v>3526</v>
      </c>
      <c r="AC2008" s="25" t="str">
        <f t="shared" si="859"/>
        <v>classe.ifc</v>
      </c>
      <c r="AD2008" s="26" t="s">
        <v>3478</v>
      </c>
      <c r="AE2008" s="25" t="str">
        <f t="shared" si="836"/>
        <v>null</v>
      </c>
      <c r="AF2008" s="26" t="s">
        <v>0</v>
      </c>
      <c r="AG2008" s="47" t="s">
        <v>7264</v>
      </c>
    </row>
    <row r="2009" spans="1:33" ht="6.9" customHeight="1" x14ac:dyDescent="0.4">
      <c r="A2009" s="4">
        <f>ROW()</f>
        <v>2009</v>
      </c>
      <c r="B2009" s="9" t="s">
        <v>27</v>
      </c>
      <c r="C2009" s="55" t="str">
        <f t="shared" si="856"/>
        <v>p.vigiar</v>
      </c>
      <c r="D2009" s="6" t="str">
        <f t="shared" si="869"/>
        <v>é.gabriel.cam.360</v>
      </c>
      <c r="E2009" s="8" t="s">
        <v>28</v>
      </c>
      <c r="F2009" s="42" t="str">
        <f t="shared" si="870"/>
        <v>d.vigiar</v>
      </c>
      <c r="G2009" s="18" t="s">
        <v>7261</v>
      </c>
      <c r="H2009" s="41" t="s">
        <v>2121</v>
      </c>
      <c r="I2009" s="16" t="str">
        <f t="shared" si="861"/>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62"/>
        <v>Propriedade destinada a vigiar: é.gabriel.cam.360</v>
      </c>
      <c r="V2009" s="5" t="str">
        <f t="shared" si="863"/>
        <v>Dado para vigiar:  gabriel.cam.360  Deve ser formatado como (rdfs:Literal  or  xsd:string)</v>
      </c>
      <c r="W2009" s="5" t="s">
        <v>7253</v>
      </c>
      <c r="X2009" s="24" t="str">
        <f t="shared" si="865"/>
        <v>vigia.106</v>
      </c>
      <c r="Y2009" s="24" t="str">
        <f t="shared" si="866"/>
        <v>Ação de vigiar</v>
      </c>
      <c r="Z2009" s="47" t="s">
        <v>7413</v>
      </c>
      <c r="AA2009" s="25" t="str">
        <f t="shared" si="858"/>
        <v>categoria.revit</v>
      </c>
      <c r="AB2009" s="26" t="s">
        <v>3526</v>
      </c>
      <c r="AC2009" s="25" t="str">
        <f t="shared" si="859"/>
        <v>classe.ifc</v>
      </c>
      <c r="AD2009" s="26" t="s">
        <v>3478</v>
      </c>
      <c r="AE2009" s="25" t="str">
        <f t="shared" si="836"/>
        <v>null</v>
      </c>
      <c r="AF2009" s="26" t="s">
        <v>0</v>
      </c>
      <c r="AG2009" s="47" t="s">
        <v>7265</v>
      </c>
    </row>
    <row r="2010" spans="1:33" ht="6.9" customHeight="1" x14ac:dyDescent="0.4">
      <c r="A2010" s="4">
        <f>ROW()</f>
        <v>2010</v>
      </c>
      <c r="B2010" s="9" t="s">
        <v>27</v>
      </c>
      <c r="C2010" s="55" t="str">
        <f t="shared" si="856"/>
        <v>p.vigiar</v>
      </c>
      <c r="D2010" s="6" t="str">
        <f t="shared" si="869"/>
        <v>é.gabriel.cam.mini</v>
      </c>
      <c r="E2010" s="8" t="s">
        <v>28</v>
      </c>
      <c r="F2010" s="42" t="str">
        <f t="shared" si="870"/>
        <v>d.vigiar</v>
      </c>
      <c r="G2010" s="18" t="s">
        <v>7258</v>
      </c>
      <c r="H2010" s="41" t="s">
        <v>2121</v>
      </c>
      <c r="I2010" s="16" t="str">
        <f t="shared" si="861"/>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62"/>
        <v>Propriedade destinada a vigiar: é.gabriel.cam.mini</v>
      </c>
      <c r="V2010" s="5" t="str">
        <f t="shared" si="863"/>
        <v>Dado para vigiar:  gabriel.cam.mini  Deve ser formatado como (rdfs:Literal  or  xsd:string)</v>
      </c>
      <c r="W2010" s="5" t="s">
        <v>7252</v>
      </c>
      <c r="X2010" s="24" t="str">
        <f t="shared" si="865"/>
        <v>vigia.107</v>
      </c>
      <c r="Y2010" s="24" t="str">
        <f t="shared" si="866"/>
        <v>Ação de vigiar</v>
      </c>
      <c r="Z2010" s="47" t="s">
        <v>7414</v>
      </c>
      <c r="AA2010" s="25" t="str">
        <f t="shared" si="858"/>
        <v>categoria.revit</v>
      </c>
      <c r="AB2010" s="26" t="s">
        <v>3526</v>
      </c>
      <c r="AC2010" s="25" t="str">
        <f t="shared" si="859"/>
        <v>classe.ifc</v>
      </c>
      <c r="AD2010" s="26" t="s">
        <v>3478</v>
      </c>
      <c r="AE2010" s="25" t="str">
        <f t="shared" si="836"/>
        <v>null</v>
      </c>
      <c r="AF2010" s="26" t="s">
        <v>0</v>
      </c>
      <c r="AG2010" s="47" t="s">
        <v>7275</v>
      </c>
    </row>
    <row r="2011" spans="1:33" ht="6.9" customHeight="1" x14ac:dyDescent="0.4">
      <c r="A2011" s="4">
        <f>ROW()</f>
        <v>2011</v>
      </c>
      <c r="B2011" s="9" t="s">
        <v>27</v>
      </c>
      <c r="C2011" s="55" t="str">
        <f t="shared" si="856"/>
        <v>p.vigiar</v>
      </c>
      <c r="D2011" s="6" t="str">
        <f t="shared" si="869"/>
        <v>é.gabriel.totem</v>
      </c>
      <c r="E2011" s="8" t="s">
        <v>28</v>
      </c>
      <c r="F2011" s="42" t="str">
        <f t="shared" si="870"/>
        <v>d.vigiar</v>
      </c>
      <c r="G2011" s="18" t="s">
        <v>7257</v>
      </c>
      <c r="H2011" s="41" t="s">
        <v>2121</v>
      </c>
      <c r="I2011" s="16" t="str">
        <f t="shared" si="861"/>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62"/>
        <v>Propriedade destinada a vigiar: é.gabriel.totem</v>
      </c>
      <c r="V2011" s="5" t="str">
        <f t="shared" si="863"/>
        <v>Dado para vigiar:  gabriel.totem  Deve ser formatado como (rdfs:Literal  or  xsd:string)</v>
      </c>
      <c r="W2011" s="5" t="s">
        <v>7251</v>
      </c>
      <c r="X2011" s="24" t="str">
        <f t="shared" si="865"/>
        <v>vigia.108</v>
      </c>
      <c r="Y2011" s="24" t="str">
        <f t="shared" si="866"/>
        <v>Ação de vigiar</v>
      </c>
      <c r="Z2011" s="47" t="s">
        <v>7412</v>
      </c>
      <c r="AA2011" s="25" t="str">
        <f t="shared" si="858"/>
        <v>categoria.revit</v>
      </c>
      <c r="AB2011" s="26" t="s">
        <v>3526</v>
      </c>
      <c r="AC2011" s="25" t="str">
        <f t="shared" si="859"/>
        <v>classe.ifc</v>
      </c>
      <c r="AD2011" s="26" t="s">
        <v>3478</v>
      </c>
      <c r="AE2011" s="25" t="str">
        <f t="shared" si="836"/>
        <v>null</v>
      </c>
      <c r="AF2011" s="26" t="s">
        <v>0</v>
      </c>
      <c r="AG2011" s="47" t="s">
        <v>7264</v>
      </c>
    </row>
    <row r="2012" spans="1:33" ht="6.9" customHeight="1" x14ac:dyDescent="0.4">
      <c r="A2012" s="4">
        <f>ROW()</f>
        <v>2012</v>
      </c>
      <c r="B2012" s="9" t="s">
        <v>27</v>
      </c>
      <c r="C2012" s="55" t="str">
        <f t="shared" si="856"/>
        <v>p.vigiar</v>
      </c>
      <c r="D2012" s="6" t="str">
        <f t="shared" si="869"/>
        <v>é.monitor.de.infração</v>
      </c>
      <c r="E2012" s="8" t="s">
        <v>28</v>
      </c>
      <c r="F2012" s="42" t="str">
        <f t="shared" si="870"/>
        <v>d.vigiar</v>
      </c>
      <c r="G2012" s="18" t="s">
        <v>7249</v>
      </c>
      <c r="H2012" s="41" t="s">
        <v>2121</v>
      </c>
      <c r="I2012" s="16" t="str">
        <f t="shared" si="861"/>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62"/>
        <v>Propriedade destinada a vigiar: é.monitor.de.infração</v>
      </c>
      <c r="V2012" s="5" t="str">
        <f t="shared" si="863"/>
        <v>Dado para vigiar:  monitor.de.infração  Deve ser formatado como (rdfs:Literal  or  xsd:string)</v>
      </c>
      <c r="W2012" s="5" t="s">
        <v>7246</v>
      </c>
      <c r="X2012" s="24" t="str">
        <f t="shared" si="865"/>
        <v>vigia.109</v>
      </c>
      <c r="Y2012" s="24" t="str">
        <f t="shared" si="866"/>
        <v>Ação de vigiar</v>
      </c>
      <c r="Z2012" s="47" t="s">
        <v>7415</v>
      </c>
      <c r="AA2012" s="25" t="str">
        <f t="shared" si="858"/>
        <v>categoria.revit</v>
      </c>
      <c r="AB2012" s="26" t="s">
        <v>3526</v>
      </c>
      <c r="AC2012" s="25" t="str">
        <f t="shared" si="859"/>
        <v>classe.ifc</v>
      </c>
      <c r="AD2012" s="26" t="s">
        <v>3478</v>
      </c>
      <c r="AE2012" s="25" t="str">
        <f t="shared" si="836"/>
        <v>null</v>
      </c>
      <c r="AF2012" s="26" t="s">
        <v>0</v>
      </c>
      <c r="AG2012" s="47" t="s">
        <v>7266</v>
      </c>
    </row>
    <row r="2013" spans="1:33" ht="6.9" customHeight="1" x14ac:dyDescent="0.4">
      <c r="A2013" s="4">
        <f>ROW()</f>
        <v>2013</v>
      </c>
      <c r="B2013" s="9" t="s">
        <v>27</v>
      </c>
      <c r="C2013" s="55" t="str">
        <f t="shared" si="856"/>
        <v>p.vigiar</v>
      </c>
      <c r="D2013" s="6" t="str">
        <f t="shared" si="869"/>
        <v>é.monitor.de.pedágio</v>
      </c>
      <c r="E2013" s="8" t="s">
        <v>28</v>
      </c>
      <c r="F2013" s="42" t="str">
        <f t="shared" si="870"/>
        <v>d.vigiar</v>
      </c>
      <c r="G2013" s="18" t="s">
        <v>7239</v>
      </c>
      <c r="H2013" s="41" t="s">
        <v>2121</v>
      </c>
      <c r="I2013" s="16" t="str">
        <f t="shared" si="861"/>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62"/>
        <v>Propriedade destinada a vigiar: é.monitor.de.pedágio</v>
      </c>
      <c r="V2013" s="5" t="str">
        <f t="shared" si="863"/>
        <v>Dado para vigiar:  monitor.de.pedágio  Deve ser formatado como (rdfs:Literal  or  xsd:string)</v>
      </c>
      <c r="W2013" s="5" t="s">
        <v>7240</v>
      </c>
      <c r="X2013" s="24" t="str">
        <f t="shared" si="865"/>
        <v>vigia.110</v>
      </c>
      <c r="Y2013" s="24" t="str">
        <f t="shared" si="866"/>
        <v>Ação de vigiar</v>
      </c>
      <c r="Z2013" s="47" t="s">
        <v>7416</v>
      </c>
      <c r="AA2013" s="25" t="str">
        <f t="shared" si="858"/>
        <v>categoria.revit</v>
      </c>
      <c r="AB2013" s="26" t="s">
        <v>3526</v>
      </c>
      <c r="AC2013" s="25" t="str">
        <f t="shared" si="859"/>
        <v>classe.ifc</v>
      </c>
      <c r="AD2013" s="26" t="s">
        <v>3478</v>
      </c>
      <c r="AE2013" s="25" t="str">
        <f t="shared" si="836"/>
        <v>null</v>
      </c>
      <c r="AF2013" s="26" t="s">
        <v>0</v>
      </c>
      <c r="AG2013" s="47" t="s">
        <v>7267</v>
      </c>
    </row>
    <row r="2014" spans="1:33" ht="6.9" customHeight="1" x14ac:dyDescent="0.4">
      <c r="A2014" s="4">
        <f>ROW()</f>
        <v>2014</v>
      </c>
      <c r="B2014" s="9" t="s">
        <v>27</v>
      </c>
      <c r="C2014" s="55" t="str">
        <f t="shared" si="856"/>
        <v>p.vigiar</v>
      </c>
      <c r="D2014" s="6" t="str">
        <f t="shared" si="869"/>
        <v>é.leitor.de.placa</v>
      </c>
      <c r="E2014" s="8" t="s">
        <v>28</v>
      </c>
      <c r="F2014" s="42" t="str">
        <f t="shared" si="870"/>
        <v>d.vigiar</v>
      </c>
      <c r="G2014" s="18" t="s">
        <v>7248</v>
      </c>
      <c r="H2014" s="41" t="s">
        <v>2121</v>
      </c>
      <c r="I2014" s="16" t="str">
        <f t="shared" si="861"/>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62"/>
        <v>Propriedade destinada a vigiar: é.leitor.de.placa</v>
      </c>
      <c r="V2014" s="5" t="str">
        <f t="shared" si="863"/>
        <v>Dado para vigiar:  leitor.de.placa  Deve ser formatado como (rdfs:Literal  or  xsd:string)</v>
      </c>
      <c r="W2014" s="5" t="s">
        <v>7247</v>
      </c>
      <c r="X2014" s="24" t="str">
        <f t="shared" si="865"/>
        <v>vigia.111</v>
      </c>
      <c r="Y2014" s="24" t="str">
        <f t="shared" si="866"/>
        <v>Ação de vigiar</v>
      </c>
      <c r="Z2014" s="47" t="s">
        <v>7417</v>
      </c>
      <c r="AA2014" s="25" t="str">
        <f t="shared" si="858"/>
        <v>categoria.revit</v>
      </c>
      <c r="AB2014" s="26" t="s">
        <v>3526</v>
      </c>
      <c r="AC2014" s="25" t="str">
        <f t="shared" si="859"/>
        <v>classe.ifc</v>
      </c>
      <c r="AD2014" s="26" t="s">
        <v>3478</v>
      </c>
      <c r="AE2014" s="25" t="str">
        <f t="shared" si="836"/>
        <v>null</v>
      </c>
      <c r="AF2014" s="26" t="s">
        <v>0</v>
      </c>
      <c r="AG2014" s="47" t="s">
        <v>7268</v>
      </c>
    </row>
    <row r="2015" spans="1:33" ht="6.9" customHeight="1" x14ac:dyDescent="0.4">
      <c r="A2015" s="4">
        <f>ROW()</f>
        <v>2015</v>
      </c>
      <c r="B2015" s="9" t="s">
        <v>27</v>
      </c>
      <c r="C2015" s="55" t="str">
        <f t="shared" si="856"/>
        <v>p.vigiar</v>
      </c>
      <c r="D2015" s="6" t="str">
        <f t="shared" si="869"/>
        <v>é.lombada.eletrônica</v>
      </c>
      <c r="E2015" s="8" t="s">
        <v>28</v>
      </c>
      <c r="F2015" s="42" t="str">
        <f t="shared" si="870"/>
        <v>d.vigiar</v>
      </c>
      <c r="G2015" s="18" t="s">
        <v>7241</v>
      </c>
      <c r="H2015" s="41" t="s">
        <v>2121</v>
      </c>
      <c r="I2015" s="16" t="str">
        <f t="shared" si="861"/>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62"/>
        <v>Propriedade destinada a vigiar: é.lombada.eletrônica</v>
      </c>
      <c r="V2015" s="5" t="str">
        <f t="shared" si="863"/>
        <v>Dado para vigiar:  lombada.eletrônica  Deve ser formatado como (rdfs:Literal  or  xsd:string)</v>
      </c>
      <c r="W2015" s="5" t="s">
        <v>7250</v>
      </c>
      <c r="X2015" s="24" t="str">
        <f t="shared" si="865"/>
        <v>vigia.112</v>
      </c>
      <c r="Y2015" s="24" t="str">
        <f t="shared" si="866"/>
        <v>Ação de vigiar</v>
      </c>
      <c r="Z2015" s="47" t="s">
        <v>7418</v>
      </c>
      <c r="AA2015" s="25" t="str">
        <f t="shared" si="858"/>
        <v>categoria.revit</v>
      </c>
      <c r="AB2015" s="26" t="s">
        <v>3526</v>
      </c>
      <c r="AC2015" s="25" t="str">
        <f t="shared" si="859"/>
        <v>classe.ifc</v>
      </c>
      <c r="AD2015" s="26" t="s">
        <v>3478</v>
      </c>
      <c r="AE2015" s="25" t="str">
        <f t="shared" ref="AE2015:AE2046" si="871">IF(AF2015="null", "null", "propriedade")</f>
        <v>null</v>
      </c>
      <c r="AF2015" s="26" t="s">
        <v>0</v>
      </c>
      <c r="AG2015" s="47" t="s">
        <v>7276</v>
      </c>
    </row>
    <row r="2016" spans="1:33" ht="6.9" customHeight="1" x14ac:dyDescent="0.4">
      <c r="A2016" s="4">
        <f>ROW()</f>
        <v>2016</v>
      </c>
      <c r="B2016" s="9" t="s">
        <v>27</v>
      </c>
      <c r="C2016" s="55" t="str">
        <f t="shared" si="856"/>
        <v>p.vigiar</v>
      </c>
      <c r="D2016" s="6" t="str">
        <f t="shared" si="869"/>
        <v>é.radar.semafórico</v>
      </c>
      <c r="E2016" s="8" t="s">
        <v>28</v>
      </c>
      <c r="F2016" s="42" t="str">
        <f t="shared" si="870"/>
        <v>d.vigiar</v>
      </c>
      <c r="G2016" s="18" t="s">
        <v>7236</v>
      </c>
      <c r="H2016" s="41" t="s">
        <v>2121</v>
      </c>
      <c r="I2016" s="16" t="str">
        <f t="shared" si="861"/>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62"/>
        <v>Propriedade destinada a vigiar: é.radar.semafórico</v>
      </c>
      <c r="V2016" s="5" t="str">
        <f t="shared" si="863"/>
        <v>Dado para vigiar:  radar.semafórico  Deve ser formatado como (rdfs:Literal  or  xsd:string)</v>
      </c>
      <c r="W2016" s="5" t="s">
        <v>7237</v>
      </c>
      <c r="X2016" s="24" t="str">
        <f t="shared" si="865"/>
        <v>vigia.113</v>
      </c>
      <c r="Y2016" s="24" t="str">
        <f t="shared" si="866"/>
        <v>Ação de vigiar</v>
      </c>
      <c r="Z2016" s="47" t="s">
        <v>7419</v>
      </c>
      <c r="AA2016" s="25" t="str">
        <f t="shared" si="858"/>
        <v>categoria.revit</v>
      </c>
      <c r="AB2016" s="26" t="s">
        <v>3526</v>
      </c>
      <c r="AC2016" s="25" t="str">
        <f t="shared" si="859"/>
        <v>classe.ifc</v>
      </c>
      <c r="AD2016" s="26" t="s">
        <v>3478</v>
      </c>
      <c r="AE2016" s="25" t="str">
        <f t="shared" si="871"/>
        <v>null</v>
      </c>
      <c r="AF2016" s="26" t="s">
        <v>0</v>
      </c>
      <c r="AG2016" s="47" t="s">
        <v>7238</v>
      </c>
    </row>
    <row r="2017" spans="1:33" ht="6.9" customHeight="1" x14ac:dyDescent="0.4">
      <c r="A2017" s="4">
        <f>ROW()</f>
        <v>2017</v>
      </c>
      <c r="B2017" s="9" t="s">
        <v>27</v>
      </c>
      <c r="C2017" s="55" t="str">
        <f t="shared" si="856"/>
        <v>p.vigiar</v>
      </c>
      <c r="D2017" s="6" t="str">
        <f t="shared" si="869"/>
        <v>é.sistema.get</v>
      </c>
      <c r="E2017" s="8" t="s">
        <v>28</v>
      </c>
      <c r="F2017" s="42" t="str">
        <f t="shared" si="870"/>
        <v>d.vigiar</v>
      </c>
      <c r="G2017" s="18" t="s">
        <v>7244</v>
      </c>
      <c r="H2017" s="41" t="s">
        <v>2121</v>
      </c>
      <c r="I2017" s="16" t="str">
        <f t="shared" si="861"/>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62"/>
        <v>Propriedade destinada a vigiar: é.sistema.get</v>
      </c>
      <c r="V2017" s="5" t="str">
        <f t="shared" si="863"/>
        <v>Dado para vigiar:  sistema.get  Deve ser formatado como (rdfs:Literal  or  xsd:string)</v>
      </c>
      <c r="W2017" s="5" t="s">
        <v>7245</v>
      </c>
      <c r="X2017" s="24" t="str">
        <f t="shared" si="865"/>
        <v>vigia.114</v>
      </c>
      <c r="Y2017" s="24" t="str">
        <f t="shared" si="866"/>
        <v>Ação de vigiar</v>
      </c>
      <c r="Z2017" s="47" t="s">
        <v>7420</v>
      </c>
      <c r="AA2017" s="25" t="str">
        <f t="shared" si="858"/>
        <v>categoria.revit</v>
      </c>
      <c r="AB2017" s="26" t="s">
        <v>3526</v>
      </c>
      <c r="AC2017" s="25" t="str">
        <f t="shared" si="859"/>
        <v>classe.ifc</v>
      </c>
      <c r="AD2017" s="26" t="s">
        <v>3478</v>
      </c>
      <c r="AE2017" s="25" t="str">
        <f t="shared" si="871"/>
        <v>null</v>
      </c>
      <c r="AF2017" s="26" t="s">
        <v>0</v>
      </c>
      <c r="AG2017" s="47" t="s">
        <v>7270</v>
      </c>
    </row>
    <row r="2018" spans="1:33" ht="6.9" customHeight="1" x14ac:dyDescent="0.4">
      <c r="A2018" s="4">
        <f>ROW()</f>
        <v>2018</v>
      </c>
      <c r="B2018" s="9" t="s">
        <v>27</v>
      </c>
      <c r="C2018" s="55" t="str">
        <f t="shared" si="856"/>
        <v>p.vigiar</v>
      </c>
      <c r="D2018" s="6" t="str">
        <f t="shared" si="869"/>
        <v>é.sistema.gitweb</v>
      </c>
      <c r="E2018" s="8" t="s">
        <v>28</v>
      </c>
      <c r="F2018" s="42" t="str">
        <f t="shared" si="870"/>
        <v>d.vigiar</v>
      </c>
      <c r="G2018" s="18" t="s">
        <v>7242</v>
      </c>
      <c r="H2018" s="41" t="s">
        <v>2121</v>
      </c>
      <c r="I2018" s="16" t="str">
        <f t="shared" si="861"/>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62"/>
        <v>Propriedade destinada a vigiar: é.sistema.gitweb</v>
      </c>
      <c r="V2018" s="5" t="str">
        <f t="shared" si="863"/>
        <v>Dado para vigiar:  sistema.gitweb  Deve ser formatado como (rdfs:Literal  or  xsd:string)</v>
      </c>
      <c r="W2018" s="5" t="s">
        <v>7243</v>
      </c>
      <c r="X2018" s="24" t="str">
        <f t="shared" si="865"/>
        <v>vigia.115</v>
      </c>
      <c r="Y2018" s="24" t="str">
        <f t="shared" si="866"/>
        <v>Ação de vigiar</v>
      </c>
      <c r="Z2018" s="47" t="s">
        <v>7421</v>
      </c>
      <c r="AA2018" s="25" t="str">
        <f t="shared" si="858"/>
        <v>categoria.revit</v>
      </c>
      <c r="AB2018" s="26" t="s">
        <v>3526</v>
      </c>
      <c r="AC2018" s="25" t="str">
        <f t="shared" si="859"/>
        <v>classe.ifc</v>
      </c>
      <c r="AD2018" s="26" t="s">
        <v>3478</v>
      </c>
      <c r="AE2018" s="25" t="str">
        <f t="shared" si="871"/>
        <v>null</v>
      </c>
      <c r="AF2018" s="26" t="s">
        <v>0</v>
      </c>
      <c r="AG2018" s="47" t="s">
        <v>7271</v>
      </c>
    </row>
    <row r="2019" spans="1:33" ht="6.9" customHeight="1" x14ac:dyDescent="0.4">
      <c r="A2019" s="4">
        <f>ROW()</f>
        <v>2019</v>
      </c>
      <c r="B2019" s="9" t="s">
        <v>27</v>
      </c>
      <c r="C2019" s="54" t="str">
        <f t="shared" ref="C2019:C2020" si="872">SUBSTITUTE(F2019,"d.","p.")</f>
        <v>p.vincular</v>
      </c>
      <c r="D2019" s="6" t="str">
        <f t="shared" si="869"/>
        <v>é.linkada</v>
      </c>
      <c r="E2019" s="8" t="s">
        <v>28</v>
      </c>
      <c r="F2019" s="51" t="s">
        <v>7468</v>
      </c>
      <c r="G2019" s="18" t="s">
        <v>7470</v>
      </c>
      <c r="H2019" s="41" t="s">
        <v>2121</v>
      </c>
      <c r="I2019" s="16" t="str">
        <f t="shared" ref="I2019:I2020" si="873">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62"/>
        <v>Propriedade destinada a vincular: é.linkada</v>
      </c>
      <c r="V2019" s="5" t="str">
        <f t="shared" si="863"/>
        <v>Dado para vincular:  linkada  Deve ser formatado como (rdfs:Literal  or  xsd:string)</v>
      </c>
      <c r="W2019" s="5" t="s">
        <v>7475</v>
      </c>
      <c r="X2019" s="24" t="str">
        <f t="shared" si="865"/>
        <v>vincu.100</v>
      </c>
      <c r="Y2019" s="24" t="str">
        <f t="shared" si="866"/>
        <v>Ação de vincular</v>
      </c>
      <c r="Z2019" s="47" t="s">
        <v>7474</v>
      </c>
      <c r="AA2019" s="25" t="str">
        <f t="shared" ref="AA2019:AA2020" si="874">IF(AB2019="null", "null", "categoria.revit")</f>
        <v>categoria.revit</v>
      </c>
      <c r="AB2019" s="26" t="s">
        <v>7472</v>
      </c>
      <c r="AC2019" s="25" t="str">
        <f t="shared" ref="AC2019:AC2020" si="875">IF(AD2019="null", "null", "classe.ifc")</f>
        <v>classe.ifc</v>
      </c>
      <c r="AD2019" s="26" t="s">
        <v>7471</v>
      </c>
      <c r="AE2019" s="25" t="str">
        <f t="shared" si="871"/>
        <v>null</v>
      </c>
      <c r="AF2019" s="26" t="s">
        <v>0</v>
      </c>
      <c r="AG2019" s="47" t="s">
        <v>7473</v>
      </c>
    </row>
    <row r="2020" spans="1:33" ht="6.9" customHeight="1" x14ac:dyDescent="0.4">
      <c r="A2020" s="4">
        <f>ROW()</f>
        <v>2020</v>
      </c>
      <c r="B2020" s="9" t="s">
        <v>27</v>
      </c>
      <c r="C2020" s="55" t="str">
        <f t="shared" si="872"/>
        <v>p.vincular</v>
      </c>
      <c r="D2020" s="6" t="str">
        <f t="shared" si="869"/>
        <v>é.linkado</v>
      </c>
      <c r="E2020" s="8" t="s">
        <v>28</v>
      </c>
      <c r="F2020" s="42" t="str">
        <f>F2019</f>
        <v>d.vincular</v>
      </c>
      <c r="G2020" s="18" t="s">
        <v>7469</v>
      </c>
      <c r="H2020" s="41" t="s">
        <v>2121</v>
      </c>
      <c r="I2020" s="16" t="str">
        <f t="shared" si="873"/>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62"/>
        <v>Propriedade destinada a vincular: é.linkado</v>
      </c>
      <c r="V2020" s="5" t="str">
        <f t="shared" si="863"/>
        <v>Dado para vincular:  linkado  Deve ser formatado como (rdfs:Literal  or  xsd:string)</v>
      </c>
      <c r="W2020" s="5" t="s">
        <v>7475</v>
      </c>
      <c r="X2020" s="24" t="str">
        <f t="shared" si="865"/>
        <v>vincu.101</v>
      </c>
      <c r="Y2020" s="24" t="str">
        <f t="shared" si="866"/>
        <v>Ação de vincular</v>
      </c>
      <c r="Z2020" s="47" t="s">
        <v>7474</v>
      </c>
      <c r="AA2020" s="25" t="str">
        <f t="shared" si="874"/>
        <v>categoria.revit</v>
      </c>
      <c r="AB2020" s="26" t="s">
        <v>7472</v>
      </c>
      <c r="AC2020" s="25" t="str">
        <f t="shared" si="875"/>
        <v>classe.ifc</v>
      </c>
      <c r="AD2020" s="26" t="s">
        <v>7471</v>
      </c>
      <c r="AE2020" s="25" t="str">
        <f t="shared" si="871"/>
        <v>null</v>
      </c>
      <c r="AF2020" s="26" t="s">
        <v>0</v>
      </c>
      <c r="AG2020" s="47" t="s">
        <v>7473</v>
      </c>
    </row>
    <row r="2021" spans="1:33" ht="6.9" customHeight="1" x14ac:dyDescent="0.4">
      <c r="A2021" s="4">
        <f>ROW()</f>
        <v>2021</v>
      </c>
      <c r="B2021" s="9" t="s">
        <v>27</v>
      </c>
      <c r="C2021" s="54" t="str">
        <f t="shared" si="856"/>
        <v>p.vistoriar</v>
      </c>
      <c r="D2021" s="6" t="str">
        <f t="shared" si="869"/>
        <v>é.banco.de.imagens</v>
      </c>
      <c r="E2021" s="8" t="s">
        <v>28</v>
      </c>
      <c r="F2021" s="51" t="s">
        <v>3641</v>
      </c>
      <c r="G2021" s="18" t="s">
        <v>1244</v>
      </c>
      <c r="H2021" s="41" t="s">
        <v>2121</v>
      </c>
      <c r="I2021" s="16" t="str">
        <f>J2021</f>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62"/>
        <v>Propriedade destinada a vistoriar: é.banco.de.imagens</v>
      </c>
      <c r="V2021" s="5" t="str">
        <f t="shared" si="863"/>
        <v>Dado para vistoriar:  banco.de.imagens  Deve ser formatado como (rdfs:Literal  or  xsd:string)</v>
      </c>
      <c r="W2021" s="5" t="s">
        <v>6585</v>
      </c>
      <c r="X2021" s="24" t="str">
        <f t="shared" si="865"/>
        <v>visto.100</v>
      </c>
      <c r="Y2021" s="24" t="str">
        <f t="shared" si="866"/>
        <v>Ação de vistoriar</v>
      </c>
      <c r="Z2021" s="47" t="s">
        <v>4559</v>
      </c>
      <c r="AA2021" s="25" t="str">
        <f>IF(AB2021="null", "null", "categoria.revit")</f>
        <v>null</v>
      </c>
      <c r="AB2021" s="26" t="s">
        <v>0</v>
      </c>
      <c r="AC2021" s="25" t="str">
        <f>IF(AD2021="null", "null", "classe.ifc")</f>
        <v>null</v>
      </c>
      <c r="AD2021" s="26" t="s">
        <v>0</v>
      </c>
      <c r="AE2021" s="25" t="str">
        <f t="shared" si="871"/>
        <v>null</v>
      </c>
      <c r="AF2021" s="26" t="s">
        <v>0</v>
      </c>
      <c r="AG2021" s="47" t="s">
        <v>4821</v>
      </c>
    </row>
    <row r="2022" spans="1:33" ht="6.9" customHeight="1" x14ac:dyDescent="0.4">
      <c r="A2022" s="4">
        <f>ROW()</f>
        <v>2022</v>
      </c>
      <c r="B2022" s="9" t="s">
        <v>27</v>
      </c>
      <c r="C2022" s="55" t="str">
        <f>SUBSTITUTE(F2022,"d.","p.")</f>
        <v>p.vistoriar</v>
      </c>
      <c r="D2022" s="6" t="str">
        <f t="shared" si="869"/>
        <v>é.clausurado</v>
      </c>
      <c r="E2022" s="8" t="s">
        <v>28</v>
      </c>
      <c r="F2022" s="42" t="str">
        <f t="shared" ref="F2022:F2034" si="876">F2021</f>
        <v>d.vistoriar</v>
      </c>
      <c r="G2022" s="18" t="s">
        <v>240</v>
      </c>
      <c r="H2022" s="41" t="s">
        <v>37</v>
      </c>
      <c r="I2022" s="16" t="str">
        <f>J2022</f>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62"/>
        <v>Propriedade destinada a vistoriar: é.clausurado</v>
      </c>
      <c r="V2022" s="5" t="str">
        <f t="shared" si="863"/>
        <v>Dado para vistoriar:  clausurado  Deve ser formatado como (xsd:boolean)</v>
      </c>
      <c r="W2022" s="5" t="s">
        <v>7349</v>
      </c>
      <c r="X2022" s="24" t="str">
        <f t="shared" si="865"/>
        <v>visto.101</v>
      </c>
      <c r="Y2022" s="24" t="str">
        <f t="shared" si="866"/>
        <v>Ação de vistoriar</v>
      </c>
      <c r="Z2022" s="47" t="s">
        <v>1917</v>
      </c>
      <c r="AA2022" s="25" t="str">
        <f>IF(AB2022="null", "null", "categoria.revit")</f>
        <v>null</v>
      </c>
      <c r="AB2022" s="26" t="s">
        <v>0</v>
      </c>
      <c r="AC2022" s="25" t="str">
        <f>IF(AD2022="null", "null", "classe.ifc")</f>
        <v>null</v>
      </c>
      <c r="AD2022" s="26" t="s">
        <v>0</v>
      </c>
      <c r="AE2022" s="25" t="str">
        <f t="shared" si="871"/>
        <v>null</v>
      </c>
      <c r="AF2022" s="26" t="s">
        <v>0</v>
      </c>
      <c r="AG2022" s="47" t="s">
        <v>4755</v>
      </c>
    </row>
    <row r="2023" spans="1:33" ht="6.9" customHeight="1" x14ac:dyDescent="0.4">
      <c r="A2023" s="4">
        <f>ROW()</f>
        <v>2023</v>
      </c>
      <c r="B2023" s="9" t="s">
        <v>27</v>
      </c>
      <c r="C2023" s="55" t="str">
        <f t="shared" ref="C2023:C2034" si="877">SUBSTITUTE(F2023,"d.","p.")</f>
        <v>p.vistoriar</v>
      </c>
      <c r="D2023" s="6" t="str">
        <f t="shared" si="869"/>
        <v>é.conforme</v>
      </c>
      <c r="E2023" s="8" t="s">
        <v>28</v>
      </c>
      <c r="F2023" s="42" t="str">
        <f t="shared" si="876"/>
        <v>d.vistoriar</v>
      </c>
      <c r="G2023" s="18" t="s">
        <v>205</v>
      </c>
      <c r="H2023" s="41" t="s">
        <v>37</v>
      </c>
      <c r="I2023" s="16" t="str">
        <f>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62"/>
        <v>Propriedade destinada a vistoriar: é.conforme</v>
      </c>
      <c r="V2023" s="5" t="str">
        <f t="shared" si="863"/>
        <v>Dado para vistoriar:  conforme  Deve ser formatado como (xsd:boolean)</v>
      </c>
      <c r="W2023" s="5" t="s">
        <v>6578</v>
      </c>
      <c r="X2023" s="24" t="str">
        <f t="shared" si="865"/>
        <v>visto.102</v>
      </c>
      <c r="Y2023" s="24" t="str">
        <f t="shared" si="866"/>
        <v>Ação de vistoriar</v>
      </c>
      <c r="Z2023" s="47" t="s">
        <v>1915</v>
      </c>
      <c r="AA2023" s="25" t="str">
        <f>IF(AB2023="null", "null", "categoria.revit")</f>
        <v>null</v>
      </c>
      <c r="AB2023" s="26" t="s">
        <v>0</v>
      </c>
      <c r="AC2023" s="25" t="str">
        <f>IF(AD2023="null", "null", "classe.ifc")</f>
        <v>null</v>
      </c>
      <c r="AD2023" s="26" t="s">
        <v>0</v>
      </c>
      <c r="AE2023" s="25" t="str">
        <f t="shared" si="871"/>
        <v>null</v>
      </c>
      <c r="AF2023" s="26" t="s">
        <v>0</v>
      </c>
      <c r="AG2023" s="47" t="s">
        <v>3278</v>
      </c>
    </row>
    <row r="2024" spans="1:33" ht="6.9" customHeight="1" x14ac:dyDescent="0.4">
      <c r="A2024" s="4">
        <f>ROW()</f>
        <v>2024</v>
      </c>
      <c r="B2024" s="9" t="s">
        <v>27</v>
      </c>
      <c r="C2024" s="55" t="str">
        <f t="shared" si="877"/>
        <v>p.vistoriar</v>
      </c>
      <c r="D2024" s="6" t="str">
        <f t="shared" si="869"/>
        <v>é.conservado</v>
      </c>
      <c r="E2024" s="8" t="s">
        <v>28</v>
      </c>
      <c r="F2024" s="42" t="str">
        <f t="shared" si="876"/>
        <v>d.vistoriar</v>
      </c>
      <c r="G2024" s="18" t="s">
        <v>204</v>
      </c>
      <c r="H2024" s="41" t="s">
        <v>37</v>
      </c>
      <c r="I2024" s="16" t="str">
        <f t="shared" ref="I2024" si="878">J2024</f>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62"/>
        <v>Propriedade destinada a vistoriar: é.conservado</v>
      </c>
      <c r="V2024" s="5" t="str">
        <f t="shared" si="863"/>
        <v>Dado para vistoriar:  conservado  Deve ser formatado como (xsd:boolean)</v>
      </c>
      <c r="W2024" s="5" t="s">
        <v>7350</v>
      </c>
      <c r="X2024" s="24" t="str">
        <f t="shared" si="865"/>
        <v>visto.103</v>
      </c>
      <c r="Y2024" s="24" t="str">
        <f t="shared" si="866"/>
        <v>Ação de vistoriar</v>
      </c>
      <c r="Z2024" s="47" t="s">
        <v>1914</v>
      </c>
      <c r="AA2024" s="25" t="str">
        <f t="shared" ref="AA2024" si="879">IF(AB2024="null", "null", "categoria.revit")</f>
        <v>null</v>
      </c>
      <c r="AB2024" s="26" t="s">
        <v>0</v>
      </c>
      <c r="AC2024" s="25" t="str">
        <f t="shared" ref="AC2024" si="880">IF(AD2024="null", "null", "classe.ifc")</f>
        <v>null</v>
      </c>
      <c r="AD2024" s="26" t="s">
        <v>0</v>
      </c>
      <c r="AE2024" s="25" t="str">
        <f t="shared" si="871"/>
        <v>null</v>
      </c>
      <c r="AF2024" s="26" t="s">
        <v>0</v>
      </c>
      <c r="AG2024" s="47" t="s">
        <v>3277</v>
      </c>
    </row>
    <row r="2025" spans="1:33" ht="6.9" customHeight="1" x14ac:dyDescent="0.4">
      <c r="A2025" s="4">
        <f>ROW()</f>
        <v>2025</v>
      </c>
      <c r="B2025" s="9" t="s">
        <v>27</v>
      </c>
      <c r="C2025" s="55" t="str">
        <f t="shared" si="877"/>
        <v>p.vistoriar</v>
      </c>
      <c r="D2025" s="6" t="str">
        <f t="shared" si="869"/>
        <v>é.drone</v>
      </c>
      <c r="E2025" s="8" t="s">
        <v>28</v>
      </c>
      <c r="F2025" s="42" t="str">
        <f t="shared" si="876"/>
        <v>d.vistoriar</v>
      </c>
      <c r="G2025" s="18" t="s">
        <v>1233</v>
      </c>
      <c r="H2025" s="41" t="s">
        <v>2121</v>
      </c>
      <c r="I2025" s="16" t="str">
        <f t="shared" ref="I2025:I2034" si="881">J2025</f>
        <v>null</v>
      </c>
      <c r="J2025" s="13" t="s">
        <v>0</v>
      </c>
      <c r="K2025" s="13" t="s">
        <v>0</v>
      </c>
      <c r="L2025" s="13" t="s">
        <v>0</v>
      </c>
      <c r="M2025" s="13" t="s">
        <v>0</v>
      </c>
      <c r="N2025" s="13" t="s">
        <v>0</v>
      </c>
      <c r="O2025" s="13" t="s">
        <v>0</v>
      </c>
      <c r="P2025" s="13" t="s">
        <v>0</v>
      </c>
      <c r="Q2025" s="13" t="s">
        <v>0</v>
      </c>
      <c r="R2025" s="15" t="s">
        <v>1239</v>
      </c>
      <c r="S2025" s="10" t="s">
        <v>1</v>
      </c>
      <c r="T2025" s="10" t="s">
        <v>32</v>
      </c>
      <c r="U2025" s="5" t="str">
        <f t="shared" si="862"/>
        <v>Propriedade destinada a vistoriar: é.drone</v>
      </c>
      <c r="V2025" s="5" t="str">
        <f t="shared" si="863"/>
        <v>Dado para vistoriar:  drone  Deve ser formatado como (rdfs:Literal  or  xsd:string)</v>
      </c>
      <c r="W2025" s="5" t="s">
        <v>6580</v>
      </c>
      <c r="X2025" s="24" t="str">
        <f t="shared" si="865"/>
        <v>visto.104</v>
      </c>
      <c r="Y2025" s="24" t="str">
        <f t="shared" si="866"/>
        <v>Ação de vistoriar</v>
      </c>
      <c r="Z2025" s="47" t="s">
        <v>1920</v>
      </c>
      <c r="AA2025" s="25" t="str">
        <f t="shared" ref="AA2025:AA2034" si="882">IF(AB2025="null", "null", "categoria.revit")</f>
        <v>null</v>
      </c>
      <c r="AB2025" s="26" t="s">
        <v>0</v>
      </c>
      <c r="AC2025" s="25" t="str">
        <f t="shared" ref="AC2025:AC2034" si="883">IF(AD2025="null", "null", "classe.ifc")</f>
        <v>null</v>
      </c>
      <c r="AD2025" s="26" t="s">
        <v>0</v>
      </c>
      <c r="AE2025" s="25" t="str">
        <f t="shared" si="871"/>
        <v>null</v>
      </c>
      <c r="AF2025" s="26" t="s">
        <v>0</v>
      </c>
      <c r="AG2025" s="47" t="s">
        <v>3280</v>
      </c>
    </row>
    <row r="2026" spans="1:33" ht="6.9" customHeight="1" x14ac:dyDescent="0.4">
      <c r="A2026" s="4">
        <f>ROW()</f>
        <v>2026</v>
      </c>
      <c r="B2026" s="9" t="s">
        <v>27</v>
      </c>
      <c r="C2026" s="55" t="str">
        <f t="shared" si="877"/>
        <v>p.vistoriar</v>
      </c>
      <c r="D2026" s="6" t="str">
        <f t="shared" si="869"/>
        <v>é.fotografia</v>
      </c>
      <c r="E2026" s="8" t="s">
        <v>28</v>
      </c>
      <c r="F2026" s="42" t="str">
        <f t="shared" si="876"/>
        <v>d.vistoriar</v>
      </c>
      <c r="G2026" s="18" t="s">
        <v>1240</v>
      </c>
      <c r="H2026" s="41" t="s">
        <v>2121</v>
      </c>
      <c r="I2026" s="16" t="str">
        <f t="shared" si="881"/>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62"/>
        <v>Propriedade destinada a vistoriar: é.fotografia</v>
      </c>
      <c r="V2026" s="5" t="str">
        <f t="shared" si="863"/>
        <v>Dado para vistoriar:  fotografia  Deve ser formatado como (rdfs:Literal  or  xsd:string)</v>
      </c>
      <c r="W2026" s="5" t="s">
        <v>6583</v>
      </c>
      <c r="X2026" s="24" t="str">
        <f t="shared" si="865"/>
        <v>visto.105</v>
      </c>
      <c r="Y2026" s="24" t="str">
        <f t="shared" si="866"/>
        <v>Ação de vistoriar</v>
      </c>
      <c r="Z2026" s="47" t="s">
        <v>1924</v>
      </c>
      <c r="AA2026" s="25" t="str">
        <f t="shared" si="882"/>
        <v>null</v>
      </c>
      <c r="AB2026" s="26" t="s">
        <v>0</v>
      </c>
      <c r="AC2026" s="25" t="str">
        <f t="shared" si="883"/>
        <v>null</v>
      </c>
      <c r="AD2026" s="26" t="s">
        <v>0</v>
      </c>
      <c r="AE2026" s="25" t="str">
        <f t="shared" si="871"/>
        <v>null</v>
      </c>
      <c r="AF2026" s="26" t="s">
        <v>0</v>
      </c>
      <c r="AG2026" s="47" t="s">
        <v>3284</v>
      </c>
    </row>
    <row r="2027" spans="1:33" ht="6.9" customHeight="1" x14ac:dyDescent="0.4">
      <c r="A2027" s="4">
        <f>ROW()</f>
        <v>2027</v>
      </c>
      <c r="B2027" s="9" t="s">
        <v>27</v>
      </c>
      <c r="C2027" s="55" t="str">
        <f t="shared" si="877"/>
        <v>p.vistoriar</v>
      </c>
      <c r="D2027" s="6" t="str">
        <f t="shared" si="869"/>
        <v>é.interditado</v>
      </c>
      <c r="E2027" s="8" t="s">
        <v>28</v>
      </c>
      <c r="F2027" s="42" t="str">
        <f t="shared" si="876"/>
        <v>d.vistoriar</v>
      </c>
      <c r="G2027" s="18" t="s">
        <v>241</v>
      </c>
      <c r="H2027" s="41" t="s">
        <v>37</v>
      </c>
      <c r="I2027" s="16" t="str">
        <f t="shared" si="881"/>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62"/>
        <v>Propriedade destinada a vistoriar: é.interditado</v>
      </c>
      <c r="V2027" s="5" t="str">
        <f t="shared" si="863"/>
        <v>Dado para vistoriar:  interditado  Deve ser formatado como (xsd:boolean)</v>
      </c>
      <c r="W2027" s="5" t="s">
        <v>7351</v>
      </c>
      <c r="X2027" s="24" t="str">
        <f t="shared" si="865"/>
        <v>visto.106</v>
      </c>
      <c r="Y2027" s="24" t="str">
        <f t="shared" si="866"/>
        <v>Ação de vistoriar</v>
      </c>
      <c r="Z2027" s="47" t="s">
        <v>1918</v>
      </c>
      <c r="AA2027" s="25" t="str">
        <f t="shared" si="882"/>
        <v>null</v>
      </c>
      <c r="AB2027" s="26" t="s">
        <v>0</v>
      </c>
      <c r="AC2027" s="25" t="str">
        <f t="shared" si="883"/>
        <v>null</v>
      </c>
      <c r="AD2027" s="26" t="s">
        <v>0</v>
      </c>
      <c r="AE2027" s="25" t="str">
        <f t="shared" si="871"/>
        <v>null</v>
      </c>
      <c r="AF2027" s="26" t="s">
        <v>0</v>
      </c>
      <c r="AG2027" s="47" t="s">
        <v>4756</v>
      </c>
    </row>
    <row r="2028" spans="1:33" ht="6.9" customHeight="1" x14ac:dyDescent="0.4">
      <c r="A2028" s="4">
        <f>ROW()</f>
        <v>2028</v>
      </c>
      <c r="B2028" s="9" t="s">
        <v>27</v>
      </c>
      <c r="C2028" s="55" t="str">
        <f t="shared" si="877"/>
        <v>p.vistoriar</v>
      </c>
      <c r="D2028" s="6" t="str">
        <f t="shared" si="869"/>
        <v>é.operacional</v>
      </c>
      <c r="E2028" s="8" t="s">
        <v>28</v>
      </c>
      <c r="F2028" s="42" t="str">
        <f t="shared" si="876"/>
        <v>d.vistoriar</v>
      </c>
      <c r="G2028" s="18" t="s">
        <v>207</v>
      </c>
      <c r="H2028" s="41" t="s">
        <v>37</v>
      </c>
      <c r="I2028" s="16" t="str">
        <f t="shared" si="881"/>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62"/>
        <v>Propriedade destinada a vistoriar: é.operacional</v>
      </c>
      <c r="V2028" s="5" t="str">
        <f t="shared" si="863"/>
        <v>Dado para vistoriar:  operacional  Deve ser formatado como (xsd:boolean)</v>
      </c>
      <c r="W2028" s="5" t="s">
        <v>6579</v>
      </c>
      <c r="X2028" s="24" t="str">
        <f t="shared" si="865"/>
        <v>visto.107</v>
      </c>
      <c r="Y2028" s="24" t="str">
        <f t="shared" si="866"/>
        <v>Ação de vistoriar</v>
      </c>
      <c r="Z2028" s="47" t="s">
        <v>1916</v>
      </c>
      <c r="AA2028" s="25" t="str">
        <f t="shared" si="882"/>
        <v>null</v>
      </c>
      <c r="AB2028" s="26" t="s">
        <v>0</v>
      </c>
      <c r="AC2028" s="25" t="str">
        <f t="shared" si="883"/>
        <v>null</v>
      </c>
      <c r="AD2028" s="26" t="s">
        <v>0</v>
      </c>
      <c r="AE2028" s="25" t="str">
        <f t="shared" si="871"/>
        <v>null</v>
      </c>
      <c r="AF2028" s="26" t="s">
        <v>0</v>
      </c>
      <c r="AG2028" s="47" t="s">
        <v>4754</v>
      </c>
    </row>
    <row r="2029" spans="1:33" ht="6.9" customHeight="1" x14ac:dyDescent="0.4">
      <c r="A2029" s="4">
        <f>ROW()</f>
        <v>2029</v>
      </c>
      <c r="B2029" s="9" t="s">
        <v>27</v>
      </c>
      <c r="C2029" s="55" t="str">
        <f t="shared" si="877"/>
        <v>p.vistoriar</v>
      </c>
      <c r="D2029" s="6" t="str">
        <f t="shared" si="869"/>
        <v>é.plano.de.voo</v>
      </c>
      <c r="E2029" s="8" t="s">
        <v>28</v>
      </c>
      <c r="F2029" s="42" t="str">
        <f t="shared" si="876"/>
        <v>d.vistoriar</v>
      </c>
      <c r="G2029" s="18" t="s">
        <v>1235</v>
      </c>
      <c r="H2029" s="41" t="s">
        <v>2121</v>
      </c>
      <c r="I2029" s="16" t="str">
        <f t="shared" si="881"/>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62"/>
        <v>Propriedade destinada a vistoriar: é.plano.de.voo</v>
      </c>
      <c r="V2029" s="5" t="str">
        <f t="shared" si="863"/>
        <v>Dado para vistoriar:  plano.de.voo  Deve ser formatado como (rdfs:Literal  or  xsd:string)</v>
      </c>
      <c r="W2029" s="5" t="s">
        <v>6582</v>
      </c>
      <c r="X2029" s="24" t="str">
        <f t="shared" si="865"/>
        <v>visto.108</v>
      </c>
      <c r="Y2029" s="24" t="str">
        <f t="shared" si="866"/>
        <v>Ação de vistoriar</v>
      </c>
      <c r="Z2029" s="47" t="s">
        <v>1922</v>
      </c>
      <c r="AA2029" s="25" t="str">
        <f t="shared" si="882"/>
        <v>null</v>
      </c>
      <c r="AB2029" s="26" t="s">
        <v>0</v>
      </c>
      <c r="AC2029" s="25" t="str">
        <f t="shared" si="883"/>
        <v>null</v>
      </c>
      <c r="AD2029" s="26" t="s">
        <v>0</v>
      </c>
      <c r="AE2029" s="25" t="str">
        <f t="shared" si="871"/>
        <v>null</v>
      </c>
      <c r="AF2029" s="26" t="s">
        <v>0</v>
      </c>
      <c r="AG2029" s="47" t="s">
        <v>3282</v>
      </c>
    </row>
    <row r="2030" spans="1:33" ht="6.9" customHeight="1" x14ac:dyDescent="0.4">
      <c r="A2030" s="4">
        <f>ROW()</f>
        <v>2030</v>
      </c>
      <c r="B2030" s="9" t="s">
        <v>27</v>
      </c>
      <c r="C2030" s="55" t="str">
        <f t="shared" si="877"/>
        <v>p.vistoriar</v>
      </c>
      <c r="D2030" s="6" t="str">
        <f t="shared" si="869"/>
        <v>é.uas</v>
      </c>
      <c r="E2030" s="8" t="s">
        <v>28</v>
      </c>
      <c r="F2030" s="42" t="str">
        <f t="shared" si="876"/>
        <v>d.vistoriar</v>
      </c>
      <c r="G2030" s="18" t="s">
        <v>1232</v>
      </c>
      <c r="H2030" s="41" t="s">
        <v>2121</v>
      </c>
      <c r="I2030" s="16" t="str">
        <f t="shared" si="881"/>
        <v>null</v>
      </c>
      <c r="J2030" s="13" t="s">
        <v>0</v>
      </c>
      <c r="K2030" s="13" t="s">
        <v>0</v>
      </c>
      <c r="L2030" s="13" t="s">
        <v>0</v>
      </c>
      <c r="M2030" s="13" t="s">
        <v>0</v>
      </c>
      <c r="N2030" s="13" t="s">
        <v>0</v>
      </c>
      <c r="O2030" s="13" t="s">
        <v>0</v>
      </c>
      <c r="P2030" s="13" t="s">
        <v>0</v>
      </c>
      <c r="Q2030" s="13" t="s">
        <v>0</v>
      </c>
      <c r="R2030" s="15" t="s">
        <v>1237</v>
      </c>
      <c r="S2030" s="10" t="s">
        <v>1</v>
      </c>
      <c r="T2030" s="10" t="s">
        <v>32</v>
      </c>
      <c r="U2030" s="5" t="str">
        <f t="shared" si="862"/>
        <v>Propriedade destinada a vistoriar: é.uas</v>
      </c>
      <c r="V2030" s="5" t="str">
        <f t="shared" si="863"/>
        <v>Dado para vistoriar:  uas  Deve ser formatado como (rdfs:Literal  or  xsd:string)</v>
      </c>
      <c r="W2030" s="5" t="s">
        <v>7352</v>
      </c>
      <c r="X2030" s="24" t="str">
        <f t="shared" si="865"/>
        <v>visto.109</v>
      </c>
      <c r="Y2030" s="24" t="str">
        <f t="shared" si="866"/>
        <v>Ação de vistoriar</v>
      </c>
      <c r="Z2030" s="47" t="s">
        <v>1919</v>
      </c>
      <c r="AA2030" s="25" t="str">
        <f t="shared" si="882"/>
        <v>null</v>
      </c>
      <c r="AB2030" s="26" t="s">
        <v>0</v>
      </c>
      <c r="AC2030" s="25" t="str">
        <f t="shared" si="883"/>
        <v>null</v>
      </c>
      <c r="AD2030" s="26" t="s">
        <v>0</v>
      </c>
      <c r="AE2030" s="25" t="str">
        <f t="shared" si="871"/>
        <v>null</v>
      </c>
      <c r="AF2030" s="26" t="s">
        <v>0</v>
      </c>
      <c r="AG2030" s="47" t="s">
        <v>3279</v>
      </c>
    </row>
    <row r="2031" spans="1:33" ht="6.9" customHeight="1" x14ac:dyDescent="0.4">
      <c r="A2031" s="4">
        <f>ROW()</f>
        <v>2031</v>
      </c>
      <c r="B2031" s="9" t="s">
        <v>27</v>
      </c>
      <c r="C2031" s="55" t="str">
        <f t="shared" si="877"/>
        <v>p.vistoriar</v>
      </c>
      <c r="D2031" s="6" t="str">
        <f t="shared" si="869"/>
        <v>é.vant</v>
      </c>
      <c r="E2031" s="8" t="s">
        <v>28</v>
      </c>
      <c r="F2031" s="42" t="str">
        <f t="shared" si="876"/>
        <v>d.vistoriar</v>
      </c>
      <c r="G2031" s="18" t="s">
        <v>1234</v>
      </c>
      <c r="H2031" s="41" t="s">
        <v>2121</v>
      </c>
      <c r="I2031" s="16" t="str">
        <f t="shared" si="881"/>
        <v>null</v>
      </c>
      <c r="J2031" s="13" t="s">
        <v>0</v>
      </c>
      <c r="K2031" s="13" t="s">
        <v>0</v>
      </c>
      <c r="L2031" s="13" t="s">
        <v>0</v>
      </c>
      <c r="M2031" s="13" t="s">
        <v>0</v>
      </c>
      <c r="N2031" s="13" t="s">
        <v>0</v>
      </c>
      <c r="O2031" s="13" t="s">
        <v>0</v>
      </c>
      <c r="P2031" s="13" t="s">
        <v>0</v>
      </c>
      <c r="Q2031" s="13" t="s">
        <v>0</v>
      </c>
      <c r="R2031" s="15" t="s">
        <v>1238</v>
      </c>
      <c r="S2031" s="10" t="s">
        <v>1</v>
      </c>
      <c r="T2031" s="10" t="s">
        <v>32</v>
      </c>
      <c r="U2031" s="5" t="str">
        <f t="shared" si="862"/>
        <v>Propriedade destinada a vistoriar: é.vant</v>
      </c>
      <c r="V2031" s="5" t="str">
        <f t="shared" si="863"/>
        <v>Dado para vistoriar:  vant  Deve ser formatado como (rdfs:Literal  or  xsd:string)</v>
      </c>
      <c r="W2031" s="5" t="s">
        <v>6581</v>
      </c>
      <c r="X2031" s="24" t="str">
        <f t="shared" si="865"/>
        <v>visto.110</v>
      </c>
      <c r="Y2031" s="24" t="str">
        <f t="shared" si="866"/>
        <v>Ação de vistoriar</v>
      </c>
      <c r="Z2031" s="47" t="s">
        <v>1921</v>
      </c>
      <c r="AA2031" s="25" t="str">
        <f t="shared" si="882"/>
        <v>null</v>
      </c>
      <c r="AB2031" s="26" t="s">
        <v>0</v>
      </c>
      <c r="AC2031" s="25" t="str">
        <f t="shared" si="883"/>
        <v>null</v>
      </c>
      <c r="AD2031" s="26" t="s">
        <v>0</v>
      </c>
      <c r="AE2031" s="25" t="str">
        <f t="shared" si="871"/>
        <v>null</v>
      </c>
      <c r="AF2031" s="26" t="s">
        <v>0</v>
      </c>
      <c r="AG2031" s="47" t="s">
        <v>3281</v>
      </c>
    </row>
    <row r="2032" spans="1:33" ht="6.9" customHeight="1" x14ac:dyDescent="0.4">
      <c r="A2032" s="4">
        <f>ROW()</f>
        <v>2032</v>
      </c>
      <c r="B2032" s="9" t="s">
        <v>27</v>
      </c>
      <c r="C2032" s="55" t="str">
        <f t="shared" si="877"/>
        <v>p.vistoriar</v>
      </c>
      <c r="D2032" s="6" t="str">
        <f t="shared" si="869"/>
        <v>é.video</v>
      </c>
      <c r="E2032" s="8" t="s">
        <v>28</v>
      </c>
      <c r="F2032" s="42" t="str">
        <f t="shared" si="876"/>
        <v>d.vistoriar</v>
      </c>
      <c r="G2032" s="18" t="s">
        <v>1241</v>
      </c>
      <c r="H2032" s="41" t="s">
        <v>2121</v>
      </c>
      <c r="I2032" s="16" t="str">
        <f t="shared" si="881"/>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62"/>
        <v>Propriedade destinada a vistoriar: é.video</v>
      </c>
      <c r="V2032" s="5" t="str">
        <f t="shared" si="863"/>
        <v>Dado para vistoriar:  video  Deve ser formatado como (rdfs:Literal  or  xsd:string)</v>
      </c>
      <c r="W2032" s="5" t="s">
        <v>6584</v>
      </c>
      <c r="X2032" s="24" t="str">
        <f t="shared" si="865"/>
        <v>visto.111</v>
      </c>
      <c r="Y2032" s="24" t="str">
        <f t="shared" si="866"/>
        <v>Ação de vistoriar</v>
      </c>
      <c r="Z2032" s="47" t="s">
        <v>1925</v>
      </c>
      <c r="AA2032" s="25" t="str">
        <f t="shared" si="882"/>
        <v>null</v>
      </c>
      <c r="AB2032" s="26" t="s">
        <v>0</v>
      </c>
      <c r="AC2032" s="25" t="str">
        <f t="shared" si="883"/>
        <v>null</v>
      </c>
      <c r="AD2032" s="26" t="s">
        <v>0</v>
      </c>
      <c r="AE2032" s="25" t="str">
        <f t="shared" si="871"/>
        <v>null</v>
      </c>
      <c r="AF2032" s="26" t="s">
        <v>0</v>
      </c>
      <c r="AG2032" s="47" t="s">
        <v>3285</v>
      </c>
    </row>
    <row r="2033" spans="1:33" ht="6.9" customHeight="1" x14ac:dyDescent="0.4">
      <c r="A2033" s="4">
        <f>ROW()</f>
        <v>2033</v>
      </c>
      <c r="B2033" s="9" t="s">
        <v>27</v>
      </c>
      <c r="C2033" s="55" t="str">
        <f t="shared" si="877"/>
        <v>p.vistoriar</v>
      </c>
      <c r="D2033" s="6" t="str">
        <f t="shared" si="869"/>
        <v>é.voo.realizado</v>
      </c>
      <c r="E2033" s="8" t="s">
        <v>28</v>
      </c>
      <c r="F2033" s="42" t="str">
        <f t="shared" si="876"/>
        <v>d.vistoriar</v>
      </c>
      <c r="G2033" s="18" t="s">
        <v>1236</v>
      </c>
      <c r="H2033" s="41" t="s">
        <v>2121</v>
      </c>
      <c r="I2033" s="16" t="str">
        <f t="shared" si="881"/>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62"/>
        <v>Propriedade destinada a vistoriar: é.voo.realizado</v>
      </c>
      <c r="V2033" s="5" t="str">
        <f t="shared" si="863"/>
        <v>Dado para vistoriar:  voo.realizado  Deve ser formatado como (rdfs:Literal  or  xsd:string)</v>
      </c>
      <c r="W2033" s="5" t="s">
        <v>7353</v>
      </c>
      <c r="X2033" s="24" t="str">
        <f t="shared" si="865"/>
        <v>visto.112</v>
      </c>
      <c r="Y2033" s="24" t="str">
        <f t="shared" si="866"/>
        <v>Ação de vistoriar</v>
      </c>
      <c r="Z2033" s="47" t="s">
        <v>1923</v>
      </c>
      <c r="AA2033" s="25" t="str">
        <f t="shared" si="882"/>
        <v>null</v>
      </c>
      <c r="AB2033" s="26" t="s">
        <v>0</v>
      </c>
      <c r="AC2033" s="25" t="str">
        <f t="shared" si="883"/>
        <v>null</v>
      </c>
      <c r="AD2033" s="26" t="s">
        <v>0</v>
      </c>
      <c r="AE2033" s="25" t="str">
        <f t="shared" si="871"/>
        <v>null</v>
      </c>
      <c r="AF2033" s="26" t="s">
        <v>0</v>
      </c>
      <c r="AG2033" s="47" t="s">
        <v>3283</v>
      </c>
    </row>
    <row r="2034" spans="1:33" ht="6.9" customHeight="1" x14ac:dyDescent="0.4">
      <c r="A2034" s="4">
        <f>ROW()</f>
        <v>2034</v>
      </c>
      <c r="B2034" s="9" t="s">
        <v>27</v>
      </c>
      <c r="C2034" s="55" t="str">
        <f t="shared" si="877"/>
        <v>p.vistoriar</v>
      </c>
      <c r="D2034" s="6" t="str">
        <f t="shared" si="869"/>
        <v>é.waypoint</v>
      </c>
      <c r="E2034" s="8" t="s">
        <v>28</v>
      </c>
      <c r="F2034" s="42" t="str">
        <f t="shared" si="876"/>
        <v>d.vistoriar</v>
      </c>
      <c r="G2034" s="18" t="s">
        <v>1242</v>
      </c>
      <c r="H2034" s="41" t="s">
        <v>2121</v>
      </c>
      <c r="I2034" s="16" t="str">
        <f t="shared" si="881"/>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62"/>
        <v>Propriedade destinada a vistoriar: é.waypoint</v>
      </c>
      <c r="V2034" s="5" t="str">
        <f t="shared" si="863"/>
        <v>Dado para vistoriar:  waypoint  Deve ser formatado como (rdfs:Literal  or  xsd:string)</v>
      </c>
      <c r="W2034" s="5" t="s">
        <v>6586</v>
      </c>
      <c r="X2034" s="24" t="str">
        <f t="shared" si="865"/>
        <v>visto.113</v>
      </c>
      <c r="Y2034" s="24" t="str">
        <f t="shared" si="866"/>
        <v>Ação de vistoriar</v>
      </c>
      <c r="Z2034" s="47" t="s">
        <v>1926</v>
      </c>
      <c r="AA2034" s="25" t="str">
        <f t="shared" si="882"/>
        <v>null</v>
      </c>
      <c r="AB2034" s="26" t="s">
        <v>0</v>
      </c>
      <c r="AC2034" s="25" t="str">
        <f t="shared" si="883"/>
        <v>null</v>
      </c>
      <c r="AD2034" s="26" t="s">
        <v>0</v>
      </c>
      <c r="AE2034" s="25" t="str">
        <f t="shared" si="871"/>
        <v>null</v>
      </c>
      <c r="AF2034" s="26" t="s">
        <v>0</v>
      </c>
      <c r="AG2034" s="47" t="s">
        <v>3286</v>
      </c>
    </row>
    <row r="2035" spans="1:33" ht="6.9" customHeight="1" x14ac:dyDescent="0.4">
      <c r="A2035" s="4">
        <f>ROW()</f>
        <v>2035</v>
      </c>
      <c r="B2035" s="9" t="s">
        <v>27</v>
      </c>
      <c r="C2035" s="54" t="str">
        <f t="shared" ref="C2035:C2046" si="884">SUBSTITUTE(F2035,"d.","p.")</f>
        <v>p.votar</v>
      </c>
      <c r="D2035" s="6" t="str">
        <f t="shared" si="869"/>
        <v>é.urna.papel</v>
      </c>
      <c r="E2035" s="8" t="s">
        <v>28</v>
      </c>
      <c r="F2035" s="51" t="s">
        <v>7214</v>
      </c>
      <c r="G2035" s="18" t="s">
        <v>7215</v>
      </c>
      <c r="H2035" s="41" t="s">
        <v>2121</v>
      </c>
      <c r="I2035" s="16" t="str">
        <f t="shared" ref="I2035:I2039" si="885">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62"/>
        <v>Propriedade destinada a votar: é.urna.papel</v>
      </c>
      <c r="V2035" s="5" t="str">
        <f t="shared" si="863"/>
        <v>Dado para votar:  urna.papel  Deve ser formatado como (rdfs:Literal  or  xsd:string)</v>
      </c>
      <c r="W2035" s="5" t="s">
        <v>7217</v>
      </c>
      <c r="X2035" s="24" t="str">
        <f t="shared" si="865"/>
        <v>votar.100</v>
      </c>
      <c r="Y2035" s="24" t="str">
        <f t="shared" si="866"/>
        <v>Ação de votar</v>
      </c>
      <c r="Z2035" s="47" t="s">
        <v>7223</v>
      </c>
      <c r="AA2035" s="25" t="str">
        <f t="shared" ref="AA2035:AA2039" si="886">IF(AB2035="null", "null", "categoria.revit")</f>
        <v>null</v>
      </c>
      <c r="AB2035" s="26" t="s">
        <v>0</v>
      </c>
      <c r="AC2035" s="25" t="str">
        <f t="shared" ref="AC2035:AC2039" si="887">IF(AD2035="null", "null", "classe.ifc")</f>
        <v>null</v>
      </c>
      <c r="AD2035" s="26" t="s">
        <v>0</v>
      </c>
      <c r="AE2035" s="25" t="str">
        <f t="shared" si="871"/>
        <v>null</v>
      </c>
      <c r="AF2035" s="26" t="s">
        <v>0</v>
      </c>
      <c r="AG2035" s="47" t="s">
        <v>7222</v>
      </c>
    </row>
    <row r="2036" spans="1:33" ht="6.9" customHeight="1" x14ac:dyDescent="0.4">
      <c r="A2036" s="4">
        <f>ROW()</f>
        <v>2036</v>
      </c>
      <c r="B2036" s="9" t="s">
        <v>27</v>
      </c>
      <c r="C2036" s="55" t="str">
        <f t="shared" si="884"/>
        <v>p.votar</v>
      </c>
      <c r="D2036" s="6" t="str">
        <f t="shared" si="869"/>
        <v>é.urna.eletrônica</v>
      </c>
      <c r="E2036" s="8" t="s">
        <v>28</v>
      </c>
      <c r="F2036" s="42" t="str">
        <f t="shared" ref="F2036:F2039" si="888">F2035</f>
        <v>d.votar</v>
      </c>
      <c r="G2036" s="18" t="s">
        <v>7216</v>
      </c>
      <c r="H2036" s="41" t="s">
        <v>2121</v>
      </c>
      <c r="I2036" s="16" t="str">
        <f t="shared" si="885"/>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62"/>
        <v>Propriedade destinada a votar: é.urna.eletrônica</v>
      </c>
      <c r="V2036" s="5" t="str">
        <f t="shared" si="863"/>
        <v>Dado para votar:  urna.eletrônica  Deve ser formatado como (rdfs:Literal  or  xsd:string)</v>
      </c>
      <c r="W2036" s="5" t="s">
        <v>7218</v>
      </c>
      <c r="X2036" s="24" t="str">
        <f t="shared" si="865"/>
        <v>votar.101</v>
      </c>
      <c r="Y2036" s="24" t="str">
        <f t="shared" si="866"/>
        <v>Ação de votar</v>
      </c>
      <c r="Z2036" s="47" t="s">
        <v>7224</v>
      </c>
      <c r="AA2036" s="25" t="str">
        <f t="shared" si="886"/>
        <v>null</v>
      </c>
      <c r="AB2036" s="26" t="s">
        <v>0</v>
      </c>
      <c r="AC2036" s="25" t="str">
        <f t="shared" si="887"/>
        <v>null</v>
      </c>
      <c r="AD2036" s="26" t="s">
        <v>0</v>
      </c>
      <c r="AE2036" s="25" t="str">
        <f t="shared" si="871"/>
        <v>null</v>
      </c>
      <c r="AF2036" s="26" t="s">
        <v>0</v>
      </c>
      <c r="AG2036" s="47" t="s">
        <v>7220</v>
      </c>
    </row>
    <row r="2037" spans="1:33" ht="6.9" customHeight="1" x14ac:dyDescent="0.4">
      <c r="A2037" s="4">
        <f>ROW()</f>
        <v>2037</v>
      </c>
      <c r="B2037" s="9" t="s">
        <v>27</v>
      </c>
      <c r="C2037" s="55" t="str">
        <f t="shared" si="884"/>
        <v>p.votar</v>
      </c>
      <c r="D2037" s="6" t="str">
        <f t="shared" si="869"/>
        <v>é.cabine.de.votação</v>
      </c>
      <c r="E2037" s="8" t="s">
        <v>28</v>
      </c>
      <c r="F2037" s="42" t="str">
        <f t="shared" si="888"/>
        <v>d.votar</v>
      </c>
      <c r="G2037" s="18" t="s">
        <v>7234</v>
      </c>
      <c r="H2037" s="41" t="s">
        <v>2121</v>
      </c>
      <c r="I2037" s="16" t="str">
        <f t="shared" si="885"/>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62"/>
        <v>Propriedade destinada a votar: é.cabine.de.votação</v>
      </c>
      <c r="V2037" s="5" t="str">
        <f t="shared" si="863"/>
        <v>Dado para votar:  cabine.de.votação  Deve ser formatado como (rdfs:Literal  or  xsd:string)</v>
      </c>
      <c r="W2037" s="5" t="s">
        <v>7229</v>
      </c>
      <c r="X2037" s="24" t="str">
        <f t="shared" si="865"/>
        <v>votar.102</v>
      </c>
      <c r="Y2037" s="24" t="str">
        <f t="shared" si="866"/>
        <v>Ação de votar</v>
      </c>
      <c r="Z2037" s="69" t="s">
        <v>7230</v>
      </c>
      <c r="AA2037" s="25" t="str">
        <f t="shared" si="886"/>
        <v>null</v>
      </c>
      <c r="AB2037" s="26" t="s">
        <v>0</v>
      </c>
      <c r="AC2037" s="25" t="str">
        <f t="shared" si="887"/>
        <v>null</v>
      </c>
      <c r="AD2037" s="26" t="s">
        <v>0</v>
      </c>
      <c r="AE2037" s="25" t="str">
        <f t="shared" si="871"/>
        <v>null</v>
      </c>
      <c r="AF2037" s="26" t="s">
        <v>0</v>
      </c>
      <c r="AG2037" s="47" t="s">
        <v>7232</v>
      </c>
    </row>
    <row r="2038" spans="1:33" ht="6.9" customHeight="1" x14ac:dyDescent="0.4">
      <c r="A2038" s="4">
        <f>ROW()</f>
        <v>2038</v>
      </c>
      <c r="B2038" s="9" t="s">
        <v>27</v>
      </c>
      <c r="C2038" s="55" t="str">
        <f t="shared" ref="C2038" si="889">SUBSTITUTE(F2038,"d.","p.")</f>
        <v>p.votar</v>
      </c>
      <c r="D2038" s="6" t="str">
        <f t="shared" si="869"/>
        <v>é.fiscal.mesa</v>
      </c>
      <c r="E2038" s="8" t="s">
        <v>28</v>
      </c>
      <c r="F2038" s="42" t="str">
        <f t="shared" si="888"/>
        <v>d.votar</v>
      </c>
      <c r="G2038" s="18" t="s">
        <v>7226</v>
      </c>
      <c r="H2038" s="41" t="s">
        <v>2121</v>
      </c>
      <c r="I2038" s="16" t="str">
        <f t="shared" ref="I2038" si="890">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62"/>
        <v>Propriedade destinada a votar: é.fiscal.mesa</v>
      </c>
      <c r="V2038" s="5" t="str">
        <f t="shared" si="863"/>
        <v>Dado para votar:  fiscal.mesa  Deve ser formatado como (rdfs:Literal  or  xsd:string)</v>
      </c>
      <c r="W2038" s="5" t="s">
        <v>7219</v>
      </c>
      <c r="X2038" s="24" t="str">
        <f t="shared" si="865"/>
        <v>votar.103</v>
      </c>
      <c r="Y2038" s="24" t="str">
        <f t="shared" si="866"/>
        <v>Ação de votar</v>
      </c>
      <c r="Z2038" s="47" t="s">
        <v>7225</v>
      </c>
      <c r="AA2038" s="25" t="str">
        <f t="shared" ref="AA2038" si="891">IF(AB2038="null", "null", "categoria.revit")</f>
        <v>null</v>
      </c>
      <c r="AB2038" s="26" t="s">
        <v>0</v>
      </c>
      <c r="AC2038" s="25" t="str">
        <f t="shared" ref="AC2038" si="892">IF(AD2038="null", "null", "classe.ifc")</f>
        <v>null</v>
      </c>
      <c r="AD2038" s="26" t="s">
        <v>0</v>
      </c>
      <c r="AE2038" s="25" t="str">
        <f t="shared" si="871"/>
        <v>null</v>
      </c>
      <c r="AF2038" s="26" t="s">
        <v>0</v>
      </c>
      <c r="AG2038" s="47" t="s">
        <v>7221</v>
      </c>
    </row>
    <row r="2039" spans="1:33" ht="6.9" customHeight="1" x14ac:dyDescent="0.4">
      <c r="A2039" s="4">
        <f>ROW()</f>
        <v>2039</v>
      </c>
      <c r="B2039" s="9" t="s">
        <v>27</v>
      </c>
      <c r="C2039" s="55" t="str">
        <f t="shared" si="884"/>
        <v>p.votar</v>
      </c>
      <c r="D2039" s="6" t="str">
        <f t="shared" si="869"/>
        <v>é.fiscal.cadeira</v>
      </c>
      <c r="E2039" s="8" t="s">
        <v>28</v>
      </c>
      <c r="F2039" s="42" t="str">
        <f t="shared" si="888"/>
        <v>d.votar</v>
      </c>
      <c r="G2039" s="18" t="s">
        <v>7227</v>
      </c>
      <c r="H2039" s="41" t="s">
        <v>2121</v>
      </c>
      <c r="I2039" s="16" t="str">
        <f t="shared" si="885"/>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62"/>
        <v>Propriedade destinada a votar: é.fiscal.cadeira</v>
      </c>
      <c r="V2039" s="5" t="str">
        <f t="shared" si="863"/>
        <v>Dado para votar:  fiscal.cadeira  Deve ser formatado como (rdfs:Literal  or  xsd:string)</v>
      </c>
      <c r="W2039" s="5" t="s">
        <v>7228</v>
      </c>
      <c r="X2039" s="24" t="str">
        <f t="shared" si="865"/>
        <v>votar.104</v>
      </c>
      <c r="Y2039" s="24" t="str">
        <f t="shared" si="866"/>
        <v>Ação de votar</v>
      </c>
      <c r="Z2039" s="47" t="s">
        <v>7231</v>
      </c>
      <c r="AA2039" s="25" t="str">
        <f t="shared" si="886"/>
        <v>null</v>
      </c>
      <c r="AB2039" s="26" t="s">
        <v>0</v>
      </c>
      <c r="AC2039" s="25" t="str">
        <f t="shared" si="887"/>
        <v>null</v>
      </c>
      <c r="AD2039" s="26" t="s">
        <v>0</v>
      </c>
      <c r="AE2039" s="25" t="str">
        <f t="shared" si="871"/>
        <v>null</v>
      </c>
      <c r="AF2039" s="26" t="s">
        <v>0</v>
      </c>
      <c r="AG2039" s="47" t="s">
        <v>7233</v>
      </c>
    </row>
    <row r="2040" spans="1:33" ht="6.9" customHeight="1" x14ac:dyDescent="0.4">
      <c r="A2040" s="4">
        <f>ROW()</f>
        <v>2040</v>
      </c>
      <c r="B2040" s="9" t="s">
        <v>27</v>
      </c>
      <c r="C2040" s="54" t="str">
        <f t="shared" si="884"/>
        <v>p.zonificar</v>
      </c>
      <c r="D2040" s="6" t="str">
        <f t="shared" si="869"/>
        <v>é.zona</v>
      </c>
      <c r="E2040" s="8" t="s">
        <v>28</v>
      </c>
      <c r="F2040" s="50" t="s">
        <v>3642</v>
      </c>
      <c r="G2040" s="18" t="s">
        <v>128</v>
      </c>
      <c r="H2040" s="41" t="s">
        <v>2121</v>
      </c>
      <c r="I2040" s="16" t="str">
        <f t="shared" si="861"/>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862"/>
        <v>Propriedade destinada a zonificar: é.zona</v>
      </c>
      <c r="V2040" s="5" t="str">
        <f t="shared" si="863"/>
        <v>Dado para zonificar:  zona  Deve ser formatado como (rdfs:Literal  or  xsd:string)</v>
      </c>
      <c r="W2040" s="5" t="s">
        <v>6587</v>
      </c>
      <c r="X2040" s="24" t="str">
        <f t="shared" si="865"/>
        <v>zonif.100</v>
      </c>
      <c r="Y2040" s="24" t="str">
        <f t="shared" si="866"/>
        <v>Ação de zonificar</v>
      </c>
      <c r="Z2040" s="47" t="s">
        <v>4579</v>
      </c>
      <c r="AA2040" s="25" t="str">
        <f t="shared" si="858"/>
        <v>categoria.revit</v>
      </c>
      <c r="AB2040" s="26" t="s">
        <v>3539</v>
      </c>
      <c r="AC2040" s="25" t="str">
        <f t="shared" si="859"/>
        <v>classe.ifc</v>
      </c>
      <c r="AD2040" s="26" t="s">
        <v>3490</v>
      </c>
      <c r="AE2040" s="25" t="str">
        <f t="shared" si="871"/>
        <v>null</v>
      </c>
      <c r="AF2040" s="26" t="s">
        <v>0</v>
      </c>
      <c r="AG2040" s="47" t="s">
        <v>4854</v>
      </c>
    </row>
    <row r="2041" spans="1:33" ht="6.9" customHeight="1" x14ac:dyDescent="0.4">
      <c r="A2041" s="4">
        <f>ROW()</f>
        <v>2041</v>
      </c>
      <c r="B2041" s="9" t="s">
        <v>27</v>
      </c>
      <c r="C2041" s="55" t="str">
        <f t="shared" si="884"/>
        <v>p.zonificar</v>
      </c>
      <c r="D2041" s="6" t="str">
        <f t="shared" si="869"/>
        <v>é.zona.avac</v>
      </c>
      <c r="E2041" s="8" t="s">
        <v>28</v>
      </c>
      <c r="F2041" s="42" t="str">
        <f t="shared" ref="F2041:F2046" si="893">F2040</f>
        <v>d.zonificar</v>
      </c>
      <c r="G2041" s="18" t="s">
        <v>1033</v>
      </c>
      <c r="H2041" s="41" t="s">
        <v>2121</v>
      </c>
      <c r="I2041" s="16" t="str">
        <f t="shared" si="861"/>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862"/>
        <v>Propriedade destinada a zonificar: é.zona.avac</v>
      </c>
      <c r="V2041" s="5" t="str">
        <f t="shared" si="863"/>
        <v>Dado para zonificar:  zona.avac  Deve ser formatado como (rdfs:Literal  or  xsd:string)</v>
      </c>
      <c r="W2041" s="5" t="s">
        <v>6588</v>
      </c>
      <c r="X2041" s="24" t="str">
        <f t="shared" si="865"/>
        <v>zonif.101</v>
      </c>
      <c r="Y2041" s="24" t="str">
        <f t="shared" si="866"/>
        <v>Ação de zonificar</v>
      </c>
      <c r="Z2041" s="47" t="s">
        <v>4580</v>
      </c>
      <c r="AA2041" s="25" t="str">
        <f t="shared" si="858"/>
        <v>categoria.revit</v>
      </c>
      <c r="AB2041" s="26" t="s">
        <v>3539</v>
      </c>
      <c r="AC2041" s="25" t="str">
        <f t="shared" si="859"/>
        <v>classe.ifc</v>
      </c>
      <c r="AD2041" s="26" t="s">
        <v>3490</v>
      </c>
      <c r="AE2041" s="25" t="str">
        <f t="shared" si="871"/>
        <v>null</v>
      </c>
      <c r="AF2041" s="26" t="s">
        <v>0</v>
      </c>
      <c r="AG2041" s="47" t="s">
        <v>4855</v>
      </c>
    </row>
    <row r="2042" spans="1:33" ht="6.9" customHeight="1" x14ac:dyDescent="0.4">
      <c r="A2042" s="4">
        <f>ROW()</f>
        <v>2042</v>
      </c>
      <c r="B2042" s="9" t="s">
        <v>27</v>
      </c>
      <c r="C2042" s="55" t="str">
        <f t="shared" si="884"/>
        <v>p.zonificar</v>
      </c>
      <c r="D2042" s="6" t="str">
        <f t="shared" si="869"/>
        <v>é.zona.isolada</v>
      </c>
      <c r="E2042" s="8" t="s">
        <v>28</v>
      </c>
      <c r="F2042" s="42" t="str">
        <f t="shared" si="893"/>
        <v>d.zonificar</v>
      </c>
      <c r="G2042" s="18" t="s">
        <v>1034</v>
      </c>
      <c r="H2042" s="41" t="s">
        <v>2121</v>
      </c>
      <c r="I2042" s="16" t="str">
        <f t="shared" si="861"/>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862"/>
        <v>Propriedade destinada a zonificar: é.zona.isolada</v>
      </c>
      <c r="V2042" s="5" t="str">
        <f t="shared" si="863"/>
        <v>Dado para zonificar:  zona.isolada  Deve ser formatado como (rdfs:Literal  or  xsd:string)</v>
      </c>
      <c r="W2042" s="5" t="s">
        <v>6589</v>
      </c>
      <c r="X2042" s="24" t="str">
        <f t="shared" si="865"/>
        <v>zonif.102</v>
      </c>
      <c r="Y2042" s="24" t="str">
        <f t="shared" si="866"/>
        <v>Ação de zonificar</v>
      </c>
      <c r="Z2042" s="47" t="s">
        <v>4581</v>
      </c>
      <c r="AA2042" s="25" t="str">
        <f t="shared" si="858"/>
        <v>categoria.revit</v>
      </c>
      <c r="AB2042" s="26" t="s">
        <v>3539</v>
      </c>
      <c r="AC2042" s="25" t="str">
        <f t="shared" si="859"/>
        <v>classe.ifc</v>
      </c>
      <c r="AD2042" s="26" t="s">
        <v>3490</v>
      </c>
      <c r="AE2042" s="25" t="str">
        <f t="shared" si="871"/>
        <v>null</v>
      </c>
      <c r="AF2042" s="26" t="s">
        <v>0</v>
      </c>
      <c r="AG2042" s="47" t="s">
        <v>4856</v>
      </c>
    </row>
    <row r="2043" spans="1:33" ht="6.9" customHeight="1" x14ac:dyDescent="0.4">
      <c r="A2043" s="4">
        <f>ROW()</f>
        <v>2043</v>
      </c>
      <c r="B2043" s="9" t="s">
        <v>27</v>
      </c>
      <c r="C2043" s="55" t="str">
        <f t="shared" si="884"/>
        <v>p.zonificar</v>
      </c>
      <c r="D2043" s="6" t="str">
        <f t="shared" si="869"/>
        <v>é.zona.de.maquinária</v>
      </c>
      <c r="E2043" s="8" t="s">
        <v>28</v>
      </c>
      <c r="F2043" s="42" t="str">
        <f t="shared" si="893"/>
        <v>d.zonificar</v>
      </c>
      <c r="G2043" s="18" t="s">
        <v>1035</v>
      </c>
      <c r="H2043" s="41" t="s">
        <v>2121</v>
      </c>
      <c r="I2043" s="16" t="str">
        <f t="shared" si="861"/>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862"/>
        <v>Propriedade destinada a zonificar: é.zona.de.maquinária</v>
      </c>
      <c r="V2043" s="5" t="str">
        <f t="shared" si="863"/>
        <v>Dado para zonificar:  zona.de.maquinária  Deve ser formatado como (rdfs:Literal  or  xsd:string)</v>
      </c>
      <c r="W2043" s="5" t="s">
        <v>6590</v>
      </c>
      <c r="X2043" s="24" t="str">
        <f t="shared" si="865"/>
        <v>zonif.103</v>
      </c>
      <c r="Y2043" s="24" t="str">
        <f t="shared" si="866"/>
        <v>Ação de zonificar</v>
      </c>
      <c r="Z2043" s="47" t="s">
        <v>4582</v>
      </c>
      <c r="AA2043" s="25" t="str">
        <f t="shared" ref="AA2043:AA2046" si="894">IF(AB2043="null", "null", "categoria.revit")</f>
        <v>categoria.revit</v>
      </c>
      <c r="AB2043" s="26" t="s">
        <v>3539</v>
      </c>
      <c r="AC2043" s="25" t="str">
        <f t="shared" ref="AC2043:AC2046" si="895">IF(AD2043="null", "null", "classe.ifc")</f>
        <v>classe.ifc</v>
      </c>
      <c r="AD2043" s="26" t="s">
        <v>3490</v>
      </c>
      <c r="AE2043" s="25" t="str">
        <f t="shared" si="871"/>
        <v>null</v>
      </c>
      <c r="AF2043" s="26" t="s">
        <v>0</v>
      </c>
      <c r="AG2043" s="47" t="s">
        <v>4860</v>
      </c>
    </row>
    <row r="2044" spans="1:33" ht="6.9" customHeight="1" x14ac:dyDescent="0.4">
      <c r="A2044" s="4">
        <f>ROW()</f>
        <v>2044</v>
      </c>
      <c r="B2044" s="9" t="s">
        <v>27</v>
      </c>
      <c r="C2044" s="55" t="str">
        <f t="shared" si="884"/>
        <v>p.zonificar</v>
      </c>
      <c r="D2044" s="6" t="str">
        <f t="shared" si="869"/>
        <v>é.zona.pública</v>
      </c>
      <c r="E2044" s="8" t="s">
        <v>28</v>
      </c>
      <c r="F2044" s="42" t="str">
        <f t="shared" si="893"/>
        <v>d.zonificar</v>
      </c>
      <c r="G2044" s="18" t="s">
        <v>1036</v>
      </c>
      <c r="H2044" s="41" t="s">
        <v>2121</v>
      </c>
      <c r="I2044" s="16" t="str">
        <f t="shared" si="861"/>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862"/>
        <v>Propriedade destinada a zonificar: é.zona.pública</v>
      </c>
      <c r="V2044" s="5" t="str">
        <f t="shared" si="863"/>
        <v>Dado para zonificar:  zona.pública  Deve ser formatado como (rdfs:Literal  or  xsd:string)</v>
      </c>
      <c r="W2044" s="5" t="s">
        <v>6591</v>
      </c>
      <c r="X2044" s="24" t="str">
        <f t="shared" si="865"/>
        <v>zonif.104</v>
      </c>
      <c r="Y2044" s="24" t="str">
        <f t="shared" si="866"/>
        <v>Ação de zonificar</v>
      </c>
      <c r="Z2044" s="47" t="s">
        <v>4583</v>
      </c>
      <c r="AA2044" s="25" t="str">
        <f t="shared" si="894"/>
        <v>categoria.revit</v>
      </c>
      <c r="AB2044" s="26" t="s">
        <v>3539</v>
      </c>
      <c r="AC2044" s="25" t="str">
        <f t="shared" si="895"/>
        <v>classe.ifc</v>
      </c>
      <c r="AD2044" s="26" t="s">
        <v>3490</v>
      </c>
      <c r="AE2044" s="25" t="str">
        <f t="shared" si="871"/>
        <v>null</v>
      </c>
      <c r="AF2044" s="26" t="s">
        <v>0</v>
      </c>
      <c r="AG2044" s="47" t="s">
        <v>4859</v>
      </c>
    </row>
    <row r="2045" spans="1:33" ht="6.9" customHeight="1" x14ac:dyDescent="0.4">
      <c r="A2045" s="4">
        <f>ROW()</f>
        <v>2045</v>
      </c>
      <c r="B2045" s="9" t="s">
        <v>27</v>
      </c>
      <c r="C2045" s="55" t="str">
        <f t="shared" si="884"/>
        <v>p.zonificar</v>
      </c>
      <c r="D2045" s="6" t="str">
        <f t="shared" si="869"/>
        <v>é.zona.privada</v>
      </c>
      <c r="E2045" s="8" t="s">
        <v>28</v>
      </c>
      <c r="F2045" s="42" t="str">
        <f t="shared" si="893"/>
        <v>d.zonificar</v>
      </c>
      <c r="G2045" s="18" t="s">
        <v>1037</v>
      </c>
      <c r="H2045" s="41" t="s">
        <v>2121</v>
      </c>
      <c r="I2045" s="16" t="str">
        <f t="shared" si="861"/>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862"/>
        <v>Propriedade destinada a zonificar: é.zona.privada</v>
      </c>
      <c r="V2045" s="5" t="str">
        <f t="shared" si="863"/>
        <v>Dado para zonificar:  zona.privada  Deve ser formatado como (rdfs:Literal  or  xsd:string)</v>
      </c>
      <c r="W2045" s="5" t="s">
        <v>6592</v>
      </c>
      <c r="X2045" s="24" t="str">
        <f t="shared" si="865"/>
        <v>zonif.105</v>
      </c>
      <c r="Y2045" s="24" t="str">
        <f t="shared" si="866"/>
        <v>Ação de zonificar</v>
      </c>
      <c r="Z2045" s="47" t="s">
        <v>4584</v>
      </c>
      <c r="AA2045" s="25" t="str">
        <f t="shared" si="894"/>
        <v>categoria.revit</v>
      </c>
      <c r="AB2045" s="26" t="s">
        <v>3539</v>
      </c>
      <c r="AC2045" s="25" t="str">
        <f t="shared" si="895"/>
        <v>classe.ifc</v>
      </c>
      <c r="AD2045" s="26" t="s">
        <v>3490</v>
      </c>
      <c r="AE2045" s="25" t="str">
        <f t="shared" si="871"/>
        <v>null</v>
      </c>
      <c r="AF2045" s="26" t="s">
        <v>0</v>
      </c>
      <c r="AG2045" s="47" t="s">
        <v>4857</v>
      </c>
    </row>
    <row r="2046" spans="1:33" ht="6.9" customHeight="1" x14ac:dyDescent="0.4">
      <c r="A2046" s="4">
        <f>ROW()</f>
        <v>2046</v>
      </c>
      <c r="B2046" s="9" t="s">
        <v>27</v>
      </c>
      <c r="C2046" s="55" t="str">
        <f t="shared" si="884"/>
        <v>p.zonificar</v>
      </c>
      <c r="D2046" s="6" t="str">
        <f t="shared" si="869"/>
        <v>é.zona.protegida</v>
      </c>
      <c r="E2046" s="8" t="s">
        <v>28</v>
      </c>
      <c r="F2046" s="42" t="str">
        <f t="shared" si="893"/>
        <v>d.zonificar</v>
      </c>
      <c r="G2046" s="18" t="s">
        <v>1038</v>
      </c>
      <c r="H2046" s="41" t="s">
        <v>2121</v>
      </c>
      <c r="I2046" s="16" t="str">
        <f t="shared" si="861"/>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862"/>
        <v>Propriedade destinada a zonificar: é.zona.protegida</v>
      </c>
      <c r="V2046" s="5" t="str">
        <f t="shared" si="863"/>
        <v>Dado para zonificar:  zona.protegida  Deve ser formatado como (rdfs:Literal  or  xsd:string)</v>
      </c>
      <c r="W2046" s="5" t="s">
        <v>6593</v>
      </c>
      <c r="X2046" s="24" t="str">
        <f t="shared" si="865"/>
        <v>zonif.106</v>
      </c>
      <c r="Y2046" s="24" t="str">
        <f t="shared" si="866"/>
        <v>Ação de zonificar</v>
      </c>
      <c r="Z2046" s="47" t="s">
        <v>4585</v>
      </c>
      <c r="AA2046" s="25" t="str">
        <f t="shared" si="894"/>
        <v>null</v>
      </c>
      <c r="AB2046" s="26" t="s">
        <v>0</v>
      </c>
      <c r="AC2046" s="25" t="str">
        <f t="shared" si="895"/>
        <v>null</v>
      </c>
      <c r="AD2046" s="26" t="s">
        <v>0</v>
      </c>
      <c r="AE2046" s="25" t="str">
        <f t="shared" si="871"/>
        <v>null</v>
      </c>
      <c r="AF2046" s="26" t="s">
        <v>0</v>
      </c>
      <c r="AG2046" s="47" t="s">
        <v>4858</v>
      </c>
    </row>
  </sheetData>
  <sortState xmlns:xlrd2="http://schemas.microsoft.com/office/spreadsheetml/2017/richdata2" ref="A2:AG2046">
    <sortCondition ref="F1:F2046"/>
  </sortState>
  <phoneticPr fontId="6" type="noConversion"/>
  <conditionalFormatting sqref="Q1803:Q1804">
    <cfRule type="duplicateValues" dxfId="35" priority="155"/>
  </conditionalFormatting>
  <conditionalFormatting sqref="R206:R207">
    <cfRule type="duplicateValues" dxfId="34" priority="196"/>
  </conditionalFormatting>
  <conditionalFormatting sqref="R237">
    <cfRule type="duplicateValues" dxfId="33" priority="170"/>
  </conditionalFormatting>
  <conditionalFormatting sqref="R275:R276">
    <cfRule type="duplicateValues" dxfId="32" priority="162"/>
    <cfRule type="duplicateValues" dxfId="31" priority="163"/>
  </conditionalFormatting>
  <conditionalFormatting sqref="R281:R282">
    <cfRule type="duplicateValues" dxfId="30" priority="185"/>
    <cfRule type="duplicateValues" dxfId="29" priority="186"/>
  </conditionalFormatting>
  <conditionalFormatting sqref="R319:R320">
    <cfRule type="duplicateValues" dxfId="28" priority="181"/>
    <cfRule type="duplicateValues" dxfId="27" priority="182"/>
  </conditionalFormatting>
  <conditionalFormatting sqref="R820:R821">
    <cfRule type="duplicateValues" dxfId="26" priority="194"/>
  </conditionalFormatting>
  <conditionalFormatting sqref="R1288">
    <cfRule type="duplicateValues" dxfId="25" priority="199"/>
  </conditionalFormatting>
  <conditionalFormatting sqref="R1739">
    <cfRule type="duplicateValues" dxfId="24" priority="172"/>
  </conditionalFormatting>
  <conditionalFormatting sqref="R1740">
    <cfRule type="duplicateValues" dxfId="23" priority="175"/>
    <cfRule type="duplicateValues" dxfId="22" priority="176"/>
  </conditionalFormatting>
  <conditionalFormatting sqref="R1741">
    <cfRule type="duplicateValues" dxfId="21" priority="177"/>
    <cfRule type="duplicateValues" dxfId="20" priority="178"/>
  </conditionalFormatting>
  <conditionalFormatting sqref="R1756">
    <cfRule type="duplicateValues" dxfId="19" priority="386"/>
  </conditionalFormatting>
  <conditionalFormatting sqref="W1119:W1178 AH1119:XFD1178 Z1119:Z1181">
    <cfRule type="cellIs" dxfId="18" priority="51" operator="equal">
      <formula>"null"</formula>
    </cfRule>
  </conditionalFormatting>
  <conditionalFormatting sqref="Z826">
    <cfRule type="duplicateValues" dxfId="17" priority="140"/>
    <cfRule type="duplicateValues" dxfId="16" priority="141"/>
    <cfRule type="duplicateValues" dxfId="15" priority="142"/>
  </conditionalFormatting>
  <conditionalFormatting sqref="Z827:Z833">
    <cfRule type="duplicateValues" dxfId="14" priority="205"/>
    <cfRule type="duplicateValues" dxfId="13" priority="206"/>
    <cfRule type="duplicateValues" dxfId="12" priority="207"/>
  </conditionalFormatting>
  <conditionalFormatting sqref="AA1119:AF1178">
    <cfRule type="cellIs" dxfId="11" priority="48" operator="equal">
      <formula>"null"</formula>
    </cfRule>
  </conditionalFormatting>
  <conditionalFormatting sqref="AB1179:AB1180 AD1179:AD1180">
    <cfRule type="cellIs" dxfId="10" priority="50" operator="equal">
      <formula>"null"</formula>
    </cfRule>
  </conditionalFormatting>
  <conditionalFormatting sqref="AF1179">
    <cfRule type="cellIs" dxfId="9" priority="49" operator="equal">
      <formula>"null"</formula>
    </cfRule>
  </conditionalFormatting>
  <conditionalFormatting sqref="AG826:AG833">
    <cfRule type="duplicateValues" dxfId="8" priority="202"/>
    <cfRule type="duplicateValues" dxfId="7" priority="203"/>
    <cfRule type="duplicateValues" dxfId="6" priority="204"/>
  </conditionalFormatting>
  <conditionalFormatting sqref="G711:G1048576 G139:G693 G1:G123">
    <cfRule type="duplicateValues" dxfId="5" priority="8"/>
  </conditionalFormatting>
  <conditionalFormatting sqref="G124:G136">
    <cfRule type="duplicateValues" dxfId="4" priority="4"/>
    <cfRule type="duplicateValues" dxfId="3" priority="5"/>
  </conditionalFormatting>
  <conditionalFormatting sqref="G137:G138">
    <cfRule type="duplicateValues" dxfId="2" priority="2"/>
    <cfRule type="duplicateValues" dxfId="1" priority="3"/>
  </conditionalFormatting>
  <conditionalFormatting sqref="G694:G710">
    <cfRule type="duplicateValues" dxfId="0" priority="38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2026-06-21T16:14:01Z</dcterms:modified>
</cp:coreProperties>
</file>