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Construtor_Onto\ELET\"/>
    </mc:Choice>
  </mc:AlternateContent>
  <xr:revisionPtr revIDLastSave="0" documentId="13_ncr:1_{2290E83A-A830-4B64-8B94-304F0F99DD3A}" xr6:coauthVersionLast="47" xr6:coauthVersionMax="47" xr10:uidLastSave="{00000000-0000-0000-0000-000000000000}"/>
  <bookViews>
    <workbookView xWindow="-103" yWindow="-103" windowWidth="22149" windowHeight="13200" tabRatio="520" activeTab="1" xr2:uid="{00000000-000D-0000-FFFF-FFFF00000000}"/>
  </bookViews>
  <sheets>
    <sheet name="Projeto" sheetId="13" r:id="rId1"/>
    <sheet name="Classes" sheetId="17" r:id="rId2"/>
    <sheet name="Disjunt" sheetId="3" r:id="rId3"/>
    <sheet name="FatosIn" sheetId="25" r:id="rId4"/>
    <sheet name="Interop" sheetId="16" r:id="rId5"/>
  </sheets>
  <definedNames>
    <definedName name="_xlnm._FilterDatabase" localSheetId="1" hidden="1">Classes!#REF!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17" l="1"/>
  <c r="W4" i="17"/>
  <c r="W5" i="17"/>
  <c r="W6" i="17"/>
  <c r="W7" i="17"/>
  <c r="W8" i="17"/>
  <c r="W9" i="17"/>
  <c r="W10" i="17"/>
  <c r="W11" i="17"/>
  <c r="W12" i="17"/>
  <c r="W13" i="17"/>
  <c r="W14" i="17"/>
  <c r="W15" i="17"/>
  <c r="W16" i="17"/>
  <c r="W17" i="17"/>
  <c r="W18" i="17"/>
  <c r="W19" i="17"/>
  <c r="W20" i="17"/>
  <c r="W21" i="17"/>
  <c r="W22" i="17"/>
  <c r="W23" i="17"/>
  <c r="W24" i="17"/>
  <c r="W25" i="17"/>
  <c r="W26" i="17"/>
  <c r="W27" i="17"/>
  <c r="W28" i="17"/>
  <c r="W29" i="17"/>
  <c r="W30" i="17"/>
  <c r="W31" i="17"/>
  <c r="W32" i="17"/>
  <c r="W33" i="17"/>
  <c r="W34" i="17"/>
  <c r="W35" i="17"/>
  <c r="W36" i="17"/>
  <c r="W37" i="17"/>
  <c r="W38" i="17"/>
  <c r="W39" i="17"/>
  <c r="W40" i="17"/>
  <c r="W41" i="17"/>
  <c r="W42" i="17"/>
  <c r="W43" i="17"/>
  <c r="W44" i="17"/>
  <c r="W45" i="17"/>
  <c r="W46" i="17"/>
  <c r="W47" i="17"/>
  <c r="W48" i="17"/>
  <c r="W49" i="17"/>
  <c r="W50" i="17"/>
  <c r="W51" i="17"/>
  <c r="W52" i="17"/>
  <c r="W53" i="17"/>
  <c r="W54" i="17"/>
  <c r="W55" i="17"/>
  <c r="W56" i="17"/>
  <c r="W57" i="17"/>
  <c r="W58" i="17"/>
  <c r="W59" i="17"/>
  <c r="W60" i="17"/>
  <c r="W61" i="17"/>
  <c r="W62" i="17"/>
  <c r="W63" i="17"/>
  <c r="W64" i="17"/>
  <c r="W65" i="17"/>
  <c r="W66" i="17"/>
  <c r="W67" i="17"/>
  <c r="W68" i="17"/>
  <c r="W69" i="17"/>
  <c r="W70" i="17"/>
  <c r="W71" i="17"/>
  <c r="W72" i="17"/>
  <c r="W73" i="17"/>
  <c r="W74" i="17"/>
  <c r="W75" i="17"/>
  <c r="W76" i="17"/>
  <c r="W77" i="17"/>
  <c r="W78" i="17"/>
  <c r="W79" i="17"/>
  <c r="W80" i="17"/>
  <c r="W81" i="17"/>
  <c r="W82" i="17"/>
  <c r="W83" i="17"/>
  <c r="W84" i="17"/>
  <c r="W85" i="17"/>
  <c r="W86" i="17"/>
  <c r="W87" i="17"/>
  <c r="W88" i="17"/>
  <c r="W89" i="17"/>
  <c r="W90" i="17"/>
  <c r="W91" i="17"/>
  <c r="W92" i="17"/>
  <c r="W93" i="17"/>
  <c r="W94" i="17"/>
  <c r="W95" i="17"/>
  <c r="W96" i="17"/>
  <c r="W97" i="17"/>
  <c r="W98" i="17"/>
  <c r="W99" i="17"/>
  <c r="W100" i="17"/>
  <c r="W101" i="17"/>
  <c r="W102" i="17"/>
  <c r="W103" i="17"/>
  <c r="W104" i="17"/>
  <c r="W105" i="17"/>
  <c r="W106" i="17"/>
  <c r="W107" i="17"/>
  <c r="W108" i="17"/>
  <c r="W109" i="17"/>
  <c r="W110" i="17"/>
  <c r="W111" i="17"/>
  <c r="W112" i="17"/>
  <c r="W113" i="17"/>
  <c r="W114" i="17"/>
  <c r="W115" i="17"/>
  <c r="W116" i="17"/>
  <c r="W117" i="17"/>
  <c r="W118" i="17"/>
  <c r="W119" i="17"/>
  <c r="W120" i="17"/>
  <c r="W121" i="17"/>
  <c r="W122" i="17"/>
  <c r="W123" i="17"/>
  <c r="W124" i="17"/>
  <c r="W125" i="17"/>
  <c r="W126" i="17"/>
  <c r="W127" i="17"/>
  <c r="W128" i="17"/>
  <c r="W129" i="17"/>
  <c r="W130" i="17"/>
  <c r="W131" i="17"/>
  <c r="W132" i="17"/>
  <c r="W133" i="17"/>
  <c r="W134" i="17"/>
  <c r="W135" i="17"/>
  <c r="W136" i="17"/>
  <c r="W137" i="17"/>
  <c r="W138" i="17"/>
  <c r="W139" i="17"/>
  <c r="W140" i="17"/>
  <c r="W141" i="17"/>
  <c r="W142" i="17"/>
  <c r="W2" i="17"/>
  <c r="U6" i="17"/>
  <c r="T6" i="17"/>
  <c r="S6" i="17"/>
  <c r="O6" i="17"/>
  <c r="N6" i="17"/>
  <c r="M6" i="17"/>
  <c r="L6" i="17"/>
  <c r="U5" i="17"/>
  <c r="T5" i="17"/>
  <c r="S5" i="17"/>
  <c r="O5" i="17"/>
  <c r="N5" i="17"/>
  <c r="M5" i="17"/>
  <c r="L5" i="17"/>
  <c r="U4" i="17"/>
  <c r="T4" i="17"/>
  <c r="S4" i="17"/>
  <c r="O4" i="17"/>
  <c r="N4" i="17"/>
  <c r="M4" i="17"/>
  <c r="L4" i="17"/>
  <c r="U3" i="17"/>
  <c r="T3" i="17"/>
  <c r="S3" i="17"/>
  <c r="O3" i="17"/>
  <c r="N3" i="17"/>
  <c r="M3" i="17"/>
  <c r="L3" i="17"/>
  <c r="U2" i="17"/>
  <c r="T2" i="17"/>
  <c r="S2" i="17"/>
  <c r="O2" i="17"/>
  <c r="N2" i="17"/>
  <c r="M2" i="17"/>
  <c r="L2" i="17"/>
  <c r="U112" i="17"/>
  <c r="T112" i="17"/>
  <c r="S112" i="17"/>
  <c r="O112" i="17"/>
  <c r="N112" i="17"/>
  <c r="M112" i="17"/>
  <c r="L112" i="17"/>
  <c r="U13" i="17"/>
  <c r="T13" i="17"/>
  <c r="O13" i="17"/>
  <c r="N13" i="17"/>
  <c r="M13" i="17"/>
  <c r="L13" i="17"/>
  <c r="U8" i="17"/>
  <c r="U9" i="17"/>
  <c r="U10" i="17"/>
  <c r="U11" i="17"/>
  <c r="U12" i="17"/>
  <c r="U14" i="17"/>
  <c r="U15" i="17"/>
  <c r="U16" i="17"/>
  <c r="U17" i="17"/>
  <c r="U18" i="17"/>
  <c r="U19" i="17"/>
  <c r="U20" i="17"/>
  <c r="U21" i="17"/>
  <c r="U22" i="17"/>
  <c r="U23" i="17"/>
  <c r="U24" i="17"/>
  <c r="U25" i="17"/>
  <c r="U26" i="17"/>
  <c r="U27" i="17"/>
  <c r="U28" i="17"/>
  <c r="U29" i="17"/>
  <c r="U30" i="17"/>
  <c r="U31" i="17"/>
  <c r="U32" i="17"/>
  <c r="U33" i="17"/>
  <c r="U34" i="17"/>
  <c r="U35" i="17"/>
  <c r="U36" i="17"/>
  <c r="U37" i="17"/>
  <c r="U38" i="17"/>
  <c r="U39" i="17"/>
  <c r="U40" i="17"/>
  <c r="U41" i="17"/>
  <c r="U42" i="17"/>
  <c r="U43" i="17"/>
  <c r="U44" i="17"/>
  <c r="U45" i="17"/>
  <c r="U46" i="17"/>
  <c r="U47" i="17"/>
  <c r="U48" i="17"/>
  <c r="U49" i="17"/>
  <c r="U50" i="17"/>
  <c r="U51" i="17"/>
  <c r="U52" i="17"/>
  <c r="U53" i="17"/>
  <c r="U54" i="17"/>
  <c r="U55" i="17"/>
  <c r="U56" i="17"/>
  <c r="U57" i="17"/>
  <c r="U58" i="17"/>
  <c r="U59" i="17"/>
  <c r="U60" i="17"/>
  <c r="U61" i="17"/>
  <c r="U62" i="17"/>
  <c r="U63" i="17"/>
  <c r="U64" i="17"/>
  <c r="U65" i="17"/>
  <c r="U66" i="17"/>
  <c r="U67" i="17"/>
  <c r="U68" i="17"/>
  <c r="U69" i="17"/>
  <c r="U70" i="17"/>
  <c r="U71" i="17"/>
  <c r="U72" i="17"/>
  <c r="U73" i="17"/>
  <c r="U74" i="17"/>
  <c r="U75" i="17"/>
  <c r="U76" i="17"/>
  <c r="U77" i="17"/>
  <c r="U78" i="17"/>
  <c r="U79" i="17"/>
  <c r="U80" i="17"/>
  <c r="U81" i="17"/>
  <c r="U82" i="17"/>
  <c r="U83" i="17"/>
  <c r="U84" i="17"/>
  <c r="U85" i="17"/>
  <c r="U86" i="17"/>
  <c r="U87" i="17"/>
  <c r="U88" i="17"/>
  <c r="U89" i="17"/>
  <c r="U90" i="17"/>
  <c r="U91" i="17"/>
  <c r="U92" i="17"/>
  <c r="U93" i="17"/>
  <c r="U94" i="17"/>
  <c r="U95" i="17"/>
  <c r="U96" i="17"/>
  <c r="U97" i="17"/>
  <c r="U98" i="17"/>
  <c r="U99" i="17"/>
  <c r="U100" i="17"/>
  <c r="U101" i="17"/>
  <c r="U102" i="17"/>
  <c r="U103" i="17"/>
  <c r="U104" i="17"/>
  <c r="U105" i="17"/>
  <c r="U106" i="17"/>
  <c r="U107" i="17"/>
  <c r="U108" i="17"/>
  <c r="U109" i="17"/>
  <c r="U110" i="17"/>
  <c r="U111" i="17"/>
  <c r="U113" i="17"/>
  <c r="U114" i="17"/>
  <c r="U115" i="17"/>
  <c r="U116" i="17"/>
  <c r="U117" i="17"/>
  <c r="U118" i="17"/>
  <c r="U119" i="17"/>
  <c r="U120" i="17"/>
  <c r="U121" i="17"/>
  <c r="U122" i="17"/>
  <c r="U123" i="17"/>
  <c r="U124" i="17"/>
  <c r="U125" i="17"/>
  <c r="U126" i="17"/>
  <c r="U127" i="17"/>
  <c r="U128" i="17"/>
  <c r="U129" i="17"/>
  <c r="U130" i="17"/>
  <c r="U131" i="17"/>
  <c r="U132" i="17"/>
  <c r="U133" i="17"/>
  <c r="U134" i="17"/>
  <c r="U135" i="17"/>
  <c r="U136" i="17"/>
  <c r="U137" i="17"/>
  <c r="U138" i="17"/>
  <c r="U139" i="17"/>
  <c r="U140" i="17"/>
  <c r="U141" i="17"/>
  <c r="U142" i="17"/>
  <c r="U7" i="17"/>
  <c r="T12" i="17"/>
  <c r="T14" i="17"/>
  <c r="T15" i="17"/>
  <c r="T16" i="17"/>
  <c r="T17" i="17"/>
  <c r="T18" i="17"/>
  <c r="T19" i="17"/>
  <c r="T20" i="17"/>
  <c r="T21" i="17"/>
  <c r="T22" i="17"/>
  <c r="T23" i="17"/>
  <c r="T24" i="17"/>
  <c r="T25" i="17"/>
  <c r="T26" i="17"/>
  <c r="T27" i="17"/>
  <c r="T28" i="17"/>
  <c r="T29" i="17"/>
  <c r="T30" i="17"/>
  <c r="T31" i="17"/>
  <c r="T32" i="17"/>
  <c r="T33" i="17"/>
  <c r="T34" i="17"/>
  <c r="T35" i="17"/>
  <c r="T36" i="17"/>
  <c r="T37" i="17"/>
  <c r="T38" i="17"/>
  <c r="T39" i="17"/>
  <c r="T40" i="17"/>
  <c r="T41" i="17"/>
  <c r="T42" i="17"/>
  <c r="T43" i="17"/>
  <c r="T44" i="17"/>
  <c r="T45" i="17"/>
  <c r="T46" i="17"/>
  <c r="T47" i="17"/>
  <c r="T48" i="17"/>
  <c r="T49" i="17"/>
  <c r="T50" i="17"/>
  <c r="T51" i="17"/>
  <c r="T52" i="17"/>
  <c r="T53" i="17"/>
  <c r="T54" i="17"/>
  <c r="T55" i="17"/>
  <c r="T56" i="17"/>
  <c r="T57" i="17"/>
  <c r="T58" i="17"/>
  <c r="T59" i="17"/>
  <c r="T60" i="17"/>
  <c r="T61" i="17"/>
  <c r="T62" i="17"/>
  <c r="T63" i="17"/>
  <c r="T64" i="17"/>
  <c r="T65" i="17"/>
  <c r="T66" i="17"/>
  <c r="T67" i="17"/>
  <c r="T68" i="17"/>
  <c r="T69" i="17"/>
  <c r="T70" i="17"/>
  <c r="T71" i="17"/>
  <c r="T72" i="17"/>
  <c r="T73" i="17"/>
  <c r="T74" i="17"/>
  <c r="T75" i="17"/>
  <c r="T76" i="17"/>
  <c r="T77" i="17"/>
  <c r="T78" i="17"/>
  <c r="T79" i="17"/>
  <c r="T80" i="17"/>
  <c r="T81" i="17"/>
  <c r="T82" i="17"/>
  <c r="T83" i="17"/>
  <c r="T84" i="17"/>
  <c r="T85" i="17"/>
  <c r="T86" i="17"/>
  <c r="T87" i="17"/>
  <c r="T88" i="17"/>
  <c r="T89" i="17"/>
  <c r="T90" i="17"/>
  <c r="T91" i="17"/>
  <c r="T92" i="17"/>
  <c r="T93" i="17"/>
  <c r="T94" i="17"/>
  <c r="T95" i="17"/>
  <c r="T96" i="17"/>
  <c r="T97" i="17"/>
  <c r="T98" i="17"/>
  <c r="T99" i="17"/>
  <c r="T100" i="17"/>
  <c r="T101" i="17"/>
  <c r="T102" i="17"/>
  <c r="T103" i="17"/>
  <c r="T104" i="17"/>
  <c r="T105" i="17"/>
  <c r="T106" i="17"/>
  <c r="T107" i="17"/>
  <c r="T108" i="17"/>
  <c r="T109" i="17"/>
  <c r="T110" i="17"/>
  <c r="T111" i="17"/>
  <c r="T113" i="17"/>
  <c r="T114" i="17"/>
  <c r="T115" i="17"/>
  <c r="T116" i="17"/>
  <c r="T117" i="17"/>
  <c r="T118" i="17"/>
  <c r="T119" i="17"/>
  <c r="T120" i="17"/>
  <c r="T121" i="17"/>
  <c r="T122" i="17"/>
  <c r="T123" i="17"/>
  <c r="T124" i="17"/>
  <c r="T125" i="17"/>
  <c r="T126" i="17"/>
  <c r="T127" i="17"/>
  <c r="T128" i="17"/>
  <c r="T129" i="17"/>
  <c r="T130" i="17"/>
  <c r="T131" i="17"/>
  <c r="T132" i="17"/>
  <c r="T133" i="17"/>
  <c r="T134" i="17"/>
  <c r="T135" i="17"/>
  <c r="T136" i="17"/>
  <c r="T137" i="17"/>
  <c r="T138" i="17"/>
  <c r="T139" i="17"/>
  <c r="T140" i="17"/>
  <c r="T141" i="17"/>
  <c r="T142" i="17"/>
  <c r="T7" i="17"/>
  <c r="T8" i="17"/>
  <c r="T9" i="17"/>
  <c r="T10" i="17"/>
  <c r="T11" i="17"/>
  <c r="L8" i="17"/>
  <c r="L9" i="17"/>
  <c r="L10" i="17"/>
  <c r="L11" i="17"/>
  <c r="L12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30" i="17"/>
  <c r="L31" i="17"/>
  <c r="L32" i="17"/>
  <c r="L33" i="17"/>
  <c r="L34" i="17"/>
  <c r="L35" i="17"/>
  <c r="L36" i="17"/>
  <c r="L37" i="17"/>
  <c r="L38" i="17"/>
  <c r="L39" i="17"/>
  <c r="L40" i="17"/>
  <c r="L41" i="17"/>
  <c r="L42" i="17"/>
  <c r="L43" i="17"/>
  <c r="L44" i="17"/>
  <c r="L45" i="17"/>
  <c r="L46" i="17"/>
  <c r="L47" i="17"/>
  <c r="L48" i="17"/>
  <c r="L49" i="17"/>
  <c r="L50" i="17"/>
  <c r="L51" i="17"/>
  <c r="L52" i="17"/>
  <c r="L53" i="17"/>
  <c r="L54" i="17"/>
  <c r="L55" i="17"/>
  <c r="L56" i="17"/>
  <c r="L57" i="17"/>
  <c r="L58" i="17"/>
  <c r="L59" i="17"/>
  <c r="L60" i="17"/>
  <c r="L61" i="17"/>
  <c r="L62" i="17"/>
  <c r="L63" i="17"/>
  <c r="L64" i="17"/>
  <c r="L65" i="17"/>
  <c r="L66" i="17"/>
  <c r="L67" i="17"/>
  <c r="L68" i="17"/>
  <c r="L69" i="17"/>
  <c r="L70" i="17"/>
  <c r="L71" i="17"/>
  <c r="L72" i="17"/>
  <c r="L73" i="17"/>
  <c r="L74" i="17"/>
  <c r="L75" i="17"/>
  <c r="L76" i="17"/>
  <c r="L77" i="17"/>
  <c r="L78" i="17"/>
  <c r="L79" i="17"/>
  <c r="L80" i="17"/>
  <c r="L81" i="17"/>
  <c r="L82" i="17"/>
  <c r="L83" i="17"/>
  <c r="L84" i="17"/>
  <c r="L85" i="17"/>
  <c r="L86" i="17"/>
  <c r="L87" i="17"/>
  <c r="L88" i="17"/>
  <c r="L89" i="17"/>
  <c r="L90" i="17"/>
  <c r="L91" i="17"/>
  <c r="L92" i="17"/>
  <c r="L93" i="17"/>
  <c r="L94" i="17"/>
  <c r="L95" i="17"/>
  <c r="L96" i="17"/>
  <c r="L97" i="17"/>
  <c r="L98" i="17"/>
  <c r="L99" i="17"/>
  <c r="L100" i="17"/>
  <c r="L101" i="17"/>
  <c r="L102" i="17"/>
  <c r="L103" i="17"/>
  <c r="L104" i="17"/>
  <c r="L105" i="17"/>
  <c r="L106" i="17"/>
  <c r="L107" i="17"/>
  <c r="L108" i="17"/>
  <c r="L109" i="17"/>
  <c r="L110" i="17"/>
  <c r="L111" i="17"/>
  <c r="L113" i="17"/>
  <c r="L114" i="17"/>
  <c r="L115" i="17"/>
  <c r="L116" i="17"/>
  <c r="L117" i="17"/>
  <c r="L118" i="17"/>
  <c r="L119" i="17"/>
  <c r="L120" i="17"/>
  <c r="L121" i="17"/>
  <c r="L122" i="17"/>
  <c r="L123" i="17"/>
  <c r="L124" i="17"/>
  <c r="L125" i="17"/>
  <c r="L126" i="17"/>
  <c r="L127" i="17"/>
  <c r="L128" i="17"/>
  <c r="L129" i="17"/>
  <c r="L130" i="17"/>
  <c r="L131" i="17"/>
  <c r="L132" i="17"/>
  <c r="L133" i="17"/>
  <c r="L134" i="17"/>
  <c r="L135" i="17"/>
  <c r="L136" i="17"/>
  <c r="L137" i="17"/>
  <c r="L138" i="17"/>
  <c r="L139" i="17"/>
  <c r="L140" i="17"/>
  <c r="L141" i="17"/>
  <c r="L142" i="17"/>
  <c r="M8" i="17"/>
  <c r="M9" i="17"/>
  <c r="M10" i="17"/>
  <c r="M11" i="17"/>
  <c r="M12" i="17"/>
  <c r="M14" i="17"/>
  <c r="M15" i="17"/>
  <c r="M16" i="17"/>
  <c r="M17" i="17"/>
  <c r="M18" i="17"/>
  <c r="M19" i="17"/>
  <c r="M20" i="17"/>
  <c r="M21" i="17"/>
  <c r="M22" i="17"/>
  <c r="M23" i="17"/>
  <c r="M24" i="17"/>
  <c r="M25" i="17"/>
  <c r="M26" i="17"/>
  <c r="M27" i="17"/>
  <c r="M28" i="17"/>
  <c r="M29" i="17"/>
  <c r="M30" i="17"/>
  <c r="M31" i="17"/>
  <c r="M32" i="17"/>
  <c r="M33" i="17"/>
  <c r="M34" i="17"/>
  <c r="M35" i="17"/>
  <c r="M36" i="17"/>
  <c r="M37" i="17"/>
  <c r="M38" i="17"/>
  <c r="M39" i="17"/>
  <c r="M40" i="17"/>
  <c r="M41" i="17"/>
  <c r="M42" i="17"/>
  <c r="M43" i="17"/>
  <c r="M44" i="17"/>
  <c r="M45" i="17"/>
  <c r="M46" i="17"/>
  <c r="M47" i="17"/>
  <c r="M48" i="17"/>
  <c r="M49" i="17"/>
  <c r="M50" i="17"/>
  <c r="M51" i="17"/>
  <c r="M52" i="17"/>
  <c r="M53" i="17"/>
  <c r="M54" i="17"/>
  <c r="M55" i="17"/>
  <c r="M56" i="17"/>
  <c r="M57" i="17"/>
  <c r="M58" i="17"/>
  <c r="M59" i="17"/>
  <c r="M60" i="17"/>
  <c r="M61" i="17"/>
  <c r="M62" i="17"/>
  <c r="M63" i="17"/>
  <c r="M64" i="17"/>
  <c r="M65" i="17"/>
  <c r="M66" i="17"/>
  <c r="M67" i="17"/>
  <c r="M68" i="17"/>
  <c r="M69" i="17"/>
  <c r="M70" i="17"/>
  <c r="M71" i="17"/>
  <c r="M72" i="17"/>
  <c r="M73" i="17"/>
  <c r="M74" i="17"/>
  <c r="M75" i="17"/>
  <c r="M76" i="17"/>
  <c r="M77" i="17"/>
  <c r="M78" i="17"/>
  <c r="M79" i="17"/>
  <c r="M80" i="17"/>
  <c r="M81" i="17"/>
  <c r="M82" i="17"/>
  <c r="M83" i="17"/>
  <c r="M84" i="17"/>
  <c r="M85" i="17"/>
  <c r="M86" i="17"/>
  <c r="M87" i="17"/>
  <c r="M88" i="17"/>
  <c r="M89" i="17"/>
  <c r="M90" i="17"/>
  <c r="M91" i="17"/>
  <c r="M92" i="17"/>
  <c r="M93" i="17"/>
  <c r="M94" i="17"/>
  <c r="M95" i="17"/>
  <c r="M96" i="17"/>
  <c r="M97" i="17"/>
  <c r="M98" i="17"/>
  <c r="M99" i="17"/>
  <c r="M100" i="17"/>
  <c r="M101" i="17"/>
  <c r="M102" i="17"/>
  <c r="M103" i="17"/>
  <c r="M104" i="17"/>
  <c r="M105" i="17"/>
  <c r="M106" i="17"/>
  <c r="M107" i="17"/>
  <c r="M108" i="17"/>
  <c r="M109" i="17"/>
  <c r="M110" i="17"/>
  <c r="M111" i="17"/>
  <c r="M113" i="17"/>
  <c r="M114" i="17"/>
  <c r="M115" i="17"/>
  <c r="M116" i="17"/>
  <c r="M117" i="17"/>
  <c r="M118" i="17"/>
  <c r="M119" i="17"/>
  <c r="M120" i="17"/>
  <c r="M121" i="17"/>
  <c r="M122" i="17"/>
  <c r="M123" i="17"/>
  <c r="M124" i="17"/>
  <c r="M125" i="17"/>
  <c r="M126" i="17"/>
  <c r="M127" i="17"/>
  <c r="M128" i="17"/>
  <c r="M129" i="17"/>
  <c r="M130" i="17"/>
  <c r="M131" i="17"/>
  <c r="M132" i="17"/>
  <c r="M133" i="17"/>
  <c r="M134" i="17"/>
  <c r="M135" i="17"/>
  <c r="M136" i="17"/>
  <c r="M137" i="17"/>
  <c r="M138" i="17"/>
  <c r="M139" i="17"/>
  <c r="M140" i="17"/>
  <c r="M141" i="17"/>
  <c r="M142" i="17"/>
  <c r="N7" i="17"/>
  <c r="N8" i="17"/>
  <c r="N9" i="17"/>
  <c r="N10" i="17"/>
  <c r="N11" i="17"/>
  <c r="N12" i="17"/>
  <c r="N14" i="17"/>
  <c r="N15" i="17"/>
  <c r="N16" i="17"/>
  <c r="N17" i="17"/>
  <c r="N18" i="17"/>
  <c r="N19" i="17"/>
  <c r="N20" i="17"/>
  <c r="N21" i="17"/>
  <c r="N22" i="17"/>
  <c r="N23" i="17"/>
  <c r="N24" i="17"/>
  <c r="N25" i="17"/>
  <c r="N26" i="17"/>
  <c r="N27" i="17"/>
  <c r="N28" i="17"/>
  <c r="N29" i="17"/>
  <c r="N30" i="17"/>
  <c r="N31" i="17"/>
  <c r="N32" i="17"/>
  <c r="N33" i="17"/>
  <c r="N34" i="17"/>
  <c r="N35" i="17"/>
  <c r="N36" i="17"/>
  <c r="N37" i="17"/>
  <c r="N38" i="17"/>
  <c r="N39" i="17"/>
  <c r="N40" i="17"/>
  <c r="N41" i="17"/>
  <c r="N42" i="17"/>
  <c r="N43" i="17"/>
  <c r="N44" i="17"/>
  <c r="N45" i="17"/>
  <c r="N46" i="17"/>
  <c r="N47" i="17"/>
  <c r="N48" i="17"/>
  <c r="N49" i="17"/>
  <c r="N50" i="17"/>
  <c r="N51" i="17"/>
  <c r="N52" i="17"/>
  <c r="N53" i="17"/>
  <c r="N54" i="17"/>
  <c r="N55" i="17"/>
  <c r="N56" i="17"/>
  <c r="N57" i="17"/>
  <c r="N58" i="17"/>
  <c r="N59" i="17"/>
  <c r="N60" i="17"/>
  <c r="N61" i="17"/>
  <c r="N62" i="17"/>
  <c r="N63" i="17"/>
  <c r="N64" i="17"/>
  <c r="N65" i="17"/>
  <c r="N66" i="17"/>
  <c r="N67" i="17"/>
  <c r="N68" i="17"/>
  <c r="N69" i="17"/>
  <c r="N70" i="17"/>
  <c r="N71" i="17"/>
  <c r="N72" i="17"/>
  <c r="N73" i="17"/>
  <c r="N74" i="17"/>
  <c r="N75" i="17"/>
  <c r="N76" i="17"/>
  <c r="N77" i="17"/>
  <c r="N78" i="17"/>
  <c r="N79" i="17"/>
  <c r="N80" i="17"/>
  <c r="N81" i="17"/>
  <c r="N82" i="17"/>
  <c r="N83" i="17"/>
  <c r="N84" i="17"/>
  <c r="N85" i="17"/>
  <c r="N86" i="17"/>
  <c r="N87" i="17"/>
  <c r="N88" i="17"/>
  <c r="N89" i="17"/>
  <c r="N90" i="17"/>
  <c r="N91" i="17"/>
  <c r="N92" i="17"/>
  <c r="N93" i="17"/>
  <c r="N94" i="17"/>
  <c r="N95" i="17"/>
  <c r="N96" i="17"/>
  <c r="N97" i="17"/>
  <c r="N98" i="17"/>
  <c r="N99" i="17"/>
  <c r="N100" i="17"/>
  <c r="N101" i="17"/>
  <c r="N102" i="17"/>
  <c r="N103" i="17"/>
  <c r="N104" i="17"/>
  <c r="N105" i="17"/>
  <c r="N106" i="17"/>
  <c r="N107" i="17"/>
  <c r="N108" i="17"/>
  <c r="N109" i="17"/>
  <c r="N110" i="17"/>
  <c r="N111" i="17"/>
  <c r="N113" i="17"/>
  <c r="N114" i="17"/>
  <c r="N115" i="17"/>
  <c r="N116" i="17"/>
  <c r="N117" i="17"/>
  <c r="N118" i="17"/>
  <c r="N119" i="17"/>
  <c r="N120" i="17"/>
  <c r="N121" i="17"/>
  <c r="N122" i="17"/>
  <c r="N123" i="17"/>
  <c r="N124" i="17"/>
  <c r="N125" i="17"/>
  <c r="N126" i="17"/>
  <c r="N127" i="17"/>
  <c r="N128" i="17"/>
  <c r="N129" i="17"/>
  <c r="N130" i="17"/>
  <c r="N131" i="17"/>
  <c r="N132" i="17"/>
  <c r="N133" i="17"/>
  <c r="N134" i="17"/>
  <c r="N135" i="17"/>
  <c r="N136" i="17"/>
  <c r="N137" i="17"/>
  <c r="N138" i="17"/>
  <c r="N139" i="17"/>
  <c r="N140" i="17"/>
  <c r="N141" i="17"/>
  <c r="N142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81" i="17"/>
  <c r="O82" i="17"/>
  <c r="O83" i="17"/>
  <c r="O84" i="17"/>
  <c r="O85" i="17"/>
  <c r="O86" i="17"/>
  <c r="O87" i="17"/>
  <c r="O88" i="17"/>
  <c r="O89" i="17"/>
  <c r="O90" i="17"/>
  <c r="O91" i="17"/>
  <c r="O92" i="17"/>
  <c r="O93" i="17"/>
  <c r="O94" i="17"/>
  <c r="O95" i="17"/>
  <c r="O96" i="17"/>
  <c r="O97" i="17"/>
  <c r="O98" i="17"/>
  <c r="O99" i="17"/>
  <c r="O100" i="17"/>
  <c r="O101" i="17"/>
  <c r="O102" i="17"/>
  <c r="O103" i="17"/>
  <c r="O104" i="17"/>
  <c r="O105" i="17"/>
  <c r="O106" i="17"/>
  <c r="O107" i="17"/>
  <c r="O108" i="17"/>
  <c r="O109" i="17"/>
  <c r="O110" i="17"/>
  <c r="O111" i="17"/>
  <c r="O113" i="17"/>
  <c r="O114" i="17"/>
  <c r="O115" i="17"/>
  <c r="O116" i="17"/>
  <c r="O117" i="17"/>
  <c r="O118" i="17"/>
  <c r="O119" i="17"/>
  <c r="O120" i="17"/>
  <c r="O121" i="17"/>
  <c r="O122" i="17"/>
  <c r="O123" i="17"/>
  <c r="O124" i="17"/>
  <c r="O125" i="17"/>
  <c r="O126" i="17"/>
  <c r="O127" i="17"/>
  <c r="O128" i="17"/>
  <c r="O129" i="17"/>
  <c r="O130" i="17"/>
  <c r="O131" i="17"/>
  <c r="O132" i="17"/>
  <c r="O133" i="17"/>
  <c r="O134" i="17"/>
  <c r="O135" i="17"/>
  <c r="O136" i="17"/>
  <c r="O137" i="17"/>
  <c r="O138" i="17"/>
  <c r="O139" i="17"/>
  <c r="O140" i="17"/>
  <c r="O141" i="17"/>
  <c r="O142" i="17"/>
  <c r="S35" i="17"/>
  <c r="O35" i="17"/>
  <c r="S38" i="17"/>
  <c r="O38" i="17"/>
  <c r="S37" i="17"/>
  <c r="O37" i="17"/>
  <c r="S36" i="17"/>
  <c r="O36" i="17"/>
  <c r="S33" i="17"/>
  <c r="O33" i="17"/>
  <c r="S34" i="17"/>
  <c r="O34" i="17"/>
  <c r="S32" i="17"/>
  <c r="O32" i="17"/>
  <c r="S66" i="17"/>
  <c r="S65" i="17"/>
  <c r="S64" i="17"/>
  <c r="S63" i="17"/>
  <c r="S62" i="17"/>
  <c r="S61" i="17"/>
  <c r="S60" i="17"/>
  <c r="S59" i="17"/>
  <c r="S58" i="17"/>
  <c r="S57" i="17"/>
  <c r="S56" i="17"/>
  <c r="S55" i="17"/>
  <c r="S54" i="17"/>
  <c r="S53" i="17"/>
  <c r="S52" i="17"/>
  <c r="S51" i="17"/>
  <c r="S50" i="17"/>
  <c r="S49" i="17"/>
  <c r="S48" i="17"/>
  <c r="S47" i="17"/>
  <c r="S46" i="17"/>
  <c r="S45" i="17"/>
  <c r="S44" i="17"/>
  <c r="S43" i="17"/>
  <c r="S42" i="17"/>
  <c r="S41" i="17"/>
  <c r="S40" i="17"/>
  <c r="S39" i="17"/>
  <c r="AA59" i="17"/>
  <c r="AA47" i="17"/>
  <c r="AA55" i="17"/>
  <c r="AA44" i="17"/>
  <c r="AA66" i="17"/>
  <c r="AA51" i="17"/>
  <c r="AA65" i="17"/>
  <c r="AA56" i="17"/>
  <c r="AA45" i="17"/>
  <c r="AA58" i="17"/>
  <c r="AA13" i="17"/>
  <c r="AA39" i="17"/>
  <c r="AA63" i="17"/>
  <c r="AA54" i="17"/>
  <c r="AA52" i="17"/>
  <c r="AA57" i="17"/>
  <c r="AA46" i="17"/>
  <c r="AA49" i="17"/>
  <c r="AA61" i="17"/>
  <c r="AA64" i="17"/>
  <c r="AA48" i="17"/>
  <c r="AA62" i="17"/>
  <c r="AA42" i="17"/>
  <c r="AA60" i="17"/>
  <c r="AA40" i="17"/>
  <c r="AA50" i="17"/>
  <c r="AA41" i="17"/>
  <c r="AA53" i="17"/>
  <c r="AA43" i="17"/>
  <c r="AA6" i="17"/>
  <c r="AA5" i="17"/>
  <c r="AA4" i="17"/>
  <c r="AA3" i="17"/>
  <c r="AA2" i="17"/>
  <c r="S142" i="17" l="1"/>
  <c r="S98" i="17" l="1"/>
  <c r="S97" i="17"/>
  <c r="S96" i="17"/>
  <c r="S95" i="17"/>
  <c r="S94" i="17"/>
  <c r="S93" i="17"/>
  <c r="AA97" i="17"/>
  <c r="AA98" i="17"/>
  <c r="AA96" i="17"/>
  <c r="AA95" i="17"/>
  <c r="AA93" i="17"/>
  <c r="AA94" i="17"/>
  <c r="O8" i="17" l="1"/>
  <c r="O9" i="17"/>
  <c r="O10" i="17"/>
  <c r="O11" i="17"/>
  <c r="O12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S114" i="17"/>
  <c r="S108" i="17"/>
  <c r="S113" i="17"/>
  <c r="S111" i="17"/>
  <c r="S110" i="17"/>
  <c r="S115" i="17"/>
  <c r="S129" i="17"/>
  <c r="S128" i="17"/>
  <c r="S127" i="17"/>
  <c r="S31" i="17"/>
  <c r="S30" i="17"/>
  <c r="S29" i="17"/>
  <c r="S28" i="17"/>
  <c r="S27" i="17"/>
  <c r="S26" i="17"/>
  <c r="S25" i="17"/>
  <c r="S141" i="17"/>
  <c r="S140" i="17"/>
  <c r="S139" i="17"/>
  <c r="S138" i="17"/>
  <c r="S137" i="17"/>
  <c r="S136" i="17"/>
  <c r="S135" i="17"/>
  <c r="S134" i="17"/>
  <c r="S133" i="17"/>
  <c r="S132" i="17"/>
  <c r="S131" i="17"/>
  <c r="S130" i="17"/>
  <c r="S126" i="17"/>
  <c r="S125" i="17"/>
  <c r="S124" i="17"/>
  <c r="S123" i="17"/>
  <c r="S122" i="17"/>
  <c r="S121" i="17"/>
  <c r="S120" i="17"/>
  <c r="S119" i="17"/>
  <c r="S118" i="17"/>
  <c r="S117" i="17"/>
  <c r="S116" i="17"/>
  <c r="S109" i="17"/>
  <c r="AA9" i="17"/>
  <c r="AA107" i="17"/>
  <c r="AA16" i="17"/>
  <c r="AA10" i="17"/>
  <c r="AA23" i="17"/>
  <c r="AA142" i="17"/>
  <c r="AA105" i="17"/>
  <c r="AA100" i="17"/>
  <c r="AA18" i="17"/>
  <c r="AA24" i="17"/>
  <c r="AA19" i="17"/>
  <c r="AA15" i="17"/>
  <c r="AA20" i="17"/>
  <c r="AA12" i="17"/>
  <c r="AA14" i="17"/>
  <c r="AA22" i="17"/>
  <c r="AA7" i="17"/>
  <c r="AA11" i="17"/>
  <c r="AA8" i="17"/>
  <c r="AA106" i="17"/>
  <c r="AA101" i="17"/>
  <c r="AA17" i="17"/>
  <c r="AA103" i="17"/>
  <c r="AA104" i="17"/>
  <c r="AA99" i="17"/>
  <c r="AA21" i="17"/>
  <c r="AA102" i="17"/>
  <c r="O7" i="17" l="1"/>
  <c r="M7" i="17"/>
  <c r="L7" i="17"/>
  <c r="B24" i="13" l="1"/>
  <c r="B18" i="13" l="1"/>
  <c r="B6" i="13"/>
  <c r="B5" i="13"/>
</calcChain>
</file>

<file path=xl/sharedStrings.xml><?xml version="1.0" encoding="utf-8"?>
<sst xmlns="http://schemas.openxmlformats.org/spreadsheetml/2006/main" count="2891" uniqueCount="746">
  <si>
    <t>EquivalentTo: 
Raiz
Condições 
necessárias</t>
  </si>
  <si>
    <t>EquivalentTo: 
Classe2
Condições 
necessárias</t>
  </si>
  <si>
    <t>EquivalentTo: 
Classe3
Condições 
necessárias</t>
  </si>
  <si>
    <t>EquivalentTo: 
Classe4 
Condições 
necessárias</t>
  </si>
  <si>
    <t>EquivalentTo: 
Classe5
Condições 
necessárias</t>
  </si>
  <si>
    <t>Anotações 
de ajuda
Classe 2</t>
  </si>
  <si>
    <t>Anotações 
de ajuda
Classe 3</t>
  </si>
  <si>
    <t>Anotações 
de ajuda
Classe 5</t>
  </si>
  <si>
    <t>Key</t>
  </si>
  <si>
    <t>null</t>
  </si>
  <si>
    <t>N°</t>
  </si>
  <si>
    <t>1</t>
  </si>
  <si>
    <t>Disjunta 1</t>
  </si>
  <si>
    <t>Disjunta 2</t>
  </si>
  <si>
    <t>Disjunta 3</t>
  </si>
  <si>
    <t>Disjunta 4</t>
  </si>
  <si>
    <t>Disjunta 5</t>
  </si>
  <si>
    <t>Disjunta 6</t>
  </si>
  <si>
    <t>Disjunta 7</t>
  </si>
  <si>
    <t>Disjunta 8</t>
  </si>
  <si>
    <t>Disjunta 9</t>
  </si>
  <si>
    <t>Disjunta 10</t>
  </si>
  <si>
    <t>Disjunta 11</t>
  </si>
  <si>
    <t>Disjunta 12</t>
  </si>
  <si>
    <t>Disjunta 13</t>
  </si>
  <si>
    <t>Disjunta 14</t>
  </si>
  <si>
    <t>Disjunta 15</t>
  </si>
  <si>
    <t>Disjunta 16</t>
  </si>
  <si>
    <t>Disjunta 17</t>
  </si>
  <si>
    <t>Disjunta 18</t>
  </si>
  <si>
    <t>Disjunta 19</t>
  </si>
  <si>
    <t>Disjunta 20</t>
  </si>
  <si>
    <t>BIM</t>
  </si>
  <si>
    <t>Natureza</t>
  </si>
  <si>
    <t>Disciplina</t>
  </si>
  <si>
    <t>Tema</t>
  </si>
  <si>
    <t>000 Tradução Classe 5</t>
  </si>
  <si>
    <t>Especie</t>
  </si>
  <si>
    <t>00Super
Class
4</t>
  </si>
  <si>
    <t>00Super
Class
2</t>
  </si>
  <si>
    <t>00Super
Class
3</t>
  </si>
  <si>
    <t>00Raiz</t>
  </si>
  <si>
    <t>000 Traducción Classe 5</t>
  </si>
  <si>
    <t>Chave</t>
  </si>
  <si>
    <t>Valor</t>
  </si>
  <si>
    <t>OntologiaPrefixo</t>
  </si>
  <si>
    <t>bim:</t>
  </si>
  <si>
    <t>OntologiaTema</t>
  </si>
  <si>
    <t>RaizClass</t>
  </si>
  <si>
    <t>RaizProp</t>
  </si>
  <si>
    <t>RaizData</t>
  </si>
  <si>
    <t>URI</t>
  </si>
  <si>
    <t>https://github.com/JLMenegotto/RepoOnto#</t>
  </si>
  <si>
    <t>Autor</t>
  </si>
  <si>
    <t>Organização</t>
  </si>
  <si>
    <t>Escola Politécnica da UFRJ</t>
  </si>
  <si>
    <t>NormaNúmero</t>
  </si>
  <si>
    <t>-</t>
  </si>
  <si>
    <t>Edição</t>
  </si>
  <si>
    <t>ISBN</t>
  </si>
  <si>
    <t>NormaEscopo</t>
  </si>
  <si>
    <t>NormaReferência1</t>
  </si>
  <si>
    <t>NormaReferência2</t>
  </si>
  <si>
    <t>NormaReferência3</t>
  </si>
  <si>
    <t>Observações</t>
  </si>
  <si>
    <t>DataHora</t>
  </si>
  <si>
    <t>Advertência1</t>
  </si>
  <si>
    <t>Algumas traduções podem precisar de revisão - Traducción al español incorporada</t>
  </si>
  <si>
    <t>Prédio</t>
  </si>
  <si>
    <t>Cidade</t>
  </si>
  <si>
    <t>Explicação</t>
  </si>
  <si>
    <t>Explicación</t>
  </si>
  <si>
    <t>Indivíduo</t>
  </si>
  <si>
    <t>Classe</t>
  </si>
  <si>
    <t>Fato</t>
  </si>
  <si>
    <t>Fato
(14)</t>
  </si>
  <si>
    <t>descrição</t>
  </si>
  <si>
    <t>Val</t>
  </si>
  <si>
    <t>0-Classe Ifc</t>
  </si>
  <si>
    <t>0-Categoria Equivalente</t>
  </si>
  <si>
    <t>0-CategoriaEquivalente</t>
  </si>
  <si>
    <t>é.dentro.de</t>
  </si>
  <si>
    <t>Contêiner</t>
  </si>
  <si>
    <t>Informação</t>
  </si>
  <si>
    <t>Define un contenedor de información de acuerdo con la norma NBR 19650-1.</t>
  </si>
  <si>
    <t>CategoriaRvt</t>
  </si>
  <si>
    <t>ClasseIfc</t>
  </si>
  <si>
    <t>ABNT</t>
  </si>
  <si>
    <t>000 Translate Classe 5</t>
  </si>
  <si>
    <t>Prof. José Luis Menegotto DEG/POLI/UFRJ</t>
  </si>
  <si>
    <t>Explanation</t>
  </si>
  <si>
    <t>Idioma</t>
  </si>
  <si>
    <t>pt</t>
  </si>
  <si>
    <t>es</t>
  </si>
  <si>
    <t>en</t>
  </si>
  <si>
    <t>0</t>
  </si>
  <si>
    <t>Anotações 
de ajuda
Classe 1</t>
  </si>
  <si>
    <t>Interop</t>
  </si>
  <si>
    <t>CTI_Projeto_01</t>
  </si>
  <si>
    <t>"Conteiner Superior que representa Informações contidas no Projeto Específico 01"</t>
  </si>
  <si>
    <t>código.abnt</t>
  </si>
  <si>
    <t>classe.ifc</t>
  </si>
  <si>
    <t>categoria.revit</t>
  </si>
  <si>
    <t>Sistema Elétrico de Força</t>
  </si>
  <si>
    <t xml:space="preserve">Sistema Elétrico </t>
  </si>
  <si>
    <t xml:space="preserve">Sistema Eléctrico </t>
  </si>
  <si>
    <t>Sistema Eléctrico de Fuerza</t>
  </si>
  <si>
    <t>Sistema Eléctrico de Iluminación</t>
  </si>
  <si>
    <t>Sistema Elétrico de Iluminação</t>
  </si>
  <si>
    <t>[ OST_SwitchSystem ]</t>
  </si>
  <si>
    <t>[ IfcDistributionSystemLIGHTING ]</t>
  </si>
  <si>
    <t>[ IfcDistributionSystemELECTRICAL ]</t>
  </si>
  <si>
    <t>é.pertencente.a</t>
  </si>
  <si>
    <t>modelo</t>
  </si>
  <si>
    <t>[ IfcDiscreteAccessory ]</t>
  </si>
  <si>
    <t>Instalações</t>
  </si>
  <si>
    <t>Sistema Elétrico de Geração Solar</t>
  </si>
  <si>
    <t>Sistema Eléctrico de Generación Solar</t>
  </si>
  <si>
    <t>Objetos_de_Sistema_Elétrica</t>
  </si>
  <si>
    <t>Objetos de Sistemas de Elétrica</t>
  </si>
  <si>
    <t>Formalizar elementos do projeto BIM. Objetos específicos de Sistemas de Elétrica</t>
  </si>
  <si>
    <t>Formalizar elementos de proyecto BIM. Objetos específicos de Sistemas de Eléctrica</t>
  </si>
  <si>
    <t>Quadro.de.Circuitos</t>
  </si>
  <si>
    <t>Quadro.Geral.BT</t>
  </si>
  <si>
    <t>Quadro.de.Comando</t>
  </si>
  <si>
    <t>Quadro.de.Transferência</t>
  </si>
  <si>
    <t>Quadro.de.Força</t>
  </si>
  <si>
    <t>Quadro.de.Serviços</t>
  </si>
  <si>
    <t>Quadro.Photovoltáico</t>
  </si>
  <si>
    <t>Quadro.de.Iluminação</t>
  </si>
  <si>
    <t>Quadros.Elétricos</t>
  </si>
  <si>
    <t>Localizaçção dos medidores de energia elétrica</t>
  </si>
  <si>
    <t>QDC - Distribui energia para circuitos finais de iluminação, tomadas, ar-condicionado</t>
  </si>
  <si>
    <t>QGBT - Recebe a alimentação da rede e distribui para quadros menores.</t>
  </si>
  <si>
    <t>QDF - Alimenta cargas de potência de motores, compressores, bombas</t>
  </si>
  <si>
    <t>QTA - Faz a transferência automática de comutação entre a rede urbana e o gerador predial para garantir serviços críticos</t>
  </si>
  <si>
    <t>QDCC - Quadro de Comando e Controle com dispositivos de automação, relés, CLPs, contatoras e temporizadores</t>
  </si>
  <si>
    <t>QSOL - Quadro com elementos de sistemas photovoltáicos</t>
  </si>
  <si>
    <t>QSP - Quadro de serviços prediais como comandos de bombas, iluminação de áreas comuns, portões, etc.</t>
  </si>
  <si>
    <t>QL - Quadro de Iluminação geral ou de emergência</t>
  </si>
  <si>
    <t>Caixas.Elétricas</t>
  </si>
  <si>
    <t>Caixa.de.Passagem</t>
  </si>
  <si>
    <t>Caixa.de.Derivação</t>
  </si>
  <si>
    <t>Caixa.de.Interruptor</t>
  </si>
  <si>
    <t>Caixa.de.Tomada</t>
  </si>
  <si>
    <t>Caixa de Passagem</t>
  </si>
  <si>
    <t>Caixa de Derivação</t>
  </si>
  <si>
    <t>Caixa de Interruptor</t>
  </si>
  <si>
    <t>Caixa de Tomada</t>
  </si>
  <si>
    <t>Eletrotécnica</t>
  </si>
  <si>
    <t>Recarregador ou carregador de bateria é um dispositivo usado para colocar energia numa célula secundária ou recarregável.</t>
  </si>
  <si>
    <t>Dispositivo de proteção interrompe um circuito elétrico quando uma corrente elétrica declarada.</t>
  </si>
  <si>
    <t>El dispositivo de protección interrumpe un circuito eléctrico cuando se declara una corriente eléctrica.</t>
  </si>
  <si>
    <t>Dispositivo anti-arco é um equipamento que impede o arco elétrico.</t>
  </si>
  <si>
    <t>El dispositivo antiarco es un equipo que evita el arco eléctrico.</t>
  </si>
  <si>
    <t>Dispositivo de comutação mecânica capaz de fazer, transportar e interromper correntes sob circui normal.</t>
  </si>
  <si>
    <t>Dispositivo mecánico de conmutación capaz de producir, transportar e interrumpir corrientes en circulación normal.</t>
  </si>
  <si>
    <t>Dispositivo de segurança usado para abrir ou fechar um circuito quando não há corrente.</t>
  </si>
  <si>
    <t>Un dispositivo de seguridad utilizado para abrir o cerrar un circuito cuando no hay corriente.</t>
  </si>
  <si>
    <t>Dispositivo que abre, fecha ou isola um circuito e tem proteção contra curto-circuito.</t>
  </si>
  <si>
    <t>Un dispositivo que abre, cierra o aísla un circuito y tiene protección contra cortocircuitos.</t>
  </si>
  <si>
    <t>Dispositivo que abrirá eletricamente o circuito após um período de fluxo de corrente anormal e prolongado.</t>
  </si>
  <si>
    <t>Un dispositivo que abrirá eléctricamente el circuito después de un período de flujo de corriente anormal y prolongado.</t>
  </si>
  <si>
    <t>Dispositivo que abre, fecha ou isola um circuito e tem proteção contra curto-circuito e sobrecarga.</t>
  </si>
  <si>
    <t>Un dispositivo que abre, cierra o aísla un circuito y tiene protección contra cortocircuitos y sobrecargas.</t>
  </si>
  <si>
    <t>Dispositivo que abre, fecha ou isola um circuito e não tem proteção contra curto-circuito ou sobrecarga.</t>
  </si>
  <si>
    <t>Un dispositivo que abre, cierra o aísla un circuito y no tiene protección contra cortocircuitos o sobrecargas.</t>
  </si>
  <si>
    <t>Centelhador é um dispositivo usado para conectar um circuito à terra em caso de falha em circuitos energizados.</t>
  </si>
  <si>
    <t>Un espacio de chispa es un dispositivo utilizado para conectar un circuito a tierra en caso de una falla en circuitos activos.</t>
  </si>
  <si>
    <t>Unidade de disparo de dispositivo de proteção interrompe um circuito elétrico numa unidade de interrupção separada.</t>
  </si>
  <si>
    <t>La unidad de disparo del dispositivo de protección interrumpe un circuito eléctrico en una unidad de interrupción separada.</t>
  </si>
  <si>
    <t>Unidade de disparo ativada por ação eletromagnética.</t>
  </si>
  <si>
    <t>Unidad de disparo activada por acción electromagnética.</t>
  </si>
  <si>
    <t>Unidade de disparo ativada por ação eletrônica.</t>
  </si>
  <si>
    <t>Unidad de disparo activada por acción electrónica.</t>
  </si>
  <si>
    <t>Unidade de disparo ativada pela detecção de corrente residual.</t>
  </si>
  <si>
    <t>Unidad de disparo activada por detección de corriente residual.</t>
  </si>
  <si>
    <t>Unidade de disparo ativada por ação térmica.</t>
  </si>
  <si>
    <t>Unidad de disparo activado térmicamente.</t>
  </si>
  <si>
    <t>Dispositivo de proteção contra surtos de alta tensão.</t>
  </si>
  <si>
    <t>Dispositivo de protección contra sobretensiones de alto voltaje.</t>
  </si>
  <si>
    <t>Limitador de voltagem é um equipamento que impede a sobrecarga de tensão.</t>
  </si>
  <si>
    <t>El limitador de voltaje es un equipo que evita la sobrecarga de voltaje.</t>
  </si>
  <si>
    <t>Gerador elétrico é um motor que é uma máquina para converter energia mecânica em elétrica.</t>
  </si>
  <si>
    <t>Un generador eléctrico es un motor que es una máquina para convertir la energía mecánica en energía eléctrica.</t>
  </si>
  <si>
    <t>Fornecimento combinado de calor e energia, utilizado não só como fonte de energia elétrica, mas também como fonte de aquecimento.</t>
  </si>
  <si>
    <t>Suministro combinado de calor y electricidad, utilizado no solo como fuente de energía eléctrica, sino también como fuente de calefacción.</t>
  </si>
  <si>
    <t>Gerador elétrico com motor movido a combustível, por exemplo, uma fonte de alimentação de emergência a diesel.</t>
  </si>
  <si>
    <t>Generador eléctrico con un motor de combustible, por ejemplo, una fuente de alimentación de emergencia diésel.</t>
  </si>
  <si>
    <t>Gerador elétrico que não inclui sua fonte de energia cinética, ou seja, um motor.</t>
  </si>
  <si>
    <t>Un generador eléctrico que no incluye su fuente de energía cinética, es decir, un motor.</t>
  </si>
  <si>
    <t>Dispositivo elétrico de tratamento de fluxo é usado para remover matéria indesejada de sistema elétrico ou eletrônico.</t>
  </si>
  <si>
    <t>El dispositivo de tratamiento de flujo eléctrico se utiliza para eliminar la materia no deseada del sistema eléctrico o electrónico.</t>
  </si>
  <si>
    <t>Dispositivo linear de duas portas projetado para transmitir componentes espectrais da grandeza de entrada.</t>
  </si>
  <si>
    <t>Dispositivo lineal de dos puertos diseñado para transmitir componentes espectrales de la cantidad de entrada.</t>
  </si>
  <si>
    <t>Tomada é um dispositivo instalado num ponto para receber um ou mais plugues inseridos.</t>
  </si>
  <si>
    <t>El enchufe es un dispositivo instalado en un punto para recibir uno o más enchufes insertados.</t>
  </si>
  <si>
    <t>Tomada ou conector usada para um áudio ou dispositivo visual.</t>
  </si>
  <si>
    <t>Un conector o toma que se utiliza para un dispositivo de audio o visual.</t>
  </si>
  <si>
    <t>Tomada ou conector usada para equipamentos de comunicação de conexão.</t>
  </si>
  <si>
    <t>Zócalo o conector utilizado para conectar equipos de comunicación.</t>
  </si>
  <si>
    <t>Tomada ou conector para dados usada para conectar equipamentos de comunicações de dados.</t>
  </si>
  <si>
    <t>Un conector o toma de datos que se utiliza para conectar equipos de comunicaciones de datos.</t>
  </si>
  <si>
    <t>Tomada ou conector usada para dispositivos elétricos que requerem energia.</t>
  </si>
  <si>
    <t>Toma de corriente o conector utilizado para dispositivos eléctricos que requieren energía.</t>
  </si>
  <si>
    <t>Tomada usada para conectar equipamentos de comunicações telefônicas.</t>
  </si>
  <si>
    <t>Enchufe utilizado para conectar equipos de comunicaciones telefónicas.</t>
  </si>
  <si>
    <t>Porta fornece os meios para um elemento se conectar a outros elementos.</t>
  </si>
  <si>
    <t>Proporciona los medios para que un elemento se conecte con otros elementos.</t>
  </si>
  <si>
    <t>Transformador é um dispositivo estacionário indutivo que transfere energia elétrica de um circuito.</t>
  </si>
  <si>
    <t>Un transformador es un dispositivo inductivo estacionario que transfiere energía eléctrica desde un circuito.</t>
  </si>
  <si>
    <t>Converte corrente contínua (CC) que não utiliza um link intermediário de corrente alternada (CA), proporciona tensão de saída variável.</t>
  </si>
  <si>
    <t>Convierte la corriente continua (CC) que no utiliza un enlace intermedio de corriente alterna (CA), proporciona voltaje de salida variable.</t>
  </si>
  <si>
    <t>Transformador que muda diferentes quantidades entre os circuitos.</t>
  </si>
  <si>
    <t>Transformador que cambia diferentes cantidades entre circuitos.</t>
  </si>
  <si>
    <t>Transformador que muda a corrente entre circuitos.</t>
  </si>
  <si>
    <t>Transformador que cambia la corriente entre circuitos.</t>
  </si>
  <si>
    <t>Transformador que muda a frequência entre circuitos.</t>
  </si>
  <si>
    <t>Transformador que cambia de frecuencia entre circuitos.</t>
  </si>
  <si>
    <t>Transformador que converte de corrente contínua (CC) em corrente alternada (CA).</t>
  </si>
  <si>
    <t>Un transformador que convierte de corriente continua (CC) a corriente alterna (CA).</t>
  </si>
  <si>
    <t>Transformador que converte de corrente alternada (CA) em corrente contínua (CC).</t>
  </si>
  <si>
    <t>Un transformador que convierte de corriente alterna (CA) a corriente continua (CC).</t>
  </si>
  <si>
    <t>Transformador que altera a tensão entre os circuitos.</t>
  </si>
  <si>
    <t>Transformador que cambia el voltaje entre circuitos.</t>
  </si>
  <si>
    <t>Feeder elétrico.</t>
  </si>
  <si>
    <t>Feeder eléctrico.</t>
  </si>
  <si>
    <t>[ IfcElectricDistributionBoard ]</t>
  </si>
  <si>
    <t>QDC - Distribuye la energía a los circuitos finales de iluminación, enchufes y aire acondicionado</t>
  </si>
  <si>
    <t>QTA - Cambia automáticamente entre la red urbana y el generador del edificio para garantizar servicios críticos</t>
  </si>
  <si>
    <t>QDF - Alimenta cargas de potencia de motores, compresores, bombas</t>
  </si>
  <si>
    <t>Caja de interruptores</t>
  </si>
  <si>
    <t>Caja de pasaje</t>
  </si>
  <si>
    <t>Caja de derivación</t>
  </si>
  <si>
    <t>Caja de Tomacorriente</t>
  </si>
  <si>
    <t>Local de los medidores de energía eléctrica</t>
  </si>
  <si>
    <t>QGBT - Recibe energía de la red y la distribuye a cuadros menores</t>
  </si>
  <si>
    <t>QSP - Cuadro de servicios del edificio como controles de bombas, iluminación de áreas comunes, puertas, etc.</t>
  </si>
  <si>
    <t>QSOL - Cuadro de sistemas fotovoltaicos</t>
  </si>
  <si>
    <t>QL - Cuadro de iluminación general o de emergencia</t>
  </si>
  <si>
    <t>QDCC - Cuadro de mando y control con dispositivos de automatización, relés, PLCs, contactores y temporizadores</t>
  </si>
  <si>
    <t>[ OST_ElectricalFixtures ]</t>
  </si>
  <si>
    <t>[ IfcOutlet ]</t>
  </si>
  <si>
    <t>Acessórios.Elétricos</t>
  </si>
  <si>
    <t>Acessório.Elétrico</t>
  </si>
  <si>
    <t>Acessório de Elétrica</t>
  </si>
  <si>
    <t>Accesorio de eléctrica</t>
  </si>
  <si>
    <t>Aparelhos.Elétricos</t>
  </si>
  <si>
    <t>Aparelho.Elétrico</t>
  </si>
  <si>
    <t>[ IfcElectricAppliance ]</t>
  </si>
  <si>
    <t>Electrical Appliances</t>
  </si>
  <si>
    <t>[ IfcElectricApplianceDISHWASHER ]</t>
  </si>
  <si>
    <t>[ IfcElectricApplianceELECTRICCOOKER ]</t>
  </si>
  <si>
    <t>[ IfcElectricApplianceFREESTANDINGELECTRICHEATER ]</t>
  </si>
  <si>
    <t>[ IfcElectricApplianceFREESTANDINGFAN ]</t>
  </si>
  <si>
    <t>[ IfcElectricApplianceFREESTANDINGWATERCOOLER ]</t>
  </si>
  <si>
    <t>[ IfcElectricApplianceFREESTANDINGWATERHEATER ]</t>
  </si>
  <si>
    <t>[ IfcElectricApplianceFREEZER ]</t>
  </si>
  <si>
    <t>[ IfcElectricApplianceFRIDGE_FREEZER ]</t>
  </si>
  <si>
    <t>[ IfcElectricApplianceHANDDRYER ]</t>
  </si>
  <si>
    <t>[ IfcElectricApplianceKITCHENMACHINE ]</t>
  </si>
  <si>
    <t>[ IfcElectricApplianceMICROWAVE ]</t>
  </si>
  <si>
    <t>[ IfcElectricAppliancePHOTOCOPIER ]</t>
  </si>
  <si>
    <t>[ IfcElectricApplianceREFRIGERATOR ]</t>
  </si>
  <si>
    <t>[ IfcElectricApplianceTUMBLEDRYER ]</t>
  </si>
  <si>
    <t>[ IfcElectricApplianceVENDINGMACHINE ]</t>
  </si>
  <si>
    <t>[ IfcElectricApplianceWASHINGMACHINE ]</t>
  </si>
  <si>
    <t>Fogão elétrico</t>
  </si>
  <si>
    <t>Aquecedor elétrico independente</t>
  </si>
  <si>
    <t>Ventilador independente</t>
  </si>
  <si>
    <t>Bebedouro independente</t>
  </si>
  <si>
    <t>Aquecedor de água independente</t>
  </si>
  <si>
    <t>Geladeira com freezer</t>
  </si>
  <si>
    <t>Secador de mãos</t>
  </si>
  <si>
    <t>Processador de alimentos / máquina de cozinha</t>
  </si>
  <si>
    <t>Micro‑ondas</t>
  </si>
  <si>
    <t>Fotocopiadora</t>
  </si>
  <si>
    <t>Geladeira</t>
  </si>
  <si>
    <t>Máquina de venda automática</t>
  </si>
  <si>
    <t>Fogão.Elétrico</t>
  </si>
  <si>
    <t>Aquecedor.Elétrico</t>
  </si>
  <si>
    <t>Ventilador.Elétrico</t>
  </si>
  <si>
    <t>Bebedouro</t>
  </si>
  <si>
    <t>Aquecedor.de.Água</t>
  </si>
  <si>
    <t>Secador.de.Mãos</t>
  </si>
  <si>
    <t>Processador.Alimento</t>
  </si>
  <si>
    <t>Máquina.Expendedora</t>
  </si>
  <si>
    <t>Máquina.Lava.Louça</t>
  </si>
  <si>
    <t>Máquina.Lava.Roupa</t>
  </si>
  <si>
    <t>Máquina.Seca.Roupa</t>
  </si>
  <si>
    <t>Micro.Ondas</t>
  </si>
  <si>
    <t>Máquina de Lavar Louças</t>
  </si>
  <si>
    <t>Máquina de Lavar Roupas</t>
  </si>
  <si>
    <t>Máquina de Secar Roupas</t>
  </si>
  <si>
    <t>Aparelho alimentado com energia elétrica</t>
  </si>
  <si>
    <t>Electrodoméstico alimentado por electricidad</t>
  </si>
  <si>
    <t>Microondas</t>
  </si>
  <si>
    <t>Cocina eléctrica</t>
  </si>
  <si>
    <t>Procesador de alimentos / Máquina de cocina</t>
  </si>
  <si>
    <t>Calentador de agua independiente</t>
  </si>
  <si>
    <t>Calefactor eléctrico independiente</t>
  </si>
  <si>
    <t>Aficionado independiente</t>
  </si>
  <si>
    <t>Fuente de agua potable independiente</t>
  </si>
  <si>
    <t>Secador de manos</t>
  </si>
  <si>
    <t>Máquina expendedora</t>
  </si>
  <si>
    <t>Freezer especial para pesquisas biológicas usado em salas frias</t>
  </si>
  <si>
    <t>Freezer doméstico</t>
  </si>
  <si>
    <t>[ IfcElectricFlowStorageDeviceBATTERY ]</t>
  </si>
  <si>
    <t>[ IfcElectricFlowStorageDeviceCAPACITOR ]</t>
  </si>
  <si>
    <t>[ IfcElectricFlowStorageDeviceCAPACITORBANK ]</t>
  </si>
  <si>
    <t>[ IfcElectricFlowStorageDeviceCOMPENSATOR ]</t>
  </si>
  <si>
    <t>[ IfcElectricFlowStorageDeviceHARMONICFILTER ]</t>
  </si>
  <si>
    <t>[ IfcElectricFlowStorageDeviceINDUCTOR ]</t>
  </si>
  <si>
    <t>[ IfcElectricFlowStorageDeviceINDUCTORBANK ]</t>
  </si>
  <si>
    <t>[ IfcElectricFlowStorageDeviceRECHARGER ]</t>
  </si>
  <si>
    <t>[ IfcElectricFlowStorageDeviceUPS ]</t>
  </si>
  <si>
    <t>Baterias.Elétricas</t>
  </si>
  <si>
    <t>Bateria</t>
  </si>
  <si>
    <t>Capacitor</t>
  </si>
  <si>
    <t>Banco.de.Capacitores</t>
  </si>
  <si>
    <t>Compensador</t>
  </si>
  <si>
    <t>Filtro.Harmônico</t>
  </si>
  <si>
    <t>Indutor</t>
  </si>
  <si>
    <t>Banco.de.Indutores</t>
  </si>
  <si>
    <t>Recarga</t>
  </si>
  <si>
    <t>UPS</t>
  </si>
  <si>
    <t>Armazena energia na forma química para que possa ser liberada como energia elétrica.</t>
  </si>
  <si>
    <t>Armazena carga elétrica quando uma fonte de alimentação externa está presente.</t>
  </si>
  <si>
    <t>Armazena energia elétrica quando uma fonte de alimentação externa.</t>
  </si>
  <si>
    <t>Fixar ou ajustar o parâmetro de energia elétrica, como perda de tensão ou potência.</t>
  </si>
  <si>
    <t>Injeta constantemente correntes que correspondem precisamente aos componentes harmônicos desenhados.</t>
  </si>
  <si>
    <t>Usado em circuitos ou sistemas de potência devido à sua indutância, atuando como um componente de elétrica.</t>
  </si>
  <si>
    <t>Armazena energia elétrica num campo magnético usando a propriedade elétrica de indutância.</t>
  </si>
  <si>
    <t>Fornece uma fonte alternativa de fonte de alimentação por tempo limitado em caso de falha.</t>
  </si>
  <si>
    <t>Almacena energía en forma química para que pueda liberarse como energía eléctrica.</t>
  </si>
  <si>
    <t>Almacena carga eléctrica cuando hay una fuente de alimentación externa.</t>
  </si>
  <si>
    <t>Almacena energía eléctrica cuando es una fuente externa de alimentación.</t>
  </si>
  <si>
    <t>Corrija o ajusta el parámetro de potencia eléctrica, como el voltaje o la pérdida de energía.</t>
  </si>
  <si>
    <t>Inyecta constantemente corrientes que corresponden exactamente a los componentes armónicos diseñados.</t>
  </si>
  <si>
    <t>Utilizado en circuitos o sistemas eléctricos debido a su inductancia, actuando como componente eléctrico.</t>
  </si>
  <si>
    <t>Almacena energía eléctrica en un campo magnético utilizando la propiedad eléctrica de inductancia.</t>
  </si>
  <si>
    <t>Un cargador de baterías es un dispositivo utilizado para suministrar energía a una celda secundaria o recargable.</t>
  </si>
  <si>
    <t>Proporciona una fuente de alimentación alternativa por un tiempo limitado en caso de fallo.</t>
  </si>
  <si>
    <t>[ OST_ElectricalConnector , OST_ElectricalFixtures ]</t>
  </si>
  <si>
    <t>[ OST_ElectricalConnector , OST_ElectricalEquipment ]</t>
  </si>
  <si>
    <t>Tomadas</t>
  </si>
  <si>
    <t>Filtro.Eletrônico</t>
  </si>
  <si>
    <t>Filtro.Elétrico</t>
  </si>
  <si>
    <t>Tomada.AudioVisual</t>
  </si>
  <si>
    <t>Tomada.de.Telefone</t>
  </si>
  <si>
    <t>Tomada.de.Potência</t>
  </si>
  <si>
    <t>Tomada.de.Dados</t>
  </si>
  <si>
    <t>Tomada.de.Telecomunicação</t>
  </si>
  <si>
    <t>Transformador.Elétrico</t>
  </si>
  <si>
    <t>Transformador.de.Corrente</t>
  </si>
  <si>
    <t>Transformador.de.Inversão</t>
  </si>
  <si>
    <t>Transformador.de.Retificação</t>
  </si>
  <si>
    <t>Transformador.de.Voltagem</t>
  </si>
  <si>
    <t>Transformador.Analítico</t>
  </si>
  <si>
    <t xml:space="preserve">[ IfcTransformerVOLTAGE ] </t>
  </si>
  <si>
    <t xml:space="preserve">[ IfcTransformerRECTIFIER ] </t>
  </si>
  <si>
    <t xml:space="preserve">[ IfcTransformerINVERTER ] </t>
  </si>
  <si>
    <t xml:space="preserve">[ IfcTransformerFREQUENCY ] </t>
  </si>
  <si>
    <t xml:space="preserve">[ IfcTransformerCURRENT ] </t>
  </si>
  <si>
    <t xml:space="preserve">[ IfcTransformerCOMBINED ] </t>
  </si>
  <si>
    <t xml:space="preserve">[ IfcTransformerCHOPPER ] </t>
  </si>
  <si>
    <t xml:space="preserve">[ IfcTransformer ] </t>
  </si>
  <si>
    <t xml:space="preserve">[ IfcPort ] </t>
  </si>
  <si>
    <t xml:space="preserve">[ IfcOutletTELEPHONEOUTLET ] </t>
  </si>
  <si>
    <t xml:space="preserve">[ IfcOutletPOWEROUTLET ] </t>
  </si>
  <si>
    <t xml:space="preserve">[ IfcOutletDATAOUTLET ] </t>
  </si>
  <si>
    <t xml:space="preserve">[ IfcOutletCOMMUNICATIONSOUTLET ] </t>
  </si>
  <si>
    <t xml:space="preserve">[ IfcOutletAUDIOVISUALOUTLET ] </t>
  </si>
  <si>
    <t xml:space="preserve">[ IfcOutlet ] </t>
  </si>
  <si>
    <t xml:space="preserve">[ IfcElectricFlowTreatmentDeviceELECTRONICFILTER ] </t>
  </si>
  <si>
    <t xml:space="preserve">[ IfcElectricFlowTreatmentDevice ] </t>
  </si>
  <si>
    <t xml:space="preserve">[ IfcElectricGeneratorSTANDALONE ] </t>
  </si>
  <si>
    <t xml:space="preserve">[ IfcElectricGeneratorENGINEGENERATOR ] </t>
  </si>
  <si>
    <t xml:space="preserve">[ IfcElectricGeneratorCHP ] </t>
  </si>
  <si>
    <t xml:space="preserve">[ IfcElectricGenerator ] </t>
  </si>
  <si>
    <t xml:space="preserve">[ IfcProtectiveDeviceVOLTAGELIMITER ] </t>
  </si>
  <si>
    <t xml:space="preserve">[ IfcProtectiveDeviceVARISTOR ] </t>
  </si>
  <si>
    <t xml:space="preserve">[ IfcProtectiveDeviceTrippingUnitTHERMAL ] </t>
  </si>
  <si>
    <t xml:space="preserve">[ IfcProtectiveDeviceTrippingUnitRESIDUALCURRENT ] </t>
  </si>
  <si>
    <t xml:space="preserve">[ IfcProtectiveDeviceTrippingUnitELECTRONIC ] </t>
  </si>
  <si>
    <t xml:space="preserve">[ IfcProtectiveDeviceTrippingUnitELECTROMAGNETIC ] </t>
  </si>
  <si>
    <t xml:space="preserve">[ IfcProtectiveDevice ] </t>
  </si>
  <si>
    <t xml:space="preserve">[ IfcProtectiveDeviceCIRCUITBREAKER ] </t>
  </si>
  <si>
    <t xml:space="preserve">[ IfcProtectiveDeviceANTI_ARCING_DEVICE ] </t>
  </si>
  <si>
    <t xml:space="preserve">[ IfcProtectiveDeviceEARTHINGSWITCH ] </t>
  </si>
  <si>
    <t xml:space="preserve">[ IfcProtectiveDeviceEARTHLEAKAGECIRCUITBREAKER ] </t>
  </si>
  <si>
    <t xml:space="preserve">[ IfcProtectiveDeviceFUSEDISCONNECTOR ] </t>
  </si>
  <si>
    <t xml:space="preserve">[ IfcProtectiveDeviceRESIDUALCURRENTCIRCUITBREAKER ] </t>
  </si>
  <si>
    <t xml:space="preserve">[ IfcProtectiveDeviceRESIDUALCURRENTSWITCH ] </t>
  </si>
  <si>
    <t xml:space="preserve">[ IfcProtectiveDeviceSPARKGAP ] </t>
  </si>
  <si>
    <t xml:space="preserve">[ IfcProtectiveDeviceTrippingUnit ] </t>
  </si>
  <si>
    <t>[ OST_ElectricalConnector , OST_ElectricalAnalyticalFeeder ]</t>
  </si>
  <si>
    <t>[ IfcTransformer ]</t>
  </si>
  <si>
    <t>Anti-arc device is a piece of equipment that prevents electric arcing.</t>
  </si>
  <si>
    <t>A mechanical switching device capable of making, transporting and interrupting currents under normal circulation.</t>
  </si>
  <si>
    <t>A safety device used to open or close a circuit when there is no current.</t>
  </si>
  <si>
    <t>A device that opens, closes, or isolates a circuit and has short-circuit protection.</t>
  </si>
  <si>
    <t>A device that will electrically open the circuit after a period of abnormal and prolonged current flow.</t>
  </si>
  <si>
    <t>A device that opens, closes, or isolates a circuit and has short-circuit and overload protection.</t>
  </si>
  <si>
    <t>A device that opens, closes, or isolates a circuit and has no protection against short circuit or overload.</t>
  </si>
  <si>
    <t>A spark gap is a device used to connect a circuit to earth in the event of a fault in live circuits.</t>
  </si>
  <si>
    <t>Protective device tripping unit interrupts an electrical circuit in a separate interrupting unit.</t>
  </si>
  <si>
    <t>Trigger unit activated by electromagnetic action.</t>
  </si>
  <si>
    <t>Trigger unit activated by electronic action.</t>
  </si>
  <si>
    <t>Trigger unit activated by residual current detection.</t>
  </si>
  <si>
    <t>Thermal-activated trigger unit.</t>
  </si>
  <si>
    <t>High voltage surge protection device.</t>
  </si>
  <si>
    <t>Voltage limiter is a piece of equipment that prevents voltage overload.</t>
  </si>
  <si>
    <t>An electric generator is an engine that is a machine for converting mechanical energy into electrical energy.</t>
  </si>
  <si>
    <t>Combined supply of heat and power, used not only as a source of electrical energy, but also as a source of heating.</t>
  </si>
  <si>
    <t>Electric generator with a fuel-powered engine, e.g. a diesel emergency power supply.</t>
  </si>
  <si>
    <t>An electric generator that does not include its kinetic energy source, i.e., an engine.</t>
  </si>
  <si>
    <t>Electrical flow treatment device is used to remove unwanted matter from electrical or electronic system.</t>
  </si>
  <si>
    <t>Two-port linear device designed to transmit spectral components of the input quantity.</t>
  </si>
  <si>
    <t>Socket is a device installed at a point to receive one or more inserted plugs.</t>
  </si>
  <si>
    <t>A jack or connector used for an audio or visual device.</t>
  </si>
  <si>
    <t>Socket or connector used for connecting communication equipment.</t>
  </si>
  <si>
    <t>A data jack or connector used to connect data communications equipment.</t>
  </si>
  <si>
    <t>Outlet or connector used for electrical devices that require power.</t>
  </si>
  <si>
    <t>Socket used to connect telephone communications equipment.</t>
  </si>
  <si>
    <t>Port provides the means for an element to connect to other elements.</t>
  </si>
  <si>
    <t>A transformer is a stationary inductive device that transfers electrical energy from a circuit.</t>
  </si>
  <si>
    <t>Converts direct current (DC) that does not use an alternating current (AC) intermediate link, provides variable output voltage.</t>
  </si>
  <si>
    <t>Transformer that changes different amounts between circuits.</t>
  </si>
  <si>
    <t>Transformer that changes current between circuits.</t>
  </si>
  <si>
    <t>Transformer that changes frequency between circuits.</t>
  </si>
  <si>
    <t>A transformer that converts from direct current (DC) to alternating current (AC).</t>
  </si>
  <si>
    <t>A transformer that converts from alternating current (AC) to direct current (DC).</t>
  </si>
  <si>
    <t>Transformer that changes the voltage between circuits.</t>
  </si>
  <si>
    <t>Electric feeder.</t>
  </si>
  <si>
    <t xml:space="preserve">An electrical protection device </t>
  </si>
  <si>
    <t>Freezer.Laboratorial</t>
  </si>
  <si>
    <t>Freezer</t>
  </si>
  <si>
    <t>Transformador.de.Chave</t>
  </si>
  <si>
    <t>Transformador.de.Combinação</t>
  </si>
  <si>
    <t>Transformador.de.Frequência</t>
  </si>
  <si>
    <t>Gerador.Elétrico</t>
  </si>
  <si>
    <t>Gerador.Elétrico.de.Cogeração</t>
  </si>
  <si>
    <t>Gerador.Elétrico.de.Combustível</t>
  </si>
  <si>
    <t>Gerador.Elétrico.Independente</t>
  </si>
  <si>
    <t>[ IfcSolarDevice ]</t>
  </si>
  <si>
    <t>[ IfcSolarDeviceSOLARPANEL ]</t>
  </si>
  <si>
    <t>[ IfcSolarDeviceSOLARCOLLECTOR ]</t>
  </si>
  <si>
    <t>A solar device that converts solar radiation into thermal energy (water heating, etc.).</t>
  </si>
  <si>
    <t>A solar device that converts solar radiation into electric current.</t>
  </si>
  <si>
    <t>A solar device converts solar radiation into other energy, such as electric current or thermal energy.</t>
  </si>
  <si>
    <t>Coletor.Solar</t>
  </si>
  <si>
    <t>Painel.Solar</t>
  </si>
  <si>
    <t>Dispositivo.Solar</t>
  </si>
  <si>
    <t>Disjuntor</t>
  </si>
  <si>
    <t>Centelhador</t>
  </si>
  <si>
    <t>Limitador.de.Tensão</t>
  </si>
  <si>
    <t>Disjuntor.Diferencial.Residual</t>
  </si>
  <si>
    <t>Fusível</t>
  </si>
  <si>
    <t>Interruptor.Diferencial.Residual</t>
  </si>
  <si>
    <t>Disparador.de.Corrente.Residual</t>
  </si>
  <si>
    <t>Disparador.Térmico</t>
  </si>
  <si>
    <t>Varistor</t>
  </si>
  <si>
    <t>Disparador.Eletromagnético</t>
  </si>
  <si>
    <t>Disparador.Eletrônico</t>
  </si>
  <si>
    <t>Disparador.Elétrico</t>
  </si>
  <si>
    <t>Disjuntor.de.Circuito</t>
  </si>
  <si>
    <t>Disjuntor.de.Fuga.Terra</t>
  </si>
  <si>
    <t>Interruptor.de.Aterramento</t>
  </si>
  <si>
    <t>Proteção.Elétrica</t>
  </si>
  <si>
    <t>Geração.Elétrica</t>
  </si>
  <si>
    <t>Geração.Solar</t>
  </si>
  <si>
    <t>Transformação.Elétrica</t>
  </si>
  <si>
    <t>Freezer especial para investigación biológica utilizado en cámaras frías</t>
  </si>
  <si>
    <t>Heladera com freezer</t>
  </si>
  <si>
    <t>Máquina Lavavajillas</t>
  </si>
  <si>
    <t>Máquina Lavadora</t>
  </si>
  <si>
    <t>Máquina Secadora de ropa</t>
  </si>
  <si>
    <t>[ OST_ElectricalConnector , OST_SecurityDevices ]</t>
  </si>
  <si>
    <t>Electrical microwave</t>
  </si>
  <si>
    <t>Electrical cooker</t>
  </si>
  <si>
    <t>Electrical kitchen machine</t>
  </si>
  <si>
    <t>Electrical freestanding water heater</t>
  </si>
  <si>
    <t>Electrical freestanding heater</t>
  </si>
  <si>
    <t>Electrical freestanding fan</t>
  </si>
  <si>
    <t>Electrical freestanding water cooler</t>
  </si>
  <si>
    <t>Electrical refrigerator</t>
  </si>
  <si>
    <t>Electrical freezer</t>
  </si>
  <si>
    <t>Electrical fridge_freezer</t>
  </si>
  <si>
    <t>Electrical handdryer</t>
  </si>
  <si>
    <t>Electrical photocopier</t>
  </si>
  <si>
    <t>Electrical vending machine</t>
  </si>
  <si>
    <t>Electrical dish washer</t>
  </si>
  <si>
    <t>Electrical washing machine</t>
  </si>
  <si>
    <t>Electrical tumble dryer</t>
  </si>
  <si>
    <t>Pnt_111233</t>
  </si>
  <si>
    <t>Pnt_111234</t>
  </si>
  <si>
    <t>Pnt_111235</t>
  </si>
  <si>
    <t>Pnt_111236</t>
  </si>
  <si>
    <t>Pnt_111237</t>
  </si>
  <si>
    <t>Pnt_111238</t>
  </si>
  <si>
    <t>Pnt_111239</t>
  </si>
  <si>
    <t>Pnt_111240</t>
  </si>
  <si>
    <t>Tomada.Elétrica</t>
  </si>
  <si>
    <t>"Indivíduo de Elétrica usado no Circuito 01 do Projeto"</t>
  </si>
  <si>
    <t>"Indivíduo Tomada elétrica do Circuito 01."</t>
  </si>
  <si>
    <t>"Circuito elétrico 1"</t>
  </si>
  <si>
    <t>"-"</t>
  </si>
  <si>
    <t>"[ 3E ]"</t>
  </si>
  <si>
    <t>"Nome do fabricante"</t>
  </si>
  <si>
    <t>"Modelo de tomada"</t>
  </si>
  <si>
    <t>Elementos.Elétricos</t>
  </si>
  <si>
    <t>Sistemas.Elétricos</t>
  </si>
  <si>
    <t>Bomba.Circuladora</t>
  </si>
  <si>
    <t>Bomba.de.Sucção</t>
  </si>
  <si>
    <t>Bomba.Carcaça.Bipartida</t>
  </si>
  <si>
    <t>Bomba.Submersível</t>
  </si>
  <si>
    <t>Bomba.de.Drenagem</t>
  </si>
  <si>
    <t>Bomba.Elétrica</t>
  </si>
  <si>
    <t>Bomba.de.Turbina.Vertical</t>
  </si>
  <si>
    <t>Bomba.Vertical.Alinhada</t>
  </si>
  <si>
    <t>Bomba Elétrica</t>
  </si>
  <si>
    <t>Bomba Circuladora</t>
  </si>
  <si>
    <t>Bomba de Sucção</t>
  </si>
  <si>
    <t>Bomba Submersível</t>
  </si>
  <si>
    <t>Bomba de Drenagem</t>
  </si>
  <si>
    <t>Bomba Vertical Alinhada</t>
  </si>
  <si>
    <t>Bomba de Turbina Vertical</t>
  </si>
  <si>
    <t>Bomba de Carcaça Bipartida</t>
  </si>
  <si>
    <t>Bomba Eléctrica</t>
  </si>
  <si>
    <t>Bomba de Succión</t>
  </si>
  <si>
    <t>Bomba de Casco Bipartida</t>
  </si>
  <si>
    <t>Bomba Sumergible</t>
  </si>
  <si>
    <t>Bomba de Drenaje</t>
  </si>
  <si>
    <t>Bomba Vertical Aliñada</t>
  </si>
  <si>
    <t>[ IfcPumpCIRCULATOR ]</t>
  </si>
  <si>
    <t>[ IfcPumpENDSUCTION ]</t>
  </si>
  <si>
    <t>[ IfcPump ]</t>
  </si>
  <si>
    <t>[ IfcPumpSPLITCASE ]</t>
  </si>
  <si>
    <t>[ IfcPumpSUMPPUMP ]</t>
  </si>
  <si>
    <t>[ IfcPumpSUBMERSIBLEPUMP ]</t>
  </si>
  <si>
    <t>[ IfcPumpVERTICALINLINE ]</t>
  </si>
  <si>
    <t>[ IfcPumpVERTICALTURBINE ]</t>
  </si>
  <si>
    <t>Electrical Pump</t>
  </si>
  <si>
    <t>Electrical Pump of Circulator</t>
  </si>
  <si>
    <t>Electrical Pump of endsuction</t>
  </si>
  <si>
    <t>Electrical Pump of splitcase</t>
  </si>
  <si>
    <t>Electrical Pump submersible</t>
  </si>
  <si>
    <t>Electrical Pump of sump</t>
  </si>
  <si>
    <t>Electrical Pump of vertical in line</t>
  </si>
  <si>
    <t>Electrical Pump vertical turbine</t>
  </si>
  <si>
    <t>Força.Motriz.Elétrica</t>
  </si>
  <si>
    <t>Motor elétrico é um motor que é uma máquina para converter energia elétrica em energia mecânica.</t>
  </si>
  <si>
    <t>El motor eléctrico es un motor que es una máquina para convertir la energía eléctrica en energía mecánica.</t>
  </si>
  <si>
    <t>Motor que usa energia de corrente contínua (CC) gerada ou retificada.</t>
  </si>
  <si>
    <t>Motor que utiliza energía de corriente continua (CC) generada o rectificada.</t>
  </si>
  <si>
    <t>Motor de corrente alternada no qual o enrolamento primário num membro (geralmente o estator).</t>
  </si>
  <si>
    <t>Motor de corriente alterna en el que el devanado primario en un miembro (generalmente el estator).</t>
  </si>
  <si>
    <t>Motor de indução bifásico ou trifásico no qual os enrolamentos, um para cada fase, são divididos uniformemente.</t>
  </si>
  <si>
    <t>Motor de inducción bifásico o trifásico en el que los devanados, uno para cada fase, se dividen uniformemente.</t>
  </si>
  <si>
    <t>Motor síncrono com um design especial de rotor que alinha diretamente o rotor com o rotor rotativo.</t>
  </si>
  <si>
    <t>Motor síncrono con un diseño de rotor especial que alinea directamente el rotor con el rotor giratorio.</t>
  </si>
  <si>
    <t>Motor que opera a uma velocidade constante até a carga total.</t>
  </si>
  <si>
    <t>Motor que funciona a una velocidad constante hasta plena carga.</t>
  </si>
  <si>
    <t>[ IfcElectricMotor ]</t>
  </si>
  <si>
    <t>[ IfcElectricMotorDC ]</t>
  </si>
  <si>
    <t>[ IfcElectricMotorPOLYPHASE ]</t>
  </si>
  <si>
    <t>[ IfcElectricMotorSYNCHRONOUS ]</t>
  </si>
  <si>
    <t>[ IfcElectricMotorRELUCTANCESYNCHRONOUS ]</t>
  </si>
  <si>
    <t>[ IfcElectricMotorINDUCTION ]</t>
  </si>
  <si>
    <t>Motor.Eléctrico</t>
  </si>
  <si>
    <t>Motor.Eléctrico.DC</t>
  </si>
  <si>
    <t>Motor.Eléctrico.Síncrono</t>
  </si>
  <si>
    <t>Motor.Eléctrico.Trifásico</t>
  </si>
  <si>
    <t>Motor.Eléctrico.Assíncrono</t>
  </si>
  <si>
    <t>Motor.Eléctrico.Síncrono.de.Relutância</t>
  </si>
  <si>
    <t xml:space="preserve">Conexão de suporte de cabo é conexão que é colocado na junção ou transição no sistema de suporte de cabo. </t>
  </si>
  <si>
    <t>La conexión de soporte de cable es la conexión que se coloca en la unión o transición en el sistema de soporte de cable.</t>
  </si>
  <si>
    <t>Acessório que altera a rota do transportador de cabos.</t>
  </si>
  <si>
    <t>Accesorio que cambia la ruta del portador de cable.</t>
  </si>
  <si>
    <t>Conector, normalmente usado para unir duas portas dentro de sistema de distribuição de fluxo.</t>
  </si>
  <si>
    <t>Conector, generalmente utilizado para unir dos puertos dentro del sistema de distribución de flujo.</t>
  </si>
  <si>
    <t>Conexão no qual dois ramais são retirados da rota principal do transportador de cabos simultaneamente.</t>
  </si>
  <si>
    <t>Conexión en la que se retiran simultáneamente dos ramales de la ruta principal del transportador de cable.</t>
  </si>
  <si>
    <t>Conexão com normalmente mais de duas portas usado para redistribuir o fluxo entre as portas.</t>
  </si>
  <si>
    <t>Conexión a normalmente más de dos puertos utilizados para redistribuir el flujo entre puertos.</t>
  </si>
  <si>
    <t xml:space="preserve">Conexão que altera o tamanho físico da rota principal do transportador de cabo. </t>
  </si>
  <si>
    <t>Conexión que cambia el tamaño físico de la ruta principal del portador de cable.</t>
  </si>
  <si>
    <t xml:space="preserve">Conexão no qual um ramal é retirado da rota principal do transportador de cabo. </t>
  </si>
  <si>
    <t>Conexión en la que se retira un ramal de la ruta principal del portador de cable.</t>
  </si>
  <si>
    <t>Conexão com normalmente duas portas com formas ou tamanhos diferentes.</t>
  </si>
  <si>
    <t>Conexión normalmente con dos puertos con diferentes formas o tamaños.</t>
  </si>
  <si>
    <t>Segmentos de portador de cabo é um segmentos de fluxo usado especificamente para transportar e suportar cabeamento.</t>
  </si>
  <si>
    <t>Los segmentos de portadores de cable son un segmento de flujo que se utiliza específicamente para transportar y soportar el cableado.</t>
  </si>
  <si>
    <t>Suporte de cabo é um suporte de cabo horizontal fixado em apenas uma extremidade, espaçado em intervalos.</t>
  </si>
  <si>
    <t>El soporte de cable es un soporte de cable horizontal fijado en un solo extremo, espaciado a intervalos.</t>
  </si>
  <si>
    <t>Segmentos de portador aberto no qual os cabos são transportados numa estrutura de escada.</t>
  </si>
  <si>
    <t>Segmentos de soporte abiertos en los que los cables se transportan en una estructura de escalera.</t>
  </si>
  <si>
    <t>Segmentos de portadora (normalmente) aberto no qual os cabos são colocados.</t>
  </si>
  <si>
    <t>Segmentos portadores (generalmente) abiertos en los que se colocan los cables.</t>
  </si>
  <si>
    <t>Segmentos portador fechado com um ou mais compartimentos nos quais os cabos são colocados.</t>
  </si>
  <si>
    <t>Segmentos de portadora cerrados con uno o más compartimentos en los que se colocan los cables.</t>
  </si>
  <si>
    <t>Fio de catenária é um fio longitudinal que suporta os fios de contato ranhurados diretamente ou individualmente.</t>
  </si>
  <si>
    <t>El alambre de catenaria es un alambre longitudinal que soporta los alambres de contacto ranurados directa o individualmente.</t>
  </si>
  <si>
    <t>Segmentos tubular fechado através do qual os cabos são puxados.</t>
  </si>
  <si>
    <t>Segmentos tubulares cerrados a través de los cuales se tiran los cables.</t>
  </si>
  <si>
    <t xml:space="preserve">Conta-gotas é um transportador de cabo usado para suspender o cabo de outro cabo. </t>
  </si>
  <si>
    <t>El cuentagotas es un portador de cable que se utiliza para suspender el cable de otro cable.</t>
  </si>
  <si>
    <t>Acessório de cabo é uma peça colocada numa junção, transição ou terminação num sistema.</t>
  </si>
  <si>
    <t>Un accesorio de cable es una pieza colocada en una unión, transición o terminación en un sistema.</t>
  </si>
  <si>
    <t>Acessório que une dois segmentoss de cabo do mesmo tipo de conector (embora potencialmente diferentes.</t>
  </si>
  <si>
    <t>Accesorio que une dos segmentos de cable del mismo tipo de conector (aunque potencialmente diferentes.</t>
  </si>
  <si>
    <t>Conexão que inicia um segmentos de cabo num elemento não elétrico, como uma braçadeira de aterramento conectada.</t>
  </si>
  <si>
    <t>Una conexión que inicia un segmento de cable en un elemento no eléctrico, como una abrazadera de tierra conectada.</t>
  </si>
  <si>
    <t>Conexão que termina um segmentos de cabo num elemento não elétrico, como uma braçadeira de aterramento conectada.</t>
  </si>
  <si>
    <t>Una conexión que termina un segmento de cable en un elemento no eléctrico, como una abrazadera de tierra conectada.</t>
  </si>
  <si>
    <t>Fan out é uma conexão de cabo especial que fornece uma transição segura de unidades de cabo multifibra.</t>
  </si>
  <si>
    <t>La salida en abanico es una conexión de cable especial que proporciona una transición segura desde unidades de cable multifibra.</t>
  </si>
  <si>
    <t>Acessório que une três ou mais segmentoss de tipos de conectores arbitrários para divisão de sinal.</t>
  </si>
  <si>
    <t>Accesorio que une tres o más segmentos de tipos de conectores arbitrarios para la división de señales.</t>
  </si>
  <si>
    <t>Acessório que une dois segmentoss de cabo de diferentes tipos de conectores.</t>
  </si>
  <si>
    <t>Accesorio que une dos segmentos de cable de diferentes tipos de conectores.</t>
  </si>
  <si>
    <t>Segmentos de cabo é um segmentos de fluxo usado para transportar energia elétrica, dados ou sinais.</t>
  </si>
  <si>
    <t>Los segmentos de cable son segmentos de flujo que se utilizan para transportar energía eléctrica, datos o señales.</t>
  </si>
  <si>
    <t>Único elemento linear dentro de um cabo ou um fio exposto (como para aterramento).</t>
  </si>
  <si>
    <t>Un solo elemento lineal dentro de un cable o un cable expuesto (como para la conexión a tierra).</t>
  </si>
  <si>
    <t>Segmentos de fibra é uma fibra óptica individual usada em sistemas de telecomunicações para transmitir dados.</t>
  </si>
  <si>
    <t>Los segmentos de fibra son una fibra óptica individual utilizada en los sistemas de telecomunicaciones para transmitir datos.</t>
  </si>
  <si>
    <t>Segmentos de cabo óptico é um segmentos de cabo que contém um número variável de segmentos de fibra.</t>
  </si>
  <si>
    <t>Los segmentos de cable óptico son un segmento de cable que contiene un número variable de segmentos de fibra.</t>
  </si>
  <si>
    <t>Par de condutores contidos num cabo de cobre.</t>
  </si>
  <si>
    <t>Par de conductores contenidos en un cable de cobre.</t>
  </si>
  <si>
    <t>[ IfcCableCarrierFitting ]</t>
  </si>
  <si>
    <t>[ IfcCableCarrierFittingBEND ]</t>
  </si>
  <si>
    <t>[ IfcCableCarrierFittingCONNECTOR ]</t>
  </si>
  <si>
    <t>[ IfcCableCarrierFittingJUNCTION ]</t>
  </si>
  <si>
    <t>[ IfcCableCarrierFittingCROSS ]</t>
  </si>
  <si>
    <t>[ IfcCableCarrierFittingREDUCER ]</t>
  </si>
  <si>
    <t>[ IfcCableCarrierFittingTRANSITION ]</t>
  </si>
  <si>
    <t>[ IfcCableCarrierFittingTEE ]</t>
  </si>
  <si>
    <t>[ IfcCableCarrierSegment ]</t>
  </si>
  <si>
    <t>[ IfcCableCarrierSegmentCABLEBRACKET ]</t>
  </si>
  <si>
    <t>[ IfcCableCarrierSegmentCABLELADDERSEGMENT ]</t>
  </si>
  <si>
    <t>[ IfcCableSegmentWIREPAIRSEGMENT ]</t>
  </si>
  <si>
    <t>[ IfcCableSegmentosPTICALCABLESEGMENT ]</t>
  </si>
  <si>
    <t>[ IfcCableSegmentFIBERSEGMENT ]</t>
  </si>
  <si>
    <t>[ IfcCableSegmentCONDUCTORSEGMENT ]</t>
  </si>
  <si>
    <t>[ IfcCableSegment ]</t>
  </si>
  <si>
    <t>[ IfcCableFittingTRANSITION ]</t>
  </si>
  <si>
    <t>[ IfcCableFittingJUNCTION ]</t>
  </si>
  <si>
    <t>[ IfcCableFittingFANOUT ]</t>
  </si>
  <si>
    <t>[ IfcCableFittingEXIT ]</t>
  </si>
  <si>
    <t>[ IfcCableFittingENTRY ]</t>
  </si>
  <si>
    <t>[ IfcCableFittingCONNECTOR ]</t>
  </si>
  <si>
    <t>[ IfcCableFitting ]</t>
  </si>
  <si>
    <t>[ IfcCableCarrierSegmentDROPPER ]</t>
  </si>
  <si>
    <t>[ IfcCableCarrierSegmentCONDUITSEGMENT ]</t>
  </si>
  <si>
    <t>[ IfcCableCarrierSegmentCATENARYWIRE ]</t>
  </si>
  <si>
    <t>[ IfcCableCarrierSegmentCABLETRUNKINGSEGMENT ]</t>
  </si>
  <si>
    <t>[ IfcCableCarrierSegmentCABLETRAYSEGMENT ]</t>
  </si>
  <si>
    <t>[ OST_ConduitFitting  , OST_ConduitFittingCenterLine ]</t>
  </si>
  <si>
    <t>[ OST_CableTrayFitting  , OST_CableTrayFittingCenterLine ]</t>
  </si>
  <si>
    <t>[ OST_CableTray , OST_CableTrayCenterLine , OST_CableTrayDrop , OST_CableTrayRiseDrop , OST_CableTrayRun ]</t>
  </si>
  <si>
    <t>[ OST_Cable , OST_Conduit  , OST_ConduitCenterLine  , OST_ConduitDrop , OST_ConduitRiseDrop , OST_ConduitRun ]</t>
  </si>
  <si>
    <t>Segmento.de.Calha</t>
  </si>
  <si>
    <t>Segmento.de.Cabo.Óptico</t>
  </si>
  <si>
    <t>Segmento.de.Condutor</t>
  </si>
  <si>
    <t>Segmento.de.Cabo</t>
  </si>
  <si>
    <t>Segmento.de.Cabo.de.Par.Trançado</t>
  </si>
  <si>
    <t>Segmento.de.Cabo.Fibra</t>
  </si>
  <si>
    <t>Conexão.de.Cabo</t>
  </si>
  <si>
    <t>Conexão.de.Cabo.Entrada</t>
  </si>
  <si>
    <t>Conexão.de.Cabo.Saída</t>
  </si>
  <si>
    <t>Conexão.de.Cabo.Divisor</t>
  </si>
  <si>
    <t>Conexão.de.Cabo.Junção</t>
  </si>
  <si>
    <t>Conexão.de.Cabo.Transição</t>
  </si>
  <si>
    <t>Conexão.de.Cabo.Conetor</t>
  </si>
  <si>
    <t>Interruptores</t>
  </si>
  <si>
    <t>Interruptor.Simples</t>
  </si>
  <si>
    <t>Interruptor.Duplo</t>
  </si>
  <si>
    <t>Interruptor.Tripo</t>
  </si>
  <si>
    <t>Interruptor.Dimmer</t>
  </si>
  <si>
    <t>Interruptor.Botão</t>
  </si>
  <si>
    <t>Tomada.de.Rede</t>
  </si>
  <si>
    <t>Interruptor Duplo</t>
  </si>
  <si>
    <t>Interruptor Tripo</t>
  </si>
  <si>
    <t>Interruptor Dimmer</t>
  </si>
  <si>
    <t>Interruptor Botão</t>
  </si>
  <si>
    <t>Interruptor Simples de uma tecla</t>
  </si>
  <si>
    <t>Interruptor Paralelo three‑way</t>
  </si>
  <si>
    <t>Interruptor Paralelo four‑way</t>
  </si>
  <si>
    <t>Interruptor.Paralelo.3W</t>
  </si>
  <si>
    <t>Interruptor.Paralelo.4W</t>
  </si>
  <si>
    <t>[ 3E.26 ]</t>
  </si>
  <si>
    <t>[ 3E.56.06 ]</t>
  </si>
  <si>
    <t>[ 3E.26.16.02 ]</t>
  </si>
  <si>
    <t xml:space="preserve">[ IfcSwitchingDevice ] </t>
  </si>
  <si>
    <t>Geladeira.e.Freezer</t>
  </si>
  <si>
    <t>[ IfcElectricDistributionBoardDISTRIBUTIONBOARD ]</t>
  </si>
  <si>
    <t>[ IfcElectricDistributionBoardMOTORCONTROLCENTRE ]</t>
  </si>
  <si>
    <t>Circuito_01</t>
  </si>
  <si>
    <t>Circuito.Luz.Geral</t>
  </si>
  <si>
    <t>Circuito.Luz.Emergência</t>
  </si>
  <si>
    <t>Circuito.Elétrico.Geral</t>
  </si>
  <si>
    <t>Circuito.Elétrico.Força</t>
  </si>
  <si>
    <t>Circuito.Elétrico.Solar</t>
  </si>
  <si>
    <t>Quadro.de.Medidores</t>
  </si>
  <si>
    <t>Sistemas.de.Iluminação</t>
  </si>
  <si>
    <t>Sistemas.de.Força</t>
  </si>
  <si>
    <t>Segmento.de.Conduíte</t>
  </si>
  <si>
    <t>Cabeamento.Segmentos</t>
  </si>
  <si>
    <t>Cabeamento.Conexões</t>
  </si>
  <si>
    <t>Condutos.Segmentos</t>
  </si>
  <si>
    <t>Condutos.Conexões</t>
  </si>
  <si>
    <t>Segmento.de.Suporte</t>
  </si>
  <si>
    <t>Segmento.de.Leito.de.Cabos</t>
  </si>
  <si>
    <t>Segmento.de.EletroCalha</t>
  </si>
  <si>
    <t>Segmento.de.Catenária</t>
  </si>
  <si>
    <t>Segmento.de.Descida</t>
  </si>
  <si>
    <t>Conexão.de.Condutos</t>
  </si>
  <si>
    <t>Conexão.de.Condutos.Curva</t>
  </si>
  <si>
    <t>Conexão.de.Condutos.Conector</t>
  </si>
  <si>
    <t>Conexão.de.Condutos.Cruzeta</t>
  </si>
  <si>
    <t>Conexão.de.Condutos.Junção</t>
  </si>
  <si>
    <t>Conexão.de.Condutos.Redução</t>
  </si>
  <si>
    <t>Conexão.de.Condutos.Te</t>
  </si>
  <si>
    <t>Conexão.de.Condutos.Transição</t>
  </si>
  <si>
    <t>Segmento.de.Bandeja.de.Cabos</t>
  </si>
  <si>
    <t>00Super
Class
5</t>
  </si>
  <si>
    <t>Filtros.Elétricos</t>
  </si>
  <si>
    <t>Disjuntor.de.Falha.AntiArco</t>
  </si>
  <si>
    <t>Define um contêiner de informação de acordo à norma NBR 19650-1. Definição do Projeto.</t>
  </si>
  <si>
    <t>Gestão</t>
  </si>
  <si>
    <t>Requisito.Espacial</t>
  </si>
  <si>
    <t>Define um contêiner de informação de acordo à norma NBR 19650-1. Requerimentos Espaciais para o Projeto.</t>
  </si>
  <si>
    <t>Requisito.Mobiliário</t>
  </si>
  <si>
    <t>Define um contêiner de informação de acordo à norma NBR 19650-1. Requerimentos Mobiliários para o Projeto.</t>
  </si>
  <si>
    <t>Requisito.Equipamento</t>
  </si>
  <si>
    <t>Define um contêiner de informação de acordo à norma NBR 19650-1. Requerimentos Equipamentos para o Projeto.</t>
  </si>
  <si>
    <t>Requisito.Sistemas</t>
  </si>
  <si>
    <t>Define um contêiner de informação de acordo à norma NBR 19650-1. Requerimentos de Sistemas Prediais para o Projeto.</t>
  </si>
  <si>
    <t>quem.fabricou</t>
  </si>
  <si>
    <t>Contêineres</t>
  </si>
  <si>
    <t>[ 5I ]</t>
  </si>
  <si>
    <t>Conceitos</t>
  </si>
  <si>
    <t>EletroTécnicos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</si>
</sst>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Aptos Narrow"/>
      <family val="2"/>
      <charset val="1"/>
    </font>
    <font>
      <sz val="8"/>
      <name val="Aptos Narrow"/>
      <family val="2"/>
      <charset val="1"/>
    </font>
    <font>
      <sz val="6"/>
      <color rgb="FF000000"/>
      <name val="Arial Nova Cond Light"/>
      <family val="2"/>
    </font>
    <font>
      <b/>
      <sz val="6"/>
      <color rgb="FF000000"/>
      <name val="Arial Nova Cond Light"/>
      <family val="2"/>
    </font>
    <font>
      <sz val="6"/>
      <name val="Arial Nova Cond Light"/>
      <family val="2"/>
    </font>
    <font>
      <b/>
      <sz val="6"/>
      <name val="Arial Nova Cond Light"/>
      <family val="2"/>
    </font>
    <font>
      <sz val="6"/>
      <color theme="1"/>
      <name val="Arial Nova Cond Light"/>
      <family val="2"/>
    </font>
    <font>
      <i/>
      <sz val="6"/>
      <name val="Arial Nova Cond Light"/>
      <family val="2"/>
    </font>
    <font>
      <b/>
      <sz val="6"/>
      <color theme="1"/>
      <name val="Arial Nova Cond Light"/>
      <family val="2"/>
    </font>
    <font>
      <b/>
      <sz val="5"/>
      <color rgb="FF000000"/>
      <name val="Arial Nova Cond Light"/>
      <family val="2"/>
    </font>
    <font>
      <sz val="8"/>
      <color theme="1"/>
      <name val="Arial Nova Cond"/>
      <family val="2"/>
    </font>
    <font>
      <sz val="8"/>
      <color theme="1"/>
      <name val="Arial Nova Cond Light"/>
      <family val="2"/>
    </font>
    <font>
      <sz val="6"/>
      <color rgb="FF000000"/>
      <name val="Aptos Narrow"/>
      <family val="2"/>
      <charset val="1"/>
    </font>
  </fonts>
  <fills count="24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rgb="FFF2AA84"/>
        <bgColor rgb="FFF6C6AD"/>
      </patternFill>
    </fill>
    <fill>
      <patternFill patternType="solid">
        <fgColor rgb="FFD9D9D9"/>
        <bgColor rgb="FFD1D1D1"/>
      </patternFill>
    </fill>
    <fill>
      <patternFill patternType="solid">
        <fgColor rgb="FFFBE79D"/>
        <bgColor indexed="64"/>
      </patternFill>
    </fill>
    <fill>
      <patternFill patternType="solid">
        <fgColor rgb="FFAEAAA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rgb="FFFEF2CB"/>
      </patternFill>
    </fill>
    <fill>
      <patternFill patternType="solid">
        <fgColor rgb="FFFF99FF"/>
        <bgColor rgb="FFFFFFCC"/>
      </patternFill>
    </fill>
    <fill>
      <patternFill patternType="solid">
        <fgColor theme="9" tint="0.59999389629810485"/>
        <bgColor rgb="FFFEF2CB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rgb="FFFF9900"/>
      </patternFill>
    </fill>
    <fill>
      <patternFill patternType="solid">
        <fgColor theme="5" tint="0.59999389629810485"/>
        <bgColor rgb="FFC0C0C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rgb="FFFFC7CE"/>
      </patternFill>
    </fill>
    <fill>
      <patternFill patternType="solid">
        <fgColor theme="8" tint="0.79998168889431442"/>
        <bgColor rgb="FFFFFFCC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rgb="FFD9F2D0"/>
      </patternFill>
    </fill>
  </fills>
  <borders count="9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2" fillId="5" borderId="4" xfId="0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/>
    </xf>
    <xf numFmtId="0" fontId="5" fillId="4" borderId="3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6" borderId="4" xfId="0" applyFont="1" applyFill="1" applyBorder="1" applyAlignment="1">
      <alignment vertical="center"/>
    </xf>
    <xf numFmtId="0" fontId="2" fillId="7" borderId="4" xfId="0" applyFont="1" applyFill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4" xfId="0" applyFont="1" applyBorder="1"/>
    <xf numFmtId="22" fontId="6" fillId="0" borderId="4" xfId="0" applyNumberFormat="1" applyFont="1" applyBorder="1" applyAlignment="1">
      <alignment horizontal="left" vertical="center"/>
    </xf>
    <xf numFmtId="0" fontId="6" fillId="0" borderId="4" xfId="0" applyFont="1" applyBorder="1" applyAlignment="1">
      <alignment vertical="center" wrapText="1"/>
    </xf>
    <xf numFmtId="0" fontId="8" fillId="8" borderId="4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left" vertical="center"/>
    </xf>
    <xf numFmtId="0" fontId="8" fillId="8" borderId="4" xfId="0" applyFont="1" applyFill="1" applyBorder="1" applyAlignment="1">
      <alignment vertical="center"/>
    </xf>
    <xf numFmtId="0" fontId="4" fillId="9" borderId="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vertical="center"/>
    </xf>
    <xf numFmtId="0" fontId="4" fillId="11" borderId="4" xfId="0" applyFont="1" applyFill="1" applyBorder="1" applyAlignment="1">
      <alignment vertical="center"/>
    </xf>
    <xf numFmtId="0" fontId="6" fillId="12" borderId="4" xfId="0" applyFont="1" applyFill="1" applyBorder="1" applyAlignment="1">
      <alignment horizontal="left" vertical="center"/>
    </xf>
    <xf numFmtId="0" fontId="4" fillId="12" borderId="4" xfId="0" applyFont="1" applyFill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14" borderId="4" xfId="0" applyFont="1" applyFill="1" applyBorder="1" applyAlignment="1">
      <alignment horizontal="left" vertical="center" wrapText="1"/>
    </xf>
    <xf numFmtId="0" fontId="3" fillId="15" borderId="4" xfId="0" applyFont="1" applyFill="1" applyBorder="1" applyAlignment="1">
      <alignment horizontal="left" vertical="center" wrapText="1"/>
    </xf>
    <xf numFmtId="0" fontId="2" fillId="16" borderId="4" xfId="0" applyFont="1" applyFill="1" applyBorder="1" applyAlignment="1">
      <alignment horizontal="left" vertical="center" wrapText="1"/>
    </xf>
    <xf numFmtId="0" fontId="2" fillId="16" borderId="4" xfId="0" applyFont="1" applyFill="1" applyBorder="1" applyAlignment="1">
      <alignment horizontal="left" vertical="center"/>
    </xf>
    <xf numFmtId="0" fontId="3" fillId="14" borderId="4" xfId="0" applyFont="1" applyFill="1" applyBorder="1" applyAlignment="1">
      <alignment horizontal="center" vertical="center" wrapText="1"/>
    </xf>
    <xf numFmtId="0" fontId="2" fillId="17" borderId="4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18" borderId="4" xfId="0" applyFont="1" applyFill="1" applyBorder="1" applyAlignment="1">
      <alignment horizontal="left" vertical="center"/>
    </xf>
    <xf numFmtId="0" fontId="2" fillId="19" borderId="4" xfId="0" applyFont="1" applyFill="1" applyBorder="1" applyAlignment="1">
      <alignment vertical="center"/>
    </xf>
    <xf numFmtId="0" fontId="3" fillId="3" borderId="7" xfId="0" applyFont="1" applyFill="1" applyBorder="1" applyAlignment="1">
      <alignment horizontal="left" vertical="center" wrapText="1"/>
    </xf>
    <xf numFmtId="0" fontId="9" fillId="3" borderId="4" xfId="0" applyFont="1" applyFill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8" fillId="22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2" fillId="5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2" fillId="10" borderId="4" xfId="0" applyFont="1" applyFill="1" applyBorder="1" applyAlignment="1">
      <alignment vertical="center" wrapText="1"/>
    </xf>
    <xf numFmtId="0" fontId="8" fillId="8" borderId="4" xfId="0" applyFont="1" applyFill="1" applyBorder="1" applyAlignment="1">
      <alignment vertical="center" wrapText="1"/>
    </xf>
    <xf numFmtId="0" fontId="6" fillId="13" borderId="4" xfId="0" applyFont="1" applyFill="1" applyBorder="1" applyAlignment="1">
      <alignment vertical="center"/>
    </xf>
    <xf numFmtId="0" fontId="4" fillId="21" borderId="4" xfId="0" applyFont="1" applyFill="1" applyBorder="1" applyAlignment="1">
      <alignment vertical="center"/>
    </xf>
    <xf numFmtId="0" fontId="4" fillId="20" borderId="4" xfId="0" applyFont="1" applyFill="1" applyBorder="1" applyAlignment="1">
      <alignment vertical="center"/>
    </xf>
    <xf numFmtId="0" fontId="2" fillId="16" borderId="5" xfId="0" applyFont="1" applyFill="1" applyBorder="1" applyAlignment="1">
      <alignment horizontal="left" vertical="center"/>
    </xf>
    <xf numFmtId="0" fontId="6" fillId="5" borderId="4" xfId="0" applyFont="1" applyFill="1" applyBorder="1" applyAlignment="1">
      <alignment horizontal="left" vertical="center" wrapText="1"/>
    </xf>
    <xf numFmtId="0" fontId="4" fillId="19" borderId="4" xfId="0" applyFont="1" applyFill="1" applyBorder="1" applyAlignment="1">
      <alignment vertical="center"/>
    </xf>
    <xf numFmtId="0" fontId="2" fillId="5" borderId="4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2" fillId="16" borderId="0" xfId="0" applyFont="1" applyFill="1" applyAlignment="1">
      <alignment horizontal="left" vertical="center" wrapText="1"/>
    </xf>
    <xf numFmtId="0" fontId="2" fillId="17" borderId="4" xfId="0" applyFont="1" applyFill="1" applyBorder="1" applyAlignment="1">
      <alignment horizontal="right" vertical="center"/>
    </xf>
    <xf numFmtId="0" fontId="2" fillId="23" borderId="4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3" fillId="2" borderId="8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/>
    </xf>
    <xf numFmtId="0" fontId="6" fillId="5" borderId="4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79"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b val="0"/>
        <i/>
        <strike val="0"/>
        <color rgb="FFFFFFFF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D9D9D9"/>
      <rgbColor rgb="FF747474"/>
      <rgbColor rgb="FF9999FF"/>
      <rgbColor rgb="FF993366"/>
      <rgbColor rgb="FFFFCCCC"/>
      <rgbColor rgb="FFDCEAF7"/>
      <rgbColor rgb="FF660066"/>
      <rgbColor rgb="FFF2AA84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4E5A2"/>
      <rgbColor rgb="FFD9F2D0"/>
      <rgbColor rgb="FFF6E896"/>
      <rgbColor rgb="FFA6CAEC"/>
      <rgbColor rgb="FFE59EDD"/>
      <rgbColor rgb="FFFFC7CE"/>
      <rgbColor rgb="FFF6C6AD"/>
      <rgbColor rgb="FF3366FF"/>
      <rgbColor rgb="FF46B1E1"/>
      <rgbColor rgb="FF8ED973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BE79D"/>
      <color rgb="FFFDF2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4" displayName="Tabla4" ref="A1:U3" totalsRowShown="0">
  <tableColumns count="21">
    <tableColumn id="1" xr3:uid="{00000000-0010-0000-0000-000001000000}" name="1"/>
    <tableColumn id="2" xr3:uid="{00000000-0010-0000-0000-000002000000}" name="Disjunta 1"/>
    <tableColumn id="3" xr3:uid="{00000000-0010-0000-0000-000003000000}" name="Disjunta 2"/>
    <tableColumn id="4" xr3:uid="{00000000-0010-0000-0000-000004000000}" name="Disjunta 3"/>
    <tableColumn id="5" xr3:uid="{00000000-0010-0000-0000-000005000000}" name="Disjunta 4"/>
    <tableColumn id="6" xr3:uid="{00000000-0010-0000-0000-000006000000}" name="Disjunta 5"/>
    <tableColumn id="7" xr3:uid="{00000000-0010-0000-0000-000007000000}" name="Disjunta 6"/>
    <tableColumn id="8" xr3:uid="{00000000-0010-0000-0000-000008000000}" name="Disjunta 7"/>
    <tableColumn id="9" xr3:uid="{00000000-0010-0000-0000-000009000000}" name="Disjunta 8"/>
    <tableColumn id="10" xr3:uid="{00000000-0010-0000-0000-00000A000000}" name="Disjunta 9"/>
    <tableColumn id="11" xr3:uid="{00000000-0010-0000-0000-00000B000000}" name="Disjunta 10"/>
    <tableColumn id="12" xr3:uid="{00000000-0010-0000-0000-00000C000000}" name="Disjunta 11"/>
    <tableColumn id="13" xr3:uid="{00000000-0010-0000-0000-00000D000000}" name="Disjunta 12"/>
    <tableColumn id="14" xr3:uid="{00000000-0010-0000-0000-00000E000000}" name="Disjunta 13"/>
    <tableColumn id="15" xr3:uid="{00000000-0010-0000-0000-00000F000000}" name="Disjunta 14"/>
    <tableColumn id="16" xr3:uid="{00000000-0010-0000-0000-000010000000}" name="Disjunta 15"/>
    <tableColumn id="17" xr3:uid="{00000000-0010-0000-0000-000011000000}" name="Disjunta 16"/>
    <tableColumn id="18" xr3:uid="{00000000-0010-0000-0000-000012000000}" name="Disjunta 17"/>
    <tableColumn id="19" xr3:uid="{00000000-0010-0000-0000-000013000000}" name="Disjunta 18"/>
    <tableColumn id="20" xr3:uid="{00000000-0010-0000-0000-000014000000}" name="Disjunta 19"/>
    <tableColumn id="21" xr3:uid="{00000000-0010-0000-0000-000015000000}" name="Disjunta 2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84A63-55AB-497E-9EBD-4681BB9AFAFF}">
  <sheetPr codeName="Planilha1"/>
  <dimension ref="A1:C24"/>
  <sheetViews>
    <sheetView zoomScale="175" zoomScaleNormal="175" workbookViewId="0">
      <pane ySplit="1" topLeftCell="A2" activePane="bottomLeft" state="frozen"/>
      <selection pane="bottomLeft" activeCell="B18" sqref="B18"/>
    </sheetView>
  </sheetViews>
  <sheetFormatPr defaultColWidth="9.15234375" defaultRowHeight="9.75" customHeight="1" x14ac:dyDescent="0.4"/>
  <cols>
    <col min="1" max="1" width="8.69140625" customWidth="1"/>
    <col min="2" max="2" width="33.69140625" customWidth="1"/>
    <col min="3" max="3" width="3.3828125" style="43" bestFit="1" customWidth="1"/>
  </cols>
  <sheetData>
    <row r="1" spans="1:3" ht="20.25" customHeight="1" x14ac:dyDescent="0.4">
      <c r="A1" s="12" t="s">
        <v>43</v>
      </c>
      <c r="B1" s="12" t="s">
        <v>44</v>
      </c>
      <c r="C1" s="41" t="s">
        <v>91</v>
      </c>
    </row>
    <row r="2" spans="1:3" ht="9" customHeight="1" x14ac:dyDescent="0.4">
      <c r="A2" s="13" t="s">
        <v>45</v>
      </c>
      <c r="B2" s="13" t="s">
        <v>46</v>
      </c>
      <c r="C2" s="42" t="s">
        <v>92</v>
      </c>
    </row>
    <row r="3" spans="1:3" ht="9" customHeight="1" x14ac:dyDescent="0.4">
      <c r="A3" s="13" t="s">
        <v>47</v>
      </c>
      <c r="B3" s="13" t="s">
        <v>118</v>
      </c>
      <c r="C3" s="42" t="s">
        <v>92</v>
      </c>
    </row>
    <row r="4" spans="1:3" ht="9" customHeight="1" x14ac:dyDescent="0.4">
      <c r="A4" s="14" t="s">
        <v>48</v>
      </c>
      <c r="B4" s="14" t="s">
        <v>32</v>
      </c>
      <c r="C4" s="42" t="s">
        <v>92</v>
      </c>
    </row>
    <row r="5" spans="1:3" ht="9" customHeight="1" x14ac:dyDescent="0.4">
      <c r="A5" s="14" t="s">
        <v>49</v>
      </c>
      <c r="B5" s="14" t="str">
        <f>_xlfn.CONCAT(B4,"Prop")</f>
        <v>BIMProp</v>
      </c>
      <c r="C5" s="42" t="s">
        <v>92</v>
      </c>
    </row>
    <row r="6" spans="1:3" ht="9" customHeight="1" x14ac:dyDescent="0.4">
      <c r="A6" s="14" t="s">
        <v>50</v>
      </c>
      <c r="B6" s="14" t="str">
        <f>_xlfn.CONCAT(B4,"Data")</f>
        <v>BIMData</v>
      </c>
      <c r="C6" s="42" t="s">
        <v>92</v>
      </c>
    </row>
    <row r="7" spans="1:3" ht="9" customHeight="1" x14ac:dyDescent="0.4">
      <c r="A7" s="14" t="s">
        <v>51</v>
      </c>
      <c r="B7" s="15" t="s">
        <v>52</v>
      </c>
      <c r="C7" s="42" t="s">
        <v>92</v>
      </c>
    </row>
    <row r="8" spans="1:3" s="40" customFormat="1" ht="9" customHeight="1" x14ac:dyDescent="0.4">
      <c r="A8" s="39" t="s">
        <v>53</v>
      </c>
      <c r="B8" s="39" t="s">
        <v>89</v>
      </c>
      <c r="C8" s="42" t="s">
        <v>92</v>
      </c>
    </row>
    <row r="9" spans="1:3" ht="9" customHeight="1" x14ac:dyDescent="0.4">
      <c r="A9" s="14" t="s">
        <v>54</v>
      </c>
      <c r="B9" s="14" t="s">
        <v>55</v>
      </c>
      <c r="C9" s="42" t="s">
        <v>92</v>
      </c>
    </row>
    <row r="10" spans="1:3" ht="9" customHeight="1" x14ac:dyDescent="0.4">
      <c r="A10" s="14" t="s">
        <v>56</v>
      </c>
      <c r="B10" s="14" t="s">
        <v>57</v>
      </c>
      <c r="C10" s="42" t="s">
        <v>92</v>
      </c>
    </row>
    <row r="11" spans="1:3" ht="9" customHeight="1" x14ac:dyDescent="0.4">
      <c r="A11" s="14" t="s">
        <v>58</v>
      </c>
      <c r="B11" s="14" t="s">
        <v>57</v>
      </c>
      <c r="C11" s="42" t="s">
        <v>92</v>
      </c>
    </row>
    <row r="12" spans="1:3" ht="9" customHeight="1" x14ac:dyDescent="0.4">
      <c r="A12" s="14" t="s">
        <v>59</v>
      </c>
      <c r="B12" s="14" t="s">
        <v>57</v>
      </c>
      <c r="C12" s="42" t="s">
        <v>92</v>
      </c>
    </row>
    <row r="13" spans="1:3" ht="9" customHeight="1" x14ac:dyDescent="0.4">
      <c r="A13" s="14" t="s">
        <v>60</v>
      </c>
      <c r="B13" s="14" t="s">
        <v>57</v>
      </c>
      <c r="C13" s="42" t="s">
        <v>92</v>
      </c>
    </row>
    <row r="14" spans="1:3" ht="9" customHeight="1" x14ac:dyDescent="0.4">
      <c r="A14" s="14" t="s">
        <v>61</v>
      </c>
      <c r="B14" s="14" t="s">
        <v>57</v>
      </c>
      <c r="C14" s="42" t="s">
        <v>92</v>
      </c>
    </row>
    <row r="15" spans="1:3" ht="9" customHeight="1" x14ac:dyDescent="0.4">
      <c r="A15" s="14" t="s">
        <v>62</v>
      </c>
      <c r="B15" s="14" t="s">
        <v>57</v>
      </c>
      <c r="C15" s="42" t="s">
        <v>92</v>
      </c>
    </row>
    <row r="16" spans="1:3" ht="9" customHeight="1" x14ac:dyDescent="0.4">
      <c r="A16" s="14" t="s">
        <v>63</v>
      </c>
      <c r="B16" s="14" t="s">
        <v>57</v>
      </c>
      <c r="C16" s="42" t="s">
        <v>92</v>
      </c>
    </row>
    <row r="17" spans="1:3" ht="9" customHeight="1" x14ac:dyDescent="0.4">
      <c r="A17" s="14" t="s">
        <v>64</v>
      </c>
      <c r="B17" s="14" t="s">
        <v>119</v>
      </c>
      <c r="C17" s="42" t="s">
        <v>92</v>
      </c>
    </row>
    <row r="18" spans="1:3" ht="9" customHeight="1" x14ac:dyDescent="0.4">
      <c r="A18" s="14" t="s">
        <v>65</v>
      </c>
      <c r="B18" s="16">
        <f ca="1">NOW()</f>
        <v>46243.519222106479</v>
      </c>
      <c r="C18" s="42" t="s">
        <v>92</v>
      </c>
    </row>
    <row r="19" spans="1:3" ht="9" customHeight="1" x14ac:dyDescent="0.4">
      <c r="A19" s="14" t="s">
        <v>66</v>
      </c>
      <c r="B19" s="16" t="s">
        <v>67</v>
      </c>
      <c r="C19" s="42" t="s">
        <v>92</v>
      </c>
    </row>
    <row r="20" spans="1:3" ht="9" customHeight="1" x14ac:dyDescent="0.4">
      <c r="A20" s="14" t="s">
        <v>68</v>
      </c>
      <c r="B20" s="14" t="s">
        <v>57</v>
      </c>
      <c r="C20" s="42" t="s">
        <v>92</v>
      </c>
    </row>
    <row r="21" spans="1:3" ht="9" customHeight="1" x14ac:dyDescent="0.4">
      <c r="A21" s="14" t="s">
        <v>69</v>
      </c>
      <c r="B21" s="14" t="s">
        <v>57</v>
      </c>
      <c r="C21" s="42" t="s">
        <v>92</v>
      </c>
    </row>
    <row r="22" spans="1:3" ht="9" customHeight="1" x14ac:dyDescent="0.4">
      <c r="A22" s="14" t="s">
        <v>70</v>
      </c>
      <c r="B22" s="17" t="s">
        <v>120</v>
      </c>
      <c r="C22" s="42" t="s">
        <v>92</v>
      </c>
    </row>
    <row r="23" spans="1:3" ht="9" customHeight="1" x14ac:dyDescent="0.4">
      <c r="A23" s="14" t="s">
        <v>71</v>
      </c>
      <c r="B23" s="17" t="s">
        <v>121</v>
      </c>
      <c r="C23" s="42" t="s">
        <v>93</v>
      </c>
    </row>
    <row r="24" spans="1:3" s="40" customFormat="1" ht="9" customHeight="1" x14ac:dyDescent="0.4">
      <c r="A24" s="14" t="s">
        <v>90</v>
      </c>
      <c r="B24" s="17" t="str">
        <f>_xlfn.TRANSLATE(B22,"pt","en")</f>
        <v>Formalize elements of the BIM project. Specific Electrical Systems Objects</v>
      </c>
      <c r="C24" s="42" t="s">
        <v>94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52D63-9637-42D9-866B-0BB924A50D8C}">
  <sheetPr codeName="Planilha2"/>
  <dimension ref="A1:AA142"/>
  <sheetViews>
    <sheetView tabSelected="1" zoomScale="220" zoomScaleNormal="220" workbookViewId="0">
      <pane ySplit="1" topLeftCell="A2" activePane="bottomLeft" state="frozen"/>
      <selection activeCell="A179" sqref="A179:XFD190"/>
      <selection pane="bottomLeft" activeCell="D8" sqref="D8"/>
    </sheetView>
  </sheetViews>
  <sheetFormatPr defaultColWidth="9.15234375" defaultRowHeight="6.65" customHeight="1" x14ac:dyDescent="0.4"/>
  <cols>
    <col min="1" max="1" width="3.15234375" customWidth="1"/>
    <col min="2" max="2" width="5.69140625" style="63" bestFit="1" customWidth="1"/>
    <col min="3" max="3" width="8.15234375" style="63" bestFit="1" customWidth="1"/>
    <col min="4" max="4" width="11.15234375" style="63" bestFit="1" customWidth="1"/>
    <col min="5" max="5" width="13.53515625" style="63" bestFit="1" customWidth="1"/>
    <col min="6" max="6" width="19.84375" style="69" bestFit="1" customWidth="1"/>
    <col min="7" max="11" width="8" style="63" bestFit="1" customWidth="1"/>
    <col min="12" max="12" width="8.15234375" style="63" bestFit="1" customWidth="1"/>
    <col min="13" max="13" width="11.15234375" style="63" bestFit="1" customWidth="1"/>
    <col min="14" max="14" width="13.53515625" style="63" bestFit="1" customWidth="1"/>
    <col min="15" max="15" width="21.84375" style="63" bestFit="1" customWidth="1"/>
    <col min="16" max="16" width="72.15234375" style="63" bestFit="1" customWidth="1"/>
    <col min="17" max="17" width="73.53515625" style="63" bestFit="1" customWidth="1"/>
    <col min="18" max="18" width="3.69140625" style="63" bestFit="1" customWidth="1"/>
    <col min="19" max="19" width="8.15234375" style="63" bestFit="1" customWidth="1"/>
    <col min="20" max="20" width="11.15234375" style="63" bestFit="1" customWidth="1"/>
    <col min="21" max="21" width="13.53515625" style="63" bestFit="1" customWidth="1"/>
    <col min="22" max="22" width="8.53515625" style="63" bestFit="1" customWidth="1"/>
    <col min="23" max="23" width="8.69140625" style="63" bestFit="1" customWidth="1"/>
    <col min="24" max="24" width="43.69140625" style="63" bestFit="1" customWidth="1"/>
    <col min="25" max="25" width="23.84375" style="70" bestFit="1" customWidth="1"/>
    <col min="26" max="26" width="8.69140625" style="63" bestFit="1" customWidth="1"/>
    <col min="27" max="27" width="67.69140625" style="63" bestFit="1" customWidth="1"/>
    <col min="28" max="96" width="2.53515625" style="63" customWidth="1"/>
    <col min="97" max="16384" width="9.15234375" style="63"/>
  </cols>
  <sheetData>
    <row r="1" spans="1:27" ht="55.5" customHeight="1" x14ac:dyDescent="0.4">
      <c r="A1" s="45" t="s">
        <v>95</v>
      </c>
      <c r="B1" s="46" t="s">
        <v>41</v>
      </c>
      <c r="C1" s="46" t="s">
        <v>39</v>
      </c>
      <c r="D1" s="46" t="s">
        <v>40</v>
      </c>
      <c r="E1" s="46" t="s">
        <v>38</v>
      </c>
      <c r="F1" s="58" t="s">
        <v>728</v>
      </c>
      <c r="G1" s="47" t="s">
        <v>0</v>
      </c>
      <c r="H1" s="47" t="s">
        <v>1</v>
      </c>
      <c r="I1" s="47" t="s">
        <v>2</v>
      </c>
      <c r="J1" s="47" t="s">
        <v>3</v>
      </c>
      <c r="K1" s="47" t="s">
        <v>4</v>
      </c>
      <c r="L1" s="37" t="s">
        <v>96</v>
      </c>
      <c r="M1" s="37" t="s">
        <v>5</v>
      </c>
      <c r="N1" s="37" t="s">
        <v>6</v>
      </c>
      <c r="O1" s="37" t="s">
        <v>7</v>
      </c>
      <c r="P1" s="37" t="s">
        <v>36</v>
      </c>
      <c r="Q1" s="37" t="s">
        <v>42</v>
      </c>
      <c r="R1" s="37" t="s">
        <v>97</v>
      </c>
      <c r="S1" s="37" t="s">
        <v>33</v>
      </c>
      <c r="T1" s="37" t="s">
        <v>37</v>
      </c>
      <c r="U1" s="48" t="s">
        <v>35</v>
      </c>
      <c r="V1" s="37" t="s">
        <v>34</v>
      </c>
      <c r="W1" s="64" t="s">
        <v>8</v>
      </c>
      <c r="X1" s="37" t="s">
        <v>85</v>
      </c>
      <c r="Y1" s="37" t="s">
        <v>86</v>
      </c>
      <c r="Z1" s="37" t="s">
        <v>87</v>
      </c>
      <c r="AA1" s="38" t="s">
        <v>88</v>
      </c>
    </row>
    <row r="2" spans="1:27" ht="6" customHeight="1" x14ac:dyDescent="0.4">
      <c r="A2" s="61">
        <v>2</v>
      </c>
      <c r="B2" s="1" t="s">
        <v>744</v>
      </c>
      <c r="C2" s="1" t="s">
        <v>732</v>
      </c>
      <c r="D2" s="1" t="s">
        <v>83</v>
      </c>
      <c r="E2" s="57" t="s">
        <v>742</v>
      </c>
      <c r="F2" s="57" t="s">
        <v>82</v>
      </c>
      <c r="G2" s="65" t="s">
        <v>9</v>
      </c>
      <c r="H2" s="65" t="s">
        <v>9</v>
      </c>
      <c r="I2" s="65" t="s">
        <v>9</v>
      </c>
      <c r="J2" s="65" t="s">
        <v>9</v>
      </c>
      <c r="K2" s="65" t="s">
        <v>9</v>
      </c>
      <c r="L2" s="35" t="str">
        <f t="shared" ref="L2:M6" si="0">CONCATENATE("", C2)</f>
        <v>Gestão</v>
      </c>
      <c r="M2" s="35" t="str">
        <f t="shared" si="0"/>
        <v>Informação</v>
      </c>
      <c r="N2" s="35" t="str">
        <f t="shared" ref="N2:O6" si="1">(SUBSTITUTE(SUBSTITUTE(CONCATENATE("",E2),"."," ")," De "," de "))</f>
        <v>Contêineres</v>
      </c>
      <c r="O2" s="35" t="str">
        <f t="shared" si="1"/>
        <v>Contêiner</v>
      </c>
      <c r="P2" s="31" t="s">
        <v>731</v>
      </c>
      <c r="Q2" s="31" t="s">
        <v>84</v>
      </c>
      <c r="R2" s="31" t="s">
        <v>9</v>
      </c>
      <c r="S2" s="31" t="str">
        <f t="shared" ref="S2:U6" si="2">SUBSTITUTE(C2, ".", " ")</f>
        <v>Gestão</v>
      </c>
      <c r="T2" s="31" t="str">
        <f t="shared" si="2"/>
        <v>Informação</v>
      </c>
      <c r="U2" s="31" t="str">
        <f t="shared" si="2"/>
        <v>Contêineres</v>
      </c>
      <c r="V2" s="31" t="s">
        <v>115</v>
      </c>
      <c r="W2" s="62" t="str">
        <f t="shared" ref="W2:W65" si="3">CONCATENATE("Key-ELET-",A2)</f>
        <v>Key-ELET-2</v>
      </c>
      <c r="X2" s="31" t="s">
        <v>9</v>
      </c>
      <c r="Y2" s="31" t="s">
        <v>9</v>
      </c>
      <c r="Z2" s="31" t="s">
        <v>743</v>
      </c>
      <c r="AA2" s="31" t="str">
        <f t="shared" ref="AA2:AA6" si="4">_xlfn.TRANSLATE(P2,"pt","en")</f>
        <v>Defines an information container in accordance with the NBR 19650-1 standard. Project Definition.</v>
      </c>
    </row>
    <row r="3" spans="1:27" ht="6" customHeight="1" x14ac:dyDescent="0.4">
      <c r="A3" s="61">
        <v>3</v>
      </c>
      <c r="B3" s="1" t="s">
        <v>744</v>
      </c>
      <c r="C3" s="1" t="s">
        <v>732</v>
      </c>
      <c r="D3" s="1" t="s">
        <v>83</v>
      </c>
      <c r="E3" s="57" t="s">
        <v>742</v>
      </c>
      <c r="F3" s="57" t="s">
        <v>733</v>
      </c>
      <c r="G3" s="65" t="s">
        <v>9</v>
      </c>
      <c r="H3" s="65" t="s">
        <v>9</v>
      </c>
      <c r="I3" s="65" t="s">
        <v>9</v>
      </c>
      <c r="J3" s="65" t="s">
        <v>9</v>
      </c>
      <c r="K3" s="65" t="s">
        <v>9</v>
      </c>
      <c r="L3" s="35" t="str">
        <f t="shared" si="0"/>
        <v>Gestão</v>
      </c>
      <c r="M3" s="35" t="str">
        <f t="shared" si="0"/>
        <v>Informação</v>
      </c>
      <c r="N3" s="35" t="str">
        <f t="shared" si="1"/>
        <v>Contêineres</v>
      </c>
      <c r="O3" s="35" t="str">
        <f t="shared" si="1"/>
        <v>Requisito Espacial</v>
      </c>
      <c r="P3" s="31" t="s">
        <v>734</v>
      </c>
      <c r="Q3" s="31" t="s">
        <v>84</v>
      </c>
      <c r="R3" s="31" t="s">
        <v>9</v>
      </c>
      <c r="S3" s="31" t="str">
        <f t="shared" si="2"/>
        <v>Gestão</v>
      </c>
      <c r="T3" s="31" t="str">
        <f t="shared" si="2"/>
        <v>Informação</v>
      </c>
      <c r="U3" s="31" t="str">
        <f t="shared" si="2"/>
        <v>Contêineres</v>
      </c>
      <c r="V3" s="31" t="s">
        <v>115</v>
      </c>
      <c r="W3" s="62" t="str">
        <f t="shared" si="3"/>
        <v>Key-ELET-3</v>
      </c>
      <c r="X3" s="31" t="s">
        <v>9</v>
      </c>
      <c r="Y3" s="31" t="s">
        <v>9</v>
      </c>
      <c r="Z3" s="31" t="s">
        <v>9</v>
      </c>
      <c r="AA3" s="31" t="str">
        <f t="shared" si="4"/>
        <v>Defines an information container in accordance with the NBR 19650-1 standard. Spatial Requirements for the Project.</v>
      </c>
    </row>
    <row r="4" spans="1:27" ht="6" customHeight="1" x14ac:dyDescent="0.4">
      <c r="A4" s="61">
        <v>4</v>
      </c>
      <c r="B4" s="1" t="s">
        <v>744</v>
      </c>
      <c r="C4" s="1" t="s">
        <v>732</v>
      </c>
      <c r="D4" s="1" t="s">
        <v>83</v>
      </c>
      <c r="E4" s="57" t="s">
        <v>742</v>
      </c>
      <c r="F4" s="57" t="s">
        <v>735</v>
      </c>
      <c r="G4" s="65" t="s">
        <v>9</v>
      </c>
      <c r="H4" s="65" t="s">
        <v>9</v>
      </c>
      <c r="I4" s="65" t="s">
        <v>9</v>
      </c>
      <c r="J4" s="65" t="s">
        <v>9</v>
      </c>
      <c r="K4" s="65" t="s">
        <v>9</v>
      </c>
      <c r="L4" s="35" t="str">
        <f t="shared" si="0"/>
        <v>Gestão</v>
      </c>
      <c r="M4" s="35" t="str">
        <f t="shared" si="0"/>
        <v>Informação</v>
      </c>
      <c r="N4" s="35" t="str">
        <f t="shared" si="1"/>
        <v>Contêineres</v>
      </c>
      <c r="O4" s="35" t="str">
        <f t="shared" si="1"/>
        <v>Requisito Mobiliário</v>
      </c>
      <c r="P4" s="31" t="s">
        <v>736</v>
      </c>
      <c r="Q4" s="31" t="s">
        <v>84</v>
      </c>
      <c r="R4" s="31" t="s">
        <v>9</v>
      </c>
      <c r="S4" s="31" t="str">
        <f t="shared" si="2"/>
        <v>Gestão</v>
      </c>
      <c r="T4" s="31" t="str">
        <f t="shared" si="2"/>
        <v>Informação</v>
      </c>
      <c r="U4" s="31" t="str">
        <f t="shared" si="2"/>
        <v>Contêineres</v>
      </c>
      <c r="V4" s="31" t="s">
        <v>115</v>
      </c>
      <c r="W4" s="62" t="str">
        <f t="shared" si="3"/>
        <v>Key-ELET-4</v>
      </c>
      <c r="X4" s="31" t="s">
        <v>9</v>
      </c>
      <c r="Y4" s="31" t="s">
        <v>9</v>
      </c>
      <c r="Z4" s="31" t="s">
        <v>9</v>
      </c>
      <c r="AA4" s="31" t="str">
        <f t="shared" si="4"/>
        <v>Defines an information container in accordance with the NBR 19650-1 standard. Furniture Requirements for the Project.</v>
      </c>
    </row>
    <row r="5" spans="1:27" ht="6" customHeight="1" x14ac:dyDescent="0.4">
      <c r="A5" s="61">
        <v>5</v>
      </c>
      <c r="B5" s="1" t="s">
        <v>744</v>
      </c>
      <c r="C5" s="1" t="s">
        <v>732</v>
      </c>
      <c r="D5" s="1" t="s">
        <v>83</v>
      </c>
      <c r="E5" s="57" t="s">
        <v>742</v>
      </c>
      <c r="F5" s="57" t="s">
        <v>737</v>
      </c>
      <c r="G5" s="65" t="s">
        <v>9</v>
      </c>
      <c r="H5" s="65" t="s">
        <v>9</v>
      </c>
      <c r="I5" s="65" t="s">
        <v>9</v>
      </c>
      <c r="J5" s="65" t="s">
        <v>9</v>
      </c>
      <c r="K5" s="65" t="s">
        <v>9</v>
      </c>
      <c r="L5" s="35" t="str">
        <f t="shared" si="0"/>
        <v>Gestão</v>
      </c>
      <c r="M5" s="35" t="str">
        <f t="shared" si="0"/>
        <v>Informação</v>
      </c>
      <c r="N5" s="35" t="str">
        <f t="shared" si="1"/>
        <v>Contêineres</v>
      </c>
      <c r="O5" s="35" t="str">
        <f t="shared" si="1"/>
        <v>Requisito Equipamento</v>
      </c>
      <c r="P5" s="31" t="s">
        <v>738</v>
      </c>
      <c r="Q5" s="31" t="s">
        <v>84</v>
      </c>
      <c r="R5" s="31" t="s">
        <v>9</v>
      </c>
      <c r="S5" s="31" t="str">
        <f t="shared" si="2"/>
        <v>Gestão</v>
      </c>
      <c r="T5" s="31" t="str">
        <f t="shared" si="2"/>
        <v>Informação</v>
      </c>
      <c r="U5" s="31" t="str">
        <f t="shared" si="2"/>
        <v>Contêineres</v>
      </c>
      <c r="V5" s="31" t="s">
        <v>115</v>
      </c>
      <c r="W5" s="62" t="str">
        <f t="shared" si="3"/>
        <v>Key-ELET-5</v>
      </c>
      <c r="X5" s="31" t="s">
        <v>9</v>
      </c>
      <c r="Y5" s="31" t="s">
        <v>9</v>
      </c>
      <c r="Z5" s="31" t="s">
        <v>9</v>
      </c>
      <c r="AA5" s="31" t="str">
        <f t="shared" si="4"/>
        <v>Defines an information container in accordance with the NBR 19650-1 standard. Equipment Requirements for the Project.</v>
      </c>
    </row>
    <row r="6" spans="1:27" ht="6" customHeight="1" x14ac:dyDescent="0.4">
      <c r="A6" s="61">
        <v>6</v>
      </c>
      <c r="B6" s="1" t="s">
        <v>744</v>
      </c>
      <c r="C6" s="1" t="s">
        <v>732</v>
      </c>
      <c r="D6" s="1" t="s">
        <v>83</v>
      </c>
      <c r="E6" s="57" t="s">
        <v>742</v>
      </c>
      <c r="F6" s="57" t="s">
        <v>739</v>
      </c>
      <c r="G6" s="65" t="s">
        <v>9</v>
      </c>
      <c r="H6" s="65" t="s">
        <v>9</v>
      </c>
      <c r="I6" s="65" t="s">
        <v>9</v>
      </c>
      <c r="J6" s="65" t="s">
        <v>9</v>
      </c>
      <c r="K6" s="65" t="s">
        <v>9</v>
      </c>
      <c r="L6" s="35" t="str">
        <f t="shared" si="0"/>
        <v>Gestão</v>
      </c>
      <c r="M6" s="35" t="str">
        <f t="shared" si="0"/>
        <v>Informação</v>
      </c>
      <c r="N6" s="35" t="str">
        <f t="shared" si="1"/>
        <v>Contêineres</v>
      </c>
      <c r="O6" s="35" t="str">
        <f t="shared" si="1"/>
        <v>Requisito Sistemas</v>
      </c>
      <c r="P6" s="31" t="s">
        <v>740</v>
      </c>
      <c r="Q6" s="31" t="s">
        <v>84</v>
      </c>
      <c r="R6" s="31" t="s">
        <v>9</v>
      </c>
      <c r="S6" s="31" t="str">
        <f t="shared" si="2"/>
        <v>Gestão</v>
      </c>
      <c r="T6" s="31" t="str">
        <f t="shared" si="2"/>
        <v>Informação</v>
      </c>
      <c r="U6" s="31" t="str">
        <f t="shared" si="2"/>
        <v>Contêineres</v>
      </c>
      <c r="V6" s="31" t="s">
        <v>115</v>
      </c>
      <c r="W6" s="62" t="str">
        <f t="shared" si="3"/>
        <v>Key-ELET-6</v>
      </c>
      <c r="X6" s="31" t="s">
        <v>9</v>
      </c>
      <c r="Y6" s="31" t="s">
        <v>9</v>
      </c>
      <c r="Z6" s="31" t="s">
        <v>9</v>
      </c>
      <c r="AA6" s="31" t="str">
        <f t="shared" si="4"/>
        <v>Defines an information container in accordance with the NBR 19650-1 standard. Building Systems Requirements for the Project.</v>
      </c>
    </row>
    <row r="7" spans="1:27" ht="6.65" customHeight="1" x14ac:dyDescent="0.4">
      <c r="A7" s="61">
        <v>7</v>
      </c>
      <c r="B7" s="1" t="s">
        <v>744</v>
      </c>
      <c r="C7" s="34" t="s">
        <v>745</v>
      </c>
      <c r="D7" s="44" t="s">
        <v>512</v>
      </c>
      <c r="E7" s="44" t="s">
        <v>707</v>
      </c>
      <c r="F7" s="44" t="s">
        <v>701</v>
      </c>
      <c r="G7" s="65" t="s">
        <v>9</v>
      </c>
      <c r="H7" s="65" t="s">
        <v>9</v>
      </c>
      <c r="I7" s="65" t="s">
        <v>9</v>
      </c>
      <c r="J7" s="65" t="s">
        <v>9</v>
      </c>
      <c r="K7" s="65" t="s">
        <v>9</v>
      </c>
      <c r="L7" s="35" t="str">
        <f t="shared" ref="L7:L69" si="5">CONCATENATE("", C7)</f>
        <v>EletroTécnicos</v>
      </c>
      <c r="M7" s="35" t="str">
        <f t="shared" ref="M7:M69" si="6">CONCATENATE("", D7)</f>
        <v>Sistemas.Elétricos</v>
      </c>
      <c r="N7" s="35" t="str">
        <f t="shared" ref="N7:N69" si="7">(SUBSTITUTE(SUBSTITUTE(CONCATENATE("",E7),"."," ")," De "," de "))</f>
        <v>Sistemas de Iluminação</v>
      </c>
      <c r="O7" s="31" t="str">
        <f t="shared" ref="O7:O31" si="8">IF(ISNUMBER(FIND("Ifc",F7)),CONCATENATE("Classe IFC:   ",F7),CONCATENATE("",F7))</f>
        <v>Circuito.Luz.Geral</v>
      </c>
      <c r="P7" s="54" t="s">
        <v>108</v>
      </c>
      <c r="Q7" s="54" t="s">
        <v>107</v>
      </c>
      <c r="R7" s="31" t="s">
        <v>9</v>
      </c>
      <c r="S7" s="31" t="s">
        <v>149</v>
      </c>
      <c r="T7" s="31" t="str">
        <f t="shared" ref="T7:U70" si="9">SUBSTITUTE(D7, "_", " ")</f>
        <v>Sistemas.Elétricos</v>
      </c>
      <c r="U7" s="31" t="str">
        <f t="shared" ref="U7:U69" si="10">SUBSTITUTE(E7, "_", " ")</f>
        <v>Sistemas.de.Iluminação</v>
      </c>
      <c r="V7" s="31" t="s">
        <v>115</v>
      </c>
      <c r="W7" s="62" t="str">
        <f t="shared" si="3"/>
        <v>Key-ELET-7</v>
      </c>
      <c r="X7" s="30" t="s">
        <v>109</v>
      </c>
      <c r="Y7" s="30" t="s">
        <v>110</v>
      </c>
      <c r="Z7" s="31" t="s">
        <v>693</v>
      </c>
      <c r="AA7" s="31" t="str">
        <f t="shared" ref="AA7:AA23" si="11">_xlfn.TRANSLATE(P7,"pt","en")</f>
        <v>Electrical Lighting System</v>
      </c>
    </row>
    <row r="8" spans="1:27" ht="6.65" customHeight="1" x14ac:dyDescent="0.4">
      <c r="A8" s="61">
        <v>8</v>
      </c>
      <c r="B8" s="1" t="s">
        <v>744</v>
      </c>
      <c r="C8" s="34" t="s">
        <v>745</v>
      </c>
      <c r="D8" s="44" t="s">
        <v>512</v>
      </c>
      <c r="E8" s="44" t="s">
        <v>707</v>
      </c>
      <c r="F8" s="44" t="s">
        <v>702</v>
      </c>
      <c r="G8" s="65" t="s">
        <v>9</v>
      </c>
      <c r="H8" s="65" t="s">
        <v>9</v>
      </c>
      <c r="I8" s="65" t="s">
        <v>9</v>
      </c>
      <c r="J8" s="65" t="s">
        <v>9</v>
      </c>
      <c r="K8" s="65" t="s">
        <v>9</v>
      </c>
      <c r="L8" s="35" t="str">
        <f t="shared" si="5"/>
        <v>EletroTécnicos</v>
      </c>
      <c r="M8" s="35" t="str">
        <f t="shared" si="6"/>
        <v>Sistemas.Elétricos</v>
      </c>
      <c r="N8" s="35" t="str">
        <f t="shared" si="7"/>
        <v>Sistemas de Iluminação</v>
      </c>
      <c r="O8" s="31" t="str">
        <f t="shared" si="8"/>
        <v>Circuito.Luz.Emergência</v>
      </c>
      <c r="P8" s="54" t="s">
        <v>108</v>
      </c>
      <c r="Q8" s="54" t="s">
        <v>107</v>
      </c>
      <c r="R8" s="31" t="s">
        <v>9</v>
      </c>
      <c r="S8" s="31" t="s">
        <v>149</v>
      </c>
      <c r="T8" s="31" t="str">
        <f t="shared" si="9"/>
        <v>Sistemas.Elétricos</v>
      </c>
      <c r="U8" s="31" t="str">
        <f t="shared" si="10"/>
        <v>Sistemas.de.Iluminação</v>
      </c>
      <c r="V8" s="31" t="s">
        <v>115</v>
      </c>
      <c r="W8" s="62" t="str">
        <f t="shared" si="3"/>
        <v>Key-ELET-8</v>
      </c>
      <c r="X8" s="30" t="s">
        <v>109</v>
      </c>
      <c r="Y8" s="30" t="s">
        <v>110</v>
      </c>
      <c r="Z8" s="31" t="s">
        <v>693</v>
      </c>
      <c r="AA8" s="31" t="str">
        <f t="shared" si="11"/>
        <v>Electrical Lighting System</v>
      </c>
    </row>
    <row r="9" spans="1:27" ht="6.65" customHeight="1" x14ac:dyDescent="0.4">
      <c r="A9" s="61">
        <v>9</v>
      </c>
      <c r="B9" s="1" t="s">
        <v>744</v>
      </c>
      <c r="C9" s="34" t="s">
        <v>745</v>
      </c>
      <c r="D9" s="44" t="s">
        <v>512</v>
      </c>
      <c r="E9" s="44" t="s">
        <v>708</v>
      </c>
      <c r="F9" s="44" t="s">
        <v>703</v>
      </c>
      <c r="G9" s="65" t="s">
        <v>9</v>
      </c>
      <c r="H9" s="65" t="s">
        <v>9</v>
      </c>
      <c r="I9" s="65" t="s">
        <v>9</v>
      </c>
      <c r="J9" s="65" t="s">
        <v>9</v>
      </c>
      <c r="K9" s="65" t="s">
        <v>9</v>
      </c>
      <c r="L9" s="35" t="str">
        <f t="shared" si="5"/>
        <v>EletroTécnicos</v>
      </c>
      <c r="M9" s="35" t="str">
        <f t="shared" si="6"/>
        <v>Sistemas.Elétricos</v>
      </c>
      <c r="N9" s="35" t="str">
        <f t="shared" si="7"/>
        <v>Sistemas de Força</v>
      </c>
      <c r="O9" s="31" t="str">
        <f t="shared" si="8"/>
        <v>Circuito.Elétrico.Geral</v>
      </c>
      <c r="P9" s="54" t="s">
        <v>104</v>
      </c>
      <c r="Q9" s="54" t="s">
        <v>105</v>
      </c>
      <c r="R9" s="31" t="s">
        <v>9</v>
      </c>
      <c r="S9" s="31" t="s">
        <v>149</v>
      </c>
      <c r="T9" s="31" t="str">
        <f t="shared" si="9"/>
        <v>Sistemas.Elétricos</v>
      </c>
      <c r="U9" s="31" t="str">
        <f t="shared" si="10"/>
        <v>Sistemas.de.Força</v>
      </c>
      <c r="V9" s="31" t="s">
        <v>115</v>
      </c>
      <c r="W9" s="62" t="str">
        <f t="shared" si="3"/>
        <v>Key-ELET-9</v>
      </c>
      <c r="X9" s="30" t="s">
        <v>109</v>
      </c>
      <c r="Y9" s="30" t="s">
        <v>111</v>
      </c>
      <c r="Z9" s="31" t="s">
        <v>693</v>
      </c>
      <c r="AA9" s="31" t="str">
        <f t="shared" si="11"/>
        <v>Electrical System</v>
      </c>
    </row>
    <row r="10" spans="1:27" ht="6.65" customHeight="1" x14ac:dyDescent="0.4">
      <c r="A10" s="61">
        <v>10</v>
      </c>
      <c r="B10" s="1" t="s">
        <v>744</v>
      </c>
      <c r="C10" s="34" t="s">
        <v>745</v>
      </c>
      <c r="D10" s="44" t="s">
        <v>512</v>
      </c>
      <c r="E10" s="44" t="s">
        <v>708</v>
      </c>
      <c r="F10" s="44" t="s">
        <v>704</v>
      </c>
      <c r="G10" s="65" t="s">
        <v>9</v>
      </c>
      <c r="H10" s="65" t="s">
        <v>9</v>
      </c>
      <c r="I10" s="65" t="s">
        <v>9</v>
      </c>
      <c r="J10" s="65" t="s">
        <v>9</v>
      </c>
      <c r="K10" s="65" t="s">
        <v>9</v>
      </c>
      <c r="L10" s="35" t="str">
        <f t="shared" si="5"/>
        <v>EletroTécnicos</v>
      </c>
      <c r="M10" s="35" t="str">
        <f t="shared" si="6"/>
        <v>Sistemas.Elétricos</v>
      </c>
      <c r="N10" s="35" t="str">
        <f t="shared" si="7"/>
        <v>Sistemas de Força</v>
      </c>
      <c r="O10" s="31" t="str">
        <f t="shared" si="8"/>
        <v>Circuito.Elétrico.Força</v>
      </c>
      <c r="P10" s="54" t="s">
        <v>103</v>
      </c>
      <c r="Q10" s="54" t="s">
        <v>106</v>
      </c>
      <c r="R10" s="31" t="s">
        <v>9</v>
      </c>
      <c r="S10" s="31" t="s">
        <v>149</v>
      </c>
      <c r="T10" s="31" t="str">
        <f t="shared" si="9"/>
        <v>Sistemas.Elétricos</v>
      </c>
      <c r="U10" s="31" t="str">
        <f t="shared" si="10"/>
        <v>Sistemas.de.Força</v>
      </c>
      <c r="V10" s="31" t="s">
        <v>115</v>
      </c>
      <c r="W10" s="62" t="str">
        <f t="shared" si="3"/>
        <v>Key-ELET-10</v>
      </c>
      <c r="X10" s="30" t="s">
        <v>109</v>
      </c>
      <c r="Y10" s="30" t="s">
        <v>111</v>
      </c>
      <c r="Z10" s="31" t="s">
        <v>693</v>
      </c>
      <c r="AA10" s="31" t="str">
        <f t="shared" si="11"/>
        <v>Electric Power System</v>
      </c>
    </row>
    <row r="11" spans="1:27" ht="6.65" customHeight="1" x14ac:dyDescent="0.4">
      <c r="A11" s="61">
        <v>11</v>
      </c>
      <c r="B11" s="1" t="s">
        <v>744</v>
      </c>
      <c r="C11" s="34" t="s">
        <v>745</v>
      </c>
      <c r="D11" s="44" t="s">
        <v>512</v>
      </c>
      <c r="E11" s="44" t="s">
        <v>708</v>
      </c>
      <c r="F11" s="44" t="s">
        <v>705</v>
      </c>
      <c r="G11" s="65" t="s">
        <v>9</v>
      </c>
      <c r="H11" s="65" t="s">
        <v>9</v>
      </c>
      <c r="I11" s="65" t="s">
        <v>9</v>
      </c>
      <c r="J11" s="65" t="s">
        <v>9</v>
      </c>
      <c r="K11" s="65" t="s">
        <v>9</v>
      </c>
      <c r="L11" s="35" t="str">
        <f t="shared" si="5"/>
        <v>EletroTécnicos</v>
      </c>
      <c r="M11" s="35" t="str">
        <f t="shared" si="6"/>
        <v>Sistemas.Elétricos</v>
      </c>
      <c r="N11" s="35" t="str">
        <f t="shared" si="7"/>
        <v>Sistemas de Força</v>
      </c>
      <c r="O11" s="31" t="str">
        <f t="shared" si="8"/>
        <v>Circuito.Elétrico.Solar</v>
      </c>
      <c r="P11" s="54" t="s">
        <v>116</v>
      </c>
      <c r="Q11" s="54" t="s">
        <v>117</v>
      </c>
      <c r="R11" s="31" t="s">
        <v>9</v>
      </c>
      <c r="S11" s="31" t="s">
        <v>149</v>
      </c>
      <c r="T11" s="31" t="str">
        <f t="shared" si="9"/>
        <v>Sistemas.Elétricos</v>
      </c>
      <c r="U11" s="31" t="str">
        <f t="shared" si="10"/>
        <v>Sistemas.de.Força</v>
      </c>
      <c r="V11" s="31" t="s">
        <v>115</v>
      </c>
      <c r="W11" s="62" t="str">
        <f t="shared" si="3"/>
        <v>Key-ELET-11</v>
      </c>
      <c r="X11" s="30" t="s">
        <v>109</v>
      </c>
      <c r="Y11" s="30" t="s">
        <v>111</v>
      </c>
      <c r="Z11" s="31" t="s">
        <v>693</v>
      </c>
      <c r="AA11" s="31" t="str">
        <f t="shared" si="11"/>
        <v>Solar Generation Electric System</v>
      </c>
    </row>
    <row r="12" spans="1:27" ht="6.65" customHeight="1" x14ac:dyDescent="0.4">
      <c r="A12" s="61">
        <v>12</v>
      </c>
      <c r="B12" s="1" t="s">
        <v>744</v>
      </c>
      <c r="C12" s="34" t="s">
        <v>745</v>
      </c>
      <c r="D12" s="1" t="s">
        <v>511</v>
      </c>
      <c r="E12" s="44" t="s">
        <v>130</v>
      </c>
      <c r="F12" s="66" t="s">
        <v>706</v>
      </c>
      <c r="G12" s="67" t="s">
        <v>9</v>
      </c>
      <c r="H12" s="65" t="s">
        <v>9</v>
      </c>
      <c r="I12" s="65" t="s">
        <v>9</v>
      </c>
      <c r="J12" s="65" t="s">
        <v>9</v>
      </c>
      <c r="K12" s="65" t="s">
        <v>9</v>
      </c>
      <c r="L12" s="35" t="str">
        <f t="shared" si="5"/>
        <v>EletroTécnicos</v>
      </c>
      <c r="M12" s="35" t="str">
        <f t="shared" si="6"/>
        <v>Elementos.Elétricos</v>
      </c>
      <c r="N12" s="35" t="str">
        <f t="shared" si="7"/>
        <v>Quadros Elétricos</v>
      </c>
      <c r="O12" s="31" t="str">
        <f t="shared" si="8"/>
        <v>Quadro.de.Medidores</v>
      </c>
      <c r="P12" s="31" t="s">
        <v>131</v>
      </c>
      <c r="Q12" s="31" t="s">
        <v>235</v>
      </c>
      <c r="R12" s="31" t="s">
        <v>9</v>
      </c>
      <c r="S12" s="31" t="s">
        <v>149</v>
      </c>
      <c r="T12" s="31" t="str">
        <f t="shared" si="9"/>
        <v>Elementos.Elétricos</v>
      </c>
      <c r="U12" s="31" t="str">
        <f t="shared" si="10"/>
        <v>Quadros.Elétricos</v>
      </c>
      <c r="V12" s="31" t="s">
        <v>115</v>
      </c>
      <c r="W12" s="62" t="str">
        <f t="shared" si="3"/>
        <v>Key-ELET-12</v>
      </c>
      <c r="X12" s="31" t="s">
        <v>343</v>
      </c>
      <c r="Y12" s="30" t="s">
        <v>227</v>
      </c>
      <c r="Z12" s="31" t="s">
        <v>693</v>
      </c>
      <c r="AA12" s="31" t="str">
        <f t="shared" si="11"/>
        <v>Location of electricity meters</v>
      </c>
    </row>
    <row r="13" spans="1:27" ht="6.65" customHeight="1" x14ac:dyDescent="0.4">
      <c r="A13" s="61">
        <v>13</v>
      </c>
      <c r="B13" s="1" t="s">
        <v>744</v>
      </c>
      <c r="C13" s="34" t="s">
        <v>745</v>
      </c>
      <c r="D13" s="1" t="s">
        <v>511</v>
      </c>
      <c r="E13" s="44" t="s">
        <v>130</v>
      </c>
      <c r="F13" s="66" t="s">
        <v>123</v>
      </c>
      <c r="G13" s="67" t="s">
        <v>9</v>
      </c>
      <c r="H13" s="65" t="s">
        <v>9</v>
      </c>
      <c r="I13" s="65" t="s">
        <v>9</v>
      </c>
      <c r="J13" s="65" t="s">
        <v>9</v>
      </c>
      <c r="K13" s="65" t="s">
        <v>9</v>
      </c>
      <c r="L13" s="35" t="str">
        <f t="shared" ref="L13" si="12">CONCATENATE("", C13)</f>
        <v>EletroTécnicos</v>
      </c>
      <c r="M13" s="35" t="str">
        <f t="shared" ref="M13" si="13">CONCATENATE("", D13)</f>
        <v>Elementos.Elétricos</v>
      </c>
      <c r="N13" s="35" t="str">
        <f t="shared" ref="N13" si="14">(SUBSTITUTE(SUBSTITUTE(CONCATENATE("",E13),"."," ")," De "," de "))</f>
        <v>Quadros Elétricos</v>
      </c>
      <c r="O13" s="31" t="str">
        <f t="shared" ref="O13" si="15">IF(ISNUMBER(FIND("Ifc",F13)),CONCATENATE("Classe IFC:   ",F13),CONCATENATE("",F13))</f>
        <v>Quadro.Geral.BT</v>
      </c>
      <c r="P13" s="31" t="s">
        <v>133</v>
      </c>
      <c r="Q13" s="31" t="s">
        <v>236</v>
      </c>
      <c r="R13" s="31" t="s">
        <v>9</v>
      </c>
      <c r="S13" s="31" t="s">
        <v>149</v>
      </c>
      <c r="T13" s="31" t="str">
        <f t="shared" ref="T13" si="16">SUBSTITUTE(D13, "_", " ")</f>
        <v>Elementos.Elétricos</v>
      </c>
      <c r="U13" s="31" t="str">
        <f t="shared" ref="U13" si="17">SUBSTITUTE(E13, "_", " ")</f>
        <v>Quadros.Elétricos</v>
      </c>
      <c r="V13" s="31" t="s">
        <v>115</v>
      </c>
      <c r="W13" s="62" t="str">
        <f t="shared" si="3"/>
        <v>Key-ELET-13</v>
      </c>
      <c r="X13" s="31" t="s">
        <v>343</v>
      </c>
      <c r="Y13" s="30" t="s">
        <v>227</v>
      </c>
      <c r="Z13" s="31" t="s">
        <v>693</v>
      </c>
      <c r="AA13" s="31" t="str">
        <f>_xlfn.TRANSLATE(P13,"pt","en")</f>
        <v>QGBT - Receives power from the grid and distributes it to smaller boards.</v>
      </c>
    </row>
    <row r="14" spans="1:27" ht="6.65" customHeight="1" x14ac:dyDescent="0.4">
      <c r="A14" s="61">
        <v>14</v>
      </c>
      <c r="B14" s="1" t="s">
        <v>744</v>
      </c>
      <c r="C14" s="34" t="s">
        <v>745</v>
      </c>
      <c r="D14" s="1" t="s">
        <v>511</v>
      </c>
      <c r="E14" s="44" t="s">
        <v>130</v>
      </c>
      <c r="F14" s="66" t="s">
        <v>122</v>
      </c>
      <c r="G14" s="67" t="s">
        <v>9</v>
      </c>
      <c r="H14" s="65" t="s">
        <v>9</v>
      </c>
      <c r="I14" s="65" t="s">
        <v>9</v>
      </c>
      <c r="J14" s="65" t="s">
        <v>9</v>
      </c>
      <c r="K14" s="65" t="s">
        <v>9</v>
      </c>
      <c r="L14" s="35" t="str">
        <f t="shared" si="5"/>
        <v>EletroTécnicos</v>
      </c>
      <c r="M14" s="35" t="str">
        <f t="shared" si="6"/>
        <v>Elementos.Elétricos</v>
      </c>
      <c r="N14" s="35" t="str">
        <f t="shared" si="7"/>
        <v>Quadros Elétricos</v>
      </c>
      <c r="O14" s="31" t="str">
        <f t="shared" si="8"/>
        <v>Quadro.de.Circuitos</v>
      </c>
      <c r="P14" s="31" t="s">
        <v>132</v>
      </c>
      <c r="Q14" s="31" t="s">
        <v>228</v>
      </c>
      <c r="R14" s="31" t="s">
        <v>9</v>
      </c>
      <c r="S14" s="31" t="s">
        <v>149</v>
      </c>
      <c r="T14" s="31" t="str">
        <f t="shared" si="9"/>
        <v>Elementos.Elétricos</v>
      </c>
      <c r="U14" s="31" t="str">
        <f t="shared" si="10"/>
        <v>Quadros.Elétricos</v>
      </c>
      <c r="V14" s="31" t="s">
        <v>115</v>
      </c>
      <c r="W14" s="62" t="str">
        <f t="shared" si="3"/>
        <v>Key-ELET-14</v>
      </c>
      <c r="X14" s="31" t="s">
        <v>343</v>
      </c>
      <c r="Y14" s="30" t="s">
        <v>698</v>
      </c>
      <c r="Z14" s="31" t="s">
        <v>693</v>
      </c>
      <c r="AA14" s="31" t="str">
        <f t="shared" si="11"/>
        <v>QDC - Distributes power to final lighting circuits, outlets, air conditioning</v>
      </c>
    </row>
    <row r="15" spans="1:27" ht="6.65" customHeight="1" x14ac:dyDescent="0.4">
      <c r="A15" s="61">
        <v>15</v>
      </c>
      <c r="B15" s="1" t="s">
        <v>744</v>
      </c>
      <c r="C15" s="34" t="s">
        <v>745</v>
      </c>
      <c r="D15" s="1" t="s">
        <v>511</v>
      </c>
      <c r="E15" s="44" t="s">
        <v>130</v>
      </c>
      <c r="F15" s="66" t="s">
        <v>125</v>
      </c>
      <c r="G15" s="67" t="s">
        <v>9</v>
      </c>
      <c r="H15" s="65" t="s">
        <v>9</v>
      </c>
      <c r="I15" s="65" t="s">
        <v>9</v>
      </c>
      <c r="J15" s="65" t="s">
        <v>9</v>
      </c>
      <c r="K15" s="65" t="s">
        <v>9</v>
      </c>
      <c r="L15" s="35" t="str">
        <f t="shared" si="5"/>
        <v>EletroTécnicos</v>
      </c>
      <c r="M15" s="35" t="str">
        <f t="shared" si="6"/>
        <v>Elementos.Elétricos</v>
      </c>
      <c r="N15" s="35" t="str">
        <f t="shared" si="7"/>
        <v>Quadros Elétricos</v>
      </c>
      <c r="O15" s="31" t="str">
        <f t="shared" si="8"/>
        <v>Quadro.de.Transferência</v>
      </c>
      <c r="P15" s="31" t="s">
        <v>135</v>
      </c>
      <c r="Q15" s="31" t="s">
        <v>229</v>
      </c>
      <c r="R15" s="31" t="s">
        <v>9</v>
      </c>
      <c r="S15" s="31" t="s">
        <v>149</v>
      </c>
      <c r="T15" s="31" t="str">
        <f t="shared" si="9"/>
        <v>Elementos.Elétricos</v>
      </c>
      <c r="U15" s="31" t="str">
        <f t="shared" si="10"/>
        <v>Quadros.Elétricos</v>
      </c>
      <c r="V15" s="31" t="s">
        <v>115</v>
      </c>
      <c r="W15" s="62" t="str">
        <f t="shared" si="3"/>
        <v>Key-ELET-15</v>
      </c>
      <c r="X15" s="31" t="s">
        <v>343</v>
      </c>
      <c r="Y15" s="30" t="s">
        <v>227</v>
      </c>
      <c r="Z15" s="31" t="s">
        <v>693</v>
      </c>
      <c r="AA15" s="31" t="str">
        <f t="shared" si="11"/>
        <v>QTA - Automatically switches between the urban grid and the building generator to ensure critical services</v>
      </c>
    </row>
    <row r="16" spans="1:27" ht="6.65" customHeight="1" x14ac:dyDescent="0.4">
      <c r="A16" s="61">
        <v>16</v>
      </c>
      <c r="B16" s="1" t="s">
        <v>744</v>
      </c>
      <c r="C16" s="34" t="s">
        <v>745</v>
      </c>
      <c r="D16" s="1" t="s">
        <v>511</v>
      </c>
      <c r="E16" s="44" t="s">
        <v>130</v>
      </c>
      <c r="F16" s="66" t="s">
        <v>124</v>
      </c>
      <c r="G16" s="67" t="s">
        <v>9</v>
      </c>
      <c r="H16" s="65" t="s">
        <v>9</v>
      </c>
      <c r="I16" s="65" t="s">
        <v>9</v>
      </c>
      <c r="J16" s="65" t="s">
        <v>9</v>
      </c>
      <c r="K16" s="65" t="s">
        <v>9</v>
      </c>
      <c r="L16" s="35" t="str">
        <f t="shared" si="5"/>
        <v>EletroTécnicos</v>
      </c>
      <c r="M16" s="35" t="str">
        <f t="shared" si="6"/>
        <v>Elementos.Elétricos</v>
      </c>
      <c r="N16" s="35" t="str">
        <f t="shared" si="7"/>
        <v>Quadros Elétricos</v>
      </c>
      <c r="O16" s="31" t="str">
        <f t="shared" si="8"/>
        <v>Quadro.de.Comando</v>
      </c>
      <c r="P16" s="31" t="s">
        <v>136</v>
      </c>
      <c r="Q16" s="31" t="s">
        <v>240</v>
      </c>
      <c r="R16" s="31" t="s">
        <v>9</v>
      </c>
      <c r="S16" s="31" t="s">
        <v>149</v>
      </c>
      <c r="T16" s="31" t="str">
        <f t="shared" si="9"/>
        <v>Elementos.Elétricos</v>
      </c>
      <c r="U16" s="31" t="str">
        <f t="shared" si="10"/>
        <v>Quadros.Elétricos</v>
      </c>
      <c r="V16" s="31" t="s">
        <v>115</v>
      </c>
      <c r="W16" s="62" t="str">
        <f t="shared" si="3"/>
        <v>Key-ELET-16</v>
      </c>
      <c r="X16" s="31" t="s">
        <v>343</v>
      </c>
      <c r="Y16" s="30" t="s">
        <v>227</v>
      </c>
      <c r="Z16" s="31" t="s">
        <v>693</v>
      </c>
      <c r="AA16" s="31" t="str">
        <f t="shared" si="11"/>
        <v>QDCC - Command and Control Panel with automation devices, relays, PLCs, contactors and timers</v>
      </c>
    </row>
    <row r="17" spans="1:27" ht="6.65" customHeight="1" x14ac:dyDescent="0.4">
      <c r="A17" s="61">
        <v>17</v>
      </c>
      <c r="B17" s="1" t="s">
        <v>744</v>
      </c>
      <c r="C17" s="34" t="s">
        <v>745</v>
      </c>
      <c r="D17" s="1" t="s">
        <v>511</v>
      </c>
      <c r="E17" s="44" t="s">
        <v>130</v>
      </c>
      <c r="F17" s="66" t="s">
        <v>126</v>
      </c>
      <c r="G17" s="67" t="s">
        <v>9</v>
      </c>
      <c r="H17" s="65" t="s">
        <v>9</v>
      </c>
      <c r="I17" s="65" t="s">
        <v>9</v>
      </c>
      <c r="J17" s="65" t="s">
        <v>9</v>
      </c>
      <c r="K17" s="65" t="s">
        <v>9</v>
      </c>
      <c r="L17" s="35" t="str">
        <f t="shared" si="5"/>
        <v>EletroTécnicos</v>
      </c>
      <c r="M17" s="35" t="str">
        <f t="shared" si="6"/>
        <v>Elementos.Elétricos</v>
      </c>
      <c r="N17" s="35" t="str">
        <f t="shared" si="7"/>
        <v>Quadros Elétricos</v>
      </c>
      <c r="O17" s="31" t="str">
        <f t="shared" si="8"/>
        <v>Quadro.de.Força</v>
      </c>
      <c r="P17" s="31" t="s">
        <v>134</v>
      </c>
      <c r="Q17" s="31" t="s">
        <v>230</v>
      </c>
      <c r="R17" s="31" t="s">
        <v>9</v>
      </c>
      <c r="S17" s="31" t="s">
        <v>149</v>
      </c>
      <c r="T17" s="31" t="str">
        <f t="shared" si="9"/>
        <v>Elementos.Elétricos</v>
      </c>
      <c r="U17" s="31" t="str">
        <f t="shared" si="10"/>
        <v>Quadros.Elétricos</v>
      </c>
      <c r="V17" s="31" t="s">
        <v>115</v>
      </c>
      <c r="W17" s="62" t="str">
        <f t="shared" si="3"/>
        <v>Key-ELET-17</v>
      </c>
      <c r="X17" s="31" t="s">
        <v>343</v>
      </c>
      <c r="Y17" s="30" t="s">
        <v>227</v>
      </c>
      <c r="Z17" s="31" t="s">
        <v>693</v>
      </c>
      <c r="AA17" s="31" t="str">
        <f t="shared" si="11"/>
        <v>QDF - Powers power loads of motors, compressors, pumps</v>
      </c>
    </row>
    <row r="18" spans="1:27" ht="6.65" customHeight="1" x14ac:dyDescent="0.4">
      <c r="A18" s="61">
        <v>18</v>
      </c>
      <c r="B18" s="1" t="s">
        <v>744</v>
      </c>
      <c r="C18" s="34" t="s">
        <v>745</v>
      </c>
      <c r="D18" s="1" t="s">
        <v>511</v>
      </c>
      <c r="E18" s="44" t="s">
        <v>130</v>
      </c>
      <c r="F18" s="66" t="s">
        <v>127</v>
      </c>
      <c r="G18" s="67" t="s">
        <v>9</v>
      </c>
      <c r="H18" s="65" t="s">
        <v>9</v>
      </c>
      <c r="I18" s="65" t="s">
        <v>9</v>
      </c>
      <c r="J18" s="65" t="s">
        <v>9</v>
      </c>
      <c r="K18" s="65" t="s">
        <v>9</v>
      </c>
      <c r="L18" s="35" t="str">
        <f t="shared" si="5"/>
        <v>EletroTécnicos</v>
      </c>
      <c r="M18" s="35" t="str">
        <f t="shared" si="6"/>
        <v>Elementos.Elétricos</v>
      </c>
      <c r="N18" s="35" t="str">
        <f t="shared" si="7"/>
        <v>Quadros Elétricos</v>
      </c>
      <c r="O18" s="31" t="str">
        <f t="shared" si="8"/>
        <v>Quadro.de.Serviços</v>
      </c>
      <c r="P18" s="31" t="s">
        <v>138</v>
      </c>
      <c r="Q18" s="31" t="s">
        <v>237</v>
      </c>
      <c r="R18" s="31" t="s">
        <v>9</v>
      </c>
      <c r="S18" s="31" t="s">
        <v>149</v>
      </c>
      <c r="T18" s="31" t="str">
        <f t="shared" si="9"/>
        <v>Elementos.Elétricos</v>
      </c>
      <c r="U18" s="31" t="str">
        <f t="shared" si="10"/>
        <v>Quadros.Elétricos</v>
      </c>
      <c r="V18" s="31" t="s">
        <v>115</v>
      </c>
      <c r="W18" s="62" t="str">
        <f t="shared" si="3"/>
        <v>Key-ELET-18</v>
      </c>
      <c r="X18" s="31" t="s">
        <v>343</v>
      </c>
      <c r="Y18" s="30" t="s">
        <v>699</v>
      </c>
      <c r="Z18" s="31" t="s">
        <v>693</v>
      </c>
      <c r="AA18" s="31" t="str">
        <f t="shared" si="11"/>
        <v>QSP - Building services such as pump controls, lighting of common areas, gates, etc.</v>
      </c>
    </row>
    <row r="19" spans="1:27" ht="6.65" customHeight="1" x14ac:dyDescent="0.4">
      <c r="A19" s="61">
        <v>19</v>
      </c>
      <c r="B19" s="1" t="s">
        <v>744</v>
      </c>
      <c r="C19" s="34" t="s">
        <v>745</v>
      </c>
      <c r="D19" s="1" t="s">
        <v>511</v>
      </c>
      <c r="E19" s="44" t="s">
        <v>130</v>
      </c>
      <c r="F19" s="66" t="s">
        <v>128</v>
      </c>
      <c r="G19" s="67" t="s">
        <v>9</v>
      </c>
      <c r="H19" s="65" t="s">
        <v>9</v>
      </c>
      <c r="I19" s="65" t="s">
        <v>9</v>
      </c>
      <c r="J19" s="65" t="s">
        <v>9</v>
      </c>
      <c r="K19" s="65" t="s">
        <v>9</v>
      </c>
      <c r="L19" s="35" t="str">
        <f t="shared" si="5"/>
        <v>EletroTécnicos</v>
      </c>
      <c r="M19" s="35" t="str">
        <f t="shared" si="6"/>
        <v>Elementos.Elétricos</v>
      </c>
      <c r="N19" s="35" t="str">
        <f t="shared" si="7"/>
        <v>Quadros Elétricos</v>
      </c>
      <c r="O19" s="31" t="str">
        <f t="shared" si="8"/>
        <v>Quadro.Photovoltáico</v>
      </c>
      <c r="P19" s="31" t="s">
        <v>137</v>
      </c>
      <c r="Q19" s="31" t="s">
        <v>238</v>
      </c>
      <c r="R19" s="31" t="s">
        <v>9</v>
      </c>
      <c r="S19" s="31" t="s">
        <v>149</v>
      </c>
      <c r="T19" s="31" t="str">
        <f t="shared" si="9"/>
        <v>Elementos.Elétricos</v>
      </c>
      <c r="U19" s="31" t="str">
        <f t="shared" si="10"/>
        <v>Quadros.Elétricos</v>
      </c>
      <c r="V19" s="31" t="s">
        <v>115</v>
      </c>
      <c r="W19" s="62" t="str">
        <f t="shared" si="3"/>
        <v>Key-ELET-19</v>
      </c>
      <c r="X19" s="31" t="s">
        <v>343</v>
      </c>
      <c r="Y19" s="30" t="s">
        <v>227</v>
      </c>
      <c r="Z19" s="31" t="s">
        <v>693</v>
      </c>
      <c r="AA19" s="31" t="str">
        <f t="shared" si="11"/>
        <v>QSOL - Photovoltaic system panel</v>
      </c>
    </row>
    <row r="20" spans="1:27" ht="6.65" customHeight="1" x14ac:dyDescent="0.4">
      <c r="A20" s="61">
        <v>20</v>
      </c>
      <c r="B20" s="1" t="s">
        <v>744</v>
      </c>
      <c r="C20" s="34" t="s">
        <v>745</v>
      </c>
      <c r="D20" s="1" t="s">
        <v>511</v>
      </c>
      <c r="E20" s="44" t="s">
        <v>130</v>
      </c>
      <c r="F20" s="66" t="s">
        <v>129</v>
      </c>
      <c r="G20" s="67" t="s">
        <v>9</v>
      </c>
      <c r="H20" s="65" t="s">
        <v>9</v>
      </c>
      <c r="I20" s="65" t="s">
        <v>9</v>
      </c>
      <c r="J20" s="65" t="s">
        <v>9</v>
      </c>
      <c r="K20" s="65" t="s">
        <v>9</v>
      </c>
      <c r="L20" s="35" t="str">
        <f t="shared" si="5"/>
        <v>EletroTécnicos</v>
      </c>
      <c r="M20" s="35" t="str">
        <f t="shared" si="6"/>
        <v>Elementos.Elétricos</v>
      </c>
      <c r="N20" s="35" t="str">
        <f t="shared" si="7"/>
        <v>Quadros Elétricos</v>
      </c>
      <c r="O20" s="31" t="str">
        <f t="shared" si="8"/>
        <v>Quadro.de.Iluminação</v>
      </c>
      <c r="P20" s="31" t="s">
        <v>139</v>
      </c>
      <c r="Q20" s="31" t="s">
        <v>239</v>
      </c>
      <c r="R20" s="31" t="s">
        <v>9</v>
      </c>
      <c r="S20" s="31" t="s">
        <v>149</v>
      </c>
      <c r="T20" s="31" t="str">
        <f t="shared" si="9"/>
        <v>Elementos.Elétricos</v>
      </c>
      <c r="U20" s="31" t="str">
        <f t="shared" si="10"/>
        <v>Quadros.Elétricos</v>
      </c>
      <c r="V20" s="31" t="s">
        <v>115</v>
      </c>
      <c r="W20" s="62" t="str">
        <f t="shared" si="3"/>
        <v>Key-ELET-20</v>
      </c>
      <c r="X20" s="31" t="s">
        <v>343</v>
      </c>
      <c r="Y20" s="30" t="s">
        <v>227</v>
      </c>
      <c r="Z20" s="31" t="s">
        <v>693</v>
      </c>
      <c r="AA20" s="31" t="str">
        <f t="shared" si="11"/>
        <v>QL - General or Emergency Lighting Panel</v>
      </c>
    </row>
    <row r="21" spans="1:27" ht="6.65" customHeight="1" x14ac:dyDescent="0.4">
      <c r="A21" s="61">
        <v>21</v>
      </c>
      <c r="B21" s="1" t="s">
        <v>744</v>
      </c>
      <c r="C21" s="34" t="s">
        <v>745</v>
      </c>
      <c r="D21" s="1" t="s">
        <v>511</v>
      </c>
      <c r="E21" s="44" t="s">
        <v>140</v>
      </c>
      <c r="F21" s="66" t="s">
        <v>141</v>
      </c>
      <c r="G21" s="67" t="s">
        <v>9</v>
      </c>
      <c r="H21" s="65" t="s">
        <v>9</v>
      </c>
      <c r="I21" s="65" t="s">
        <v>9</v>
      </c>
      <c r="J21" s="65" t="s">
        <v>9</v>
      </c>
      <c r="K21" s="65" t="s">
        <v>9</v>
      </c>
      <c r="L21" s="35" t="str">
        <f t="shared" si="5"/>
        <v>EletroTécnicos</v>
      </c>
      <c r="M21" s="35" t="str">
        <f t="shared" si="6"/>
        <v>Elementos.Elétricos</v>
      </c>
      <c r="N21" s="35" t="str">
        <f t="shared" si="7"/>
        <v>Caixas Elétricas</v>
      </c>
      <c r="O21" s="31" t="str">
        <f t="shared" si="8"/>
        <v>Caixa.de.Passagem</v>
      </c>
      <c r="P21" s="31" t="s">
        <v>145</v>
      </c>
      <c r="Q21" s="31" t="s">
        <v>232</v>
      </c>
      <c r="R21" s="31" t="s">
        <v>9</v>
      </c>
      <c r="S21" s="31" t="s">
        <v>149</v>
      </c>
      <c r="T21" s="31" t="str">
        <f t="shared" si="9"/>
        <v>Elementos.Elétricos</v>
      </c>
      <c r="U21" s="31" t="str">
        <f t="shared" si="10"/>
        <v>Caixas.Elétricas</v>
      </c>
      <c r="V21" s="31" t="s">
        <v>115</v>
      </c>
      <c r="W21" s="62" t="str">
        <f t="shared" si="3"/>
        <v>Key-ELET-21</v>
      </c>
      <c r="X21" s="31" t="s">
        <v>343</v>
      </c>
      <c r="Y21" s="30" t="s">
        <v>227</v>
      </c>
      <c r="Z21" s="31" t="s">
        <v>693</v>
      </c>
      <c r="AA21" s="31" t="str">
        <f t="shared" si="11"/>
        <v>Junction Box</v>
      </c>
    </row>
    <row r="22" spans="1:27" ht="6.65" customHeight="1" x14ac:dyDescent="0.4">
      <c r="A22" s="61">
        <v>22</v>
      </c>
      <c r="B22" s="1" t="s">
        <v>744</v>
      </c>
      <c r="C22" s="34" t="s">
        <v>745</v>
      </c>
      <c r="D22" s="1" t="s">
        <v>511</v>
      </c>
      <c r="E22" s="44" t="s">
        <v>140</v>
      </c>
      <c r="F22" s="66" t="s">
        <v>142</v>
      </c>
      <c r="G22" s="67" t="s">
        <v>9</v>
      </c>
      <c r="H22" s="65" t="s">
        <v>9</v>
      </c>
      <c r="I22" s="65" t="s">
        <v>9</v>
      </c>
      <c r="J22" s="65" t="s">
        <v>9</v>
      </c>
      <c r="K22" s="65" t="s">
        <v>9</v>
      </c>
      <c r="L22" s="35" t="str">
        <f t="shared" si="5"/>
        <v>EletroTécnicos</v>
      </c>
      <c r="M22" s="35" t="str">
        <f t="shared" si="6"/>
        <v>Elementos.Elétricos</v>
      </c>
      <c r="N22" s="35" t="str">
        <f t="shared" si="7"/>
        <v>Caixas Elétricas</v>
      </c>
      <c r="O22" s="31" t="str">
        <f t="shared" si="8"/>
        <v>Caixa.de.Derivação</v>
      </c>
      <c r="P22" s="31" t="s">
        <v>146</v>
      </c>
      <c r="Q22" s="31" t="s">
        <v>233</v>
      </c>
      <c r="R22" s="31" t="s">
        <v>9</v>
      </c>
      <c r="S22" s="31" t="s">
        <v>149</v>
      </c>
      <c r="T22" s="31" t="str">
        <f t="shared" si="9"/>
        <v>Elementos.Elétricos</v>
      </c>
      <c r="U22" s="31" t="str">
        <f t="shared" si="10"/>
        <v>Caixas.Elétricas</v>
      </c>
      <c r="V22" s="31" t="s">
        <v>115</v>
      </c>
      <c r="W22" s="62" t="str">
        <f t="shared" si="3"/>
        <v>Key-ELET-22</v>
      </c>
      <c r="X22" s="31" t="s">
        <v>343</v>
      </c>
      <c r="Y22" s="30" t="s">
        <v>227</v>
      </c>
      <c r="Z22" s="31" t="s">
        <v>693</v>
      </c>
      <c r="AA22" s="31" t="str">
        <f t="shared" si="11"/>
        <v>Junction Box</v>
      </c>
    </row>
    <row r="23" spans="1:27" ht="6.65" customHeight="1" x14ac:dyDescent="0.4">
      <c r="A23" s="61">
        <v>23</v>
      </c>
      <c r="B23" s="1" t="s">
        <v>744</v>
      </c>
      <c r="C23" s="34" t="s">
        <v>745</v>
      </c>
      <c r="D23" s="1" t="s">
        <v>511</v>
      </c>
      <c r="E23" s="44" t="s">
        <v>140</v>
      </c>
      <c r="F23" s="66" t="s">
        <v>143</v>
      </c>
      <c r="G23" s="67" t="s">
        <v>9</v>
      </c>
      <c r="H23" s="65" t="s">
        <v>9</v>
      </c>
      <c r="I23" s="65" t="s">
        <v>9</v>
      </c>
      <c r="J23" s="65" t="s">
        <v>9</v>
      </c>
      <c r="K23" s="65" t="s">
        <v>9</v>
      </c>
      <c r="L23" s="35" t="str">
        <f t="shared" si="5"/>
        <v>EletroTécnicos</v>
      </c>
      <c r="M23" s="35" t="str">
        <f t="shared" si="6"/>
        <v>Elementos.Elétricos</v>
      </c>
      <c r="N23" s="35" t="str">
        <f t="shared" si="7"/>
        <v>Caixas Elétricas</v>
      </c>
      <c r="O23" s="31" t="str">
        <f t="shared" si="8"/>
        <v>Caixa.de.Interruptor</v>
      </c>
      <c r="P23" s="31" t="s">
        <v>147</v>
      </c>
      <c r="Q23" s="31" t="s">
        <v>231</v>
      </c>
      <c r="R23" s="31" t="s">
        <v>9</v>
      </c>
      <c r="S23" s="31" t="s">
        <v>149</v>
      </c>
      <c r="T23" s="31" t="str">
        <f t="shared" si="9"/>
        <v>Elementos.Elétricos</v>
      </c>
      <c r="U23" s="31" t="str">
        <f t="shared" si="10"/>
        <v>Caixas.Elétricas</v>
      </c>
      <c r="V23" s="31" t="s">
        <v>115</v>
      </c>
      <c r="W23" s="62" t="str">
        <f t="shared" si="3"/>
        <v>Key-ELET-23</v>
      </c>
      <c r="X23" s="31" t="s">
        <v>343</v>
      </c>
      <c r="Y23" s="30" t="s">
        <v>242</v>
      </c>
      <c r="Z23" s="31" t="s">
        <v>693</v>
      </c>
      <c r="AA23" s="31" t="str">
        <f t="shared" si="11"/>
        <v>Switch Box</v>
      </c>
    </row>
    <row r="24" spans="1:27" ht="6.45" customHeight="1" x14ac:dyDescent="0.4">
      <c r="A24" s="61">
        <v>24</v>
      </c>
      <c r="B24" s="1" t="s">
        <v>744</v>
      </c>
      <c r="C24" s="34" t="s">
        <v>745</v>
      </c>
      <c r="D24" s="1" t="s">
        <v>511</v>
      </c>
      <c r="E24" s="44" t="s">
        <v>140</v>
      </c>
      <c r="F24" s="66" t="s">
        <v>144</v>
      </c>
      <c r="G24" s="67" t="s">
        <v>9</v>
      </c>
      <c r="H24" s="65" t="s">
        <v>9</v>
      </c>
      <c r="I24" s="65" t="s">
        <v>9</v>
      </c>
      <c r="J24" s="65" t="s">
        <v>9</v>
      </c>
      <c r="K24" s="65" t="s">
        <v>9</v>
      </c>
      <c r="L24" s="35" t="str">
        <f t="shared" si="5"/>
        <v>EletroTécnicos</v>
      </c>
      <c r="M24" s="35" t="str">
        <f t="shared" si="6"/>
        <v>Elementos.Elétricos</v>
      </c>
      <c r="N24" s="35" t="str">
        <f t="shared" si="7"/>
        <v>Caixas Elétricas</v>
      </c>
      <c r="O24" s="31" t="str">
        <f t="shared" si="8"/>
        <v>Caixa.de.Tomada</v>
      </c>
      <c r="P24" s="31" t="s">
        <v>148</v>
      </c>
      <c r="Q24" s="31" t="s">
        <v>234</v>
      </c>
      <c r="R24" s="31" t="s">
        <v>9</v>
      </c>
      <c r="S24" s="31" t="s">
        <v>149</v>
      </c>
      <c r="T24" s="31" t="str">
        <f t="shared" si="9"/>
        <v>Elementos.Elétricos</v>
      </c>
      <c r="U24" s="31" t="str">
        <f t="shared" si="10"/>
        <v>Caixas.Elétricas</v>
      </c>
      <c r="V24" s="31" t="s">
        <v>115</v>
      </c>
      <c r="W24" s="62" t="str">
        <f t="shared" si="3"/>
        <v>Key-ELET-24</v>
      </c>
      <c r="X24" s="31" t="s">
        <v>343</v>
      </c>
      <c r="Y24" s="30" t="s">
        <v>242</v>
      </c>
      <c r="Z24" s="31" t="s">
        <v>693</v>
      </c>
      <c r="AA24" s="31" t="str">
        <f t="shared" ref="AA24" si="18">_xlfn.TRANSLATE(P24,"pt","en")</f>
        <v>Socket Box</v>
      </c>
    </row>
    <row r="25" spans="1:27" ht="6.65" customHeight="1" x14ac:dyDescent="0.4">
      <c r="A25" s="61">
        <v>25</v>
      </c>
      <c r="B25" s="1" t="s">
        <v>744</v>
      </c>
      <c r="C25" s="34" t="s">
        <v>745</v>
      </c>
      <c r="D25" s="1" t="s">
        <v>511</v>
      </c>
      <c r="E25" s="1" t="s">
        <v>345</v>
      </c>
      <c r="F25" s="57" t="s">
        <v>503</v>
      </c>
      <c r="G25" s="65" t="s">
        <v>9</v>
      </c>
      <c r="H25" s="65" t="s">
        <v>9</v>
      </c>
      <c r="I25" s="65" t="s">
        <v>9</v>
      </c>
      <c r="J25" s="65" t="s">
        <v>9</v>
      </c>
      <c r="K25" s="65" t="s">
        <v>9</v>
      </c>
      <c r="L25" s="35" t="str">
        <f t="shared" si="5"/>
        <v>EletroTécnicos</v>
      </c>
      <c r="M25" s="35" t="str">
        <f t="shared" si="6"/>
        <v>Elementos.Elétricos</v>
      </c>
      <c r="N25" s="35" t="str">
        <f t="shared" si="7"/>
        <v>Tomadas</v>
      </c>
      <c r="O25" s="31" t="str">
        <f t="shared" si="8"/>
        <v>Tomada.Elétrica</v>
      </c>
      <c r="P25" s="31" t="s">
        <v>195</v>
      </c>
      <c r="Q25" s="31" t="s">
        <v>196</v>
      </c>
      <c r="R25" s="31" t="s">
        <v>9</v>
      </c>
      <c r="S25" s="31" t="str">
        <f t="shared" ref="S25:S66" si="19">SUBSTITUTE(C25, "_", " ")</f>
        <v>EletroTécnicos</v>
      </c>
      <c r="T25" s="31" t="str">
        <f t="shared" si="9"/>
        <v>Elementos.Elétricos</v>
      </c>
      <c r="U25" s="31" t="str">
        <f t="shared" si="10"/>
        <v>Tomadas</v>
      </c>
      <c r="V25" s="31" t="s">
        <v>115</v>
      </c>
      <c r="W25" s="62" t="str">
        <f t="shared" si="3"/>
        <v>Key-ELET-25</v>
      </c>
      <c r="X25" s="31" t="s">
        <v>343</v>
      </c>
      <c r="Y25" s="30" t="s">
        <v>373</v>
      </c>
      <c r="Z25" s="31" t="s">
        <v>693</v>
      </c>
      <c r="AA25" s="31" t="s">
        <v>419</v>
      </c>
    </row>
    <row r="26" spans="1:27" ht="6.65" customHeight="1" x14ac:dyDescent="0.4">
      <c r="A26" s="61">
        <v>26</v>
      </c>
      <c r="B26" s="1" t="s">
        <v>744</v>
      </c>
      <c r="C26" s="34" t="s">
        <v>745</v>
      </c>
      <c r="D26" s="1" t="s">
        <v>511</v>
      </c>
      <c r="E26" s="1" t="s">
        <v>345</v>
      </c>
      <c r="F26" s="57" t="s">
        <v>348</v>
      </c>
      <c r="G26" s="65" t="s">
        <v>9</v>
      </c>
      <c r="H26" s="65" t="s">
        <v>9</v>
      </c>
      <c r="I26" s="65" t="s">
        <v>9</v>
      </c>
      <c r="J26" s="65" t="s">
        <v>9</v>
      </c>
      <c r="K26" s="65" t="s">
        <v>9</v>
      </c>
      <c r="L26" s="35" t="str">
        <f t="shared" si="5"/>
        <v>EletroTécnicos</v>
      </c>
      <c r="M26" s="35" t="str">
        <f t="shared" si="6"/>
        <v>Elementos.Elétricos</v>
      </c>
      <c r="N26" s="35" t="str">
        <f t="shared" si="7"/>
        <v>Tomadas</v>
      </c>
      <c r="O26" s="31" t="str">
        <f t="shared" si="8"/>
        <v>Tomada.AudioVisual</v>
      </c>
      <c r="P26" s="31" t="s">
        <v>197</v>
      </c>
      <c r="Q26" s="31" t="s">
        <v>198</v>
      </c>
      <c r="R26" s="31" t="s">
        <v>9</v>
      </c>
      <c r="S26" s="31" t="str">
        <f t="shared" si="19"/>
        <v>EletroTécnicos</v>
      </c>
      <c r="T26" s="31" t="str">
        <f t="shared" si="9"/>
        <v>Elementos.Elétricos</v>
      </c>
      <c r="U26" s="31" t="str">
        <f t="shared" si="10"/>
        <v>Tomadas</v>
      </c>
      <c r="V26" s="31" t="s">
        <v>115</v>
      </c>
      <c r="W26" s="62" t="str">
        <f t="shared" si="3"/>
        <v>Key-ELET-26</v>
      </c>
      <c r="X26" s="31" t="s">
        <v>343</v>
      </c>
      <c r="Y26" s="30" t="s">
        <v>372</v>
      </c>
      <c r="Z26" s="31" t="s">
        <v>693</v>
      </c>
      <c r="AA26" s="31" t="s">
        <v>420</v>
      </c>
    </row>
    <row r="27" spans="1:27" ht="6.65" customHeight="1" x14ac:dyDescent="0.4">
      <c r="A27" s="61">
        <v>27</v>
      </c>
      <c r="B27" s="1" t="s">
        <v>744</v>
      </c>
      <c r="C27" s="34" t="s">
        <v>745</v>
      </c>
      <c r="D27" s="1" t="s">
        <v>511</v>
      </c>
      <c r="E27" s="1" t="s">
        <v>345</v>
      </c>
      <c r="F27" s="57" t="s">
        <v>352</v>
      </c>
      <c r="G27" s="65" t="s">
        <v>9</v>
      </c>
      <c r="H27" s="65" t="s">
        <v>9</v>
      </c>
      <c r="I27" s="65" t="s">
        <v>9</v>
      </c>
      <c r="J27" s="65" t="s">
        <v>9</v>
      </c>
      <c r="K27" s="65" t="s">
        <v>9</v>
      </c>
      <c r="L27" s="35" t="str">
        <f t="shared" si="5"/>
        <v>EletroTécnicos</v>
      </c>
      <c r="M27" s="35" t="str">
        <f t="shared" si="6"/>
        <v>Elementos.Elétricos</v>
      </c>
      <c r="N27" s="35" t="str">
        <f t="shared" si="7"/>
        <v>Tomadas</v>
      </c>
      <c r="O27" s="31" t="str">
        <f t="shared" si="8"/>
        <v>Tomada.de.Telecomunicação</v>
      </c>
      <c r="P27" s="31" t="s">
        <v>199</v>
      </c>
      <c r="Q27" s="31" t="s">
        <v>200</v>
      </c>
      <c r="R27" s="31" t="s">
        <v>9</v>
      </c>
      <c r="S27" s="31" t="str">
        <f t="shared" si="19"/>
        <v>EletroTécnicos</v>
      </c>
      <c r="T27" s="31" t="str">
        <f t="shared" si="9"/>
        <v>Elementos.Elétricos</v>
      </c>
      <c r="U27" s="31" t="str">
        <f t="shared" si="10"/>
        <v>Tomadas</v>
      </c>
      <c r="V27" s="31" t="s">
        <v>115</v>
      </c>
      <c r="W27" s="62" t="str">
        <f t="shared" si="3"/>
        <v>Key-ELET-27</v>
      </c>
      <c r="X27" s="31" t="s">
        <v>343</v>
      </c>
      <c r="Y27" s="30" t="s">
        <v>371</v>
      </c>
      <c r="Z27" s="31" t="s">
        <v>693</v>
      </c>
      <c r="AA27" s="31" t="s">
        <v>421</v>
      </c>
    </row>
    <row r="28" spans="1:27" ht="6.65" customHeight="1" x14ac:dyDescent="0.4">
      <c r="A28" s="61">
        <v>28</v>
      </c>
      <c r="B28" s="1" t="s">
        <v>744</v>
      </c>
      <c r="C28" s="34" t="s">
        <v>745</v>
      </c>
      <c r="D28" s="1" t="s">
        <v>511</v>
      </c>
      <c r="E28" s="1" t="s">
        <v>345</v>
      </c>
      <c r="F28" s="57" t="s">
        <v>351</v>
      </c>
      <c r="G28" s="65" t="s">
        <v>9</v>
      </c>
      <c r="H28" s="65" t="s">
        <v>9</v>
      </c>
      <c r="I28" s="65" t="s">
        <v>9</v>
      </c>
      <c r="J28" s="65" t="s">
        <v>9</v>
      </c>
      <c r="K28" s="65" t="s">
        <v>9</v>
      </c>
      <c r="L28" s="35" t="str">
        <f t="shared" si="5"/>
        <v>EletroTécnicos</v>
      </c>
      <c r="M28" s="35" t="str">
        <f t="shared" si="6"/>
        <v>Elementos.Elétricos</v>
      </c>
      <c r="N28" s="35" t="str">
        <f t="shared" si="7"/>
        <v>Tomadas</v>
      </c>
      <c r="O28" s="31" t="str">
        <f t="shared" si="8"/>
        <v>Tomada.de.Dados</v>
      </c>
      <c r="P28" s="31" t="s">
        <v>201</v>
      </c>
      <c r="Q28" s="31" t="s">
        <v>202</v>
      </c>
      <c r="R28" s="31" t="s">
        <v>9</v>
      </c>
      <c r="S28" s="31" t="str">
        <f t="shared" si="19"/>
        <v>EletroTécnicos</v>
      </c>
      <c r="T28" s="31" t="str">
        <f t="shared" si="9"/>
        <v>Elementos.Elétricos</v>
      </c>
      <c r="U28" s="31" t="str">
        <f t="shared" si="10"/>
        <v>Tomadas</v>
      </c>
      <c r="V28" s="31" t="s">
        <v>115</v>
      </c>
      <c r="W28" s="62" t="str">
        <f t="shared" si="3"/>
        <v>Key-ELET-28</v>
      </c>
      <c r="X28" s="31" t="s">
        <v>343</v>
      </c>
      <c r="Y28" s="30" t="s">
        <v>370</v>
      </c>
      <c r="Z28" s="31" t="s">
        <v>693</v>
      </c>
      <c r="AA28" s="31" t="s">
        <v>422</v>
      </c>
    </row>
    <row r="29" spans="1:27" ht="6.65" customHeight="1" x14ac:dyDescent="0.4">
      <c r="A29" s="61">
        <v>29</v>
      </c>
      <c r="B29" s="1" t="s">
        <v>744</v>
      </c>
      <c r="C29" s="34" t="s">
        <v>745</v>
      </c>
      <c r="D29" s="1" t="s">
        <v>511</v>
      </c>
      <c r="E29" s="1" t="s">
        <v>345</v>
      </c>
      <c r="F29" s="57" t="s">
        <v>350</v>
      </c>
      <c r="G29" s="65" t="s">
        <v>9</v>
      </c>
      <c r="H29" s="65" t="s">
        <v>9</v>
      </c>
      <c r="I29" s="65" t="s">
        <v>9</v>
      </c>
      <c r="J29" s="65" t="s">
        <v>9</v>
      </c>
      <c r="K29" s="65" t="s">
        <v>9</v>
      </c>
      <c r="L29" s="35" t="str">
        <f t="shared" si="5"/>
        <v>EletroTécnicos</v>
      </c>
      <c r="M29" s="35" t="str">
        <f t="shared" si="6"/>
        <v>Elementos.Elétricos</v>
      </c>
      <c r="N29" s="35" t="str">
        <f t="shared" si="7"/>
        <v>Tomadas</v>
      </c>
      <c r="O29" s="31" t="str">
        <f t="shared" si="8"/>
        <v>Tomada.de.Potência</v>
      </c>
      <c r="P29" s="31" t="s">
        <v>203</v>
      </c>
      <c r="Q29" s="31" t="s">
        <v>204</v>
      </c>
      <c r="R29" s="31" t="s">
        <v>9</v>
      </c>
      <c r="S29" s="31" t="str">
        <f t="shared" si="19"/>
        <v>EletroTécnicos</v>
      </c>
      <c r="T29" s="31" t="str">
        <f t="shared" si="9"/>
        <v>Elementos.Elétricos</v>
      </c>
      <c r="U29" s="31" t="str">
        <f t="shared" si="10"/>
        <v>Tomadas</v>
      </c>
      <c r="V29" s="31" t="s">
        <v>115</v>
      </c>
      <c r="W29" s="62" t="str">
        <f t="shared" si="3"/>
        <v>Key-ELET-29</v>
      </c>
      <c r="X29" s="31" t="s">
        <v>343</v>
      </c>
      <c r="Y29" s="30" t="s">
        <v>369</v>
      </c>
      <c r="Z29" s="31" t="s">
        <v>693</v>
      </c>
      <c r="AA29" s="31" t="s">
        <v>423</v>
      </c>
    </row>
    <row r="30" spans="1:27" ht="6.65" customHeight="1" x14ac:dyDescent="0.4">
      <c r="A30" s="61">
        <v>30</v>
      </c>
      <c r="B30" s="1" t="s">
        <v>744</v>
      </c>
      <c r="C30" s="34" t="s">
        <v>745</v>
      </c>
      <c r="D30" s="1" t="s">
        <v>511</v>
      </c>
      <c r="E30" s="1" t="s">
        <v>345</v>
      </c>
      <c r="F30" s="57" t="s">
        <v>349</v>
      </c>
      <c r="G30" s="65" t="s">
        <v>9</v>
      </c>
      <c r="H30" s="65" t="s">
        <v>9</v>
      </c>
      <c r="I30" s="65" t="s">
        <v>9</v>
      </c>
      <c r="J30" s="65" t="s">
        <v>9</v>
      </c>
      <c r="K30" s="65" t="s">
        <v>9</v>
      </c>
      <c r="L30" s="35" t="str">
        <f t="shared" si="5"/>
        <v>EletroTécnicos</v>
      </c>
      <c r="M30" s="35" t="str">
        <f t="shared" si="6"/>
        <v>Elementos.Elétricos</v>
      </c>
      <c r="N30" s="35" t="str">
        <f t="shared" si="7"/>
        <v>Tomadas</v>
      </c>
      <c r="O30" s="31" t="str">
        <f t="shared" si="8"/>
        <v>Tomada.de.Telefone</v>
      </c>
      <c r="P30" s="31" t="s">
        <v>205</v>
      </c>
      <c r="Q30" s="31" t="s">
        <v>206</v>
      </c>
      <c r="R30" s="31" t="s">
        <v>9</v>
      </c>
      <c r="S30" s="31" t="str">
        <f t="shared" si="19"/>
        <v>EletroTécnicos</v>
      </c>
      <c r="T30" s="31" t="str">
        <f t="shared" si="9"/>
        <v>Elementos.Elétricos</v>
      </c>
      <c r="U30" s="31" t="str">
        <f t="shared" si="10"/>
        <v>Tomadas</v>
      </c>
      <c r="V30" s="31" t="s">
        <v>115</v>
      </c>
      <c r="W30" s="62" t="str">
        <f t="shared" si="3"/>
        <v>Key-ELET-30</v>
      </c>
      <c r="X30" s="31" t="s">
        <v>343</v>
      </c>
      <c r="Y30" s="30" t="s">
        <v>368</v>
      </c>
      <c r="Z30" s="31" t="s">
        <v>693</v>
      </c>
      <c r="AA30" s="31" t="s">
        <v>424</v>
      </c>
    </row>
    <row r="31" spans="1:27" ht="6.65" customHeight="1" x14ac:dyDescent="0.4">
      <c r="A31" s="61">
        <v>31</v>
      </c>
      <c r="B31" s="1" t="s">
        <v>744</v>
      </c>
      <c r="C31" s="34" t="s">
        <v>745</v>
      </c>
      <c r="D31" s="1" t="s">
        <v>511</v>
      </c>
      <c r="E31" s="1" t="s">
        <v>345</v>
      </c>
      <c r="F31" s="57" t="s">
        <v>683</v>
      </c>
      <c r="G31" s="65" t="s">
        <v>9</v>
      </c>
      <c r="H31" s="65" t="s">
        <v>9</v>
      </c>
      <c r="I31" s="65" t="s">
        <v>9</v>
      </c>
      <c r="J31" s="65" t="s">
        <v>9</v>
      </c>
      <c r="K31" s="65" t="s">
        <v>9</v>
      </c>
      <c r="L31" s="35" t="str">
        <f t="shared" si="5"/>
        <v>EletroTécnicos</v>
      </c>
      <c r="M31" s="35" t="str">
        <f t="shared" si="6"/>
        <v>Elementos.Elétricos</v>
      </c>
      <c r="N31" s="35" t="str">
        <f t="shared" si="7"/>
        <v>Tomadas</v>
      </c>
      <c r="O31" s="31" t="str">
        <f t="shared" si="8"/>
        <v>Tomada.de.Rede</v>
      </c>
      <c r="P31" s="31" t="s">
        <v>207</v>
      </c>
      <c r="Q31" s="31" t="s">
        <v>208</v>
      </c>
      <c r="R31" s="31" t="s">
        <v>9</v>
      </c>
      <c r="S31" s="31" t="str">
        <f t="shared" si="19"/>
        <v>EletroTécnicos</v>
      </c>
      <c r="T31" s="31" t="str">
        <f t="shared" si="9"/>
        <v>Elementos.Elétricos</v>
      </c>
      <c r="U31" s="31" t="str">
        <f t="shared" si="10"/>
        <v>Tomadas</v>
      </c>
      <c r="V31" s="31" t="s">
        <v>115</v>
      </c>
      <c r="W31" s="62" t="str">
        <f t="shared" si="3"/>
        <v>Key-ELET-31</v>
      </c>
      <c r="X31" s="31" t="s">
        <v>343</v>
      </c>
      <c r="Y31" s="30" t="s">
        <v>367</v>
      </c>
      <c r="Z31" s="31" t="s">
        <v>693</v>
      </c>
      <c r="AA31" s="31" t="s">
        <v>425</v>
      </c>
    </row>
    <row r="32" spans="1:27" ht="6.65" customHeight="1" x14ac:dyDescent="0.4">
      <c r="A32" s="61">
        <v>32</v>
      </c>
      <c r="B32" s="1" t="s">
        <v>744</v>
      </c>
      <c r="C32" s="34" t="s">
        <v>745</v>
      </c>
      <c r="D32" s="1" t="s">
        <v>511</v>
      </c>
      <c r="E32" s="1" t="s">
        <v>677</v>
      </c>
      <c r="F32" s="57" t="s">
        <v>678</v>
      </c>
      <c r="G32" s="65" t="s">
        <v>9</v>
      </c>
      <c r="H32" s="65" t="s">
        <v>9</v>
      </c>
      <c r="I32" s="65" t="s">
        <v>9</v>
      </c>
      <c r="J32" s="65" t="s">
        <v>9</v>
      </c>
      <c r="K32" s="65" t="s">
        <v>9</v>
      </c>
      <c r="L32" s="35" t="str">
        <f t="shared" si="5"/>
        <v>EletroTécnicos</v>
      </c>
      <c r="M32" s="35" t="str">
        <f t="shared" si="6"/>
        <v>Elementos.Elétricos</v>
      </c>
      <c r="N32" s="35" t="str">
        <f t="shared" si="7"/>
        <v>Interruptores</v>
      </c>
      <c r="O32" s="31" t="str">
        <f t="shared" ref="O32:O35" si="20">IF(ISNUMBER(FIND("Ifc",F32)),CONCATENATE("Classe IFC:   ",F32),CONCATENATE("",F32))</f>
        <v>Interruptor.Simples</v>
      </c>
      <c r="P32" s="31" t="s">
        <v>688</v>
      </c>
      <c r="Q32" s="31" t="s">
        <v>196</v>
      </c>
      <c r="R32" s="31" t="s">
        <v>9</v>
      </c>
      <c r="S32" s="31" t="str">
        <f t="shared" ref="S32:S35" si="21">SUBSTITUTE(C32, "_", " ")</f>
        <v>EletroTécnicos</v>
      </c>
      <c r="T32" s="31" t="str">
        <f t="shared" si="9"/>
        <v>Elementos.Elétricos</v>
      </c>
      <c r="U32" s="31" t="str">
        <f t="shared" si="10"/>
        <v>Interruptores</v>
      </c>
      <c r="V32" s="31" t="s">
        <v>115</v>
      </c>
      <c r="W32" s="62" t="str">
        <f t="shared" si="3"/>
        <v>Key-ELET-32</v>
      </c>
      <c r="X32" s="31" t="s">
        <v>343</v>
      </c>
      <c r="Y32" s="30" t="s">
        <v>696</v>
      </c>
      <c r="Z32" s="31" t="s">
        <v>695</v>
      </c>
      <c r="AA32" s="31" t="s">
        <v>419</v>
      </c>
    </row>
    <row r="33" spans="1:27" ht="6.65" customHeight="1" x14ac:dyDescent="0.4">
      <c r="A33" s="61">
        <v>33</v>
      </c>
      <c r="B33" s="1" t="s">
        <v>744</v>
      </c>
      <c r="C33" s="34" t="s">
        <v>745</v>
      </c>
      <c r="D33" s="1" t="s">
        <v>511</v>
      </c>
      <c r="E33" s="1" t="s">
        <v>677</v>
      </c>
      <c r="F33" s="57" t="s">
        <v>679</v>
      </c>
      <c r="G33" s="65" t="s">
        <v>9</v>
      </c>
      <c r="H33" s="65" t="s">
        <v>9</v>
      </c>
      <c r="I33" s="65" t="s">
        <v>9</v>
      </c>
      <c r="J33" s="65" t="s">
        <v>9</v>
      </c>
      <c r="K33" s="65" t="s">
        <v>9</v>
      </c>
      <c r="L33" s="35" t="str">
        <f t="shared" si="5"/>
        <v>EletroTécnicos</v>
      </c>
      <c r="M33" s="35" t="str">
        <f t="shared" si="6"/>
        <v>Elementos.Elétricos</v>
      </c>
      <c r="N33" s="35" t="str">
        <f t="shared" si="7"/>
        <v>Interruptores</v>
      </c>
      <c r="O33" s="31" t="str">
        <f t="shared" ref="O33" si="22">IF(ISNUMBER(FIND("Ifc",F33)),CONCATENATE("Classe IFC:   ",F33),CONCATENATE("",F33))</f>
        <v>Interruptor.Duplo</v>
      </c>
      <c r="P33" s="31" t="s">
        <v>684</v>
      </c>
      <c r="Q33" s="31" t="s">
        <v>198</v>
      </c>
      <c r="R33" s="31" t="s">
        <v>9</v>
      </c>
      <c r="S33" s="31" t="str">
        <f t="shared" ref="S33" si="23">SUBSTITUTE(C33, "_", " ")</f>
        <v>EletroTécnicos</v>
      </c>
      <c r="T33" s="31" t="str">
        <f t="shared" si="9"/>
        <v>Elementos.Elétricos</v>
      </c>
      <c r="U33" s="31" t="str">
        <f t="shared" si="10"/>
        <v>Interruptores</v>
      </c>
      <c r="V33" s="31" t="s">
        <v>115</v>
      </c>
      <c r="W33" s="62" t="str">
        <f t="shared" si="3"/>
        <v>Key-ELET-33</v>
      </c>
      <c r="X33" s="31" t="s">
        <v>343</v>
      </c>
      <c r="Y33" s="30" t="s">
        <v>696</v>
      </c>
      <c r="Z33" s="31" t="s">
        <v>695</v>
      </c>
      <c r="AA33" s="31" t="s">
        <v>420</v>
      </c>
    </row>
    <row r="34" spans="1:27" ht="6.65" customHeight="1" x14ac:dyDescent="0.4">
      <c r="A34" s="61">
        <v>34</v>
      </c>
      <c r="B34" s="1" t="s">
        <v>744</v>
      </c>
      <c r="C34" s="34" t="s">
        <v>745</v>
      </c>
      <c r="D34" s="1" t="s">
        <v>511</v>
      </c>
      <c r="E34" s="1" t="s">
        <v>677</v>
      </c>
      <c r="F34" s="57" t="s">
        <v>680</v>
      </c>
      <c r="G34" s="65" t="s">
        <v>9</v>
      </c>
      <c r="H34" s="65" t="s">
        <v>9</v>
      </c>
      <c r="I34" s="65" t="s">
        <v>9</v>
      </c>
      <c r="J34" s="65" t="s">
        <v>9</v>
      </c>
      <c r="K34" s="65" t="s">
        <v>9</v>
      </c>
      <c r="L34" s="35" t="str">
        <f t="shared" si="5"/>
        <v>EletroTécnicos</v>
      </c>
      <c r="M34" s="35" t="str">
        <f t="shared" si="6"/>
        <v>Elementos.Elétricos</v>
      </c>
      <c r="N34" s="35" t="str">
        <f t="shared" si="7"/>
        <v>Interruptores</v>
      </c>
      <c r="O34" s="31" t="str">
        <f t="shared" si="20"/>
        <v>Interruptor.Tripo</v>
      </c>
      <c r="P34" s="31" t="s">
        <v>685</v>
      </c>
      <c r="Q34" s="31" t="s">
        <v>198</v>
      </c>
      <c r="R34" s="31" t="s">
        <v>9</v>
      </c>
      <c r="S34" s="31" t="str">
        <f t="shared" si="21"/>
        <v>EletroTécnicos</v>
      </c>
      <c r="T34" s="31" t="str">
        <f t="shared" si="9"/>
        <v>Elementos.Elétricos</v>
      </c>
      <c r="U34" s="31" t="str">
        <f t="shared" si="10"/>
        <v>Interruptores</v>
      </c>
      <c r="V34" s="31" t="s">
        <v>115</v>
      </c>
      <c r="W34" s="62" t="str">
        <f t="shared" si="3"/>
        <v>Key-ELET-34</v>
      </c>
      <c r="X34" s="31" t="s">
        <v>343</v>
      </c>
      <c r="Y34" s="30" t="s">
        <v>696</v>
      </c>
      <c r="Z34" s="31" t="s">
        <v>695</v>
      </c>
      <c r="AA34" s="31" t="s">
        <v>420</v>
      </c>
    </row>
    <row r="35" spans="1:27" ht="6.65" customHeight="1" x14ac:dyDescent="0.4">
      <c r="A35" s="61">
        <v>35</v>
      </c>
      <c r="B35" s="1" t="s">
        <v>744</v>
      </c>
      <c r="C35" s="34" t="s">
        <v>745</v>
      </c>
      <c r="D35" s="1" t="s">
        <v>511</v>
      </c>
      <c r="E35" s="1" t="s">
        <v>677</v>
      </c>
      <c r="F35" s="57" t="s">
        <v>691</v>
      </c>
      <c r="G35" s="65" t="s">
        <v>9</v>
      </c>
      <c r="H35" s="65" t="s">
        <v>9</v>
      </c>
      <c r="I35" s="65" t="s">
        <v>9</v>
      </c>
      <c r="J35" s="65" t="s">
        <v>9</v>
      </c>
      <c r="K35" s="65" t="s">
        <v>9</v>
      </c>
      <c r="L35" s="35" t="str">
        <f t="shared" si="5"/>
        <v>EletroTécnicos</v>
      </c>
      <c r="M35" s="35" t="str">
        <f t="shared" si="6"/>
        <v>Elementos.Elétricos</v>
      </c>
      <c r="N35" s="35" t="str">
        <f t="shared" si="7"/>
        <v>Interruptores</v>
      </c>
      <c r="O35" s="31" t="str">
        <f t="shared" si="20"/>
        <v>Interruptor.Paralelo.3W</v>
      </c>
      <c r="P35" s="31" t="s">
        <v>689</v>
      </c>
      <c r="Q35" s="31" t="s">
        <v>196</v>
      </c>
      <c r="R35" s="31" t="s">
        <v>9</v>
      </c>
      <c r="S35" s="31" t="str">
        <f t="shared" si="21"/>
        <v>EletroTécnicos</v>
      </c>
      <c r="T35" s="31" t="str">
        <f t="shared" si="9"/>
        <v>Elementos.Elétricos</v>
      </c>
      <c r="U35" s="31" t="str">
        <f t="shared" si="10"/>
        <v>Interruptores</v>
      </c>
      <c r="V35" s="31" t="s">
        <v>115</v>
      </c>
      <c r="W35" s="62" t="str">
        <f t="shared" si="3"/>
        <v>Key-ELET-35</v>
      </c>
      <c r="X35" s="31" t="s">
        <v>343</v>
      </c>
      <c r="Y35" s="30" t="s">
        <v>696</v>
      </c>
      <c r="Z35" s="31" t="s">
        <v>695</v>
      </c>
      <c r="AA35" s="31" t="s">
        <v>419</v>
      </c>
    </row>
    <row r="36" spans="1:27" ht="6.65" customHeight="1" x14ac:dyDescent="0.4">
      <c r="A36" s="61">
        <v>36</v>
      </c>
      <c r="B36" s="1" t="s">
        <v>744</v>
      </c>
      <c r="C36" s="34" t="s">
        <v>745</v>
      </c>
      <c r="D36" s="1" t="s">
        <v>511</v>
      </c>
      <c r="E36" s="1" t="s">
        <v>677</v>
      </c>
      <c r="F36" s="57" t="s">
        <v>692</v>
      </c>
      <c r="G36" s="65" t="s">
        <v>9</v>
      </c>
      <c r="H36" s="65" t="s">
        <v>9</v>
      </c>
      <c r="I36" s="65" t="s">
        <v>9</v>
      </c>
      <c r="J36" s="65" t="s">
        <v>9</v>
      </c>
      <c r="K36" s="65" t="s">
        <v>9</v>
      </c>
      <c r="L36" s="35" t="str">
        <f t="shared" si="5"/>
        <v>EletroTécnicos</v>
      </c>
      <c r="M36" s="35" t="str">
        <f t="shared" si="6"/>
        <v>Elementos.Elétricos</v>
      </c>
      <c r="N36" s="35" t="str">
        <f t="shared" si="7"/>
        <v>Interruptores</v>
      </c>
      <c r="O36" s="31" t="str">
        <f t="shared" ref="O36:O51" si="24">IF(ISNUMBER(FIND("Ifc",F36)),CONCATENATE("Classe IFC:   ",F36),CONCATENATE("",F36))</f>
        <v>Interruptor.Paralelo.4W</v>
      </c>
      <c r="P36" s="31" t="s">
        <v>690</v>
      </c>
      <c r="Q36" s="31" t="s">
        <v>196</v>
      </c>
      <c r="R36" s="31" t="s">
        <v>9</v>
      </c>
      <c r="S36" s="31" t="str">
        <f t="shared" ref="S36:S38" si="25">SUBSTITUTE(C36, "_", " ")</f>
        <v>EletroTécnicos</v>
      </c>
      <c r="T36" s="31" t="str">
        <f t="shared" si="9"/>
        <v>Elementos.Elétricos</v>
      </c>
      <c r="U36" s="31" t="str">
        <f t="shared" si="10"/>
        <v>Interruptores</v>
      </c>
      <c r="V36" s="31" t="s">
        <v>115</v>
      </c>
      <c r="W36" s="62" t="str">
        <f t="shared" si="3"/>
        <v>Key-ELET-36</v>
      </c>
      <c r="X36" s="31" t="s">
        <v>343</v>
      </c>
      <c r="Y36" s="30" t="s">
        <v>696</v>
      </c>
      <c r="Z36" s="31" t="s">
        <v>695</v>
      </c>
      <c r="AA36" s="31" t="s">
        <v>419</v>
      </c>
    </row>
    <row r="37" spans="1:27" ht="6.65" customHeight="1" x14ac:dyDescent="0.4">
      <c r="A37" s="61">
        <v>37</v>
      </c>
      <c r="B37" s="1" t="s">
        <v>744</v>
      </c>
      <c r="C37" s="34" t="s">
        <v>745</v>
      </c>
      <c r="D37" s="1" t="s">
        <v>511</v>
      </c>
      <c r="E37" s="1" t="s">
        <v>677</v>
      </c>
      <c r="F37" s="57" t="s">
        <v>681</v>
      </c>
      <c r="G37" s="65" t="s">
        <v>9</v>
      </c>
      <c r="H37" s="65" t="s">
        <v>9</v>
      </c>
      <c r="I37" s="65" t="s">
        <v>9</v>
      </c>
      <c r="J37" s="65" t="s">
        <v>9</v>
      </c>
      <c r="K37" s="65" t="s">
        <v>9</v>
      </c>
      <c r="L37" s="35" t="str">
        <f t="shared" si="5"/>
        <v>EletroTécnicos</v>
      </c>
      <c r="M37" s="35" t="str">
        <f t="shared" si="6"/>
        <v>Elementos.Elétricos</v>
      </c>
      <c r="N37" s="35" t="str">
        <f t="shared" si="7"/>
        <v>Interruptores</v>
      </c>
      <c r="O37" s="31" t="str">
        <f t="shared" si="24"/>
        <v>Interruptor.Dimmer</v>
      </c>
      <c r="P37" s="31" t="s">
        <v>686</v>
      </c>
      <c r="Q37" s="31" t="s">
        <v>198</v>
      </c>
      <c r="R37" s="31" t="s">
        <v>9</v>
      </c>
      <c r="S37" s="31" t="str">
        <f t="shared" si="25"/>
        <v>EletroTécnicos</v>
      </c>
      <c r="T37" s="31" t="str">
        <f t="shared" si="9"/>
        <v>Elementos.Elétricos</v>
      </c>
      <c r="U37" s="31" t="str">
        <f t="shared" si="10"/>
        <v>Interruptores</v>
      </c>
      <c r="V37" s="31" t="s">
        <v>115</v>
      </c>
      <c r="W37" s="62" t="str">
        <f t="shared" si="3"/>
        <v>Key-ELET-37</v>
      </c>
      <c r="X37" s="31" t="s">
        <v>343</v>
      </c>
      <c r="Y37" s="30" t="s">
        <v>696</v>
      </c>
      <c r="Z37" s="31" t="s">
        <v>695</v>
      </c>
      <c r="AA37" s="31" t="s">
        <v>420</v>
      </c>
    </row>
    <row r="38" spans="1:27" ht="6.65" customHeight="1" x14ac:dyDescent="0.4">
      <c r="A38" s="61">
        <v>38</v>
      </c>
      <c r="B38" s="1" t="s">
        <v>744</v>
      </c>
      <c r="C38" s="34" t="s">
        <v>745</v>
      </c>
      <c r="D38" s="1" t="s">
        <v>511</v>
      </c>
      <c r="E38" s="1" t="s">
        <v>677</v>
      </c>
      <c r="F38" s="57" t="s">
        <v>682</v>
      </c>
      <c r="G38" s="65" t="s">
        <v>9</v>
      </c>
      <c r="H38" s="65" t="s">
        <v>9</v>
      </c>
      <c r="I38" s="65" t="s">
        <v>9</v>
      </c>
      <c r="J38" s="65" t="s">
        <v>9</v>
      </c>
      <c r="K38" s="65" t="s">
        <v>9</v>
      </c>
      <c r="L38" s="35" t="str">
        <f t="shared" si="5"/>
        <v>EletroTécnicos</v>
      </c>
      <c r="M38" s="35" t="str">
        <f t="shared" si="6"/>
        <v>Elementos.Elétricos</v>
      </c>
      <c r="N38" s="35" t="str">
        <f t="shared" si="7"/>
        <v>Interruptores</v>
      </c>
      <c r="O38" s="31" t="str">
        <f t="shared" si="24"/>
        <v>Interruptor.Botão</v>
      </c>
      <c r="P38" s="31" t="s">
        <v>687</v>
      </c>
      <c r="Q38" s="31" t="s">
        <v>198</v>
      </c>
      <c r="R38" s="31" t="s">
        <v>9</v>
      </c>
      <c r="S38" s="31" t="str">
        <f t="shared" si="25"/>
        <v>EletroTécnicos</v>
      </c>
      <c r="T38" s="31" t="str">
        <f t="shared" si="9"/>
        <v>Elementos.Elétricos</v>
      </c>
      <c r="U38" s="31" t="str">
        <f t="shared" si="10"/>
        <v>Interruptores</v>
      </c>
      <c r="V38" s="31" t="s">
        <v>115</v>
      </c>
      <c r="W38" s="62" t="str">
        <f t="shared" si="3"/>
        <v>Key-ELET-38</v>
      </c>
      <c r="X38" s="31" t="s">
        <v>343</v>
      </c>
      <c r="Y38" s="30" t="s">
        <v>696</v>
      </c>
      <c r="Z38" s="31" t="s">
        <v>695</v>
      </c>
      <c r="AA38" s="31" t="s">
        <v>420</v>
      </c>
    </row>
    <row r="39" spans="1:27" ht="6.65" customHeight="1" x14ac:dyDescent="0.4">
      <c r="A39" s="61">
        <v>39</v>
      </c>
      <c r="B39" s="1" t="s">
        <v>744</v>
      </c>
      <c r="C39" s="34" t="s">
        <v>745</v>
      </c>
      <c r="D39" s="1" t="s">
        <v>511</v>
      </c>
      <c r="E39" s="1" t="s">
        <v>712</v>
      </c>
      <c r="F39" s="57" t="s">
        <v>664</v>
      </c>
      <c r="G39" s="65" t="s">
        <v>9</v>
      </c>
      <c r="H39" s="65" t="s">
        <v>9</v>
      </c>
      <c r="I39" s="65" t="s">
        <v>9</v>
      </c>
      <c r="J39" s="65" t="s">
        <v>9</v>
      </c>
      <c r="K39" s="65" t="s">
        <v>9</v>
      </c>
      <c r="L39" s="35" t="str">
        <f t="shared" si="5"/>
        <v>EletroTécnicos</v>
      </c>
      <c r="M39" s="35" t="str">
        <f t="shared" si="6"/>
        <v>Elementos.Elétricos</v>
      </c>
      <c r="N39" s="35" t="str">
        <f t="shared" si="7"/>
        <v>Condutos Segmentos</v>
      </c>
      <c r="O39" s="31" t="str">
        <f t="shared" si="24"/>
        <v>Segmento.de.Calha</v>
      </c>
      <c r="P39" s="31" t="s">
        <v>592</v>
      </c>
      <c r="Q39" s="31" t="s">
        <v>593</v>
      </c>
      <c r="R39" s="31" t="s">
        <v>9</v>
      </c>
      <c r="S39" s="31" t="str">
        <f t="shared" si="19"/>
        <v>EletroTécnicos</v>
      </c>
      <c r="T39" s="31" t="str">
        <f t="shared" si="9"/>
        <v>Elementos.Elétricos</v>
      </c>
      <c r="U39" s="31" t="str">
        <f t="shared" si="10"/>
        <v>Condutos.Segmentos</v>
      </c>
      <c r="V39" s="31" t="s">
        <v>115</v>
      </c>
      <c r="W39" s="62" t="str">
        <f t="shared" si="3"/>
        <v>Key-ELET-39</v>
      </c>
      <c r="X39" s="30" t="s">
        <v>662</v>
      </c>
      <c r="Y39" s="30" t="s">
        <v>640</v>
      </c>
      <c r="Z39" s="31" t="s">
        <v>693</v>
      </c>
      <c r="AA39" s="31" t="str">
        <f t="shared" ref="AA39:AA66" si="26">_xlfn.TRANSLATE(P39,"pt","en")</f>
        <v>Cable carrier segments is a flow segment used specifically to carry and support cabling.</v>
      </c>
    </row>
    <row r="40" spans="1:27" ht="6.65" customHeight="1" x14ac:dyDescent="0.4">
      <c r="A40" s="61">
        <v>40</v>
      </c>
      <c r="B40" s="1" t="s">
        <v>744</v>
      </c>
      <c r="C40" s="34" t="s">
        <v>745</v>
      </c>
      <c r="D40" s="1" t="s">
        <v>511</v>
      </c>
      <c r="E40" s="1" t="s">
        <v>712</v>
      </c>
      <c r="F40" s="57" t="s">
        <v>714</v>
      </c>
      <c r="G40" s="65" t="s">
        <v>9</v>
      </c>
      <c r="H40" s="65" t="s">
        <v>9</v>
      </c>
      <c r="I40" s="65" t="s">
        <v>9</v>
      </c>
      <c r="J40" s="65" t="s">
        <v>9</v>
      </c>
      <c r="K40" s="65" t="s">
        <v>9</v>
      </c>
      <c r="L40" s="35" t="str">
        <f t="shared" si="5"/>
        <v>EletroTécnicos</v>
      </c>
      <c r="M40" s="35" t="str">
        <f t="shared" si="6"/>
        <v>Elementos.Elétricos</v>
      </c>
      <c r="N40" s="35" t="str">
        <f t="shared" si="7"/>
        <v>Condutos Segmentos</v>
      </c>
      <c r="O40" s="31" t="str">
        <f t="shared" si="24"/>
        <v>Segmento.de.Suporte</v>
      </c>
      <c r="P40" s="31" t="s">
        <v>594</v>
      </c>
      <c r="Q40" s="31" t="s">
        <v>595</v>
      </c>
      <c r="R40" s="31" t="s">
        <v>9</v>
      </c>
      <c r="S40" s="31" t="str">
        <f t="shared" si="19"/>
        <v>EletroTécnicos</v>
      </c>
      <c r="T40" s="31" t="str">
        <f t="shared" si="9"/>
        <v>Elementos.Elétricos</v>
      </c>
      <c r="U40" s="31" t="str">
        <f t="shared" si="10"/>
        <v>Condutos.Segmentos</v>
      </c>
      <c r="V40" s="31" t="s">
        <v>115</v>
      </c>
      <c r="W40" s="62" t="str">
        <f t="shared" si="3"/>
        <v>Key-ELET-40</v>
      </c>
      <c r="X40" s="30" t="s">
        <v>662</v>
      </c>
      <c r="Y40" s="30" t="s">
        <v>641</v>
      </c>
      <c r="Z40" s="31" t="s">
        <v>693</v>
      </c>
      <c r="AA40" s="31" t="str">
        <f t="shared" si="26"/>
        <v>Cable holder is a horizontal cable holder fixed at only one end, spaced at intervals.</v>
      </c>
    </row>
    <row r="41" spans="1:27" ht="6.65" customHeight="1" x14ac:dyDescent="0.4">
      <c r="A41" s="61">
        <v>41</v>
      </c>
      <c r="B41" s="1" t="s">
        <v>744</v>
      </c>
      <c r="C41" s="34" t="s">
        <v>745</v>
      </c>
      <c r="D41" s="1" t="s">
        <v>511</v>
      </c>
      <c r="E41" s="1" t="s">
        <v>712</v>
      </c>
      <c r="F41" s="57" t="s">
        <v>715</v>
      </c>
      <c r="G41" s="65" t="s">
        <v>9</v>
      </c>
      <c r="H41" s="65" t="s">
        <v>9</v>
      </c>
      <c r="I41" s="65" t="s">
        <v>9</v>
      </c>
      <c r="J41" s="65" t="s">
        <v>9</v>
      </c>
      <c r="K41" s="65" t="s">
        <v>9</v>
      </c>
      <c r="L41" s="35" t="str">
        <f t="shared" si="5"/>
        <v>EletroTécnicos</v>
      </c>
      <c r="M41" s="35" t="str">
        <f t="shared" si="6"/>
        <v>Elementos.Elétricos</v>
      </c>
      <c r="N41" s="35" t="str">
        <f t="shared" si="7"/>
        <v>Condutos Segmentos</v>
      </c>
      <c r="O41" s="31" t="str">
        <f t="shared" si="24"/>
        <v>Segmento.de.Leito.de.Cabos</v>
      </c>
      <c r="P41" s="31" t="s">
        <v>596</v>
      </c>
      <c r="Q41" s="31" t="s">
        <v>597</v>
      </c>
      <c r="R41" s="31" t="s">
        <v>9</v>
      </c>
      <c r="S41" s="31" t="str">
        <f t="shared" si="19"/>
        <v>EletroTécnicos</v>
      </c>
      <c r="T41" s="31" t="str">
        <f t="shared" si="9"/>
        <v>Elementos.Elétricos</v>
      </c>
      <c r="U41" s="31" t="str">
        <f t="shared" si="10"/>
        <v>Condutos.Segmentos</v>
      </c>
      <c r="V41" s="31" t="s">
        <v>115</v>
      </c>
      <c r="W41" s="62" t="str">
        <f t="shared" si="3"/>
        <v>Key-ELET-41</v>
      </c>
      <c r="X41" s="30" t="s">
        <v>662</v>
      </c>
      <c r="Y41" s="30" t="s">
        <v>642</v>
      </c>
      <c r="Z41" s="31" t="s">
        <v>693</v>
      </c>
      <c r="AA41" s="31" t="str">
        <f t="shared" si="26"/>
        <v>Open carrier segments in which cables are transported on a ladder structure.</v>
      </c>
    </row>
    <row r="42" spans="1:27" ht="6.65" customHeight="1" x14ac:dyDescent="0.4">
      <c r="A42" s="61">
        <v>42</v>
      </c>
      <c r="B42" s="1" t="s">
        <v>744</v>
      </c>
      <c r="C42" s="34" t="s">
        <v>745</v>
      </c>
      <c r="D42" s="1" t="s">
        <v>511</v>
      </c>
      <c r="E42" s="1" t="s">
        <v>712</v>
      </c>
      <c r="F42" s="57" t="s">
        <v>727</v>
      </c>
      <c r="G42" s="65" t="s">
        <v>9</v>
      </c>
      <c r="H42" s="65" t="s">
        <v>9</v>
      </c>
      <c r="I42" s="65" t="s">
        <v>9</v>
      </c>
      <c r="J42" s="65" t="s">
        <v>9</v>
      </c>
      <c r="K42" s="65" t="s">
        <v>9</v>
      </c>
      <c r="L42" s="35" t="str">
        <f t="shared" si="5"/>
        <v>EletroTécnicos</v>
      </c>
      <c r="M42" s="35" t="str">
        <f t="shared" si="6"/>
        <v>Elementos.Elétricos</v>
      </c>
      <c r="N42" s="35" t="str">
        <f t="shared" si="7"/>
        <v>Condutos Segmentos</v>
      </c>
      <c r="O42" s="31" t="str">
        <f t="shared" si="24"/>
        <v>Segmento.de.Bandeja.de.Cabos</v>
      </c>
      <c r="P42" s="31" t="s">
        <v>598</v>
      </c>
      <c r="Q42" s="31" t="s">
        <v>599</v>
      </c>
      <c r="R42" s="31" t="s">
        <v>9</v>
      </c>
      <c r="S42" s="31" t="str">
        <f t="shared" si="19"/>
        <v>EletroTécnicos</v>
      </c>
      <c r="T42" s="31" t="str">
        <f t="shared" si="9"/>
        <v>Elementos.Elétricos</v>
      </c>
      <c r="U42" s="31" t="str">
        <f t="shared" si="10"/>
        <v>Condutos.Segmentos</v>
      </c>
      <c r="V42" s="31" t="s">
        <v>115</v>
      </c>
      <c r="W42" s="62" t="str">
        <f t="shared" si="3"/>
        <v>Key-ELET-42</v>
      </c>
      <c r="X42" s="30" t="s">
        <v>662</v>
      </c>
      <c r="Y42" s="30" t="s">
        <v>659</v>
      </c>
      <c r="Z42" s="31" t="s">
        <v>693</v>
      </c>
      <c r="AA42" s="31" t="str">
        <f t="shared" si="26"/>
        <v>Carrier segments (usually) open in which cables are placed.</v>
      </c>
    </row>
    <row r="43" spans="1:27" ht="6.65" customHeight="1" x14ac:dyDescent="0.4">
      <c r="A43" s="61">
        <v>43</v>
      </c>
      <c r="B43" s="1" t="s">
        <v>744</v>
      </c>
      <c r="C43" s="34" t="s">
        <v>745</v>
      </c>
      <c r="D43" s="1" t="s">
        <v>511</v>
      </c>
      <c r="E43" s="1" t="s">
        <v>712</v>
      </c>
      <c r="F43" s="57" t="s">
        <v>716</v>
      </c>
      <c r="G43" s="65" t="s">
        <v>9</v>
      </c>
      <c r="H43" s="65" t="s">
        <v>9</v>
      </c>
      <c r="I43" s="65" t="s">
        <v>9</v>
      </c>
      <c r="J43" s="65" t="s">
        <v>9</v>
      </c>
      <c r="K43" s="65" t="s">
        <v>9</v>
      </c>
      <c r="L43" s="35" t="str">
        <f t="shared" si="5"/>
        <v>EletroTécnicos</v>
      </c>
      <c r="M43" s="35" t="str">
        <f t="shared" si="6"/>
        <v>Elementos.Elétricos</v>
      </c>
      <c r="N43" s="35" t="str">
        <f t="shared" si="7"/>
        <v>Condutos Segmentos</v>
      </c>
      <c r="O43" s="31" t="str">
        <f t="shared" si="24"/>
        <v>Segmento.de.EletroCalha</v>
      </c>
      <c r="P43" s="31" t="s">
        <v>600</v>
      </c>
      <c r="Q43" s="31" t="s">
        <v>601</v>
      </c>
      <c r="R43" s="31" t="s">
        <v>9</v>
      </c>
      <c r="S43" s="31" t="str">
        <f t="shared" si="19"/>
        <v>EletroTécnicos</v>
      </c>
      <c r="T43" s="31" t="str">
        <f t="shared" si="9"/>
        <v>Elementos.Elétricos</v>
      </c>
      <c r="U43" s="31" t="str">
        <f t="shared" si="10"/>
        <v>Condutos.Segmentos</v>
      </c>
      <c r="V43" s="31" t="s">
        <v>115</v>
      </c>
      <c r="W43" s="62" t="str">
        <f t="shared" si="3"/>
        <v>Key-ELET-43</v>
      </c>
      <c r="X43" s="30" t="s">
        <v>662</v>
      </c>
      <c r="Y43" s="30" t="s">
        <v>658</v>
      </c>
      <c r="Z43" s="31" t="s">
        <v>693</v>
      </c>
      <c r="AA43" s="31" t="str">
        <f t="shared" si="26"/>
        <v>Closed carrier segments with one or more compartments in which the cables are placed.</v>
      </c>
    </row>
    <row r="44" spans="1:27" ht="6.65" customHeight="1" x14ac:dyDescent="0.4">
      <c r="A44" s="61">
        <v>44</v>
      </c>
      <c r="B44" s="1" t="s">
        <v>744</v>
      </c>
      <c r="C44" s="34" t="s">
        <v>745</v>
      </c>
      <c r="D44" s="1" t="s">
        <v>511</v>
      </c>
      <c r="E44" s="1" t="s">
        <v>712</v>
      </c>
      <c r="F44" s="57" t="s">
        <v>717</v>
      </c>
      <c r="G44" s="65" t="s">
        <v>9</v>
      </c>
      <c r="H44" s="65" t="s">
        <v>9</v>
      </c>
      <c r="I44" s="65" t="s">
        <v>9</v>
      </c>
      <c r="J44" s="65" t="s">
        <v>9</v>
      </c>
      <c r="K44" s="65" t="s">
        <v>9</v>
      </c>
      <c r="L44" s="35" t="str">
        <f t="shared" si="5"/>
        <v>EletroTécnicos</v>
      </c>
      <c r="M44" s="35" t="str">
        <f t="shared" si="6"/>
        <v>Elementos.Elétricos</v>
      </c>
      <c r="N44" s="35" t="str">
        <f t="shared" si="7"/>
        <v>Condutos Segmentos</v>
      </c>
      <c r="O44" s="31" t="str">
        <f t="shared" si="24"/>
        <v>Segmento.de.Catenária</v>
      </c>
      <c r="P44" s="31" t="s">
        <v>602</v>
      </c>
      <c r="Q44" s="31" t="s">
        <v>603</v>
      </c>
      <c r="R44" s="31" t="s">
        <v>9</v>
      </c>
      <c r="S44" s="31" t="str">
        <f t="shared" si="19"/>
        <v>EletroTécnicos</v>
      </c>
      <c r="T44" s="31" t="str">
        <f t="shared" si="9"/>
        <v>Elementos.Elétricos</v>
      </c>
      <c r="U44" s="31" t="str">
        <f t="shared" si="10"/>
        <v>Condutos.Segmentos</v>
      </c>
      <c r="V44" s="31" t="s">
        <v>115</v>
      </c>
      <c r="W44" s="62" t="str">
        <f t="shared" si="3"/>
        <v>Key-ELET-44</v>
      </c>
      <c r="X44" s="30" t="s">
        <v>662</v>
      </c>
      <c r="Y44" s="30" t="s">
        <v>657</v>
      </c>
      <c r="Z44" s="31" t="s">
        <v>693</v>
      </c>
      <c r="AA44" s="31" t="str">
        <f t="shared" si="26"/>
        <v>Catenary wire is a longitudinal wire that supports the grooved contact wires directly or individually.</v>
      </c>
    </row>
    <row r="45" spans="1:27" s="68" customFormat="1" ht="6.65" customHeight="1" x14ac:dyDescent="0.2">
      <c r="A45" s="61">
        <v>45</v>
      </c>
      <c r="B45" s="1" t="s">
        <v>744</v>
      </c>
      <c r="C45" s="34" t="s">
        <v>745</v>
      </c>
      <c r="D45" s="1" t="s">
        <v>511</v>
      </c>
      <c r="E45" s="1" t="s">
        <v>712</v>
      </c>
      <c r="F45" s="59" t="s">
        <v>709</v>
      </c>
      <c r="G45" s="65" t="s">
        <v>9</v>
      </c>
      <c r="H45" s="65" t="s">
        <v>9</v>
      </c>
      <c r="I45" s="65" t="s">
        <v>9</v>
      </c>
      <c r="J45" s="65" t="s">
        <v>9</v>
      </c>
      <c r="K45" s="65" t="s">
        <v>9</v>
      </c>
      <c r="L45" s="35" t="str">
        <f t="shared" si="5"/>
        <v>EletroTécnicos</v>
      </c>
      <c r="M45" s="35" t="str">
        <f t="shared" si="6"/>
        <v>Elementos.Elétricos</v>
      </c>
      <c r="N45" s="35" t="str">
        <f t="shared" si="7"/>
        <v>Condutos Segmentos</v>
      </c>
      <c r="O45" s="31" t="str">
        <f t="shared" si="24"/>
        <v>Segmento.de.Conduíte</v>
      </c>
      <c r="P45" s="31" t="s">
        <v>604</v>
      </c>
      <c r="Q45" s="31" t="s">
        <v>605</v>
      </c>
      <c r="R45" s="31" t="s">
        <v>9</v>
      </c>
      <c r="S45" s="31" t="str">
        <f t="shared" si="19"/>
        <v>EletroTécnicos</v>
      </c>
      <c r="T45" s="31" t="str">
        <f t="shared" si="9"/>
        <v>Elementos.Elétricos</v>
      </c>
      <c r="U45" s="31" t="str">
        <f t="shared" si="10"/>
        <v>Condutos.Segmentos</v>
      </c>
      <c r="V45" s="31" t="s">
        <v>115</v>
      </c>
      <c r="W45" s="62" t="str">
        <f t="shared" si="3"/>
        <v>Key-ELET-45</v>
      </c>
      <c r="X45" s="30" t="s">
        <v>662</v>
      </c>
      <c r="Y45" s="60" t="s">
        <v>656</v>
      </c>
      <c r="Z45" s="31" t="s">
        <v>693</v>
      </c>
      <c r="AA45" s="31" t="str">
        <f t="shared" si="26"/>
        <v>Enclosed tubular segments through which the cables are pulled.</v>
      </c>
    </row>
    <row r="46" spans="1:27" s="68" customFormat="1" ht="6.65" customHeight="1" x14ac:dyDescent="0.2">
      <c r="A46" s="61">
        <v>46</v>
      </c>
      <c r="B46" s="1" t="s">
        <v>744</v>
      </c>
      <c r="C46" s="34" t="s">
        <v>745</v>
      </c>
      <c r="D46" s="1" t="s">
        <v>511</v>
      </c>
      <c r="E46" s="1" t="s">
        <v>712</v>
      </c>
      <c r="F46" s="57" t="s">
        <v>718</v>
      </c>
      <c r="G46" s="65" t="s">
        <v>9</v>
      </c>
      <c r="H46" s="65" t="s">
        <v>9</v>
      </c>
      <c r="I46" s="65" t="s">
        <v>9</v>
      </c>
      <c r="J46" s="65" t="s">
        <v>9</v>
      </c>
      <c r="K46" s="65" t="s">
        <v>9</v>
      </c>
      <c r="L46" s="35" t="str">
        <f t="shared" si="5"/>
        <v>EletroTécnicos</v>
      </c>
      <c r="M46" s="35" t="str">
        <f t="shared" si="6"/>
        <v>Elementos.Elétricos</v>
      </c>
      <c r="N46" s="35" t="str">
        <f t="shared" si="7"/>
        <v>Condutos Segmentos</v>
      </c>
      <c r="O46" s="31" t="str">
        <f t="shared" si="24"/>
        <v>Segmento.de.Descida</v>
      </c>
      <c r="P46" s="31" t="s">
        <v>606</v>
      </c>
      <c r="Q46" s="31" t="s">
        <v>607</v>
      </c>
      <c r="R46" s="31" t="s">
        <v>9</v>
      </c>
      <c r="S46" s="31" t="str">
        <f t="shared" si="19"/>
        <v>EletroTécnicos</v>
      </c>
      <c r="T46" s="31" t="str">
        <f t="shared" si="9"/>
        <v>Elementos.Elétricos</v>
      </c>
      <c r="U46" s="31" t="str">
        <f t="shared" si="10"/>
        <v>Condutos.Segmentos</v>
      </c>
      <c r="V46" s="31" t="s">
        <v>115</v>
      </c>
      <c r="W46" s="62" t="str">
        <f t="shared" si="3"/>
        <v>Key-ELET-46</v>
      </c>
      <c r="X46" s="30" t="s">
        <v>662</v>
      </c>
      <c r="Y46" s="30" t="s">
        <v>655</v>
      </c>
      <c r="Z46" s="31" t="s">
        <v>693</v>
      </c>
      <c r="AA46" s="31" t="str">
        <f t="shared" si="26"/>
        <v>Dropper is a cable carrier used to suspend the cable from another cable.</v>
      </c>
    </row>
    <row r="47" spans="1:27" ht="6.65" customHeight="1" x14ac:dyDescent="0.4">
      <c r="A47" s="61">
        <v>47</v>
      </c>
      <c r="B47" s="1" t="s">
        <v>744</v>
      </c>
      <c r="C47" s="34" t="s">
        <v>745</v>
      </c>
      <c r="D47" s="1" t="s">
        <v>511</v>
      </c>
      <c r="E47" s="1" t="s">
        <v>713</v>
      </c>
      <c r="F47" s="57" t="s">
        <v>719</v>
      </c>
      <c r="G47" s="65" t="s">
        <v>9</v>
      </c>
      <c r="H47" s="65" t="s">
        <v>9</v>
      </c>
      <c r="I47" s="65" t="s">
        <v>9</v>
      </c>
      <c r="J47" s="65" t="s">
        <v>9</v>
      </c>
      <c r="K47" s="65" t="s">
        <v>9</v>
      </c>
      <c r="L47" s="35" t="str">
        <f t="shared" si="5"/>
        <v>EletroTécnicos</v>
      </c>
      <c r="M47" s="35" t="str">
        <f t="shared" si="6"/>
        <v>Elementos.Elétricos</v>
      </c>
      <c r="N47" s="35" t="str">
        <f t="shared" si="7"/>
        <v>Condutos Conexões</v>
      </c>
      <c r="O47" s="31" t="str">
        <f t="shared" si="24"/>
        <v>Conexão.de.Condutos</v>
      </c>
      <c r="P47" s="31" t="s">
        <v>576</v>
      </c>
      <c r="Q47" s="31" t="s">
        <v>577</v>
      </c>
      <c r="R47" s="31" t="s">
        <v>9</v>
      </c>
      <c r="S47" s="31" t="str">
        <f t="shared" si="19"/>
        <v>EletroTécnicos</v>
      </c>
      <c r="T47" s="31" t="str">
        <f t="shared" si="9"/>
        <v>Elementos.Elétricos</v>
      </c>
      <c r="U47" s="31" t="str">
        <f t="shared" si="10"/>
        <v>Condutos.Conexões</v>
      </c>
      <c r="V47" s="31" t="s">
        <v>115</v>
      </c>
      <c r="W47" s="62" t="str">
        <f t="shared" si="3"/>
        <v>Key-ELET-47</v>
      </c>
      <c r="X47" s="30" t="s">
        <v>661</v>
      </c>
      <c r="Y47" s="30" t="s">
        <v>632</v>
      </c>
      <c r="Z47" s="31" t="s">
        <v>693</v>
      </c>
      <c r="AA47" s="31" t="str">
        <f t="shared" si="26"/>
        <v>Cable holder connection is connection that is placed at the junction or transition in the cable support system.</v>
      </c>
    </row>
    <row r="48" spans="1:27" ht="6.65" customHeight="1" x14ac:dyDescent="0.4">
      <c r="A48" s="61">
        <v>48</v>
      </c>
      <c r="B48" s="1" t="s">
        <v>744</v>
      </c>
      <c r="C48" s="34" t="s">
        <v>745</v>
      </c>
      <c r="D48" s="1" t="s">
        <v>511</v>
      </c>
      <c r="E48" s="1" t="s">
        <v>713</v>
      </c>
      <c r="F48" s="57" t="s">
        <v>720</v>
      </c>
      <c r="G48" s="65" t="s">
        <v>9</v>
      </c>
      <c r="H48" s="65" t="s">
        <v>9</v>
      </c>
      <c r="I48" s="65" t="s">
        <v>9</v>
      </c>
      <c r="J48" s="65" t="s">
        <v>9</v>
      </c>
      <c r="K48" s="65" t="s">
        <v>9</v>
      </c>
      <c r="L48" s="35" t="str">
        <f t="shared" si="5"/>
        <v>EletroTécnicos</v>
      </c>
      <c r="M48" s="35" t="str">
        <f t="shared" si="6"/>
        <v>Elementos.Elétricos</v>
      </c>
      <c r="N48" s="35" t="str">
        <f t="shared" si="7"/>
        <v>Condutos Conexões</v>
      </c>
      <c r="O48" s="31" t="str">
        <f t="shared" si="24"/>
        <v>Conexão.de.Condutos.Curva</v>
      </c>
      <c r="P48" s="31" t="s">
        <v>578</v>
      </c>
      <c r="Q48" s="31" t="s">
        <v>579</v>
      </c>
      <c r="R48" s="31" t="s">
        <v>9</v>
      </c>
      <c r="S48" s="31" t="str">
        <f t="shared" si="19"/>
        <v>EletroTécnicos</v>
      </c>
      <c r="T48" s="31" t="str">
        <f t="shared" si="9"/>
        <v>Elementos.Elétricos</v>
      </c>
      <c r="U48" s="31" t="str">
        <f t="shared" si="10"/>
        <v>Condutos.Conexões</v>
      </c>
      <c r="V48" s="31" t="s">
        <v>115</v>
      </c>
      <c r="W48" s="62" t="str">
        <f t="shared" si="3"/>
        <v>Key-ELET-48</v>
      </c>
      <c r="X48" s="30" t="s">
        <v>661</v>
      </c>
      <c r="Y48" s="30" t="s">
        <v>633</v>
      </c>
      <c r="Z48" s="31" t="s">
        <v>693</v>
      </c>
      <c r="AA48" s="31" t="str">
        <f t="shared" si="26"/>
        <v>Accessory that changes the route of the cable carrier.</v>
      </c>
    </row>
    <row r="49" spans="1:27" ht="6.65" customHeight="1" x14ac:dyDescent="0.4">
      <c r="A49" s="61">
        <v>49</v>
      </c>
      <c r="B49" s="1" t="s">
        <v>744</v>
      </c>
      <c r="C49" s="34" t="s">
        <v>745</v>
      </c>
      <c r="D49" s="1" t="s">
        <v>511</v>
      </c>
      <c r="E49" s="1" t="s">
        <v>713</v>
      </c>
      <c r="F49" s="57" t="s">
        <v>721</v>
      </c>
      <c r="G49" s="65" t="s">
        <v>9</v>
      </c>
      <c r="H49" s="65" t="s">
        <v>9</v>
      </c>
      <c r="I49" s="65" t="s">
        <v>9</v>
      </c>
      <c r="J49" s="65" t="s">
        <v>9</v>
      </c>
      <c r="K49" s="65" t="s">
        <v>9</v>
      </c>
      <c r="L49" s="35" t="str">
        <f t="shared" si="5"/>
        <v>EletroTécnicos</v>
      </c>
      <c r="M49" s="35" t="str">
        <f t="shared" si="6"/>
        <v>Elementos.Elétricos</v>
      </c>
      <c r="N49" s="35" t="str">
        <f t="shared" si="7"/>
        <v>Condutos Conexões</v>
      </c>
      <c r="O49" s="31" t="str">
        <f t="shared" si="24"/>
        <v>Conexão.de.Condutos.Conector</v>
      </c>
      <c r="P49" s="31" t="s">
        <v>580</v>
      </c>
      <c r="Q49" s="31" t="s">
        <v>581</v>
      </c>
      <c r="R49" s="31" t="s">
        <v>9</v>
      </c>
      <c r="S49" s="31" t="str">
        <f t="shared" si="19"/>
        <v>EletroTécnicos</v>
      </c>
      <c r="T49" s="31" t="str">
        <f t="shared" si="9"/>
        <v>Elementos.Elétricos</v>
      </c>
      <c r="U49" s="31" t="str">
        <f t="shared" si="10"/>
        <v>Condutos.Conexões</v>
      </c>
      <c r="V49" s="31" t="s">
        <v>115</v>
      </c>
      <c r="W49" s="62" t="str">
        <f t="shared" si="3"/>
        <v>Key-ELET-49</v>
      </c>
      <c r="X49" s="30" t="s">
        <v>661</v>
      </c>
      <c r="Y49" s="30" t="s">
        <v>634</v>
      </c>
      <c r="Z49" s="31" t="s">
        <v>693</v>
      </c>
      <c r="AA49" s="31" t="str">
        <f t="shared" si="26"/>
        <v>Connector, usually used to join two ports within flow distribution system.</v>
      </c>
    </row>
    <row r="50" spans="1:27" ht="6.65" customHeight="1" x14ac:dyDescent="0.4">
      <c r="A50" s="61">
        <v>50</v>
      </c>
      <c r="B50" s="1" t="s">
        <v>744</v>
      </c>
      <c r="C50" s="34" t="s">
        <v>745</v>
      </c>
      <c r="D50" s="1" t="s">
        <v>511</v>
      </c>
      <c r="E50" s="1" t="s">
        <v>713</v>
      </c>
      <c r="F50" s="57" t="s">
        <v>722</v>
      </c>
      <c r="G50" s="65" t="s">
        <v>9</v>
      </c>
      <c r="H50" s="65" t="s">
        <v>9</v>
      </c>
      <c r="I50" s="65" t="s">
        <v>9</v>
      </c>
      <c r="J50" s="65" t="s">
        <v>9</v>
      </c>
      <c r="K50" s="65" t="s">
        <v>9</v>
      </c>
      <c r="L50" s="35" t="str">
        <f t="shared" si="5"/>
        <v>EletroTécnicos</v>
      </c>
      <c r="M50" s="35" t="str">
        <f t="shared" si="6"/>
        <v>Elementos.Elétricos</v>
      </c>
      <c r="N50" s="35" t="str">
        <f t="shared" si="7"/>
        <v>Condutos Conexões</v>
      </c>
      <c r="O50" s="31" t="str">
        <f t="shared" si="24"/>
        <v>Conexão.de.Condutos.Cruzeta</v>
      </c>
      <c r="P50" s="31" t="s">
        <v>582</v>
      </c>
      <c r="Q50" s="31" t="s">
        <v>583</v>
      </c>
      <c r="R50" s="31" t="s">
        <v>9</v>
      </c>
      <c r="S50" s="31" t="str">
        <f t="shared" si="19"/>
        <v>EletroTécnicos</v>
      </c>
      <c r="T50" s="31" t="str">
        <f t="shared" si="9"/>
        <v>Elementos.Elétricos</v>
      </c>
      <c r="U50" s="31" t="str">
        <f t="shared" si="10"/>
        <v>Condutos.Conexões</v>
      </c>
      <c r="V50" s="31" t="s">
        <v>115</v>
      </c>
      <c r="W50" s="62" t="str">
        <f t="shared" si="3"/>
        <v>Key-ELET-50</v>
      </c>
      <c r="X50" s="30" t="s">
        <v>661</v>
      </c>
      <c r="Y50" s="30" t="s">
        <v>636</v>
      </c>
      <c r="Z50" s="31" t="s">
        <v>693</v>
      </c>
      <c r="AA50" s="31" t="str">
        <f t="shared" si="26"/>
        <v>Connection in which two branches are removed from the main route of the cable conveyor simultaneously.</v>
      </c>
    </row>
    <row r="51" spans="1:27" ht="6.65" customHeight="1" x14ac:dyDescent="0.4">
      <c r="A51" s="61">
        <v>51</v>
      </c>
      <c r="B51" s="1" t="s">
        <v>744</v>
      </c>
      <c r="C51" s="34" t="s">
        <v>745</v>
      </c>
      <c r="D51" s="1" t="s">
        <v>511</v>
      </c>
      <c r="E51" s="1" t="s">
        <v>713</v>
      </c>
      <c r="F51" s="57" t="s">
        <v>723</v>
      </c>
      <c r="G51" s="65" t="s">
        <v>9</v>
      </c>
      <c r="H51" s="65" t="s">
        <v>9</v>
      </c>
      <c r="I51" s="65" t="s">
        <v>9</v>
      </c>
      <c r="J51" s="65" t="s">
        <v>9</v>
      </c>
      <c r="K51" s="65" t="s">
        <v>9</v>
      </c>
      <c r="L51" s="35" t="str">
        <f t="shared" si="5"/>
        <v>EletroTécnicos</v>
      </c>
      <c r="M51" s="35" t="str">
        <f t="shared" si="6"/>
        <v>Elementos.Elétricos</v>
      </c>
      <c r="N51" s="35" t="str">
        <f t="shared" si="7"/>
        <v>Condutos Conexões</v>
      </c>
      <c r="O51" s="31" t="str">
        <f t="shared" si="24"/>
        <v>Conexão.de.Condutos.Junção</v>
      </c>
      <c r="P51" s="31" t="s">
        <v>584</v>
      </c>
      <c r="Q51" s="31" t="s">
        <v>585</v>
      </c>
      <c r="R51" s="31" t="s">
        <v>9</v>
      </c>
      <c r="S51" s="31" t="str">
        <f t="shared" si="19"/>
        <v>EletroTécnicos</v>
      </c>
      <c r="T51" s="31" t="str">
        <f t="shared" si="9"/>
        <v>Elementos.Elétricos</v>
      </c>
      <c r="U51" s="31" t="str">
        <f t="shared" si="10"/>
        <v>Condutos.Conexões</v>
      </c>
      <c r="V51" s="31" t="s">
        <v>115</v>
      </c>
      <c r="W51" s="62" t="str">
        <f t="shared" si="3"/>
        <v>Key-ELET-51</v>
      </c>
      <c r="X51" s="30" t="s">
        <v>661</v>
      </c>
      <c r="Y51" s="30" t="s">
        <v>635</v>
      </c>
      <c r="Z51" s="31" t="s">
        <v>693</v>
      </c>
      <c r="AA51" s="31" t="str">
        <f t="shared" si="26"/>
        <v>Connection to normally more than two ports used to redistribute flow between ports.</v>
      </c>
    </row>
    <row r="52" spans="1:27" ht="6.65" customHeight="1" x14ac:dyDescent="0.4">
      <c r="A52" s="61">
        <v>52</v>
      </c>
      <c r="B52" s="1" t="s">
        <v>744</v>
      </c>
      <c r="C52" s="34" t="s">
        <v>745</v>
      </c>
      <c r="D52" s="1" t="s">
        <v>511</v>
      </c>
      <c r="E52" s="1" t="s">
        <v>713</v>
      </c>
      <c r="F52" s="57" t="s">
        <v>724</v>
      </c>
      <c r="G52" s="65" t="s">
        <v>9</v>
      </c>
      <c r="H52" s="65" t="s">
        <v>9</v>
      </c>
      <c r="I52" s="65" t="s">
        <v>9</v>
      </c>
      <c r="J52" s="65" t="s">
        <v>9</v>
      </c>
      <c r="K52" s="65" t="s">
        <v>9</v>
      </c>
      <c r="L52" s="35" t="str">
        <f t="shared" si="5"/>
        <v>EletroTécnicos</v>
      </c>
      <c r="M52" s="35" t="str">
        <f t="shared" si="6"/>
        <v>Elementos.Elétricos</v>
      </c>
      <c r="N52" s="35" t="str">
        <f t="shared" si="7"/>
        <v>Condutos Conexões</v>
      </c>
      <c r="O52" s="31" t="str">
        <f t="shared" ref="O52:O115" si="27">IF(ISNUMBER(FIND("Ifc",F52)),CONCATENATE("Classe IFC:   ",F52),CONCATENATE("",F52))</f>
        <v>Conexão.de.Condutos.Redução</v>
      </c>
      <c r="P52" s="31" t="s">
        <v>586</v>
      </c>
      <c r="Q52" s="31" t="s">
        <v>587</v>
      </c>
      <c r="R52" s="31" t="s">
        <v>9</v>
      </c>
      <c r="S52" s="31" t="str">
        <f t="shared" si="19"/>
        <v>EletroTécnicos</v>
      </c>
      <c r="T52" s="31" t="str">
        <f t="shared" si="9"/>
        <v>Elementos.Elétricos</v>
      </c>
      <c r="U52" s="31" t="str">
        <f t="shared" si="10"/>
        <v>Condutos.Conexões</v>
      </c>
      <c r="V52" s="31" t="s">
        <v>115</v>
      </c>
      <c r="W52" s="62" t="str">
        <f t="shared" si="3"/>
        <v>Key-ELET-52</v>
      </c>
      <c r="X52" s="30" t="s">
        <v>661</v>
      </c>
      <c r="Y52" s="30" t="s">
        <v>637</v>
      </c>
      <c r="Z52" s="31" t="s">
        <v>693</v>
      </c>
      <c r="AA52" s="31" t="str">
        <f t="shared" si="26"/>
        <v>Connection that changes the physical size of the cable carrier's main route.</v>
      </c>
    </row>
    <row r="53" spans="1:27" ht="6.65" customHeight="1" x14ac:dyDescent="0.4">
      <c r="A53" s="61">
        <v>53</v>
      </c>
      <c r="B53" s="1" t="s">
        <v>744</v>
      </c>
      <c r="C53" s="34" t="s">
        <v>745</v>
      </c>
      <c r="D53" s="1" t="s">
        <v>511</v>
      </c>
      <c r="E53" s="1" t="s">
        <v>713</v>
      </c>
      <c r="F53" s="57" t="s">
        <v>725</v>
      </c>
      <c r="G53" s="65" t="s">
        <v>9</v>
      </c>
      <c r="H53" s="65" t="s">
        <v>9</v>
      </c>
      <c r="I53" s="65" t="s">
        <v>9</v>
      </c>
      <c r="J53" s="65" t="s">
        <v>9</v>
      </c>
      <c r="K53" s="65" t="s">
        <v>9</v>
      </c>
      <c r="L53" s="35" t="str">
        <f t="shared" si="5"/>
        <v>EletroTécnicos</v>
      </c>
      <c r="M53" s="35" t="str">
        <f t="shared" si="6"/>
        <v>Elementos.Elétricos</v>
      </c>
      <c r="N53" s="35" t="str">
        <f t="shared" si="7"/>
        <v>Condutos Conexões</v>
      </c>
      <c r="O53" s="31" t="str">
        <f t="shared" si="27"/>
        <v>Conexão.de.Condutos.Te</v>
      </c>
      <c r="P53" s="31" t="s">
        <v>588</v>
      </c>
      <c r="Q53" s="31" t="s">
        <v>589</v>
      </c>
      <c r="R53" s="31" t="s">
        <v>9</v>
      </c>
      <c r="S53" s="31" t="str">
        <f t="shared" si="19"/>
        <v>EletroTécnicos</v>
      </c>
      <c r="T53" s="31" t="str">
        <f t="shared" si="9"/>
        <v>Elementos.Elétricos</v>
      </c>
      <c r="U53" s="31" t="str">
        <f t="shared" si="10"/>
        <v>Condutos.Conexões</v>
      </c>
      <c r="V53" s="31" t="s">
        <v>115</v>
      </c>
      <c r="W53" s="62" t="str">
        <f t="shared" si="3"/>
        <v>Key-ELET-53</v>
      </c>
      <c r="X53" s="30" t="s">
        <v>661</v>
      </c>
      <c r="Y53" s="30" t="s">
        <v>639</v>
      </c>
      <c r="Z53" s="31" t="s">
        <v>693</v>
      </c>
      <c r="AA53" s="31" t="str">
        <f t="shared" si="26"/>
        <v>Connection in which a branch is removed from the main route of the cable carrier.</v>
      </c>
    </row>
    <row r="54" spans="1:27" ht="6.65" customHeight="1" x14ac:dyDescent="0.4">
      <c r="A54" s="61">
        <v>54</v>
      </c>
      <c r="B54" s="1" t="s">
        <v>744</v>
      </c>
      <c r="C54" s="34" t="s">
        <v>745</v>
      </c>
      <c r="D54" s="1" t="s">
        <v>511</v>
      </c>
      <c r="E54" s="1" t="s">
        <v>713</v>
      </c>
      <c r="F54" s="57" t="s">
        <v>726</v>
      </c>
      <c r="G54" s="65" t="s">
        <v>9</v>
      </c>
      <c r="H54" s="65" t="s">
        <v>9</v>
      </c>
      <c r="I54" s="65" t="s">
        <v>9</v>
      </c>
      <c r="J54" s="65" t="s">
        <v>9</v>
      </c>
      <c r="K54" s="65" t="s">
        <v>9</v>
      </c>
      <c r="L54" s="35" t="str">
        <f t="shared" si="5"/>
        <v>EletroTécnicos</v>
      </c>
      <c r="M54" s="35" t="str">
        <f t="shared" si="6"/>
        <v>Elementos.Elétricos</v>
      </c>
      <c r="N54" s="35" t="str">
        <f t="shared" si="7"/>
        <v>Condutos Conexões</v>
      </c>
      <c r="O54" s="31" t="str">
        <f t="shared" si="27"/>
        <v>Conexão.de.Condutos.Transição</v>
      </c>
      <c r="P54" s="31" t="s">
        <v>590</v>
      </c>
      <c r="Q54" s="31" t="s">
        <v>591</v>
      </c>
      <c r="R54" s="31" t="s">
        <v>9</v>
      </c>
      <c r="S54" s="31" t="str">
        <f t="shared" si="19"/>
        <v>EletroTécnicos</v>
      </c>
      <c r="T54" s="31" t="str">
        <f t="shared" si="9"/>
        <v>Elementos.Elétricos</v>
      </c>
      <c r="U54" s="31" t="str">
        <f t="shared" si="10"/>
        <v>Condutos.Conexões</v>
      </c>
      <c r="V54" s="31" t="s">
        <v>115</v>
      </c>
      <c r="W54" s="62" t="str">
        <f t="shared" si="3"/>
        <v>Key-ELET-54</v>
      </c>
      <c r="X54" s="30" t="s">
        <v>661</v>
      </c>
      <c r="Y54" s="30" t="s">
        <v>638</v>
      </c>
      <c r="Z54" s="31" t="s">
        <v>693</v>
      </c>
      <c r="AA54" s="31" t="str">
        <f t="shared" si="26"/>
        <v>Connection with normally two ports with different shapes or sizes.</v>
      </c>
    </row>
    <row r="55" spans="1:27" ht="6.65" customHeight="1" x14ac:dyDescent="0.4">
      <c r="A55" s="61">
        <v>55</v>
      </c>
      <c r="B55" s="1" t="s">
        <v>744</v>
      </c>
      <c r="C55" s="34" t="s">
        <v>745</v>
      </c>
      <c r="D55" s="1" t="s">
        <v>511</v>
      </c>
      <c r="E55" s="44" t="s">
        <v>710</v>
      </c>
      <c r="F55" s="57" t="s">
        <v>667</v>
      </c>
      <c r="G55" s="65" t="s">
        <v>9</v>
      </c>
      <c r="H55" s="65" t="s">
        <v>9</v>
      </c>
      <c r="I55" s="65" t="s">
        <v>9</v>
      </c>
      <c r="J55" s="65" t="s">
        <v>9</v>
      </c>
      <c r="K55" s="65" t="s">
        <v>9</v>
      </c>
      <c r="L55" s="35" t="str">
        <f t="shared" si="5"/>
        <v>EletroTécnicos</v>
      </c>
      <c r="M55" s="35" t="str">
        <f t="shared" si="6"/>
        <v>Elementos.Elétricos</v>
      </c>
      <c r="N55" s="35" t="str">
        <f t="shared" si="7"/>
        <v>Cabeamento Segmentos</v>
      </c>
      <c r="O55" s="31" t="str">
        <f t="shared" si="27"/>
        <v>Segmento.de.Cabo</v>
      </c>
      <c r="P55" s="31" t="s">
        <v>622</v>
      </c>
      <c r="Q55" s="31" t="s">
        <v>623</v>
      </c>
      <c r="R55" s="31" t="s">
        <v>9</v>
      </c>
      <c r="S55" s="31" t="str">
        <f t="shared" si="19"/>
        <v>EletroTécnicos</v>
      </c>
      <c r="T55" s="31" t="str">
        <f t="shared" si="9"/>
        <v>Elementos.Elétricos</v>
      </c>
      <c r="U55" s="31" t="str">
        <f t="shared" si="10"/>
        <v>Cabeamento.Segmentos</v>
      </c>
      <c r="V55" s="31" t="s">
        <v>115</v>
      </c>
      <c r="W55" s="62" t="str">
        <f t="shared" si="3"/>
        <v>Key-ELET-55</v>
      </c>
      <c r="X55" s="30" t="s">
        <v>663</v>
      </c>
      <c r="Y55" s="30" t="s">
        <v>647</v>
      </c>
      <c r="Z55" s="31" t="s">
        <v>693</v>
      </c>
      <c r="AA55" s="31" t="str">
        <f t="shared" si="26"/>
        <v>Cable segments are a flow segments used to carry electrical power, data, or signals.</v>
      </c>
    </row>
    <row r="56" spans="1:27" ht="6.65" customHeight="1" x14ac:dyDescent="0.4">
      <c r="A56" s="61">
        <v>56</v>
      </c>
      <c r="B56" s="1" t="s">
        <v>744</v>
      </c>
      <c r="C56" s="34" t="s">
        <v>745</v>
      </c>
      <c r="D56" s="1" t="s">
        <v>511</v>
      </c>
      <c r="E56" s="44" t="s">
        <v>710</v>
      </c>
      <c r="F56" s="1" t="s">
        <v>666</v>
      </c>
      <c r="G56" s="65" t="s">
        <v>9</v>
      </c>
      <c r="H56" s="65" t="s">
        <v>9</v>
      </c>
      <c r="I56" s="65" t="s">
        <v>9</v>
      </c>
      <c r="J56" s="65" t="s">
        <v>9</v>
      </c>
      <c r="K56" s="65" t="s">
        <v>9</v>
      </c>
      <c r="L56" s="35" t="str">
        <f t="shared" si="5"/>
        <v>EletroTécnicos</v>
      </c>
      <c r="M56" s="35" t="str">
        <f t="shared" si="6"/>
        <v>Elementos.Elétricos</v>
      </c>
      <c r="N56" s="35" t="str">
        <f t="shared" si="7"/>
        <v>Cabeamento Segmentos</v>
      </c>
      <c r="O56" s="31" t="str">
        <f t="shared" si="27"/>
        <v>Segmento.de.Condutor</v>
      </c>
      <c r="P56" s="31" t="s">
        <v>624</v>
      </c>
      <c r="Q56" s="31" t="s">
        <v>625</v>
      </c>
      <c r="R56" s="31" t="s">
        <v>9</v>
      </c>
      <c r="S56" s="31" t="str">
        <f t="shared" si="19"/>
        <v>EletroTécnicos</v>
      </c>
      <c r="T56" s="31" t="str">
        <f t="shared" si="9"/>
        <v>Elementos.Elétricos</v>
      </c>
      <c r="U56" s="31" t="str">
        <f t="shared" si="10"/>
        <v>Cabeamento.Segmentos</v>
      </c>
      <c r="V56" s="31" t="s">
        <v>115</v>
      </c>
      <c r="W56" s="62" t="str">
        <f t="shared" si="3"/>
        <v>Key-ELET-56</v>
      </c>
      <c r="X56" s="30" t="s">
        <v>663</v>
      </c>
      <c r="Y56" s="30" t="s">
        <v>646</v>
      </c>
      <c r="Z56" s="31" t="s">
        <v>693</v>
      </c>
      <c r="AA56" s="31" t="str">
        <f t="shared" si="26"/>
        <v>A single linear element within a cable or an exposed wire (such as for grounding).</v>
      </c>
    </row>
    <row r="57" spans="1:27" ht="6.65" customHeight="1" x14ac:dyDescent="0.4">
      <c r="A57" s="61">
        <v>57</v>
      </c>
      <c r="B57" s="1" t="s">
        <v>744</v>
      </c>
      <c r="C57" s="34" t="s">
        <v>745</v>
      </c>
      <c r="D57" s="1" t="s">
        <v>511</v>
      </c>
      <c r="E57" s="44" t="s">
        <v>710</v>
      </c>
      <c r="F57" s="1" t="s">
        <v>669</v>
      </c>
      <c r="G57" s="65" t="s">
        <v>9</v>
      </c>
      <c r="H57" s="65" t="s">
        <v>9</v>
      </c>
      <c r="I57" s="65" t="s">
        <v>9</v>
      </c>
      <c r="J57" s="65" t="s">
        <v>9</v>
      </c>
      <c r="K57" s="65" t="s">
        <v>9</v>
      </c>
      <c r="L57" s="35" t="str">
        <f t="shared" si="5"/>
        <v>EletroTécnicos</v>
      </c>
      <c r="M57" s="35" t="str">
        <f t="shared" si="6"/>
        <v>Elementos.Elétricos</v>
      </c>
      <c r="N57" s="35" t="str">
        <f t="shared" si="7"/>
        <v>Cabeamento Segmentos</v>
      </c>
      <c r="O57" s="31" t="str">
        <f t="shared" si="27"/>
        <v>Segmento.de.Cabo.Fibra</v>
      </c>
      <c r="P57" s="31" t="s">
        <v>626</v>
      </c>
      <c r="Q57" s="31" t="s">
        <v>627</v>
      </c>
      <c r="R57" s="31" t="s">
        <v>9</v>
      </c>
      <c r="S57" s="31" t="str">
        <f t="shared" si="19"/>
        <v>EletroTécnicos</v>
      </c>
      <c r="T57" s="31" t="str">
        <f t="shared" si="9"/>
        <v>Elementos.Elétricos</v>
      </c>
      <c r="U57" s="31" t="str">
        <f t="shared" si="10"/>
        <v>Cabeamento.Segmentos</v>
      </c>
      <c r="V57" s="31" t="s">
        <v>115</v>
      </c>
      <c r="W57" s="62" t="str">
        <f t="shared" si="3"/>
        <v>Key-ELET-57</v>
      </c>
      <c r="X57" s="30" t="s">
        <v>663</v>
      </c>
      <c r="Y57" s="30" t="s">
        <v>645</v>
      </c>
      <c r="Z57" s="31" t="s">
        <v>693</v>
      </c>
      <c r="AA57" s="31" t="str">
        <f t="shared" si="26"/>
        <v>Fiber segments is an individual optical fiber used in telecommunications systems to transmit data.</v>
      </c>
    </row>
    <row r="58" spans="1:27" ht="6.65" customHeight="1" x14ac:dyDescent="0.4">
      <c r="A58" s="61">
        <v>58</v>
      </c>
      <c r="B58" s="1" t="s">
        <v>744</v>
      </c>
      <c r="C58" s="34" t="s">
        <v>745</v>
      </c>
      <c r="D58" s="1" t="s">
        <v>511</v>
      </c>
      <c r="E58" s="44" t="s">
        <v>710</v>
      </c>
      <c r="F58" s="1" t="s">
        <v>665</v>
      </c>
      <c r="G58" s="65" t="s">
        <v>9</v>
      </c>
      <c r="H58" s="65" t="s">
        <v>9</v>
      </c>
      <c r="I58" s="65" t="s">
        <v>9</v>
      </c>
      <c r="J58" s="65" t="s">
        <v>9</v>
      </c>
      <c r="K58" s="65" t="s">
        <v>9</v>
      </c>
      <c r="L58" s="35" t="str">
        <f t="shared" si="5"/>
        <v>EletroTécnicos</v>
      </c>
      <c r="M58" s="35" t="str">
        <f t="shared" si="6"/>
        <v>Elementos.Elétricos</v>
      </c>
      <c r="N58" s="35" t="str">
        <f t="shared" si="7"/>
        <v>Cabeamento Segmentos</v>
      </c>
      <c r="O58" s="31" t="str">
        <f t="shared" si="27"/>
        <v>Segmento.de.Cabo.Óptico</v>
      </c>
      <c r="P58" s="31" t="s">
        <v>628</v>
      </c>
      <c r="Q58" s="31" t="s">
        <v>629</v>
      </c>
      <c r="R58" s="31" t="s">
        <v>9</v>
      </c>
      <c r="S58" s="31" t="str">
        <f t="shared" si="19"/>
        <v>EletroTécnicos</v>
      </c>
      <c r="T58" s="31" t="str">
        <f t="shared" si="9"/>
        <v>Elementos.Elétricos</v>
      </c>
      <c r="U58" s="31" t="str">
        <f t="shared" si="10"/>
        <v>Cabeamento.Segmentos</v>
      </c>
      <c r="V58" s="31" t="s">
        <v>115</v>
      </c>
      <c r="W58" s="62" t="str">
        <f t="shared" si="3"/>
        <v>Key-ELET-58</v>
      </c>
      <c r="X58" s="30" t="s">
        <v>663</v>
      </c>
      <c r="Y58" s="30" t="s">
        <v>644</v>
      </c>
      <c r="Z58" s="31" t="s">
        <v>693</v>
      </c>
      <c r="AA58" s="31" t="str">
        <f t="shared" si="26"/>
        <v>Optical cable segments is a cable segment that contains a variable number of fiber segments.</v>
      </c>
    </row>
    <row r="59" spans="1:27" ht="6.65" customHeight="1" x14ac:dyDescent="0.4">
      <c r="A59" s="61">
        <v>59</v>
      </c>
      <c r="B59" s="1" t="s">
        <v>744</v>
      </c>
      <c r="C59" s="34" t="s">
        <v>745</v>
      </c>
      <c r="D59" s="1" t="s">
        <v>511</v>
      </c>
      <c r="E59" s="44" t="s">
        <v>710</v>
      </c>
      <c r="F59" s="1" t="s">
        <v>668</v>
      </c>
      <c r="G59" s="65" t="s">
        <v>9</v>
      </c>
      <c r="H59" s="65" t="s">
        <v>9</v>
      </c>
      <c r="I59" s="65" t="s">
        <v>9</v>
      </c>
      <c r="J59" s="65" t="s">
        <v>9</v>
      </c>
      <c r="K59" s="65" t="s">
        <v>9</v>
      </c>
      <c r="L59" s="35" t="str">
        <f t="shared" si="5"/>
        <v>EletroTécnicos</v>
      </c>
      <c r="M59" s="35" t="str">
        <f t="shared" si="6"/>
        <v>Elementos.Elétricos</v>
      </c>
      <c r="N59" s="35" t="str">
        <f t="shared" si="7"/>
        <v>Cabeamento Segmentos</v>
      </c>
      <c r="O59" s="31" t="str">
        <f t="shared" si="27"/>
        <v>Segmento.de.Cabo.de.Par.Trançado</v>
      </c>
      <c r="P59" s="31" t="s">
        <v>630</v>
      </c>
      <c r="Q59" s="31" t="s">
        <v>631</v>
      </c>
      <c r="R59" s="31" t="s">
        <v>9</v>
      </c>
      <c r="S59" s="31" t="str">
        <f t="shared" si="19"/>
        <v>EletroTécnicos</v>
      </c>
      <c r="T59" s="31" t="str">
        <f t="shared" si="9"/>
        <v>Elementos.Elétricos</v>
      </c>
      <c r="U59" s="31" t="str">
        <f t="shared" si="10"/>
        <v>Cabeamento.Segmentos</v>
      </c>
      <c r="V59" s="31" t="s">
        <v>115</v>
      </c>
      <c r="W59" s="62" t="str">
        <f t="shared" si="3"/>
        <v>Key-ELET-59</v>
      </c>
      <c r="X59" s="30" t="s">
        <v>663</v>
      </c>
      <c r="Y59" s="30" t="s">
        <v>643</v>
      </c>
      <c r="Z59" s="31" t="s">
        <v>693</v>
      </c>
      <c r="AA59" s="31" t="str">
        <f t="shared" si="26"/>
        <v>Pair of conductors contained in a copper cable.</v>
      </c>
    </row>
    <row r="60" spans="1:27" s="68" customFormat="1" ht="6.65" customHeight="1" x14ac:dyDescent="0.2">
      <c r="A60" s="61">
        <v>60</v>
      </c>
      <c r="B60" s="1" t="s">
        <v>744</v>
      </c>
      <c r="C60" s="34" t="s">
        <v>745</v>
      </c>
      <c r="D60" s="1" t="s">
        <v>511</v>
      </c>
      <c r="E60" s="1" t="s">
        <v>711</v>
      </c>
      <c r="F60" s="57" t="s">
        <v>670</v>
      </c>
      <c r="G60" s="65" t="s">
        <v>9</v>
      </c>
      <c r="H60" s="65" t="s">
        <v>9</v>
      </c>
      <c r="I60" s="65" t="s">
        <v>9</v>
      </c>
      <c r="J60" s="65" t="s">
        <v>9</v>
      </c>
      <c r="K60" s="65" t="s">
        <v>9</v>
      </c>
      <c r="L60" s="35" t="str">
        <f t="shared" si="5"/>
        <v>EletroTécnicos</v>
      </c>
      <c r="M60" s="35" t="str">
        <f t="shared" si="6"/>
        <v>Elementos.Elétricos</v>
      </c>
      <c r="N60" s="35" t="str">
        <f t="shared" si="7"/>
        <v>Cabeamento Conexões</v>
      </c>
      <c r="O60" s="31" t="str">
        <f t="shared" si="27"/>
        <v>Conexão.de.Cabo</v>
      </c>
      <c r="P60" s="31" t="s">
        <v>608</v>
      </c>
      <c r="Q60" s="31" t="s">
        <v>609</v>
      </c>
      <c r="R60" s="31" t="s">
        <v>9</v>
      </c>
      <c r="S60" s="31" t="str">
        <f t="shared" si="19"/>
        <v>EletroTécnicos</v>
      </c>
      <c r="T60" s="31" t="str">
        <f t="shared" si="9"/>
        <v>Elementos.Elétricos</v>
      </c>
      <c r="U60" s="31" t="str">
        <f t="shared" si="10"/>
        <v>Cabeamento.Conexões</v>
      </c>
      <c r="V60" s="31" t="s">
        <v>115</v>
      </c>
      <c r="W60" s="62" t="str">
        <f t="shared" si="3"/>
        <v>Key-ELET-60</v>
      </c>
      <c r="X60" s="30" t="s">
        <v>660</v>
      </c>
      <c r="Y60" s="30" t="s">
        <v>654</v>
      </c>
      <c r="Z60" s="31" t="s">
        <v>693</v>
      </c>
      <c r="AA60" s="31" t="str">
        <f t="shared" si="26"/>
        <v>A cable accessory is a part placed at a junction, transition, or termination in a system.</v>
      </c>
    </row>
    <row r="61" spans="1:27" s="68" customFormat="1" ht="6.65" customHeight="1" x14ac:dyDescent="0.2">
      <c r="A61" s="61">
        <v>61</v>
      </c>
      <c r="B61" s="1" t="s">
        <v>744</v>
      </c>
      <c r="C61" s="34" t="s">
        <v>745</v>
      </c>
      <c r="D61" s="1" t="s">
        <v>511</v>
      </c>
      <c r="E61" s="1" t="s">
        <v>711</v>
      </c>
      <c r="F61" s="57" t="s">
        <v>676</v>
      </c>
      <c r="G61" s="65" t="s">
        <v>9</v>
      </c>
      <c r="H61" s="65" t="s">
        <v>9</v>
      </c>
      <c r="I61" s="65" t="s">
        <v>9</v>
      </c>
      <c r="J61" s="65" t="s">
        <v>9</v>
      </c>
      <c r="K61" s="65" t="s">
        <v>9</v>
      </c>
      <c r="L61" s="35" t="str">
        <f t="shared" si="5"/>
        <v>EletroTécnicos</v>
      </c>
      <c r="M61" s="35" t="str">
        <f t="shared" si="6"/>
        <v>Elementos.Elétricos</v>
      </c>
      <c r="N61" s="35" t="str">
        <f t="shared" si="7"/>
        <v>Cabeamento Conexões</v>
      </c>
      <c r="O61" s="31" t="str">
        <f t="shared" si="27"/>
        <v>Conexão.de.Cabo.Conetor</v>
      </c>
      <c r="P61" s="31" t="s">
        <v>610</v>
      </c>
      <c r="Q61" s="31" t="s">
        <v>611</v>
      </c>
      <c r="R61" s="31" t="s">
        <v>9</v>
      </c>
      <c r="S61" s="31" t="str">
        <f t="shared" si="19"/>
        <v>EletroTécnicos</v>
      </c>
      <c r="T61" s="31" t="str">
        <f t="shared" si="9"/>
        <v>Elementos.Elétricos</v>
      </c>
      <c r="U61" s="31" t="str">
        <f t="shared" si="10"/>
        <v>Cabeamento.Conexões</v>
      </c>
      <c r="V61" s="31" t="s">
        <v>115</v>
      </c>
      <c r="W61" s="62" t="str">
        <f t="shared" si="3"/>
        <v>Key-ELET-61</v>
      </c>
      <c r="X61" s="30" t="s">
        <v>660</v>
      </c>
      <c r="Y61" s="30" t="s">
        <v>653</v>
      </c>
      <c r="Z61" s="31" t="s">
        <v>693</v>
      </c>
      <c r="AA61" s="31" t="str">
        <f t="shared" si="26"/>
        <v>Accessory that joins two cable segments of the same connector type (although potentially different.</v>
      </c>
    </row>
    <row r="62" spans="1:27" s="68" customFormat="1" ht="6.65" customHeight="1" x14ac:dyDescent="0.2">
      <c r="A62" s="61">
        <v>62</v>
      </c>
      <c r="B62" s="1" t="s">
        <v>744</v>
      </c>
      <c r="C62" s="34" t="s">
        <v>745</v>
      </c>
      <c r="D62" s="1" t="s">
        <v>511</v>
      </c>
      <c r="E62" s="1" t="s">
        <v>711</v>
      </c>
      <c r="F62" s="57" t="s">
        <v>671</v>
      </c>
      <c r="G62" s="65" t="s">
        <v>9</v>
      </c>
      <c r="H62" s="65" t="s">
        <v>9</v>
      </c>
      <c r="I62" s="65" t="s">
        <v>9</v>
      </c>
      <c r="J62" s="65" t="s">
        <v>9</v>
      </c>
      <c r="K62" s="65" t="s">
        <v>9</v>
      </c>
      <c r="L62" s="35" t="str">
        <f t="shared" si="5"/>
        <v>EletroTécnicos</v>
      </c>
      <c r="M62" s="35" t="str">
        <f t="shared" si="6"/>
        <v>Elementos.Elétricos</v>
      </c>
      <c r="N62" s="35" t="str">
        <f t="shared" si="7"/>
        <v>Cabeamento Conexões</v>
      </c>
      <c r="O62" s="31" t="str">
        <f t="shared" si="27"/>
        <v>Conexão.de.Cabo.Entrada</v>
      </c>
      <c r="P62" s="31" t="s">
        <v>612</v>
      </c>
      <c r="Q62" s="31" t="s">
        <v>613</v>
      </c>
      <c r="R62" s="31" t="s">
        <v>9</v>
      </c>
      <c r="S62" s="31" t="str">
        <f t="shared" si="19"/>
        <v>EletroTécnicos</v>
      </c>
      <c r="T62" s="31" t="str">
        <f t="shared" si="9"/>
        <v>Elementos.Elétricos</v>
      </c>
      <c r="U62" s="31" t="str">
        <f t="shared" si="10"/>
        <v>Cabeamento.Conexões</v>
      </c>
      <c r="V62" s="31" t="s">
        <v>115</v>
      </c>
      <c r="W62" s="62" t="str">
        <f t="shared" si="3"/>
        <v>Key-ELET-62</v>
      </c>
      <c r="X62" s="30" t="s">
        <v>660</v>
      </c>
      <c r="Y62" s="30" t="s">
        <v>652</v>
      </c>
      <c r="Z62" s="31" t="s">
        <v>693</v>
      </c>
      <c r="AA62" s="31" t="str">
        <f t="shared" si="26"/>
        <v>A connection that initiates a cable segment on a non-electrical element, such as a connected ground clamp.</v>
      </c>
    </row>
    <row r="63" spans="1:27" s="68" customFormat="1" ht="6.65" customHeight="1" x14ac:dyDescent="0.2">
      <c r="A63" s="61">
        <v>63</v>
      </c>
      <c r="B63" s="1" t="s">
        <v>744</v>
      </c>
      <c r="C63" s="34" t="s">
        <v>745</v>
      </c>
      <c r="D63" s="1" t="s">
        <v>511</v>
      </c>
      <c r="E63" s="1" t="s">
        <v>711</v>
      </c>
      <c r="F63" s="57" t="s">
        <v>672</v>
      </c>
      <c r="G63" s="65" t="s">
        <v>9</v>
      </c>
      <c r="H63" s="65" t="s">
        <v>9</v>
      </c>
      <c r="I63" s="65" t="s">
        <v>9</v>
      </c>
      <c r="J63" s="65" t="s">
        <v>9</v>
      </c>
      <c r="K63" s="65" t="s">
        <v>9</v>
      </c>
      <c r="L63" s="35" t="str">
        <f t="shared" si="5"/>
        <v>EletroTécnicos</v>
      </c>
      <c r="M63" s="35" t="str">
        <f t="shared" si="6"/>
        <v>Elementos.Elétricos</v>
      </c>
      <c r="N63" s="35" t="str">
        <f t="shared" si="7"/>
        <v>Cabeamento Conexões</v>
      </c>
      <c r="O63" s="31" t="str">
        <f t="shared" si="27"/>
        <v>Conexão.de.Cabo.Saída</v>
      </c>
      <c r="P63" s="31" t="s">
        <v>614</v>
      </c>
      <c r="Q63" s="31" t="s">
        <v>615</v>
      </c>
      <c r="R63" s="31" t="s">
        <v>9</v>
      </c>
      <c r="S63" s="31" t="str">
        <f t="shared" si="19"/>
        <v>EletroTécnicos</v>
      </c>
      <c r="T63" s="31" t="str">
        <f t="shared" si="9"/>
        <v>Elementos.Elétricos</v>
      </c>
      <c r="U63" s="31" t="str">
        <f t="shared" si="10"/>
        <v>Cabeamento.Conexões</v>
      </c>
      <c r="V63" s="31" t="s">
        <v>115</v>
      </c>
      <c r="W63" s="62" t="str">
        <f t="shared" si="3"/>
        <v>Key-ELET-63</v>
      </c>
      <c r="X63" s="30" t="s">
        <v>660</v>
      </c>
      <c r="Y63" s="30" t="s">
        <v>651</v>
      </c>
      <c r="Z63" s="31" t="s">
        <v>693</v>
      </c>
      <c r="AA63" s="31" t="str">
        <f t="shared" si="26"/>
        <v>A connection that terminates a cable segment in a non-electrical element, such as a connected ground clamp.</v>
      </c>
    </row>
    <row r="64" spans="1:27" s="68" customFormat="1" ht="6.65" customHeight="1" x14ac:dyDescent="0.2">
      <c r="A64" s="61">
        <v>64</v>
      </c>
      <c r="B64" s="1" t="s">
        <v>744</v>
      </c>
      <c r="C64" s="34" t="s">
        <v>745</v>
      </c>
      <c r="D64" s="1" t="s">
        <v>511</v>
      </c>
      <c r="E64" s="1" t="s">
        <v>711</v>
      </c>
      <c r="F64" s="57" t="s">
        <v>673</v>
      </c>
      <c r="G64" s="65" t="s">
        <v>9</v>
      </c>
      <c r="H64" s="65" t="s">
        <v>9</v>
      </c>
      <c r="I64" s="65" t="s">
        <v>9</v>
      </c>
      <c r="J64" s="65" t="s">
        <v>9</v>
      </c>
      <c r="K64" s="65" t="s">
        <v>9</v>
      </c>
      <c r="L64" s="35" t="str">
        <f t="shared" si="5"/>
        <v>EletroTécnicos</v>
      </c>
      <c r="M64" s="35" t="str">
        <f t="shared" si="6"/>
        <v>Elementos.Elétricos</v>
      </c>
      <c r="N64" s="35" t="str">
        <f t="shared" si="7"/>
        <v>Cabeamento Conexões</v>
      </c>
      <c r="O64" s="31" t="str">
        <f t="shared" si="27"/>
        <v>Conexão.de.Cabo.Divisor</v>
      </c>
      <c r="P64" s="31" t="s">
        <v>616</v>
      </c>
      <c r="Q64" s="31" t="s">
        <v>617</v>
      </c>
      <c r="R64" s="31" t="s">
        <v>9</v>
      </c>
      <c r="S64" s="31" t="str">
        <f t="shared" si="19"/>
        <v>EletroTécnicos</v>
      </c>
      <c r="T64" s="31" t="str">
        <f t="shared" si="9"/>
        <v>Elementos.Elétricos</v>
      </c>
      <c r="U64" s="31" t="str">
        <f t="shared" si="10"/>
        <v>Cabeamento.Conexões</v>
      </c>
      <c r="V64" s="31" t="s">
        <v>115</v>
      </c>
      <c r="W64" s="62" t="str">
        <f t="shared" si="3"/>
        <v>Key-ELET-64</v>
      </c>
      <c r="X64" s="30" t="s">
        <v>660</v>
      </c>
      <c r="Y64" s="30" t="s">
        <v>650</v>
      </c>
      <c r="Z64" s="31" t="s">
        <v>693</v>
      </c>
      <c r="AA64" s="31" t="str">
        <f t="shared" si="26"/>
        <v>Fan out is a special cable connection that provides a safe transition from multi-fiber cable units.</v>
      </c>
    </row>
    <row r="65" spans="1:27" ht="6.65" customHeight="1" x14ac:dyDescent="0.4">
      <c r="A65" s="61">
        <v>65</v>
      </c>
      <c r="B65" s="1" t="s">
        <v>744</v>
      </c>
      <c r="C65" s="34" t="s">
        <v>745</v>
      </c>
      <c r="D65" s="1" t="s">
        <v>511</v>
      </c>
      <c r="E65" s="1" t="s">
        <v>711</v>
      </c>
      <c r="F65" s="57" t="s">
        <v>674</v>
      </c>
      <c r="G65" s="65" t="s">
        <v>9</v>
      </c>
      <c r="H65" s="65" t="s">
        <v>9</v>
      </c>
      <c r="I65" s="65" t="s">
        <v>9</v>
      </c>
      <c r="J65" s="65" t="s">
        <v>9</v>
      </c>
      <c r="K65" s="65" t="s">
        <v>9</v>
      </c>
      <c r="L65" s="35" t="str">
        <f t="shared" si="5"/>
        <v>EletroTécnicos</v>
      </c>
      <c r="M65" s="35" t="str">
        <f t="shared" si="6"/>
        <v>Elementos.Elétricos</v>
      </c>
      <c r="N65" s="35" t="str">
        <f t="shared" si="7"/>
        <v>Cabeamento Conexões</v>
      </c>
      <c r="O65" s="31" t="str">
        <f t="shared" si="27"/>
        <v>Conexão.de.Cabo.Junção</v>
      </c>
      <c r="P65" s="31" t="s">
        <v>618</v>
      </c>
      <c r="Q65" s="31" t="s">
        <v>619</v>
      </c>
      <c r="R65" s="31" t="s">
        <v>9</v>
      </c>
      <c r="S65" s="31" t="str">
        <f t="shared" si="19"/>
        <v>EletroTécnicos</v>
      </c>
      <c r="T65" s="31" t="str">
        <f t="shared" si="9"/>
        <v>Elementos.Elétricos</v>
      </c>
      <c r="U65" s="31" t="str">
        <f t="shared" si="10"/>
        <v>Cabeamento.Conexões</v>
      </c>
      <c r="V65" s="31" t="s">
        <v>115</v>
      </c>
      <c r="W65" s="62" t="str">
        <f t="shared" si="3"/>
        <v>Key-ELET-65</v>
      </c>
      <c r="X65" s="30" t="s">
        <v>660</v>
      </c>
      <c r="Y65" s="30" t="s">
        <v>649</v>
      </c>
      <c r="Z65" s="31" t="s">
        <v>693</v>
      </c>
      <c r="AA65" s="31" t="str">
        <f t="shared" si="26"/>
        <v>Accessory that joins three or more segments of arbitrary connector types for signal splitting.</v>
      </c>
    </row>
    <row r="66" spans="1:27" ht="6.65" customHeight="1" x14ac:dyDescent="0.4">
      <c r="A66" s="61">
        <v>66</v>
      </c>
      <c r="B66" s="1" t="s">
        <v>744</v>
      </c>
      <c r="C66" s="34" t="s">
        <v>745</v>
      </c>
      <c r="D66" s="1" t="s">
        <v>511</v>
      </c>
      <c r="E66" s="1" t="s">
        <v>711</v>
      </c>
      <c r="F66" s="57" t="s">
        <v>675</v>
      </c>
      <c r="G66" s="65" t="s">
        <v>9</v>
      </c>
      <c r="H66" s="65" t="s">
        <v>9</v>
      </c>
      <c r="I66" s="65" t="s">
        <v>9</v>
      </c>
      <c r="J66" s="65" t="s">
        <v>9</v>
      </c>
      <c r="K66" s="65" t="s">
        <v>9</v>
      </c>
      <c r="L66" s="35" t="str">
        <f t="shared" si="5"/>
        <v>EletroTécnicos</v>
      </c>
      <c r="M66" s="35" t="str">
        <f t="shared" si="6"/>
        <v>Elementos.Elétricos</v>
      </c>
      <c r="N66" s="35" t="str">
        <f t="shared" si="7"/>
        <v>Cabeamento Conexões</v>
      </c>
      <c r="O66" s="31" t="str">
        <f t="shared" si="27"/>
        <v>Conexão.de.Cabo.Transição</v>
      </c>
      <c r="P66" s="31" t="s">
        <v>620</v>
      </c>
      <c r="Q66" s="31" t="s">
        <v>621</v>
      </c>
      <c r="R66" s="31" t="s">
        <v>9</v>
      </c>
      <c r="S66" s="31" t="str">
        <f t="shared" si="19"/>
        <v>EletroTécnicos</v>
      </c>
      <c r="T66" s="31" t="str">
        <f t="shared" si="9"/>
        <v>Elementos.Elétricos</v>
      </c>
      <c r="U66" s="31" t="str">
        <f t="shared" si="10"/>
        <v>Cabeamento.Conexões</v>
      </c>
      <c r="V66" s="31" t="s">
        <v>115</v>
      </c>
      <c r="W66" s="62" t="str">
        <f t="shared" ref="W66:W129" si="28">CONCATENATE("Key-ELET-",A66)</f>
        <v>Key-ELET-66</v>
      </c>
      <c r="X66" s="30" t="s">
        <v>660</v>
      </c>
      <c r="Y66" s="30" t="s">
        <v>648</v>
      </c>
      <c r="Z66" s="31" t="s">
        <v>693</v>
      </c>
      <c r="AA66" s="31" t="str">
        <f t="shared" si="26"/>
        <v>Accessory that joins two cable segments of different types of connectors.</v>
      </c>
    </row>
    <row r="67" spans="1:27" ht="6.45" customHeight="1" x14ac:dyDescent="0.4">
      <c r="A67" s="61">
        <v>67</v>
      </c>
      <c r="B67" s="1" t="s">
        <v>744</v>
      </c>
      <c r="C67" s="34" t="s">
        <v>745</v>
      </c>
      <c r="D67" s="1" t="s">
        <v>511</v>
      </c>
      <c r="E67" s="44" t="s">
        <v>247</v>
      </c>
      <c r="F67" s="66" t="s">
        <v>248</v>
      </c>
      <c r="G67" s="67" t="s">
        <v>9</v>
      </c>
      <c r="H67" s="65" t="s">
        <v>9</v>
      </c>
      <c r="I67" s="65" t="s">
        <v>9</v>
      </c>
      <c r="J67" s="65" t="s">
        <v>9</v>
      </c>
      <c r="K67" s="65" t="s">
        <v>9</v>
      </c>
      <c r="L67" s="35" t="str">
        <f t="shared" si="5"/>
        <v>EletroTécnicos</v>
      </c>
      <c r="M67" s="35" t="str">
        <f t="shared" si="6"/>
        <v>Elementos.Elétricos</v>
      </c>
      <c r="N67" s="35" t="str">
        <f t="shared" si="7"/>
        <v>Aparelhos Elétricos</v>
      </c>
      <c r="O67" s="31" t="str">
        <f t="shared" si="27"/>
        <v>Aparelho.Elétrico</v>
      </c>
      <c r="P67" s="31" t="s">
        <v>294</v>
      </c>
      <c r="Q67" s="31" t="s">
        <v>295</v>
      </c>
      <c r="R67" s="31" t="s">
        <v>9</v>
      </c>
      <c r="S67" s="31" t="s">
        <v>149</v>
      </c>
      <c r="T67" s="31" t="str">
        <f t="shared" si="9"/>
        <v>Elementos.Elétricos</v>
      </c>
      <c r="U67" s="31" t="str">
        <f t="shared" si="10"/>
        <v>Aparelhos.Elétricos</v>
      </c>
      <c r="V67" s="31" t="s">
        <v>115</v>
      </c>
      <c r="W67" s="62" t="str">
        <f t="shared" si="28"/>
        <v>Key-ELET-67</v>
      </c>
      <c r="X67" s="31" t="s">
        <v>344</v>
      </c>
      <c r="Y67" s="30" t="s">
        <v>249</v>
      </c>
      <c r="Z67" s="31" t="s">
        <v>694</v>
      </c>
      <c r="AA67" s="31" t="s">
        <v>250</v>
      </c>
    </row>
    <row r="68" spans="1:27" ht="6.45" customHeight="1" x14ac:dyDescent="0.4">
      <c r="A68" s="61">
        <v>68</v>
      </c>
      <c r="B68" s="1" t="s">
        <v>744</v>
      </c>
      <c r="C68" s="34" t="s">
        <v>745</v>
      </c>
      <c r="D68" s="1" t="s">
        <v>511</v>
      </c>
      <c r="E68" s="44" t="s">
        <v>247</v>
      </c>
      <c r="F68" s="1" t="s">
        <v>290</v>
      </c>
      <c r="G68" s="67" t="s">
        <v>9</v>
      </c>
      <c r="H68" s="65" t="s">
        <v>9</v>
      </c>
      <c r="I68" s="65" t="s">
        <v>9</v>
      </c>
      <c r="J68" s="65" t="s">
        <v>9</v>
      </c>
      <c r="K68" s="65" t="s">
        <v>9</v>
      </c>
      <c r="L68" s="35" t="str">
        <f t="shared" si="5"/>
        <v>EletroTécnicos</v>
      </c>
      <c r="M68" s="35" t="str">
        <f t="shared" si="6"/>
        <v>Elementos.Elétricos</v>
      </c>
      <c r="N68" s="35" t="str">
        <f t="shared" si="7"/>
        <v>Aparelhos Elétricos</v>
      </c>
      <c r="O68" s="31" t="str">
        <f t="shared" si="27"/>
        <v>Micro.Ondas</v>
      </c>
      <c r="P68" s="31" t="s">
        <v>275</v>
      </c>
      <c r="Q68" s="31" t="s">
        <v>296</v>
      </c>
      <c r="R68" s="31" t="s">
        <v>9</v>
      </c>
      <c r="S68" s="31" t="s">
        <v>149</v>
      </c>
      <c r="T68" s="31" t="str">
        <f t="shared" si="9"/>
        <v>Elementos.Elétricos</v>
      </c>
      <c r="U68" s="31" t="str">
        <f t="shared" si="10"/>
        <v>Aparelhos.Elétricos</v>
      </c>
      <c r="V68" s="31" t="s">
        <v>115</v>
      </c>
      <c r="W68" s="62" t="str">
        <f t="shared" si="28"/>
        <v>Key-ELET-68</v>
      </c>
      <c r="X68" s="31" t="s">
        <v>344</v>
      </c>
      <c r="Y68" s="30" t="s">
        <v>261</v>
      </c>
      <c r="Z68" s="31" t="s">
        <v>694</v>
      </c>
      <c r="AA68" s="30" t="s">
        <v>479</v>
      </c>
    </row>
    <row r="69" spans="1:27" ht="6.45" customHeight="1" x14ac:dyDescent="0.4">
      <c r="A69" s="61">
        <v>69</v>
      </c>
      <c r="B69" s="1" t="s">
        <v>744</v>
      </c>
      <c r="C69" s="34" t="s">
        <v>745</v>
      </c>
      <c r="D69" s="1" t="s">
        <v>511</v>
      </c>
      <c r="E69" s="44" t="s">
        <v>247</v>
      </c>
      <c r="F69" s="1" t="s">
        <v>279</v>
      </c>
      <c r="G69" s="67" t="s">
        <v>9</v>
      </c>
      <c r="H69" s="65" t="s">
        <v>9</v>
      </c>
      <c r="I69" s="65" t="s">
        <v>9</v>
      </c>
      <c r="J69" s="65" t="s">
        <v>9</v>
      </c>
      <c r="K69" s="65" t="s">
        <v>9</v>
      </c>
      <c r="L69" s="35" t="str">
        <f t="shared" si="5"/>
        <v>EletroTécnicos</v>
      </c>
      <c r="M69" s="35" t="str">
        <f t="shared" si="6"/>
        <v>Elementos.Elétricos</v>
      </c>
      <c r="N69" s="35" t="str">
        <f t="shared" si="7"/>
        <v>Aparelhos Elétricos</v>
      </c>
      <c r="O69" s="31" t="str">
        <f t="shared" si="27"/>
        <v>Fogão.Elétrico</v>
      </c>
      <c r="P69" s="31" t="s">
        <v>267</v>
      </c>
      <c r="Q69" s="31" t="s">
        <v>297</v>
      </c>
      <c r="R69" s="31" t="s">
        <v>9</v>
      </c>
      <c r="S69" s="31" t="s">
        <v>149</v>
      </c>
      <c r="T69" s="31" t="str">
        <f t="shared" si="9"/>
        <v>Elementos.Elétricos</v>
      </c>
      <c r="U69" s="31" t="str">
        <f t="shared" si="10"/>
        <v>Aparelhos.Elétricos</v>
      </c>
      <c r="V69" s="31" t="s">
        <v>115</v>
      </c>
      <c r="W69" s="62" t="str">
        <f t="shared" si="28"/>
        <v>Key-ELET-69</v>
      </c>
      <c r="X69" s="31" t="s">
        <v>344</v>
      </c>
      <c r="Y69" s="30" t="s">
        <v>252</v>
      </c>
      <c r="Z69" s="31" t="s">
        <v>694</v>
      </c>
      <c r="AA69" s="30" t="s">
        <v>480</v>
      </c>
    </row>
    <row r="70" spans="1:27" ht="6.45" customHeight="1" x14ac:dyDescent="0.4">
      <c r="A70" s="61">
        <v>70</v>
      </c>
      <c r="B70" s="1" t="s">
        <v>744</v>
      </c>
      <c r="C70" s="34" t="s">
        <v>745</v>
      </c>
      <c r="D70" s="1" t="s">
        <v>511</v>
      </c>
      <c r="E70" s="44" t="s">
        <v>247</v>
      </c>
      <c r="F70" s="1" t="s">
        <v>285</v>
      </c>
      <c r="G70" s="67" t="s">
        <v>9</v>
      </c>
      <c r="H70" s="65" t="s">
        <v>9</v>
      </c>
      <c r="I70" s="65" t="s">
        <v>9</v>
      </c>
      <c r="J70" s="65" t="s">
        <v>9</v>
      </c>
      <c r="K70" s="65" t="s">
        <v>9</v>
      </c>
      <c r="L70" s="35" t="str">
        <f t="shared" ref="L70:L133" si="29">CONCATENATE("", C70)</f>
        <v>EletroTécnicos</v>
      </c>
      <c r="M70" s="35" t="str">
        <f t="shared" ref="M70:M85" si="30">CONCATENATE("", D70)</f>
        <v>Elementos.Elétricos</v>
      </c>
      <c r="N70" s="35" t="str">
        <f t="shared" ref="N70:N133" si="31">(SUBSTITUTE(SUBSTITUTE(CONCATENATE("",E70),"."," ")," De "," de "))</f>
        <v>Aparelhos Elétricos</v>
      </c>
      <c r="O70" s="31" t="str">
        <f t="shared" si="27"/>
        <v>Processador.Alimento</v>
      </c>
      <c r="P70" s="31" t="s">
        <v>274</v>
      </c>
      <c r="Q70" s="31" t="s">
        <v>298</v>
      </c>
      <c r="R70" s="31" t="s">
        <v>9</v>
      </c>
      <c r="S70" s="31" t="s">
        <v>149</v>
      </c>
      <c r="T70" s="31" t="str">
        <f t="shared" si="9"/>
        <v>Elementos.Elétricos</v>
      </c>
      <c r="U70" s="31" t="str">
        <f t="shared" si="9"/>
        <v>Aparelhos.Elétricos</v>
      </c>
      <c r="V70" s="31" t="s">
        <v>115</v>
      </c>
      <c r="W70" s="62" t="str">
        <f t="shared" si="28"/>
        <v>Key-ELET-70</v>
      </c>
      <c r="X70" s="31" t="s">
        <v>344</v>
      </c>
      <c r="Y70" s="30" t="s">
        <v>260</v>
      </c>
      <c r="Z70" s="31" t="s">
        <v>694</v>
      </c>
      <c r="AA70" s="30" t="s">
        <v>481</v>
      </c>
    </row>
    <row r="71" spans="1:27" ht="6.45" customHeight="1" x14ac:dyDescent="0.4">
      <c r="A71" s="61">
        <v>71</v>
      </c>
      <c r="B71" s="1" t="s">
        <v>744</v>
      </c>
      <c r="C71" s="34" t="s">
        <v>745</v>
      </c>
      <c r="D71" s="1" t="s">
        <v>511</v>
      </c>
      <c r="E71" s="44" t="s">
        <v>247</v>
      </c>
      <c r="F71" s="1" t="s">
        <v>283</v>
      </c>
      <c r="G71" s="67" t="s">
        <v>9</v>
      </c>
      <c r="H71" s="65" t="s">
        <v>9</v>
      </c>
      <c r="I71" s="65" t="s">
        <v>9</v>
      </c>
      <c r="J71" s="65" t="s">
        <v>9</v>
      </c>
      <c r="K71" s="65" t="s">
        <v>9</v>
      </c>
      <c r="L71" s="35" t="str">
        <f t="shared" si="29"/>
        <v>EletroTécnicos</v>
      </c>
      <c r="M71" s="35" t="str">
        <f t="shared" si="30"/>
        <v>Elementos.Elétricos</v>
      </c>
      <c r="N71" s="35" t="str">
        <f t="shared" si="31"/>
        <v>Aparelhos Elétricos</v>
      </c>
      <c r="O71" s="31" t="str">
        <f t="shared" si="27"/>
        <v>Aquecedor.de.Água</v>
      </c>
      <c r="P71" s="31" t="s">
        <v>271</v>
      </c>
      <c r="Q71" s="31" t="s">
        <v>299</v>
      </c>
      <c r="R71" s="31" t="s">
        <v>9</v>
      </c>
      <c r="S71" s="31" t="s">
        <v>149</v>
      </c>
      <c r="T71" s="31" t="str">
        <f t="shared" ref="T71:U134" si="32">SUBSTITUTE(D71, "_", " ")</f>
        <v>Elementos.Elétricos</v>
      </c>
      <c r="U71" s="31" t="str">
        <f t="shared" si="32"/>
        <v>Aparelhos.Elétricos</v>
      </c>
      <c r="V71" s="31" t="s">
        <v>115</v>
      </c>
      <c r="W71" s="62" t="str">
        <f t="shared" si="28"/>
        <v>Key-ELET-71</v>
      </c>
      <c r="X71" s="31" t="s">
        <v>344</v>
      </c>
      <c r="Y71" s="30" t="s">
        <v>256</v>
      </c>
      <c r="Z71" s="31" t="s">
        <v>694</v>
      </c>
      <c r="AA71" s="30" t="s">
        <v>482</v>
      </c>
    </row>
    <row r="72" spans="1:27" ht="6.45" customHeight="1" x14ac:dyDescent="0.4">
      <c r="A72" s="61">
        <v>72</v>
      </c>
      <c r="B72" s="1" t="s">
        <v>744</v>
      </c>
      <c r="C72" s="34" t="s">
        <v>745</v>
      </c>
      <c r="D72" s="1" t="s">
        <v>511</v>
      </c>
      <c r="E72" s="44" t="s">
        <v>247</v>
      </c>
      <c r="F72" s="1" t="s">
        <v>280</v>
      </c>
      <c r="G72" s="67" t="s">
        <v>9</v>
      </c>
      <c r="H72" s="65" t="s">
        <v>9</v>
      </c>
      <c r="I72" s="65" t="s">
        <v>9</v>
      </c>
      <c r="J72" s="65" t="s">
        <v>9</v>
      </c>
      <c r="K72" s="65" t="s">
        <v>9</v>
      </c>
      <c r="L72" s="35" t="str">
        <f t="shared" si="29"/>
        <v>EletroTécnicos</v>
      </c>
      <c r="M72" s="35" t="str">
        <f t="shared" si="30"/>
        <v>Elementos.Elétricos</v>
      </c>
      <c r="N72" s="35" t="str">
        <f t="shared" si="31"/>
        <v>Aparelhos Elétricos</v>
      </c>
      <c r="O72" s="31" t="str">
        <f t="shared" si="27"/>
        <v>Aquecedor.Elétrico</v>
      </c>
      <c r="P72" s="31" t="s">
        <v>268</v>
      </c>
      <c r="Q72" s="31" t="s">
        <v>300</v>
      </c>
      <c r="R72" s="31" t="s">
        <v>9</v>
      </c>
      <c r="S72" s="31" t="s">
        <v>149</v>
      </c>
      <c r="T72" s="31" t="str">
        <f t="shared" si="32"/>
        <v>Elementos.Elétricos</v>
      </c>
      <c r="U72" s="31" t="str">
        <f t="shared" si="32"/>
        <v>Aparelhos.Elétricos</v>
      </c>
      <c r="V72" s="31" t="s">
        <v>115</v>
      </c>
      <c r="W72" s="62" t="str">
        <f t="shared" si="28"/>
        <v>Key-ELET-72</v>
      </c>
      <c r="X72" s="31" t="s">
        <v>344</v>
      </c>
      <c r="Y72" s="30" t="s">
        <v>253</v>
      </c>
      <c r="Z72" s="31" t="s">
        <v>694</v>
      </c>
      <c r="AA72" s="30" t="s">
        <v>483</v>
      </c>
    </row>
    <row r="73" spans="1:27" ht="6.45" customHeight="1" x14ac:dyDescent="0.4">
      <c r="A73" s="61">
        <v>73</v>
      </c>
      <c r="B73" s="1" t="s">
        <v>744</v>
      </c>
      <c r="C73" s="34" t="s">
        <v>745</v>
      </c>
      <c r="D73" s="1" t="s">
        <v>511</v>
      </c>
      <c r="E73" s="44" t="s">
        <v>247</v>
      </c>
      <c r="F73" s="1" t="s">
        <v>281</v>
      </c>
      <c r="G73" s="67" t="s">
        <v>9</v>
      </c>
      <c r="H73" s="65" t="s">
        <v>9</v>
      </c>
      <c r="I73" s="65" t="s">
        <v>9</v>
      </c>
      <c r="J73" s="65" t="s">
        <v>9</v>
      </c>
      <c r="K73" s="65" t="s">
        <v>9</v>
      </c>
      <c r="L73" s="35" t="str">
        <f t="shared" si="29"/>
        <v>EletroTécnicos</v>
      </c>
      <c r="M73" s="35" t="str">
        <f t="shared" si="30"/>
        <v>Elementos.Elétricos</v>
      </c>
      <c r="N73" s="35" t="str">
        <f t="shared" si="31"/>
        <v>Aparelhos Elétricos</v>
      </c>
      <c r="O73" s="31" t="str">
        <f t="shared" si="27"/>
        <v>Ventilador.Elétrico</v>
      </c>
      <c r="P73" s="31" t="s">
        <v>269</v>
      </c>
      <c r="Q73" s="31" t="s">
        <v>301</v>
      </c>
      <c r="R73" s="31" t="s">
        <v>9</v>
      </c>
      <c r="S73" s="31" t="s">
        <v>149</v>
      </c>
      <c r="T73" s="31" t="str">
        <f t="shared" si="32"/>
        <v>Elementos.Elétricos</v>
      </c>
      <c r="U73" s="31" t="str">
        <f t="shared" si="32"/>
        <v>Aparelhos.Elétricos</v>
      </c>
      <c r="V73" s="31" t="s">
        <v>115</v>
      </c>
      <c r="W73" s="62" t="str">
        <f t="shared" si="28"/>
        <v>Key-ELET-73</v>
      </c>
      <c r="X73" s="31" t="s">
        <v>344</v>
      </c>
      <c r="Y73" s="30" t="s">
        <v>254</v>
      </c>
      <c r="Z73" s="31" t="s">
        <v>694</v>
      </c>
      <c r="AA73" s="30" t="s">
        <v>484</v>
      </c>
    </row>
    <row r="74" spans="1:27" ht="6.45" customHeight="1" x14ac:dyDescent="0.4">
      <c r="A74" s="61">
        <v>74</v>
      </c>
      <c r="B74" s="1" t="s">
        <v>744</v>
      </c>
      <c r="C74" s="34" t="s">
        <v>745</v>
      </c>
      <c r="D74" s="1" t="s">
        <v>511</v>
      </c>
      <c r="E74" s="44" t="s">
        <v>247</v>
      </c>
      <c r="F74" s="1" t="s">
        <v>282</v>
      </c>
      <c r="G74" s="67" t="s">
        <v>9</v>
      </c>
      <c r="H74" s="65" t="s">
        <v>9</v>
      </c>
      <c r="I74" s="65" t="s">
        <v>9</v>
      </c>
      <c r="J74" s="65" t="s">
        <v>9</v>
      </c>
      <c r="K74" s="65" t="s">
        <v>9</v>
      </c>
      <c r="L74" s="35" t="str">
        <f t="shared" si="29"/>
        <v>EletroTécnicos</v>
      </c>
      <c r="M74" s="35" t="str">
        <f t="shared" si="30"/>
        <v>Elementos.Elétricos</v>
      </c>
      <c r="N74" s="35" t="str">
        <f t="shared" si="31"/>
        <v>Aparelhos Elétricos</v>
      </c>
      <c r="O74" s="31" t="str">
        <f t="shared" si="27"/>
        <v>Bebedouro</v>
      </c>
      <c r="P74" s="31" t="s">
        <v>270</v>
      </c>
      <c r="Q74" s="31" t="s">
        <v>302</v>
      </c>
      <c r="R74" s="31" t="s">
        <v>9</v>
      </c>
      <c r="S74" s="31" t="s">
        <v>149</v>
      </c>
      <c r="T74" s="31" t="str">
        <f t="shared" si="32"/>
        <v>Elementos.Elétricos</v>
      </c>
      <c r="U74" s="31" t="str">
        <f t="shared" si="32"/>
        <v>Aparelhos.Elétricos</v>
      </c>
      <c r="V74" s="31" t="s">
        <v>115</v>
      </c>
      <c r="W74" s="62" t="str">
        <f t="shared" si="28"/>
        <v>Key-ELET-74</v>
      </c>
      <c r="X74" s="31" t="s">
        <v>344</v>
      </c>
      <c r="Y74" s="30" t="s">
        <v>255</v>
      </c>
      <c r="Z74" s="31" t="s">
        <v>694</v>
      </c>
      <c r="AA74" s="30" t="s">
        <v>485</v>
      </c>
    </row>
    <row r="75" spans="1:27" ht="6.45" customHeight="1" x14ac:dyDescent="0.4">
      <c r="A75" s="61">
        <v>75</v>
      </c>
      <c r="B75" s="1" t="s">
        <v>744</v>
      </c>
      <c r="C75" s="34" t="s">
        <v>745</v>
      </c>
      <c r="D75" s="1" t="s">
        <v>511</v>
      </c>
      <c r="E75" s="44" t="s">
        <v>247</v>
      </c>
      <c r="F75" s="1" t="s">
        <v>277</v>
      </c>
      <c r="G75" s="67" t="s">
        <v>9</v>
      </c>
      <c r="H75" s="65" t="s">
        <v>9</v>
      </c>
      <c r="I75" s="65" t="s">
        <v>9</v>
      </c>
      <c r="J75" s="65" t="s">
        <v>9</v>
      </c>
      <c r="K75" s="65" t="s">
        <v>9</v>
      </c>
      <c r="L75" s="35" t="str">
        <f t="shared" si="29"/>
        <v>EletroTécnicos</v>
      </c>
      <c r="M75" s="35" t="str">
        <f t="shared" si="30"/>
        <v>Elementos.Elétricos</v>
      </c>
      <c r="N75" s="35" t="str">
        <f t="shared" si="31"/>
        <v>Aparelhos Elétricos</v>
      </c>
      <c r="O75" s="31" t="str">
        <f t="shared" si="27"/>
        <v>Geladeira</v>
      </c>
      <c r="P75" s="31" t="s">
        <v>277</v>
      </c>
      <c r="Q75" s="31" t="s">
        <v>437</v>
      </c>
      <c r="R75" s="31" t="s">
        <v>9</v>
      </c>
      <c r="S75" s="31" t="s">
        <v>149</v>
      </c>
      <c r="T75" s="31" t="str">
        <f t="shared" si="32"/>
        <v>Elementos.Elétricos</v>
      </c>
      <c r="U75" s="31" t="str">
        <f t="shared" si="32"/>
        <v>Aparelhos.Elétricos</v>
      </c>
      <c r="V75" s="31" t="s">
        <v>115</v>
      </c>
      <c r="W75" s="62" t="str">
        <f t="shared" si="28"/>
        <v>Key-ELET-75</v>
      </c>
      <c r="X75" s="31" t="s">
        <v>344</v>
      </c>
      <c r="Y75" s="30" t="s">
        <v>263</v>
      </c>
      <c r="Z75" s="31" t="s">
        <v>694</v>
      </c>
      <c r="AA75" s="30" t="s">
        <v>486</v>
      </c>
    </row>
    <row r="76" spans="1:27" ht="6.45" customHeight="1" x14ac:dyDescent="0.4">
      <c r="A76" s="61">
        <v>76</v>
      </c>
      <c r="B76" s="1" t="s">
        <v>744</v>
      </c>
      <c r="C76" s="34" t="s">
        <v>745</v>
      </c>
      <c r="D76" s="1" t="s">
        <v>511</v>
      </c>
      <c r="E76" s="44" t="s">
        <v>247</v>
      </c>
      <c r="F76" s="1" t="s">
        <v>436</v>
      </c>
      <c r="G76" s="67" t="s">
        <v>9</v>
      </c>
      <c r="H76" s="65" t="s">
        <v>9</v>
      </c>
      <c r="I76" s="65" t="s">
        <v>9</v>
      </c>
      <c r="J76" s="65" t="s">
        <v>9</v>
      </c>
      <c r="K76" s="65" t="s">
        <v>9</v>
      </c>
      <c r="L76" s="35" t="str">
        <f t="shared" si="29"/>
        <v>EletroTécnicos</v>
      </c>
      <c r="M76" s="35" t="str">
        <f t="shared" si="30"/>
        <v>Elementos.Elétricos</v>
      </c>
      <c r="N76" s="35" t="str">
        <f t="shared" si="31"/>
        <v>Aparelhos Elétricos</v>
      </c>
      <c r="O76" s="31" t="str">
        <f t="shared" si="27"/>
        <v>Freezer.Laboratorial</v>
      </c>
      <c r="P76" s="31" t="s">
        <v>305</v>
      </c>
      <c r="Q76" s="31" t="s">
        <v>473</v>
      </c>
      <c r="R76" s="31" t="s">
        <v>9</v>
      </c>
      <c r="S76" s="31" t="s">
        <v>149</v>
      </c>
      <c r="T76" s="31" t="str">
        <f t="shared" si="32"/>
        <v>Elementos.Elétricos</v>
      </c>
      <c r="U76" s="31" t="str">
        <f t="shared" si="32"/>
        <v>Aparelhos.Elétricos</v>
      </c>
      <c r="V76" s="31" t="s">
        <v>115</v>
      </c>
      <c r="W76" s="62" t="str">
        <f t="shared" si="28"/>
        <v>Key-ELET-76</v>
      </c>
      <c r="X76" s="31" t="s">
        <v>344</v>
      </c>
      <c r="Y76" s="30" t="s">
        <v>257</v>
      </c>
      <c r="Z76" s="31" t="s">
        <v>694</v>
      </c>
      <c r="AA76" s="30" t="s">
        <v>487</v>
      </c>
    </row>
    <row r="77" spans="1:27" ht="6.45" customHeight="1" x14ac:dyDescent="0.4">
      <c r="A77" s="61">
        <v>77</v>
      </c>
      <c r="B77" s="1" t="s">
        <v>744</v>
      </c>
      <c r="C77" s="34" t="s">
        <v>745</v>
      </c>
      <c r="D77" s="1" t="s">
        <v>511</v>
      </c>
      <c r="E77" s="44" t="s">
        <v>247</v>
      </c>
      <c r="F77" s="1" t="s">
        <v>437</v>
      </c>
      <c r="G77" s="67" t="s">
        <v>9</v>
      </c>
      <c r="H77" s="65" t="s">
        <v>9</v>
      </c>
      <c r="I77" s="65" t="s">
        <v>9</v>
      </c>
      <c r="J77" s="65" t="s">
        <v>9</v>
      </c>
      <c r="K77" s="65" t="s">
        <v>9</v>
      </c>
      <c r="L77" s="35" t="str">
        <f t="shared" si="29"/>
        <v>EletroTécnicos</v>
      </c>
      <c r="M77" s="35" t="str">
        <f t="shared" si="30"/>
        <v>Elementos.Elétricos</v>
      </c>
      <c r="N77" s="35" t="str">
        <f t="shared" si="31"/>
        <v>Aparelhos Elétricos</v>
      </c>
      <c r="O77" s="31" t="str">
        <f t="shared" si="27"/>
        <v>Freezer</v>
      </c>
      <c r="P77" s="31" t="s">
        <v>306</v>
      </c>
      <c r="Q77" s="31" t="s">
        <v>306</v>
      </c>
      <c r="R77" s="31" t="s">
        <v>9</v>
      </c>
      <c r="S77" s="31" t="s">
        <v>149</v>
      </c>
      <c r="T77" s="31" t="str">
        <f t="shared" si="32"/>
        <v>Elementos.Elétricos</v>
      </c>
      <c r="U77" s="31" t="str">
        <f t="shared" si="32"/>
        <v>Aparelhos.Elétricos</v>
      </c>
      <c r="V77" s="31" t="s">
        <v>115</v>
      </c>
      <c r="W77" s="62" t="str">
        <f t="shared" si="28"/>
        <v>Key-ELET-77</v>
      </c>
      <c r="X77" s="31" t="s">
        <v>344</v>
      </c>
      <c r="Y77" s="30" t="s">
        <v>257</v>
      </c>
      <c r="Z77" s="31" t="s">
        <v>694</v>
      </c>
      <c r="AA77" s="30" t="s">
        <v>487</v>
      </c>
    </row>
    <row r="78" spans="1:27" ht="6.45" customHeight="1" x14ac:dyDescent="0.4">
      <c r="A78" s="61">
        <v>78</v>
      </c>
      <c r="B78" s="1" t="s">
        <v>744</v>
      </c>
      <c r="C78" s="34" t="s">
        <v>745</v>
      </c>
      <c r="D78" s="1" t="s">
        <v>511</v>
      </c>
      <c r="E78" s="44" t="s">
        <v>247</v>
      </c>
      <c r="F78" s="1" t="s">
        <v>697</v>
      </c>
      <c r="G78" s="67" t="s">
        <v>9</v>
      </c>
      <c r="H78" s="65" t="s">
        <v>9</v>
      </c>
      <c r="I78" s="65" t="s">
        <v>9</v>
      </c>
      <c r="J78" s="65" t="s">
        <v>9</v>
      </c>
      <c r="K78" s="65" t="s">
        <v>9</v>
      </c>
      <c r="L78" s="35" t="str">
        <f t="shared" si="29"/>
        <v>EletroTécnicos</v>
      </c>
      <c r="M78" s="35" t="str">
        <f t="shared" si="30"/>
        <v>Elementos.Elétricos</v>
      </c>
      <c r="N78" s="35" t="str">
        <f t="shared" si="31"/>
        <v>Aparelhos Elétricos</v>
      </c>
      <c r="O78" s="31" t="str">
        <f t="shared" si="27"/>
        <v>Geladeira.e.Freezer</v>
      </c>
      <c r="P78" s="31" t="s">
        <v>272</v>
      </c>
      <c r="Q78" s="31" t="s">
        <v>474</v>
      </c>
      <c r="R78" s="31" t="s">
        <v>9</v>
      </c>
      <c r="S78" s="31" t="s">
        <v>149</v>
      </c>
      <c r="T78" s="31" t="str">
        <f t="shared" si="32"/>
        <v>Elementos.Elétricos</v>
      </c>
      <c r="U78" s="31" t="str">
        <f t="shared" si="32"/>
        <v>Aparelhos.Elétricos</v>
      </c>
      <c r="V78" s="31" t="s">
        <v>115</v>
      </c>
      <c r="W78" s="62" t="str">
        <f t="shared" si="28"/>
        <v>Key-ELET-78</v>
      </c>
      <c r="X78" s="31" t="s">
        <v>344</v>
      </c>
      <c r="Y78" s="30" t="s">
        <v>258</v>
      </c>
      <c r="Z78" s="31" t="s">
        <v>694</v>
      </c>
      <c r="AA78" s="30" t="s">
        <v>488</v>
      </c>
    </row>
    <row r="79" spans="1:27" ht="6.45" customHeight="1" x14ac:dyDescent="0.4">
      <c r="A79" s="61">
        <v>79</v>
      </c>
      <c r="B79" s="1" t="s">
        <v>744</v>
      </c>
      <c r="C79" s="34" t="s">
        <v>745</v>
      </c>
      <c r="D79" s="1" t="s">
        <v>511</v>
      </c>
      <c r="E79" s="44" t="s">
        <v>247</v>
      </c>
      <c r="F79" s="1" t="s">
        <v>284</v>
      </c>
      <c r="G79" s="67" t="s">
        <v>9</v>
      </c>
      <c r="H79" s="65" t="s">
        <v>9</v>
      </c>
      <c r="I79" s="65" t="s">
        <v>9</v>
      </c>
      <c r="J79" s="65" t="s">
        <v>9</v>
      </c>
      <c r="K79" s="65" t="s">
        <v>9</v>
      </c>
      <c r="L79" s="35" t="str">
        <f t="shared" si="29"/>
        <v>EletroTécnicos</v>
      </c>
      <c r="M79" s="35" t="str">
        <f t="shared" si="30"/>
        <v>Elementos.Elétricos</v>
      </c>
      <c r="N79" s="35" t="str">
        <f t="shared" si="31"/>
        <v>Aparelhos Elétricos</v>
      </c>
      <c r="O79" s="31" t="str">
        <f t="shared" si="27"/>
        <v>Secador.de.Mãos</v>
      </c>
      <c r="P79" s="31" t="s">
        <v>273</v>
      </c>
      <c r="Q79" s="31" t="s">
        <v>303</v>
      </c>
      <c r="R79" s="31" t="s">
        <v>9</v>
      </c>
      <c r="S79" s="31" t="s">
        <v>149</v>
      </c>
      <c r="T79" s="31" t="str">
        <f t="shared" si="32"/>
        <v>Elementos.Elétricos</v>
      </c>
      <c r="U79" s="31" t="str">
        <f t="shared" si="32"/>
        <v>Aparelhos.Elétricos</v>
      </c>
      <c r="V79" s="31" t="s">
        <v>115</v>
      </c>
      <c r="W79" s="62" t="str">
        <f t="shared" si="28"/>
        <v>Key-ELET-79</v>
      </c>
      <c r="X79" s="31" t="s">
        <v>344</v>
      </c>
      <c r="Y79" s="30" t="s">
        <v>259</v>
      </c>
      <c r="Z79" s="31" t="s">
        <v>694</v>
      </c>
      <c r="AA79" s="30" t="s">
        <v>489</v>
      </c>
    </row>
    <row r="80" spans="1:27" ht="6.45" customHeight="1" x14ac:dyDescent="0.4">
      <c r="A80" s="61">
        <v>80</v>
      </c>
      <c r="B80" s="1" t="s">
        <v>744</v>
      </c>
      <c r="C80" s="34" t="s">
        <v>745</v>
      </c>
      <c r="D80" s="1" t="s">
        <v>511</v>
      </c>
      <c r="E80" s="44" t="s">
        <v>247</v>
      </c>
      <c r="F80" s="1" t="s">
        <v>276</v>
      </c>
      <c r="G80" s="67" t="s">
        <v>9</v>
      </c>
      <c r="H80" s="65" t="s">
        <v>9</v>
      </c>
      <c r="I80" s="65" t="s">
        <v>9</v>
      </c>
      <c r="J80" s="65" t="s">
        <v>9</v>
      </c>
      <c r="K80" s="65" t="s">
        <v>9</v>
      </c>
      <c r="L80" s="35" t="str">
        <f t="shared" si="29"/>
        <v>EletroTécnicos</v>
      </c>
      <c r="M80" s="35" t="str">
        <f t="shared" si="30"/>
        <v>Elementos.Elétricos</v>
      </c>
      <c r="N80" s="35" t="str">
        <f t="shared" si="31"/>
        <v>Aparelhos Elétricos</v>
      </c>
      <c r="O80" s="31" t="str">
        <f t="shared" si="27"/>
        <v>Fotocopiadora</v>
      </c>
      <c r="P80" s="31" t="s">
        <v>276</v>
      </c>
      <c r="Q80" s="31" t="s">
        <v>276</v>
      </c>
      <c r="R80" s="31" t="s">
        <v>9</v>
      </c>
      <c r="S80" s="31" t="s">
        <v>149</v>
      </c>
      <c r="T80" s="31" t="str">
        <f t="shared" si="32"/>
        <v>Elementos.Elétricos</v>
      </c>
      <c r="U80" s="31" t="str">
        <f t="shared" si="32"/>
        <v>Aparelhos.Elétricos</v>
      </c>
      <c r="V80" s="31" t="s">
        <v>115</v>
      </c>
      <c r="W80" s="62" t="str">
        <f t="shared" si="28"/>
        <v>Key-ELET-80</v>
      </c>
      <c r="X80" s="31" t="s">
        <v>344</v>
      </c>
      <c r="Y80" s="30" t="s">
        <v>262</v>
      </c>
      <c r="Z80" s="31" t="s">
        <v>694</v>
      </c>
      <c r="AA80" s="30" t="s">
        <v>490</v>
      </c>
    </row>
    <row r="81" spans="1:27" ht="6.45" customHeight="1" x14ac:dyDescent="0.4">
      <c r="A81" s="61">
        <v>81</v>
      </c>
      <c r="B81" s="1" t="s">
        <v>744</v>
      </c>
      <c r="C81" s="34" t="s">
        <v>745</v>
      </c>
      <c r="D81" s="1" t="s">
        <v>511</v>
      </c>
      <c r="E81" s="44" t="s">
        <v>247</v>
      </c>
      <c r="F81" s="1" t="s">
        <v>286</v>
      </c>
      <c r="G81" s="67" t="s">
        <v>9</v>
      </c>
      <c r="H81" s="65" t="s">
        <v>9</v>
      </c>
      <c r="I81" s="65" t="s">
        <v>9</v>
      </c>
      <c r="J81" s="65" t="s">
        <v>9</v>
      </c>
      <c r="K81" s="65" t="s">
        <v>9</v>
      </c>
      <c r="L81" s="35" t="str">
        <f t="shared" si="29"/>
        <v>EletroTécnicos</v>
      </c>
      <c r="M81" s="35" t="str">
        <f t="shared" si="30"/>
        <v>Elementos.Elétricos</v>
      </c>
      <c r="N81" s="35" t="str">
        <f t="shared" si="31"/>
        <v>Aparelhos Elétricos</v>
      </c>
      <c r="O81" s="31" t="str">
        <f t="shared" si="27"/>
        <v>Máquina.Expendedora</v>
      </c>
      <c r="P81" s="31" t="s">
        <v>278</v>
      </c>
      <c r="Q81" s="31" t="s">
        <v>304</v>
      </c>
      <c r="R81" s="31" t="s">
        <v>9</v>
      </c>
      <c r="S81" s="31" t="s">
        <v>149</v>
      </c>
      <c r="T81" s="31" t="str">
        <f t="shared" si="32"/>
        <v>Elementos.Elétricos</v>
      </c>
      <c r="U81" s="31" t="str">
        <f t="shared" si="32"/>
        <v>Aparelhos.Elétricos</v>
      </c>
      <c r="V81" s="31" t="s">
        <v>115</v>
      </c>
      <c r="W81" s="62" t="str">
        <f t="shared" si="28"/>
        <v>Key-ELET-81</v>
      </c>
      <c r="X81" s="31" t="s">
        <v>344</v>
      </c>
      <c r="Y81" s="30" t="s">
        <v>265</v>
      </c>
      <c r="Z81" s="31" t="s">
        <v>694</v>
      </c>
      <c r="AA81" s="30" t="s">
        <v>491</v>
      </c>
    </row>
    <row r="82" spans="1:27" ht="6.45" customHeight="1" x14ac:dyDescent="0.4">
      <c r="A82" s="61">
        <v>82</v>
      </c>
      <c r="B82" s="1" t="s">
        <v>744</v>
      </c>
      <c r="C82" s="34" t="s">
        <v>745</v>
      </c>
      <c r="D82" s="1" t="s">
        <v>511</v>
      </c>
      <c r="E82" s="44" t="s">
        <v>247</v>
      </c>
      <c r="F82" s="1" t="s">
        <v>287</v>
      </c>
      <c r="G82" s="67" t="s">
        <v>9</v>
      </c>
      <c r="H82" s="65" t="s">
        <v>9</v>
      </c>
      <c r="I82" s="65" t="s">
        <v>9</v>
      </c>
      <c r="J82" s="65" t="s">
        <v>9</v>
      </c>
      <c r="K82" s="65" t="s">
        <v>9</v>
      </c>
      <c r="L82" s="35" t="str">
        <f t="shared" si="29"/>
        <v>EletroTécnicos</v>
      </c>
      <c r="M82" s="35" t="str">
        <f t="shared" si="30"/>
        <v>Elementos.Elétricos</v>
      </c>
      <c r="N82" s="35" t="str">
        <f t="shared" si="31"/>
        <v>Aparelhos Elétricos</v>
      </c>
      <c r="O82" s="31" t="str">
        <f t="shared" si="27"/>
        <v>Máquina.Lava.Louça</v>
      </c>
      <c r="P82" s="31" t="s">
        <v>291</v>
      </c>
      <c r="Q82" s="31" t="s">
        <v>475</v>
      </c>
      <c r="R82" s="31" t="s">
        <v>9</v>
      </c>
      <c r="S82" s="31" t="s">
        <v>149</v>
      </c>
      <c r="T82" s="31" t="str">
        <f t="shared" si="32"/>
        <v>Elementos.Elétricos</v>
      </c>
      <c r="U82" s="31" t="str">
        <f t="shared" si="32"/>
        <v>Aparelhos.Elétricos</v>
      </c>
      <c r="V82" s="31" t="s">
        <v>115</v>
      </c>
      <c r="W82" s="62" t="str">
        <f t="shared" si="28"/>
        <v>Key-ELET-82</v>
      </c>
      <c r="X82" s="31" t="s">
        <v>344</v>
      </c>
      <c r="Y82" s="30" t="s">
        <v>251</v>
      </c>
      <c r="Z82" s="31" t="s">
        <v>694</v>
      </c>
      <c r="AA82" s="30" t="s">
        <v>492</v>
      </c>
    </row>
    <row r="83" spans="1:27" ht="6.45" customHeight="1" x14ac:dyDescent="0.4">
      <c r="A83" s="61">
        <v>83</v>
      </c>
      <c r="B83" s="1" t="s">
        <v>744</v>
      </c>
      <c r="C83" s="34" t="s">
        <v>745</v>
      </c>
      <c r="D83" s="1" t="s">
        <v>511</v>
      </c>
      <c r="E83" s="44" t="s">
        <v>247</v>
      </c>
      <c r="F83" s="1" t="s">
        <v>288</v>
      </c>
      <c r="G83" s="67" t="s">
        <v>9</v>
      </c>
      <c r="H83" s="65" t="s">
        <v>9</v>
      </c>
      <c r="I83" s="65" t="s">
        <v>9</v>
      </c>
      <c r="J83" s="65" t="s">
        <v>9</v>
      </c>
      <c r="K83" s="65" t="s">
        <v>9</v>
      </c>
      <c r="L83" s="35" t="str">
        <f t="shared" si="29"/>
        <v>EletroTécnicos</v>
      </c>
      <c r="M83" s="35" t="str">
        <f t="shared" si="30"/>
        <v>Elementos.Elétricos</v>
      </c>
      <c r="N83" s="35" t="str">
        <f t="shared" si="31"/>
        <v>Aparelhos Elétricos</v>
      </c>
      <c r="O83" s="31" t="str">
        <f t="shared" si="27"/>
        <v>Máquina.Lava.Roupa</v>
      </c>
      <c r="P83" s="31" t="s">
        <v>292</v>
      </c>
      <c r="Q83" s="31" t="s">
        <v>476</v>
      </c>
      <c r="R83" s="31" t="s">
        <v>9</v>
      </c>
      <c r="S83" s="31" t="s">
        <v>149</v>
      </c>
      <c r="T83" s="31" t="str">
        <f t="shared" si="32"/>
        <v>Elementos.Elétricos</v>
      </c>
      <c r="U83" s="31" t="str">
        <f t="shared" si="32"/>
        <v>Aparelhos.Elétricos</v>
      </c>
      <c r="V83" s="31" t="s">
        <v>115</v>
      </c>
      <c r="W83" s="62" t="str">
        <f t="shared" si="28"/>
        <v>Key-ELET-83</v>
      </c>
      <c r="X83" s="31" t="s">
        <v>344</v>
      </c>
      <c r="Y83" s="30" t="s">
        <v>266</v>
      </c>
      <c r="Z83" s="31" t="s">
        <v>694</v>
      </c>
      <c r="AA83" s="30" t="s">
        <v>493</v>
      </c>
    </row>
    <row r="84" spans="1:27" ht="6.45" customHeight="1" x14ac:dyDescent="0.4">
      <c r="A84" s="61">
        <v>84</v>
      </c>
      <c r="B84" s="1" t="s">
        <v>744</v>
      </c>
      <c r="C84" s="34" t="s">
        <v>745</v>
      </c>
      <c r="D84" s="1" t="s">
        <v>511</v>
      </c>
      <c r="E84" s="44" t="s">
        <v>247</v>
      </c>
      <c r="F84" s="1" t="s">
        <v>289</v>
      </c>
      <c r="G84" s="67" t="s">
        <v>9</v>
      </c>
      <c r="H84" s="65" t="s">
        <v>9</v>
      </c>
      <c r="I84" s="65" t="s">
        <v>9</v>
      </c>
      <c r="J84" s="65" t="s">
        <v>9</v>
      </c>
      <c r="K84" s="65" t="s">
        <v>9</v>
      </c>
      <c r="L84" s="35" t="str">
        <f t="shared" si="29"/>
        <v>EletroTécnicos</v>
      </c>
      <c r="M84" s="35" t="str">
        <f t="shared" si="30"/>
        <v>Elementos.Elétricos</v>
      </c>
      <c r="N84" s="35" t="str">
        <f t="shared" si="31"/>
        <v>Aparelhos Elétricos</v>
      </c>
      <c r="O84" s="31" t="str">
        <f t="shared" si="27"/>
        <v>Máquina.Seca.Roupa</v>
      </c>
      <c r="P84" s="31" t="s">
        <v>293</v>
      </c>
      <c r="Q84" s="31" t="s">
        <v>477</v>
      </c>
      <c r="R84" s="31" t="s">
        <v>9</v>
      </c>
      <c r="S84" s="31" t="s">
        <v>149</v>
      </c>
      <c r="T84" s="31" t="str">
        <f t="shared" si="32"/>
        <v>Elementos.Elétricos</v>
      </c>
      <c r="U84" s="31" t="str">
        <f t="shared" si="32"/>
        <v>Aparelhos.Elétricos</v>
      </c>
      <c r="V84" s="31" t="s">
        <v>115</v>
      </c>
      <c r="W84" s="62" t="str">
        <f t="shared" si="28"/>
        <v>Key-ELET-84</v>
      </c>
      <c r="X84" s="31" t="s">
        <v>344</v>
      </c>
      <c r="Y84" s="30" t="s">
        <v>264</v>
      </c>
      <c r="Z84" s="31" t="s">
        <v>694</v>
      </c>
      <c r="AA84" s="30" t="s">
        <v>494</v>
      </c>
    </row>
    <row r="85" spans="1:27" ht="6.45" customHeight="1" x14ac:dyDescent="0.4">
      <c r="A85" s="61">
        <v>85</v>
      </c>
      <c r="B85" s="1" t="s">
        <v>744</v>
      </c>
      <c r="C85" s="34" t="s">
        <v>745</v>
      </c>
      <c r="D85" s="1" t="s">
        <v>511</v>
      </c>
      <c r="E85" s="44" t="s">
        <v>551</v>
      </c>
      <c r="F85" s="1" t="s">
        <v>518</v>
      </c>
      <c r="G85" s="67" t="s">
        <v>9</v>
      </c>
      <c r="H85" s="65" t="s">
        <v>9</v>
      </c>
      <c r="I85" s="65" t="s">
        <v>9</v>
      </c>
      <c r="J85" s="65" t="s">
        <v>9</v>
      </c>
      <c r="K85" s="65" t="s">
        <v>9</v>
      </c>
      <c r="L85" s="35" t="str">
        <f t="shared" si="29"/>
        <v>EletroTécnicos</v>
      </c>
      <c r="M85" s="35" t="str">
        <f t="shared" si="30"/>
        <v>Elementos.Elétricos</v>
      </c>
      <c r="N85" s="35" t="str">
        <f t="shared" si="31"/>
        <v>Força Motriz Elétrica</v>
      </c>
      <c r="O85" s="31" t="str">
        <f t="shared" si="27"/>
        <v>Bomba.Elétrica</v>
      </c>
      <c r="P85" s="31" t="s">
        <v>521</v>
      </c>
      <c r="Q85" s="31" t="s">
        <v>529</v>
      </c>
      <c r="R85" s="31" t="s">
        <v>9</v>
      </c>
      <c r="S85" s="31" t="s">
        <v>149</v>
      </c>
      <c r="T85" s="31" t="str">
        <f t="shared" si="32"/>
        <v>Elementos.Elétricos</v>
      </c>
      <c r="U85" s="31" t="str">
        <f t="shared" si="32"/>
        <v>Força.Motriz.Elétrica</v>
      </c>
      <c r="V85" s="31" t="s">
        <v>115</v>
      </c>
      <c r="W85" s="62" t="str">
        <f t="shared" si="28"/>
        <v>Key-ELET-85</v>
      </c>
      <c r="X85" s="31" t="s">
        <v>344</v>
      </c>
      <c r="Y85" s="30" t="s">
        <v>537</v>
      </c>
      <c r="Z85" s="31" t="s">
        <v>693</v>
      </c>
      <c r="AA85" s="30" t="s">
        <v>543</v>
      </c>
    </row>
    <row r="86" spans="1:27" ht="6.45" customHeight="1" x14ac:dyDescent="0.4">
      <c r="A86" s="61">
        <v>86</v>
      </c>
      <c r="B86" s="1" t="s">
        <v>744</v>
      </c>
      <c r="C86" s="34" t="s">
        <v>745</v>
      </c>
      <c r="D86" s="1" t="s">
        <v>511</v>
      </c>
      <c r="E86" s="44" t="s">
        <v>551</v>
      </c>
      <c r="F86" s="1" t="s">
        <v>513</v>
      </c>
      <c r="G86" s="67" t="s">
        <v>9</v>
      </c>
      <c r="H86" s="65" t="s">
        <v>9</v>
      </c>
      <c r="I86" s="65" t="s">
        <v>9</v>
      </c>
      <c r="J86" s="65" t="s">
        <v>9</v>
      </c>
      <c r="K86" s="65" t="s">
        <v>9</v>
      </c>
      <c r="L86" s="35" t="str">
        <f t="shared" si="29"/>
        <v>EletroTécnicos</v>
      </c>
      <c r="M86" s="35" t="str">
        <f t="shared" ref="M86:M107" si="33">CONCATENATE("", D86)</f>
        <v>Elementos.Elétricos</v>
      </c>
      <c r="N86" s="35" t="str">
        <f t="shared" si="31"/>
        <v>Força Motriz Elétrica</v>
      </c>
      <c r="O86" s="31" t="str">
        <f t="shared" si="27"/>
        <v>Bomba.Circuladora</v>
      </c>
      <c r="P86" s="31" t="s">
        <v>522</v>
      </c>
      <c r="Q86" s="31" t="s">
        <v>522</v>
      </c>
      <c r="R86" s="31" t="s">
        <v>9</v>
      </c>
      <c r="S86" s="31" t="s">
        <v>149</v>
      </c>
      <c r="T86" s="31" t="str">
        <f t="shared" si="32"/>
        <v>Elementos.Elétricos</v>
      </c>
      <c r="U86" s="31" t="str">
        <f t="shared" si="32"/>
        <v>Força.Motriz.Elétrica</v>
      </c>
      <c r="V86" s="31" t="s">
        <v>115</v>
      </c>
      <c r="W86" s="62" t="str">
        <f t="shared" si="28"/>
        <v>Key-ELET-86</v>
      </c>
      <c r="X86" s="31" t="s">
        <v>344</v>
      </c>
      <c r="Y86" s="30" t="s">
        <v>535</v>
      </c>
      <c r="Z86" s="31" t="s">
        <v>693</v>
      </c>
      <c r="AA86" s="30" t="s">
        <v>544</v>
      </c>
    </row>
    <row r="87" spans="1:27" ht="6.45" customHeight="1" x14ac:dyDescent="0.4">
      <c r="A87" s="61">
        <v>87</v>
      </c>
      <c r="B87" s="1" t="s">
        <v>744</v>
      </c>
      <c r="C87" s="34" t="s">
        <v>745</v>
      </c>
      <c r="D87" s="1" t="s">
        <v>511</v>
      </c>
      <c r="E87" s="44" t="s">
        <v>551</v>
      </c>
      <c r="F87" s="1" t="s">
        <v>514</v>
      </c>
      <c r="G87" s="67" t="s">
        <v>9</v>
      </c>
      <c r="H87" s="65" t="s">
        <v>9</v>
      </c>
      <c r="I87" s="65" t="s">
        <v>9</v>
      </c>
      <c r="J87" s="65" t="s">
        <v>9</v>
      </c>
      <c r="K87" s="65" t="s">
        <v>9</v>
      </c>
      <c r="L87" s="35" t="str">
        <f t="shared" si="29"/>
        <v>EletroTécnicos</v>
      </c>
      <c r="M87" s="35" t="str">
        <f t="shared" si="33"/>
        <v>Elementos.Elétricos</v>
      </c>
      <c r="N87" s="35" t="str">
        <f t="shared" si="31"/>
        <v>Força Motriz Elétrica</v>
      </c>
      <c r="O87" s="31" t="str">
        <f t="shared" si="27"/>
        <v>Bomba.de.Sucção</v>
      </c>
      <c r="P87" s="31" t="s">
        <v>523</v>
      </c>
      <c r="Q87" s="31" t="s">
        <v>530</v>
      </c>
      <c r="R87" s="31" t="s">
        <v>9</v>
      </c>
      <c r="S87" s="31" t="s">
        <v>149</v>
      </c>
      <c r="T87" s="31" t="str">
        <f t="shared" si="32"/>
        <v>Elementos.Elétricos</v>
      </c>
      <c r="U87" s="31" t="str">
        <f t="shared" si="32"/>
        <v>Força.Motriz.Elétrica</v>
      </c>
      <c r="V87" s="31" t="s">
        <v>115</v>
      </c>
      <c r="W87" s="62" t="str">
        <f t="shared" si="28"/>
        <v>Key-ELET-87</v>
      </c>
      <c r="X87" s="31" t="s">
        <v>344</v>
      </c>
      <c r="Y87" s="30" t="s">
        <v>536</v>
      </c>
      <c r="Z87" s="31" t="s">
        <v>693</v>
      </c>
      <c r="AA87" s="30" t="s">
        <v>545</v>
      </c>
    </row>
    <row r="88" spans="1:27" ht="6.45" customHeight="1" x14ac:dyDescent="0.4">
      <c r="A88" s="61">
        <v>88</v>
      </c>
      <c r="B88" s="1" t="s">
        <v>744</v>
      </c>
      <c r="C88" s="34" t="s">
        <v>745</v>
      </c>
      <c r="D88" s="1" t="s">
        <v>511</v>
      </c>
      <c r="E88" s="44" t="s">
        <v>551</v>
      </c>
      <c r="F88" s="1" t="s">
        <v>515</v>
      </c>
      <c r="G88" s="67" t="s">
        <v>9</v>
      </c>
      <c r="H88" s="65" t="s">
        <v>9</v>
      </c>
      <c r="I88" s="65" t="s">
        <v>9</v>
      </c>
      <c r="J88" s="65" t="s">
        <v>9</v>
      </c>
      <c r="K88" s="65" t="s">
        <v>9</v>
      </c>
      <c r="L88" s="35" t="str">
        <f t="shared" si="29"/>
        <v>EletroTécnicos</v>
      </c>
      <c r="M88" s="35" t="str">
        <f t="shared" si="33"/>
        <v>Elementos.Elétricos</v>
      </c>
      <c r="N88" s="35" t="str">
        <f t="shared" si="31"/>
        <v>Força Motriz Elétrica</v>
      </c>
      <c r="O88" s="31" t="str">
        <f t="shared" si="27"/>
        <v>Bomba.Carcaça.Bipartida</v>
      </c>
      <c r="P88" s="31" t="s">
        <v>528</v>
      </c>
      <c r="Q88" s="31" t="s">
        <v>531</v>
      </c>
      <c r="R88" s="31" t="s">
        <v>9</v>
      </c>
      <c r="S88" s="31" t="s">
        <v>149</v>
      </c>
      <c r="T88" s="31" t="str">
        <f t="shared" si="32"/>
        <v>Elementos.Elétricos</v>
      </c>
      <c r="U88" s="31" t="str">
        <f t="shared" si="32"/>
        <v>Força.Motriz.Elétrica</v>
      </c>
      <c r="V88" s="31" t="s">
        <v>115</v>
      </c>
      <c r="W88" s="62" t="str">
        <f t="shared" si="28"/>
        <v>Key-ELET-88</v>
      </c>
      <c r="X88" s="31" t="s">
        <v>344</v>
      </c>
      <c r="Y88" s="30" t="s">
        <v>538</v>
      </c>
      <c r="Z88" s="31" t="s">
        <v>693</v>
      </c>
      <c r="AA88" s="30" t="s">
        <v>546</v>
      </c>
    </row>
    <row r="89" spans="1:27" ht="6.45" customHeight="1" x14ac:dyDescent="0.4">
      <c r="A89" s="61">
        <v>89</v>
      </c>
      <c r="B89" s="1" t="s">
        <v>744</v>
      </c>
      <c r="C89" s="34" t="s">
        <v>745</v>
      </c>
      <c r="D89" s="1" t="s">
        <v>511</v>
      </c>
      <c r="E89" s="44" t="s">
        <v>551</v>
      </c>
      <c r="F89" s="1" t="s">
        <v>516</v>
      </c>
      <c r="G89" s="67" t="s">
        <v>9</v>
      </c>
      <c r="H89" s="65" t="s">
        <v>9</v>
      </c>
      <c r="I89" s="65" t="s">
        <v>9</v>
      </c>
      <c r="J89" s="65" t="s">
        <v>9</v>
      </c>
      <c r="K89" s="65" t="s">
        <v>9</v>
      </c>
      <c r="L89" s="35" t="str">
        <f t="shared" si="29"/>
        <v>EletroTécnicos</v>
      </c>
      <c r="M89" s="35" t="str">
        <f t="shared" si="33"/>
        <v>Elementos.Elétricos</v>
      </c>
      <c r="N89" s="35" t="str">
        <f t="shared" si="31"/>
        <v>Força Motriz Elétrica</v>
      </c>
      <c r="O89" s="31" t="str">
        <f t="shared" si="27"/>
        <v>Bomba.Submersível</v>
      </c>
      <c r="P89" s="31" t="s">
        <v>524</v>
      </c>
      <c r="Q89" s="31" t="s">
        <v>532</v>
      </c>
      <c r="R89" s="31" t="s">
        <v>9</v>
      </c>
      <c r="S89" s="31" t="s">
        <v>149</v>
      </c>
      <c r="T89" s="31" t="str">
        <f t="shared" si="32"/>
        <v>Elementos.Elétricos</v>
      </c>
      <c r="U89" s="31" t="str">
        <f t="shared" si="32"/>
        <v>Força.Motriz.Elétrica</v>
      </c>
      <c r="V89" s="31" t="s">
        <v>115</v>
      </c>
      <c r="W89" s="62" t="str">
        <f t="shared" si="28"/>
        <v>Key-ELET-89</v>
      </c>
      <c r="X89" s="31" t="s">
        <v>344</v>
      </c>
      <c r="Y89" s="30" t="s">
        <v>540</v>
      </c>
      <c r="Z89" s="31" t="s">
        <v>693</v>
      </c>
      <c r="AA89" s="30" t="s">
        <v>547</v>
      </c>
    </row>
    <row r="90" spans="1:27" ht="6.45" customHeight="1" x14ac:dyDescent="0.4">
      <c r="A90" s="61">
        <v>90</v>
      </c>
      <c r="B90" s="1" t="s">
        <v>744</v>
      </c>
      <c r="C90" s="34" t="s">
        <v>745</v>
      </c>
      <c r="D90" s="1" t="s">
        <v>511</v>
      </c>
      <c r="E90" s="44" t="s">
        <v>551</v>
      </c>
      <c r="F90" s="1" t="s">
        <v>517</v>
      </c>
      <c r="G90" s="67" t="s">
        <v>9</v>
      </c>
      <c r="H90" s="65" t="s">
        <v>9</v>
      </c>
      <c r="I90" s="65" t="s">
        <v>9</v>
      </c>
      <c r="J90" s="65" t="s">
        <v>9</v>
      </c>
      <c r="K90" s="65" t="s">
        <v>9</v>
      </c>
      <c r="L90" s="35" t="str">
        <f t="shared" si="29"/>
        <v>EletroTécnicos</v>
      </c>
      <c r="M90" s="35" t="str">
        <f t="shared" si="33"/>
        <v>Elementos.Elétricos</v>
      </c>
      <c r="N90" s="35" t="str">
        <f t="shared" si="31"/>
        <v>Força Motriz Elétrica</v>
      </c>
      <c r="O90" s="31" t="str">
        <f t="shared" si="27"/>
        <v>Bomba.de.Drenagem</v>
      </c>
      <c r="P90" s="31" t="s">
        <v>525</v>
      </c>
      <c r="Q90" s="31" t="s">
        <v>533</v>
      </c>
      <c r="R90" s="31" t="s">
        <v>9</v>
      </c>
      <c r="S90" s="31" t="s">
        <v>149</v>
      </c>
      <c r="T90" s="31" t="str">
        <f t="shared" si="32"/>
        <v>Elementos.Elétricos</v>
      </c>
      <c r="U90" s="31" t="str">
        <f t="shared" si="32"/>
        <v>Força.Motriz.Elétrica</v>
      </c>
      <c r="V90" s="31" t="s">
        <v>115</v>
      </c>
      <c r="W90" s="62" t="str">
        <f t="shared" si="28"/>
        <v>Key-ELET-90</v>
      </c>
      <c r="X90" s="31" t="s">
        <v>344</v>
      </c>
      <c r="Y90" s="30" t="s">
        <v>539</v>
      </c>
      <c r="Z90" s="31" t="s">
        <v>693</v>
      </c>
      <c r="AA90" s="30" t="s">
        <v>548</v>
      </c>
    </row>
    <row r="91" spans="1:27" ht="6.45" customHeight="1" x14ac:dyDescent="0.4">
      <c r="A91" s="61">
        <v>91</v>
      </c>
      <c r="B91" s="1" t="s">
        <v>744</v>
      </c>
      <c r="C91" s="34" t="s">
        <v>745</v>
      </c>
      <c r="D91" s="1" t="s">
        <v>511</v>
      </c>
      <c r="E91" s="44" t="s">
        <v>551</v>
      </c>
      <c r="F91" s="1" t="s">
        <v>520</v>
      </c>
      <c r="G91" s="67" t="s">
        <v>9</v>
      </c>
      <c r="H91" s="65" t="s">
        <v>9</v>
      </c>
      <c r="I91" s="65" t="s">
        <v>9</v>
      </c>
      <c r="J91" s="65" t="s">
        <v>9</v>
      </c>
      <c r="K91" s="65" t="s">
        <v>9</v>
      </c>
      <c r="L91" s="35" t="str">
        <f t="shared" si="29"/>
        <v>EletroTécnicos</v>
      </c>
      <c r="M91" s="35" t="str">
        <f t="shared" si="33"/>
        <v>Elementos.Elétricos</v>
      </c>
      <c r="N91" s="35" t="str">
        <f t="shared" si="31"/>
        <v>Força Motriz Elétrica</v>
      </c>
      <c r="O91" s="31" t="str">
        <f t="shared" si="27"/>
        <v>Bomba.Vertical.Alinhada</v>
      </c>
      <c r="P91" s="31" t="s">
        <v>526</v>
      </c>
      <c r="Q91" s="31" t="s">
        <v>534</v>
      </c>
      <c r="R91" s="31" t="s">
        <v>9</v>
      </c>
      <c r="S91" s="31" t="s">
        <v>149</v>
      </c>
      <c r="T91" s="31" t="str">
        <f t="shared" si="32"/>
        <v>Elementos.Elétricos</v>
      </c>
      <c r="U91" s="31" t="str">
        <f t="shared" si="32"/>
        <v>Força.Motriz.Elétrica</v>
      </c>
      <c r="V91" s="31" t="s">
        <v>115</v>
      </c>
      <c r="W91" s="62" t="str">
        <f t="shared" si="28"/>
        <v>Key-ELET-91</v>
      </c>
      <c r="X91" s="31" t="s">
        <v>344</v>
      </c>
      <c r="Y91" s="30" t="s">
        <v>541</v>
      </c>
      <c r="Z91" s="31" t="s">
        <v>693</v>
      </c>
      <c r="AA91" s="30" t="s">
        <v>549</v>
      </c>
    </row>
    <row r="92" spans="1:27" ht="6.45" customHeight="1" x14ac:dyDescent="0.4">
      <c r="A92" s="61">
        <v>92</v>
      </c>
      <c r="B92" s="1" t="s">
        <v>744</v>
      </c>
      <c r="C92" s="34" t="s">
        <v>745</v>
      </c>
      <c r="D92" s="1" t="s">
        <v>511</v>
      </c>
      <c r="E92" s="44" t="s">
        <v>551</v>
      </c>
      <c r="F92" s="1" t="s">
        <v>519</v>
      </c>
      <c r="G92" s="67" t="s">
        <v>9</v>
      </c>
      <c r="H92" s="65" t="s">
        <v>9</v>
      </c>
      <c r="I92" s="65" t="s">
        <v>9</v>
      </c>
      <c r="J92" s="65" t="s">
        <v>9</v>
      </c>
      <c r="K92" s="65" t="s">
        <v>9</v>
      </c>
      <c r="L92" s="35" t="str">
        <f t="shared" si="29"/>
        <v>EletroTécnicos</v>
      </c>
      <c r="M92" s="35" t="str">
        <f t="shared" si="33"/>
        <v>Elementos.Elétricos</v>
      </c>
      <c r="N92" s="35" t="str">
        <f t="shared" si="31"/>
        <v>Força Motriz Elétrica</v>
      </c>
      <c r="O92" s="31" t="str">
        <f t="shared" si="27"/>
        <v>Bomba.de.Turbina.Vertical</v>
      </c>
      <c r="P92" s="31" t="s">
        <v>527</v>
      </c>
      <c r="Q92" s="31" t="s">
        <v>527</v>
      </c>
      <c r="R92" s="31" t="s">
        <v>9</v>
      </c>
      <c r="S92" s="31" t="s">
        <v>149</v>
      </c>
      <c r="T92" s="31" t="str">
        <f t="shared" si="32"/>
        <v>Elementos.Elétricos</v>
      </c>
      <c r="U92" s="31" t="str">
        <f t="shared" si="32"/>
        <v>Força.Motriz.Elétrica</v>
      </c>
      <c r="V92" s="31" t="s">
        <v>115</v>
      </c>
      <c r="W92" s="62" t="str">
        <f t="shared" si="28"/>
        <v>Key-ELET-92</v>
      </c>
      <c r="X92" s="31" t="s">
        <v>344</v>
      </c>
      <c r="Y92" s="30" t="s">
        <v>542</v>
      </c>
      <c r="Z92" s="31" t="s">
        <v>693</v>
      </c>
      <c r="AA92" s="30" t="s">
        <v>550</v>
      </c>
    </row>
    <row r="93" spans="1:27" ht="6.65" customHeight="1" x14ac:dyDescent="0.4">
      <c r="A93" s="61">
        <v>93</v>
      </c>
      <c r="B93" s="1" t="s">
        <v>744</v>
      </c>
      <c r="C93" s="34" t="s">
        <v>745</v>
      </c>
      <c r="D93" s="1" t="s">
        <v>511</v>
      </c>
      <c r="E93" s="44" t="s">
        <v>551</v>
      </c>
      <c r="F93" s="57" t="s">
        <v>570</v>
      </c>
      <c r="G93" s="65" t="s">
        <v>9</v>
      </c>
      <c r="H93" s="65" t="s">
        <v>9</v>
      </c>
      <c r="I93" s="65" t="s">
        <v>9</v>
      </c>
      <c r="J93" s="65" t="s">
        <v>9</v>
      </c>
      <c r="K93" s="65" t="s">
        <v>9</v>
      </c>
      <c r="L93" s="35" t="str">
        <f t="shared" si="29"/>
        <v>EletroTécnicos</v>
      </c>
      <c r="M93" s="35" t="str">
        <f t="shared" si="33"/>
        <v>Elementos.Elétricos</v>
      </c>
      <c r="N93" s="35" t="str">
        <f t="shared" si="31"/>
        <v>Força Motriz Elétrica</v>
      </c>
      <c r="O93" s="31" t="str">
        <f t="shared" si="27"/>
        <v>Motor.Eléctrico</v>
      </c>
      <c r="P93" s="31" t="s">
        <v>552</v>
      </c>
      <c r="Q93" s="31" t="s">
        <v>553</v>
      </c>
      <c r="R93" s="31" t="s">
        <v>9</v>
      </c>
      <c r="S93" s="31" t="str">
        <f t="shared" ref="S93:S98" si="34">SUBSTITUTE(C93, "_", " ")</f>
        <v>EletroTécnicos</v>
      </c>
      <c r="T93" s="31" t="str">
        <f t="shared" si="32"/>
        <v>Elementos.Elétricos</v>
      </c>
      <c r="U93" s="31" t="str">
        <f t="shared" si="32"/>
        <v>Força.Motriz.Elétrica</v>
      </c>
      <c r="V93" s="31" t="s">
        <v>115</v>
      </c>
      <c r="W93" s="62" t="str">
        <f t="shared" si="28"/>
        <v>Key-ELET-93</v>
      </c>
      <c r="X93" s="31" t="s">
        <v>344</v>
      </c>
      <c r="Y93" s="30" t="s">
        <v>564</v>
      </c>
      <c r="Z93" s="31" t="s">
        <v>693</v>
      </c>
      <c r="AA93" s="31" t="str">
        <f t="shared" ref="AA93:AA98" si="35">_xlfn.TRANSLATE(P93,"pt","en")</f>
        <v>Electric motor is a motor that is a machine for converting electrical energy into mechanical energy.</v>
      </c>
    </row>
    <row r="94" spans="1:27" ht="6.65" customHeight="1" x14ac:dyDescent="0.4">
      <c r="A94" s="61">
        <v>94</v>
      </c>
      <c r="B94" s="1" t="s">
        <v>744</v>
      </c>
      <c r="C94" s="34" t="s">
        <v>745</v>
      </c>
      <c r="D94" s="1" t="s">
        <v>511</v>
      </c>
      <c r="E94" s="44" t="s">
        <v>551</v>
      </c>
      <c r="F94" s="57" t="s">
        <v>571</v>
      </c>
      <c r="G94" s="65" t="s">
        <v>9</v>
      </c>
      <c r="H94" s="65" t="s">
        <v>9</v>
      </c>
      <c r="I94" s="65" t="s">
        <v>9</v>
      </c>
      <c r="J94" s="65" t="s">
        <v>9</v>
      </c>
      <c r="K94" s="65" t="s">
        <v>9</v>
      </c>
      <c r="L94" s="35" t="str">
        <f t="shared" si="29"/>
        <v>EletroTécnicos</v>
      </c>
      <c r="M94" s="35" t="str">
        <f t="shared" si="33"/>
        <v>Elementos.Elétricos</v>
      </c>
      <c r="N94" s="35" t="str">
        <f t="shared" si="31"/>
        <v>Força Motriz Elétrica</v>
      </c>
      <c r="O94" s="31" t="str">
        <f t="shared" si="27"/>
        <v>Motor.Eléctrico.DC</v>
      </c>
      <c r="P94" s="31" t="s">
        <v>554</v>
      </c>
      <c r="Q94" s="31" t="s">
        <v>555</v>
      </c>
      <c r="R94" s="31" t="s">
        <v>9</v>
      </c>
      <c r="S94" s="31" t="str">
        <f t="shared" si="34"/>
        <v>EletroTécnicos</v>
      </c>
      <c r="T94" s="31" t="str">
        <f t="shared" si="32"/>
        <v>Elementos.Elétricos</v>
      </c>
      <c r="U94" s="31" t="str">
        <f t="shared" si="32"/>
        <v>Força.Motriz.Elétrica</v>
      </c>
      <c r="V94" s="31" t="s">
        <v>115</v>
      </c>
      <c r="W94" s="62" t="str">
        <f t="shared" si="28"/>
        <v>Key-ELET-94</v>
      </c>
      <c r="X94" s="31" t="s">
        <v>344</v>
      </c>
      <c r="Y94" s="30" t="s">
        <v>565</v>
      </c>
      <c r="Z94" s="31" t="s">
        <v>693</v>
      </c>
      <c r="AA94" s="31" t="str">
        <f t="shared" si="35"/>
        <v>Motor that uses direct current (DC) power generated or rectified.</v>
      </c>
    </row>
    <row r="95" spans="1:27" ht="6.65" customHeight="1" x14ac:dyDescent="0.4">
      <c r="A95" s="61">
        <v>95</v>
      </c>
      <c r="B95" s="1" t="s">
        <v>744</v>
      </c>
      <c r="C95" s="34" t="s">
        <v>745</v>
      </c>
      <c r="D95" s="1" t="s">
        <v>511</v>
      </c>
      <c r="E95" s="44" t="s">
        <v>551</v>
      </c>
      <c r="F95" s="57" t="s">
        <v>574</v>
      </c>
      <c r="G95" s="65" t="s">
        <v>9</v>
      </c>
      <c r="H95" s="65" t="s">
        <v>9</v>
      </c>
      <c r="I95" s="65" t="s">
        <v>9</v>
      </c>
      <c r="J95" s="65" t="s">
        <v>9</v>
      </c>
      <c r="K95" s="65" t="s">
        <v>9</v>
      </c>
      <c r="L95" s="35" t="str">
        <f t="shared" si="29"/>
        <v>EletroTécnicos</v>
      </c>
      <c r="M95" s="35" t="str">
        <f t="shared" si="33"/>
        <v>Elementos.Elétricos</v>
      </c>
      <c r="N95" s="35" t="str">
        <f t="shared" si="31"/>
        <v>Força Motriz Elétrica</v>
      </c>
      <c r="O95" s="31" t="str">
        <f t="shared" si="27"/>
        <v>Motor.Eléctrico.Assíncrono</v>
      </c>
      <c r="P95" s="31" t="s">
        <v>556</v>
      </c>
      <c r="Q95" s="31" t="s">
        <v>557</v>
      </c>
      <c r="R95" s="31" t="s">
        <v>9</v>
      </c>
      <c r="S95" s="31" t="str">
        <f t="shared" si="34"/>
        <v>EletroTécnicos</v>
      </c>
      <c r="T95" s="31" t="str">
        <f t="shared" si="32"/>
        <v>Elementos.Elétricos</v>
      </c>
      <c r="U95" s="31" t="str">
        <f t="shared" si="32"/>
        <v>Força.Motriz.Elétrica</v>
      </c>
      <c r="V95" s="31" t="s">
        <v>115</v>
      </c>
      <c r="W95" s="62" t="str">
        <f t="shared" si="28"/>
        <v>Key-ELET-95</v>
      </c>
      <c r="X95" s="31" t="s">
        <v>344</v>
      </c>
      <c r="Y95" s="30" t="s">
        <v>569</v>
      </c>
      <c r="Z95" s="31" t="s">
        <v>693</v>
      </c>
      <c r="AA95" s="31" t="str">
        <f t="shared" si="35"/>
        <v>Alternating current motor in which the primary winding on a member (usually the stator).</v>
      </c>
    </row>
    <row r="96" spans="1:27" ht="6.65" customHeight="1" x14ac:dyDescent="0.4">
      <c r="A96" s="61">
        <v>96</v>
      </c>
      <c r="B96" s="1" t="s">
        <v>744</v>
      </c>
      <c r="C96" s="34" t="s">
        <v>745</v>
      </c>
      <c r="D96" s="1" t="s">
        <v>511</v>
      </c>
      <c r="E96" s="44" t="s">
        <v>551</v>
      </c>
      <c r="F96" s="57" t="s">
        <v>573</v>
      </c>
      <c r="G96" s="65" t="s">
        <v>9</v>
      </c>
      <c r="H96" s="65" t="s">
        <v>9</v>
      </c>
      <c r="I96" s="65" t="s">
        <v>9</v>
      </c>
      <c r="J96" s="65" t="s">
        <v>9</v>
      </c>
      <c r="K96" s="65" t="s">
        <v>9</v>
      </c>
      <c r="L96" s="35" t="str">
        <f t="shared" si="29"/>
        <v>EletroTécnicos</v>
      </c>
      <c r="M96" s="35" t="str">
        <f t="shared" si="33"/>
        <v>Elementos.Elétricos</v>
      </c>
      <c r="N96" s="35" t="str">
        <f t="shared" si="31"/>
        <v>Força Motriz Elétrica</v>
      </c>
      <c r="O96" s="31" t="str">
        <f t="shared" si="27"/>
        <v>Motor.Eléctrico.Trifásico</v>
      </c>
      <c r="P96" s="31" t="s">
        <v>558</v>
      </c>
      <c r="Q96" s="31" t="s">
        <v>559</v>
      </c>
      <c r="R96" s="31" t="s">
        <v>9</v>
      </c>
      <c r="S96" s="31" t="str">
        <f t="shared" si="34"/>
        <v>EletroTécnicos</v>
      </c>
      <c r="T96" s="31" t="str">
        <f t="shared" si="32"/>
        <v>Elementos.Elétricos</v>
      </c>
      <c r="U96" s="31" t="str">
        <f t="shared" si="32"/>
        <v>Força.Motriz.Elétrica</v>
      </c>
      <c r="V96" s="31" t="s">
        <v>115</v>
      </c>
      <c r="W96" s="62" t="str">
        <f t="shared" si="28"/>
        <v>Key-ELET-96</v>
      </c>
      <c r="X96" s="31" t="s">
        <v>344</v>
      </c>
      <c r="Y96" s="30" t="s">
        <v>566</v>
      </c>
      <c r="Z96" s="31" t="s">
        <v>693</v>
      </c>
      <c r="AA96" s="31" t="str">
        <f t="shared" si="35"/>
        <v>Two-phase or three-phase induction motor in which the windings, one for each phase, are evenly divided.</v>
      </c>
    </row>
    <row r="97" spans="1:27" ht="6.65" customHeight="1" x14ac:dyDescent="0.4">
      <c r="A97" s="61">
        <v>97</v>
      </c>
      <c r="B97" s="1" t="s">
        <v>744</v>
      </c>
      <c r="C97" s="34" t="s">
        <v>745</v>
      </c>
      <c r="D97" s="1" t="s">
        <v>511</v>
      </c>
      <c r="E97" s="44" t="s">
        <v>551</v>
      </c>
      <c r="F97" s="57" t="s">
        <v>575</v>
      </c>
      <c r="G97" s="65" t="s">
        <v>9</v>
      </c>
      <c r="H97" s="65" t="s">
        <v>9</v>
      </c>
      <c r="I97" s="65" t="s">
        <v>9</v>
      </c>
      <c r="J97" s="65" t="s">
        <v>9</v>
      </c>
      <c r="K97" s="65" t="s">
        <v>9</v>
      </c>
      <c r="L97" s="35" t="str">
        <f t="shared" si="29"/>
        <v>EletroTécnicos</v>
      </c>
      <c r="M97" s="35" t="str">
        <f t="shared" si="33"/>
        <v>Elementos.Elétricos</v>
      </c>
      <c r="N97" s="35" t="str">
        <f t="shared" si="31"/>
        <v>Força Motriz Elétrica</v>
      </c>
      <c r="O97" s="31" t="str">
        <f t="shared" si="27"/>
        <v>Motor.Eléctrico.Síncrono.de.Relutância</v>
      </c>
      <c r="P97" s="31" t="s">
        <v>560</v>
      </c>
      <c r="Q97" s="31" t="s">
        <v>561</v>
      </c>
      <c r="R97" s="31" t="s">
        <v>9</v>
      </c>
      <c r="S97" s="31" t="str">
        <f t="shared" si="34"/>
        <v>EletroTécnicos</v>
      </c>
      <c r="T97" s="31" t="str">
        <f t="shared" si="32"/>
        <v>Elementos.Elétricos</v>
      </c>
      <c r="U97" s="31" t="str">
        <f t="shared" si="32"/>
        <v>Força.Motriz.Elétrica</v>
      </c>
      <c r="V97" s="31" t="s">
        <v>115</v>
      </c>
      <c r="W97" s="62" t="str">
        <f t="shared" si="28"/>
        <v>Key-ELET-97</v>
      </c>
      <c r="X97" s="31" t="s">
        <v>344</v>
      </c>
      <c r="Y97" s="30" t="s">
        <v>568</v>
      </c>
      <c r="Z97" s="31" t="s">
        <v>693</v>
      </c>
      <c r="AA97" s="31" t="str">
        <f t="shared" si="35"/>
        <v>Synchronous motor with a special rotor design that directly aligns the rotor with the rotating rotor.</v>
      </c>
    </row>
    <row r="98" spans="1:27" ht="6.65" customHeight="1" x14ac:dyDescent="0.4">
      <c r="A98" s="61">
        <v>98</v>
      </c>
      <c r="B98" s="1" t="s">
        <v>744</v>
      </c>
      <c r="C98" s="34" t="s">
        <v>745</v>
      </c>
      <c r="D98" s="1" t="s">
        <v>511</v>
      </c>
      <c r="E98" s="44" t="s">
        <v>551</v>
      </c>
      <c r="F98" s="57" t="s">
        <v>572</v>
      </c>
      <c r="G98" s="65" t="s">
        <v>9</v>
      </c>
      <c r="H98" s="65" t="s">
        <v>9</v>
      </c>
      <c r="I98" s="65" t="s">
        <v>9</v>
      </c>
      <c r="J98" s="65" t="s">
        <v>9</v>
      </c>
      <c r="K98" s="65" t="s">
        <v>9</v>
      </c>
      <c r="L98" s="35" t="str">
        <f t="shared" si="29"/>
        <v>EletroTécnicos</v>
      </c>
      <c r="M98" s="35" t="str">
        <f t="shared" si="33"/>
        <v>Elementos.Elétricos</v>
      </c>
      <c r="N98" s="35" t="str">
        <f t="shared" si="31"/>
        <v>Força Motriz Elétrica</v>
      </c>
      <c r="O98" s="31" t="str">
        <f t="shared" si="27"/>
        <v>Motor.Eléctrico.Síncrono</v>
      </c>
      <c r="P98" s="31" t="s">
        <v>562</v>
      </c>
      <c r="Q98" s="31" t="s">
        <v>563</v>
      </c>
      <c r="R98" s="31" t="s">
        <v>9</v>
      </c>
      <c r="S98" s="31" t="str">
        <f t="shared" si="34"/>
        <v>EletroTécnicos</v>
      </c>
      <c r="T98" s="31" t="str">
        <f t="shared" si="32"/>
        <v>Elementos.Elétricos</v>
      </c>
      <c r="U98" s="31" t="str">
        <f t="shared" si="32"/>
        <v>Força.Motriz.Elétrica</v>
      </c>
      <c r="V98" s="31" t="s">
        <v>115</v>
      </c>
      <c r="W98" s="62" t="str">
        <f t="shared" si="28"/>
        <v>Key-ELET-98</v>
      </c>
      <c r="X98" s="31" t="s">
        <v>344</v>
      </c>
      <c r="Y98" s="30" t="s">
        <v>567</v>
      </c>
      <c r="Z98" s="31" t="s">
        <v>693</v>
      </c>
      <c r="AA98" s="31" t="str">
        <f t="shared" si="35"/>
        <v>Motor that operates at a constant speed until full load.</v>
      </c>
    </row>
    <row r="99" spans="1:27" ht="6.65" customHeight="1" x14ac:dyDescent="0.4">
      <c r="A99" s="61">
        <v>99</v>
      </c>
      <c r="B99" s="1" t="s">
        <v>744</v>
      </c>
      <c r="C99" s="34" t="s">
        <v>745</v>
      </c>
      <c r="D99" s="1" t="s">
        <v>511</v>
      </c>
      <c r="E99" s="1" t="s">
        <v>316</v>
      </c>
      <c r="F99" s="57" t="s">
        <v>317</v>
      </c>
      <c r="G99" s="65" t="s">
        <v>9</v>
      </c>
      <c r="H99" s="65" t="s">
        <v>9</v>
      </c>
      <c r="I99" s="65" t="s">
        <v>9</v>
      </c>
      <c r="J99" s="65" t="s">
        <v>9</v>
      </c>
      <c r="K99" s="65" t="s">
        <v>9</v>
      </c>
      <c r="L99" s="35" t="str">
        <f t="shared" si="29"/>
        <v>EletroTécnicos</v>
      </c>
      <c r="M99" s="35" t="str">
        <f t="shared" si="33"/>
        <v>Elementos.Elétricos</v>
      </c>
      <c r="N99" s="35" t="str">
        <f t="shared" si="31"/>
        <v>Baterias Elétricas</v>
      </c>
      <c r="O99" s="31" t="str">
        <f t="shared" si="27"/>
        <v>Bateria</v>
      </c>
      <c r="P99" s="31" t="s">
        <v>326</v>
      </c>
      <c r="Q99" s="31" t="s">
        <v>334</v>
      </c>
      <c r="R99" s="31" t="s">
        <v>9</v>
      </c>
      <c r="S99" s="31" t="s">
        <v>149</v>
      </c>
      <c r="T99" s="31" t="str">
        <f t="shared" si="32"/>
        <v>Elementos.Elétricos</v>
      </c>
      <c r="U99" s="31" t="str">
        <f t="shared" si="32"/>
        <v>Baterias.Elétricas</v>
      </c>
      <c r="V99" s="31" t="s">
        <v>115</v>
      </c>
      <c r="W99" s="62" t="str">
        <f t="shared" si="28"/>
        <v>Key-ELET-99</v>
      </c>
      <c r="X99" s="31" t="s">
        <v>344</v>
      </c>
      <c r="Y99" s="30" t="s">
        <v>307</v>
      </c>
      <c r="Z99" s="31" t="s">
        <v>693</v>
      </c>
      <c r="AA99" s="31" t="str">
        <f t="shared" ref="AA99:AA107" si="36">_xlfn.TRANSLATE(P99,"pt","en")</f>
        <v>It stores energy in chemical form so that it can be released as electrical energy.</v>
      </c>
    </row>
    <row r="100" spans="1:27" ht="6.65" customHeight="1" x14ac:dyDescent="0.4">
      <c r="A100" s="61">
        <v>100</v>
      </c>
      <c r="B100" s="1" t="s">
        <v>744</v>
      </c>
      <c r="C100" s="34" t="s">
        <v>745</v>
      </c>
      <c r="D100" s="1" t="s">
        <v>511</v>
      </c>
      <c r="E100" s="1" t="s">
        <v>316</v>
      </c>
      <c r="F100" s="57" t="s">
        <v>318</v>
      </c>
      <c r="G100" s="65" t="s">
        <v>9</v>
      </c>
      <c r="H100" s="65" t="s">
        <v>9</v>
      </c>
      <c r="I100" s="65" t="s">
        <v>9</v>
      </c>
      <c r="J100" s="65" t="s">
        <v>9</v>
      </c>
      <c r="K100" s="65" t="s">
        <v>9</v>
      </c>
      <c r="L100" s="35" t="str">
        <f t="shared" si="29"/>
        <v>EletroTécnicos</v>
      </c>
      <c r="M100" s="35" t="str">
        <f t="shared" si="33"/>
        <v>Elementos.Elétricos</v>
      </c>
      <c r="N100" s="35" t="str">
        <f t="shared" si="31"/>
        <v>Baterias Elétricas</v>
      </c>
      <c r="O100" s="31" t="str">
        <f t="shared" si="27"/>
        <v>Capacitor</v>
      </c>
      <c r="P100" s="31" t="s">
        <v>327</v>
      </c>
      <c r="Q100" s="31" t="s">
        <v>335</v>
      </c>
      <c r="R100" s="31" t="s">
        <v>9</v>
      </c>
      <c r="S100" s="31" t="s">
        <v>149</v>
      </c>
      <c r="T100" s="31" t="str">
        <f t="shared" si="32"/>
        <v>Elementos.Elétricos</v>
      </c>
      <c r="U100" s="31" t="str">
        <f t="shared" si="32"/>
        <v>Baterias.Elétricas</v>
      </c>
      <c r="V100" s="31" t="s">
        <v>115</v>
      </c>
      <c r="W100" s="62" t="str">
        <f t="shared" si="28"/>
        <v>Key-ELET-100</v>
      </c>
      <c r="X100" s="31" t="s">
        <v>344</v>
      </c>
      <c r="Y100" s="30" t="s">
        <v>308</v>
      </c>
      <c r="Z100" s="31" t="s">
        <v>693</v>
      </c>
      <c r="AA100" s="31" t="str">
        <f t="shared" si="36"/>
        <v>It stores electrical charge when an external power supply is present.</v>
      </c>
    </row>
    <row r="101" spans="1:27" ht="6.65" customHeight="1" x14ac:dyDescent="0.4">
      <c r="A101" s="61">
        <v>101</v>
      </c>
      <c r="B101" s="1" t="s">
        <v>744</v>
      </c>
      <c r="C101" s="34" t="s">
        <v>745</v>
      </c>
      <c r="D101" s="1" t="s">
        <v>511</v>
      </c>
      <c r="E101" s="1" t="s">
        <v>316</v>
      </c>
      <c r="F101" s="57" t="s">
        <v>319</v>
      </c>
      <c r="G101" s="65" t="s">
        <v>9</v>
      </c>
      <c r="H101" s="65" t="s">
        <v>9</v>
      </c>
      <c r="I101" s="65" t="s">
        <v>9</v>
      </c>
      <c r="J101" s="65" t="s">
        <v>9</v>
      </c>
      <c r="K101" s="65" t="s">
        <v>9</v>
      </c>
      <c r="L101" s="35" t="str">
        <f t="shared" si="29"/>
        <v>EletroTécnicos</v>
      </c>
      <c r="M101" s="35" t="str">
        <f t="shared" si="33"/>
        <v>Elementos.Elétricos</v>
      </c>
      <c r="N101" s="35" t="str">
        <f t="shared" si="31"/>
        <v>Baterias Elétricas</v>
      </c>
      <c r="O101" s="31" t="str">
        <f t="shared" si="27"/>
        <v>Banco.de.Capacitores</v>
      </c>
      <c r="P101" s="31" t="s">
        <v>328</v>
      </c>
      <c r="Q101" s="31" t="s">
        <v>336</v>
      </c>
      <c r="R101" s="31" t="s">
        <v>9</v>
      </c>
      <c r="S101" s="31" t="s">
        <v>149</v>
      </c>
      <c r="T101" s="31" t="str">
        <f t="shared" si="32"/>
        <v>Elementos.Elétricos</v>
      </c>
      <c r="U101" s="31" t="str">
        <f t="shared" si="32"/>
        <v>Baterias.Elétricas</v>
      </c>
      <c r="V101" s="31" t="s">
        <v>115</v>
      </c>
      <c r="W101" s="62" t="str">
        <f t="shared" si="28"/>
        <v>Key-ELET-101</v>
      </c>
      <c r="X101" s="31" t="s">
        <v>344</v>
      </c>
      <c r="Y101" s="30" t="s">
        <v>309</v>
      </c>
      <c r="Z101" s="31" t="s">
        <v>693</v>
      </c>
      <c r="AA101" s="31" t="str">
        <f t="shared" si="36"/>
        <v>It stores electrical energy when an external power supply.</v>
      </c>
    </row>
    <row r="102" spans="1:27" ht="6.65" customHeight="1" x14ac:dyDescent="0.4">
      <c r="A102" s="61">
        <v>102</v>
      </c>
      <c r="B102" s="1" t="s">
        <v>744</v>
      </c>
      <c r="C102" s="34" t="s">
        <v>745</v>
      </c>
      <c r="D102" s="1" t="s">
        <v>511</v>
      </c>
      <c r="E102" s="1" t="s">
        <v>316</v>
      </c>
      <c r="F102" s="57" t="s">
        <v>320</v>
      </c>
      <c r="G102" s="65" t="s">
        <v>9</v>
      </c>
      <c r="H102" s="65" t="s">
        <v>9</v>
      </c>
      <c r="I102" s="65" t="s">
        <v>9</v>
      </c>
      <c r="J102" s="65" t="s">
        <v>9</v>
      </c>
      <c r="K102" s="65" t="s">
        <v>9</v>
      </c>
      <c r="L102" s="35" t="str">
        <f t="shared" si="29"/>
        <v>EletroTécnicos</v>
      </c>
      <c r="M102" s="35" t="str">
        <f t="shared" si="33"/>
        <v>Elementos.Elétricos</v>
      </c>
      <c r="N102" s="35" t="str">
        <f t="shared" si="31"/>
        <v>Baterias Elétricas</v>
      </c>
      <c r="O102" s="31" t="str">
        <f t="shared" si="27"/>
        <v>Compensador</v>
      </c>
      <c r="P102" s="31" t="s">
        <v>329</v>
      </c>
      <c r="Q102" s="31" t="s">
        <v>337</v>
      </c>
      <c r="R102" s="31" t="s">
        <v>9</v>
      </c>
      <c r="S102" s="31" t="s">
        <v>149</v>
      </c>
      <c r="T102" s="31" t="str">
        <f t="shared" si="32"/>
        <v>Elementos.Elétricos</v>
      </c>
      <c r="U102" s="31" t="str">
        <f t="shared" si="32"/>
        <v>Baterias.Elétricas</v>
      </c>
      <c r="V102" s="31" t="s">
        <v>115</v>
      </c>
      <c r="W102" s="62" t="str">
        <f t="shared" si="28"/>
        <v>Key-ELET-102</v>
      </c>
      <c r="X102" s="31" t="s">
        <v>344</v>
      </c>
      <c r="Y102" s="30" t="s">
        <v>310</v>
      </c>
      <c r="Z102" s="31" t="s">
        <v>693</v>
      </c>
      <c r="AA102" s="31" t="str">
        <f t="shared" si="36"/>
        <v>Fix or adjust the electrical power parameter, such as voltage or power loss.</v>
      </c>
    </row>
    <row r="103" spans="1:27" ht="6.65" customHeight="1" x14ac:dyDescent="0.4">
      <c r="A103" s="61">
        <v>103</v>
      </c>
      <c r="B103" s="1" t="s">
        <v>744</v>
      </c>
      <c r="C103" s="34" t="s">
        <v>745</v>
      </c>
      <c r="D103" s="1" t="s">
        <v>511</v>
      </c>
      <c r="E103" s="1" t="s">
        <v>316</v>
      </c>
      <c r="F103" s="57" t="s">
        <v>321</v>
      </c>
      <c r="G103" s="65" t="s">
        <v>9</v>
      </c>
      <c r="H103" s="65" t="s">
        <v>9</v>
      </c>
      <c r="I103" s="65" t="s">
        <v>9</v>
      </c>
      <c r="J103" s="65" t="s">
        <v>9</v>
      </c>
      <c r="K103" s="65" t="s">
        <v>9</v>
      </c>
      <c r="L103" s="35" t="str">
        <f t="shared" si="29"/>
        <v>EletroTécnicos</v>
      </c>
      <c r="M103" s="35" t="str">
        <f t="shared" si="33"/>
        <v>Elementos.Elétricos</v>
      </c>
      <c r="N103" s="35" t="str">
        <f t="shared" si="31"/>
        <v>Baterias Elétricas</v>
      </c>
      <c r="O103" s="31" t="str">
        <f t="shared" si="27"/>
        <v>Filtro.Harmônico</v>
      </c>
      <c r="P103" s="31" t="s">
        <v>330</v>
      </c>
      <c r="Q103" s="31" t="s">
        <v>338</v>
      </c>
      <c r="R103" s="31" t="s">
        <v>9</v>
      </c>
      <c r="S103" s="31" t="s">
        <v>149</v>
      </c>
      <c r="T103" s="31" t="str">
        <f t="shared" si="32"/>
        <v>Elementos.Elétricos</v>
      </c>
      <c r="U103" s="31" t="str">
        <f t="shared" si="32"/>
        <v>Baterias.Elétricas</v>
      </c>
      <c r="V103" s="31" t="s">
        <v>115</v>
      </c>
      <c r="W103" s="62" t="str">
        <f t="shared" si="28"/>
        <v>Key-ELET-103</v>
      </c>
      <c r="X103" s="31" t="s">
        <v>344</v>
      </c>
      <c r="Y103" s="30" t="s">
        <v>311</v>
      </c>
      <c r="Z103" s="31" t="s">
        <v>693</v>
      </c>
      <c r="AA103" s="31" t="str">
        <f t="shared" si="36"/>
        <v>It constantly injects currents that precisely correspond to the designed harmonic components.</v>
      </c>
    </row>
    <row r="104" spans="1:27" ht="6.65" customHeight="1" x14ac:dyDescent="0.4">
      <c r="A104" s="61">
        <v>104</v>
      </c>
      <c r="B104" s="1" t="s">
        <v>744</v>
      </c>
      <c r="C104" s="34" t="s">
        <v>745</v>
      </c>
      <c r="D104" s="1" t="s">
        <v>511</v>
      </c>
      <c r="E104" s="1" t="s">
        <v>316</v>
      </c>
      <c r="F104" s="57" t="s">
        <v>322</v>
      </c>
      <c r="G104" s="65" t="s">
        <v>9</v>
      </c>
      <c r="H104" s="65" t="s">
        <v>9</v>
      </c>
      <c r="I104" s="65" t="s">
        <v>9</v>
      </c>
      <c r="J104" s="65" t="s">
        <v>9</v>
      </c>
      <c r="K104" s="65" t="s">
        <v>9</v>
      </c>
      <c r="L104" s="35" t="str">
        <f t="shared" si="29"/>
        <v>EletroTécnicos</v>
      </c>
      <c r="M104" s="35" t="str">
        <f t="shared" si="33"/>
        <v>Elementos.Elétricos</v>
      </c>
      <c r="N104" s="35" t="str">
        <f t="shared" si="31"/>
        <v>Baterias Elétricas</v>
      </c>
      <c r="O104" s="31" t="str">
        <f t="shared" si="27"/>
        <v>Indutor</v>
      </c>
      <c r="P104" s="31" t="s">
        <v>331</v>
      </c>
      <c r="Q104" s="31" t="s">
        <v>339</v>
      </c>
      <c r="R104" s="31" t="s">
        <v>9</v>
      </c>
      <c r="S104" s="31" t="s">
        <v>149</v>
      </c>
      <c r="T104" s="31" t="str">
        <f t="shared" si="32"/>
        <v>Elementos.Elétricos</v>
      </c>
      <c r="U104" s="31" t="str">
        <f t="shared" si="32"/>
        <v>Baterias.Elétricas</v>
      </c>
      <c r="V104" s="31" t="s">
        <v>115</v>
      </c>
      <c r="W104" s="62" t="str">
        <f t="shared" si="28"/>
        <v>Key-ELET-104</v>
      </c>
      <c r="X104" s="31" t="s">
        <v>344</v>
      </c>
      <c r="Y104" s="30" t="s">
        <v>312</v>
      </c>
      <c r="Z104" s="31" t="s">
        <v>693</v>
      </c>
      <c r="AA104" s="31" t="str">
        <f t="shared" si="36"/>
        <v>Used in circuits or power systems due to its inductance, acting as a component of electrical.</v>
      </c>
    </row>
    <row r="105" spans="1:27" ht="6.65" customHeight="1" x14ac:dyDescent="0.4">
      <c r="A105" s="61">
        <v>105</v>
      </c>
      <c r="B105" s="1" t="s">
        <v>744</v>
      </c>
      <c r="C105" s="34" t="s">
        <v>745</v>
      </c>
      <c r="D105" s="1" t="s">
        <v>511</v>
      </c>
      <c r="E105" s="1" t="s">
        <v>316</v>
      </c>
      <c r="F105" s="57" t="s">
        <v>323</v>
      </c>
      <c r="G105" s="65" t="s">
        <v>9</v>
      </c>
      <c r="H105" s="65" t="s">
        <v>9</v>
      </c>
      <c r="I105" s="65" t="s">
        <v>9</v>
      </c>
      <c r="J105" s="65" t="s">
        <v>9</v>
      </c>
      <c r="K105" s="65" t="s">
        <v>9</v>
      </c>
      <c r="L105" s="35" t="str">
        <f t="shared" si="29"/>
        <v>EletroTécnicos</v>
      </c>
      <c r="M105" s="35" t="str">
        <f t="shared" si="33"/>
        <v>Elementos.Elétricos</v>
      </c>
      <c r="N105" s="35" t="str">
        <f t="shared" si="31"/>
        <v>Baterias Elétricas</v>
      </c>
      <c r="O105" s="31" t="str">
        <f t="shared" si="27"/>
        <v>Banco.de.Indutores</v>
      </c>
      <c r="P105" s="31" t="s">
        <v>332</v>
      </c>
      <c r="Q105" s="31" t="s">
        <v>340</v>
      </c>
      <c r="R105" s="31" t="s">
        <v>9</v>
      </c>
      <c r="S105" s="31" t="s">
        <v>149</v>
      </c>
      <c r="T105" s="31" t="str">
        <f t="shared" si="32"/>
        <v>Elementos.Elétricos</v>
      </c>
      <c r="U105" s="31" t="str">
        <f t="shared" si="32"/>
        <v>Baterias.Elétricas</v>
      </c>
      <c r="V105" s="31" t="s">
        <v>115</v>
      </c>
      <c r="W105" s="62" t="str">
        <f t="shared" si="28"/>
        <v>Key-ELET-105</v>
      </c>
      <c r="X105" s="31" t="s">
        <v>344</v>
      </c>
      <c r="Y105" s="30" t="s">
        <v>313</v>
      </c>
      <c r="Z105" s="31" t="s">
        <v>693</v>
      </c>
      <c r="AA105" s="31" t="str">
        <f t="shared" si="36"/>
        <v>It stores electrical energy in a magnetic field using the electrical property of inductance.</v>
      </c>
    </row>
    <row r="106" spans="1:27" ht="6.65" customHeight="1" x14ac:dyDescent="0.4">
      <c r="A106" s="61">
        <v>106</v>
      </c>
      <c r="B106" s="1" t="s">
        <v>744</v>
      </c>
      <c r="C106" s="34" t="s">
        <v>745</v>
      </c>
      <c r="D106" s="1" t="s">
        <v>511</v>
      </c>
      <c r="E106" s="1" t="s">
        <v>316</v>
      </c>
      <c r="F106" s="57" t="s">
        <v>324</v>
      </c>
      <c r="G106" s="65" t="s">
        <v>9</v>
      </c>
      <c r="H106" s="65" t="s">
        <v>9</v>
      </c>
      <c r="I106" s="65" t="s">
        <v>9</v>
      </c>
      <c r="J106" s="65" t="s">
        <v>9</v>
      </c>
      <c r="K106" s="65" t="s">
        <v>9</v>
      </c>
      <c r="L106" s="35" t="str">
        <f t="shared" si="29"/>
        <v>EletroTécnicos</v>
      </c>
      <c r="M106" s="35" t="str">
        <f t="shared" si="33"/>
        <v>Elementos.Elétricos</v>
      </c>
      <c r="N106" s="35" t="str">
        <f t="shared" si="31"/>
        <v>Baterias Elétricas</v>
      </c>
      <c r="O106" s="31" t="str">
        <f t="shared" si="27"/>
        <v>Recarga</v>
      </c>
      <c r="P106" s="31" t="s">
        <v>150</v>
      </c>
      <c r="Q106" s="31" t="s">
        <v>341</v>
      </c>
      <c r="R106" s="31" t="s">
        <v>9</v>
      </c>
      <c r="S106" s="31" t="s">
        <v>149</v>
      </c>
      <c r="T106" s="31" t="str">
        <f t="shared" si="32"/>
        <v>Elementos.Elétricos</v>
      </c>
      <c r="U106" s="31" t="str">
        <f t="shared" si="32"/>
        <v>Baterias.Elétricas</v>
      </c>
      <c r="V106" s="31" t="s">
        <v>115</v>
      </c>
      <c r="W106" s="62" t="str">
        <f t="shared" si="28"/>
        <v>Key-ELET-106</v>
      </c>
      <c r="X106" s="31" t="s">
        <v>344</v>
      </c>
      <c r="Y106" s="30" t="s">
        <v>314</v>
      </c>
      <c r="Z106" s="31" t="s">
        <v>693</v>
      </c>
      <c r="AA106" s="31" t="str">
        <f t="shared" si="36"/>
        <v>A battery charger is a device used to put power into a secondary or rechargeable cell.</v>
      </c>
    </row>
    <row r="107" spans="1:27" ht="6.65" customHeight="1" x14ac:dyDescent="0.4">
      <c r="A107" s="61">
        <v>107</v>
      </c>
      <c r="B107" s="1" t="s">
        <v>744</v>
      </c>
      <c r="C107" s="34" t="s">
        <v>745</v>
      </c>
      <c r="D107" s="1" t="s">
        <v>511</v>
      </c>
      <c r="E107" s="1" t="s">
        <v>316</v>
      </c>
      <c r="F107" s="57" t="s">
        <v>325</v>
      </c>
      <c r="G107" s="65" t="s">
        <v>9</v>
      </c>
      <c r="H107" s="65" t="s">
        <v>9</v>
      </c>
      <c r="I107" s="65" t="s">
        <v>9</v>
      </c>
      <c r="J107" s="65" t="s">
        <v>9</v>
      </c>
      <c r="K107" s="65" t="s">
        <v>9</v>
      </c>
      <c r="L107" s="35" t="str">
        <f t="shared" si="29"/>
        <v>EletroTécnicos</v>
      </c>
      <c r="M107" s="35" t="str">
        <f t="shared" si="33"/>
        <v>Elementos.Elétricos</v>
      </c>
      <c r="N107" s="35" t="str">
        <f t="shared" si="31"/>
        <v>Baterias Elétricas</v>
      </c>
      <c r="O107" s="31" t="str">
        <f t="shared" si="27"/>
        <v>UPS</v>
      </c>
      <c r="P107" s="31" t="s">
        <v>333</v>
      </c>
      <c r="Q107" s="31" t="s">
        <v>342</v>
      </c>
      <c r="R107" s="31" t="s">
        <v>9</v>
      </c>
      <c r="S107" s="31" t="s">
        <v>149</v>
      </c>
      <c r="T107" s="31" t="str">
        <f t="shared" si="32"/>
        <v>Elementos.Elétricos</v>
      </c>
      <c r="U107" s="31" t="str">
        <f t="shared" si="32"/>
        <v>Baterias.Elétricas</v>
      </c>
      <c r="V107" s="31" t="s">
        <v>115</v>
      </c>
      <c r="W107" s="62" t="str">
        <f t="shared" si="28"/>
        <v>Key-ELET-107</v>
      </c>
      <c r="X107" s="31" t="s">
        <v>344</v>
      </c>
      <c r="Y107" s="30" t="s">
        <v>315</v>
      </c>
      <c r="Z107" s="31" t="s">
        <v>693</v>
      </c>
      <c r="AA107" s="31" t="str">
        <f t="shared" si="36"/>
        <v>Provides an alternative power supply for a limited time in the event of a failure.</v>
      </c>
    </row>
    <row r="108" spans="1:27" ht="6.65" customHeight="1" x14ac:dyDescent="0.4">
      <c r="A108" s="61">
        <v>108</v>
      </c>
      <c r="B108" s="1" t="s">
        <v>744</v>
      </c>
      <c r="C108" s="34" t="s">
        <v>745</v>
      </c>
      <c r="D108" s="1" t="s">
        <v>511</v>
      </c>
      <c r="E108" s="1" t="s">
        <v>469</v>
      </c>
      <c r="F108" s="1" t="s">
        <v>458</v>
      </c>
      <c r="G108" s="65" t="s">
        <v>9</v>
      </c>
      <c r="H108" s="65" t="s">
        <v>9</v>
      </c>
      <c r="I108" s="65" t="s">
        <v>9</v>
      </c>
      <c r="J108" s="65" t="s">
        <v>9</v>
      </c>
      <c r="K108" s="65" t="s">
        <v>9</v>
      </c>
      <c r="L108" s="35" t="str">
        <f t="shared" si="29"/>
        <v>EletroTécnicos</v>
      </c>
      <c r="M108" s="35" t="str">
        <f t="shared" ref="M108:M123" si="37">CONCATENATE("", D108)</f>
        <v>Elementos.Elétricos</v>
      </c>
      <c r="N108" s="35" t="str">
        <f t="shared" si="31"/>
        <v>Proteção Elétrica</v>
      </c>
      <c r="O108" s="31" t="str">
        <f t="shared" si="27"/>
        <v>Fusível</v>
      </c>
      <c r="P108" s="31" t="s">
        <v>161</v>
      </c>
      <c r="Q108" s="31" t="s">
        <v>162</v>
      </c>
      <c r="R108" s="31" t="s">
        <v>9</v>
      </c>
      <c r="S108" s="31" t="str">
        <f t="shared" ref="S108" si="38">SUBSTITUTE(C108, "_", " ")</f>
        <v>EletroTécnicos</v>
      </c>
      <c r="T108" s="31" t="str">
        <f t="shared" si="32"/>
        <v>Elementos.Elétricos</v>
      </c>
      <c r="U108" s="31" t="str">
        <f t="shared" si="32"/>
        <v>Proteção.Elétrica</v>
      </c>
      <c r="V108" s="31" t="s">
        <v>115</v>
      </c>
      <c r="W108" s="62" t="str">
        <f t="shared" si="28"/>
        <v>Key-ELET-108</v>
      </c>
      <c r="X108" s="31" t="s">
        <v>478</v>
      </c>
      <c r="Y108" s="30" t="s">
        <v>391</v>
      </c>
      <c r="Z108" s="31" t="s">
        <v>693</v>
      </c>
      <c r="AA108" s="31" t="s">
        <v>402</v>
      </c>
    </row>
    <row r="109" spans="1:27" ht="6.65" customHeight="1" x14ac:dyDescent="0.4">
      <c r="A109" s="61">
        <v>109</v>
      </c>
      <c r="B109" s="1" t="s">
        <v>744</v>
      </c>
      <c r="C109" s="34" t="s">
        <v>745</v>
      </c>
      <c r="D109" s="1" t="s">
        <v>511</v>
      </c>
      <c r="E109" s="1" t="s">
        <v>469</v>
      </c>
      <c r="F109" s="57" t="s">
        <v>454</v>
      </c>
      <c r="G109" s="65" t="s">
        <v>9</v>
      </c>
      <c r="H109" s="65" t="s">
        <v>9</v>
      </c>
      <c r="I109" s="65" t="s">
        <v>9</v>
      </c>
      <c r="J109" s="65" t="s">
        <v>9</v>
      </c>
      <c r="K109" s="65" t="s">
        <v>9</v>
      </c>
      <c r="L109" s="35" t="str">
        <f t="shared" si="29"/>
        <v>EletroTécnicos</v>
      </c>
      <c r="M109" s="35" t="str">
        <f t="shared" si="37"/>
        <v>Elementos.Elétricos</v>
      </c>
      <c r="N109" s="35" t="str">
        <f t="shared" si="31"/>
        <v>Proteção Elétrica</v>
      </c>
      <c r="O109" s="31" t="str">
        <f t="shared" si="27"/>
        <v>Disjuntor</v>
      </c>
      <c r="P109" s="31" t="s">
        <v>151</v>
      </c>
      <c r="Q109" s="31" t="s">
        <v>152</v>
      </c>
      <c r="R109" s="31" t="s">
        <v>9</v>
      </c>
      <c r="S109" s="31" t="str">
        <f t="shared" ref="S109:U136" si="39">SUBSTITUTE(C109, "_", " ")</f>
        <v>EletroTécnicos</v>
      </c>
      <c r="T109" s="31" t="str">
        <f t="shared" si="32"/>
        <v>Elementos.Elétricos</v>
      </c>
      <c r="U109" s="31" t="str">
        <f t="shared" si="32"/>
        <v>Proteção.Elétrica</v>
      </c>
      <c r="V109" s="31" t="s">
        <v>115</v>
      </c>
      <c r="W109" s="62" t="str">
        <f t="shared" si="28"/>
        <v>Key-ELET-109</v>
      </c>
      <c r="X109" s="31" t="s">
        <v>478</v>
      </c>
      <c r="Y109" s="30" t="s">
        <v>386</v>
      </c>
      <c r="Z109" s="31" t="s">
        <v>693</v>
      </c>
      <c r="AA109" s="31" t="s">
        <v>435</v>
      </c>
    </row>
    <row r="110" spans="1:27" ht="6.65" customHeight="1" x14ac:dyDescent="0.4">
      <c r="A110" s="61">
        <v>110</v>
      </c>
      <c r="B110" s="1" t="s">
        <v>744</v>
      </c>
      <c r="C110" s="34" t="s">
        <v>745</v>
      </c>
      <c r="D110" s="1" t="s">
        <v>511</v>
      </c>
      <c r="E110" s="1" t="s">
        <v>469</v>
      </c>
      <c r="F110" s="1" t="s">
        <v>466</v>
      </c>
      <c r="G110" s="65" t="s">
        <v>9</v>
      </c>
      <c r="H110" s="65" t="s">
        <v>9</v>
      </c>
      <c r="I110" s="65" t="s">
        <v>9</v>
      </c>
      <c r="J110" s="65" t="s">
        <v>9</v>
      </c>
      <c r="K110" s="65" t="s">
        <v>9</v>
      </c>
      <c r="L110" s="35" t="str">
        <f t="shared" si="29"/>
        <v>EletroTécnicos</v>
      </c>
      <c r="M110" s="35" t="str">
        <f t="shared" si="37"/>
        <v>Elementos.Elétricos</v>
      </c>
      <c r="N110" s="35" t="str">
        <f t="shared" si="31"/>
        <v>Proteção Elétrica</v>
      </c>
      <c r="O110" s="31" t="str">
        <f t="shared" si="27"/>
        <v>Disjuntor.de.Circuito</v>
      </c>
      <c r="P110" s="31" t="s">
        <v>155</v>
      </c>
      <c r="Q110" s="31" t="s">
        <v>156</v>
      </c>
      <c r="R110" s="31" t="s">
        <v>9</v>
      </c>
      <c r="S110" s="31" t="str">
        <f t="shared" ref="S110:S113" si="40">SUBSTITUTE(C110, "_", " ")</f>
        <v>EletroTécnicos</v>
      </c>
      <c r="T110" s="31" t="str">
        <f t="shared" si="32"/>
        <v>Elementos.Elétricos</v>
      </c>
      <c r="U110" s="31" t="str">
        <f t="shared" si="32"/>
        <v>Proteção.Elétrica</v>
      </c>
      <c r="V110" s="31" t="s">
        <v>115</v>
      </c>
      <c r="W110" s="62" t="str">
        <f t="shared" si="28"/>
        <v>Key-ELET-110</v>
      </c>
      <c r="X110" s="31" t="s">
        <v>478</v>
      </c>
      <c r="Y110" s="30" t="s">
        <v>387</v>
      </c>
      <c r="Z110" s="31" t="s">
        <v>693</v>
      </c>
      <c r="AA110" s="31" t="s">
        <v>399</v>
      </c>
    </row>
    <row r="111" spans="1:27" ht="6.65" customHeight="1" x14ac:dyDescent="0.4">
      <c r="A111" s="61">
        <v>111</v>
      </c>
      <c r="B111" s="1" t="s">
        <v>744</v>
      </c>
      <c r="C111" s="34" t="s">
        <v>745</v>
      </c>
      <c r="D111" s="1" t="s">
        <v>511</v>
      </c>
      <c r="E111" s="1" t="s">
        <v>469</v>
      </c>
      <c r="F111" s="1" t="s">
        <v>467</v>
      </c>
      <c r="G111" s="65" t="s">
        <v>9</v>
      </c>
      <c r="H111" s="65" t="s">
        <v>9</v>
      </c>
      <c r="I111" s="65" t="s">
        <v>9</v>
      </c>
      <c r="J111" s="65" t="s">
        <v>9</v>
      </c>
      <c r="K111" s="65" t="s">
        <v>9</v>
      </c>
      <c r="L111" s="35" t="str">
        <f t="shared" si="29"/>
        <v>EletroTécnicos</v>
      </c>
      <c r="M111" s="35" t="str">
        <f t="shared" si="37"/>
        <v>Elementos.Elétricos</v>
      </c>
      <c r="N111" s="35" t="str">
        <f t="shared" si="31"/>
        <v>Proteção Elétrica</v>
      </c>
      <c r="O111" s="31" t="str">
        <f t="shared" si="27"/>
        <v>Disjuntor.de.Fuga.Terra</v>
      </c>
      <c r="P111" s="31" t="s">
        <v>159</v>
      </c>
      <c r="Q111" s="31" t="s">
        <v>160</v>
      </c>
      <c r="R111" s="31" t="s">
        <v>9</v>
      </c>
      <c r="S111" s="31" t="str">
        <f t="shared" si="40"/>
        <v>EletroTécnicos</v>
      </c>
      <c r="T111" s="31" t="str">
        <f t="shared" si="32"/>
        <v>Elementos.Elétricos</v>
      </c>
      <c r="U111" s="31" t="str">
        <f t="shared" si="32"/>
        <v>Proteção.Elétrica</v>
      </c>
      <c r="V111" s="31" t="s">
        <v>115</v>
      </c>
      <c r="W111" s="62" t="str">
        <f t="shared" si="28"/>
        <v>Key-ELET-111</v>
      </c>
      <c r="X111" s="31" t="s">
        <v>478</v>
      </c>
      <c r="Y111" s="30" t="s">
        <v>390</v>
      </c>
      <c r="Z111" s="31" t="s">
        <v>693</v>
      </c>
      <c r="AA111" s="31" t="s">
        <v>401</v>
      </c>
    </row>
    <row r="112" spans="1:27" ht="6.65" customHeight="1" x14ac:dyDescent="0.4">
      <c r="A112" s="61">
        <v>112</v>
      </c>
      <c r="B112" s="1" t="s">
        <v>744</v>
      </c>
      <c r="C112" s="34" t="s">
        <v>745</v>
      </c>
      <c r="D112" s="1" t="s">
        <v>511</v>
      </c>
      <c r="E112" s="1" t="s">
        <v>469</v>
      </c>
      <c r="F112" s="1" t="s">
        <v>730</v>
      </c>
      <c r="G112" s="65" t="s">
        <v>9</v>
      </c>
      <c r="H112" s="65" t="s">
        <v>9</v>
      </c>
      <c r="I112" s="65" t="s">
        <v>9</v>
      </c>
      <c r="J112" s="65" t="s">
        <v>9</v>
      </c>
      <c r="K112" s="65" t="s">
        <v>9</v>
      </c>
      <c r="L112" s="35" t="str">
        <f t="shared" ref="L112" si="41">CONCATENATE("", C112)</f>
        <v>EletroTécnicos</v>
      </c>
      <c r="M112" s="35" t="str">
        <f t="shared" ref="M112" si="42">CONCATENATE("", D112)</f>
        <v>Elementos.Elétricos</v>
      </c>
      <c r="N112" s="35" t="str">
        <f t="shared" ref="N112" si="43">(SUBSTITUTE(SUBSTITUTE(CONCATENATE("",E112),"."," ")," De "," de "))</f>
        <v>Proteção Elétrica</v>
      </c>
      <c r="O112" s="31" t="str">
        <f t="shared" ref="O112" si="44">IF(ISNUMBER(FIND("Ifc",F112)),CONCATENATE("Classe IFC:   ",F112),CONCATENATE("",F112))</f>
        <v>Disjuntor.de.Falha.AntiArco</v>
      </c>
      <c r="P112" s="31" t="s">
        <v>153</v>
      </c>
      <c r="Q112" s="31" t="s">
        <v>154</v>
      </c>
      <c r="R112" s="31" t="s">
        <v>9</v>
      </c>
      <c r="S112" s="31" t="str">
        <f t="shared" si="40"/>
        <v>EletroTécnicos</v>
      </c>
      <c r="T112" s="31" t="str">
        <f t="shared" ref="T112" si="45">SUBSTITUTE(D112, "_", " ")</f>
        <v>Elementos.Elétricos</v>
      </c>
      <c r="U112" s="31" t="str">
        <f t="shared" ref="U112" si="46">SUBSTITUTE(E112, "_", " ")</f>
        <v>Proteção.Elétrica</v>
      </c>
      <c r="V112" s="31" t="s">
        <v>115</v>
      </c>
      <c r="W112" s="62" t="str">
        <f t="shared" si="28"/>
        <v>Key-ELET-112</v>
      </c>
      <c r="X112" s="31" t="s">
        <v>478</v>
      </c>
      <c r="Y112" s="30" t="s">
        <v>388</v>
      </c>
      <c r="Z112" s="31" t="s">
        <v>693</v>
      </c>
      <c r="AA112" s="31" t="s">
        <v>398</v>
      </c>
    </row>
    <row r="113" spans="1:27" ht="6.65" customHeight="1" x14ac:dyDescent="0.4">
      <c r="A113" s="61">
        <v>113</v>
      </c>
      <c r="B113" s="1" t="s">
        <v>744</v>
      </c>
      <c r="C113" s="34" t="s">
        <v>745</v>
      </c>
      <c r="D113" s="1" t="s">
        <v>511</v>
      </c>
      <c r="E113" s="1" t="s">
        <v>469</v>
      </c>
      <c r="F113" s="1" t="s">
        <v>457</v>
      </c>
      <c r="G113" s="65" t="s">
        <v>9</v>
      </c>
      <c r="H113" s="65" t="s">
        <v>9</v>
      </c>
      <c r="I113" s="65" t="s">
        <v>9</v>
      </c>
      <c r="J113" s="65" t="s">
        <v>9</v>
      </c>
      <c r="K113" s="65" t="s">
        <v>9</v>
      </c>
      <c r="L113" s="35" t="str">
        <f t="shared" si="29"/>
        <v>EletroTécnicos</v>
      </c>
      <c r="M113" s="35" t="str">
        <f t="shared" si="37"/>
        <v>Elementos.Elétricos</v>
      </c>
      <c r="N113" s="35" t="str">
        <f t="shared" si="31"/>
        <v>Proteção Elétrica</v>
      </c>
      <c r="O113" s="31" t="str">
        <f t="shared" si="27"/>
        <v>Disjuntor.Diferencial.Residual</v>
      </c>
      <c r="P113" s="31" t="s">
        <v>163</v>
      </c>
      <c r="Q113" s="31" t="s">
        <v>164</v>
      </c>
      <c r="R113" s="31" t="s">
        <v>9</v>
      </c>
      <c r="S113" s="31" t="str">
        <f t="shared" si="40"/>
        <v>EletroTécnicos</v>
      </c>
      <c r="T113" s="31" t="str">
        <f t="shared" si="32"/>
        <v>Elementos.Elétricos</v>
      </c>
      <c r="U113" s="31" t="str">
        <f t="shared" si="32"/>
        <v>Proteção.Elétrica</v>
      </c>
      <c r="V113" s="31" t="s">
        <v>115</v>
      </c>
      <c r="W113" s="62" t="str">
        <f t="shared" si="28"/>
        <v>Key-ELET-113</v>
      </c>
      <c r="X113" s="31" t="s">
        <v>478</v>
      </c>
      <c r="Y113" s="30" t="s">
        <v>392</v>
      </c>
      <c r="Z113" s="31" t="s">
        <v>693</v>
      </c>
      <c r="AA113" s="31" t="s">
        <v>403</v>
      </c>
    </row>
    <row r="114" spans="1:27" ht="6.65" customHeight="1" x14ac:dyDescent="0.4">
      <c r="A114" s="61">
        <v>114</v>
      </c>
      <c r="B114" s="1" t="s">
        <v>744</v>
      </c>
      <c r="C114" s="34" t="s">
        <v>745</v>
      </c>
      <c r="D114" s="1" t="s">
        <v>511</v>
      </c>
      <c r="E114" s="1" t="s">
        <v>469</v>
      </c>
      <c r="F114" s="1" t="s">
        <v>455</v>
      </c>
      <c r="G114" s="65" t="s">
        <v>9</v>
      </c>
      <c r="H114" s="65" t="s">
        <v>9</v>
      </c>
      <c r="I114" s="65" t="s">
        <v>9</v>
      </c>
      <c r="J114" s="65" t="s">
        <v>9</v>
      </c>
      <c r="K114" s="65" t="s">
        <v>9</v>
      </c>
      <c r="L114" s="35" t="str">
        <f t="shared" si="29"/>
        <v>EletroTécnicos</v>
      </c>
      <c r="M114" s="35" t="str">
        <f t="shared" si="37"/>
        <v>Elementos.Elétricos</v>
      </c>
      <c r="N114" s="35" t="str">
        <f t="shared" si="31"/>
        <v>Proteção Elétrica</v>
      </c>
      <c r="O114" s="31" t="str">
        <f t="shared" si="27"/>
        <v>Centelhador</v>
      </c>
      <c r="P114" s="31" t="s">
        <v>167</v>
      </c>
      <c r="Q114" s="31" t="s">
        <v>168</v>
      </c>
      <c r="R114" s="31" t="s">
        <v>9</v>
      </c>
      <c r="S114" s="31" t="str">
        <f t="shared" ref="S114" si="47">SUBSTITUTE(C114, "_", " ")</f>
        <v>EletroTécnicos</v>
      </c>
      <c r="T114" s="31" t="str">
        <f t="shared" si="32"/>
        <v>Elementos.Elétricos</v>
      </c>
      <c r="U114" s="31" t="str">
        <f t="shared" si="32"/>
        <v>Proteção.Elétrica</v>
      </c>
      <c r="V114" s="31" t="s">
        <v>115</v>
      </c>
      <c r="W114" s="62" t="str">
        <f t="shared" si="28"/>
        <v>Key-ELET-114</v>
      </c>
      <c r="X114" s="31" t="s">
        <v>478</v>
      </c>
      <c r="Y114" s="30" t="s">
        <v>394</v>
      </c>
      <c r="Z114" s="31" t="s">
        <v>693</v>
      </c>
      <c r="AA114" s="31" t="s">
        <v>405</v>
      </c>
    </row>
    <row r="115" spans="1:27" ht="6.65" customHeight="1" x14ac:dyDescent="0.4">
      <c r="A115" s="61">
        <v>115</v>
      </c>
      <c r="B115" s="1" t="s">
        <v>744</v>
      </c>
      <c r="C115" s="34" t="s">
        <v>745</v>
      </c>
      <c r="D115" s="1" t="s">
        <v>511</v>
      </c>
      <c r="E115" s="1" t="s">
        <v>469</v>
      </c>
      <c r="F115" s="1" t="s">
        <v>468</v>
      </c>
      <c r="G115" s="65" t="s">
        <v>9</v>
      </c>
      <c r="H115" s="65" t="s">
        <v>9</v>
      </c>
      <c r="I115" s="65" t="s">
        <v>9</v>
      </c>
      <c r="J115" s="65" t="s">
        <v>9</v>
      </c>
      <c r="K115" s="65" t="s">
        <v>9</v>
      </c>
      <c r="L115" s="35" t="str">
        <f t="shared" si="29"/>
        <v>EletroTécnicos</v>
      </c>
      <c r="M115" s="35" t="str">
        <f t="shared" si="37"/>
        <v>Elementos.Elétricos</v>
      </c>
      <c r="N115" s="35" t="str">
        <f t="shared" si="31"/>
        <v>Proteção Elétrica</v>
      </c>
      <c r="O115" s="31" t="str">
        <f t="shared" si="27"/>
        <v>Interruptor.de.Aterramento</v>
      </c>
      <c r="P115" s="31" t="s">
        <v>157</v>
      </c>
      <c r="Q115" s="31" t="s">
        <v>158</v>
      </c>
      <c r="R115" s="31" t="s">
        <v>9</v>
      </c>
      <c r="S115" s="31" t="str">
        <f t="shared" ref="S115" si="48">SUBSTITUTE(C115, "_", " ")</f>
        <v>EletroTécnicos</v>
      </c>
      <c r="T115" s="31" t="str">
        <f t="shared" si="32"/>
        <v>Elementos.Elétricos</v>
      </c>
      <c r="U115" s="31" t="str">
        <f t="shared" si="32"/>
        <v>Proteção.Elétrica</v>
      </c>
      <c r="V115" s="31" t="s">
        <v>115</v>
      </c>
      <c r="W115" s="62" t="str">
        <f t="shared" si="28"/>
        <v>Key-ELET-115</v>
      </c>
      <c r="X115" s="31" t="s">
        <v>478</v>
      </c>
      <c r="Y115" s="30" t="s">
        <v>389</v>
      </c>
      <c r="Z115" s="31" t="s">
        <v>693</v>
      </c>
      <c r="AA115" s="31" t="s">
        <v>400</v>
      </c>
    </row>
    <row r="116" spans="1:27" ht="6.65" customHeight="1" x14ac:dyDescent="0.4">
      <c r="A116" s="61">
        <v>116</v>
      </c>
      <c r="B116" s="1" t="s">
        <v>744</v>
      </c>
      <c r="C116" s="34" t="s">
        <v>745</v>
      </c>
      <c r="D116" s="1" t="s">
        <v>511</v>
      </c>
      <c r="E116" s="1" t="s">
        <v>469</v>
      </c>
      <c r="F116" s="1" t="s">
        <v>459</v>
      </c>
      <c r="G116" s="65" t="s">
        <v>9</v>
      </c>
      <c r="H116" s="65" t="s">
        <v>9</v>
      </c>
      <c r="I116" s="65" t="s">
        <v>9</v>
      </c>
      <c r="J116" s="65" t="s">
        <v>9</v>
      </c>
      <c r="K116" s="65" t="s">
        <v>9</v>
      </c>
      <c r="L116" s="35" t="str">
        <f t="shared" si="29"/>
        <v>EletroTécnicos</v>
      </c>
      <c r="M116" s="35" t="str">
        <f t="shared" si="37"/>
        <v>Elementos.Elétricos</v>
      </c>
      <c r="N116" s="35" t="str">
        <f t="shared" si="31"/>
        <v>Proteção Elétrica</v>
      </c>
      <c r="O116" s="31" t="str">
        <f t="shared" ref="O116:O142" si="49">IF(ISNUMBER(FIND("Ifc",F116)),CONCATENATE("Classe IFC:   ",F116),CONCATENATE("",F116))</f>
        <v>Interruptor.Diferencial.Residual</v>
      </c>
      <c r="P116" s="31" t="s">
        <v>165</v>
      </c>
      <c r="Q116" s="31" t="s">
        <v>166</v>
      </c>
      <c r="R116" s="31" t="s">
        <v>9</v>
      </c>
      <c r="S116" s="31" t="str">
        <f t="shared" si="39"/>
        <v>EletroTécnicos</v>
      </c>
      <c r="T116" s="31" t="str">
        <f t="shared" si="32"/>
        <v>Elementos.Elétricos</v>
      </c>
      <c r="U116" s="31" t="str">
        <f t="shared" si="32"/>
        <v>Proteção.Elétrica</v>
      </c>
      <c r="V116" s="31" t="s">
        <v>115</v>
      </c>
      <c r="W116" s="62" t="str">
        <f t="shared" si="28"/>
        <v>Key-ELET-116</v>
      </c>
      <c r="X116" s="31" t="s">
        <v>478</v>
      </c>
      <c r="Y116" s="30" t="s">
        <v>393</v>
      </c>
      <c r="Z116" s="31" t="s">
        <v>693</v>
      </c>
      <c r="AA116" s="31" t="s">
        <v>404</v>
      </c>
    </row>
    <row r="117" spans="1:27" ht="6.65" customHeight="1" x14ac:dyDescent="0.4">
      <c r="A117" s="61">
        <v>117</v>
      </c>
      <c r="B117" s="1" t="s">
        <v>744</v>
      </c>
      <c r="C117" s="34" t="s">
        <v>745</v>
      </c>
      <c r="D117" s="1" t="s">
        <v>511</v>
      </c>
      <c r="E117" s="1" t="s">
        <v>469</v>
      </c>
      <c r="F117" s="1" t="s">
        <v>465</v>
      </c>
      <c r="G117" s="65" t="s">
        <v>9</v>
      </c>
      <c r="H117" s="65" t="s">
        <v>9</v>
      </c>
      <c r="I117" s="65" t="s">
        <v>9</v>
      </c>
      <c r="J117" s="65" t="s">
        <v>9</v>
      </c>
      <c r="K117" s="65" t="s">
        <v>9</v>
      </c>
      <c r="L117" s="35" t="str">
        <f t="shared" si="29"/>
        <v>EletroTécnicos</v>
      </c>
      <c r="M117" s="35" t="str">
        <f t="shared" si="37"/>
        <v>Elementos.Elétricos</v>
      </c>
      <c r="N117" s="35" t="str">
        <f t="shared" si="31"/>
        <v>Proteção Elétrica</v>
      </c>
      <c r="O117" s="31" t="str">
        <f t="shared" si="49"/>
        <v>Disparador.Elétrico</v>
      </c>
      <c r="P117" s="31" t="s">
        <v>169</v>
      </c>
      <c r="Q117" s="31" t="s">
        <v>170</v>
      </c>
      <c r="R117" s="31" t="s">
        <v>9</v>
      </c>
      <c r="S117" s="31" t="str">
        <f t="shared" si="39"/>
        <v>EletroTécnicos</v>
      </c>
      <c r="T117" s="31" t="str">
        <f t="shared" si="32"/>
        <v>Elementos.Elétricos</v>
      </c>
      <c r="U117" s="31" t="str">
        <f t="shared" si="32"/>
        <v>Proteção.Elétrica</v>
      </c>
      <c r="V117" s="31" t="s">
        <v>115</v>
      </c>
      <c r="W117" s="62" t="str">
        <f t="shared" si="28"/>
        <v>Key-ELET-117</v>
      </c>
      <c r="X117" s="31" t="s">
        <v>478</v>
      </c>
      <c r="Y117" s="30" t="s">
        <v>395</v>
      </c>
      <c r="Z117" s="31" t="s">
        <v>693</v>
      </c>
      <c r="AA117" s="31" t="s">
        <v>406</v>
      </c>
    </row>
    <row r="118" spans="1:27" ht="6.65" customHeight="1" x14ac:dyDescent="0.4">
      <c r="A118" s="61">
        <v>118</v>
      </c>
      <c r="B118" s="1" t="s">
        <v>744</v>
      </c>
      <c r="C118" s="34" t="s">
        <v>745</v>
      </c>
      <c r="D118" s="1" t="s">
        <v>511</v>
      </c>
      <c r="E118" s="1" t="s">
        <v>469</v>
      </c>
      <c r="F118" s="1" t="s">
        <v>463</v>
      </c>
      <c r="G118" s="65" t="s">
        <v>9</v>
      </c>
      <c r="H118" s="65" t="s">
        <v>9</v>
      </c>
      <c r="I118" s="65" t="s">
        <v>9</v>
      </c>
      <c r="J118" s="65" t="s">
        <v>9</v>
      </c>
      <c r="K118" s="65" t="s">
        <v>9</v>
      </c>
      <c r="L118" s="35" t="str">
        <f t="shared" si="29"/>
        <v>EletroTécnicos</v>
      </c>
      <c r="M118" s="35" t="str">
        <f t="shared" si="37"/>
        <v>Elementos.Elétricos</v>
      </c>
      <c r="N118" s="35" t="str">
        <f t="shared" si="31"/>
        <v>Proteção Elétrica</v>
      </c>
      <c r="O118" s="31" t="str">
        <f t="shared" si="49"/>
        <v>Disparador.Eletromagnético</v>
      </c>
      <c r="P118" s="31" t="s">
        <v>171</v>
      </c>
      <c r="Q118" s="31" t="s">
        <v>172</v>
      </c>
      <c r="R118" s="31" t="s">
        <v>9</v>
      </c>
      <c r="S118" s="31" t="str">
        <f t="shared" si="39"/>
        <v>EletroTécnicos</v>
      </c>
      <c r="T118" s="31" t="str">
        <f t="shared" si="32"/>
        <v>Elementos.Elétricos</v>
      </c>
      <c r="U118" s="31" t="str">
        <f t="shared" si="32"/>
        <v>Proteção.Elétrica</v>
      </c>
      <c r="V118" s="31" t="s">
        <v>115</v>
      </c>
      <c r="W118" s="62" t="str">
        <f t="shared" si="28"/>
        <v>Key-ELET-118</v>
      </c>
      <c r="X118" s="31" t="s">
        <v>478</v>
      </c>
      <c r="Y118" s="30" t="s">
        <v>385</v>
      </c>
      <c r="Z118" s="31" t="s">
        <v>693</v>
      </c>
      <c r="AA118" s="31" t="s">
        <v>407</v>
      </c>
    </row>
    <row r="119" spans="1:27" ht="6.65" customHeight="1" x14ac:dyDescent="0.4">
      <c r="A119" s="61">
        <v>119</v>
      </c>
      <c r="B119" s="1" t="s">
        <v>744</v>
      </c>
      <c r="C119" s="34" t="s">
        <v>745</v>
      </c>
      <c r="D119" s="1" t="s">
        <v>511</v>
      </c>
      <c r="E119" s="1" t="s">
        <v>469</v>
      </c>
      <c r="F119" s="1" t="s">
        <v>464</v>
      </c>
      <c r="G119" s="65" t="s">
        <v>9</v>
      </c>
      <c r="H119" s="65" t="s">
        <v>9</v>
      </c>
      <c r="I119" s="65" t="s">
        <v>9</v>
      </c>
      <c r="J119" s="65" t="s">
        <v>9</v>
      </c>
      <c r="K119" s="65" t="s">
        <v>9</v>
      </c>
      <c r="L119" s="35" t="str">
        <f t="shared" si="29"/>
        <v>EletroTécnicos</v>
      </c>
      <c r="M119" s="35" t="str">
        <f t="shared" si="37"/>
        <v>Elementos.Elétricos</v>
      </c>
      <c r="N119" s="35" t="str">
        <f t="shared" si="31"/>
        <v>Proteção Elétrica</v>
      </c>
      <c r="O119" s="31" t="str">
        <f t="shared" si="49"/>
        <v>Disparador.Eletrônico</v>
      </c>
      <c r="P119" s="31" t="s">
        <v>173</v>
      </c>
      <c r="Q119" s="31" t="s">
        <v>174</v>
      </c>
      <c r="R119" s="31" t="s">
        <v>9</v>
      </c>
      <c r="S119" s="31" t="str">
        <f t="shared" si="39"/>
        <v>EletroTécnicos</v>
      </c>
      <c r="T119" s="31" t="str">
        <f t="shared" si="32"/>
        <v>Elementos.Elétricos</v>
      </c>
      <c r="U119" s="31" t="str">
        <f t="shared" si="32"/>
        <v>Proteção.Elétrica</v>
      </c>
      <c r="V119" s="31" t="s">
        <v>115</v>
      </c>
      <c r="W119" s="62" t="str">
        <f t="shared" si="28"/>
        <v>Key-ELET-119</v>
      </c>
      <c r="X119" s="31" t="s">
        <v>478</v>
      </c>
      <c r="Y119" s="30" t="s">
        <v>384</v>
      </c>
      <c r="Z119" s="31" t="s">
        <v>693</v>
      </c>
      <c r="AA119" s="31" t="s">
        <v>408</v>
      </c>
    </row>
    <row r="120" spans="1:27" ht="6.65" customHeight="1" x14ac:dyDescent="0.4">
      <c r="A120" s="61">
        <v>120</v>
      </c>
      <c r="B120" s="1" t="s">
        <v>744</v>
      </c>
      <c r="C120" s="34" t="s">
        <v>745</v>
      </c>
      <c r="D120" s="1" t="s">
        <v>511</v>
      </c>
      <c r="E120" s="1" t="s">
        <v>469</v>
      </c>
      <c r="F120" s="1" t="s">
        <v>460</v>
      </c>
      <c r="G120" s="65" t="s">
        <v>9</v>
      </c>
      <c r="H120" s="65" t="s">
        <v>9</v>
      </c>
      <c r="I120" s="65" t="s">
        <v>9</v>
      </c>
      <c r="J120" s="65" t="s">
        <v>9</v>
      </c>
      <c r="K120" s="65" t="s">
        <v>9</v>
      </c>
      <c r="L120" s="35" t="str">
        <f t="shared" si="29"/>
        <v>EletroTécnicos</v>
      </c>
      <c r="M120" s="35" t="str">
        <f t="shared" si="37"/>
        <v>Elementos.Elétricos</v>
      </c>
      <c r="N120" s="35" t="str">
        <f t="shared" si="31"/>
        <v>Proteção Elétrica</v>
      </c>
      <c r="O120" s="31" t="str">
        <f t="shared" si="49"/>
        <v>Disparador.de.Corrente.Residual</v>
      </c>
      <c r="P120" s="31" t="s">
        <v>175</v>
      </c>
      <c r="Q120" s="31" t="s">
        <v>176</v>
      </c>
      <c r="R120" s="31" t="s">
        <v>9</v>
      </c>
      <c r="S120" s="31" t="str">
        <f t="shared" si="39"/>
        <v>EletroTécnicos</v>
      </c>
      <c r="T120" s="31" t="str">
        <f t="shared" si="32"/>
        <v>Elementos.Elétricos</v>
      </c>
      <c r="U120" s="31" t="str">
        <f t="shared" si="32"/>
        <v>Proteção.Elétrica</v>
      </c>
      <c r="V120" s="31" t="s">
        <v>115</v>
      </c>
      <c r="W120" s="62" t="str">
        <f t="shared" si="28"/>
        <v>Key-ELET-120</v>
      </c>
      <c r="X120" s="31" t="s">
        <v>478</v>
      </c>
      <c r="Y120" s="30" t="s">
        <v>383</v>
      </c>
      <c r="Z120" s="31" t="s">
        <v>693</v>
      </c>
      <c r="AA120" s="31" t="s">
        <v>409</v>
      </c>
    </row>
    <row r="121" spans="1:27" ht="6.65" customHeight="1" x14ac:dyDescent="0.4">
      <c r="A121" s="61">
        <v>121</v>
      </c>
      <c r="B121" s="1" t="s">
        <v>744</v>
      </c>
      <c r="C121" s="34" t="s">
        <v>745</v>
      </c>
      <c r="D121" s="1" t="s">
        <v>511</v>
      </c>
      <c r="E121" s="1" t="s">
        <v>469</v>
      </c>
      <c r="F121" s="1" t="s">
        <v>461</v>
      </c>
      <c r="G121" s="65" t="s">
        <v>9</v>
      </c>
      <c r="H121" s="65" t="s">
        <v>9</v>
      </c>
      <c r="I121" s="65" t="s">
        <v>9</v>
      </c>
      <c r="J121" s="65" t="s">
        <v>9</v>
      </c>
      <c r="K121" s="65" t="s">
        <v>9</v>
      </c>
      <c r="L121" s="35" t="str">
        <f t="shared" si="29"/>
        <v>EletroTécnicos</v>
      </c>
      <c r="M121" s="35" t="str">
        <f t="shared" si="37"/>
        <v>Elementos.Elétricos</v>
      </c>
      <c r="N121" s="35" t="str">
        <f t="shared" si="31"/>
        <v>Proteção Elétrica</v>
      </c>
      <c r="O121" s="31" t="str">
        <f t="shared" si="49"/>
        <v>Disparador.Térmico</v>
      </c>
      <c r="P121" s="31" t="s">
        <v>177</v>
      </c>
      <c r="Q121" s="31" t="s">
        <v>178</v>
      </c>
      <c r="R121" s="31" t="s">
        <v>9</v>
      </c>
      <c r="S121" s="31" t="str">
        <f t="shared" si="39"/>
        <v>EletroTécnicos</v>
      </c>
      <c r="T121" s="31" t="str">
        <f t="shared" si="32"/>
        <v>Elementos.Elétricos</v>
      </c>
      <c r="U121" s="31" t="str">
        <f t="shared" si="32"/>
        <v>Proteção.Elétrica</v>
      </c>
      <c r="V121" s="31" t="s">
        <v>115</v>
      </c>
      <c r="W121" s="62" t="str">
        <f t="shared" si="28"/>
        <v>Key-ELET-121</v>
      </c>
      <c r="X121" s="31" t="s">
        <v>478</v>
      </c>
      <c r="Y121" s="30" t="s">
        <v>382</v>
      </c>
      <c r="Z121" s="31" t="s">
        <v>693</v>
      </c>
      <c r="AA121" s="31" t="s">
        <v>410</v>
      </c>
    </row>
    <row r="122" spans="1:27" ht="6.65" customHeight="1" x14ac:dyDescent="0.4">
      <c r="A122" s="61">
        <v>122</v>
      </c>
      <c r="B122" s="1" t="s">
        <v>744</v>
      </c>
      <c r="C122" s="34" t="s">
        <v>745</v>
      </c>
      <c r="D122" s="1" t="s">
        <v>511</v>
      </c>
      <c r="E122" s="1" t="s">
        <v>469</v>
      </c>
      <c r="F122" s="1" t="s">
        <v>462</v>
      </c>
      <c r="G122" s="65" t="s">
        <v>9</v>
      </c>
      <c r="H122" s="65" t="s">
        <v>9</v>
      </c>
      <c r="I122" s="65" t="s">
        <v>9</v>
      </c>
      <c r="J122" s="65" t="s">
        <v>9</v>
      </c>
      <c r="K122" s="65" t="s">
        <v>9</v>
      </c>
      <c r="L122" s="35" t="str">
        <f t="shared" si="29"/>
        <v>EletroTécnicos</v>
      </c>
      <c r="M122" s="35" t="str">
        <f t="shared" si="37"/>
        <v>Elementos.Elétricos</v>
      </c>
      <c r="N122" s="35" t="str">
        <f t="shared" si="31"/>
        <v>Proteção Elétrica</v>
      </c>
      <c r="O122" s="31" t="str">
        <f t="shared" si="49"/>
        <v>Varistor</v>
      </c>
      <c r="P122" s="31" t="s">
        <v>179</v>
      </c>
      <c r="Q122" s="31" t="s">
        <v>180</v>
      </c>
      <c r="R122" s="31" t="s">
        <v>9</v>
      </c>
      <c r="S122" s="31" t="str">
        <f t="shared" si="39"/>
        <v>EletroTécnicos</v>
      </c>
      <c r="T122" s="31" t="str">
        <f t="shared" si="32"/>
        <v>Elementos.Elétricos</v>
      </c>
      <c r="U122" s="31" t="str">
        <f t="shared" si="32"/>
        <v>Proteção.Elétrica</v>
      </c>
      <c r="V122" s="31" t="s">
        <v>115</v>
      </c>
      <c r="W122" s="62" t="str">
        <f t="shared" si="28"/>
        <v>Key-ELET-122</v>
      </c>
      <c r="X122" s="31" t="s">
        <v>478</v>
      </c>
      <c r="Y122" s="30" t="s">
        <v>381</v>
      </c>
      <c r="Z122" s="31" t="s">
        <v>693</v>
      </c>
      <c r="AA122" s="31" t="s">
        <v>411</v>
      </c>
    </row>
    <row r="123" spans="1:27" ht="6.65" customHeight="1" x14ac:dyDescent="0.4">
      <c r="A123" s="61">
        <v>123</v>
      </c>
      <c r="B123" s="1" t="s">
        <v>744</v>
      </c>
      <c r="C123" s="34" t="s">
        <v>745</v>
      </c>
      <c r="D123" s="1" t="s">
        <v>511</v>
      </c>
      <c r="E123" s="1" t="s">
        <v>469</v>
      </c>
      <c r="F123" s="1" t="s">
        <v>456</v>
      </c>
      <c r="G123" s="65" t="s">
        <v>9</v>
      </c>
      <c r="H123" s="65" t="s">
        <v>9</v>
      </c>
      <c r="I123" s="65" t="s">
        <v>9</v>
      </c>
      <c r="J123" s="65" t="s">
        <v>9</v>
      </c>
      <c r="K123" s="65" t="s">
        <v>9</v>
      </c>
      <c r="L123" s="35" t="str">
        <f t="shared" si="29"/>
        <v>EletroTécnicos</v>
      </c>
      <c r="M123" s="35" t="str">
        <f t="shared" si="37"/>
        <v>Elementos.Elétricos</v>
      </c>
      <c r="N123" s="35" t="str">
        <f t="shared" si="31"/>
        <v>Proteção Elétrica</v>
      </c>
      <c r="O123" s="31" t="str">
        <f t="shared" si="49"/>
        <v>Limitador.de.Tensão</v>
      </c>
      <c r="P123" s="31" t="s">
        <v>181</v>
      </c>
      <c r="Q123" s="31" t="s">
        <v>182</v>
      </c>
      <c r="R123" s="31" t="s">
        <v>9</v>
      </c>
      <c r="S123" s="31" t="str">
        <f t="shared" si="39"/>
        <v>EletroTécnicos</v>
      </c>
      <c r="T123" s="31" t="str">
        <f t="shared" si="32"/>
        <v>Elementos.Elétricos</v>
      </c>
      <c r="U123" s="31" t="str">
        <f t="shared" si="32"/>
        <v>Proteção.Elétrica</v>
      </c>
      <c r="V123" s="31" t="s">
        <v>115</v>
      </c>
      <c r="W123" s="62" t="str">
        <f t="shared" si="28"/>
        <v>Key-ELET-123</v>
      </c>
      <c r="X123" s="31" t="s">
        <v>478</v>
      </c>
      <c r="Y123" s="30" t="s">
        <v>380</v>
      </c>
      <c r="Z123" s="31" t="s">
        <v>693</v>
      </c>
      <c r="AA123" s="31" t="s">
        <v>412</v>
      </c>
    </row>
    <row r="124" spans="1:27" ht="6.65" customHeight="1" x14ac:dyDescent="0.4">
      <c r="A124" s="61">
        <v>124</v>
      </c>
      <c r="B124" s="1" t="s">
        <v>744</v>
      </c>
      <c r="C124" s="34" t="s">
        <v>745</v>
      </c>
      <c r="D124" s="1" t="s">
        <v>511</v>
      </c>
      <c r="E124" s="1" t="s">
        <v>470</v>
      </c>
      <c r="F124" s="57" t="s">
        <v>441</v>
      </c>
      <c r="G124" s="65" t="s">
        <v>9</v>
      </c>
      <c r="H124" s="65" t="s">
        <v>9</v>
      </c>
      <c r="I124" s="65" t="s">
        <v>9</v>
      </c>
      <c r="J124" s="65" t="s">
        <v>9</v>
      </c>
      <c r="K124" s="65" t="s">
        <v>9</v>
      </c>
      <c r="L124" s="35" t="str">
        <f t="shared" si="29"/>
        <v>EletroTécnicos</v>
      </c>
      <c r="M124" s="35" t="str">
        <f t="shared" ref="M124:M136" si="50">CONCATENATE("", D124)</f>
        <v>Elementos.Elétricos</v>
      </c>
      <c r="N124" s="35" t="str">
        <f t="shared" si="31"/>
        <v>Geração Elétrica</v>
      </c>
      <c r="O124" s="31" t="str">
        <f t="shared" si="49"/>
        <v>Gerador.Elétrico</v>
      </c>
      <c r="P124" s="31" t="s">
        <v>183</v>
      </c>
      <c r="Q124" s="31" t="s">
        <v>184</v>
      </c>
      <c r="R124" s="31" t="s">
        <v>9</v>
      </c>
      <c r="S124" s="31" t="str">
        <f t="shared" si="39"/>
        <v>EletroTécnicos</v>
      </c>
      <c r="T124" s="31" t="str">
        <f t="shared" si="32"/>
        <v>Elementos.Elétricos</v>
      </c>
      <c r="U124" s="31" t="str">
        <f t="shared" si="32"/>
        <v>Geração.Elétrica</v>
      </c>
      <c r="V124" s="31" t="s">
        <v>115</v>
      </c>
      <c r="W124" s="62" t="str">
        <f t="shared" si="28"/>
        <v>Key-ELET-124</v>
      </c>
      <c r="X124" s="31" t="s">
        <v>478</v>
      </c>
      <c r="Y124" s="30" t="s">
        <v>379</v>
      </c>
      <c r="Z124" s="31" t="s">
        <v>693</v>
      </c>
      <c r="AA124" s="31" t="s">
        <v>413</v>
      </c>
    </row>
    <row r="125" spans="1:27" ht="6.65" customHeight="1" x14ac:dyDescent="0.4">
      <c r="A125" s="61">
        <v>125</v>
      </c>
      <c r="B125" s="1" t="s">
        <v>744</v>
      </c>
      <c r="C125" s="34" t="s">
        <v>745</v>
      </c>
      <c r="D125" s="1" t="s">
        <v>511</v>
      </c>
      <c r="E125" s="1" t="s">
        <v>470</v>
      </c>
      <c r="F125" s="57" t="s">
        <v>442</v>
      </c>
      <c r="G125" s="65" t="s">
        <v>9</v>
      </c>
      <c r="H125" s="65" t="s">
        <v>9</v>
      </c>
      <c r="I125" s="65" t="s">
        <v>9</v>
      </c>
      <c r="J125" s="65" t="s">
        <v>9</v>
      </c>
      <c r="K125" s="65" t="s">
        <v>9</v>
      </c>
      <c r="L125" s="35" t="str">
        <f t="shared" si="29"/>
        <v>EletroTécnicos</v>
      </c>
      <c r="M125" s="35" t="str">
        <f t="shared" si="50"/>
        <v>Elementos.Elétricos</v>
      </c>
      <c r="N125" s="35" t="str">
        <f t="shared" si="31"/>
        <v>Geração Elétrica</v>
      </c>
      <c r="O125" s="31" t="str">
        <f t="shared" si="49"/>
        <v>Gerador.Elétrico.de.Cogeração</v>
      </c>
      <c r="P125" s="31" t="s">
        <v>185</v>
      </c>
      <c r="Q125" s="31" t="s">
        <v>186</v>
      </c>
      <c r="R125" s="31" t="s">
        <v>9</v>
      </c>
      <c r="S125" s="31" t="str">
        <f t="shared" si="39"/>
        <v>EletroTécnicos</v>
      </c>
      <c r="T125" s="31" t="str">
        <f t="shared" si="32"/>
        <v>Elementos.Elétricos</v>
      </c>
      <c r="U125" s="31" t="str">
        <f t="shared" si="32"/>
        <v>Geração.Elétrica</v>
      </c>
      <c r="V125" s="31" t="s">
        <v>115</v>
      </c>
      <c r="W125" s="62" t="str">
        <f t="shared" si="28"/>
        <v>Key-ELET-125</v>
      </c>
      <c r="X125" s="31" t="s">
        <v>478</v>
      </c>
      <c r="Y125" s="30" t="s">
        <v>378</v>
      </c>
      <c r="Z125" s="31" t="s">
        <v>693</v>
      </c>
      <c r="AA125" s="31" t="s">
        <v>414</v>
      </c>
    </row>
    <row r="126" spans="1:27" ht="6.65" customHeight="1" x14ac:dyDescent="0.4">
      <c r="A126" s="61">
        <v>126</v>
      </c>
      <c r="B126" s="1" t="s">
        <v>744</v>
      </c>
      <c r="C126" s="34" t="s">
        <v>745</v>
      </c>
      <c r="D126" s="1" t="s">
        <v>511</v>
      </c>
      <c r="E126" s="1" t="s">
        <v>470</v>
      </c>
      <c r="F126" s="57" t="s">
        <v>443</v>
      </c>
      <c r="G126" s="65" t="s">
        <v>9</v>
      </c>
      <c r="H126" s="65" t="s">
        <v>9</v>
      </c>
      <c r="I126" s="65" t="s">
        <v>9</v>
      </c>
      <c r="J126" s="65" t="s">
        <v>9</v>
      </c>
      <c r="K126" s="65" t="s">
        <v>9</v>
      </c>
      <c r="L126" s="35" t="str">
        <f t="shared" si="29"/>
        <v>EletroTécnicos</v>
      </c>
      <c r="M126" s="35" t="str">
        <f t="shared" si="50"/>
        <v>Elementos.Elétricos</v>
      </c>
      <c r="N126" s="35" t="str">
        <f t="shared" si="31"/>
        <v>Geração Elétrica</v>
      </c>
      <c r="O126" s="31" t="str">
        <f t="shared" si="49"/>
        <v>Gerador.Elétrico.de.Combustível</v>
      </c>
      <c r="P126" s="31" t="s">
        <v>187</v>
      </c>
      <c r="Q126" s="31" t="s">
        <v>188</v>
      </c>
      <c r="R126" s="31" t="s">
        <v>9</v>
      </c>
      <c r="S126" s="31" t="str">
        <f t="shared" si="39"/>
        <v>EletroTécnicos</v>
      </c>
      <c r="T126" s="31" t="str">
        <f t="shared" si="32"/>
        <v>Elementos.Elétricos</v>
      </c>
      <c r="U126" s="31" t="str">
        <f t="shared" si="32"/>
        <v>Geração.Elétrica</v>
      </c>
      <c r="V126" s="31" t="s">
        <v>115</v>
      </c>
      <c r="W126" s="62" t="str">
        <f t="shared" si="28"/>
        <v>Key-ELET-126</v>
      </c>
      <c r="X126" s="31" t="s">
        <v>478</v>
      </c>
      <c r="Y126" s="30" t="s">
        <v>377</v>
      </c>
      <c r="Z126" s="31" t="s">
        <v>693</v>
      </c>
      <c r="AA126" s="31" t="s">
        <v>415</v>
      </c>
    </row>
    <row r="127" spans="1:27" ht="6.65" customHeight="1" x14ac:dyDescent="0.4">
      <c r="A127" s="61">
        <v>127</v>
      </c>
      <c r="B127" s="1" t="s">
        <v>744</v>
      </c>
      <c r="C127" s="34" t="s">
        <v>745</v>
      </c>
      <c r="D127" s="1" t="s">
        <v>511</v>
      </c>
      <c r="E127" s="1" t="s">
        <v>470</v>
      </c>
      <c r="F127" s="57" t="s">
        <v>444</v>
      </c>
      <c r="G127" s="65" t="s">
        <v>9</v>
      </c>
      <c r="H127" s="65" t="s">
        <v>9</v>
      </c>
      <c r="I127" s="65" t="s">
        <v>9</v>
      </c>
      <c r="J127" s="65" t="s">
        <v>9</v>
      </c>
      <c r="K127" s="65" t="s">
        <v>9</v>
      </c>
      <c r="L127" s="35" t="str">
        <f t="shared" si="29"/>
        <v>EletroTécnicos</v>
      </c>
      <c r="M127" s="35" t="str">
        <f t="shared" si="50"/>
        <v>Elementos.Elétricos</v>
      </c>
      <c r="N127" s="35" t="str">
        <f t="shared" si="31"/>
        <v>Geração Elétrica</v>
      </c>
      <c r="O127" s="31" t="str">
        <f t="shared" si="49"/>
        <v>Gerador.Elétrico.Independente</v>
      </c>
      <c r="P127" s="31" t="s">
        <v>189</v>
      </c>
      <c r="Q127" s="31" t="s">
        <v>190</v>
      </c>
      <c r="R127" s="31" t="s">
        <v>9</v>
      </c>
      <c r="S127" s="31" t="str">
        <f t="shared" ref="S127:S129" si="51">SUBSTITUTE(C127, "_", " ")</f>
        <v>EletroTécnicos</v>
      </c>
      <c r="T127" s="31" t="str">
        <f t="shared" si="32"/>
        <v>Elementos.Elétricos</v>
      </c>
      <c r="U127" s="31" t="str">
        <f t="shared" si="32"/>
        <v>Geração.Elétrica</v>
      </c>
      <c r="V127" s="31" t="s">
        <v>115</v>
      </c>
      <c r="W127" s="62" t="str">
        <f t="shared" si="28"/>
        <v>Key-ELET-127</v>
      </c>
      <c r="X127" s="31" t="s">
        <v>478</v>
      </c>
      <c r="Y127" s="30" t="s">
        <v>376</v>
      </c>
      <c r="Z127" s="31" t="s">
        <v>693</v>
      </c>
      <c r="AA127" s="31" t="s">
        <v>416</v>
      </c>
    </row>
    <row r="128" spans="1:27" ht="6.65" customHeight="1" x14ac:dyDescent="0.4">
      <c r="A128" s="61">
        <v>128</v>
      </c>
      <c r="B128" s="1" t="s">
        <v>744</v>
      </c>
      <c r="C128" s="34" t="s">
        <v>745</v>
      </c>
      <c r="D128" s="1" t="s">
        <v>511</v>
      </c>
      <c r="E128" s="1" t="s">
        <v>471</v>
      </c>
      <c r="F128" s="57" t="s">
        <v>453</v>
      </c>
      <c r="G128" s="65" t="s">
        <v>9</v>
      </c>
      <c r="H128" s="65" t="s">
        <v>9</v>
      </c>
      <c r="I128" s="65" t="s">
        <v>9</v>
      </c>
      <c r="J128" s="65" t="s">
        <v>9</v>
      </c>
      <c r="K128" s="65" t="s">
        <v>9</v>
      </c>
      <c r="L128" s="35" t="str">
        <f t="shared" si="29"/>
        <v>EletroTécnicos</v>
      </c>
      <c r="M128" s="35" t="str">
        <f t="shared" si="50"/>
        <v>Elementos.Elétricos</v>
      </c>
      <c r="N128" s="35" t="str">
        <f t="shared" si="31"/>
        <v>Geração Solar</v>
      </c>
      <c r="O128" s="31" t="str">
        <f t="shared" si="49"/>
        <v>Dispositivo.Solar</v>
      </c>
      <c r="P128" s="31" t="s">
        <v>189</v>
      </c>
      <c r="Q128" s="31" t="s">
        <v>190</v>
      </c>
      <c r="R128" s="31" t="s">
        <v>9</v>
      </c>
      <c r="S128" s="31" t="str">
        <f t="shared" si="51"/>
        <v>EletroTécnicos</v>
      </c>
      <c r="T128" s="31" t="str">
        <f t="shared" si="32"/>
        <v>Elementos.Elétricos</v>
      </c>
      <c r="U128" s="31" t="str">
        <f t="shared" si="32"/>
        <v>Geração.Solar</v>
      </c>
      <c r="V128" s="31" t="s">
        <v>115</v>
      </c>
      <c r="W128" s="62" t="str">
        <f t="shared" si="28"/>
        <v>Key-ELET-128</v>
      </c>
      <c r="X128" s="31" t="s">
        <v>478</v>
      </c>
      <c r="Y128" s="30" t="s">
        <v>445</v>
      </c>
      <c r="Z128" s="31" t="s">
        <v>693</v>
      </c>
      <c r="AA128" s="31" t="s">
        <v>450</v>
      </c>
    </row>
    <row r="129" spans="1:27" ht="6.65" customHeight="1" x14ac:dyDescent="0.4">
      <c r="A129" s="61">
        <v>129</v>
      </c>
      <c r="B129" s="1" t="s">
        <v>744</v>
      </c>
      <c r="C129" s="34" t="s">
        <v>745</v>
      </c>
      <c r="D129" s="1" t="s">
        <v>511</v>
      </c>
      <c r="E129" s="1" t="s">
        <v>471</v>
      </c>
      <c r="F129" s="57" t="s">
        <v>451</v>
      </c>
      <c r="G129" s="65" t="s">
        <v>9</v>
      </c>
      <c r="H129" s="65" t="s">
        <v>9</v>
      </c>
      <c r="I129" s="65" t="s">
        <v>9</v>
      </c>
      <c r="J129" s="65" t="s">
        <v>9</v>
      </c>
      <c r="K129" s="65" t="s">
        <v>9</v>
      </c>
      <c r="L129" s="35" t="str">
        <f t="shared" si="29"/>
        <v>EletroTécnicos</v>
      </c>
      <c r="M129" s="35" t="str">
        <f t="shared" si="50"/>
        <v>Elementos.Elétricos</v>
      </c>
      <c r="N129" s="35" t="str">
        <f t="shared" si="31"/>
        <v>Geração Solar</v>
      </c>
      <c r="O129" s="31" t="str">
        <f t="shared" si="49"/>
        <v>Coletor.Solar</v>
      </c>
      <c r="P129" s="31" t="s">
        <v>189</v>
      </c>
      <c r="Q129" s="31" t="s">
        <v>190</v>
      </c>
      <c r="R129" s="31" t="s">
        <v>9</v>
      </c>
      <c r="S129" s="31" t="str">
        <f t="shared" si="51"/>
        <v>EletroTécnicos</v>
      </c>
      <c r="T129" s="31" t="str">
        <f t="shared" si="32"/>
        <v>Elementos.Elétricos</v>
      </c>
      <c r="U129" s="31" t="str">
        <f t="shared" si="32"/>
        <v>Geração.Solar</v>
      </c>
      <c r="V129" s="31" t="s">
        <v>115</v>
      </c>
      <c r="W129" s="62" t="str">
        <f t="shared" si="28"/>
        <v>Key-ELET-129</v>
      </c>
      <c r="X129" s="31" t="s">
        <v>478</v>
      </c>
      <c r="Y129" s="30" t="s">
        <v>447</v>
      </c>
      <c r="Z129" s="31" t="s">
        <v>693</v>
      </c>
      <c r="AA129" s="31" t="s">
        <v>448</v>
      </c>
    </row>
    <row r="130" spans="1:27" ht="6.65" customHeight="1" x14ac:dyDescent="0.4">
      <c r="A130" s="61">
        <v>130</v>
      </c>
      <c r="B130" s="1" t="s">
        <v>744</v>
      </c>
      <c r="C130" s="34" t="s">
        <v>745</v>
      </c>
      <c r="D130" s="1" t="s">
        <v>511</v>
      </c>
      <c r="E130" s="1" t="s">
        <v>471</v>
      </c>
      <c r="F130" s="57" t="s">
        <v>452</v>
      </c>
      <c r="G130" s="65" t="s">
        <v>9</v>
      </c>
      <c r="H130" s="65" t="s">
        <v>9</v>
      </c>
      <c r="I130" s="65" t="s">
        <v>9</v>
      </c>
      <c r="J130" s="65" t="s">
        <v>9</v>
      </c>
      <c r="K130" s="65" t="s">
        <v>9</v>
      </c>
      <c r="L130" s="35" t="str">
        <f t="shared" si="29"/>
        <v>EletroTécnicos</v>
      </c>
      <c r="M130" s="35" t="str">
        <f t="shared" si="50"/>
        <v>Elementos.Elétricos</v>
      </c>
      <c r="N130" s="35" t="str">
        <f t="shared" si="31"/>
        <v>Geração Solar</v>
      </c>
      <c r="O130" s="31" t="str">
        <f t="shared" si="49"/>
        <v>Painel.Solar</v>
      </c>
      <c r="P130" s="31" t="s">
        <v>189</v>
      </c>
      <c r="Q130" s="31" t="s">
        <v>190</v>
      </c>
      <c r="R130" s="31" t="s">
        <v>9</v>
      </c>
      <c r="S130" s="31" t="str">
        <f t="shared" si="39"/>
        <v>EletroTécnicos</v>
      </c>
      <c r="T130" s="31" t="str">
        <f t="shared" si="32"/>
        <v>Elementos.Elétricos</v>
      </c>
      <c r="U130" s="31" t="str">
        <f t="shared" si="32"/>
        <v>Geração.Solar</v>
      </c>
      <c r="V130" s="31" t="s">
        <v>115</v>
      </c>
      <c r="W130" s="62" t="str">
        <f t="shared" ref="W130:W142" si="52">CONCATENATE("Key-ELET-",A130)</f>
        <v>Key-ELET-130</v>
      </c>
      <c r="X130" s="31" t="s">
        <v>478</v>
      </c>
      <c r="Y130" s="30" t="s">
        <v>446</v>
      </c>
      <c r="Z130" s="31" t="s">
        <v>693</v>
      </c>
      <c r="AA130" s="31" t="s">
        <v>449</v>
      </c>
    </row>
    <row r="131" spans="1:27" ht="6.65" customHeight="1" x14ac:dyDescent="0.4">
      <c r="A131" s="61">
        <v>131</v>
      </c>
      <c r="B131" s="1" t="s">
        <v>744</v>
      </c>
      <c r="C131" s="34" t="s">
        <v>745</v>
      </c>
      <c r="D131" s="1" t="s">
        <v>511</v>
      </c>
      <c r="E131" s="1" t="s">
        <v>729</v>
      </c>
      <c r="F131" s="57" t="s">
        <v>347</v>
      </c>
      <c r="G131" s="65" t="s">
        <v>9</v>
      </c>
      <c r="H131" s="65" t="s">
        <v>9</v>
      </c>
      <c r="I131" s="65" t="s">
        <v>9</v>
      </c>
      <c r="J131" s="65" t="s">
        <v>9</v>
      </c>
      <c r="K131" s="65" t="s">
        <v>9</v>
      </c>
      <c r="L131" s="35" t="str">
        <f t="shared" si="29"/>
        <v>EletroTécnicos</v>
      </c>
      <c r="M131" s="35" t="str">
        <f t="shared" si="50"/>
        <v>Elementos.Elétricos</v>
      </c>
      <c r="N131" s="35" t="str">
        <f t="shared" si="31"/>
        <v>Filtros Elétricos</v>
      </c>
      <c r="O131" s="31" t="str">
        <f t="shared" si="49"/>
        <v>Filtro.Elétrico</v>
      </c>
      <c r="P131" s="31" t="s">
        <v>191</v>
      </c>
      <c r="Q131" s="31" t="s">
        <v>192</v>
      </c>
      <c r="R131" s="31" t="s">
        <v>9</v>
      </c>
      <c r="S131" s="31" t="str">
        <f t="shared" si="39"/>
        <v>EletroTécnicos</v>
      </c>
      <c r="T131" s="31" t="str">
        <f t="shared" si="32"/>
        <v>Elementos.Elétricos</v>
      </c>
      <c r="U131" s="31" t="str">
        <f t="shared" si="32"/>
        <v>Filtros.Elétricos</v>
      </c>
      <c r="V131" s="31" t="s">
        <v>115</v>
      </c>
      <c r="W131" s="62" t="str">
        <f t="shared" si="52"/>
        <v>Key-ELET-131</v>
      </c>
      <c r="X131" s="31" t="s">
        <v>478</v>
      </c>
      <c r="Y131" s="30" t="s">
        <v>375</v>
      </c>
      <c r="Z131" s="31" t="s">
        <v>693</v>
      </c>
      <c r="AA131" s="31" t="s">
        <v>417</v>
      </c>
    </row>
    <row r="132" spans="1:27" ht="6.65" customHeight="1" x14ac:dyDescent="0.4">
      <c r="A132" s="61">
        <v>132</v>
      </c>
      <c r="B132" s="1" t="s">
        <v>744</v>
      </c>
      <c r="C132" s="34" t="s">
        <v>745</v>
      </c>
      <c r="D132" s="1" t="s">
        <v>511</v>
      </c>
      <c r="E132" s="1" t="s">
        <v>729</v>
      </c>
      <c r="F132" s="57" t="s">
        <v>346</v>
      </c>
      <c r="G132" s="65" t="s">
        <v>9</v>
      </c>
      <c r="H132" s="65" t="s">
        <v>9</v>
      </c>
      <c r="I132" s="65" t="s">
        <v>9</v>
      </c>
      <c r="J132" s="65" t="s">
        <v>9</v>
      </c>
      <c r="K132" s="65" t="s">
        <v>9</v>
      </c>
      <c r="L132" s="35" t="str">
        <f t="shared" si="29"/>
        <v>EletroTécnicos</v>
      </c>
      <c r="M132" s="35" t="str">
        <f t="shared" si="50"/>
        <v>Elementos.Elétricos</v>
      </c>
      <c r="N132" s="35" t="str">
        <f t="shared" si="31"/>
        <v>Filtros Elétricos</v>
      </c>
      <c r="O132" s="31" t="str">
        <f t="shared" si="49"/>
        <v>Filtro.Eletrônico</v>
      </c>
      <c r="P132" s="31" t="s">
        <v>193</v>
      </c>
      <c r="Q132" s="31" t="s">
        <v>194</v>
      </c>
      <c r="R132" s="31" t="s">
        <v>9</v>
      </c>
      <c r="S132" s="31" t="str">
        <f t="shared" si="39"/>
        <v>EletroTécnicos</v>
      </c>
      <c r="T132" s="31" t="str">
        <f t="shared" si="32"/>
        <v>Elementos.Elétricos</v>
      </c>
      <c r="U132" s="31" t="str">
        <f t="shared" si="32"/>
        <v>Filtros.Elétricos</v>
      </c>
      <c r="V132" s="31" t="s">
        <v>115</v>
      </c>
      <c r="W132" s="62" t="str">
        <f t="shared" si="52"/>
        <v>Key-ELET-132</v>
      </c>
      <c r="X132" s="31" t="s">
        <v>478</v>
      </c>
      <c r="Y132" s="30" t="s">
        <v>374</v>
      </c>
      <c r="Z132" s="31" t="s">
        <v>693</v>
      </c>
      <c r="AA132" s="31" t="s">
        <v>418</v>
      </c>
    </row>
    <row r="133" spans="1:27" ht="6.65" customHeight="1" x14ac:dyDescent="0.4">
      <c r="A133" s="61">
        <v>133</v>
      </c>
      <c r="B133" s="1" t="s">
        <v>744</v>
      </c>
      <c r="C133" s="34" t="s">
        <v>745</v>
      </c>
      <c r="D133" s="1" t="s">
        <v>511</v>
      </c>
      <c r="E133" s="1" t="s">
        <v>472</v>
      </c>
      <c r="F133" s="57" t="s">
        <v>353</v>
      </c>
      <c r="G133" s="65" t="s">
        <v>9</v>
      </c>
      <c r="H133" s="65" t="s">
        <v>9</v>
      </c>
      <c r="I133" s="65" t="s">
        <v>9</v>
      </c>
      <c r="J133" s="65" t="s">
        <v>9</v>
      </c>
      <c r="K133" s="65" t="s">
        <v>9</v>
      </c>
      <c r="L133" s="35" t="str">
        <f t="shared" si="29"/>
        <v>EletroTécnicos</v>
      </c>
      <c r="M133" s="35" t="str">
        <f t="shared" si="50"/>
        <v>Elementos.Elétricos</v>
      </c>
      <c r="N133" s="35" t="str">
        <f t="shared" si="31"/>
        <v>Transformação Elétrica</v>
      </c>
      <c r="O133" s="31" t="str">
        <f t="shared" si="49"/>
        <v>Transformador.Elétrico</v>
      </c>
      <c r="P133" s="31" t="s">
        <v>209</v>
      </c>
      <c r="Q133" s="31" t="s">
        <v>210</v>
      </c>
      <c r="R133" s="31" t="s">
        <v>9</v>
      </c>
      <c r="S133" s="31" t="str">
        <f t="shared" si="39"/>
        <v>EletroTécnicos</v>
      </c>
      <c r="T133" s="31" t="str">
        <f t="shared" si="32"/>
        <v>Elementos.Elétricos</v>
      </c>
      <c r="U133" s="31" t="str">
        <f t="shared" si="32"/>
        <v>Transformação.Elétrica</v>
      </c>
      <c r="V133" s="31" t="s">
        <v>115</v>
      </c>
      <c r="W133" s="62" t="str">
        <f t="shared" si="52"/>
        <v>Key-ELET-133</v>
      </c>
      <c r="X133" s="31" t="s">
        <v>344</v>
      </c>
      <c r="Y133" s="30" t="s">
        <v>366</v>
      </c>
      <c r="Z133" s="31" t="s">
        <v>693</v>
      </c>
      <c r="AA133" s="31" t="s">
        <v>426</v>
      </c>
    </row>
    <row r="134" spans="1:27" ht="6.65" customHeight="1" x14ac:dyDescent="0.4">
      <c r="A134" s="61">
        <v>134</v>
      </c>
      <c r="B134" s="1" t="s">
        <v>744</v>
      </c>
      <c r="C134" s="34" t="s">
        <v>745</v>
      </c>
      <c r="D134" s="1" t="s">
        <v>511</v>
      </c>
      <c r="E134" s="1" t="s">
        <v>472</v>
      </c>
      <c r="F134" s="57" t="s">
        <v>438</v>
      </c>
      <c r="G134" s="65" t="s">
        <v>9</v>
      </c>
      <c r="H134" s="65" t="s">
        <v>9</v>
      </c>
      <c r="I134" s="65" t="s">
        <v>9</v>
      </c>
      <c r="J134" s="65" t="s">
        <v>9</v>
      </c>
      <c r="K134" s="65" t="s">
        <v>9</v>
      </c>
      <c r="L134" s="35" t="str">
        <f t="shared" ref="L134:L142" si="53">CONCATENATE("", C134)</f>
        <v>EletroTécnicos</v>
      </c>
      <c r="M134" s="35" t="str">
        <f t="shared" si="50"/>
        <v>Elementos.Elétricos</v>
      </c>
      <c r="N134" s="35" t="str">
        <f t="shared" ref="N134:N142" si="54">(SUBSTITUTE(SUBSTITUTE(CONCATENATE("",E134),"."," ")," De "," de "))</f>
        <v>Transformação Elétrica</v>
      </c>
      <c r="O134" s="31" t="str">
        <f t="shared" si="49"/>
        <v>Transformador.de.Chave</v>
      </c>
      <c r="P134" s="31" t="s">
        <v>211</v>
      </c>
      <c r="Q134" s="31" t="s">
        <v>212</v>
      </c>
      <c r="R134" s="31" t="s">
        <v>9</v>
      </c>
      <c r="S134" s="31" t="str">
        <f t="shared" si="39"/>
        <v>EletroTécnicos</v>
      </c>
      <c r="T134" s="31" t="str">
        <f t="shared" si="32"/>
        <v>Elementos.Elétricos</v>
      </c>
      <c r="U134" s="31" t="str">
        <f t="shared" si="32"/>
        <v>Transformação.Elétrica</v>
      </c>
      <c r="V134" s="31" t="s">
        <v>115</v>
      </c>
      <c r="W134" s="62" t="str">
        <f t="shared" si="52"/>
        <v>Key-ELET-134</v>
      </c>
      <c r="X134" s="31" t="s">
        <v>344</v>
      </c>
      <c r="Y134" s="30" t="s">
        <v>365</v>
      </c>
      <c r="Z134" s="31" t="s">
        <v>693</v>
      </c>
      <c r="AA134" s="31" t="s">
        <v>427</v>
      </c>
    </row>
    <row r="135" spans="1:27" ht="6.65" customHeight="1" x14ac:dyDescent="0.4">
      <c r="A135" s="61">
        <v>135</v>
      </c>
      <c r="B135" s="1" t="s">
        <v>744</v>
      </c>
      <c r="C135" s="34" t="s">
        <v>745</v>
      </c>
      <c r="D135" s="1" t="s">
        <v>511</v>
      </c>
      <c r="E135" s="1" t="s">
        <v>472</v>
      </c>
      <c r="F135" s="57" t="s">
        <v>439</v>
      </c>
      <c r="G135" s="65" t="s">
        <v>9</v>
      </c>
      <c r="H135" s="65" t="s">
        <v>9</v>
      </c>
      <c r="I135" s="65" t="s">
        <v>9</v>
      </c>
      <c r="J135" s="65" t="s">
        <v>9</v>
      </c>
      <c r="K135" s="65" t="s">
        <v>9</v>
      </c>
      <c r="L135" s="35" t="str">
        <f t="shared" si="53"/>
        <v>EletroTécnicos</v>
      </c>
      <c r="M135" s="35" t="str">
        <f t="shared" si="50"/>
        <v>Elementos.Elétricos</v>
      </c>
      <c r="N135" s="35" t="str">
        <f t="shared" si="54"/>
        <v>Transformação Elétrica</v>
      </c>
      <c r="O135" s="31" t="str">
        <f t="shared" si="49"/>
        <v>Transformador.de.Combinação</v>
      </c>
      <c r="P135" s="31" t="s">
        <v>213</v>
      </c>
      <c r="Q135" s="31" t="s">
        <v>214</v>
      </c>
      <c r="R135" s="31" t="s">
        <v>9</v>
      </c>
      <c r="S135" s="31" t="str">
        <f t="shared" si="39"/>
        <v>EletroTécnicos</v>
      </c>
      <c r="T135" s="31" t="str">
        <f t="shared" si="39"/>
        <v>Elementos.Elétricos</v>
      </c>
      <c r="U135" s="31" t="str">
        <f t="shared" si="39"/>
        <v>Transformação.Elétrica</v>
      </c>
      <c r="V135" s="31" t="s">
        <v>115</v>
      </c>
      <c r="W135" s="62" t="str">
        <f t="shared" si="52"/>
        <v>Key-ELET-135</v>
      </c>
      <c r="X135" s="31" t="s">
        <v>344</v>
      </c>
      <c r="Y135" s="30" t="s">
        <v>364</v>
      </c>
      <c r="Z135" s="31" t="s">
        <v>693</v>
      </c>
      <c r="AA135" s="31" t="s">
        <v>428</v>
      </c>
    </row>
    <row r="136" spans="1:27" ht="6.65" customHeight="1" x14ac:dyDescent="0.4">
      <c r="A136" s="61">
        <v>136</v>
      </c>
      <c r="B136" s="1" t="s">
        <v>744</v>
      </c>
      <c r="C136" s="34" t="s">
        <v>745</v>
      </c>
      <c r="D136" s="1" t="s">
        <v>511</v>
      </c>
      <c r="E136" s="1" t="s">
        <v>472</v>
      </c>
      <c r="F136" s="57" t="s">
        <v>354</v>
      </c>
      <c r="G136" s="65" t="s">
        <v>9</v>
      </c>
      <c r="H136" s="65" t="s">
        <v>9</v>
      </c>
      <c r="I136" s="65" t="s">
        <v>9</v>
      </c>
      <c r="J136" s="65" t="s">
        <v>9</v>
      </c>
      <c r="K136" s="65" t="s">
        <v>9</v>
      </c>
      <c r="L136" s="35" t="str">
        <f t="shared" si="53"/>
        <v>EletroTécnicos</v>
      </c>
      <c r="M136" s="35" t="str">
        <f t="shared" si="50"/>
        <v>Elementos.Elétricos</v>
      </c>
      <c r="N136" s="35" t="str">
        <f t="shared" si="54"/>
        <v>Transformação Elétrica</v>
      </c>
      <c r="O136" s="31" t="str">
        <f t="shared" si="49"/>
        <v>Transformador.de.Corrente</v>
      </c>
      <c r="P136" s="31" t="s">
        <v>215</v>
      </c>
      <c r="Q136" s="31" t="s">
        <v>216</v>
      </c>
      <c r="R136" s="31" t="s">
        <v>9</v>
      </c>
      <c r="S136" s="31" t="str">
        <f t="shared" si="39"/>
        <v>EletroTécnicos</v>
      </c>
      <c r="T136" s="31" t="str">
        <f t="shared" si="39"/>
        <v>Elementos.Elétricos</v>
      </c>
      <c r="U136" s="31" t="str">
        <f t="shared" si="39"/>
        <v>Transformação.Elétrica</v>
      </c>
      <c r="V136" s="31" t="s">
        <v>115</v>
      </c>
      <c r="W136" s="62" t="str">
        <f t="shared" si="52"/>
        <v>Key-ELET-136</v>
      </c>
      <c r="X136" s="31" t="s">
        <v>344</v>
      </c>
      <c r="Y136" s="30" t="s">
        <v>363</v>
      </c>
      <c r="Z136" s="31" t="s">
        <v>693</v>
      </c>
      <c r="AA136" s="31" t="s">
        <v>429</v>
      </c>
    </row>
    <row r="137" spans="1:27" ht="6.65" customHeight="1" x14ac:dyDescent="0.4">
      <c r="A137" s="61">
        <v>137</v>
      </c>
      <c r="B137" s="1" t="s">
        <v>744</v>
      </c>
      <c r="C137" s="34" t="s">
        <v>745</v>
      </c>
      <c r="D137" s="1" t="s">
        <v>511</v>
      </c>
      <c r="E137" s="1" t="s">
        <v>472</v>
      </c>
      <c r="F137" s="57" t="s">
        <v>440</v>
      </c>
      <c r="G137" s="65" t="s">
        <v>9</v>
      </c>
      <c r="H137" s="65" t="s">
        <v>9</v>
      </c>
      <c r="I137" s="65" t="s">
        <v>9</v>
      </c>
      <c r="J137" s="65" t="s">
        <v>9</v>
      </c>
      <c r="K137" s="65" t="s">
        <v>9</v>
      </c>
      <c r="L137" s="35" t="str">
        <f t="shared" si="53"/>
        <v>EletroTécnicos</v>
      </c>
      <c r="M137" s="35" t="str">
        <f t="shared" ref="M137:M142" si="55">CONCATENATE("", D137)</f>
        <v>Elementos.Elétricos</v>
      </c>
      <c r="N137" s="35" t="str">
        <f t="shared" si="54"/>
        <v>Transformação Elétrica</v>
      </c>
      <c r="O137" s="31" t="str">
        <f t="shared" si="49"/>
        <v>Transformador.de.Frequência</v>
      </c>
      <c r="P137" s="31" t="s">
        <v>217</v>
      </c>
      <c r="Q137" s="31" t="s">
        <v>218</v>
      </c>
      <c r="R137" s="31" t="s">
        <v>9</v>
      </c>
      <c r="S137" s="31" t="str">
        <f t="shared" ref="S137:U142" si="56">SUBSTITUTE(C137, "_", " ")</f>
        <v>EletroTécnicos</v>
      </c>
      <c r="T137" s="31" t="str">
        <f t="shared" si="56"/>
        <v>Elementos.Elétricos</v>
      </c>
      <c r="U137" s="31" t="str">
        <f t="shared" si="56"/>
        <v>Transformação.Elétrica</v>
      </c>
      <c r="V137" s="31" t="s">
        <v>115</v>
      </c>
      <c r="W137" s="62" t="str">
        <f t="shared" si="52"/>
        <v>Key-ELET-137</v>
      </c>
      <c r="X137" s="31" t="s">
        <v>344</v>
      </c>
      <c r="Y137" s="30" t="s">
        <v>362</v>
      </c>
      <c r="Z137" s="31" t="s">
        <v>693</v>
      </c>
      <c r="AA137" s="31" t="s">
        <v>430</v>
      </c>
    </row>
    <row r="138" spans="1:27" ht="6.65" customHeight="1" x14ac:dyDescent="0.4">
      <c r="A138" s="61">
        <v>138</v>
      </c>
      <c r="B138" s="1" t="s">
        <v>744</v>
      </c>
      <c r="C138" s="34" t="s">
        <v>745</v>
      </c>
      <c r="D138" s="1" t="s">
        <v>511</v>
      </c>
      <c r="E138" s="1" t="s">
        <v>472</v>
      </c>
      <c r="F138" s="57" t="s">
        <v>355</v>
      </c>
      <c r="G138" s="65" t="s">
        <v>9</v>
      </c>
      <c r="H138" s="65" t="s">
        <v>9</v>
      </c>
      <c r="I138" s="65" t="s">
        <v>9</v>
      </c>
      <c r="J138" s="65" t="s">
        <v>9</v>
      </c>
      <c r="K138" s="65" t="s">
        <v>9</v>
      </c>
      <c r="L138" s="35" t="str">
        <f t="shared" si="53"/>
        <v>EletroTécnicos</v>
      </c>
      <c r="M138" s="35" t="str">
        <f t="shared" si="55"/>
        <v>Elementos.Elétricos</v>
      </c>
      <c r="N138" s="35" t="str">
        <f t="shared" si="54"/>
        <v>Transformação Elétrica</v>
      </c>
      <c r="O138" s="31" t="str">
        <f t="shared" si="49"/>
        <v>Transformador.de.Inversão</v>
      </c>
      <c r="P138" s="31" t="s">
        <v>219</v>
      </c>
      <c r="Q138" s="31" t="s">
        <v>220</v>
      </c>
      <c r="R138" s="31" t="s">
        <v>9</v>
      </c>
      <c r="S138" s="31" t="str">
        <f t="shared" si="56"/>
        <v>EletroTécnicos</v>
      </c>
      <c r="T138" s="31" t="str">
        <f t="shared" si="56"/>
        <v>Elementos.Elétricos</v>
      </c>
      <c r="U138" s="31" t="str">
        <f t="shared" si="56"/>
        <v>Transformação.Elétrica</v>
      </c>
      <c r="V138" s="31" t="s">
        <v>115</v>
      </c>
      <c r="W138" s="62" t="str">
        <f t="shared" si="52"/>
        <v>Key-ELET-138</v>
      </c>
      <c r="X138" s="31" t="s">
        <v>344</v>
      </c>
      <c r="Y138" s="30" t="s">
        <v>361</v>
      </c>
      <c r="Z138" s="31" t="s">
        <v>693</v>
      </c>
      <c r="AA138" s="31" t="s">
        <v>431</v>
      </c>
    </row>
    <row r="139" spans="1:27" ht="6.65" customHeight="1" x14ac:dyDescent="0.4">
      <c r="A139" s="61">
        <v>139</v>
      </c>
      <c r="B139" s="1" t="s">
        <v>744</v>
      </c>
      <c r="C139" s="34" t="s">
        <v>745</v>
      </c>
      <c r="D139" s="1" t="s">
        <v>511</v>
      </c>
      <c r="E139" s="1" t="s">
        <v>472</v>
      </c>
      <c r="F139" s="57" t="s">
        <v>356</v>
      </c>
      <c r="G139" s="65" t="s">
        <v>9</v>
      </c>
      <c r="H139" s="65" t="s">
        <v>9</v>
      </c>
      <c r="I139" s="65" t="s">
        <v>9</v>
      </c>
      <c r="J139" s="65" t="s">
        <v>9</v>
      </c>
      <c r="K139" s="65" t="s">
        <v>9</v>
      </c>
      <c r="L139" s="35" t="str">
        <f t="shared" si="53"/>
        <v>EletroTécnicos</v>
      </c>
      <c r="M139" s="35" t="str">
        <f t="shared" si="55"/>
        <v>Elementos.Elétricos</v>
      </c>
      <c r="N139" s="35" t="str">
        <f t="shared" si="54"/>
        <v>Transformação Elétrica</v>
      </c>
      <c r="O139" s="31" t="str">
        <f t="shared" si="49"/>
        <v>Transformador.de.Retificação</v>
      </c>
      <c r="P139" s="31" t="s">
        <v>221</v>
      </c>
      <c r="Q139" s="31" t="s">
        <v>222</v>
      </c>
      <c r="R139" s="31" t="s">
        <v>9</v>
      </c>
      <c r="S139" s="31" t="str">
        <f t="shared" si="56"/>
        <v>EletroTécnicos</v>
      </c>
      <c r="T139" s="31" t="str">
        <f t="shared" si="56"/>
        <v>Elementos.Elétricos</v>
      </c>
      <c r="U139" s="31" t="str">
        <f t="shared" si="56"/>
        <v>Transformação.Elétrica</v>
      </c>
      <c r="V139" s="31" t="s">
        <v>115</v>
      </c>
      <c r="W139" s="62" t="str">
        <f t="shared" si="52"/>
        <v>Key-ELET-139</v>
      </c>
      <c r="X139" s="31" t="s">
        <v>344</v>
      </c>
      <c r="Y139" s="30" t="s">
        <v>360</v>
      </c>
      <c r="Z139" s="31" t="s">
        <v>693</v>
      </c>
      <c r="AA139" s="31" t="s">
        <v>432</v>
      </c>
    </row>
    <row r="140" spans="1:27" ht="6.65" customHeight="1" x14ac:dyDescent="0.4">
      <c r="A140" s="61">
        <v>140</v>
      </c>
      <c r="B140" s="1" t="s">
        <v>744</v>
      </c>
      <c r="C140" s="34" t="s">
        <v>745</v>
      </c>
      <c r="D140" s="1" t="s">
        <v>511</v>
      </c>
      <c r="E140" s="1" t="s">
        <v>472</v>
      </c>
      <c r="F140" s="57" t="s">
        <v>357</v>
      </c>
      <c r="G140" s="65" t="s">
        <v>9</v>
      </c>
      <c r="H140" s="65" t="s">
        <v>9</v>
      </c>
      <c r="I140" s="65" t="s">
        <v>9</v>
      </c>
      <c r="J140" s="65" t="s">
        <v>9</v>
      </c>
      <c r="K140" s="65" t="s">
        <v>9</v>
      </c>
      <c r="L140" s="35" t="str">
        <f t="shared" si="53"/>
        <v>EletroTécnicos</v>
      </c>
      <c r="M140" s="35" t="str">
        <f t="shared" si="55"/>
        <v>Elementos.Elétricos</v>
      </c>
      <c r="N140" s="35" t="str">
        <f t="shared" si="54"/>
        <v>Transformação Elétrica</v>
      </c>
      <c r="O140" s="31" t="str">
        <f t="shared" si="49"/>
        <v>Transformador.de.Voltagem</v>
      </c>
      <c r="P140" s="31" t="s">
        <v>223</v>
      </c>
      <c r="Q140" s="31" t="s">
        <v>224</v>
      </c>
      <c r="R140" s="31" t="s">
        <v>9</v>
      </c>
      <c r="S140" s="31" t="str">
        <f t="shared" si="56"/>
        <v>EletroTécnicos</v>
      </c>
      <c r="T140" s="31" t="str">
        <f t="shared" si="56"/>
        <v>Elementos.Elétricos</v>
      </c>
      <c r="U140" s="31" t="str">
        <f t="shared" si="56"/>
        <v>Transformação.Elétrica</v>
      </c>
      <c r="V140" s="31" t="s">
        <v>115</v>
      </c>
      <c r="W140" s="62" t="str">
        <f t="shared" si="52"/>
        <v>Key-ELET-140</v>
      </c>
      <c r="X140" s="31" t="s">
        <v>344</v>
      </c>
      <c r="Y140" s="30" t="s">
        <v>359</v>
      </c>
      <c r="Z140" s="31" t="s">
        <v>693</v>
      </c>
      <c r="AA140" s="31" t="s">
        <v>433</v>
      </c>
    </row>
    <row r="141" spans="1:27" ht="6.65" customHeight="1" x14ac:dyDescent="0.4">
      <c r="A141" s="61">
        <v>141</v>
      </c>
      <c r="B141" s="1" t="s">
        <v>744</v>
      </c>
      <c r="C141" s="34" t="s">
        <v>745</v>
      </c>
      <c r="D141" s="1" t="s">
        <v>511</v>
      </c>
      <c r="E141" s="1" t="s">
        <v>472</v>
      </c>
      <c r="F141" s="1" t="s">
        <v>358</v>
      </c>
      <c r="G141" s="65" t="s">
        <v>9</v>
      </c>
      <c r="H141" s="65" t="s">
        <v>9</v>
      </c>
      <c r="I141" s="65" t="s">
        <v>9</v>
      </c>
      <c r="J141" s="65" t="s">
        <v>9</v>
      </c>
      <c r="K141" s="65" t="s">
        <v>9</v>
      </c>
      <c r="L141" s="35" t="str">
        <f t="shared" si="53"/>
        <v>EletroTécnicos</v>
      </c>
      <c r="M141" s="35" t="str">
        <f t="shared" si="55"/>
        <v>Elementos.Elétricos</v>
      </c>
      <c r="N141" s="35" t="str">
        <f t="shared" si="54"/>
        <v>Transformação Elétrica</v>
      </c>
      <c r="O141" s="31" t="str">
        <f t="shared" si="49"/>
        <v>Transformador.Analítico</v>
      </c>
      <c r="P141" s="31" t="s">
        <v>225</v>
      </c>
      <c r="Q141" s="31" t="s">
        <v>226</v>
      </c>
      <c r="R141" s="31" t="s">
        <v>9</v>
      </c>
      <c r="S141" s="31" t="str">
        <f t="shared" si="56"/>
        <v>EletroTécnicos</v>
      </c>
      <c r="T141" s="31" t="str">
        <f t="shared" si="56"/>
        <v>Elementos.Elétricos</v>
      </c>
      <c r="U141" s="31" t="str">
        <f t="shared" si="56"/>
        <v>Transformação.Elétrica</v>
      </c>
      <c r="V141" s="31" t="s">
        <v>115</v>
      </c>
      <c r="W141" s="62" t="str">
        <f t="shared" si="52"/>
        <v>Key-ELET-141</v>
      </c>
      <c r="X141" s="31" t="s">
        <v>396</v>
      </c>
      <c r="Y141" s="31" t="s">
        <v>397</v>
      </c>
      <c r="Z141" s="31" t="s">
        <v>693</v>
      </c>
      <c r="AA141" s="31" t="s">
        <v>434</v>
      </c>
    </row>
    <row r="142" spans="1:27" ht="6.65" customHeight="1" x14ac:dyDescent="0.4">
      <c r="A142" s="61">
        <v>142</v>
      </c>
      <c r="B142" s="1" t="s">
        <v>744</v>
      </c>
      <c r="C142" s="34" t="s">
        <v>745</v>
      </c>
      <c r="D142" s="1" t="s">
        <v>511</v>
      </c>
      <c r="E142" s="44" t="s">
        <v>243</v>
      </c>
      <c r="F142" s="66" t="s">
        <v>244</v>
      </c>
      <c r="G142" s="67" t="s">
        <v>9</v>
      </c>
      <c r="H142" s="65" t="s">
        <v>9</v>
      </c>
      <c r="I142" s="65" t="s">
        <v>9</v>
      </c>
      <c r="J142" s="65" t="s">
        <v>9</v>
      </c>
      <c r="K142" s="65" t="s">
        <v>9</v>
      </c>
      <c r="L142" s="35" t="str">
        <f t="shared" si="53"/>
        <v>EletroTécnicos</v>
      </c>
      <c r="M142" s="35" t="str">
        <f t="shared" si="55"/>
        <v>Elementos.Elétricos</v>
      </c>
      <c r="N142" s="35" t="str">
        <f t="shared" si="54"/>
        <v>Acessórios Elétricos</v>
      </c>
      <c r="O142" s="31" t="str">
        <f t="shared" si="49"/>
        <v>Acessório.Elétrico</v>
      </c>
      <c r="P142" s="31" t="s">
        <v>245</v>
      </c>
      <c r="Q142" s="31" t="s">
        <v>246</v>
      </c>
      <c r="R142" s="31" t="s">
        <v>9</v>
      </c>
      <c r="S142" s="31" t="str">
        <f t="shared" si="56"/>
        <v>EletroTécnicos</v>
      </c>
      <c r="T142" s="31" t="str">
        <f t="shared" si="56"/>
        <v>Elementos.Elétricos</v>
      </c>
      <c r="U142" s="31" t="str">
        <f t="shared" si="56"/>
        <v>Acessórios.Elétricos</v>
      </c>
      <c r="V142" s="31" t="s">
        <v>115</v>
      </c>
      <c r="W142" s="62" t="str">
        <f t="shared" si="52"/>
        <v>Key-ELET-142</v>
      </c>
      <c r="X142" s="31" t="s">
        <v>241</v>
      </c>
      <c r="Y142" s="30" t="s">
        <v>114</v>
      </c>
      <c r="Z142" s="31" t="s">
        <v>693</v>
      </c>
      <c r="AA142" s="31" t="str">
        <f t="shared" ref="AA142" si="57">_xlfn.TRANSLATE(P142,"pt","en")</f>
        <v>Electrical Accessory</v>
      </c>
    </row>
  </sheetData>
  <sortState xmlns:xlrd2="http://schemas.microsoft.com/office/spreadsheetml/2017/richdata2" ref="A7:AA220">
    <sortCondition ref="F7:F220"/>
  </sortState>
  <phoneticPr fontId="1" type="noConversion"/>
  <conditionalFormatting sqref="A2:B142">
    <cfRule type="cellIs" dxfId="78" priority="6" operator="equal">
      <formula>"null"</formula>
    </cfRule>
  </conditionalFormatting>
  <conditionalFormatting sqref="A1:O1 R1:X1 Z1">
    <cfRule type="cellIs" dxfId="77" priority="389" operator="equal">
      <formula>"null"</formula>
    </cfRule>
  </conditionalFormatting>
  <conditionalFormatting sqref="F1">
    <cfRule type="duplicateValues" dxfId="76" priority="1825"/>
  </conditionalFormatting>
  <conditionalFormatting sqref="F3:F6">
    <cfRule type="duplicateValues" dxfId="75" priority="1"/>
    <cfRule type="duplicateValues" dxfId="74" priority="2"/>
    <cfRule type="duplicateValues" dxfId="73" priority="3"/>
    <cfRule type="duplicateValues" dxfId="72" priority="4"/>
  </conditionalFormatting>
  <conditionalFormatting sqref="F7:F11">
    <cfRule type="duplicateValues" dxfId="71" priority="1838"/>
  </conditionalFormatting>
  <conditionalFormatting sqref="F7:F1048576 F1">
    <cfRule type="duplicateValues" dxfId="70" priority="29"/>
  </conditionalFormatting>
  <conditionalFormatting sqref="F25:F38">
    <cfRule type="duplicateValues" dxfId="69" priority="2187"/>
  </conditionalFormatting>
  <conditionalFormatting sqref="F39:F44">
    <cfRule type="duplicateValues" dxfId="68" priority="53"/>
    <cfRule type="duplicateValues" dxfId="67" priority="54"/>
    <cfRule type="duplicateValues" dxfId="66" priority="55"/>
    <cfRule type="duplicateValues" dxfId="65" priority="56"/>
  </conditionalFormatting>
  <conditionalFormatting sqref="F39:F46">
    <cfRule type="duplicateValues" dxfId="64" priority="51"/>
    <cfRule type="duplicateValues" dxfId="63" priority="52"/>
    <cfRule type="duplicateValues" dxfId="62" priority="50"/>
  </conditionalFormatting>
  <conditionalFormatting sqref="F47:F54">
    <cfRule type="duplicateValues" dxfId="61" priority="69"/>
    <cfRule type="duplicateValues" dxfId="60" priority="66"/>
    <cfRule type="duplicateValues" dxfId="59" priority="67"/>
    <cfRule type="duplicateValues" dxfId="58" priority="68"/>
  </conditionalFormatting>
  <conditionalFormatting sqref="F55">
    <cfRule type="duplicateValues" dxfId="57" priority="60"/>
  </conditionalFormatting>
  <conditionalFormatting sqref="F56">
    <cfRule type="duplicateValues" dxfId="56" priority="41"/>
    <cfRule type="duplicateValues" dxfId="55" priority="38"/>
    <cfRule type="duplicateValues" dxfId="54" priority="39"/>
    <cfRule type="duplicateValues" dxfId="53" priority="40"/>
  </conditionalFormatting>
  <conditionalFormatting sqref="F57">
    <cfRule type="duplicateValues" dxfId="52" priority="62"/>
    <cfRule type="duplicateValues" dxfId="51" priority="63"/>
    <cfRule type="duplicateValues" dxfId="50" priority="64"/>
    <cfRule type="duplicateValues" dxfId="49" priority="65"/>
  </conditionalFormatting>
  <conditionalFormatting sqref="F58">
    <cfRule type="duplicateValues" dxfId="48" priority="30"/>
    <cfRule type="duplicateValues" dxfId="47" priority="31"/>
    <cfRule type="duplicateValues" dxfId="46" priority="33"/>
    <cfRule type="duplicateValues" dxfId="45" priority="32"/>
  </conditionalFormatting>
  <conditionalFormatting sqref="F59">
    <cfRule type="duplicateValues" dxfId="44" priority="34"/>
    <cfRule type="duplicateValues" dxfId="43" priority="35"/>
    <cfRule type="duplicateValues" dxfId="42" priority="36"/>
    <cfRule type="duplicateValues" dxfId="41" priority="37"/>
  </conditionalFormatting>
  <conditionalFormatting sqref="F60:F64 F47:F54">
    <cfRule type="duplicateValues" dxfId="40" priority="70"/>
  </conditionalFormatting>
  <conditionalFormatting sqref="F60:F66 F47:F55">
    <cfRule type="duplicateValues" dxfId="39" priority="76"/>
    <cfRule type="duplicateValues" dxfId="38" priority="77"/>
  </conditionalFormatting>
  <conditionalFormatting sqref="F65:F66">
    <cfRule type="duplicateValues" dxfId="37" priority="58"/>
  </conditionalFormatting>
  <conditionalFormatting sqref="F67:F85 F1 F7:F38 F99:F1048576">
    <cfRule type="duplicateValues" dxfId="36" priority="2192"/>
  </conditionalFormatting>
  <conditionalFormatting sqref="F93:F98">
    <cfRule type="duplicateValues" dxfId="35" priority="239"/>
    <cfRule type="duplicateValues" dxfId="34" priority="240"/>
    <cfRule type="duplicateValues" dxfId="33" priority="241"/>
    <cfRule type="duplicateValues" dxfId="32" priority="242"/>
    <cfRule type="duplicateValues" dxfId="31" priority="243"/>
    <cfRule type="duplicateValues" dxfId="30" priority="244"/>
    <cfRule type="duplicateValues" dxfId="29" priority="245"/>
    <cfRule type="duplicateValues" dxfId="28" priority="246"/>
  </conditionalFormatting>
  <conditionalFormatting sqref="F99:F107">
    <cfRule type="duplicateValues" dxfId="27" priority="1886"/>
  </conditionalFormatting>
  <conditionalFormatting sqref="F109">
    <cfRule type="duplicateValues" dxfId="26" priority="1948"/>
  </conditionalFormatting>
  <conditionalFormatting sqref="F124:F141 F109">
    <cfRule type="duplicateValues" dxfId="25" priority="2037"/>
  </conditionalFormatting>
  <conditionalFormatting sqref="F124:F1048576 F109 F99:F107 F67:F85 F1 F7:F38">
    <cfRule type="duplicateValues" dxfId="24" priority="2198"/>
  </conditionalFormatting>
  <conditionalFormatting sqref="F133:F141 F109">
    <cfRule type="duplicateValues" dxfId="23" priority="361"/>
  </conditionalFormatting>
  <conditionalFormatting sqref="F133:F141">
    <cfRule type="duplicateValues" dxfId="22" priority="358"/>
  </conditionalFormatting>
  <conditionalFormatting sqref="F142">
    <cfRule type="duplicateValues" dxfId="21" priority="297"/>
  </conditionalFormatting>
  <conditionalFormatting sqref="F142:F1048576 F67 F12:F24">
    <cfRule type="duplicateValues" dxfId="20" priority="2209"/>
    <cfRule type="duplicateValues" dxfId="19" priority="2206"/>
    <cfRule type="duplicateValues" dxfId="18" priority="2207"/>
    <cfRule type="duplicateValues" dxfId="17" priority="2208"/>
  </conditionalFormatting>
  <conditionalFormatting sqref="X12:X38 X67:X142">
    <cfRule type="containsText" dxfId="16" priority="216" operator="containsText" text="null">
      <formula>NOT(ISERROR(SEARCH("null",X12)))</formula>
    </cfRule>
  </conditionalFormatting>
  <conditionalFormatting sqref="AA2:AA6">
    <cfRule type="cellIs" dxfId="15" priority="5" operator="equal">
      <formula>"null"</formula>
    </cfRule>
  </conditionalFormatting>
  <conditionalFormatting sqref="AA39:AA66">
    <cfRule type="cellIs" dxfId="14" priority="49" operator="equal">
      <formula>"null"</formula>
    </cfRule>
  </conditionalFormatting>
  <conditionalFormatting sqref="AA85:AA92">
    <cfRule type="duplicateValues" dxfId="13" priority="278"/>
    <cfRule type="duplicateValues" dxfId="12" priority="279"/>
    <cfRule type="duplicateValues" dxfId="11" priority="280"/>
    <cfRule type="duplicateValues" dxfId="10" priority="282"/>
    <cfRule type="duplicateValues" dxfId="9" priority="283"/>
    <cfRule type="duplicateValues" dxfId="8" priority="281"/>
  </conditionalFormatting>
  <conditionalFormatting sqref="AA93:AA98">
    <cfRule type="cellIs" dxfId="7" priority="238" operator="equal">
      <formula>"null"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U3"/>
  <sheetViews>
    <sheetView zoomScale="180" zoomScaleNormal="180" workbookViewId="0">
      <selection activeCell="B6" sqref="B6"/>
    </sheetView>
  </sheetViews>
  <sheetFormatPr defaultColWidth="11.15234375" defaultRowHeight="7.75" x14ac:dyDescent="0.2"/>
  <cols>
    <col min="1" max="1" width="2.84375" style="10" customWidth="1"/>
    <col min="2" max="10" width="6.53515625" style="11" customWidth="1"/>
    <col min="11" max="21" width="6.53515625" style="9" customWidth="1"/>
    <col min="22" max="16384" width="11.15234375" style="9"/>
  </cols>
  <sheetData>
    <row r="1" spans="1:21" s="4" customFormat="1" x14ac:dyDescent="0.2">
      <c r="A1" s="2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  <c r="N1" s="3" t="s">
        <v>24</v>
      </c>
      <c r="O1" s="3" t="s">
        <v>25</v>
      </c>
      <c r="P1" s="3" t="s">
        <v>26</v>
      </c>
      <c r="Q1" s="3" t="s">
        <v>27</v>
      </c>
      <c r="R1" s="3" t="s">
        <v>28</v>
      </c>
      <c r="S1" s="3" t="s">
        <v>29</v>
      </c>
      <c r="T1" s="3" t="s">
        <v>30</v>
      </c>
      <c r="U1" s="5" t="s">
        <v>31</v>
      </c>
    </row>
    <row r="2" spans="1:21" s="4" customFormat="1" ht="10.5" customHeight="1" x14ac:dyDescent="0.2">
      <c r="A2" s="6">
        <v>2</v>
      </c>
      <c r="B2" s="7" t="s">
        <v>9</v>
      </c>
      <c r="C2" s="7" t="s">
        <v>9</v>
      </c>
      <c r="D2" s="7" t="s">
        <v>9</v>
      </c>
      <c r="E2" s="7" t="s">
        <v>9</v>
      </c>
      <c r="F2" s="7" t="s">
        <v>9</v>
      </c>
      <c r="G2" s="7" t="s">
        <v>9</v>
      </c>
      <c r="H2" s="7" t="s">
        <v>9</v>
      </c>
      <c r="I2" s="7" t="s">
        <v>9</v>
      </c>
      <c r="J2" s="7" t="s">
        <v>9</v>
      </c>
      <c r="K2" s="7" t="s">
        <v>9</v>
      </c>
      <c r="L2" s="7" t="s">
        <v>9</v>
      </c>
      <c r="M2" s="7" t="s">
        <v>9</v>
      </c>
      <c r="N2" s="7" t="s">
        <v>9</v>
      </c>
      <c r="O2" s="7" t="s">
        <v>9</v>
      </c>
      <c r="P2" s="7" t="s">
        <v>9</v>
      </c>
      <c r="Q2" s="7" t="s">
        <v>9</v>
      </c>
      <c r="R2" s="7" t="s">
        <v>9</v>
      </c>
      <c r="S2" s="7" t="s">
        <v>9</v>
      </c>
      <c r="T2" s="7" t="s">
        <v>9</v>
      </c>
      <c r="U2" s="7" t="s">
        <v>9</v>
      </c>
    </row>
    <row r="3" spans="1:21" ht="10.5" customHeight="1" x14ac:dyDescent="0.2">
      <c r="A3" s="6">
        <v>3</v>
      </c>
      <c r="B3" s="7" t="s">
        <v>9</v>
      </c>
      <c r="C3" s="7" t="s">
        <v>9</v>
      </c>
      <c r="D3" s="7" t="s">
        <v>9</v>
      </c>
      <c r="E3" s="7" t="s">
        <v>9</v>
      </c>
      <c r="F3" s="7" t="s">
        <v>9</v>
      </c>
      <c r="G3" s="7" t="s">
        <v>9</v>
      </c>
      <c r="H3" s="7" t="s">
        <v>9</v>
      </c>
      <c r="I3" s="7" t="s">
        <v>9</v>
      </c>
      <c r="J3" s="7" t="s">
        <v>9</v>
      </c>
      <c r="K3" s="7" t="s">
        <v>9</v>
      </c>
      <c r="L3" s="7" t="s">
        <v>9</v>
      </c>
      <c r="M3" s="7" t="s">
        <v>9</v>
      </c>
      <c r="N3" s="7" t="s">
        <v>9</v>
      </c>
      <c r="O3" s="7" t="s">
        <v>9</v>
      </c>
      <c r="P3" s="7" t="s">
        <v>9</v>
      </c>
      <c r="Q3" s="7" t="s">
        <v>9</v>
      </c>
      <c r="R3" s="7" t="s">
        <v>9</v>
      </c>
      <c r="S3" s="7" t="s">
        <v>9</v>
      </c>
      <c r="T3" s="7" t="s">
        <v>9</v>
      </c>
      <c r="U3" s="8" t="s">
        <v>9</v>
      </c>
    </row>
  </sheetData>
  <conditionalFormatting sqref="A1:XFD1048576">
    <cfRule type="cellIs" dxfId="6" priority="2" operator="equal">
      <formula>"null"</formula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B0525-EDFB-44CB-9009-6752AEDD7340}">
  <sheetPr codeName="Planilha4"/>
  <dimension ref="A1:S11"/>
  <sheetViews>
    <sheetView zoomScale="235" zoomScaleNormal="235" workbookViewId="0">
      <selection sqref="A1:A1048576"/>
    </sheetView>
  </sheetViews>
  <sheetFormatPr defaultColWidth="11.53515625" defaultRowHeight="7.5" customHeight="1" x14ac:dyDescent="0.4"/>
  <cols>
    <col min="1" max="1" width="2.53515625" bestFit="1" customWidth="1"/>
    <col min="2" max="2" width="9.3046875" bestFit="1" customWidth="1"/>
    <col min="3" max="3" width="12.3828125" bestFit="1" customWidth="1"/>
    <col min="4" max="4" width="7.3828125" customWidth="1"/>
    <col min="5" max="5" width="7.15234375" customWidth="1"/>
    <col min="6" max="6" width="5.3046875" customWidth="1"/>
    <col min="7" max="7" width="32.53515625" bestFit="1" customWidth="1"/>
    <col min="8" max="8" width="7.3046875" customWidth="1"/>
    <col min="9" max="9" width="9.3828125" customWidth="1"/>
    <col min="10" max="10" width="4.3828125" customWidth="1"/>
    <col min="11" max="11" width="8.53515625" customWidth="1"/>
    <col min="12" max="12" width="3.53515625" customWidth="1"/>
    <col min="13" max="13" width="4.53515625" customWidth="1"/>
    <col min="14" max="14" width="6.3828125" customWidth="1"/>
    <col min="15" max="15" width="6.3046875" customWidth="1"/>
    <col min="16" max="16" width="4.69140625" customWidth="1"/>
    <col min="17" max="17" width="1.84375" bestFit="1" customWidth="1"/>
    <col min="18" max="18" width="6.69140625" customWidth="1"/>
    <col min="19" max="19" width="1.84375" bestFit="1" customWidth="1"/>
  </cols>
  <sheetData>
    <row r="1" spans="1:19" ht="17.25" customHeight="1" x14ac:dyDescent="0.4">
      <c r="A1" s="18" t="s">
        <v>10</v>
      </c>
      <c r="B1" s="19" t="s">
        <v>72</v>
      </c>
      <c r="C1" s="19" t="s">
        <v>73</v>
      </c>
      <c r="D1" s="20" t="s">
        <v>74</v>
      </c>
      <c r="E1" s="20" t="s">
        <v>77</v>
      </c>
      <c r="F1" s="20" t="s">
        <v>74</v>
      </c>
      <c r="G1" s="20" t="s">
        <v>77</v>
      </c>
      <c r="H1" s="50" t="s">
        <v>75</v>
      </c>
      <c r="I1" s="20" t="s">
        <v>77</v>
      </c>
      <c r="J1" s="20" t="s">
        <v>74</v>
      </c>
      <c r="K1" s="20" t="s">
        <v>77</v>
      </c>
      <c r="L1" s="20" t="s">
        <v>74</v>
      </c>
      <c r="M1" s="20" t="s">
        <v>77</v>
      </c>
      <c r="N1" s="20" t="s">
        <v>74</v>
      </c>
      <c r="O1" s="20" t="s">
        <v>77</v>
      </c>
      <c r="P1" s="20" t="s">
        <v>74</v>
      </c>
      <c r="Q1" s="20" t="s">
        <v>77</v>
      </c>
      <c r="R1" s="20" t="s">
        <v>74</v>
      </c>
      <c r="S1" s="20" t="s">
        <v>77</v>
      </c>
    </row>
    <row r="2" spans="1:19" ht="7.5" customHeight="1" x14ac:dyDescent="0.4">
      <c r="A2" s="21">
        <v>1</v>
      </c>
      <c r="B2" s="22" t="s">
        <v>98</v>
      </c>
      <c r="C2" s="55" t="s">
        <v>82</v>
      </c>
      <c r="D2" s="52" t="s">
        <v>9</v>
      </c>
      <c r="E2" s="53" t="s">
        <v>9</v>
      </c>
      <c r="F2" s="23" t="s">
        <v>76</v>
      </c>
      <c r="G2" s="24" t="s">
        <v>99</v>
      </c>
      <c r="H2" s="51" t="s">
        <v>9</v>
      </c>
      <c r="I2" s="25" t="s">
        <v>9</v>
      </c>
      <c r="J2" s="51" t="s">
        <v>9</v>
      </c>
      <c r="K2" s="25" t="s">
        <v>9</v>
      </c>
      <c r="L2" s="51" t="s">
        <v>9</v>
      </c>
      <c r="M2" s="25" t="s">
        <v>9</v>
      </c>
      <c r="N2" s="51" t="s">
        <v>9</v>
      </c>
      <c r="O2" s="25" t="s">
        <v>9</v>
      </c>
      <c r="P2" s="51" t="s">
        <v>9</v>
      </c>
      <c r="Q2" s="25" t="s">
        <v>9</v>
      </c>
      <c r="R2" s="51" t="s">
        <v>9</v>
      </c>
      <c r="S2" s="25" t="s">
        <v>9</v>
      </c>
    </row>
    <row r="3" spans="1:19" ht="7.5" customHeight="1" x14ac:dyDescent="0.4">
      <c r="A3" s="21">
        <v>2</v>
      </c>
      <c r="B3" s="22" t="s">
        <v>700</v>
      </c>
      <c r="C3" s="44" t="s">
        <v>703</v>
      </c>
      <c r="D3" s="52" t="s">
        <v>81</v>
      </c>
      <c r="E3" s="56" t="s">
        <v>98</v>
      </c>
      <c r="F3" s="23" t="s">
        <v>76</v>
      </c>
      <c r="G3" s="24" t="s">
        <v>504</v>
      </c>
      <c r="H3" s="51" t="s">
        <v>76</v>
      </c>
      <c r="I3" s="25" t="s">
        <v>506</v>
      </c>
      <c r="J3" s="51" t="s">
        <v>9</v>
      </c>
      <c r="K3" s="25" t="s">
        <v>9</v>
      </c>
      <c r="L3" s="51" t="s">
        <v>9</v>
      </c>
      <c r="M3" s="25" t="s">
        <v>9</v>
      </c>
      <c r="N3" s="51" t="s">
        <v>9</v>
      </c>
      <c r="O3" s="25" t="s">
        <v>9</v>
      </c>
      <c r="P3" s="51" t="s">
        <v>9</v>
      </c>
      <c r="Q3" s="25" t="s">
        <v>9</v>
      </c>
      <c r="R3" s="51" t="s">
        <v>9</v>
      </c>
      <c r="S3" s="25" t="s">
        <v>9</v>
      </c>
    </row>
    <row r="4" spans="1:19" ht="7.5" customHeight="1" x14ac:dyDescent="0.4">
      <c r="A4" s="21">
        <v>3</v>
      </c>
      <c r="B4" s="49" t="s">
        <v>495</v>
      </c>
      <c r="C4" s="57" t="s">
        <v>503</v>
      </c>
      <c r="D4" s="52" t="s">
        <v>112</v>
      </c>
      <c r="E4" s="36" t="s">
        <v>700</v>
      </c>
      <c r="F4" s="23" t="s">
        <v>76</v>
      </c>
      <c r="G4" s="24" t="s">
        <v>505</v>
      </c>
      <c r="H4" s="51" t="s">
        <v>741</v>
      </c>
      <c r="I4" s="25" t="s">
        <v>509</v>
      </c>
      <c r="J4" s="51" t="s">
        <v>113</v>
      </c>
      <c r="K4" s="25" t="s">
        <v>510</v>
      </c>
      <c r="L4" s="51" t="s">
        <v>9</v>
      </c>
      <c r="M4" s="25" t="s">
        <v>9</v>
      </c>
      <c r="N4" s="51" t="s">
        <v>100</v>
      </c>
      <c r="O4" s="25" t="s">
        <v>508</v>
      </c>
      <c r="P4" s="51" t="s">
        <v>101</v>
      </c>
      <c r="Q4" s="25" t="s">
        <v>507</v>
      </c>
      <c r="R4" s="51" t="s">
        <v>102</v>
      </c>
      <c r="S4" s="25" t="s">
        <v>507</v>
      </c>
    </row>
    <row r="5" spans="1:19" ht="7.5" customHeight="1" x14ac:dyDescent="0.4">
      <c r="A5" s="21">
        <v>4</v>
      </c>
      <c r="B5" s="49" t="s">
        <v>496</v>
      </c>
      <c r="C5" s="57" t="s">
        <v>503</v>
      </c>
      <c r="D5" s="52" t="s">
        <v>112</v>
      </c>
      <c r="E5" s="36" t="s">
        <v>700</v>
      </c>
      <c r="F5" s="23" t="s">
        <v>76</v>
      </c>
      <c r="G5" s="24" t="s">
        <v>505</v>
      </c>
      <c r="H5" s="51" t="s">
        <v>741</v>
      </c>
      <c r="I5" s="25" t="s">
        <v>509</v>
      </c>
      <c r="J5" s="51" t="s">
        <v>113</v>
      </c>
      <c r="K5" s="25" t="s">
        <v>510</v>
      </c>
      <c r="L5" s="51" t="s">
        <v>9</v>
      </c>
      <c r="M5" s="25" t="s">
        <v>9</v>
      </c>
      <c r="N5" s="51" t="s">
        <v>100</v>
      </c>
      <c r="O5" s="25" t="s">
        <v>508</v>
      </c>
      <c r="P5" s="51" t="s">
        <v>101</v>
      </c>
      <c r="Q5" s="25" t="s">
        <v>507</v>
      </c>
      <c r="R5" s="51" t="s">
        <v>102</v>
      </c>
      <c r="S5" s="25" t="s">
        <v>507</v>
      </c>
    </row>
    <row r="6" spans="1:19" ht="7.5" customHeight="1" x14ac:dyDescent="0.4">
      <c r="A6" s="21">
        <v>5</v>
      </c>
      <c r="B6" s="49" t="s">
        <v>497</v>
      </c>
      <c r="C6" s="57" t="s">
        <v>503</v>
      </c>
      <c r="D6" s="52" t="s">
        <v>112</v>
      </c>
      <c r="E6" s="36" t="s">
        <v>700</v>
      </c>
      <c r="F6" s="23" t="s">
        <v>76</v>
      </c>
      <c r="G6" s="24" t="s">
        <v>505</v>
      </c>
      <c r="H6" s="51" t="s">
        <v>741</v>
      </c>
      <c r="I6" s="25" t="s">
        <v>509</v>
      </c>
      <c r="J6" s="51" t="s">
        <v>113</v>
      </c>
      <c r="K6" s="25" t="s">
        <v>510</v>
      </c>
      <c r="L6" s="51" t="s">
        <v>9</v>
      </c>
      <c r="M6" s="25" t="s">
        <v>9</v>
      </c>
      <c r="N6" s="51" t="s">
        <v>100</v>
      </c>
      <c r="O6" s="25" t="s">
        <v>508</v>
      </c>
      <c r="P6" s="51" t="s">
        <v>101</v>
      </c>
      <c r="Q6" s="25" t="s">
        <v>507</v>
      </c>
      <c r="R6" s="51" t="s">
        <v>102</v>
      </c>
      <c r="S6" s="25" t="s">
        <v>507</v>
      </c>
    </row>
    <row r="7" spans="1:19" ht="7.5" customHeight="1" x14ac:dyDescent="0.4">
      <c r="A7" s="21">
        <v>6</v>
      </c>
      <c r="B7" s="49" t="s">
        <v>498</v>
      </c>
      <c r="C7" s="57" t="s">
        <v>503</v>
      </c>
      <c r="D7" s="52" t="s">
        <v>112</v>
      </c>
      <c r="E7" s="36" t="s">
        <v>700</v>
      </c>
      <c r="F7" s="23" t="s">
        <v>76</v>
      </c>
      <c r="G7" s="24" t="s">
        <v>505</v>
      </c>
      <c r="H7" s="51" t="s">
        <v>741</v>
      </c>
      <c r="I7" s="25" t="s">
        <v>509</v>
      </c>
      <c r="J7" s="51" t="s">
        <v>113</v>
      </c>
      <c r="K7" s="25" t="s">
        <v>510</v>
      </c>
      <c r="L7" s="51" t="s">
        <v>9</v>
      </c>
      <c r="M7" s="25" t="s">
        <v>9</v>
      </c>
      <c r="N7" s="51" t="s">
        <v>100</v>
      </c>
      <c r="O7" s="25" t="s">
        <v>508</v>
      </c>
      <c r="P7" s="51" t="s">
        <v>101</v>
      </c>
      <c r="Q7" s="25" t="s">
        <v>507</v>
      </c>
      <c r="R7" s="51" t="s">
        <v>102</v>
      </c>
      <c r="S7" s="25" t="s">
        <v>507</v>
      </c>
    </row>
    <row r="8" spans="1:19" ht="7.5" customHeight="1" x14ac:dyDescent="0.4">
      <c r="A8" s="21">
        <v>7</v>
      </c>
      <c r="B8" s="49" t="s">
        <v>499</v>
      </c>
      <c r="C8" s="57" t="s">
        <v>503</v>
      </c>
      <c r="D8" s="52" t="s">
        <v>112</v>
      </c>
      <c r="E8" s="36" t="s">
        <v>700</v>
      </c>
      <c r="F8" s="23" t="s">
        <v>76</v>
      </c>
      <c r="G8" s="24" t="s">
        <v>505</v>
      </c>
      <c r="H8" s="51" t="s">
        <v>741</v>
      </c>
      <c r="I8" s="25" t="s">
        <v>509</v>
      </c>
      <c r="J8" s="51" t="s">
        <v>113</v>
      </c>
      <c r="K8" s="25" t="s">
        <v>510</v>
      </c>
      <c r="L8" s="51" t="s">
        <v>9</v>
      </c>
      <c r="M8" s="25" t="s">
        <v>9</v>
      </c>
      <c r="N8" s="51" t="s">
        <v>100</v>
      </c>
      <c r="O8" s="25" t="s">
        <v>508</v>
      </c>
      <c r="P8" s="51" t="s">
        <v>101</v>
      </c>
      <c r="Q8" s="25" t="s">
        <v>507</v>
      </c>
      <c r="R8" s="51" t="s">
        <v>102</v>
      </c>
      <c r="S8" s="25" t="s">
        <v>507</v>
      </c>
    </row>
    <row r="9" spans="1:19" ht="7.5" customHeight="1" x14ac:dyDescent="0.4">
      <c r="A9" s="21">
        <v>8</v>
      </c>
      <c r="B9" s="49" t="s">
        <v>500</v>
      </c>
      <c r="C9" s="57" t="s">
        <v>503</v>
      </c>
      <c r="D9" s="52" t="s">
        <v>112</v>
      </c>
      <c r="E9" s="36" t="s">
        <v>700</v>
      </c>
      <c r="F9" s="23" t="s">
        <v>76</v>
      </c>
      <c r="G9" s="24" t="s">
        <v>505</v>
      </c>
      <c r="H9" s="51" t="s">
        <v>741</v>
      </c>
      <c r="I9" s="25" t="s">
        <v>509</v>
      </c>
      <c r="J9" s="51" t="s">
        <v>113</v>
      </c>
      <c r="K9" s="25" t="s">
        <v>510</v>
      </c>
      <c r="L9" s="51" t="s">
        <v>9</v>
      </c>
      <c r="M9" s="25" t="s">
        <v>9</v>
      </c>
      <c r="N9" s="51" t="s">
        <v>100</v>
      </c>
      <c r="O9" s="25" t="s">
        <v>508</v>
      </c>
      <c r="P9" s="51" t="s">
        <v>101</v>
      </c>
      <c r="Q9" s="25" t="s">
        <v>507</v>
      </c>
      <c r="R9" s="51" t="s">
        <v>102</v>
      </c>
      <c r="S9" s="25" t="s">
        <v>507</v>
      </c>
    </row>
    <row r="10" spans="1:19" ht="7.5" customHeight="1" x14ac:dyDescent="0.4">
      <c r="A10" s="21">
        <v>9</v>
      </c>
      <c r="B10" s="49" t="s">
        <v>501</v>
      </c>
      <c r="C10" s="57" t="s">
        <v>503</v>
      </c>
      <c r="D10" s="52" t="s">
        <v>112</v>
      </c>
      <c r="E10" s="36" t="s">
        <v>700</v>
      </c>
      <c r="F10" s="23" t="s">
        <v>76</v>
      </c>
      <c r="G10" s="24" t="s">
        <v>505</v>
      </c>
      <c r="H10" s="51" t="s">
        <v>741</v>
      </c>
      <c r="I10" s="25" t="s">
        <v>509</v>
      </c>
      <c r="J10" s="51" t="s">
        <v>113</v>
      </c>
      <c r="K10" s="25" t="s">
        <v>510</v>
      </c>
      <c r="L10" s="51" t="s">
        <v>9</v>
      </c>
      <c r="M10" s="25" t="s">
        <v>9</v>
      </c>
      <c r="N10" s="51" t="s">
        <v>100</v>
      </c>
      <c r="O10" s="25" t="s">
        <v>508</v>
      </c>
      <c r="P10" s="51" t="s">
        <v>101</v>
      </c>
      <c r="Q10" s="25" t="s">
        <v>507</v>
      </c>
      <c r="R10" s="51" t="s">
        <v>102</v>
      </c>
      <c r="S10" s="25" t="s">
        <v>507</v>
      </c>
    </row>
    <row r="11" spans="1:19" ht="7.5" customHeight="1" x14ac:dyDescent="0.4">
      <c r="A11" s="21">
        <v>10</v>
      </c>
      <c r="B11" s="49" t="s">
        <v>502</v>
      </c>
      <c r="C11" s="57" t="s">
        <v>503</v>
      </c>
      <c r="D11" s="52" t="s">
        <v>112</v>
      </c>
      <c r="E11" s="36" t="s">
        <v>700</v>
      </c>
      <c r="F11" s="23" t="s">
        <v>76</v>
      </c>
      <c r="G11" s="24" t="s">
        <v>505</v>
      </c>
      <c r="H11" s="51" t="s">
        <v>741</v>
      </c>
      <c r="I11" s="25" t="s">
        <v>509</v>
      </c>
      <c r="J11" s="51" t="s">
        <v>113</v>
      </c>
      <c r="K11" s="25" t="s">
        <v>510</v>
      </c>
      <c r="L11" s="51" t="s">
        <v>9</v>
      </c>
      <c r="M11" s="25" t="s">
        <v>9</v>
      </c>
      <c r="N11" s="51" t="s">
        <v>100</v>
      </c>
      <c r="O11" s="25" t="s">
        <v>508</v>
      </c>
      <c r="P11" s="51" t="s">
        <v>101</v>
      </c>
      <c r="Q11" s="25" t="s">
        <v>507</v>
      </c>
      <c r="R11" s="51" t="s">
        <v>102</v>
      </c>
      <c r="S11" s="25" t="s">
        <v>507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E5EC8-1387-4A67-960C-C64BD1326958}">
  <sheetPr codeName="Planilha5"/>
  <dimension ref="A1:G2"/>
  <sheetViews>
    <sheetView zoomScale="280" zoomScaleNormal="280" workbookViewId="0">
      <pane ySplit="1" topLeftCell="A2" activePane="bottomLeft" state="frozen"/>
      <selection activeCell="B1" sqref="B1"/>
      <selection pane="bottomLeft" activeCell="E7" sqref="E7"/>
    </sheetView>
  </sheetViews>
  <sheetFormatPr defaultColWidth="9.15234375" defaultRowHeight="8.25" customHeight="1" x14ac:dyDescent="0.4"/>
  <cols>
    <col min="1" max="1" width="2.15234375" style="27" customWidth="1"/>
    <col min="2" max="2" width="5.84375" style="26" bestFit="1" customWidth="1"/>
    <col min="3" max="3" width="11.3046875" style="26" bestFit="1" customWidth="1"/>
    <col min="4" max="7" width="10.84375" style="26" bestFit="1" customWidth="1"/>
  </cols>
  <sheetData>
    <row r="1" spans="1:7" ht="33" customHeight="1" x14ac:dyDescent="0.4">
      <c r="A1" s="32">
        <v>0</v>
      </c>
      <c r="B1" s="28" t="s">
        <v>78</v>
      </c>
      <c r="C1" s="29" t="s">
        <v>79</v>
      </c>
      <c r="D1" s="29" t="s">
        <v>80</v>
      </c>
      <c r="E1" s="29" t="s">
        <v>80</v>
      </c>
      <c r="F1" s="29" t="s">
        <v>80</v>
      </c>
      <c r="G1" s="29" t="s">
        <v>80</v>
      </c>
    </row>
    <row r="2" spans="1:7" ht="8.25" customHeight="1" x14ac:dyDescent="0.4">
      <c r="A2" s="33">
        <v>2</v>
      </c>
      <c r="B2" s="31" t="s">
        <v>9</v>
      </c>
      <c r="C2" s="31" t="s">
        <v>9</v>
      </c>
      <c r="D2" s="31" t="s">
        <v>9</v>
      </c>
      <c r="E2" s="31" t="s">
        <v>9</v>
      </c>
      <c r="F2" s="31" t="s">
        <v>9</v>
      </c>
      <c r="G2" s="31" t="s">
        <v>9</v>
      </c>
    </row>
  </sheetData>
  <sortState xmlns:xlrd2="http://schemas.microsoft.com/office/spreadsheetml/2017/richdata2" ref="A2:G2">
    <sortCondition ref="A1:A2"/>
  </sortState>
  <phoneticPr fontId="1" type="noConversion"/>
  <conditionalFormatting sqref="A1:G1 B3:G1048576">
    <cfRule type="containsText" dxfId="5" priority="5" operator="containsText" text="null">
      <formula>NOT(ISERROR(SEARCH("null",A1)))</formula>
    </cfRule>
  </conditionalFormatting>
  <conditionalFormatting sqref="B2">
    <cfRule type="duplicateValues" dxfId="4" priority="1449"/>
    <cfRule type="duplicateValues" dxfId="3" priority="1450"/>
  </conditionalFormatting>
  <conditionalFormatting sqref="B3:B1048576 A1:B1">
    <cfRule type="duplicateValues" dxfId="2" priority="6"/>
  </conditionalFormatting>
  <conditionalFormatting sqref="B3:B1048576 B1">
    <cfRule type="duplicateValues" dxfId="1" priority="4"/>
  </conditionalFormatting>
  <conditionalFormatting sqref="B2:G2">
    <cfRule type="containsText" dxfId="0" priority="2" operator="containsText" text="null">
      <formula>NOT(ISERROR(SEARCH("null",B2)))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411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Projeto</vt:lpstr>
      <vt:lpstr>Classes</vt:lpstr>
      <vt:lpstr>Disjunt</vt:lpstr>
      <vt:lpstr>FatosIn</vt:lpstr>
      <vt:lpstr>Interop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José Luis Menegotto</dc:creator>
  <dc:description/>
  <cp:lastModifiedBy>José Luis Menegotto</cp:lastModifiedBy>
  <cp:revision>26</cp:revision>
  <dcterms:created xsi:type="dcterms:W3CDTF">2024-12-02T13:09:25Z</dcterms:created>
  <dcterms:modified xsi:type="dcterms:W3CDTF">2026-08-09T15:29:12Z</dcterms:modified>
  <dc:language>pt-BR</dc:language>
</cp:coreProperties>
</file>