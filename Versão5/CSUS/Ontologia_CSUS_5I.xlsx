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1DDA2B94-E467-48F9-8AC2-3827F95CBC94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24" l="1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<sst xmlns="http://schemas.openxmlformats.org/spreadsheetml/2006/main" count="582" uniqueCount="188">
  <si>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</si>
  <si>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</si>
  <si>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</si>
  <si>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</si>
  <si>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</si>
  <si>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</si>
  <si>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</si>
  <si>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</si>
  <si>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</si>
  <si>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</si>
  <si>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</si>
  <si>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</si>
  <si>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</si>
  <si>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</si>
  <si>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</si>
  <si>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</si>
  <si>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</si>
  <si>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</si>
  <si>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</si>
  <si>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</si>
  <si>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</si>
  <si>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</si>
  <si>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</si>
  <si>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</si>
  <si>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</si>
  <si>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</si>
  <si>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</si>
  <si>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</si>
  <si>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</si>
  <si>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</si>
  <si>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</si>
  <si>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</si>
  <si>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</si>
  <si>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</si>
  <si>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</si>
  <si>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</si>
  <si>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</si>
  <si>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</si>
  <si>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</si>
  <si>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</si>
  <si>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</si>
  <si>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</si>
  <si>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</si>
  <si>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</si>
  <si>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</si>
  <si>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</si>
  <si>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</si>
  <si>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</si>
  <si>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</si>
  <si>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</si>
  <si>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</si>
  <si>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</si>
  <si>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</si>
  <si>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</si>
  <si>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</si>
  <si>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</si>
  <si>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</si>
  <si>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</si>
  <si>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</si>
  <si>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</si>
  <si>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</si>
  <si>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</si>
  <si>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</si>
  <si>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</si>
  <si>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</si>
  <si>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</si>
  <si>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</si>
  <si>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</si>
  <si>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</si>
  <si>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</si>
  <si>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</si>
  <si>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</si>
  <si>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</si>
  <si>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</si>
  <si>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</si>
  <si>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</si>
  <si>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</si>
  <si>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</si>
  <si>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</si>
  <si>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</si>
  <si>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</si>
  <si>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</si>
  <si>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</si>
  <si>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</si>
  <si>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</si>
  <si>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</si>
  <si>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</si>
  <si>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</si>
  <si>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</si>
  <si>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</si>
  <si>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</si>
  <si>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</si>
  <si>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</si>
  <si>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</si>
  <si>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</si>
  <si>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</si>
  <si>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</si>
  <si>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</si>
  <si>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</si>
  <si>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</si>
  <si>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</si>
  <si>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</si>
  <si>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</si>
  <si>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</si>
  <si>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</si>
  <si>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</si>
  <si>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</si>
  <si>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</si>
  <si>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</si>
  <si>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</si>
  <si>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</si>
  <si>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</si>
  <si>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</si>
  <si>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</si>
  <si>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</si>
  <si>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</si>
  <si>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</si>
  <si>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</si>
  <si>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</si>
  <si>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</si>
  <si>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</si>
  <si>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</si>
  <si>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</si>
  <si>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</si>
  <si>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</si>
  <si>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</si>
  <si>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</si>
  <si>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</si>
  <si>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</si>
  <si>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</si>
  <si>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</si>
  <si>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</si>
  <si>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</si>
  <si>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</si>
  <si>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</si>
  <si>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</si>
  <si>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</si>
  <si>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</si>
  <si>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</si>
  <si>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</si>
  <si>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</si>
  <si>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</si>
  <si>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</si>
  <si>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</si>
  <si>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</si>
  <si>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</si>
  <si>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Equipamentos médicos usados nos hospitais do Sistema Único de Saúde do Brasil.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</si>
  <si>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</si>
  <si>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</si>
  <si>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</si>
  <si>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</si>
  <si>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</si>
  <si>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</si>
  <si>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</si>
  <si>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</si>
  <si>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</si>
  <si>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</si>
  <si>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</si>
  <si>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</si>
  <si>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</si>
  <si>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</si>
  <si>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</si>
  <si>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</si>
  <si>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</si>
  <si>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</si>
  <si>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</si>
  <si>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</si>
  <si>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</si>
  <si>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</si>
  <si>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</si>
  <si>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</si>
  <si>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Equipo médico utilizados en hospitales del Sistema Único de Salud de Brasil.</t>
  </si>
  <si>
    <t>OST_MedicalEquipment</t>
  </si>
  <si>
    <t>Dispositivo médico utilizados en hospitales del Sistema Único de Salud Brasileño.</t>
  </si>
  <si>
    <t>OST_MedicalEquipment, OST_NurseCallDevices</t>
  </si>
  <si>
    <t>SUS.Instrumento</t>
  </si>
  <si>
    <t>Instrumento médico usados nos hospitais do Sistema Único de Saúde do Brasil.</t>
  </si>
  <si>
    <t>Instrumento médico utilizados en hospitales del Sistema Único de Salud Brasileño.</t>
  </si>
  <si>
    <t>SUS.Mobília.de.Saúde</t>
  </si>
  <si>
    <t>OST_Furniture</t>
  </si>
  <si>
    <t>IfcFurniture</t>
  </si>
  <si>
    <t>SUS.Hoteleria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</si>
  <si>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</si>
  <si>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</si>
  <si>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</si>
  <si>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</si>
  <si>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</si>
  <si>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SUS.Roupa.de.Cama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</si>
</sst>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</cellXfs>
  <cellStyles count="1">
    <cellStyle name="Normal" xfId="0" builtinId="0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47</v>
      </c>
      <c r="B1" s="13" t="s">
        <v>48</v>
      </c>
    </row>
    <row r="2" spans="1:2" ht="9.75" customHeight="1" x14ac:dyDescent="0.35">
      <c r="A2" s="15" t="s">
        <v>49</v>
      </c>
      <c r="B2" s="15" t="s">
        <v>107</v>
      </c>
    </row>
    <row r="3" spans="1:2" ht="9.75" customHeight="1" x14ac:dyDescent="0.35">
      <c r="A3" s="15" t="s">
        <v>50</v>
      </c>
      <c r="B3" s="16" t="s">
        <v>80</v>
      </c>
    </row>
    <row r="4" spans="1:2" ht="9.75" customHeight="1" x14ac:dyDescent="0.35">
      <c r="A4" s="15" t="s">
        <v>51</v>
      </c>
      <c r="B4" s="15" t="s">
        <v>25</v>
      </c>
    </row>
    <row r="5" spans="1:2" ht="9.75" customHeight="1" x14ac:dyDescent="0.35">
      <c r="A5" s="15" t="s">
        <v>52</v>
      </c>
      <c r="B5" s="15" t="str">
        <f>_xlfn.CONCAT(B4,"Prop")</f>
        <v>BIMProp</v>
      </c>
    </row>
    <row r="6" spans="1:2" ht="9.75" customHeight="1" x14ac:dyDescent="0.35">
      <c r="A6" s="15" t="s">
        <v>53</v>
      </c>
      <c r="B6" s="15" t="str">
        <f>_xlfn.CONCAT(B4,"Data")</f>
        <v>BIMData</v>
      </c>
    </row>
    <row r="7" spans="1:2" ht="9.75" customHeight="1" x14ac:dyDescent="0.35">
      <c r="A7" s="15" t="s">
        <v>54</v>
      </c>
      <c r="B7" s="15" t="s">
        <v>55</v>
      </c>
    </row>
    <row r="8" spans="1:2" ht="9.75" customHeight="1" x14ac:dyDescent="0.35">
      <c r="A8" s="15" t="s">
        <v>56</v>
      </c>
      <c r="B8" s="15" t="s">
        <v>57</v>
      </c>
    </row>
    <row r="9" spans="1:2" ht="9.75" customHeight="1" x14ac:dyDescent="0.35">
      <c r="A9" s="15" t="s">
        <v>58</v>
      </c>
      <c r="B9" s="15" t="s">
        <v>59</v>
      </c>
    </row>
    <row r="10" spans="1:2" ht="9.75" customHeight="1" x14ac:dyDescent="0.35">
      <c r="A10" s="15" t="s">
        <v>60</v>
      </c>
      <c r="B10" s="15" t="s">
        <v>61</v>
      </c>
    </row>
    <row r="11" spans="1:2" ht="9.75" customHeight="1" x14ac:dyDescent="0.35">
      <c r="A11" s="15" t="s">
        <v>62</v>
      </c>
      <c r="B11" s="15" t="s">
        <v>61</v>
      </c>
    </row>
    <row r="12" spans="1:2" ht="9.75" customHeight="1" x14ac:dyDescent="0.35">
      <c r="A12" s="15" t="s">
        <v>63</v>
      </c>
      <c r="B12" s="15" t="s">
        <v>61</v>
      </c>
    </row>
    <row r="13" spans="1:2" ht="9.75" customHeight="1" x14ac:dyDescent="0.35">
      <c r="A13" s="15" t="s">
        <v>64</v>
      </c>
      <c r="B13" s="17" t="s">
        <v>85</v>
      </c>
    </row>
    <row r="14" spans="1:2" ht="9.75" customHeight="1" x14ac:dyDescent="0.35">
      <c r="A14" s="15" t="s">
        <v>65</v>
      </c>
      <c r="B14" s="15" t="s">
        <v>61</v>
      </c>
    </row>
    <row r="15" spans="1:2" ht="9.75" customHeight="1" x14ac:dyDescent="0.35">
      <c r="A15" s="15" t="s">
        <v>66</v>
      </c>
      <c r="B15" s="15" t="s">
        <v>61</v>
      </c>
    </row>
    <row r="16" spans="1:2" ht="9.75" customHeight="1" x14ac:dyDescent="0.35">
      <c r="A16" s="15" t="s">
        <v>67</v>
      </c>
      <c r="B16" s="15" t="s">
        <v>61</v>
      </c>
    </row>
    <row r="17" spans="1:2" ht="9.75" customHeight="1" x14ac:dyDescent="0.35">
      <c r="A17" s="15" t="s">
        <v>68</v>
      </c>
      <c r="B17" s="16" t="s">
        <v>69</v>
      </c>
    </row>
    <row r="18" spans="1:2" ht="9.75" customHeight="1" x14ac:dyDescent="0.35">
      <c r="A18" s="15" t="s">
        <v>70</v>
      </c>
      <c r="B18" s="18">
        <f ca="1">NOW()</f>
        <v>45964.564793634258</v>
      </c>
    </row>
    <row r="19" spans="1:2" ht="9.75" customHeight="1" x14ac:dyDescent="0.35">
      <c r="A19" s="15" t="s">
        <v>71</v>
      </c>
      <c r="B19" s="15" t="s">
        <v>61</v>
      </c>
    </row>
    <row r="20" spans="1:2" ht="9.75" customHeight="1" x14ac:dyDescent="0.35">
      <c r="A20" s="15" t="s">
        <v>72</v>
      </c>
      <c r="B20" s="15" t="s">
        <v>61</v>
      </c>
    </row>
    <row r="21" spans="1:2" ht="9.75" customHeight="1" x14ac:dyDescent="0.35">
      <c r="A21" s="15" t="s">
        <v>73</v>
      </c>
      <c r="B21" s="15" t="s">
        <v>61</v>
      </c>
    </row>
    <row r="22" spans="1:2" ht="9.75" customHeight="1" x14ac:dyDescent="0.35">
      <c r="A22" s="17" t="s">
        <v>74</v>
      </c>
      <c r="B22" s="19" t="s">
        <v>75</v>
      </c>
    </row>
    <row r="23" spans="1:2" ht="9.75" customHeight="1" x14ac:dyDescent="0.35">
      <c r="A23" s="17" t="s">
        <v>76</v>
      </c>
      <c r="B23" s="19" t="s">
        <v>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Z22"/>
  <sheetViews>
    <sheetView zoomScale="190" zoomScaleNormal="190" workbookViewId="0">
      <pane ySplit="1" topLeftCell="A2" activePane="bottomLeft" state="frozen"/>
      <selection pane="bottomLeft" activeCell="F20" sqref="F20"/>
    </sheetView>
  </sheetViews>
  <sheetFormatPr defaultColWidth="8.84375" defaultRowHeight="7.85" customHeight="1" x14ac:dyDescent="0.35"/>
  <cols>
    <col min="1" max="1" width="2.15234375" style="1" customWidth="1"/>
    <col min="2" max="2" width="4.4609375" style="8" customWidth="1"/>
    <col min="3" max="3" width="4.23046875" style="1" bestFit="1" customWidth="1"/>
    <col min="4" max="4" width="10.15234375" style="1" customWidth="1"/>
    <col min="5" max="5" width="9.07421875" style="1" customWidth="1"/>
    <col min="6" max="6" width="11.074218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23046875" style="8" customWidth="1"/>
    <col min="15" max="15" width="10.921875" style="8" customWidth="1"/>
    <col min="16" max="16" width="35.23046875" style="1" customWidth="1"/>
    <col min="17" max="17" width="35.53515625" style="1" customWidth="1"/>
    <col min="18" max="18" width="4.15234375" style="1" customWidth="1"/>
    <col min="19" max="19" width="9.15234375" style="1" customWidth="1"/>
    <col min="20" max="20" width="10.4609375" style="1" customWidth="1"/>
    <col min="21" max="21" width="11.53515625" style="1" customWidth="1"/>
    <col min="22" max="22" width="11" style="1" customWidth="1"/>
    <col min="23" max="23" width="6.3828125" style="1" bestFit="1" customWidth="1"/>
    <col min="24" max="24" width="20.61328125" style="1" customWidth="1"/>
    <col min="25" max="25" width="8.84375" style="1"/>
    <col min="26" max="26" width="9.921875" style="1" customWidth="1"/>
    <col min="27" max="16384" width="8.84375" style="1"/>
  </cols>
  <sheetData>
    <row r="1" spans="1:26" s="3" customFormat="1" ht="39" customHeight="1" x14ac:dyDescent="0.4">
      <c r="A1" s="30" t="s">
        <v>46</v>
      </c>
      <c r="B1" s="31" t="s">
        <v>26</v>
      </c>
      <c r="C1" s="31" t="s">
        <v>27</v>
      </c>
      <c r="D1" s="31" t="s">
        <v>28</v>
      </c>
      <c r="E1" s="31" t="s">
        <v>29</v>
      </c>
      <c r="F1" s="31" t="s">
        <v>30</v>
      </c>
      <c r="G1" s="42" t="s">
        <v>31</v>
      </c>
      <c r="H1" s="42" t="s">
        <v>32</v>
      </c>
      <c r="I1" s="42" t="s">
        <v>33</v>
      </c>
      <c r="J1" s="42" t="s">
        <v>34</v>
      </c>
      <c r="K1" s="42" t="s">
        <v>35</v>
      </c>
      <c r="L1" s="32" t="s">
        <v>36</v>
      </c>
      <c r="M1" s="32" t="s">
        <v>37</v>
      </c>
      <c r="N1" s="32" t="s">
        <v>38</v>
      </c>
      <c r="O1" s="32" t="s">
        <v>39</v>
      </c>
      <c r="P1" s="32" t="s">
        <v>40</v>
      </c>
      <c r="Q1" s="32" t="s">
        <v>41</v>
      </c>
      <c r="R1" s="33" t="s">
        <v>94</v>
      </c>
      <c r="S1" s="32" t="s">
        <v>42</v>
      </c>
      <c r="T1" s="32" t="s">
        <v>43</v>
      </c>
      <c r="U1" s="32" t="s">
        <v>44</v>
      </c>
      <c r="V1" s="32" t="s">
        <v>45</v>
      </c>
      <c r="W1" s="34" t="s">
        <v>0</v>
      </c>
      <c r="X1" s="32" t="s">
        <v>108</v>
      </c>
      <c r="Y1" s="32" t="s">
        <v>109</v>
      </c>
      <c r="Z1" s="32" t="s">
        <v>110</v>
      </c>
    </row>
    <row r="2" spans="1:26" s="8" customFormat="1" ht="7.85" customHeight="1" x14ac:dyDescent="0.35">
      <c r="A2" s="37">
        <v>2</v>
      </c>
      <c r="B2" s="47" t="s">
        <v>95</v>
      </c>
      <c r="C2" s="47" t="s">
        <v>150</v>
      </c>
      <c r="D2" s="47" t="s">
        <v>151</v>
      </c>
      <c r="E2" s="47" t="s">
        <v>152</v>
      </c>
      <c r="F2" s="48" t="s">
        <v>153</v>
      </c>
      <c r="G2" s="44" t="s">
        <v>1</v>
      </c>
      <c r="H2" s="44" t="s">
        <v>1</v>
      </c>
      <c r="I2" s="44" t="s">
        <v>1</v>
      </c>
      <c r="J2" s="44" t="s">
        <v>1</v>
      </c>
      <c r="K2" s="44" t="s">
        <v>1</v>
      </c>
      <c r="L2" s="38" t="str">
        <f t="shared" ref="L2:N21" si="0">CONCATENATE("", C2)</f>
        <v>Gestão</v>
      </c>
      <c r="M2" s="38" t="str">
        <f t="shared" si="0"/>
        <v>Produzido</v>
      </c>
      <c r="N2" s="38" t="str">
        <f t="shared" si="0"/>
        <v>Informação</v>
      </c>
      <c r="O2" s="38" t="str">
        <f t="shared" ref="O2:O22" si="1">F2</f>
        <v>Contêiner</v>
      </c>
      <c r="P2" s="39" t="s">
        <v>154</v>
      </c>
      <c r="Q2" s="39" t="s">
        <v>155</v>
      </c>
      <c r="R2" s="45" t="s">
        <v>1</v>
      </c>
      <c r="S2" s="38" t="str">
        <f>SUBSTITUTE(D2, "_", " ")</f>
        <v>Produzido</v>
      </c>
      <c r="T2" s="38" t="str">
        <f>SUBSTITUTE(E2, "_", " ")</f>
        <v>Informação</v>
      </c>
      <c r="U2" s="38" t="str">
        <f>SUBSTITUTE(F2, "_", " ")</f>
        <v>Contêiner</v>
      </c>
      <c r="V2" s="39" t="s">
        <v>92</v>
      </c>
      <c r="W2" s="46" t="str">
        <f t="shared" ref="W2:W22" si="2">CONCATENATE("Key.",LEFT(C2,3),".",A2)</f>
        <v>Key.Ges.2</v>
      </c>
      <c r="X2" s="39" t="s">
        <v>1</v>
      </c>
      <c r="Y2" s="39" t="s">
        <v>1</v>
      </c>
      <c r="Z2" s="39" t="s">
        <v>1</v>
      </c>
    </row>
    <row r="3" spans="1:26" ht="7.85" customHeight="1" x14ac:dyDescent="0.35">
      <c r="A3" s="37">
        <v>3</v>
      </c>
      <c r="B3" s="49" t="s">
        <v>95</v>
      </c>
      <c r="C3" s="50" t="s">
        <v>103</v>
      </c>
      <c r="D3" s="49" t="s">
        <v>156</v>
      </c>
      <c r="E3" s="49" t="s">
        <v>14</v>
      </c>
      <c r="F3" s="51" t="s">
        <v>106</v>
      </c>
      <c r="G3" s="44" t="s">
        <v>1</v>
      </c>
      <c r="H3" s="44" t="s">
        <v>1</v>
      </c>
      <c r="I3" s="44" t="s">
        <v>1</v>
      </c>
      <c r="J3" s="44" t="s">
        <v>1</v>
      </c>
      <c r="K3" s="44" t="s">
        <v>1</v>
      </c>
      <c r="L3" s="38" t="str">
        <f t="shared" si="0"/>
        <v>SUS</v>
      </c>
      <c r="M3" s="38" t="str">
        <f t="shared" si="0"/>
        <v>SUS.Caderno</v>
      </c>
      <c r="N3" s="38" t="str">
        <f t="shared" si="0"/>
        <v>SomaSUS</v>
      </c>
      <c r="O3" s="38" t="str">
        <f t="shared" si="1"/>
        <v>SUS.Volume</v>
      </c>
      <c r="P3" s="38" t="s">
        <v>121</v>
      </c>
      <c r="Q3" s="38" t="s">
        <v>122</v>
      </c>
      <c r="R3" s="45" t="s">
        <v>1</v>
      </c>
      <c r="S3" s="38" t="str">
        <f t="shared" ref="S3:U21" si="3">SUBSTITUTE(D3, "_", " ")</f>
        <v>SUS.Caderno</v>
      </c>
      <c r="T3" s="38" t="str">
        <f t="shared" si="3"/>
        <v>SomaSUS</v>
      </c>
      <c r="U3" s="38" t="str">
        <f t="shared" si="3"/>
        <v>SUS.Volume</v>
      </c>
      <c r="V3" s="39" t="s">
        <v>92</v>
      </c>
      <c r="W3" s="46" t="str">
        <f t="shared" si="2"/>
        <v>Key.SUS.3</v>
      </c>
      <c r="X3" s="39" t="s">
        <v>1</v>
      </c>
      <c r="Y3" s="39" t="s">
        <v>1</v>
      </c>
      <c r="Z3" s="39" t="s">
        <v>120</v>
      </c>
    </row>
    <row r="4" spans="1:26" ht="7.85" customHeight="1" x14ac:dyDescent="0.35">
      <c r="A4" s="37">
        <v>4</v>
      </c>
      <c r="B4" s="50" t="s">
        <v>95</v>
      </c>
      <c r="C4" s="50" t="s">
        <v>103</v>
      </c>
      <c r="D4" s="50" t="s">
        <v>157</v>
      </c>
      <c r="E4" s="50" t="s">
        <v>158</v>
      </c>
      <c r="F4" s="52" t="s">
        <v>96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38" t="str">
        <f t="shared" si="0"/>
        <v>SUS</v>
      </c>
      <c r="M4" s="38" t="str">
        <f t="shared" si="0"/>
        <v>SUS.Ocupação</v>
      </c>
      <c r="N4" s="38" t="str">
        <f t="shared" si="0"/>
        <v>SUS.Ambientes</v>
      </c>
      <c r="O4" s="38" t="str">
        <f t="shared" si="1"/>
        <v>SUS.Area</v>
      </c>
      <c r="P4" s="38" t="s">
        <v>123</v>
      </c>
      <c r="Q4" s="38" t="s">
        <v>124</v>
      </c>
      <c r="R4" s="45" t="s">
        <v>1</v>
      </c>
      <c r="S4" s="38" t="str">
        <f t="shared" si="3"/>
        <v>SUS.Ocupação</v>
      </c>
      <c r="T4" s="38" t="str">
        <f t="shared" si="3"/>
        <v>SUS.Ambientes</v>
      </c>
      <c r="U4" s="38" t="str">
        <f t="shared" si="3"/>
        <v>SUS.Area</v>
      </c>
      <c r="V4" s="39" t="s">
        <v>92</v>
      </c>
      <c r="W4" s="46" t="str">
        <f t="shared" si="2"/>
        <v>Key.SUS.4</v>
      </c>
      <c r="X4" s="39" t="s">
        <v>111</v>
      </c>
      <c r="Y4" s="39" t="s">
        <v>112</v>
      </c>
      <c r="Z4" s="39" t="s">
        <v>113</v>
      </c>
    </row>
    <row r="5" spans="1:26" ht="7.85" customHeight="1" x14ac:dyDescent="0.35">
      <c r="A5" s="37">
        <v>5</v>
      </c>
      <c r="B5" s="50" t="s">
        <v>95</v>
      </c>
      <c r="C5" s="50" t="s">
        <v>103</v>
      </c>
      <c r="D5" s="50" t="s">
        <v>157</v>
      </c>
      <c r="E5" s="50" t="s">
        <v>158</v>
      </c>
      <c r="F5" s="52" t="s">
        <v>125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38" t="str">
        <f t="shared" si="0"/>
        <v>SUS</v>
      </c>
      <c r="M5" s="38" t="str">
        <f t="shared" si="0"/>
        <v>SUS.Ocupação</v>
      </c>
      <c r="N5" s="38" t="str">
        <f t="shared" si="0"/>
        <v>SUS.Ambientes</v>
      </c>
      <c r="O5" s="38" t="str">
        <f t="shared" si="1"/>
        <v>SUS.Box</v>
      </c>
      <c r="P5" s="38" t="s">
        <v>126</v>
      </c>
      <c r="Q5" s="38" t="s">
        <v>127</v>
      </c>
      <c r="R5" s="45" t="s">
        <v>1</v>
      </c>
      <c r="S5" s="38" t="str">
        <f t="shared" si="3"/>
        <v>SUS.Ocupação</v>
      </c>
      <c r="T5" s="38" t="str">
        <f t="shared" si="3"/>
        <v>SUS.Ambientes</v>
      </c>
      <c r="U5" s="38" t="str">
        <f t="shared" si="3"/>
        <v>SUS.Box</v>
      </c>
      <c r="V5" s="39" t="s">
        <v>92</v>
      </c>
      <c r="W5" s="46" t="str">
        <f t="shared" si="2"/>
        <v>Key.SUS.5</v>
      </c>
      <c r="X5" s="39" t="s">
        <v>114</v>
      </c>
      <c r="Y5" s="39" t="s">
        <v>112</v>
      </c>
      <c r="Z5" s="39" t="s">
        <v>113</v>
      </c>
    </row>
    <row r="6" spans="1:26" ht="7.85" customHeight="1" x14ac:dyDescent="0.35">
      <c r="A6" s="37">
        <v>6</v>
      </c>
      <c r="B6" s="50" t="s">
        <v>95</v>
      </c>
      <c r="C6" s="50" t="s">
        <v>103</v>
      </c>
      <c r="D6" s="50" t="s">
        <v>157</v>
      </c>
      <c r="E6" s="50" t="s">
        <v>158</v>
      </c>
      <c r="F6" s="52" t="s">
        <v>128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38" t="str">
        <f t="shared" si="0"/>
        <v>SUS</v>
      </c>
      <c r="M6" s="38" t="str">
        <f t="shared" si="0"/>
        <v>SUS.Ocupação</v>
      </c>
      <c r="N6" s="38" t="str">
        <f t="shared" si="0"/>
        <v>SUS.Ambientes</v>
      </c>
      <c r="O6" s="38" t="str">
        <f t="shared" si="1"/>
        <v>SUS.Consultório</v>
      </c>
      <c r="P6" s="38" t="s">
        <v>129</v>
      </c>
      <c r="Q6" s="38" t="s">
        <v>130</v>
      </c>
      <c r="R6" s="45" t="s">
        <v>1</v>
      </c>
      <c r="S6" s="38" t="str">
        <f t="shared" si="3"/>
        <v>SUS.Ocupação</v>
      </c>
      <c r="T6" s="38" t="str">
        <f t="shared" si="3"/>
        <v>SUS.Ambientes</v>
      </c>
      <c r="U6" s="38" t="str">
        <f t="shared" si="3"/>
        <v>SUS.Consultório</v>
      </c>
      <c r="V6" s="39" t="s">
        <v>92</v>
      </c>
      <c r="W6" s="46" t="str">
        <f t="shared" si="2"/>
        <v>Key.SUS.6</v>
      </c>
      <c r="X6" s="39" t="s">
        <v>114</v>
      </c>
      <c r="Y6" s="39" t="s">
        <v>112</v>
      </c>
      <c r="Z6" s="39" t="s">
        <v>113</v>
      </c>
    </row>
    <row r="7" spans="1:26" ht="7.85" customHeight="1" x14ac:dyDescent="0.35">
      <c r="A7" s="37">
        <v>7</v>
      </c>
      <c r="B7" s="50" t="s">
        <v>95</v>
      </c>
      <c r="C7" s="50" t="s">
        <v>103</v>
      </c>
      <c r="D7" s="50" t="s">
        <v>157</v>
      </c>
      <c r="E7" s="50" t="s">
        <v>158</v>
      </c>
      <c r="F7" s="52" t="s">
        <v>131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38" t="str">
        <f t="shared" si="0"/>
        <v>SUS</v>
      </c>
      <c r="M7" s="38" t="str">
        <f t="shared" si="0"/>
        <v>SUS.Ocupação</v>
      </c>
      <c r="N7" s="38" t="str">
        <f t="shared" si="0"/>
        <v>SUS.Ambientes</v>
      </c>
      <c r="O7" s="38" t="str">
        <f t="shared" si="1"/>
        <v>SUS.Enfermaria</v>
      </c>
      <c r="P7" s="38" t="s">
        <v>132</v>
      </c>
      <c r="Q7" s="38" t="s">
        <v>162</v>
      </c>
      <c r="R7" s="45" t="s">
        <v>1</v>
      </c>
      <c r="S7" s="38" t="str">
        <f t="shared" si="3"/>
        <v>SUS.Ocupação</v>
      </c>
      <c r="T7" s="38" t="str">
        <f t="shared" si="3"/>
        <v>SUS.Ambientes</v>
      </c>
      <c r="U7" s="38" t="str">
        <f t="shared" si="3"/>
        <v>SUS.Enfermaria</v>
      </c>
      <c r="V7" s="39" t="s">
        <v>92</v>
      </c>
      <c r="W7" s="46" t="str">
        <f t="shared" si="2"/>
        <v>Key.SUS.7</v>
      </c>
      <c r="X7" s="39" t="s">
        <v>114</v>
      </c>
      <c r="Y7" s="39" t="s">
        <v>112</v>
      </c>
      <c r="Z7" s="39" t="s">
        <v>113</v>
      </c>
    </row>
    <row r="8" spans="1:26" ht="7.85" customHeight="1" x14ac:dyDescent="0.35">
      <c r="A8" s="37">
        <v>8</v>
      </c>
      <c r="B8" s="50" t="s">
        <v>95</v>
      </c>
      <c r="C8" s="50" t="s">
        <v>103</v>
      </c>
      <c r="D8" s="50" t="s">
        <v>157</v>
      </c>
      <c r="E8" s="50" t="s">
        <v>158</v>
      </c>
      <c r="F8" s="52" t="s">
        <v>133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38" t="str">
        <f t="shared" si="0"/>
        <v>SUS</v>
      </c>
      <c r="M8" s="38" t="str">
        <f t="shared" si="0"/>
        <v>SUS.Ocupação</v>
      </c>
      <c r="N8" s="38" t="str">
        <f t="shared" si="0"/>
        <v>SUS.Ambientes</v>
      </c>
      <c r="O8" s="38" t="str">
        <f t="shared" si="1"/>
        <v>SUS.Laboratório</v>
      </c>
      <c r="P8" s="38" t="s">
        <v>134</v>
      </c>
      <c r="Q8" s="38" t="s">
        <v>135</v>
      </c>
      <c r="R8" s="45" t="s">
        <v>1</v>
      </c>
      <c r="S8" s="38" t="str">
        <f t="shared" si="3"/>
        <v>SUS.Ocupação</v>
      </c>
      <c r="T8" s="38" t="str">
        <f t="shared" si="3"/>
        <v>SUS.Ambientes</v>
      </c>
      <c r="U8" s="38" t="str">
        <f t="shared" si="3"/>
        <v>SUS.Laboratório</v>
      </c>
      <c r="V8" s="39" t="s">
        <v>92</v>
      </c>
      <c r="W8" s="46" t="str">
        <f t="shared" si="2"/>
        <v>Key.SUS.8</v>
      </c>
      <c r="X8" s="39" t="s">
        <v>111</v>
      </c>
      <c r="Y8" s="39" t="s">
        <v>112</v>
      </c>
      <c r="Z8" s="39" t="s">
        <v>113</v>
      </c>
    </row>
    <row r="9" spans="1:26" ht="7.85" customHeight="1" x14ac:dyDescent="0.35">
      <c r="A9" s="37">
        <v>9</v>
      </c>
      <c r="B9" s="50" t="s">
        <v>95</v>
      </c>
      <c r="C9" s="50" t="s">
        <v>103</v>
      </c>
      <c r="D9" s="50" t="s">
        <v>157</v>
      </c>
      <c r="E9" s="50" t="s">
        <v>158</v>
      </c>
      <c r="F9" s="52" t="s">
        <v>136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38" t="str">
        <f t="shared" si="0"/>
        <v>SUS</v>
      </c>
      <c r="M9" s="38" t="str">
        <f t="shared" si="0"/>
        <v>SUS.Ocupação</v>
      </c>
      <c r="N9" s="38" t="str">
        <f t="shared" si="0"/>
        <v>SUS.Ambientes</v>
      </c>
      <c r="O9" s="38" t="str">
        <f t="shared" si="1"/>
        <v>SUS.Piscina</v>
      </c>
      <c r="P9" s="38" t="s">
        <v>137</v>
      </c>
      <c r="Q9" s="38" t="s">
        <v>138</v>
      </c>
      <c r="R9" s="45" t="s">
        <v>1</v>
      </c>
      <c r="S9" s="38" t="str">
        <f t="shared" si="3"/>
        <v>SUS.Ocupação</v>
      </c>
      <c r="T9" s="38" t="str">
        <f t="shared" si="3"/>
        <v>SUS.Ambientes</v>
      </c>
      <c r="U9" s="38" t="str">
        <f t="shared" si="3"/>
        <v>SUS.Piscina</v>
      </c>
      <c r="V9" s="39" t="s">
        <v>92</v>
      </c>
      <c r="W9" s="46" t="str">
        <f t="shared" si="2"/>
        <v>Key.SUS.9</v>
      </c>
      <c r="X9" s="39" t="s">
        <v>114</v>
      </c>
      <c r="Y9" s="39" t="s">
        <v>112</v>
      </c>
      <c r="Z9" s="39" t="s">
        <v>113</v>
      </c>
    </row>
    <row r="10" spans="1:26" ht="7.85" customHeight="1" x14ac:dyDescent="0.35">
      <c r="A10" s="37">
        <v>10</v>
      </c>
      <c r="B10" s="50" t="s">
        <v>95</v>
      </c>
      <c r="C10" s="50" t="s">
        <v>103</v>
      </c>
      <c r="D10" s="50" t="s">
        <v>157</v>
      </c>
      <c r="E10" s="50" t="s">
        <v>158</v>
      </c>
      <c r="F10" s="52" t="s">
        <v>139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38" t="str">
        <f t="shared" si="0"/>
        <v>SUS</v>
      </c>
      <c r="M10" s="38" t="str">
        <f t="shared" si="0"/>
        <v>SUS.Ocupação</v>
      </c>
      <c r="N10" s="38" t="str">
        <f t="shared" si="0"/>
        <v>SUS.Ambientes</v>
      </c>
      <c r="O10" s="38" t="str">
        <f t="shared" si="1"/>
        <v>SUS.Posto</v>
      </c>
      <c r="P10" s="38" t="s">
        <v>163</v>
      </c>
      <c r="Q10" s="38" t="s">
        <v>164</v>
      </c>
      <c r="R10" s="45" t="s">
        <v>1</v>
      </c>
      <c r="S10" s="38" t="str">
        <f t="shared" si="3"/>
        <v>SUS.Ocupação</v>
      </c>
      <c r="T10" s="38" t="str">
        <f t="shared" si="3"/>
        <v>SUS.Ambientes</v>
      </c>
      <c r="U10" s="38" t="str">
        <f t="shared" si="3"/>
        <v>SUS.Posto</v>
      </c>
      <c r="V10" s="39" t="s">
        <v>92</v>
      </c>
      <c r="W10" s="46" t="str">
        <f t="shared" si="2"/>
        <v>Key.SUS.10</v>
      </c>
      <c r="X10" s="39" t="s">
        <v>114</v>
      </c>
      <c r="Y10" s="39" t="s">
        <v>112</v>
      </c>
      <c r="Z10" s="39" t="s">
        <v>113</v>
      </c>
    </row>
    <row r="11" spans="1:26" ht="7.85" customHeight="1" x14ac:dyDescent="0.35">
      <c r="A11" s="37">
        <v>11</v>
      </c>
      <c r="B11" s="50" t="s">
        <v>95</v>
      </c>
      <c r="C11" s="50" t="s">
        <v>103</v>
      </c>
      <c r="D11" s="50" t="s">
        <v>157</v>
      </c>
      <c r="E11" s="50" t="s">
        <v>158</v>
      </c>
      <c r="F11" s="52" t="s">
        <v>140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38" t="str">
        <f t="shared" si="0"/>
        <v>SUS</v>
      </c>
      <c r="M11" s="38" t="str">
        <f t="shared" si="0"/>
        <v>SUS.Ocupação</v>
      </c>
      <c r="N11" s="38" t="str">
        <f t="shared" si="0"/>
        <v>SUS.Ambientes</v>
      </c>
      <c r="O11" s="38" t="str">
        <f t="shared" si="1"/>
        <v>SUS.Quarto</v>
      </c>
      <c r="P11" s="38" t="s">
        <v>141</v>
      </c>
      <c r="Q11" s="38" t="s">
        <v>142</v>
      </c>
      <c r="R11" s="45" t="s">
        <v>1</v>
      </c>
      <c r="S11" s="38" t="str">
        <f t="shared" si="3"/>
        <v>SUS.Ocupação</v>
      </c>
      <c r="T11" s="38" t="str">
        <f t="shared" si="3"/>
        <v>SUS.Ambientes</v>
      </c>
      <c r="U11" s="38" t="str">
        <f t="shared" si="3"/>
        <v>SUS.Quarto</v>
      </c>
      <c r="V11" s="39" t="s">
        <v>92</v>
      </c>
      <c r="W11" s="46" t="str">
        <f t="shared" si="2"/>
        <v>Key.SUS.11</v>
      </c>
      <c r="X11" s="39" t="s">
        <v>114</v>
      </c>
      <c r="Y11" s="39" t="s">
        <v>112</v>
      </c>
      <c r="Z11" s="39" t="s">
        <v>113</v>
      </c>
    </row>
    <row r="12" spans="1:26" ht="7.85" customHeight="1" x14ac:dyDescent="0.35">
      <c r="A12" s="37">
        <v>12</v>
      </c>
      <c r="B12" s="50" t="s">
        <v>95</v>
      </c>
      <c r="C12" s="50" t="s">
        <v>103</v>
      </c>
      <c r="D12" s="50" t="s">
        <v>157</v>
      </c>
      <c r="E12" s="50" t="s">
        <v>158</v>
      </c>
      <c r="F12" s="53" t="s">
        <v>143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38" t="str">
        <f t="shared" si="0"/>
        <v>SUS</v>
      </c>
      <c r="M12" s="38" t="str">
        <f t="shared" si="0"/>
        <v>SUS.Ocupação</v>
      </c>
      <c r="N12" s="38" t="str">
        <f t="shared" si="0"/>
        <v>SUS.Ambientes</v>
      </c>
      <c r="O12" s="38" t="str">
        <f t="shared" si="1"/>
        <v>SUS.Sala</v>
      </c>
      <c r="P12" s="38" t="s">
        <v>144</v>
      </c>
      <c r="Q12" s="38" t="s">
        <v>145</v>
      </c>
      <c r="R12" s="45" t="s">
        <v>1</v>
      </c>
      <c r="S12" s="38" t="str">
        <f t="shared" si="3"/>
        <v>SUS.Ocupação</v>
      </c>
      <c r="T12" s="38" t="str">
        <f t="shared" si="3"/>
        <v>SUS.Ambientes</v>
      </c>
      <c r="U12" s="38" t="str">
        <f t="shared" si="3"/>
        <v>SUS.Sala</v>
      </c>
      <c r="V12" s="39" t="s">
        <v>92</v>
      </c>
      <c r="W12" s="46" t="str">
        <f t="shared" si="2"/>
        <v>Key.SUS.12</v>
      </c>
      <c r="X12" s="39" t="s">
        <v>114</v>
      </c>
      <c r="Y12" s="39" t="s">
        <v>112</v>
      </c>
      <c r="Z12" s="39" t="s">
        <v>113</v>
      </c>
    </row>
    <row r="13" spans="1:26" ht="7.85" customHeight="1" x14ac:dyDescent="0.35">
      <c r="A13" s="37">
        <v>13</v>
      </c>
      <c r="B13" s="50" t="s">
        <v>95</v>
      </c>
      <c r="C13" s="50" t="s">
        <v>103</v>
      </c>
      <c r="D13" s="50" t="s">
        <v>157</v>
      </c>
      <c r="E13" s="50" t="s">
        <v>159</v>
      </c>
      <c r="F13" s="54" t="s">
        <v>99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38" t="str">
        <f t="shared" si="0"/>
        <v>SUS</v>
      </c>
      <c r="M13" s="38" t="str">
        <f t="shared" si="0"/>
        <v>SUS.Ocupação</v>
      </c>
      <c r="N13" s="38" t="str">
        <f t="shared" si="0"/>
        <v>SUS.Funcional</v>
      </c>
      <c r="O13" s="38" t="str">
        <f t="shared" si="1"/>
        <v>SUS.Zoneamento</v>
      </c>
      <c r="P13" s="38" t="s">
        <v>165</v>
      </c>
      <c r="Q13" s="38" t="s">
        <v>166</v>
      </c>
      <c r="R13" s="45" t="s">
        <v>1</v>
      </c>
      <c r="S13" s="38" t="str">
        <f t="shared" si="3"/>
        <v>SUS.Ocupação</v>
      </c>
      <c r="T13" s="38" t="str">
        <f t="shared" si="3"/>
        <v>SUS.Funcional</v>
      </c>
      <c r="U13" s="38" t="str">
        <f t="shared" si="3"/>
        <v>SUS.Zoneamento</v>
      </c>
      <c r="V13" s="39" t="s">
        <v>92</v>
      </c>
      <c r="W13" s="46" t="str">
        <f t="shared" si="2"/>
        <v>Key.SUS.13</v>
      </c>
      <c r="X13" s="39" t="s">
        <v>116</v>
      </c>
      <c r="Y13" s="39" t="s">
        <v>117</v>
      </c>
      <c r="Z13" s="39" t="s">
        <v>113</v>
      </c>
    </row>
    <row r="14" spans="1:26" ht="7.85" customHeight="1" x14ac:dyDescent="0.35">
      <c r="A14" s="37">
        <v>14</v>
      </c>
      <c r="B14" s="50" t="s">
        <v>95</v>
      </c>
      <c r="C14" s="50" t="s">
        <v>103</v>
      </c>
      <c r="D14" s="50" t="s">
        <v>157</v>
      </c>
      <c r="E14" s="50" t="s">
        <v>159</v>
      </c>
      <c r="F14" s="54" t="s">
        <v>97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38" t="str">
        <f t="shared" si="0"/>
        <v>SUS</v>
      </c>
      <c r="M14" s="38" t="str">
        <f t="shared" si="0"/>
        <v>SUS.Ocupação</v>
      </c>
      <c r="N14" s="38" t="str">
        <f t="shared" si="0"/>
        <v>SUS.Funcional</v>
      </c>
      <c r="O14" s="38" t="str">
        <f t="shared" si="1"/>
        <v>SUS.Unidade.Funcional</v>
      </c>
      <c r="P14" s="38" t="s">
        <v>167</v>
      </c>
      <c r="Q14" s="38" t="s">
        <v>168</v>
      </c>
      <c r="R14" s="45" t="s">
        <v>1</v>
      </c>
      <c r="S14" s="38" t="str">
        <f t="shared" si="3"/>
        <v>SUS.Ocupação</v>
      </c>
      <c r="T14" s="38" t="str">
        <f t="shared" si="3"/>
        <v>SUS.Funcional</v>
      </c>
      <c r="U14" s="38" t="str">
        <f t="shared" si="3"/>
        <v>SUS.Unidade.Funcional</v>
      </c>
      <c r="V14" s="39" t="s">
        <v>92</v>
      </c>
      <c r="W14" s="46" t="str">
        <f t="shared" si="2"/>
        <v>Key.SUS.14</v>
      </c>
      <c r="X14" s="39" t="s">
        <v>1</v>
      </c>
      <c r="Y14" s="39" t="s">
        <v>1</v>
      </c>
      <c r="Z14" s="39" t="s">
        <v>115</v>
      </c>
    </row>
    <row r="15" spans="1:26" ht="7.85" customHeight="1" x14ac:dyDescent="0.35">
      <c r="A15" s="37">
        <v>15</v>
      </c>
      <c r="B15" s="50" t="s">
        <v>95</v>
      </c>
      <c r="C15" s="50" t="s">
        <v>103</v>
      </c>
      <c r="D15" s="50" t="s">
        <v>157</v>
      </c>
      <c r="E15" s="50" t="s">
        <v>159</v>
      </c>
      <c r="F15" s="54" t="s">
        <v>98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38" t="str">
        <f t="shared" si="0"/>
        <v>SUS</v>
      </c>
      <c r="M15" s="38" t="str">
        <f t="shared" si="0"/>
        <v>SUS.Ocupação</v>
      </c>
      <c r="N15" s="38" t="str">
        <f t="shared" si="0"/>
        <v>SUS.Funcional</v>
      </c>
      <c r="O15" s="38" t="str">
        <f t="shared" si="1"/>
        <v>SUS.Setor</v>
      </c>
      <c r="P15" s="38" t="s">
        <v>169</v>
      </c>
      <c r="Q15" s="38" t="s">
        <v>170</v>
      </c>
      <c r="R15" s="45" t="s">
        <v>1</v>
      </c>
      <c r="S15" s="38" t="str">
        <f t="shared" si="3"/>
        <v>SUS.Ocupação</v>
      </c>
      <c r="T15" s="38" t="str">
        <f t="shared" si="3"/>
        <v>SUS.Funcional</v>
      </c>
      <c r="U15" s="38" t="str">
        <f t="shared" si="3"/>
        <v>SUS.Setor</v>
      </c>
      <c r="V15" s="39" t="s">
        <v>92</v>
      </c>
      <c r="W15" s="46" t="str">
        <f t="shared" si="2"/>
        <v>Key.SUS.15</v>
      </c>
      <c r="X15" s="39" t="s">
        <v>1</v>
      </c>
      <c r="Y15" s="39" t="s">
        <v>1</v>
      </c>
      <c r="Z15" s="39" t="s">
        <v>115</v>
      </c>
    </row>
    <row r="16" spans="1:26" ht="7.85" customHeight="1" x14ac:dyDescent="0.35">
      <c r="A16" s="37">
        <v>16</v>
      </c>
      <c r="B16" s="50" t="s">
        <v>95</v>
      </c>
      <c r="C16" s="50" t="s">
        <v>103</v>
      </c>
      <c r="D16" s="50" t="s">
        <v>161</v>
      </c>
      <c r="E16" s="50" t="s">
        <v>160</v>
      </c>
      <c r="F16" s="54" t="s">
        <v>100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38" t="str">
        <f t="shared" si="0"/>
        <v>SUS</v>
      </c>
      <c r="M16" s="38" t="str">
        <f t="shared" si="0"/>
        <v>SUS.Assistência.Médica</v>
      </c>
      <c r="N16" s="38" t="str">
        <f t="shared" si="0"/>
        <v>SUS.Equipamentos</v>
      </c>
      <c r="O16" s="38" t="str">
        <f t="shared" si="1"/>
        <v>SUS.Equipamento</v>
      </c>
      <c r="P16" s="38" t="s">
        <v>146</v>
      </c>
      <c r="Q16" s="38" t="s">
        <v>171</v>
      </c>
      <c r="R16" s="45" t="s">
        <v>1</v>
      </c>
      <c r="S16" s="38" t="str">
        <f t="shared" si="3"/>
        <v>SUS.Assistência.Médica</v>
      </c>
      <c r="T16" s="38" t="str">
        <f t="shared" si="3"/>
        <v>SUS.Equipamentos</v>
      </c>
      <c r="U16" s="38" t="str">
        <f t="shared" si="3"/>
        <v>SUS.Equipamento</v>
      </c>
      <c r="V16" s="39" t="s">
        <v>92</v>
      </c>
      <c r="W16" s="46" t="str">
        <f t="shared" si="2"/>
        <v>Key.SUS.16</v>
      </c>
      <c r="X16" s="39" t="s">
        <v>172</v>
      </c>
      <c r="Y16" s="39" t="s">
        <v>118</v>
      </c>
      <c r="Z16" s="39" t="s">
        <v>119</v>
      </c>
    </row>
    <row r="17" spans="1:26" ht="7.85" customHeight="1" x14ac:dyDescent="0.35">
      <c r="A17" s="37">
        <v>17</v>
      </c>
      <c r="B17" s="50" t="s">
        <v>95</v>
      </c>
      <c r="C17" s="50" t="s">
        <v>103</v>
      </c>
      <c r="D17" s="50" t="s">
        <v>161</v>
      </c>
      <c r="E17" s="50" t="s">
        <v>160</v>
      </c>
      <c r="F17" s="54" t="s">
        <v>101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38" t="str">
        <f t="shared" si="0"/>
        <v>SUS</v>
      </c>
      <c r="M17" s="38" t="str">
        <f t="shared" si="0"/>
        <v>SUS.Assistência.Médica</v>
      </c>
      <c r="N17" s="38" t="str">
        <f t="shared" si="0"/>
        <v>SUS.Equipamentos</v>
      </c>
      <c r="O17" s="38" t="str">
        <f t="shared" si="1"/>
        <v>SUS.Dispositivo</v>
      </c>
      <c r="P17" s="38" t="s">
        <v>147</v>
      </c>
      <c r="Q17" s="38" t="s">
        <v>173</v>
      </c>
      <c r="R17" s="45" t="s">
        <v>1</v>
      </c>
      <c r="S17" s="38" t="str">
        <f t="shared" si="3"/>
        <v>SUS.Assistência.Médica</v>
      </c>
      <c r="T17" s="38" t="str">
        <f t="shared" si="3"/>
        <v>SUS.Equipamentos</v>
      </c>
      <c r="U17" s="38" t="str">
        <f t="shared" si="3"/>
        <v>SUS.Dispositivo</v>
      </c>
      <c r="V17" s="39" t="s">
        <v>92</v>
      </c>
      <c r="W17" s="46" t="str">
        <f t="shared" si="2"/>
        <v>Key.SUS.17</v>
      </c>
      <c r="X17" s="39" t="s">
        <v>174</v>
      </c>
      <c r="Y17" s="39" t="s">
        <v>118</v>
      </c>
      <c r="Z17" s="39" t="s">
        <v>119</v>
      </c>
    </row>
    <row r="18" spans="1:26" ht="7.85" customHeight="1" x14ac:dyDescent="0.35">
      <c r="A18" s="37">
        <v>18</v>
      </c>
      <c r="B18" s="50" t="s">
        <v>95</v>
      </c>
      <c r="C18" s="50" t="s">
        <v>103</v>
      </c>
      <c r="D18" s="50" t="s">
        <v>161</v>
      </c>
      <c r="E18" s="50" t="s">
        <v>160</v>
      </c>
      <c r="F18" s="54" t="s">
        <v>175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38" t="str">
        <f t="shared" si="0"/>
        <v>SUS</v>
      </c>
      <c r="M18" s="38" t="str">
        <f t="shared" si="0"/>
        <v>SUS.Assistência.Médica</v>
      </c>
      <c r="N18" s="38" t="str">
        <f t="shared" si="0"/>
        <v>SUS.Equipamentos</v>
      </c>
      <c r="O18" s="38" t="str">
        <f t="shared" si="1"/>
        <v>SUS.Instrumento</v>
      </c>
      <c r="P18" s="38" t="s">
        <v>176</v>
      </c>
      <c r="Q18" s="38" t="s">
        <v>177</v>
      </c>
      <c r="R18" s="45" t="s">
        <v>1</v>
      </c>
      <c r="S18" s="38" t="str">
        <f t="shared" si="3"/>
        <v>SUS.Assistência.Médica</v>
      </c>
      <c r="T18" s="38" t="str">
        <f t="shared" si="3"/>
        <v>SUS.Equipamentos</v>
      </c>
      <c r="U18" s="38" t="str">
        <f t="shared" si="3"/>
        <v>SUS.Instrumento</v>
      </c>
      <c r="V18" s="39" t="s">
        <v>92</v>
      </c>
      <c r="W18" s="46" t="str">
        <f t="shared" si="2"/>
        <v>Key.SUS.18</v>
      </c>
      <c r="X18" s="39" t="s">
        <v>172</v>
      </c>
      <c r="Y18" s="39" t="s">
        <v>118</v>
      </c>
      <c r="Z18" s="39" t="s">
        <v>119</v>
      </c>
    </row>
    <row r="19" spans="1:26" customFormat="1" ht="7.85" customHeight="1" x14ac:dyDescent="0.4">
      <c r="A19" s="37">
        <v>19</v>
      </c>
      <c r="B19" s="50" t="s">
        <v>95</v>
      </c>
      <c r="C19" s="50" t="s">
        <v>103</v>
      </c>
      <c r="D19" s="50" t="s">
        <v>161</v>
      </c>
      <c r="E19" s="50" t="s">
        <v>160</v>
      </c>
      <c r="F19" s="54" t="s">
        <v>178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38" t="str">
        <f t="shared" si="0"/>
        <v>SUS</v>
      </c>
      <c r="M19" s="38" t="str">
        <f t="shared" si="0"/>
        <v>SUS.Assistência.Médica</v>
      </c>
      <c r="N19" s="38" t="str">
        <f t="shared" si="0"/>
        <v>SUS.Equipamentos</v>
      </c>
      <c r="O19" s="38" t="str">
        <f t="shared" si="1"/>
        <v>SUS.Mobília.de.Saúde</v>
      </c>
      <c r="P19" s="38" t="s">
        <v>148</v>
      </c>
      <c r="Q19" s="38" t="s">
        <v>149</v>
      </c>
      <c r="R19" s="45" t="s">
        <v>1</v>
      </c>
      <c r="S19" s="38" t="str">
        <f t="shared" si="3"/>
        <v>SUS.Assistência.Médica</v>
      </c>
      <c r="T19" s="38" t="str">
        <f t="shared" si="3"/>
        <v>SUS.Equipamentos</v>
      </c>
      <c r="U19" s="38" t="str">
        <f t="shared" si="3"/>
        <v>SUS.Mobília.de.Saúde</v>
      </c>
      <c r="V19" s="39" t="s">
        <v>92</v>
      </c>
      <c r="W19" s="46" t="str">
        <f t="shared" si="2"/>
        <v>Key.SUS.19</v>
      </c>
      <c r="X19" s="39" t="s">
        <v>179</v>
      </c>
      <c r="Y19" s="39" t="s">
        <v>180</v>
      </c>
      <c r="Z19" s="39" t="s">
        <v>119</v>
      </c>
    </row>
    <row r="20" spans="1:26" customFormat="1" ht="7.85" customHeight="1" x14ac:dyDescent="0.4">
      <c r="A20" s="37">
        <v>20</v>
      </c>
      <c r="B20" s="50" t="s">
        <v>95</v>
      </c>
      <c r="C20" s="50" t="s">
        <v>103</v>
      </c>
      <c r="D20" s="50" t="s">
        <v>161</v>
      </c>
      <c r="E20" s="50" t="s">
        <v>181</v>
      </c>
      <c r="F20" s="54" t="s">
        <v>102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38" t="str">
        <f t="shared" si="0"/>
        <v>SUS</v>
      </c>
      <c r="M20" s="38" t="str">
        <f t="shared" si="0"/>
        <v>SUS.Assistência.Médica</v>
      </c>
      <c r="N20" s="38" t="str">
        <f t="shared" si="0"/>
        <v>SUS.Hoteleria</v>
      </c>
      <c r="O20" s="38" t="str">
        <f t="shared" si="1"/>
        <v>SUS.Mobília</v>
      </c>
      <c r="P20" s="38" t="s">
        <v>148</v>
      </c>
      <c r="Q20" s="38" t="s">
        <v>149</v>
      </c>
      <c r="R20" s="45" t="s">
        <v>1</v>
      </c>
      <c r="S20" s="38" t="str">
        <f t="shared" si="3"/>
        <v>SUS.Assistência.Médica</v>
      </c>
      <c r="T20" s="38" t="str">
        <f t="shared" si="3"/>
        <v>SUS.Hoteleria</v>
      </c>
      <c r="U20" s="38" t="str">
        <f t="shared" si="3"/>
        <v>SUS.Mobília</v>
      </c>
      <c r="V20" s="39" t="s">
        <v>92</v>
      </c>
      <c r="W20" s="46" t="str">
        <f t="shared" si="2"/>
        <v>Key.SUS.20</v>
      </c>
      <c r="X20" s="39" t="s">
        <v>179</v>
      </c>
      <c r="Y20" s="39" t="s">
        <v>180</v>
      </c>
      <c r="Z20" s="39" t="s">
        <v>119</v>
      </c>
    </row>
    <row r="21" spans="1:26" customFormat="1" ht="7.85" customHeight="1" x14ac:dyDescent="0.4">
      <c r="A21" s="37">
        <v>21</v>
      </c>
      <c r="B21" s="50" t="s">
        <v>95</v>
      </c>
      <c r="C21" s="50" t="s">
        <v>103</v>
      </c>
      <c r="D21" s="50" t="s">
        <v>161</v>
      </c>
      <c r="E21" s="50" t="s">
        <v>181</v>
      </c>
      <c r="F21" s="54" t="s">
        <v>187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38" t="str">
        <f t="shared" si="0"/>
        <v>SUS</v>
      </c>
      <c r="M21" s="38" t="str">
        <f t="shared" si="0"/>
        <v>SUS.Assistência.Médica</v>
      </c>
      <c r="N21" s="38" t="str">
        <f t="shared" si="0"/>
        <v>SUS.Hoteleria</v>
      </c>
      <c r="O21" s="38" t="str">
        <f t="shared" si="1"/>
        <v>SUS.Roupa.de.Cama</v>
      </c>
      <c r="P21" s="38" t="s">
        <v>182</v>
      </c>
      <c r="Q21" s="38" t="s">
        <v>183</v>
      </c>
      <c r="R21" s="45" t="s">
        <v>1</v>
      </c>
      <c r="S21" s="38" t="str">
        <f t="shared" si="3"/>
        <v>SUS.Assistência.Médica</v>
      </c>
      <c r="T21" s="38" t="str">
        <f t="shared" si="3"/>
        <v>SUS.Hoteleria</v>
      </c>
      <c r="U21" s="38" t="str">
        <f t="shared" si="3"/>
        <v>SUS.Roupa.de.Cama</v>
      </c>
      <c r="V21" s="39" t="s">
        <v>92</v>
      </c>
      <c r="W21" s="46" t="str">
        <f t="shared" si="2"/>
        <v>Key.SUS.21</v>
      </c>
      <c r="X21" s="39" t="s">
        <v>179</v>
      </c>
      <c r="Y21" s="39" t="s">
        <v>180</v>
      </c>
      <c r="Z21" s="39" t="s">
        <v>119</v>
      </c>
    </row>
    <row r="22" spans="1:26" customFormat="1" ht="7.85" customHeight="1" x14ac:dyDescent="0.4">
      <c r="A22" s="37">
        <v>22</v>
      </c>
      <c r="B22" s="50" t="s">
        <v>95</v>
      </c>
      <c r="C22" s="50" t="s">
        <v>103</v>
      </c>
      <c r="D22" s="50" t="s">
        <v>161</v>
      </c>
      <c r="E22" s="50" t="s">
        <v>181</v>
      </c>
      <c r="F22" s="54" t="s">
        <v>184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38" t="str">
        <f t="shared" ref="L22:N22" si="4">CONCATENATE("", C22)</f>
        <v>SUS</v>
      </c>
      <c r="M22" s="38" t="str">
        <f t="shared" si="4"/>
        <v>SUS.Assistência.Médica</v>
      </c>
      <c r="N22" s="38" t="str">
        <f t="shared" si="4"/>
        <v>SUS.Hoteleria</v>
      </c>
      <c r="O22" s="38" t="str">
        <f t="shared" si="1"/>
        <v>SUS.Alimentação</v>
      </c>
      <c r="P22" s="38" t="s">
        <v>185</v>
      </c>
      <c r="Q22" s="38" t="s">
        <v>186</v>
      </c>
      <c r="R22" s="45" t="s">
        <v>1</v>
      </c>
      <c r="S22" s="38" t="str">
        <f t="shared" ref="S22:U22" si="5">SUBSTITUTE(D22, "_", " ")</f>
        <v>SUS.Assistência.Médica</v>
      </c>
      <c r="T22" s="38" t="str">
        <f t="shared" si="5"/>
        <v>SUS.Hoteleria</v>
      </c>
      <c r="U22" s="38" t="str">
        <f t="shared" si="5"/>
        <v>SUS.Alimentação</v>
      </c>
      <c r="V22" s="39" t="s">
        <v>92</v>
      </c>
      <c r="W22" s="46" t="str">
        <f t="shared" si="2"/>
        <v>Key.SUS.22</v>
      </c>
      <c r="X22" s="39" t="s">
        <v>179</v>
      </c>
      <c r="Y22" s="39" t="s">
        <v>180</v>
      </c>
      <c r="Z22" s="39" t="s">
        <v>119</v>
      </c>
    </row>
  </sheetData>
  <phoneticPr fontId="1" type="noConversion"/>
  <conditionalFormatting sqref="B3:R22 A2:A22">
    <cfRule type="cellIs" dxfId="21" priority="4" operator="equal">
      <formula>"null"</formula>
    </cfRule>
  </conditionalFormatting>
  <conditionalFormatting sqref="B2:XFD2">
    <cfRule type="cellIs" dxfId="20" priority="2" operator="equal">
      <formula>"null"</formula>
    </cfRule>
  </conditionalFormatting>
  <conditionalFormatting sqref="F2:F18">
    <cfRule type="duplicateValues" dxfId="19" priority="11"/>
  </conditionalFormatting>
  <conditionalFormatting sqref="F19:F22">
    <cfRule type="duplicateValues" dxfId="18" priority="3"/>
    <cfRule type="duplicateValues" dxfId="17" priority="5"/>
    <cfRule type="duplicateValues" dxfId="16" priority="7"/>
    <cfRule type="duplicateValues" dxfId="15" priority="8"/>
    <cfRule type="duplicateValues" dxfId="14" priority="9"/>
    <cfRule type="duplicateValues" dxfId="13" priority="10"/>
  </conditionalFormatting>
  <conditionalFormatting sqref="S3:XFD22">
    <cfRule type="cellIs" dxfId="12" priority="1" operator="equal">
      <formula>"null"</formula>
    </cfRule>
  </conditionalFormatting>
  <conditionalFormatting sqref="W19:W22">
    <cfRule type="duplicateValues" dxfId="11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3:XFD1048576 AA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5" t="s">
        <v>13</v>
      </c>
      <c r="B1" s="36" t="s">
        <v>15</v>
      </c>
      <c r="C1" s="36" t="s">
        <v>16</v>
      </c>
      <c r="D1" s="36" t="s">
        <v>17</v>
      </c>
      <c r="E1" s="36" t="s">
        <v>18</v>
      </c>
      <c r="F1" s="36" t="s">
        <v>19</v>
      </c>
      <c r="G1" s="36" t="s">
        <v>20</v>
      </c>
      <c r="H1" s="36" t="s">
        <v>21</v>
      </c>
      <c r="I1" s="36" t="s">
        <v>22</v>
      </c>
      <c r="J1" s="36" t="s">
        <v>23</v>
      </c>
      <c r="K1" s="36" t="s">
        <v>2</v>
      </c>
      <c r="L1" s="36" t="s">
        <v>3</v>
      </c>
      <c r="M1" s="36" t="s">
        <v>4</v>
      </c>
      <c r="N1" s="36" t="s">
        <v>5</v>
      </c>
      <c r="O1" s="36" t="s">
        <v>6</v>
      </c>
      <c r="P1" s="36" t="s">
        <v>7</v>
      </c>
      <c r="Q1" s="36" t="s">
        <v>8</v>
      </c>
      <c r="R1" s="36" t="s">
        <v>9</v>
      </c>
      <c r="S1" s="36" t="s">
        <v>10</v>
      </c>
      <c r="T1" s="36" t="s">
        <v>11</v>
      </c>
      <c r="U1" s="36" t="s">
        <v>12</v>
      </c>
    </row>
    <row r="2" spans="1:21" ht="9.75" customHeight="1" x14ac:dyDescent="0.2">
      <c r="A2" s="35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104</v>
      </c>
      <c r="C1" s="10" t="s">
        <v>105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tabSelected="1"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4"/>
  <cols>
    <col min="1" max="1" width="2.53515625" bestFit="1" customWidth="1"/>
    <col min="2" max="2" width="5.15234375" customWidth="1"/>
    <col min="3" max="3" width="6.3046875" customWidth="1"/>
    <col min="4" max="5" width="3.3828125" customWidth="1"/>
    <col min="6" max="8" width="3.3828125" style="23" customWidth="1"/>
    <col min="9" max="9" width="16.69140625" style="41" customWidth="1"/>
    <col min="10" max="10" width="5.3828125" customWidth="1"/>
    <col min="11" max="11" width="51.3828125" customWidth="1"/>
    <col min="12" max="23" width="3.53515625" style="23" customWidth="1"/>
  </cols>
  <sheetData>
    <row r="1" spans="1:23" ht="18" customHeight="1" x14ac:dyDescent="0.4">
      <c r="A1" s="20" t="s">
        <v>24</v>
      </c>
      <c r="B1" s="21" t="s">
        <v>78</v>
      </c>
      <c r="C1" s="21" t="s">
        <v>78</v>
      </c>
      <c r="D1" s="22" t="s">
        <v>79</v>
      </c>
      <c r="E1" s="22" t="s">
        <v>48</v>
      </c>
      <c r="F1" s="22" t="s">
        <v>79</v>
      </c>
      <c r="G1" s="22" t="s">
        <v>48</v>
      </c>
      <c r="H1" s="22" t="s">
        <v>79</v>
      </c>
      <c r="I1" s="21" t="s">
        <v>48</v>
      </c>
      <c r="J1" s="22" t="s">
        <v>78</v>
      </c>
      <c r="K1" s="21" t="s">
        <v>48</v>
      </c>
      <c r="L1" s="22" t="s">
        <v>79</v>
      </c>
      <c r="M1" s="22" t="s">
        <v>48</v>
      </c>
      <c r="N1" s="22" t="s">
        <v>79</v>
      </c>
      <c r="O1" s="22" t="s">
        <v>48</v>
      </c>
      <c r="P1" s="22" t="s">
        <v>79</v>
      </c>
      <c r="Q1" s="22" t="s">
        <v>48</v>
      </c>
      <c r="R1" s="22" t="s">
        <v>79</v>
      </c>
      <c r="S1" s="22" t="s">
        <v>48</v>
      </c>
      <c r="T1" s="22" t="s">
        <v>79</v>
      </c>
      <c r="U1" s="22" t="s">
        <v>48</v>
      </c>
      <c r="V1" s="22" t="s">
        <v>79</v>
      </c>
      <c r="W1" s="22" t="s">
        <v>48</v>
      </c>
    </row>
    <row r="2" spans="1:23" ht="7.5" customHeight="1" x14ac:dyDescent="0.4">
      <c r="A2" s="24">
        <v>2</v>
      </c>
      <c r="B2" s="25" t="s">
        <v>81</v>
      </c>
      <c r="C2" s="26" t="s">
        <v>106</v>
      </c>
      <c r="D2" s="27" t="s">
        <v>1</v>
      </c>
      <c r="E2" s="28" t="s">
        <v>1</v>
      </c>
      <c r="F2" s="27" t="s">
        <v>1</v>
      </c>
      <c r="G2" s="28" t="s">
        <v>1</v>
      </c>
      <c r="H2" s="27" t="s">
        <v>90</v>
      </c>
      <c r="I2" s="40" t="s">
        <v>93</v>
      </c>
      <c r="J2" s="27" t="s">
        <v>91</v>
      </c>
      <c r="K2" s="29" t="s">
        <v>86</v>
      </c>
      <c r="L2" s="27" t="s">
        <v>1</v>
      </c>
      <c r="M2" s="28" t="s">
        <v>1</v>
      </c>
      <c r="N2" s="27" t="s">
        <v>1</v>
      </c>
      <c r="O2" s="28" t="s">
        <v>1</v>
      </c>
      <c r="P2" s="27" t="s">
        <v>1</v>
      </c>
      <c r="Q2" s="28" t="s">
        <v>1</v>
      </c>
      <c r="R2" s="27" t="s">
        <v>1</v>
      </c>
      <c r="S2" s="28" t="s">
        <v>1</v>
      </c>
      <c r="T2" s="27" t="s">
        <v>1</v>
      </c>
      <c r="U2" s="28" t="s">
        <v>1</v>
      </c>
      <c r="V2" s="27" t="s">
        <v>1</v>
      </c>
      <c r="W2" s="28" t="s">
        <v>1</v>
      </c>
    </row>
    <row r="3" spans="1:23" ht="7.5" customHeight="1" x14ac:dyDescent="0.4">
      <c r="A3" s="24">
        <v>3</v>
      </c>
      <c r="B3" s="25" t="s">
        <v>82</v>
      </c>
      <c r="C3" s="26" t="s">
        <v>106</v>
      </c>
      <c r="D3" s="27" t="s">
        <v>1</v>
      </c>
      <c r="E3" s="28" t="s">
        <v>1</v>
      </c>
      <c r="F3" s="27" t="s">
        <v>1</v>
      </c>
      <c r="G3" s="28" t="s">
        <v>1</v>
      </c>
      <c r="H3" s="27" t="s">
        <v>90</v>
      </c>
      <c r="I3" s="40" t="s">
        <v>93</v>
      </c>
      <c r="J3" s="27" t="s">
        <v>91</v>
      </c>
      <c r="K3" s="29" t="s">
        <v>87</v>
      </c>
      <c r="L3" s="27" t="s">
        <v>1</v>
      </c>
      <c r="M3" s="28" t="s">
        <v>1</v>
      </c>
      <c r="N3" s="27" t="s">
        <v>1</v>
      </c>
      <c r="O3" s="28" t="s">
        <v>1</v>
      </c>
      <c r="P3" s="27" t="s">
        <v>1</v>
      </c>
      <c r="Q3" s="28" t="s">
        <v>1</v>
      </c>
      <c r="R3" s="27" t="s">
        <v>1</v>
      </c>
      <c r="S3" s="28" t="s">
        <v>1</v>
      </c>
      <c r="T3" s="27" t="s">
        <v>1</v>
      </c>
      <c r="U3" s="28" t="s">
        <v>1</v>
      </c>
      <c r="V3" s="27" t="s">
        <v>1</v>
      </c>
      <c r="W3" s="28" t="s">
        <v>1</v>
      </c>
    </row>
    <row r="4" spans="1:23" ht="7.5" customHeight="1" x14ac:dyDescent="0.4">
      <c r="A4" s="24">
        <v>4</v>
      </c>
      <c r="B4" s="25" t="s">
        <v>83</v>
      </c>
      <c r="C4" s="26" t="s">
        <v>106</v>
      </c>
      <c r="D4" s="27" t="s">
        <v>1</v>
      </c>
      <c r="E4" s="28" t="s">
        <v>1</v>
      </c>
      <c r="F4" s="27" t="s">
        <v>1</v>
      </c>
      <c r="G4" s="28" t="s">
        <v>1</v>
      </c>
      <c r="H4" s="27" t="s">
        <v>90</v>
      </c>
      <c r="I4" s="40" t="s">
        <v>93</v>
      </c>
      <c r="J4" s="27" t="s">
        <v>91</v>
      </c>
      <c r="K4" s="29" t="s">
        <v>88</v>
      </c>
      <c r="L4" s="27" t="s">
        <v>1</v>
      </c>
      <c r="M4" s="28" t="s">
        <v>1</v>
      </c>
      <c r="N4" s="27" t="s">
        <v>1</v>
      </c>
      <c r="O4" s="28" t="s">
        <v>1</v>
      </c>
      <c r="P4" s="27" t="s">
        <v>1</v>
      </c>
      <c r="Q4" s="28" t="s">
        <v>1</v>
      </c>
      <c r="R4" s="27" t="s">
        <v>1</v>
      </c>
      <c r="S4" s="28" t="s">
        <v>1</v>
      </c>
      <c r="T4" s="27" t="s">
        <v>1</v>
      </c>
      <c r="U4" s="28" t="s">
        <v>1</v>
      </c>
      <c r="V4" s="27" t="s">
        <v>1</v>
      </c>
      <c r="W4" s="28" t="s">
        <v>1</v>
      </c>
    </row>
    <row r="5" spans="1:23" ht="7.5" customHeight="1" x14ac:dyDescent="0.4">
      <c r="A5" s="24">
        <v>5</v>
      </c>
      <c r="B5" s="25" t="s">
        <v>84</v>
      </c>
      <c r="C5" s="26" t="s">
        <v>106</v>
      </c>
      <c r="D5" s="27" t="s">
        <v>1</v>
      </c>
      <c r="E5" s="28" t="s">
        <v>1</v>
      </c>
      <c r="F5" s="27" t="s">
        <v>1</v>
      </c>
      <c r="G5" s="28" t="s">
        <v>1</v>
      </c>
      <c r="H5" s="27" t="s">
        <v>90</v>
      </c>
      <c r="I5" s="40" t="s">
        <v>93</v>
      </c>
      <c r="J5" s="27" t="s">
        <v>91</v>
      </c>
      <c r="K5" s="29" t="s">
        <v>89</v>
      </c>
      <c r="L5" s="27" t="s">
        <v>1</v>
      </c>
      <c r="M5" s="28" t="s">
        <v>1</v>
      </c>
      <c r="N5" s="27" t="s">
        <v>1</v>
      </c>
      <c r="O5" s="28" t="s">
        <v>1</v>
      </c>
      <c r="P5" s="27" t="s">
        <v>1</v>
      </c>
      <c r="Q5" s="28" t="s">
        <v>1</v>
      </c>
      <c r="R5" s="27" t="s">
        <v>1</v>
      </c>
      <c r="S5" s="28" t="s">
        <v>1</v>
      </c>
      <c r="T5" s="27" t="s">
        <v>1</v>
      </c>
      <c r="U5" s="28" t="s">
        <v>1</v>
      </c>
      <c r="V5" s="27" t="s">
        <v>1</v>
      </c>
      <c r="W5" s="28" t="s">
        <v>1</v>
      </c>
    </row>
  </sheetData>
  <conditionalFormatting sqref="D1">
    <cfRule type="cellIs" dxfId="8" priority="10" operator="equal">
      <formula>"null"</formula>
    </cfRule>
  </conditionalFormatting>
  <conditionalFormatting sqref="F1">
    <cfRule type="cellIs" dxfId="7" priority="7" operator="equal">
      <formula>"null"</formula>
    </cfRule>
  </conditionalFormatting>
  <conditionalFormatting sqref="H1">
    <cfRule type="cellIs" dxfId="6" priority="9" operator="equal">
      <formula>"null"</formula>
    </cfRule>
  </conditionalFormatting>
  <conditionalFormatting sqref="L1">
    <cfRule type="cellIs" dxfId="5" priority="6" operator="equal">
      <formula>"null"</formula>
    </cfRule>
  </conditionalFormatting>
  <conditionalFormatting sqref="N1">
    <cfRule type="cellIs" dxfId="4" priority="5" operator="equal">
      <formula>"null"</formula>
    </cfRule>
  </conditionalFormatting>
  <conditionalFormatting sqref="P1">
    <cfRule type="cellIs" dxfId="3" priority="4" operator="equal">
      <formula>"null"</formula>
    </cfRule>
  </conditionalFormatting>
  <conditionalFormatting sqref="R1">
    <cfRule type="cellIs" dxfId="2" priority="3" operator="equal">
      <formula>"null"</formula>
    </cfRule>
  </conditionalFormatting>
  <conditionalFormatting sqref="T1">
    <cfRule type="cellIs" dxfId="1" priority="2" operator="equal">
      <formula>"null"</formula>
    </cfRule>
  </conditionalFormatting>
  <conditionalFormatting sqref="V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2025-11-03T16:33:31Z</dcterms:modified>
</cp:coreProperties>
</file>