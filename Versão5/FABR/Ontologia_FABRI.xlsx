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13F1237B-6DCD-457F-BAC4-39799D378290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8" i="39" l="1"/>
  <c r="U148" i="39"/>
  <c r="T148" i="39"/>
  <c r="S148" i="39"/>
  <c r="O148" i="39"/>
  <c r="N148" i="39"/>
  <c r="M148" i="39"/>
  <c r="L148" i="39"/>
  <c r="W147" i="39"/>
  <c r="U147" i="39"/>
  <c r="T147" i="39"/>
  <c r="S147" i="39"/>
  <c r="O147" i="39"/>
  <c r="N147" i="39"/>
  <c r="M147" i="39"/>
  <c r="L147" i="39"/>
  <c r="W146" i="39"/>
  <c r="U146" i="39"/>
  <c r="T146" i="39"/>
  <c r="S146" i="39"/>
  <c r="O146" i="39"/>
  <c r="N146" i="39"/>
  <c r="M146" i="39"/>
  <c r="L146" i="39"/>
  <c r="W145" i="39"/>
  <c r="U145" i="39"/>
  <c r="T145" i="39"/>
  <c r="S145" i="39"/>
  <c r="O145" i="39"/>
  <c r="N145" i="39"/>
  <c r="M145" i="39"/>
  <c r="L145" i="39"/>
  <c r="W144" i="39"/>
  <c r="U144" i="39"/>
  <c r="T144" i="39"/>
  <c r="S144" i="39"/>
  <c r="O144" i="39"/>
  <c r="N144" i="39"/>
  <c r="M144" i="39"/>
  <c r="L144" i="39"/>
  <c r="W143" i="39"/>
  <c r="U143" i="39"/>
  <c r="T143" i="39"/>
  <c r="S143" i="39"/>
  <c r="O143" i="39"/>
  <c r="N143" i="39"/>
  <c r="M143" i="39"/>
  <c r="L143" i="39"/>
  <c r="W142" i="39"/>
  <c r="U142" i="39"/>
  <c r="T142" i="39"/>
  <c r="S142" i="39"/>
  <c r="O142" i="39"/>
  <c r="N142" i="39"/>
  <c r="M142" i="39"/>
  <c r="L142" i="39"/>
  <c r="W141" i="39"/>
  <c r="U141" i="39"/>
  <c r="T141" i="39"/>
  <c r="S141" i="39"/>
  <c r="O141" i="39"/>
  <c r="N141" i="39"/>
  <c r="M141" i="39"/>
  <c r="L141" i="39"/>
  <c r="W140" i="39"/>
  <c r="U140" i="39"/>
  <c r="T140" i="39"/>
  <c r="S140" i="39"/>
  <c r="O140" i="39"/>
  <c r="N140" i="39"/>
  <c r="M140" i="39"/>
  <c r="L140" i="39"/>
  <c r="W139" i="39"/>
  <c r="U139" i="39"/>
  <c r="T139" i="39"/>
  <c r="S139" i="39"/>
  <c r="O139" i="39"/>
  <c r="N139" i="39"/>
  <c r="M139" i="39"/>
  <c r="L139" i="39"/>
  <c r="W138" i="39"/>
  <c r="U138" i="39"/>
  <c r="T138" i="39"/>
  <c r="S138" i="39"/>
  <c r="O138" i="39"/>
  <c r="N138" i="39"/>
  <c r="M138" i="39"/>
  <c r="L138" i="39"/>
  <c r="W137" i="39"/>
  <c r="U137" i="39"/>
  <c r="T137" i="39"/>
  <c r="S137" i="39"/>
  <c r="O137" i="39"/>
  <c r="N137" i="39"/>
  <c r="M137" i="39"/>
  <c r="L137" i="39"/>
  <c r="W136" i="39"/>
  <c r="U136" i="39"/>
  <c r="T136" i="39"/>
  <c r="S136" i="39"/>
  <c r="O136" i="39"/>
  <c r="N136" i="39"/>
  <c r="M136" i="39"/>
  <c r="L136" i="39"/>
  <c r="W135" i="39"/>
  <c r="U135" i="39"/>
  <c r="T135" i="39"/>
  <c r="S135" i="39"/>
  <c r="O135" i="39"/>
  <c r="N135" i="39"/>
  <c r="M135" i="39"/>
  <c r="L135" i="39"/>
  <c r="W134" i="39"/>
  <c r="U134" i="39"/>
  <c r="T134" i="39"/>
  <c r="S134" i="39"/>
  <c r="O134" i="39"/>
  <c r="N134" i="39"/>
  <c r="M134" i="39"/>
  <c r="L134" i="39"/>
  <c r="W133" i="39"/>
  <c r="U133" i="39"/>
  <c r="T133" i="39"/>
  <c r="S133" i="39"/>
  <c r="O133" i="39"/>
  <c r="N133" i="39"/>
  <c r="M133" i="39"/>
  <c r="L133" i="39"/>
  <c r="W132" i="39"/>
  <c r="U132" i="39"/>
  <c r="T132" i="39"/>
  <c r="S132" i="39"/>
  <c r="O132" i="39"/>
  <c r="N132" i="39"/>
  <c r="M132" i="39"/>
  <c r="L132" i="39"/>
  <c r="W131" i="39"/>
  <c r="U131" i="39"/>
  <c r="T131" i="39"/>
  <c r="S131" i="39"/>
  <c r="O131" i="39"/>
  <c r="N131" i="39"/>
  <c r="M131" i="39"/>
  <c r="L131" i="39"/>
  <c r="W130" i="39"/>
  <c r="U130" i="39"/>
  <c r="T130" i="39"/>
  <c r="S130" i="39"/>
  <c r="O130" i="39"/>
  <c r="N130" i="39"/>
  <c r="M130" i="39"/>
  <c r="L130" i="39"/>
  <c r="W129" i="39"/>
  <c r="U129" i="39"/>
  <c r="T129" i="39"/>
  <c r="S129" i="39"/>
  <c r="O129" i="39"/>
  <c r="N129" i="39"/>
  <c r="M129" i="39"/>
  <c r="L129" i="39"/>
  <c r="W128" i="39"/>
  <c r="U128" i="39"/>
  <c r="T128" i="39"/>
  <c r="S128" i="39"/>
  <c r="O128" i="39"/>
  <c r="N128" i="39"/>
  <c r="M128" i="39"/>
  <c r="L128" i="39"/>
  <c r="W127" i="39"/>
  <c r="U127" i="39"/>
  <c r="T127" i="39"/>
  <c r="S127" i="39"/>
  <c r="O127" i="39"/>
  <c r="N127" i="39"/>
  <c r="M127" i="39"/>
  <c r="L127" i="39"/>
  <c r="W126" i="39"/>
  <c r="U126" i="39"/>
  <c r="T126" i="39"/>
  <c r="S126" i="39"/>
  <c r="O126" i="39"/>
  <c r="N126" i="39"/>
  <c r="M126" i="39"/>
  <c r="L126" i="39"/>
  <c r="W125" i="39"/>
  <c r="U125" i="39"/>
  <c r="T125" i="39"/>
  <c r="S125" i="39"/>
  <c r="O125" i="39"/>
  <c r="N125" i="39"/>
  <c r="M125" i="39"/>
  <c r="L125" i="39"/>
  <c r="W124" i="39"/>
  <c r="U124" i="39"/>
  <c r="T124" i="39"/>
  <c r="S124" i="39"/>
  <c r="O124" i="39"/>
  <c r="N124" i="39"/>
  <c r="M124" i="39"/>
  <c r="L124" i="39"/>
  <c r="W123" i="39"/>
  <c r="U123" i="39"/>
  <c r="T123" i="39"/>
  <c r="S123" i="39"/>
  <c r="O123" i="39"/>
  <c r="N123" i="39"/>
  <c r="M123" i="39"/>
  <c r="L123" i="39"/>
  <c r="W122" i="39"/>
  <c r="U122" i="39"/>
  <c r="T122" i="39"/>
  <c r="S122" i="39"/>
  <c r="O122" i="39"/>
  <c r="N122" i="39"/>
  <c r="M122" i="39"/>
  <c r="L122" i="39"/>
  <c r="W121" i="39"/>
  <c r="U121" i="39"/>
  <c r="T121" i="39"/>
  <c r="S121" i="39"/>
  <c r="O121" i="39"/>
  <c r="N121" i="39"/>
  <c r="M121" i="39"/>
  <c r="L121" i="39"/>
  <c r="W120" i="39"/>
  <c r="U120" i="39"/>
  <c r="T120" i="39"/>
  <c r="S120" i="39"/>
  <c r="O120" i="39"/>
  <c r="N120" i="39"/>
  <c r="M120" i="39"/>
  <c r="L120" i="39"/>
  <c r="W2" i="39"/>
  <c r="V2" i="39"/>
  <c r="U2" i="39"/>
  <c r="T2" i="39"/>
  <c r="S2" i="39"/>
  <c r="O2" i="39"/>
  <c r="N2" i="39"/>
  <c r="M2" i="39"/>
  <c r="L2" i="39"/>
  <c r="AA148" i="39"/>
  <c r="AA137" i="39"/>
  <c r="AA126" i="39"/>
  <c r="Q137" i="39"/>
  <c r="Q126" i="39"/>
  <c r="AA143" i="39"/>
  <c r="AA136" i="39"/>
  <c r="Q143" i="39"/>
  <c r="Q132" i="39"/>
  <c r="Q121" i="39"/>
  <c r="Q145" i="39"/>
  <c r="Q123" i="39"/>
  <c r="AA142" i="39"/>
  <c r="AA120" i="39"/>
  <c r="AA122" i="39"/>
  <c r="AA135" i="39"/>
  <c r="AA124" i="39"/>
  <c r="Q131" i="39"/>
  <c r="Q120" i="39"/>
  <c r="Q144" i="39"/>
  <c r="Q133" i="39"/>
  <c r="Q122" i="39"/>
  <c r="AA141" i="39"/>
  <c r="AA132" i="39"/>
  <c r="Q128" i="39"/>
  <c r="AA145" i="39"/>
  <c r="AA134" i="39"/>
  <c r="AA147" i="39"/>
  <c r="AA138" i="39"/>
  <c r="AA129" i="39"/>
  <c r="Q136" i="39"/>
  <c r="Q125" i="39"/>
  <c r="AA131" i="39"/>
  <c r="Q138" i="39"/>
  <c r="Q127" i="39"/>
  <c r="AA133" i="39"/>
  <c r="Q140" i="39"/>
  <c r="AA146" i="39"/>
  <c r="AA139" i="39"/>
  <c r="AA128" i="39"/>
  <c r="Q146" i="39"/>
  <c r="Q135" i="39"/>
  <c r="Q124" i="39"/>
  <c r="AA130" i="39"/>
  <c r="Q148" i="39"/>
  <c r="AA121" i="39"/>
  <c r="Q139" i="39"/>
  <c r="AA123" i="39"/>
  <c r="Q141" i="39"/>
  <c r="Q130" i="39"/>
  <c r="AA125" i="39"/>
  <c r="AA127" i="39"/>
  <c r="Q134" i="39"/>
  <c r="AA140" i="39"/>
  <c r="Q147" i="39"/>
  <c r="AA144" i="39"/>
  <c r="Q129" i="39"/>
  <c r="Q142" i="39"/>
  <c r="AA2" i="39"/>
  <c r="Q2" i="39"/>
  <c r="W119" i="39" l="1"/>
  <c r="U119" i="39"/>
  <c r="T119" i="39"/>
  <c r="S119" i="39"/>
  <c r="O119" i="39"/>
  <c r="N119" i="39"/>
  <c r="M119" i="39"/>
  <c r="L119" i="39"/>
  <c r="W118" i="39"/>
  <c r="U118" i="39"/>
  <c r="T118" i="39"/>
  <c r="S118" i="39"/>
  <c r="O118" i="39"/>
  <c r="N118" i="39"/>
  <c r="M118" i="39"/>
  <c r="L118" i="39"/>
  <c r="W65" i="39"/>
  <c r="U65" i="39"/>
  <c r="T65" i="39"/>
  <c r="S65" i="39"/>
  <c r="O65" i="39"/>
  <c r="N65" i="39"/>
  <c r="M65" i="39"/>
  <c r="L65" i="39"/>
  <c r="W47" i="39"/>
  <c r="U47" i="39"/>
  <c r="T47" i="39"/>
  <c r="S47" i="39"/>
  <c r="O47" i="39"/>
  <c r="N47" i="39"/>
  <c r="M47" i="39"/>
  <c r="L47" i="39"/>
  <c r="W11" i="39"/>
  <c r="U11" i="39"/>
  <c r="T11" i="39"/>
  <c r="S11" i="39"/>
  <c r="O11" i="39"/>
  <c r="N11" i="39"/>
  <c r="M11" i="39"/>
  <c r="L11" i="39"/>
  <c r="W74" i="39"/>
  <c r="U74" i="39"/>
  <c r="T74" i="39"/>
  <c r="S74" i="39"/>
  <c r="O74" i="39"/>
  <c r="N74" i="39"/>
  <c r="M74" i="39"/>
  <c r="L74" i="39"/>
  <c r="W110" i="39"/>
  <c r="U110" i="39"/>
  <c r="T110" i="39"/>
  <c r="S110" i="39"/>
  <c r="O110" i="39"/>
  <c r="N110" i="39"/>
  <c r="M110" i="39"/>
  <c r="L110" i="39"/>
  <c r="W101" i="39"/>
  <c r="U101" i="39"/>
  <c r="T101" i="39"/>
  <c r="S101" i="39"/>
  <c r="O101" i="39"/>
  <c r="N101" i="39"/>
  <c r="M101" i="39"/>
  <c r="L101" i="39"/>
  <c r="W92" i="39"/>
  <c r="U92" i="39"/>
  <c r="T92" i="39"/>
  <c r="S92" i="39"/>
  <c r="O92" i="39"/>
  <c r="N92" i="39"/>
  <c r="M92" i="39"/>
  <c r="L92" i="39"/>
  <c r="W83" i="39"/>
  <c r="U83" i="39"/>
  <c r="T83" i="39"/>
  <c r="S83" i="39"/>
  <c r="O83" i="39"/>
  <c r="N83" i="39"/>
  <c r="M83" i="39"/>
  <c r="L83" i="39"/>
  <c r="W56" i="39"/>
  <c r="U56" i="39"/>
  <c r="T56" i="39"/>
  <c r="S56" i="39"/>
  <c r="O56" i="39"/>
  <c r="N56" i="39"/>
  <c r="M56" i="39"/>
  <c r="L56" i="39"/>
  <c r="W38" i="39"/>
  <c r="U38" i="39"/>
  <c r="T38" i="39"/>
  <c r="S38" i="39"/>
  <c r="O38" i="39"/>
  <c r="N38" i="39"/>
  <c r="M38" i="39"/>
  <c r="L38" i="39"/>
  <c r="W29" i="39"/>
  <c r="U29" i="39"/>
  <c r="T29" i="39"/>
  <c r="S29" i="39"/>
  <c r="O29" i="39"/>
  <c r="N29" i="39"/>
  <c r="M29" i="39"/>
  <c r="L29" i="39"/>
  <c r="W20" i="39"/>
  <c r="U20" i="39"/>
  <c r="T20" i="39"/>
  <c r="S20" i="39"/>
  <c r="O20" i="39"/>
  <c r="N20" i="39"/>
  <c r="M20" i="39"/>
  <c r="L20" i="39"/>
  <c r="W111" i="39"/>
  <c r="U111" i="39"/>
  <c r="T111" i="39"/>
  <c r="S111" i="39"/>
  <c r="O111" i="39"/>
  <c r="N111" i="39"/>
  <c r="M111" i="39"/>
  <c r="L111" i="39"/>
  <c r="W117" i="39"/>
  <c r="U117" i="39"/>
  <c r="T117" i="39"/>
  <c r="S117" i="39"/>
  <c r="O117" i="39"/>
  <c r="N117" i="39"/>
  <c r="M117" i="39"/>
  <c r="L117" i="39"/>
  <c r="W116" i="39"/>
  <c r="U116" i="39"/>
  <c r="T116" i="39"/>
  <c r="S116" i="39"/>
  <c r="O116" i="39"/>
  <c r="N116" i="39"/>
  <c r="M116" i="39"/>
  <c r="L116" i="39"/>
  <c r="W115" i="39"/>
  <c r="U115" i="39"/>
  <c r="T115" i="39"/>
  <c r="S115" i="39"/>
  <c r="O115" i="39"/>
  <c r="N115" i="39"/>
  <c r="M115" i="39"/>
  <c r="L115" i="39"/>
  <c r="W114" i="39"/>
  <c r="U114" i="39"/>
  <c r="T114" i="39"/>
  <c r="S114" i="39"/>
  <c r="O114" i="39"/>
  <c r="N114" i="39"/>
  <c r="M114" i="39"/>
  <c r="L114" i="39"/>
  <c r="W112" i="39"/>
  <c r="U112" i="39"/>
  <c r="T112" i="39"/>
  <c r="S112" i="39"/>
  <c r="O112" i="39"/>
  <c r="N112" i="39"/>
  <c r="M112" i="39"/>
  <c r="L112" i="39"/>
  <c r="W93" i="39"/>
  <c r="U93" i="39"/>
  <c r="T93" i="39"/>
  <c r="S93" i="39"/>
  <c r="O93" i="39"/>
  <c r="N93" i="39"/>
  <c r="M93" i="39"/>
  <c r="L93" i="39"/>
  <c r="W100" i="39"/>
  <c r="U100" i="39"/>
  <c r="T100" i="39"/>
  <c r="S100" i="39"/>
  <c r="O100" i="39"/>
  <c r="N100" i="39"/>
  <c r="M100" i="39"/>
  <c r="L100" i="39"/>
  <c r="W99" i="39"/>
  <c r="U99" i="39"/>
  <c r="T99" i="39"/>
  <c r="S99" i="39"/>
  <c r="O99" i="39"/>
  <c r="N99" i="39"/>
  <c r="M99" i="39"/>
  <c r="L99" i="39"/>
  <c r="W98" i="39"/>
  <c r="U98" i="39"/>
  <c r="T98" i="39"/>
  <c r="S98" i="39"/>
  <c r="O98" i="39"/>
  <c r="N98" i="39"/>
  <c r="M98" i="39"/>
  <c r="L98" i="39"/>
  <c r="W97" i="39"/>
  <c r="U97" i="39"/>
  <c r="T97" i="39"/>
  <c r="S97" i="39"/>
  <c r="O97" i="39"/>
  <c r="N97" i="39"/>
  <c r="M97" i="39"/>
  <c r="L97" i="39"/>
  <c r="W96" i="39"/>
  <c r="U96" i="39"/>
  <c r="T96" i="39"/>
  <c r="S96" i="39"/>
  <c r="O96" i="39"/>
  <c r="N96" i="39"/>
  <c r="M96" i="39"/>
  <c r="L96" i="39"/>
  <c r="W94" i="39"/>
  <c r="U94" i="39"/>
  <c r="T94" i="39"/>
  <c r="S94" i="39"/>
  <c r="O94" i="39"/>
  <c r="N94" i="39"/>
  <c r="M94" i="39"/>
  <c r="L94" i="39"/>
  <c r="W57" i="39"/>
  <c r="U57" i="39"/>
  <c r="T57" i="39"/>
  <c r="S57" i="39"/>
  <c r="O57" i="39"/>
  <c r="N57" i="39"/>
  <c r="M57" i="39"/>
  <c r="L57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8" i="39"/>
  <c r="U58" i="39"/>
  <c r="T58" i="39"/>
  <c r="S58" i="39"/>
  <c r="O58" i="39"/>
  <c r="N58" i="39"/>
  <c r="M58" i="39"/>
  <c r="L58" i="39"/>
  <c r="W39" i="39"/>
  <c r="U39" i="39"/>
  <c r="T39" i="39"/>
  <c r="S39" i="39"/>
  <c r="O39" i="39"/>
  <c r="N39" i="39"/>
  <c r="M39" i="39"/>
  <c r="L39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0" i="39"/>
  <c r="U40" i="39"/>
  <c r="T40" i="39"/>
  <c r="S40" i="39"/>
  <c r="O40" i="39"/>
  <c r="N40" i="39"/>
  <c r="M40" i="39"/>
  <c r="L40" i="39"/>
  <c r="W3" i="39"/>
  <c r="U3" i="39"/>
  <c r="T3" i="39"/>
  <c r="S3" i="39"/>
  <c r="O3" i="39"/>
  <c r="N3" i="39"/>
  <c r="M3" i="39"/>
  <c r="L3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4" i="39"/>
  <c r="U4" i="39"/>
  <c r="T4" i="39"/>
  <c r="S4" i="39"/>
  <c r="O4" i="39"/>
  <c r="N4" i="39"/>
  <c r="M4" i="39"/>
  <c r="L4" i="39"/>
  <c r="W66" i="39"/>
  <c r="U66" i="39"/>
  <c r="T66" i="39"/>
  <c r="S66" i="39"/>
  <c r="O66" i="39"/>
  <c r="N66" i="39"/>
  <c r="M66" i="39"/>
  <c r="L66" i="39"/>
  <c r="W73" i="39"/>
  <c r="U73" i="39"/>
  <c r="T73" i="39"/>
  <c r="S73" i="39"/>
  <c r="O73" i="39"/>
  <c r="N73" i="39"/>
  <c r="M73" i="39"/>
  <c r="L73" i="39"/>
  <c r="W72" i="39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7" i="39"/>
  <c r="U67" i="39"/>
  <c r="T67" i="39"/>
  <c r="S67" i="39"/>
  <c r="O67" i="39"/>
  <c r="N67" i="39"/>
  <c r="M67" i="39"/>
  <c r="L67" i="39"/>
  <c r="W102" i="39"/>
  <c r="U102" i="39"/>
  <c r="T102" i="39"/>
  <c r="S102" i="39"/>
  <c r="O102" i="39"/>
  <c r="N102" i="39"/>
  <c r="M102" i="39"/>
  <c r="L102" i="39"/>
  <c r="W109" i="39"/>
  <c r="U109" i="39"/>
  <c r="T109" i="39"/>
  <c r="S109" i="39"/>
  <c r="O109" i="39"/>
  <c r="N109" i="39"/>
  <c r="M109" i="39"/>
  <c r="L109" i="39"/>
  <c r="W108" i="39"/>
  <c r="U108" i="39"/>
  <c r="T108" i="39"/>
  <c r="S108" i="39"/>
  <c r="O108" i="39"/>
  <c r="N108" i="39"/>
  <c r="M108" i="39"/>
  <c r="L108" i="39"/>
  <c r="W107" i="39"/>
  <c r="U107" i="39"/>
  <c r="T107" i="39"/>
  <c r="S107" i="39"/>
  <c r="O107" i="39"/>
  <c r="N107" i="39"/>
  <c r="M107" i="39"/>
  <c r="L107" i="39"/>
  <c r="W106" i="39"/>
  <c r="U106" i="39"/>
  <c r="T106" i="39"/>
  <c r="S106" i="39"/>
  <c r="O106" i="39"/>
  <c r="N106" i="39"/>
  <c r="M106" i="39"/>
  <c r="L106" i="39"/>
  <c r="W105" i="39"/>
  <c r="U105" i="39"/>
  <c r="T105" i="39"/>
  <c r="S105" i="39"/>
  <c r="O105" i="39"/>
  <c r="N105" i="39"/>
  <c r="M105" i="39"/>
  <c r="L105" i="39"/>
  <c r="W103" i="39"/>
  <c r="U103" i="39"/>
  <c r="T103" i="39"/>
  <c r="S103" i="39"/>
  <c r="O103" i="39"/>
  <c r="N103" i="39"/>
  <c r="M103" i="39"/>
  <c r="L103" i="39"/>
  <c r="W84" i="39"/>
  <c r="U84" i="39"/>
  <c r="T84" i="39"/>
  <c r="S84" i="39"/>
  <c r="O84" i="39"/>
  <c r="N84" i="39"/>
  <c r="M84" i="39"/>
  <c r="L84" i="39"/>
  <c r="W91" i="39"/>
  <c r="U91" i="39"/>
  <c r="T91" i="39"/>
  <c r="S91" i="39"/>
  <c r="O91" i="39"/>
  <c r="N91" i="39"/>
  <c r="M91" i="39"/>
  <c r="L91" i="39"/>
  <c r="W90" i="39"/>
  <c r="U90" i="39"/>
  <c r="T90" i="39"/>
  <c r="S90" i="39"/>
  <c r="O90" i="39"/>
  <c r="N90" i="39"/>
  <c r="M90" i="39"/>
  <c r="L90" i="39"/>
  <c r="W89" i="39"/>
  <c r="U89" i="39"/>
  <c r="T89" i="39"/>
  <c r="S89" i="39"/>
  <c r="O89" i="39"/>
  <c r="N89" i="39"/>
  <c r="M89" i="39"/>
  <c r="L89" i="39"/>
  <c r="W88" i="39"/>
  <c r="U88" i="39"/>
  <c r="T88" i="39"/>
  <c r="S88" i="39"/>
  <c r="O88" i="39"/>
  <c r="N88" i="39"/>
  <c r="M88" i="39"/>
  <c r="L88" i="39"/>
  <c r="W87" i="39"/>
  <c r="U87" i="39"/>
  <c r="T87" i="39"/>
  <c r="S87" i="39"/>
  <c r="O87" i="39"/>
  <c r="N87" i="39"/>
  <c r="M87" i="39"/>
  <c r="L87" i="39"/>
  <c r="W85" i="39"/>
  <c r="U85" i="39"/>
  <c r="T85" i="39"/>
  <c r="S85" i="39"/>
  <c r="O85" i="39"/>
  <c r="N85" i="39"/>
  <c r="M85" i="39"/>
  <c r="L85" i="39"/>
  <c r="W75" i="39"/>
  <c r="U75" i="39"/>
  <c r="T75" i="39"/>
  <c r="S75" i="39"/>
  <c r="O75" i="39"/>
  <c r="N75" i="39"/>
  <c r="M75" i="39"/>
  <c r="L75" i="39"/>
  <c r="W82" i="39"/>
  <c r="U82" i="39"/>
  <c r="T82" i="39"/>
  <c r="S82" i="39"/>
  <c r="O82" i="39"/>
  <c r="N82" i="39"/>
  <c r="M82" i="39"/>
  <c r="L82" i="39"/>
  <c r="W81" i="39"/>
  <c r="U81" i="39"/>
  <c r="T81" i="39"/>
  <c r="S81" i="39"/>
  <c r="O81" i="39"/>
  <c r="N81" i="39"/>
  <c r="M81" i="39"/>
  <c r="L81" i="39"/>
  <c r="W80" i="39"/>
  <c r="U80" i="39"/>
  <c r="T80" i="39"/>
  <c r="S80" i="39"/>
  <c r="O80" i="39"/>
  <c r="N80" i="39"/>
  <c r="M80" i="39"/>
  <c r="L80" i="39"/>
  <c r="W79" i="39"/>
  <c r="U79" i="39"/>
  <c r="T79" i="39"/>
  <c r="S79" i="39"/>
  <c r="O79" i="39"/>
  <c r="N79" i="39"/>
  <c r="M79" i="39"/>
  <c r="L79" i="39"/>
  <c r="W78" i="39"/>
  <c r="U78" i="39"/>
  <c r="T78" i="39"/>
  <c r="S78" i="39"/>
  <c r="O78" i="39"/>
  <c r="N78" i="39"/>
  <c r="M78" i="39"/>
  <c r="L78" i="39"/>
  <c r="W76" i="39"/>
  <c r="U76" i="39"/>
  <c r="T76" i="39"/>
  <c r="S76" i="39"/>
  <c r="O76" i="39"/>
  <c r="N76" i="39"/>
  <c r="M76" i="39"/>
  <c r="L76" i="39"/>
  <c r="W48" i="39"/>
  <c r="U48" i="39"/>
  <c r="T48" i="39"/>
  <c r="S48" i="39"/>
  <c r="O48" i="39"/>
  <c r="N48" i="39"/>
  <c r="M48" i="39"/>
  <c r="L48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49" i="39"/>
  <c r="U49" i="39"/>
  <c r="T49" i="39"/>
  <c r="S49" i="39"/>
  <c r="O49" i="39"/>
  <c r="N49" i="39"/>
  <c r="M49" i="39"/>
  <c r="L49" i="39"/>
  <c r="W30" i="39"/>
  <c r="U30" i="39"/>
  <c r="T30" i="39"/>
  <c r="S30" i="39"/>
  <c r="O30" i="39"/>
  <c r="N30" i="39"/>
  <c r="M30" i="39"/>
  <c r="L30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1" i="39"/>
  <c r="U31" i="39"/>
  <c r="T31" i="39"/>
  <c r="S31" i="39"/>
  <c r="O31" i="39"/>
  <c r="N31" i="39"/>
  <c r="M31" i="39"/>
  <c r="L31" i="39"/>
  <c r="W21" i="39"/>
  <c r="U21" i="39"/>
  <c r="T21" i="39"/>
  <c r="S21" i="39"/>
  <c r="O21" i="39"/>
  <c r="N21" i="39"/>
  <c r="M21" i="39"/>
  <c r="L21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2" i="39"/>
  <c r="U22" i="39"/>
  <c r="T22" i="39"/>
  <c r="S22" i="39"/>
  <c r="O22" i="39"/>
  <c r="N22" i="39"/>
  <c r="M22" i="39"/>
  <c r="L22" i="39"/>
  <c r="W12" i="39"/>
  <c r="U12" i="39"/>
  <c r="T12" i="39"/>
  <c r="S12" i="39"/>
  <c r="O12" i="39"/>
  <c r="N12" i="39"/>
  <c r="M12" i="39"/>
  <c r="L12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3" i="39"/>
  <c r="U13" i="39"/>
  <c r="T13" i="39"/>
  <c r="S13" i="39"/>
  <c r="O13" i="39"/>
  <c r="N13" i="39"/>
  <c r="M13" i="39"/>
  <c r="L13" i="39"/>
  <c r="AA74" i="39"/>
  <c r="Q15" i="39"/>
  <c r="Q64" i="39"/>
  <c r="AA71" i="39"/>
  <c r="AA48" i="39"/>
  <c r="Q60" i="39"/>
  <c r="Q89" i="39"/>
  <c r="Q39" i="39"/>
  <c r="AA43" i="39"/>
  <c r="Q51" i="39"/>
  <c r="Q70" i="39"/>
  <c r="AA91" i="39"/>
  <c r="AA16" i="39"/>
  <c r="AA63" i="39"/>
  <c r="AA40" i="39"/>
  <c r="Q87" i="39"/>
  <c r="Q107" i="39"/>
  <c r="AA84" i="39"/>
  <c r="Q62" i="39"/>
  <c r="Q114" i="39"/>
  <c r="Q80" i="39"/>
  <c r="AA117" i="39"/>
  <c r="AA62" i="39"/>
  <c r="AA19" i="39"/>
  <c r="AA108" i="39"/>
  <c r="AA112" i="39"/>
  <c r="Q118" i="39"/>
  <c r="Q40" i="39"/>
  <c r="AA7" i="39"/>
  <c r="AA65" i="39"/>
  <c r="AA54" i="39"/>
  <c r="AA66" i="39"/>
  <c r="AA85" i="39"/>
  <c r="AA111" i="39"/>
  <c r="Q111" i="39"/>
  <c r="AA47" i="39"/>
  <c r="Q79" i="39"/>
  <c r="Q97" i="39"/>
  <c r="Q117" i="39"/>
  <c r="Q47" i="39"/>
  <c r="AA105" i="39"/>
  <c r="Q42" i="39"/>
  <c r="AA11" i="39"/>
  <c r="AA78" i="39"/>
  <c r="AA37" i="39"/>
  <c r="AA13" i="39"/>
  <c r="Q21" i="39"/>
  <c r="AA70" i="39"/>
  <c r="Q74" i="39"/>
  <c r="AA53" i="39"/>
  <c r="AA107" i="39"/>
  <c r="AA102" i="39"/>
  <c r="Q73" i="39"/>
  <c r="Q30" i="39"/>
  <c r="Q17" i="39"/>
  <c r="Q67" i="39"/>
  <c r="AA46" i="39"/>
  <c r="AA58" i="39"/>
  <c r="AA18" i="39"/>
  <c r="Q58" i="39"/>
  <c r="Q110" i="39"/>
  <c r="Q18" i="39"/>
  <c r="AA25" i="39"/>
  <c r="Q116" i="39"/>
  <c r="Q22" i="39"/>
  <c r="AA26" i="39"/>
  <c r="Q31" i="39"/>
  <c r="AA101" i="39"/>
  <c r="Q35" i="39"/>
  <c r="AA27" i="39"/>
  <c r="AA15" i="39"/>
  <c r="Q103" i="39"/>
  <c r="Q82" i="39"/>
  <c r="Q78" i="39"/>
  <c r="AA45" i="39"/>
  <c r="Q4" i="39"/>
  <c r="AA9" i="39"/>
  <c r="Q99" i="39"/>
  <c r="Q84" i="39"/>
  <c r="Q36" i="39"/>
  <c r="Q25" i="39"/>
  <c r="AA115" i="39"/>
  <c r="Q85" i="39"/>
  <c r="AA118" i="39"/>
  <c r="Q6" i="39"/>
  <c r="AA82" i="39"/>
  <c r="Q29" i="39"/>
  <c r="Q76" i="39"/>
  <c r="Q72" i="39"/>
  <c r="AA20" i="39"/>
  <c r="Q115" i="39"/>
  <c r="Q112" i="39"/>
  <c r="Q65" i="39"/>
  <c r="AA67" i="39"/>
  <c r="AA116" i="39"/>
  <c r="AA28" i="39"/>
  <c r="AA88" i="39"/>
  <c r="AA114" i="39"/>
  <c r="Q100" i="39"/>
  <c r="AA42" i="39"/>
  <c r="AA99" i="39"/>
  <c r="Q7" i="39"/>
  <c r="Q71" i="39"/>
  <c r="AA110" i="39"/>
  <c r="Q90" i="39"/>
  <c r="Q33" i="39"/>
  <c r="Q57" i="39"/>
  <c r="Q98" i="39"/>
  <c r="AA100" i="39"/>
  <c r="Q43" i="39"/>
  <c r="Q96" i="39"/>
  <c r="Q75" i="39"/>
  <c r="AA94" i="39"/>
  <c r="AA44" i="39"/>
  <c r="Q101" i="39"/>
  <c r="Q37" i="39"/>
  <c r="Q91" i="39"/>
  <c r="AA97" i="39"/>
  <c r="Q26" i="39"/>
  <c r="Q45" i="39"/>
  <c r="AA39" i="39"/>
  <c r="AA17" i="39"/>
  <c r="Q54" i="39"/>
  <c r="Q55" i="39"/>
  <c r="Q56" i="39"/>
  <c r="AA51" i="39"/>
  <c r="AA57" i="39"/>
  <c r="AA38" i="39"/>
  <c r="Q109" i="39"/>
  <c r="AA103" i="39"/>
  <c r="Q119" i="39"/>
  <c r="Q9" i="39"/>
  <c r="Q27" i="39"/>
  <c r="Q106" i="39"/>
  <c r="AA75" i="39"/>
  <c r="Q61" i="39"/>
  <c r="AA34" i="39"/>
  <c r="Q13" i="39"/>
  <c r="AA96" i="39"/>
  <c r="Q19" i="39"/>
  <c r="AA49" i="39"/>
  <c r="AA79" i="39"/>
  <c r="AA8" i="39"/>
  <c r="AA52" i="39"/>
  <c r="AA92" i="39"/>
  <c r="AA109" i="39"/>
  <c r="AA89" i="39"/>
  <c r="Q94" i="39"/>
  <c r="AA6" i="39"/>
  <c r="AA69" i="39"/>
  <c r="AA98" i="39"/>
  <c r="AA4" i="39"/>
  <c r="Q102" i="39"/>
  <c r="Q92" i="39"/>
  <c r="AA33" i="39"/>
  <c r="Q28" i="39"/>
  <c r="AA61" i="39"/>
  <c r="Q24" i="39"/>
  <c r="Q53" i="39"/>
  <c r="Q108" i="39"/>
  <c r="AA31" i="39"/>
  <c r="Q34" i="39"/>
  <c r="AA83" i="39"/>
  <c r="Q88" i="39"/>
  <c r="AA35" i="39"/>
  <c r="Q83" i="39"/>
  <c r="Q46" i="39"/>
  <c r="Q105" i="39"/>
  <c r="AA24" i="39"/>
  <c r="AA72" i="39"/>
  <c r="Q12" i="39"/>
  <c r="Q66" i="39"/>
  <c r="AA12" i="39"/>
  <c r="AA73" i="39"/>
  <c r="AA36" i="39"/>
  <c r="AA87" i="39"/>
  <c r="Q38" i="39"/>
  <c r="AA3" i="39"/>
  <c r="Q49" i="39"/>
  <c r="AA81" i="39"/>
  <c r="AA29" i="39"/>
  <c r="AA21" i="39"/>
  <c r="Q3" i="39"/>
  <c r="AA106" i="39"/>
  <c r="Q69" i="39"/>
  <c r="AA76" i="39"/>
  <c r="AA60" i="39"/>
  <c r="Q20" i="39"/>
  <c r="Q8" i="39"/>
  <c r="Q52" i="39"/>
  <c r="Q10" i="39"/>
  <c r="Q93" i="39"/>
  <c r="AA30" i="39"/>
  <c r="Q16" i="39"/>
  <c r="AA80" i="39"/>
  <c r="AA93" i="39"/>
  <c r="AA90" i="39"/>
  <c r="Q11" i="39"/>
  <c r="AA64" i="39"/>
  <c r="Q81" i="39"/>
  <c r="AA55" i="39"/>
  <c r="Q44" i="39"/>
  <c r="AA56" i="39"/>
  <c r="AA119" i="39"/>
  <c r="Q48" i="39"/>
  <c r="AA22" i="39"/>
  <c r="AA10" i="39"/>
  <c r="Q63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<sst xmlns="http://schemas.openxmlformats.org/spreadsheetml/2006/main" count="3494" uniqueCount="611">
  <si>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</si>
  <si>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</si>
  <si>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</si>
  <si>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</si>
  <si>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</si>
  <si>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</si>
  <si>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</si>
  <si>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</si>
  <si>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</si>
  <si>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</si>
  <si>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</si>
  <si>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</si>
  <si>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</si>
  <si>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</si>
  <si>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</si>
  <si>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</si>
  <si>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</si>
  <si>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</si>
  <si>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</si>
  <si>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</si>
  <si>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</si>
  <si>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</si>
  <si>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</si>
  <si>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</si>
  <si>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</si>
  <si>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</si>
  <si>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</si>
  <si>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</si>
  <si>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</si>
  <si>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</si>
  <si>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</si>
  <si>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</si>
  <si>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</si>
  <si>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</si>
  <si>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</si>
  <si>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</si>
  <si>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</si>
  <si>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</si>
  <si>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</si>
  <si>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</si>
  <si>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</si>
  <si>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</si>
  <si>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</si>
  <si>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</si>
  <si>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</si>
  <si>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</si>
  <si>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</si>
  <si>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</si>
  <si>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</si>
  <si>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</si>
  <si>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</si>
  <si>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</si>
  <si>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</si>
  <si>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</si>
  <si>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</si>
  <si>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</si>
  <si>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</si>
  <si>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</si>
  <si>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</si>
  <si>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</si>
  <si>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</si>
  <si>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</si>
  <si>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</si>
  <si>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</si>
  <si>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</si>
  <si>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</si>
  <si>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</si>
  <si>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</si>
  <si>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</si>
  <si>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</si>
  <si>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</si>
  <si>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</si>
  <si>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</si>
  <si>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</si>
  <si>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</si>
  <si>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</si>
  <si>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</si>
  <si>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</si>
  <si>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</si>
  <si>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</si>
  <si>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</si>
  <si>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</si>
  <si>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</si>
  <si>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</si>
  <si>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</si>
  <si>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</si>
  <si>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</si>
  <si>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</si>
  <si>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</si>
  <si>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</si>
  <si>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</si>
  <si>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</si>
  <si>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</si>
  <si>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</si>
  <si>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</si>
  <si>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</si>
  <si>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</si>
  <si>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</si>
  <si>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</si>
  <si>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</si>
  <si>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</si>
  <si>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</si>
  <si>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</si>
  <si>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</si>
  <si>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</si>
  <si>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</si>
  <si>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</si>
  <si>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</si>
  <si>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</si>
  <si>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</si>
  <si>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</si>
  <si>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</si>
  <si>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</si>
  <si>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</si>
  <si>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</si>
  <si>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</si>
  <si>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</si>
  <si>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</si>
  <si>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</si>
  <si>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</si>
  <si>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</si>
  <si>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</si>
  <si>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</si>
  <si>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</si>
  <si>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</si>
  <si>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</si>
  <si>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</si>
  <si>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</si>
  <si>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</si>
  <si>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</si>
  <si>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</si>
  <si>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</si>
  <si>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</si>
  <si>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</si>
  <si>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</si>
  <si>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</si>
  <si>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</si>
  <si>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</si>
  <si>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</si>
  <si>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</si>
  <si>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</si>
  <si>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</si>
  <si>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</si>
  <si>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</si>
  <si>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</si>
  <si>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</si>
  <si>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</si>
  <si>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</si>
  <si>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</si>
  <si>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</si>
  <si>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</si>
  <si>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</si>
  <si>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</si>
  <si>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</si>
  <si>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</si>
  <si>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</si>
  <si>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</si>
  <si>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</si>
  <si>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</si>
  <si>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</si>
  <si>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</si>
  <si>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</si>
  <si>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</si>
  <si>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</si>
  <si>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</si>
  <si>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</si>
  <si>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</si>
  <si>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</si>
  <si>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</si>
  <si>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</si>
  <si>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</si>
  <si>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</si>
  <si>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</si>
  <si>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</si>
  <si>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</si>
  <si>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</si>
  <si>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</si>
  <si>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</si>
  <si>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</si>
  <si>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</si>
  <si>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</si>
  <si>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</si>
  <si>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</si>
  <si>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</si>
  <si>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</si>
  <si>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</si>
  <si>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</si>
  <si>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</si>
  <si>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</si>
  <si>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</si>
  <si>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</si>
  <si>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</si>
  <si>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</si>
  <si>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</si>
  <si>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</si>
  <si>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</si>
  <si>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</si>
  <si>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</si>
  <si>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</si>
  <si>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</si>
  <si>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</si>
  <si>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</si>
  <si>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</si>
  <si>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</si>
  <si>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</si>
  <si>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</si>
  <si>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</si>
  <si>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</si>
  <si>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</si>
  <si>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</si>
  <si>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</si>
  <si>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</si>
  <si>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</si>
  <si>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</si>
  <si>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</si>
  <si>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</si>
  <si>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</si>
  <si>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</si>
  <si>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</si>
  <si>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</si>
  <si>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</si>
  <si>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</si>
  <si>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</si>
  <si>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</si>
  <si>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</si>
  <si>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</si>
  <si>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</si>
  <si>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</si>
  <si>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</si>
  <si>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</si>
  <si>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</si>
  <si>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</si>
  <si>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</si>
  <si>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</si>
  <si>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</si>
  <si>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</si>
  <si>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</si>
  <si>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</si>
  <si>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</si>
  <si>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</si>
  <si>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</si>
  <si>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</si>
  <si>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</si>
  <si>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</si>
  <si>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</si>
  <si>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</si>
  <si>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</si>
  <si>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</si>
  <si>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</si>
  <si>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</si>
  <si>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</si>
  <si>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Catálogo.Projeto.01</t>
  </si>
  <si>
    <t>Projeto.01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</si>
  <si>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</si>
  <si>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</si>
  <si>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</si>
  <si>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</si>
  <si>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</si>
  <si>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</si>
  <si>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</si>
  <si>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</si>
  <si>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</si>
  <si>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</si>
  <si>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</si>
  <si>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</si>
  <si>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</si>
  <si>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</si>
  <si>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"Soluções de construção a seco: Drywall, tetos, forros e fachadas."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</si>
  <si>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</si>
  <si>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</si>
  <si>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</si>
  <si>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</si>
  <si>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</si>
  <si>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</si>
  <si>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</si>
  <si>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</si>
  <si>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</si>
  <si>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</si>
  <si>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</si>
  <si>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</si>
  <si>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</si>
  <si>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</si>
  <si>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</si>
  <si>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</si>
  <si>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</si>
  <si>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"Peças para saneamento básico em Ferro Fundido Dúctil: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</si>
  <si>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</si>
  <si>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</si>
  <si>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</si>
  <si>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</si>
  <si>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</si>
  <si>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</si>
  <si>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</si>
  <si>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</si>
  <si>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</si>
  <si>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</si>
  <si>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</si>
  <si>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</si>
  <si>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</si>
  <si>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</si>
  <si>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</si>
  <si>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</si>
  <si>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</si>
  <si>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</si>
  <si>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</si>
  <si>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</si>
  <si>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</si>
  <si>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</si>
  <si>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com toda a informação do projeto."</t>
  </si>
  <si>
    <t>"Contêiner do catálogo de Fabricante de ntes usados no projeto."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</si>
  <si>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</si>
  <si>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</si>
  <si>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</si>
  <si>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</si>
  <si>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</si>
  <si>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</si>
  <si>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</si>
  <si>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</si>
  <si>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</si>
  <si>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</si>
  <si>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</si>
  <si>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</si>
  <si>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</si>
  <si>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</si>
  <si>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</si>
  <si>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</si>
  <si>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</si>
  <si>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</si>
  <si>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Mec.Fornecimento</t>
  </si>
  <si>
    <t>Mec.Projetista</t>
  </si>
  <si>
    <t>Mec.Serviço</t>
  </si>
  <si>
    <t>Mob.Consultor</t>
  </si>
  <si>
    <t>Mob.Empresa.Consultora</t>
  </si>
  <si>
    <t>Mob.Fabricante</t>
  </si>
  <si>
    <t>Mob.Fornecimento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</si>
  <si>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</si>
  <si>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</si>
  <si>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</si>
  <si>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</si>
  <si>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</si>
  <si>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</si>
  <si>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</si>
  <si>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</si>
  <si>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</si>
  <si>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</si>
  <si>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Lab.Fornecimento</t>
  </si>
  <si>
    <t>Lab.Projetista</t>
  </si>
  <si>
    <t>Lab.Serviço</t>
  </si>
  <si>
    <t>Ins.Consultor</t>
  </si>
  <si>
    <t>Ins.Empresa.Consultora</t>
  </si>
  <si>
    <t>Ins.Fabricante</t>
  </si>
  <si>
    <t>Ins.Fornecimento</t>
  </si>
  <si>
    <t>Ins.Projetista</t>
  </si>
  <si>
    <t>Ins.Serviço</t>
  </si>
  <si>
    <t>Arq.Consultor</t>
  </si>
  <si>
    <t>Arq.EmpresArq.Consultora</t>
  </si>
  <si>
    <t>Arq.Fabricante</t>
  </si>
  <si>
    <t>Arq.Fornecimento</t>
  </si>
  <si>
    <t>Arq.Projetista</t>
  </si>
  <si>
    <t>Arq.Serviço</t>
  </si>
  <si>
    <t>Est.Consultor</t>
  </si>
  <si>
    <t>Est.Empresa.Consultora</t>
  </si>
  <si>
    <t>Est.Fabricante</t>
  </si>
  <si>
    <t>Est.Fornecimento</t>
  </si>
  <si>
    <t>Est.Projetista</t>
  </si>
  <si>
    <t>Est.Serviço</t>
  </si>
  <si>
    <t>Geo.Consultor</t>
  </si>
  <si>
    <t>Geo.Empresa.Consultora</t>
  </si>
  <si>
    <t>Geo.Fabricante</t>
  </si>
  <si>
    <t>Geo.Fornecimento</t>
  </si>
  <si>
    <t>Geo.Projetista</t>
  </si>
  <si>
    <t>Geo.Serviço</t>
  </si>
  <si>
    <t>Hos.Consultor</t>
  </si>
  <si>
    <t>Hos.Empresa.Consultora</t>
  </si>
  <si>
    <t>Hos.Fabricante</t>
  </si>
  <si>
    <t>Hos.Fornecimento</t>
  </si>
  <si>
    <t>Hos.Projetista</t>
  </si>
  <si>
    <t>Hos.Serviço</t>
  </si>
  <si>
    <t>Ino.Consultor</t>
  </si>
  <si>
    <t>Ino.Empresa.Consultora</t>
  </si>
  <si>
    <t>Ino.Fabricante</t>
  </si>
  <si>
    <t>Ino.Fornecimento</t>
  </si>
  <si>
    <t>Ino.Projetista</t>
  </si>
  <si>
    <t>Ino.Serviço</t>
  </si>
  <si>
    <t>Acu.Consultor</t>
  </si>
  <si>
    <t>Acu.EmpresAcu.Consultora</t>
  </si>
  <si>
    <t>Acu.Fabricante</t>
  </si>
  <si>
    <t>Acu.Fornecimento</t>
  </si>
  <si>
    <t>Acu.Projetista</t>
  </si>
  <si>
    <t>Acu.Serviço</t>
  </si>
  <si>
    <t>Ger.Consultor</t>
  </si>
  <si>
    <t>Ger.Empresa.Consultora</t>
  </si>
  <si>
    <t>Ger.Fabricante</t>
  </si>
  <si>
    <t>Ger.Fornecimento</t>
  </si>
  <si>
    <t>Ger.Projetista</t>
  </si>
  <si>
    <t>Ger.Serviço</t>
  </si>
  <si>
    <t>Ilu.Consultor</t>
  </si>
  <si>
    <t>Ilu.Empresa.Consultora</t>
  </si>
  <si>
    <t>Ilu.Fabricante</t>
  </si>
  <si>
    <t>Ilu.Fornecimento</t>
  </si>
  <si>
    <t>Ilu.Projetista</t>
  </si>
  <si>
    <t>Ilu.Serviço</t>
  </si>
  <si>
    <t>Otis</t>
  </si>
  <si>
    <t>Atlas</t>
  </si>
  <si>
    <t>"Fabricante de equipamento de transporte vertical."</t>
  </si>
  <si>
    <t>"página : https://www.otis.com.br"</t>
  </si>
  <si>
    <t>"página : https://www.schindler.com.br"</t>
  </si>
  <si>
    <t>"Sistemas de transporte vertical: elevadores de passageiros e de cargas, escadas rolantes e esteiras rolantes."</t>
  </si>
  <si>
    <t>"página : https://www.tkelevator.com"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</si>
  <si>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</si>
  <si>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</si>
  <si>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</si>
  <si>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</si>
  <si>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</si>
  <si>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</si>
  <si>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Tel.Fornecimento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</si>
  <si>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</si>
  <si>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</si>
  <si>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</si>
  <si>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</si>
  <si>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</si>
  <si>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</si>
  <si>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</si>
  <si>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</si>
  <si>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</si>
  <si>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</si>
  <si>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</si>
  <si>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</si>
  <si>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</si>
  <si>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</si>
  <si>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</si>
  <si>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</si>
  <si>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</si>
  <si>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</si>
  <si>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</si>
  <si>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</si>
  <si>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</si>
  <si>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</si>
  <si>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</si>
  <si>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</si>
  <si>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</si>
  <si>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</si>
  <si>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</si>
  <si>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</si>
  <si>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</si>
  <si>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</si>
  <si>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</si>
  <si>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</si>
  <si>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</si>
  <si>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</si>
  <si>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</si>
  <si>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</si>
  <si>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</si>
  <si>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</si>
  <si>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</si>
  <si>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</si>
  <si>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</si>
  <si>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</si>
  <si>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</si>
  <si>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</si>
  <si>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</si>
  <si>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</si>
  <si>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</si>
  <si>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</si>
  <si>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</si>
  <si>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</si>
  <si>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Arq.Venda</t>
  </si>
  <si>
    <t>Arq.Compra</t>
  </si>
  <si>
    <t>Est.Venda</t>
  </si>
  <si>
    <t>Geo.Venda</t>
  </si>
  <si>
    <t>Hos.Venda</t>
  </si>
  <si>
    <t>Ins.Venda</t>
  </si>
  <si>
    <t>Lab.Venda</t>
  </si>
  <si>
    <t>Mob.Venda</t>
  </si>
  <si>
    <t>Mec.Venda</t>
  </si>
  <si>
    <t>Ino.Venda</t>
  </si>
  <si>
    <t>Acu.Venda</t>
  </si>
  <si>
    <t>Ger.Venda</t>
  </si>
  <si>
    <t>Ilu.Venda</t>
  </si>
  <si>
    <t>Tel.Venda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</si>
  <si>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</si>
  <si>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</si>
  <si>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</si>
  <si>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</si>
  <si>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</si>
  <si>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</si>
  <si>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</si>
  <si>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</si>
  <si>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</si>
  <si>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</si>
  <si>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</si>
  <si>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</si>
  <si>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</si>
  <si>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</si>
  <si>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</si>
  <si>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</si>
  <si>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</si>
  <si>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</si>
  <si>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</si>
  <si>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</si>
  <si>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</si>
  <si>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</si>
  <si>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</si>
  <si>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</si>
  <si>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</si>
  <si>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</si>
  <si>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</si>
  <si>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</si>
  <si>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</si>
  <si>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</si>
  <si>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</si>
  <si>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</si>
  <si>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</si>
  <si>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</si>
  <si>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</si>
  <si>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</si>
  <si>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</si>
  <si>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</si>
  <si>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</si>
  <si>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</si>
  <si>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</si>
  <si>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Key.Fab.16</t>
  </si>
  <si>
    <t>Segmento de Geotécnica</t>
  </si>
  <si>
    <t>Geo Venda</t>
  </si>
  <si>
    <t>Key.Fab.23</t>
  </si>
  <si>
    <t>Segmento Hospitalar</t>
  </si>
  <si>
    <t>Hos Venda</t>
  </si>
  <si>
    <t>Key.Fab.30</t>
  </si>
  <si>
    <t>Segmento de Instalações</t>
  </si>
  <si>
    <t>Ins Venda</t>
  </si>
  <si>
    <t>Key.Fab.37</t>
  </si>
  <si>
    <t>Segmento Laboratorial</t>
  </si>
  <si>
    <t>Lab Venda</t>
  </si>
  <si>
    <t>Key.Fab.44</t>
  </si>
  <si>
    <t>Segmento de Mobiliário</t>
  </si>
  <si>
    <t>Mob Venda</t>
  </si>
  <si>
    <t>Key.Fab.51</t>
  </si>
  <si>
    <t>Segmento de Mecânica</t>
  </si>
  <si>
    <t>Mec Venda</t>
  </si>
  <si>
    <t>Key.Fab.58</t>
  </si>
  <si>
    <t>Segmento de Inovação</t>
  </si>
  <si>
    <t>Ino Venda</t>
  </si>
  <si>
    <t>Key.Fab.65</t>
  </si>
  <si>
    <t>Segmento de Acústica</t>
  </si>
  <si>
    <t>Acu Venda</t>
  </si>
  <si>
    <t>Key.Fab.72</t>
  </si>
  <si>
    <t>Segmento Geral</t>
  </si>
  <si>
    <t>Ger Venda</t>
  </si>
  <si>
    <t>Key.Fab.79</t>
  </si>
  <si>
    <t>Segmento de Iluminação</t>
  </si>
  <si>
    <t>Ilu Venda</t>
  </si>
  <si>
    <t>Key.Fab.86</t>
  </si>
  <si>
    <t>Segmento de Telecom</t>
  </si>
  <si>
    <t>Tel Venda</t>
  </si>
  <si>
    <t>Key.Fab.92</t>
  </si>
  <si>
    <t>Segmento de Arquitetura</t>
  </si>
  <si>
    <t>Arq Venda</t>
  </si>
  <si>
    <t>Key.Fab.9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</si>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</sst>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46014.568726620368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48"/>
  <sheetViews>
    <sheetView tabSelected="1" zoomScale="205" zoomScaleNormal="205" workbookViewId="0">
      <pane ySplit="1" topLeftCell="A124" activePane="bottomLeft" state="frozen"/>
      <selection pane="bottomLeft" activeCell="A148" sqref="A148"/>
    </sheetView>
  </sheetViews>
  <sheetFormatPr defaultColWidth="2.69140625" defaultRowHeight="6.55" customHeight="1" x14ac:dyDescent="0.4"/>
  <cols>
    <col min="1" max="1" width="2.3046875" customWidth="1"/>
    <col min="2" max="2" width="4.61328125" customWidth="1"/>
    <col min="3" max="3" width="6.3046875" customWidth="1"/>
    <col min="4" max="4" width="12.3828125" customWidth="1"/>
    <col min="5" max="5" width="10.84375" customWidth="1"/>
    <col min="6" max="6" width="15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1328125" bestFit="1" customWidth="1"/>
    <col min="16" max="16" width="36.3828125" bestFit="1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10.3046875" customWidth="1"/>
    <col min="26" max="26" width="1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ht="6.55" customHeight="1" x14ac:dyDescent="0.4">
      <c r="A2" s="51">
        <v>2</v>
      </c>
      <c r="B2" s="52" t="s">
        <v>75</v>
      </c>
      <c r="C2" s="56" t="s">
        <v>160</v>
      </c>
      <c r="D2" s="52" t="s">
        <v>161</v>
      </c>
      <c r="E2" s="52" t="s">
        <v>162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>SUBSTITUTE(CONCATENATE("", C2), ".", " ")</f>
        <v>Gestão</v>
      </c>
      <c r="M2" s="58" t="str">
        <f>SUBSTITUTE(CONCATENATE("", D2), ".", " ")</f>
        <v>Produzido</v>
      </c>
      <c r="N2" s="58" t="str">
        <f>SUBSTITUTE(CONCATENATE("", E2), ".", " ")</f>
        <v>Informação</v>
      </c>
      <c r="O2" s="58" t="str">
        <f>SUBSTITUTE(CONCATENATE("", F2), ".", " ")</f>
        <v>Contêiner</v>
      </c>
      <c r="P2" s="41" t="s">
        <v>163</v>
      </c>
      <c r="Q2" s="23" t="str">
        <f>_xlfn.TRANSLATE(P2,"pt","es")</f>
        <v>Define un contenedor de información de acuerdo con la norma NBR 19650-1.</v>
      </c>
      <c r="R2" s="42" t="s">
        <v>9</v>
      </c>
      <c r="S2" s="43" t="str">
        <f t="shared" ref="S2:U4" si="0">SUBSTITUTE(C2, ".", " ")</f>
        <v>Gestão</v>
      </c>
      <c r="T2" s="43" t="str">
        <f t="shared" si="0"/>
        <v>Produzido</v>
      </c>
      <c r="U2" s="43" t="str">
        <f t="shared" si="0"/>
        <v>Informação</v>
      </c>
      <c r="V2" s="41" t="str">
        <f>SUBSTITUTE(C2, ".", " ")</f>
        <v>Gestão</v>
      </c>
      <c r="W2" s="60" t="str">
        <f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>_xlfn.TRANSLATE(P2,"pt","en")</f>
        <v>Defines an information container in accordance with the NBR 19650-1 standard.</v>
      </c>
    </row>
    <row r="3" spans="1:27" s="55" customFormat="1" ht="6.9" customHeight="1" x14ac:dyDescent="0.4">
      <c r="A3" s="51">
        <v>3</v>
      </c>
      <c r="B3" s="52" t="s">
        <v>75</v>
      </c>
      <c r="C3" s="52" t="s">
        <v>95</v>
      </c>
      <c r="D3" s="52" t="s">
        <v>317</v>
      </c>
      <c r="E3" s="52" t="s">
        <v>165</v>
      </c>
      <c r="F3" s="57" t="s">
        <v>483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>_xlfn.CONCAT(SUBSTITUTE(C3,"1.",""))</f>
        <v>Fornecedores</v>
      </c>
      <c r="M3" s="23" t="str">
        <f t="shared" ref="M3:O4" si="1">_xlfn.CONCAT(SUBSTITUTE(D3,"."," "))</f>
        <v>Segmentos dos Profissionais</v>
      </c>
      <c r="N3" s="23" t="str">
        <f t="shared" si="1"/>
        <v>Segmento de Acústica</v>
      </c>
      <c r="O3" s="23" t="str">
        <f t="shared" si="1"/>
        <v>Acu Compra</v>
      </c>
      <c r="P3" s="23" t="s">
        <v>503</v>
      </c>
      <c r="Q3" s="26" t="str">
        <f>_xlfn.TRANSLATE(P3,"pt","es")</f>
        <v>Proveedor de acústica: Es una compra de productos</v>
      </c>
      <c r="R3" s="42" t="s">
        <v>9</v>
      </c>
      <c r="S3" s="43" t="str">
        <f t="shared" si="0"/>
        <v>Fornecedores</v>
      </c>
      <c r="T3" s="43" t="str">
        <f t="shared" si="0"/>
        <v>Segmentos dos Profissionais</v>
      </c>
      <c r="U3" s="43" t="str">
        <f t="shared" si="0"/>
        <v>Segmento de Acústica</v>
      </c>
      <c r="V3" s="41" t="s">
        <v>184</v>
      </c>
      <c r="W3" s="60" t="str">
        <f>CONCATENATE("Key.Fab.",A3)</f>
        <v>Key.Fab.3</v>
      </c>
      <c r="X3" s="41" t="s">
        <v>9</v>
      </c>
      <c r="Y3" s="41" t="s">
        <v>9</v>
      </c>
      <c r="Z3" s="41" t="s">
        <v>505</v>
      </c>
      <c r="AA3" s="45" t="str">
        <f>_xlfn.TRANSLATE(P3,"pt","en")</f>
        <v>Acoustics Supplier: It is a purchase of products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317</v>
      </c>
      <c r="E4" s="52" t="s">
        <v>165</v>
      </c>
      <c r="F4" s="57" t="s">
        <v>384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>_xlfn.CONCAT(SUBSTITUTE(C4,"1.",""))</f>
        <v>Fornecedores</v>
      </c>
      <c r="M4" s="23" t="str">
        <f t="shared" si="1"/>
        <v>Segmentos dos Profissionais</v>
      </c>
      <c r="N4" s="23" t="str">
        <f t="shared" si="1"/>
        <v>Segmento de Acústica</v>
      </c>
      <c r="O4" s="23" t="str">
        <f t="shared" si="1"/>
        <v>Acu Consultor</v>
      </c>
      <c r="P4" s="23" t="s">
        <v>171</v>
      </c>
      <c r="Q4" s="26" t="str">
        <f>_xlfn.TRANSLATE(P4,"pt","es")</f>
        <v>Proveedor de acústica: es consultor autónomo</v>
      </c>
      <c r="R4" s="42" t="s">
        <v>9</v>
      </c>
      <c r="S4" s="43" t="str">
        <f t="shared" si="0"/>
        <v>Fornecedores</v>
      </c>
      <c r="T4" s="43" t="str">
        <f t="shared" si="0"/>
        <v>Segmentos dos Profissionais</v>
      </c>
      <c r="U4" s="43" t="str">
        <f t="shared" si="0"/>
        <v>Segmento de Acústica</v>
      </c>
      <c r="V4" s="41" t="s">
        <v>184</v>
      </c>
      <c r="W4" s="60" t="str">
        <f>CONCATENATE("Key.Fab.",A4)</f>
        <v>Key.Fab.4</v>
      </c>
      <c r="X4" s="41" t="s">
        <v>9</v>
      </c>
      <c r="Y4" s="41" t="s">
        <v>9</v>
      </c>
      <c r="Z4" s="41" t="s">
        <v>434</v>
      </c>
      <c r="AA4" s="45" t="str">
        <f>_xlfn.TRANSLATE(P4,"pt","en")</f>
        <v>Acoustics Supplier: is a self-employed consultant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317</v>
      </c>
      <c r="E5" s="52" t="s">
        <v>165</v>
      </c>
      <c r="F5" s="57" t="s">
        <v>567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">
        <v>95</v>
      </c>
      <c r="M5" s="23" t="s">
        <v>518</v>
      </c>
      <c r="N5" s="23" t="s">
        <v>543</v>
      </c>
      <c r="O5" s="23" t="s">
        <v>544</v>
      </c>
      <c r="P5" s="23" t="s">
        <v>580</v>
      </c>
      <c r="Q5" s="26" t="s">
        <v>602</v>
      </c>
      <c r="R5" s="42" t="s">
        <v>9</v>
      </c>
      <c r="S5" s="43" t="s">
        <v>95</v>
      </c>
      <c r="T5" s="43" t="s">
        <v>518</v>
      </c>
      <c r="U5" s="43" t="s">
        <v>543</v>
      </c>
      <c r="V5" s="41" t="s">
        <v>184</v>
      </c>
      <c r="W5" s="60" t="s">
        <v>545</v>
      </c>
      <c r="X5" s="41" t="s">
        <v>9</v>
      </c>
      <c r="Y5" s="41" t="s">
        <v>9</v>
      </c>
      <c r="Z5" s="41" t="s">
        <v>571</v>
      </c>
      <c r="AA5" s="45" t="s">
        <v>592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317</v>
      </c>
      <c r="E6" s="52" t="s">
        <v>165</v>
      </c>
      <c r="F6" s="57" t="s">
        <v>385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ref="L6:L13" si="2">_xlfn.CONCAT(SUBSTITUTE(C6,"1.",""))</f>
        <v>Fornecedores</v>
      </c>
      <c r="M6" s="23" t="str">
        <f t="shared" ref="M6:O13" si="3">_xlfn.CONCAT(SUBSTITUTE(D6,"."," "))</f>
        <v>Segmentos dos Profissionais</v>
      </c>
      <c r="N6" s="23" t="str">
        <f t="shared" si="3"/>
        <v>Segmento de Acústica</v>
      </c>
      <c r="O6" s="23" t="str">
        <f t="shared" si="3"/>
        <v>Acu EmpresAcu Consultora</v>
      </c>
      <c r="P6" s="23" t="s">
        <v>172</v>
      </c>
      <c r="Q6" s="26" t="str">
        <f t="shared" ref="Q6:Q13" si="4">_xlfn.TRANSLATE(P6,"pt","es")</f>
        <v>Proveedor en el segmento de acústica: es una empresa de consultoría</v>
      </c>
      <c r="R6" s="42" t="s">
        <v>9</v>
      </c>
      <c r="S6" s="43" t="str">
        <f t="shared" ref="S6:U13" si="5">SUBSTITUTE(C6, ".", " ")</f>
        <v>Fornecedores</v>
      </c>
      <c r="T6" s="43" t="str">
        <f t="shared" si="5"/>
        <v>Segmentos dos Profissionais</v>
      </c>
      <c r="U6" s="43" t="str">
        <f t="shared" si="5"/>
        <v>Segmento de Acústica</v>
      </c>
      <c r="V6" s="41" t="s">
        <v>184</v>
      </c>
      <c r="W6" s="60" t="str">
        <f t="shared" ref="W6:W13" si="6">CONCATENATE("Key.Fab.",A6)</f>
        <v>Key.Fab.6</v>
      </c>
      <c r="X6" s="41" t="s">
        <v>9</v>
      </c>
      <c r="Y6" s="41" t="s">
        <v>9</v>
      </c>
      <c r="Z6" s="41" t="s">
        <v>434</v>
      </c>
      <c r="AA6" s="45" t="str">
        <f t="shared" ref="AA6:AA13" si="7">_xlfn.TRANSLATE(P6,"pt","en")</f>
        <v>Supplier in the acoustics segment: it is a consulting company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317</v>
      </c>
      <c r="E7" s="52" t="s">
        <v>165</v>
      </c>
      <c r="F7" s="57" t="s">
        <v>386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2"/>
        <v>Fornecedores</v>
      </c>
      <c r="M7" s="23" t="str">
        <f t="shared" si="3"/>
        <v>Segmentos dos Profissionais</v>
      </c>
      <c r="N7" s="23" t="str">
        <f t="shared" si="3"/>
        <v>Segmento de Acústica</v>
      </c>
      <c r="O7" s="23" t="str">
        <f t="shared" si="3"/>
        <v>Acu Fabricante</v>
      </c>
      <c r="P7" s="23" t="s">
        <v>173</v>
      </c>
      <c r="Q7" s="26" t="str">
        <f t="shared" si="4"/>
        <v>Proveedor del segmento de acústica: es un fabricante de productos</v>
      </c>
      <c r="R7" s="42" t="s">
        <v>9</v>
      </c>
      <c r="S7" s="43" t="str">
        <f t="shared" si="5"/>
        <v>Fornecedores</v>
      </c>
      <c r="T7" s="43" t="str">
        <f t="shared" si="5"/>
        <v>Segmentos dos Profissionais</v>
      </c>
      <c r="U7" s="43" t="str">
        <f t="shared" si="5"/>
        <v>Segmento de Acústica</v>
      </c>
      <c r="V7" s="41" t="s">
        <v>184</v>
      </c>
      <c r="W7" s="60" t="str">
        <f t="shared" si="6"/>
        <v>Key.Fab.7</v>
      </c>
      <c r="X7" s="41" t="s">
        <v>9</v>
      </c>
      <c r="Y7" s="41" t="s">
        <v>9</v>
      </c>
      <c r="Z7" s="41" t="s">
        <v>425</v>
      </c>
      <c r="AA7" s="45" t="str">
        <f t="shared" si="7"/>
        <v>Acoustics Segment Supplier: is a manufacturer of products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317</v>
      </c>
      <c r="E8" s="52" t="s">
        <v>165</v>
      </c>
      <c r="F8" s="57" t="s">
        <v>387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2"/>
        <v>Fornecedores</v>
      </c>
      <c r="M8" s="23" t="str">
        <f t="shared" si="3"/>
        <v>Segmentos dos Profissionais</v>
      </c>
      <c r="N8" s="23" t="str">
        <f t="shared" si="3"/>
        <v>Segmento de Acústica</v>
      </c>
      <c r="O8" s="23" t="str">
        <f t="shared" si="3"/>
        <v>Acu Fornecimento</v>
      </c>
      <c r="P8" s="23" t="s">
        <v>175</v>
      </c>
      <c r="Q8" s="26" t="str">
        <f t="shared" si="4"/>
        <v>Proveedor del segmento acústico: es un proveedor</v>
      </c>
      <c r="R8" s="42" t="s">
        <v>9</v>
      </c>
      <c r="S8" s="43" t="str">
        <f t="shared" si="5"/>
        <v>Fornecedores</v>
      </c>
      <c r="T8" s="43" t="str">
        <f t="shared" si="5"/>
        <v>Segmentos dos Profissionais</v>
      </c>
      <c r="U8" s="43" t="str">
        <f t="shared" si="5"/>
        <v>Segmento de Acústica</v>
      </c>
      <c r="V8" s="41" t="s">
        <v>184</v>
      </c>
      <c r="W8" s="60" t="str">
        <f t="shared" si="6"/>
        <v>Key.Fab.8</v>
      </c>
      <c r="X8" s="41" t="s">
        <v>9</v>
      </c>
      <c r="Y8" s="41" t="s">
        <v>9</v>
      </c>
      <c r="Z8" s="41" t="s">
        <v>432</v>
      </c>
      <c r="AA8" s="45" t="str">
        <f t="shared" si="7"/>
        <v>Acoustics segment supplier: is a supplier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317</v>
      </c>
      <c r="E9" s="52" t="s">
        <v>165</v>
      </c>
      <c r="F9" s="57" t="s">
        <v>388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2"/>
        <v>Fornecedores</v>
      </c>
      <c r="M9" s="23" t="str">
        <f t="shared" si="3"/>
        <v>Segmentos dos Profissionais</v>
      </c>
      <c r="N9" s="23" t="str">
        <f t="shared" si="3"/>
        <v>Segmento de Acústica</v>
      </c>
      <c r="O9" s="23" t="str">
        <f t="shared" si="3"/>
        <v>Acu Projetista</v>
      </c>
      <c r="P9" s="23" t="s">
        <v>232</v>
      </c>
      <c r="Q9" s="26" t="str">
        <f t="shared" si="4"/>
        <v>Proveedor de acústica: es una empresa de diseño o diseño</v>
      </c>
      <c r="R9" s="42" t="s">
        <v>9</v>
      </c>
      <c r="S9" s="43" t="str">
        <f t="shared" si="5"/>
        <v>Fornecedores</v>
      </c>
      <c r="T9" s="43" t="str">
        <f t="shared" si="5"/>
        <v>Segmentos dos Profissionais</v>
      </c>
      <c r="U9" s="43" t="str">
        <f t="shared" si="5"/>
        <v>Segmento de Acústica</v>
      </c>
      <c r="V9" s="41" t="s">
        <v>184</v>
      </c>
      <c r="W9" s="60" t="str">
        <f t="shared" si="6"/>
        <v>Key.Fab.9</v>
      </c>
      <c r="X9" s="41" t="s">
        <v>9</v>
      </c>
      <c r="Y9" s="41" t="s">
        <v>9</v>
      </c>
      <c r="Z9" s="41" t="s">
        <v>436</v>
      </c>
      <c r="AA9" s="45" t="str">
        <f t="shared" si="7"/>
        <v>Acoustics Supplier: is a Designer or Design Company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317</v>
      </c>
      <c r="E10" s="52" t="s">
        <v>165</v>
      </c>
      <c r="F10" s="57" t="s">
        <v>389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2"/>
        <v>Fornecedores</v>
      </c>
      <c r="M10" s="23" t="str">
        <f t="shared" si="3"/>
        <v>Segmentos dos Profissionais</v>
      </c>
      <c r="N10" s="23" t="str">
        <f t="shared" si="3"/>
        <v>Segmento de Acústica</v>
      </c>
      <c r="O10" s="23" t="str">
        <f t="shared" si="3"/>
        <v>Acu Serviço</v>
      </c>
      <c r="P10" s="23" t="s">
        <v>170</v>
      </c>
      <c r="Q10" s="26" t="str">
        <f t="shared" si="4"/>
        <v>Proveedor de acústica: Es un servicio</v>
      </c>
      <c r="R10" s="42" t="s">
        <v>9</v>
      </c>
      <c r="S10" s="43" t="str">
        <f t="shared" si="5"/>
        <v>Fornecedores</v>
      </c>
      <c r="T10" s="43" t="str">
        <f t="shared" si="5"/>
        <v>Segmentos dos Profissionais</v>
      </c>
      <c r="U10" s="43" t="str">
        <f t="shared" si="5"/>
        <v>Segmento de Acústica</v>
      </c>
      <c r="V10" s="41" t="s">
        <v>184</v>
      </c>
      <c r="W10" s="60" t="str">
        <f t="shared" si="6"/>
        <v>Key.Fab.10</v>
      </c>
      <c r="X10" s="41" t="s">
        <v>9</v>
      </c>
      <c r="Y10" s="41" t="s">
        <v>9</v>
      </c>
      <c r="Z10" s="41" t="s">
        <v>435</v>
      </c>
      <c r="AA10" s="45" t="str">
        <f t="shared" si="7"/>
        <v>Acoustics Supplier: It's a Service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317</v>
      </c>
      <c r="E11" s="52" t="s">
        <v>165</v>
      </c>
      <c r="F11" s="57" t="s">
        <v>476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2"/>
        <v>Fornecedores</v>
      </c>
      <c r="M11" s="23" t="str">
        <f t="shared" si="3"/>
        <v>Segmentos dos Profissionais</v>
      </c>
      <c r="N11" s="23" t="str">
        <f t="shared" si="3"/>
        <v>Segmento de Acústica</v>
      </c>
      <c r="O11" s="23" t="str">
        <f t="shared" si="3"/>
        <v>Acu Venda</v>
      </c>
      <c r="P11" s="23" t="s">
        <v>514</v>
      </c>
      <c r="Q11" s="26" t="str">
        <f t="shared" si="4"/>
        <v>Proveedor en el segmento de acústica: es una venta de productos</v>
      </c>
      <c r="R11" s="42" t="s">
        <v>9</v>
      </c>
      <c r="S11" s="43" t="str">
        <f t="shared" si="5"/>
        <v>Fornecedores</v>
      </c>
      <c r="T11" s="43" t="str">
        <f t="shared" si="5"/>
        <v>Segmentos dos Profissionais</v>
      </c>
      <c r="U11" s="43" t="str">
        <f t="shared" si="5"/>
        <v>Segmento de Acústica</v>
      </c>
      <c r="V11" s="41" t="s">
        <v>184</v>
      </c>
      <c r="W11" s="60" t="str">
        <f t="shared" si="6"/>
        <v>Key.Fab.11</v>
      </c>
      <c r="X11" s="41" t="s">
        <v>9</v>
      </c>
      <c r="Y11" s="41" t="s">
        <v>9</v>
      </c>
      <c r="Z11" s="41" t="s">
        <v>433</v>
      </c>
      <c r="AA11" s="45" t="str">
        <f t="shared" si="7"/>
        <v>Supplier in the acoustics segment: it is a sale of products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317</v>
      </c>
      <c r="E12" s="52" t="s">
        <v>96</v>
      </c>
      <c r="F12" s="57" t="s">
        <v>467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2"/>
        <v>Fornecedores</v>
      </c>
      <c r="M12" s="23" t="str">
        <f t="shared" si="3"/>
        <v>Segmentos dos Profissionais</v>
      </c>
      <c r="N12" s="23" t="str">
        <f t="shared" si="3"/>
        <v>Segmento de Arquitetura</v>
      </c>
      <c r="O12" s="23" t="str">
        <f t="shared" si="3"/>
        <v>Arq Compra</v>
      </c>
      <c r="P12" s="23" t="s">
        <v>494</v>
      </c>
      <c r="Q12" s="26" t="str">
        <f t="shared" si="4"/>
        <v>Proveedor de arquitectura: Es una compra de productos</v>
      </c>
      <c r="R12" s="42" t="s">
        <v>9</v>
      </c>
      <c r="S12" s="43" t="str">
        <f t="shared" si="5"/>
        <v>Fornecedores</v>
      </c>
      <c r="T12" s="43" t="str">
        <f t="shared" si="5"/>
        <v>Segmentos dos Profissionais</v>
      </c>
      <c r="U12" s="43" t="str">
        <f t="shared" si="5"/>
        <v>Segmento de Arquitetura</v>
      </c>
      <c r="V12" s="41" t="s">
        <v>184</v>
      </c>
      <c r="W12" s="60" t="str">
        <f t="shared" si="6"/>
        <v>Key.Fab.12</v>
      </c>
      <c r="X12" s="41" t="s">
        <v>9</v>
      </c>
      <c r="Y12" s="41" t="s">
        <v>9</v>
      </c>
      <c r="Z12" s="41" t="s">
        <v>505</v>
      </c>
      <c r="AA12" s="45" t="str">
        <f t="shared" si="7"/>
        <v>Architecture Vendor: It's a purchase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317</v>
      </c>
      <c r="E13" s="52" t="s">
        <v>96</v>
      </c>
      <c r="F13" s="57" t="s">
        <v>354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2"/>
        <v>Fornecedores</v>
      </c>
      <c r="M13" s="23" t="str">
        <f t="shared" si="3"/>
        <v>Segmentos dos Profissionais</v>
      </c>
      <c r="N13" s="23" t="str">
        <f t="shared" si="3"/>
        <v>Segmento de Arquitetura</v>
      </c>
      <c r="O13" s="23" t="str">
        <f t="shared" si="3"/>
        <v>Arq Consultor</v>
      </c>
      <c r="P13" s="23" t="s">
        <v>167</v>
      </c>
      <c r="Q13" s="26" t="str">
        <f t="shared" si="4"/>
        <v>Proveedor de arquitectura: es consultor autónomo</v>
      </c>
      <c r="R13" s="42" t="s">
        <v>9</v>
      </c>
      <c r="S13" s="43" t="str">
        <f t="shared" si="5"/>
        <v>Fornecedores</v>
      </c>
      <c r="T13" s="43" t="str">
        <f t="shared" si="5"/>
        <v>Segmentos dos Profissionais</v>
      </c>
      <c r="U13" s="43" t="str">
        <f t="shared" si="5"/>
        <v>Segmento de Arquitetura</v>
      </c>
      <c r="V13" s="41" t="s">
        <v>184</v>
      </c>
      <c r="W13" s="60" t="str">
        <f t="shared" si="6"/>
        <v>Key.Fab.13</v>
      </c>
      <c r="X13" s="41" t="s">
        <v>9</v>
      </c>
      <c r="Y13" s="41" t="s">
        <v>9</v>
      </c>
      <c r="Z13" s="41" t="s">
        <v>434</v>
      </c>
      <c r="AA13" s="45" t="str">
        <f t="shared" si="7"/>
        <v>Architecture Vendor: is a self-employed consultant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317</v>
      </c>
      <c r="E14" s="52" t="s">
        <v>96</v>
      </c>
      <c r="F14" s="57" t="s">
        <v>558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">
        <v>95</v>
      </c>
      <c r="M14" s="23" t="s">
        <v>518</v>
      </c>
      <c r="N14" s="23" t="s">
        <v>555</v>
      </c>
      <c r="O14" s="23" t="s">
        <v>556</v>
      </c>
      <c r="P14" s="23" t="s">
        <v>610</v>
      </c>
      <c r="Q14" s="26" t="s">
        <v>609</v>
      </c>
      <c r="R14" s="42" t="s">
        <v>9</v>
      </c>
      <c r="S14" s="43" t="s">
        <v>95</v>
      </c>
      <c r="T14" s="43" t="s">
        <v>518</v>
      </c>
      <c r="U14" s="43" t="s">
        <v>555</v>
      </c>
      <c r="V14" s="41" t="s">
        <v>184</v>
      </c>
      <c r="W14" s="60" t="s">
        <v>557</v>
      </c>
      <c r="X14" s="41" t="s">
        <v>9</v>
      </c>
      <c r="Y14" s="41" t="s">
        <v>9</v>
      </c>
      <c r="Z14" s="41" t="s">
        <v>571</v>
      </c>
      <c r="AA14" s="45" t="s">
        <v>596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317</v>
      </c>
      <c r="E15" s="52" t="s">
        <v>96</v>
      </c>
      <c r="F15" s="57" t="s">
        <v>355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ref="L15:L22" si="8">_xlfn.CONCAT(SUBSTITUTE(C15,"1.",""))</f>
        <v>Fornecedores</v>
      </c>
      <c r="M15" s="23" t="str">
        <f t="shared" ref="M15:O22" si="9">_xlfn.CONCAT(SUBSTITUTE(D15,"."," "))</f>
        <v>Segmentos dos Profissionais</v>
      </c>
      <c r="N15" s="23" t="str">
        <f t="shared" si="9"/>
        <v>Segmento de Arquitetura</v>
      </c>
      <c r="O15" s="23" t="str">
        <f t="shared" si="9"/>
        <v>Arq EmpresArq Consultora</v>
      </c>
      <c r="P15" s="23" t="s">
        <v>168</v>
      </c>
      <c r="Q15" s="26" t="str">
        <f t="shared" ref="Q15:Q22" si="10">_xlfn.TRANSLATE(P15,"pt","es")</f>
        <v>Proveedor en el segmento de arquitectura: es una empresa de consultoría</v>
      </c>
      <c r="R15" s="42" t="s">
        <v>9</v>
      </c>
      <c r="S15" s="43" t="str">
        <f t="shared" ref="S15:U22" si="11">SUBSTITUTE(C15, ".", " ")</f>
        <v>Fornecedores</v>
      </c>
      <c r="T15" s="43" t="str">
        <f t="shared" si="11"/>
        <v>Segmentos dos Profissionais</v>
      </c>
      <c r="U15" s="43" t="str">
        <f t="shared" si="11"/>
        <v>Segmento de Arquitetura</v>
      </c>
      <c r="V15" s="41" t="s">
        <v>184</v>
      </c>
      <c r="W15" s="60" t="str">
        <f t="shared" ref="W15:W22" si="12">CONCATENATE("Key.Fab.",A15)</f>
        <v>Key.Fab.15</v>
      </c>
      <c r="X15" s="41" t="s">
        <v>9</v>
      </c>
      <c r="Y15" s="41" t="s">
        <v>9</v>
      </c>
      <c r="Z15" s="41" t="s">
        <v>434</v>
      </c>
      <c r="AA15" s="45" t="str">
        <f t="shared" ref="AA15:AA22" si="13">_xlfn.TRANSLATE(P15,"pt","en")</f>
        <v>Supplier in the architecture segment: it is a consulting company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317</v>
      </c>
      <c r="E16" s="52" t="s">
        <v>96</v>
      </c>
      <c r="F16" s="57" t="s">
        <v>356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8"/>
        <v>Fornecedores</v>
      </c>
      <c r="M16" s="23" t="str">
        <f t="shared" si="9"/>
        <v>Segmentos dos Profissionais</v>
      </c>
      <c r="N16" s="23" t="str">
        <f t="shared" si="9"/>
        <v>Segmento de Arquitetura</v>
      </c>
      <c r="O16" s="23" t="str">
        <f t="shared" si="9"/>
        <v>Arq Fabricante</v>
      </c>
      <c r="P16" s="23" t="s">
        <v>169</v>
      </c>
      <c r="Q16" s="26" t="str">
        <f t="shared" si="10"/>
        <v>Proveedor de arquitectura: es un fabricante de productos</v>
      </c>
      <c r="R16" s="42" t="s">
        <v>9</v>
      </c>
      <c r="S16" s="43" t="str">
        <f t="shared" si="11"/>
        <v>Fornecedores</v>
      </c>
      <c r="T16" s="43" t="str">
        <f t="shared" si="11"/>
        <v>Segmentos dos Profissionais</v>
      </c>
      <c r="U16" s="43" t="str">
        <f t="shared" si="11"/>
        <v>Segmento de Arquitetura</v>
      </c>
      <c r="V16" s="41" t="s">
        <v>184</v>
      </c>
      <c r="W16" s="60" t="str">
        <f t="shared" si="12"/>
        <v>Key.Fab.16</v>
      </c>
      <c r="X16" s="41" t="s">
        <v>9</v>
      </c>
      <c r="Y16" s="41" t="s">
        <v>9</v>
      </c>
      <c r="Z16" s="41" t="s">
        <v>425</v>
      </c>
      <c r="AA16" s="45" t="str">
        <f t="shared" si="13"/>
        <v>Architecture Vendor: is a manufacturer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317</v>
      </c>
      <c r="E17" s="52" t="s">
        <v>96</v>
      </c>
      <c r="F17" s="57" t="s">
        <v>357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8"/>
        <v>Fornecedores</v>
      </c>
      <c r="M17" s="23" t="str">
        <f t="shared" si="9"/>
        <v>Segmentos dos Profissionais</v>
      </c>
      <c r="N17" s="23" t="str">
        <f t="shared" si="9"/>
        <v>Segmento de Arquitetura</v>
      </c>
      <c r="O17" s="23" t="str">
        <f t="shared" si="9"/>
        <v>Arq Fornecimento</v>
      </c>
      <c r="P17" s="23" t="s">
        <v>174</v>
      </c>
      <c r="Q17" s="26" t="str">
        <f t="shared" si="10"/>
        <v>Proveedor de arquitectura: es un proveedor</v>
      </c>
      <c r="R17" s="42" t="s">
        <v>9</v>
      </c>
      <c r="S17" s="43" t="str">
        <f t="shared" si="11"/>
        <v>Fornecedores</v>
      </c>
      <c r="T17" s="43" t="str">
        <f t="shared" si="11"/>
        <v>Segmentos dos Profissionais</v>
      </c>
      <c r="U17" s="43" t="str">
        <f t="shared" si="11"/>
        <v>Segmento de Arquitetura</v>
      </c>
      <c r="V17" s="41" t="s">
        <v>184</v>
      </c>
      <c r="W17" s="60" t="str">
        <f t="shared" si="12"/>
        <v>Key.Fab.17</v>
      </c>
      <c r="X17" s="41" t="s">
        <v>9</v>
      </c>
      <c r="Y17" s="41" t="s">
        <v>9</v>
      </c>
      <c r="Z17" s="41" t="s">
        <v>432</v>
      </c>
      <c r="AA17" s="45" t="str">
        <f t="shared" si="13"/>
        <v>Architecture Vendor: is a vendor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317</v>
      </c>
      <c r="E18" s="52" t="s">
        <v>96</v>
      </c>
      <c r="F18" s="57" t="s">
        <v>358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8"/>
        <v>Fornecedores</v>
      </c>
      <c r="M18" s="23" t="str">
        <f t="shared" si="9"/>
        <v>Segmentos dos Profissionais</v>
      </c>
      <c r="N18" s="23" t="str">
        <f t="shared" si="9"/>
        <v>Segmento de Arquitetura</v>
      </c>
      <c r="O18" s="23" t="str">
        <f t="shared" si="9"/>
        <v>Arq Projetista</v>
      </c>
      <c r="P18" s="23" t="s">
        <v>224</v>
      </c>
      <c r="Q18" s="26" t="str">
        <f t="shared" si="10"/>
        <v>Proveedor de Arquitectura: es una empresa de diseñador o diseño</v>
      </c>
      <c r="R18" s="42" t="s">
        <v>9</v>
      </c>
      <c r="S18" s="43" t="str">
        <f t="shared" si="11"/>
        <v>Fornecedores</v>
      </c>
      <c r="T18" s="43" t="str">
        <f t="shared" si="11"/>
        <v>Segmentos dos Profissionais</v>
      </c>
      <c r="U18" s="43" t="str">
        <f t="shared" si="11"/>
        <v>Segmento de Arquitetura</v>
      </c>
      <c r="V18" s="41" t="s">
        <v>184</v>
      </c>
      <c r="W18" s="60" t="str">
        <f t="shared" si="12"/>
        <v>Key.Fab.18</v>
      </c>
      <c r="X18" s="41" t="s">
        <v>9</v>
      </c>
      <c r="Y18" s="41" t="s">
        <v>9</v>
      </c>
      <c r="Z18" s="41" t="s">
        <v>426</v>
      </c>
      <c r="AA18" s="45" t="str">
        <f t="shared" si="13"/>
        <v>Architecture Vendor: is a Designer or Design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317</v>
      </c>
      <c r="E19" s="52" t="s">
        <v>96</v>
      </c>
      <c r="F19" s="57" t="s">
        <v>359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8"/>
        <v>Fornecedores</v>
      </c>
      <c r="M19" s="23" t="str">
        <f t="shared" si="9"/>
        <v>Segmentos dos Profissionais</v>
      </c>
      <c r="N19" s="23" t="str">
        <f t="shared" si="9"/>
        <v>Segmento de Arquitetura</v>
      </c>
      <c r="O19" s="23" t="str">
        <f t="shared" si="9"/>
        <v>Arq Serviço</v>
      </c>
      <c r="P19" s="23" t="s">
        <v>166</v>
      </c>
      <c r="Q19" s="26" t="str">
        <f t="shared" si="10"/>
        <v>Proveedor de arquitectura: Es un servicio</v>
      </c>
      <c r="R19" s="42" t="s">
        <v>9</v>
      </c>
      <c r="S19" s="43" t="str">
        <f t="shared" si="11"/>
        <v>Fornecedores</v>
      </c>
      <c r="T19" s="43" t="str">
        <f t="shared" si="11"/>
        <v>Segmentos dos Profissionais</v>
      </c>
      <c r="U19" s="43" t="str">
        <f t="shared" si="11"/>
        <v>Segmento de Arquitetura</v>
      </c>
      <c r="V19" s="41" t="s">
        <v>184</v>
      </c>
      <c r="W19" s="60" t="str">
        <f t="shared" si="12"/>
        <v>Key.Fab.19</v>
      </c>
      <c r="X19" s="41" t="s">
        <v>9</v>
      </c>
      <c r="Y19" s="41" t="s">
        <v>9</v>
      </c>
      <c r="Z19" s="41" t="s">
        <v>435</v>
      </c>
      <c r="AA19" s="45" t="str">
        <f t="shared" si="13"/>
        <v>Architecture Vendor: It's a service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317</v>
      </c>
      <c r="E20" s="52" t="s">
        <v>96</v>
      </c>
      <c r="F20" s="57" t="s">
        <v>466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8"/>
        <v>Fornecedores</v>
      </c>
      <c r="M20" s="23" t="str">
        <f t="shared" si="9"/>
        <v>Segmentos dos Profissionais</v>
      </c>
      <c r="N20" s="23" t="str">
        <f t="shared" si="9"/>
        <v>Segmento de Arquitetura</v>
      </c>
      <c r="O20" s="23" t="str">
        <f t="shared" si="9"/>
        <v>Arq Venda</v>
      </c>
      <c r="P20" s="23" t="s">
        <v>610</v>
      </c>
      <c r="Q20" s="26" t="str">
        <f t="shared" si="10"/>
        <v>Proveedor de arquitectura: Es una venta de producto</v>
      </c>
      <c r="R20" s="42" t="s">
        <v>9</v>
      </c>
      <c r="S20" s="43" t="str">
        <f t="shared" si="11"/>
        <v>Fornecedores</v>
      </c>
      <c r="T20" s="43" t="str">
        <f t="shared" si="11"/>
        <v>Segmentos dos Profissionais</v>
      </c>
      <c r="U20" s="43" t="str">
        <f t="shared" si="11"/>
        <v>Segmento de Arquitetura</v>
      </c>
      <c r="V20" s="41" t="s">
        <v>184</v>
      </c>
      <c r="W20" s="60" t="str">
        <f t="shared" si="12"/>
        <v>Key.Fab.20</v>
      </c>
      <c r="X20" s="41" t="s">
        <v>9</v>
      </c>
      <c r="Y20" s="41" t="s">
        <v>9</v>
      </c>
      <c r="Z20" s="41" t="s">
        <v>433</v>
      </c>
      <c r="AA20" s="45" t="str">
        <f t="shared" si="13"/>
        <v>Architecture Vendor: It's a product sale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317</v>
      </c>
      <c r="E21" s="52" t="s">
        <v>97</v>
      </c>
      <c r="F21" s="57" t="s">
        <v>491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8"/>
        <v>Fornecedores</v>
      </c>
      <c r="M21" s="23" t="str">
        <f t="shared" si="9"/>
        <v>Segmentos dos Profissionais</v>
      </c>
      <c r="N21" s="23" t="str">
        <f t="shared" si="9"/>
        <v>Segmento de Estrutura</v>
      </c>
      <c r="O21" s="23" t="str">
        <f t="shared" si="9"/>
        <v>Est Compra</v>
      </c>
      <c r="P21" s="23" t="s">
        <v>495</v>
      </c>
      <c r="Q21" s="26" t="str">
        <f t="shared" si="10"/>
        <v>Proveedor en el segmento estructural: es una compra de productos</v>
      </c>
      <c r="R21" s="42" t="s">
        <v>9</v>
      </c>
      <c r="S21" s="43" t="str">
        <f t="shared" si="11"/>
        <v>Fornecedores</v>
      </c>
      <c r="T21" s="43" t="str">
        <f t="shared" si="11"/>
        <v>Segmentos dos Profissionais</v>
      </c>
      <c r="U21" s="43" t="str">
        <f t="shared" si="11"/>
        <v>Segmento de Estrutura</v>
      </c>
      <c r="V21" s="41" t="s">
        <v>184</v>
      </c>
      <c r="W21" s="60" t="str">
        <f t="shared" si="12"/>
        <v>Key.Fab.21</v>
      </c>
      <c r="X21" s="41" t="s">
        <v>9</v>
      </c>
      <c r="Y21" s="41" t="s">
        <v>9</v>
      </c>
      <c r="Z21" s="41" t="s">
        <v>505</v>
      </c>
      <c r="AA21" s="45" t="str">
        <f t="shared" si="13"/>
        <v>Supplier in the structure segment: it is a purchase of products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317</v>
      </c>
      <c r="E22" s="52" t="s">
        <v>97</v>
      </c>
      <c r="F22" s="57" t="s">
        <v>360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8"/>
        <v>Fornecedores</v>
      </c>
      <c r="M22" s="23" t="str">
        <f t="shared" si="9"/>
        <v>Segmentos dos Profissionais</v>
      </c>
      <c r="N22" s="23" t="str">
        <f t="shared" si="9"/>
        <v>Segmento de Estrutura</v>
      </c>
      <c r="O22" s="23" t="str">
        <f t="shared" si="9"/>
        <v>Est Consultor</v>
      </c>
      <c r="P22" s="23" t="s">
        <v>104</v>
      </c>
      <c r="Q22" s="26" t="str">
        <f t="shared" si="10"/>
        <v>Proveedor del segmento de estructura: es consultor autónomo</v>
      </c>
      <c r="R22" s="42" t="s">
        <v>9</v>
      </c>
      <c r="S22" s="43" t="str">
        <f t="shared" si="11"/>
        <v>Fornecedores</v>
      </c>
      <c r="T22" s="43" t="str">
        <f t="shared" si="11"/>
        <v>Segmentos dos Profissionais</v>
      </c>
      <c r="U22" s="43" t="str">
        <f t="shared" si="11"/>
        <v>Segmento de Estrutura</v>
      </c>
      <c r="V22" s="41" t="s">
        <v>184</v>
      </c>
      <c r="W22" s="60" t="str">
        <f t="shared" si="12"/>
        <v>Key.Fab.22</v>
      </c>
      <c r="X22" s="41" t="s">
        <v>9</v>
      </c>
      <c r="Y22" s="41" t="s">
        <v>9</v>
      </c>
      <c r="Z22" s="41" t="s">
        <v>434</v>
      </c>
      <c r="AA22" s="45" t="str">
        <f t="shared" si="13"/>
        <v>Structure segment supplier: is a self-employed consultant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317</v>
      </c>
      <c r="E23" s="52" t="s">
        <v>97</v>
      </c>
      <c r="F23" s="57" t="s">
        <v>559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">
        <v>95</v>
      </c>
      <c r="M23" s="23" t="s">
        <v>518</v>
      </c>
      <c r="N23" s="23" t="s">
        <v>519</v>
      </c>
      <c r="O23" s="23" t="s">
        <v>520</v>
      </c>
      <c r="P23" s="23" t="s">
        <v>572</v>
      </c>
      <c r="Q23" s="26" t="s">
        <v>597</v>
      </c>
      <c r="R23" s="42" t="s">
        <v>9</v>
      </c>
      <c r="S23" s="43" t="s">
        <v>95</v>
      </c>
      <c r="T23" s="43" t="s">
        <v>518</v>
      </c>
      <c r="U23" s="43" t="s">
        <v>519</v>
      </c>
      <c r="V23" s="41" t="s">
        <v>184</v>
      </c>
      <c r="W23" s="60" t="s">
        <v>521</v>
      </c>
      <c r="X23" s="41" t="s">
        <v>9</v>
      </c>
      <c r="Y23" s="41" t="s">
        <v>9</v>
      </c>
      <c r="Z23" s="41" t="s">
        <v>571</v>
      </c>
      <c r="AA23" s="45" t="s">
        <v>584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317</v>
      </c>
      <c r="E24" s="52" t="s">
        <v>97</v>
      </c>
      <c r="F24" s="57" t="s">
        <v>361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ref="L24:L31" si="14">_xlfn.CONCAT(SUBSTITUTE(C24,"1.",""))</f>
        <v>Fornecedores</v>
      </c>
      <c r="M24" s="23" t="str">
        <f t="shared" ref="M24:O31" si="15">_xlfn.CONCAT(SUBSTITUTE(D24,"."," "))</f>
        <v>Segmentos dos Profissionais</v>
      </c>
      <c r="N24" s="23" t="str">
        <f t="shared" si="15"/>
        <v>Segmento de Estrutura</v>
      </c>
      <c r="O24" s="23" t="str">
        <f t="shared" si="15"/>
        <v>Est Empresa Consultora</v>
      </c>
      <c r="P24" s="23" t="s">
        <v>105</v>
      </c>
      <c r="Q24" s="26" t="str">
        <f t="shared" ref="Q24:Q31" si="16">_xlfn.TRANSLATE(P24,"pt","es")</f>
        <v>Proveedor del segmento de estructuras: es una empresa de consultoría</v>
      </c>
      <c r="R24" s="42" t="s">
        <v>9</v>
      </c>
      <c r="S24" s="43" t="str">
        <f t="shared" ref="S24:U31" si="17">SUBSTITUTE(C24, ".", " ")</f>
        <v>Fornecedores</v>
      </c>
      <c r="T24" s="43" t="str">
        <f t="shared" si="17"/>
        <v>Segmentos dos Profissionais</v>
      </c>
      <c r="U24" s="43" t="str">
        <f t="shared" si="17"/>
        <v>Segmento de Estrutura</v>
      </c>
      <c r="V24" s="41" t="s">
        <v>184</v>
      </c>
      <c r="W24" s="60" t="str">
        <f t="shared" ref="W24:W31" si="18">CONCATENATE("Key.Fab.",A24)</f>
        <v>Key.Fab.24</v>
      </c>
      <c r="X24" s="41" t="s">
        <v>9</v>
      </c>
      <c r="Y24" s="41" t="s">
        <v>9</v>
      </c>
      <c r="Z24" s="41" t="s">
        <v>434</v>
      </c>
      <c r="AA24" s="45" t="str">
        <f t="shared" ref="AA24:AA31" si="19">_xlfn.TRANSLATE(P24,"pt","en")</f>
        <v>Supplier of the structure segment: it is a consulting company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317</v>
      </c>
      <c r="E25" s="52" t="s">
        <v>97</v>
      </c>
      <c r="F25" s="57" t="s">
        <v>362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14"/>
        <v>Fornecedores</v>
      </c>
      <c r="M25" s="23" t="str">
        <f t="shared" si="15"/>
        <v>Segmentos dos Profissionais</v>
      </c>
      <c r="N25" s="23" t="str">
        <f t="shared" si="15"/>
        <v>Segmento de Estrutura</v>
      </c>
      <c r="O25" s="23" t="str">
        <f t="shared" si="15"/>
        <v>Est Fabricante</v>
      </c>
      <c r="P25" s="23" t="s">
        <v>106</v>
      </c>
      <c r="Q25" s="26" t="str">
        <f t="shared" si="16"/>
        <v>Proveedor del segmento de estructuras: es un fabricante de productos</v>
      </c>
      <c r="R25" s="42" t="s">
        <v>9</v>
      </c>
      <c r="S25" s="43" t="str">
        <f t="shared" si="17"/>
        <v>Fornecedores</v>
      </c>
      <c r="T25" s="43" t="str">
        <f t="shared" si="17"/>
        <v>Segmentos dos Profissionais</v>
      </c>
      <c r="U25" s="43" t="str">
        <f t="shared" si="17"/>
        <v>Segmento de Estrutura</v>
      </c>
      <c r="V25" s="41" t="s">
        <v>184</v>
      </c>
      <c r="W25" s="60" t="str">
        <f t="shared" si="18"/>
        <v>Key.Fab.25</v>
      </c>
      <c r="X25" s="41" t="s">
        <v>9</v>
      </c>
      <c r="Y25" s="41" t="s">
        <v>9</v>
      </c>
      <c r="Z25" s="41" t="s">
        <v>425</v>
      </c>
      <c r="AA25" s="45" t="str">
        <f t="shared" si="19"/>
        <v>Supplier of the structure segment: it is a manufacturer of products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317</v>
      </c>
      <c r="E26" s="52" t="s">
        <v>97</v>
      </c>
      <c r="F26" s="57" t="s">
        <v>363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14"/>
        <v>Fornecedores</v>
      </c>
      <c r="M26" s="23" t="str">
        <f t="shared" si="15"/>
        <v>Segmentos dos Profissionais</v>
      </c>
      <c r="N26" s="23" t="str">
        <f t="shared" si="15"/>
        <v>Segmento de Estrutura</v>
      </c>
      <c r="O26" s="23" t="str">
        <f t="shared" si="15"/>
        <v>Est Fornecimento</v>
      </c>
      <c r="P26" s="23" t="s">
        <v>176</v>
      </c>
      <c r="Q26" s="26" t="str">
        <f t="shared" si="16"/>
        <v>Proveedor del segmento de estructura: es un proveedor</v>
      </c>
      <c r="R26" s="42" t="s">
        <v>9</v>
      </c>
      <c r="S26" s="43" t="str">
        <f t="shared" si="17"/>
        <v>Fornecedores</v>
      </c>
      <c r="T26" s="43" t="str">
        <f t="shared" si="17"/>
        <v>Segmentos dos Profissionais</v>
      </c>
      <c r="U26" s="43" t="str">
        <f t="shared" si="17"/>
        <v>Segmento de Estrutura</v>
      </c>
      <c r="V26" s="41" t="s">
        <v>184</v>
      </c>
      <c r="W26" s="60" t="str">
        <f t="shared" si="18"/>
        <v>Key.Fab.26</v>
      </c>
      <c r="X26" s="41" t="s">
        <v>9</v>
      </c>
      <c r="Y26" s="41" t="s">
        <v>9</v>
      </c>
      <c r="Z26" s="41" t="s">
        <v>432</v>
      </c>
      <c r="AA26" s="45" t="str">
        <f t="shared" si="19"/>
        <v>Structure segment supplier: is a supplier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317</v>
      </c>
      <c r="E27" s="52" t="s">
        <v>97</v>
      </c>
      <c r="F27" s="57" t="s">
        <v>364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14"/>
        <v>Fornecedores</v>
      </c>
      <c r="M27" s="23" t="str">
        <f t="shared" si="15"/>
        <v>Segmentos dos Profissionais</v>
      </c>
      <c r="N27" s="23" t="str">
        <f t="shared" si="15"/>
        <v>Segmento de Estrutura</v>
      </c>
      <c r="O27" s="23" t="str">
        <f t="shared" si="15"/>
        <v>Est Projetista</v>
      </c>
      <c r="P27" s="23" t="s">
        <v>225</v>
      </c>
      <c r="Q27" s="26" t="str">
        <f t="shared" si="16"/>
        <v>Proveedor en el segmento de estructuras: es un diseñador o empresa de diseño</v>
      </c>
      <c r="R27" s="42" t="s">
        <v>9</v>
      </c>
      <c r="S27" s="43" t="str">
        <f t="shared" si="17"/>
        <v>Fornecedores</v>
      </c>
      <c r="T27" s="43" t="str">
        <f t="shared" si="17"/>
        <v>Segmentos dos Profissionais</v>
      </c>
      <c r="U27" s="43" t="str">
        <f t="shared" si="17"/>
        <v>Segmento de Estrutura</v>
      </c>
      <c r="V27" s="41" t="s">
        <v>184</v>
      </c>
      <c r="W27" s="60" t="str">
        <f t="shared" si="18"/>
        <v>Key.Fab.27</v>
      </c>
      <c r="X27" s="41" t="s">
        <v>9</v>
      </c>
      <c r="Y27" s="41" t="s">
        <v>9</v>
      </c>
      <c r="Z27" s="41" t="s">
        <v>427</v>
      </c>
      <c r="AA27" s="45" t="str">
        <f t="shared" si="19"/>
        <v>Supplier in the structure segment: is a Designer or Design Company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317</v>
      </c>
      <c r="E28" s="52" t="s">
        <v>97</v>
      </c>
      <c r="F28" s="57" t="s">
        <v>365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14"/>
        <v>Fornecedores</v>
      </c>
      <c r="M28" s="23" t="str">
        <f t="shared" si="15"/>
        <v>Segmentos dos Profissionais</v>
      </c>
      <c r="N28" s="23" t="str">
        <f t="shared" si="15"/>
        <v>Segmento de Estrutura</v>
      </c>
      <c r="O28" s="23" t="str">
        <f t="shared" si="15"/>
        <v>Est Serviço</v>
      </c>
      <c r="P28" s="23" t="s">
        <v>103</v>
      </c>
      <c r="Q28" s="26" t="str">
        <f t="shared" si="16"/>
        <v>Proveedor de segmento estructural: es un servicio</v>
      </c>
      <c r="R28" s="42" t="s">
        <v>9</v>
      </c>
      <c r="S28" s="43" t="str">
        <f t="shared" si="17"/>
        <v>Fornecedores</v>
      </c>
      <c r="T28" s="43" t="str">
        <f t="shared" si="17"/>
        <v>Segmentos dos Profissionais</v>
      </c>
      <c r="U28" s="43" t="str">
        <f t="shared" si="17"/>
        <v>Segmento de Estrutura</v>
      </c>
      <c r="V28" s="41" t="s">
        <v>184</v>
      </c>
      <c r="W28" s="60" t="str">
        <f t="shared" si="18"/>
        <v>Key.Fab.28</v>
      </c>
      <c r="X28" s="41" t="s">
        <v>9</v>
      </c>
      <c r="Y28" s="41" t="s">
        <v>9</v>
      </c>
      <c r="Z28" s="41" t="s">
        <v>435</v>
      </c>
      <c r="AA28" s="45" t="str">
        <f t="shared" si="19"/>
        <v>Structure segment supplier: it is a service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317</v>
      </c>
      <c r="E29" s="52" t="s">
        <v>97</v>
      </c>
      <c r="F29" s="57" t="s">
        <v>468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14"/>
        <v>Fornecedores</v>
      </c>
      <c r="M29" s="23" t="str">
        <f t="shared" si="15"/>
        <v>Segmentos dos Profissionais</v>
      </c>
      <c r="N29" s="23" t="str">
        <f t="shared" si="15"/>
        <v>Segmento de Estrutura</v>
      </c>
      <c r="O29" s="23" t="str">
        <f t="shared" si="15"/>
        <v>Est Venda</v>
      </c>
      <c r="P29" s="23" t="s">
        <v>506</v>
      </c>
      <c r="Q29" s="26" t="str">
        <f t="shared" si="16"/>
        <v>Proveedor del segmento estructural: es una venta de productos</v>
      </c>
      <c r="R29" s="42" t="s">
        <v>9</v>
      </c>
      <c r="S29" s="43" t="str">
        <f t="shared" si="17"/>
        <v>Fornecedores</v>
      </c>
      <c r="T29" s="43" t="str">
        <f t="shared" si="17"/>
        <v>Segmentos dos Profissionais</v>
      </c>
      <c r="U29" s="43" t="str">
        <f t="shared" si="17"/>
        <v>Segmento de Estrutura</v>
      </c>
      <c r="V29" s="41" t="s">
        <v>184</v>
      </c>
      <c r="W29" s="60" t="str">
        <f t="shared" si="18"/>
        <v>Key.Fab.29</v>
      </c>
      <c r="X29" s="41" t="s">
        <v>9</v>
      </c>
      <c r="Y29" s="41" t="s">
        <v>9</v>
      </c>
      <c r="Z29" s="41" t="s">
        <v>433</v>
      </c>
      <c r="AA29" s="45" t="str">
        <f t="shared" si="19"/>
        <v>Structure segment supplier: it is a sale of products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317</v>
      </c>
      <c r="E30" s="52" t="s">
        <v>185</v>
      </c>
      <c r="F30" s="57" t="s">
        <v>490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14"/>
        <v>Fornecedores</v>
      </c>
      <c r="M30" s="23" t="str">
        <f t="shared" si="15"/>
        <v>Segmentos dos Profissionais</v>
      </c>
      <c r="N30" s="23" t="str">
        <f t="shared" si="15"/>
        <v>Segmento de Geotécnica</v>
      </c>
      <c r="O30" s="23" t="str">
        <f t="shared" si="15"/>
        <v>Geo Compra</v>
      </c>
      <c r="P30" s="23" t="s">
        <v>496</v>
      </c>
      <c r="Q30" s="26" t="str">
        <f t="shared" si="16"/>
        <v>Proveedor del segmento geotécnico: es una compra de productos</v>
      </c>
      <c r="R30" s="42" t="s">
        <v>9</v>
      </c>
      <c r="S30" s="43" t="str">
        <f t="shared" si="17"/>
        <v>Fornecedores</v>
      </c>
      <c r="T30" s="43" t="str">
        <f t="shared" si="17"/>
        <v>Segmentos dos Profissionais</v>
      </c>
      <c r="U30" s="43" t="str">
        <f t="shared" si="17"/>
        <v>Segmento de Geotécnica</v>
      </c>
      <c r="V30" s="41" t="s">
        <v>184</v>
      </c>
      <c r="W30" s="60" t="str">
        <f t="shared" si="18"/>
        <v>Key.Fab.30</v>
      </c>
      <c r="X30" s="41" t="s">
        <v>9</v>
      </c>
      <c r="Y30" s="41" t="s">
        <v>9</v>
      </c>
      <c r="Z30" s="41" t="s">
        <v>505</v>
      </c>
      <c r="AA30" s="45" t="str">
        <f t="shared" si="19"/>
        <v>Geotechnical segment supplier: it is a purchase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317</v>
      </c>
      <c r="E31" s="52" t="s">
        <v>185</v>
      </c>
      <c r="F31" s="57" t="s">
        <v>366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14"/>
        <v>Fornecedores</v>
      </c>
      <c r="M31" s="23" t="str">
        <f t="shared" si="15"/>
        <v>Segmentos dos Profissionais</v>
      </c>
      <c r="N31" s="23" t="str">
        <f t="shared" si="15"/>
        <v>Segmento de Geotécnica</v>
      </c>
      <c r="O31" s="23" t="str">
        <f t="shared" si="15"/>
        <v>Geo Consultor</v>
      </c>
      <c r="P31" s="23" t="s">
        <v>124</v>
      </c>
      <c r="Q31" s="26" t="str">
        <f t="shared" si="16"/>
        <v>Proveedor geotécnico: es consultor autónomo</v>
      </c>
      <c r="R31" s="42" t="s">
        <v>9</v>
      </c>
      <c r="S31" s="43" t="str">
        <f t="shared" si="17"/>
        <v>Fornecedores</v>
      </c>
      <c r="T31" s="43" t="str">
        <f t="shared" si="17"/>
        <v>Segmentos dos Profissionais</v>
      </c>
      <c r="U31" s="43" t="str">
        <f t="shared" si="17"/>
        <v>Segmento de Geotécnica</v>
      </c>
      <c r="V31" s="41" t="s">
        <v>184</v>
      </c>
      <c r="W31" s="60" t="str">
        <f t="shared" si="18"/>
        <v>Key.Fab.31</v>
      </c>
      <c r="X31" s="41" t="s">
        <v>9</v>
      </c>
      <c r="Y31" s="41" t="s">
        <v>9</v>
      </c>
      <c r="Z31" s="41" t="s">
        <v>434</v>
      </c>
      <c r="AA31" s="45" t="str">
        <f t="shared" si="19"/>
        <v>Geotechnical Supplier: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317</v>
      </c>
      <c r="E32" s="52" t="s">
        <v>185</v>
      </c>
      <c r="F32" s="57" t="s">
        <v>560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">
        <v>95</v>
      </c>
      <c r="M32" s="23" t="s">
        <v>518</v>
      </c>
      <c r="N32" s="23" t="s">
        <v>522</v>
      </c>
      <c r="O32" s="23" t="s">
        <v>523</v>
      </c>
      <c r="P32" s="23" t="s">
        <v>573</v>
      </c>
      <c r="Q32" s="26" t="s">
        <v>598</v>
      </c>
      <c r="R32" s="42" t="s">
        <v>9</v>
      </c>
      <c r="S32" s="43" t="s">
        <v>95</v>
      </c>
      <c r="T32" s="43" t="s">
        <v>518</v>
      </c>
      <c r="U32" s="43" t="s">
        <v>522</v>
      </c>
      <c r="V32" s="41" t="s">
        <v>184</v>
      </c>
      <c r="W32" s="60" t="s">
        <v>524</v>
      </c>
      <c r="X32" s="41" t="s">
        <v>9</v>
      </c>
      <c r="Y32" s="41" t="s">
        <v>9</v>
      </c>
      <c r="Z32" s="41" t="s">
        <v>571</v>
      </c>
      <c r="AA32" s="45" t="s">
        <v>585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317</v>
      </c>
      <c r="E33" s="52" t="s">
        <v>185</v>
      </c>
      <c r="F33" s="57" t="s">
        <v>367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ref="L33:L40" si="20">_xlfn.CONCAT(SUBSTITUTE(C33,"1.",""))</f>
        <v>Fornecedores</v>
      </c>
      <c r="M33" s="23" t="str">
        <f t="shared" ref="M33:O40" si="21">_xlfn.CONCAT(SUBSTITUTE(D33,"."," "))</f>
        <v>Segmentos dos Profissionais</v>
      </c>
      <c r="N33" s="23" t="str">
        <f t="shared" si="21"/>
        <v>Segmento de Geotécnica</v>
      </c>
      <c r="O33" s="23" t="str">
        <f t="shared" si="21"/>
        <v>Geo Empresa Consultora</v>
      </c>
      <c r="P33" s="23" t="s">
        <v>125</v>
      </c>
      <c r="Q33" s="26" t="str">
        <f t="shared" ref="Q33:Q40" si="22">_xlfn.TRANSLATE(P33,"pt","es")</f>
        <v>Proveedor en el segmento geotécnico: es una empresa de consultoría</v>
      </c>
      <c r="R33" s="42" t="s">
        <v>9</v>
      </c>
      <c r="S33" s="43" t="str">
        <f t="shared" ref="S33:U40" si="23">SUBSTITUTE(C33, ".", " ")</f>
        <v>Fornecedores</v>
      </c>
      <c r="T33" s="43" t="str">
        <f t="shared" si="23"/>
        <v>Segmentos dos Profissionais</v>
      </c>
      <c r="U33" s="43" t="str">
        <f t="shared" si="23"/>
        <v>Segmento de Geotécnica</v>
      </c>
      <c r="V33" s="41" t="s">
        <v>184</v>
      </c>
      <c r="W33" s="60" t="str">
        <f t="shared" ref="W33:W40" si="24">CONCATENATE("Key.Fab.",A33)</f>
        <v>Key.Fab.33</v>
      </c>
      <c r="X33" s="41" t="s">
        <v>9</v>
      </c>
      <c r="Y33" s="41" t="s">
        <v>9</v>
      </c>
      <c r="Z33" s="41" t="s">
        <v>434</v>
      </c>
      <c r="AA33" s="45" t="str">
        <f t="shared" ref="AA33:AA40" si="25">_xlfn.TRANSLATE(P33,"pt","en")</f>
        <v>Supplier in the geotechnical segment: it is a consulting company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317</v>
      </c>
      <c r="E34" s="52" t="s">
        <v>185</v>
      </c>
      <c r="F34" s="57" t="s">
        <v>368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20"/>
        <v>Fornecedores</v>
      </c>
      <c r="M34" s="23" t="str">
        <f t="shared" si="21"/>
        <v>Segmentos dos Profissionais</v>
      </c>
      <c r="N34" s="23" t="str">
        <f t="shared" si="21"/>
        <v>Segmento de Geotécnica</v>
      </c>
      <c r="O34" s="23" t="str">
        <f t="shared" si="21"/>
        <v>Geo Fabricante</v>
      </c>
      <c r="P34" s="23" t="s">
        <v>126</v>
      </c>
      <c r="Q34" s="26" t="str">
        <f t="shared" si="22"/>
        <v>Proveedor del segmento geotécnico: es fabricante de</v>
      </c>
      <c r="R34" s="42" t="s">
        <v>9</v>
      </c>
      <c r="S34" s="43" t="str">
        <f t="shared" si="23"/>
        <v>Fornecedores</v>
      </c>
      <c r="T34" s="43" t="str">
        <f t="shared" si="23"/>
        <v>Segmentos dos Profissionais</v>
      </c>
      <c r="U34" s="43" t="str">
        <f t="shared" si="23"/>
        <v>Segmento de Geotécnica</v>
      </c>
      <c r="V34" s="41" t="s">
        <v>184</v>
      </c>
      <c r="W34" s="60" t="str">
        <f t="shared" si="24"/>
        <v>Key.Fab.34</v>
      </c>
      <c r="X34" s="41" t="s">
        <v>9</v>
      </c>
      <c r="Y34" s="41" t="s">
        <v>9</v>
      </c>
      <c r="Z34" s="41" t="s">
        <v>425</v>
      </c>
      <c r="AA34" s="45" t="str">
        <f t="shared" si="25"/>
        <v>Geotechnical Segment Supplier: is a manufacturer of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317</v>
      </c>
      <c r="E35" s="52" t="s">
        <v>185</v>
      </c>
      <c r="F35" s="57" t="s">
        <v>369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si="20"/>
        <v>Fornecedores</v>
      </c>
      <c r="M35" s="23" t="str">
        <f t="shared" si="21"/>
        <v>Segmentos dos Profissionais</v>
      </c>
      <c r="N35" s="23" t="str">
        <f t="shared" si="21"/>
        <v>Segmento de Geotécnica</v>
      </c>
      <c r="O35" s="23" t="str">
        <f t="shared" si="21"/>
        <v>Geo Fornecimento</v>
      </c>
      <c r="P35" s="23" t="s">
        <v>177</v>
      </c>
      <c r="Q35" s="26" t="str">
        <f t="shared" si="22"/>
        <v>Proveedor del segmento geotécnico: es un proveedor</v>
      </c>
      <c r="R35" s="42" t="s">
        <v>9</v>
      </c>
      <c r="S35" s="43" t="str">
        <f t="shared" si="23"/>
        <v>Fornecedores</v>
      </c>
      <c r="T35" s="43" t="str">
        <f t="shared" si="23"/>
        <v>Segmentos dos Profissionais</v>
      </c>
      <c r="U35" s="43" t="str">
        <f t="shared" si="23"/>
        <v>Segmento de Geotécnica</v>
      </c>
      <c r="V35" s="41" t="s">
        <v>184</v>
      </c>
      <c r="W35" s="60" t="str">
        <f t="shared" si="24"/>
        <v>Key.Fab.35</v>
      </c>
      <c r="X35" s="41" t="s">
        <v>9</v>
      </c>
      <c r="Y35" s="41" t="s">
        <v>9</v>
      </c>
      <c r="Z35" s="41" t="s">
        <v>432</v>
      </c>
      <c r="AA35" s="45" t="str">
        <f t="shared" si="25"/>
        <v>Geotechnical Segment Supplier: is a supplier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317</v>
      </c>
      <c r="E36" s="52" t="s">
        <v>185</v>
      </c>
      <c r="F36" s="57" t="s">
        <v>370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20"/>
        <v>Fornecedores</v>
      </c>
      <c r="M36" s="23" t="str">
        <f t="shared" si="21"/>
        <v>Segmentos dos Profissionais</v>
      </c>
      <c r="N36" s="23" t="str">
        <f t="shared" si="21"/>
        <v>Segmento de Geotécnica</v>
      </c>
      <c r="O36" s="23" t="str">
        <f t="shared" si="21"/>
        <v>Geo Projetista</v>
      </c>
      <c r="P36" s="23" t="s">
        <v>226</v>
      </c>
      <c r="Q36" s="26" t="str">
        <f t="shared" si="22"/>
        <v>Proveedor del segmento geotécnico: es una empresa de diseño o diseñador</v>
      </c>
      <c r="R36" s="42" t="s">
        <v>9</v>
      </c>
      <c r="S36" s="43" t="str">
        <f t="shared" si="23"/>
        <v>Fornecedores</v>
      </c>
      <c r="T36" s="43" t="str">
        <f t="shared" si="23"/>
        <v>Segmentos dos Profissionais</v>
      </c>
      <c r="U36" s="43" t="str">
        <f t="shared" si="23"/>
        <v>Segmento de Geotécnica</v>
      </c>
      <c r="V36" s="41" t="s">
        <v>184</v>
      </c>
      <c r="W36" s="60" t="str">
        <f t="shared" si="24"/>
        <v>Key.Fab.36</v>
      </c>
      <c r="X36" s="41" t="s">
        <v>9</v>
      </c>
      <c r="Y36" s="41" t="s">
        <v>9</v>
      </c>
      <c r="Z36" s="41" t="s">
        <v>427</v>
      </c>
      <c r="AA36" s="45" t="str">
        <f t="shared" si="25"/>
        <v>Geotechnical Segment Supplier: is a Designer or Design Company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317</v>
      </c>
      <c r="E37" s="52" t="s">
        <v>185</v>
      </c>
      <c r="F37" s="57" t="s">
        <v>371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20"/>
        <v>Fornecedores</v>
      </c>
      <c r="M37" s="23" t="str">
        <f t="shared" si="21"/>
        <v>Segmentos dos Profissionais</v>
      </c>
      <c r="N37" s="23" t="str">
        <f t="shared" si="21"/>
        <v>Segmento de Geotécnica</v>
      </c>
      <c r="O37" s="23" t="str">
        <f t="shared" si="21"/>
        <v>Geo Serviço</v>
      </c>
      <c r="P37" s="23" t="s">
        <v>123</v>
      </c>
      <c r="Q37" s="26" t="str">
        <f t="shared" si="22"/>
        <v>Proveedor geotécnico: es un servicio</v>
      </c>
      <c r="R37" s="42" t="s">
        <v>9</v>
      </c>
      <c r="S37" s="43" t="str">
        <f t="shared" si="23"/>
        <v>Fornecedores</v>
      </c>
      <c r="T37" s="43" t="str">
        <f t="shared" si="23"/>
        <v>Segmentos dos Profissionais</v>
      </c>
      <c r="U37" s="43" t="str">
        <f t="shared" si="23"/>
        <v>Segmento de Geotécnica</v>
      </c>
      <c r="V37" s="41" t="s">
        <v>184</v>
      </c>
      <c r="W37" s="60" t="str">
        <f t="shared" si="24"/>
        <v>Key.Fab.37</v>
      </c>
      <c r="X37" s="41" t="s">
        <v>9</v>
      </c>
      <c r="Y37" s="41" t="s">
        <v>9</v>
      </c>
      <c r="Z37" s="41" t="s">
        <v>435</v>
      </c>
      <c r="AA37" s="45" t="str">
        <f t="shared" si="25"/>
        <v>Geotechnical Supplier: It's a Service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317</v>
      </c>
      <c r="E38" s="52" t="s">
        <v>185</v>
      </c>
      <c r="F38" s="57" t="s">
        <v>469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20"/>
        <v>Fornecedores</v>
      </c>
      <c r="M38" s="23" t="str">
        <f t="shared" si="21"/>
        <v>Segmentos dos Profissionais</v>
      </c>
      <c r="N38" s="23" t="str">
        <f t="shared" si="21"/>
        <v>Segmento de Geotécnica</v>
      </c>
      <c r="O38" s="23" t="str">
        <f t="shared" si="21"/>
        <v>Geo Venda</v>
      </c>
      <c r="P38" s="23" t="s">
        <v>507</v>
      </c>
      <c r="Q38" s="26" t="str">
        <f t="shared" si="22"/>
        <v>Proveedor del segmento geotécnico: Es una venta de productos</v>
      </c>
      <c r="R38" s="42" t="s">
        <v>9</v>
      </c>
      <c r="S38" s="43" t="str">
        <f t="shared" si="23"/>
        <v>Fornecedores</v>
      </c>
      <c r="T38" s="43" t="str">
        <f t="shared" si="23"/>
        <v>Segmentos dos Profissionais</v>
      </c>
      <c r="U38" s="43" t="str">
        <f t="shared" si="23"/>
        <v>Segmento de Geotécnica</v>
      </c>
      <c r="V38" s="41" t="s">
        <v>184</v>
      </c>
      <c r="W38" s="60" t="str">
        <f t="shared" si="24"/>
        <v>Key.Fab.38</v>
      </c>
      <c r="X38" s="41" t="s">
        <v>9</v>
      </c>
      <c r="Y38" s="41" t="s">
        <v>9</v>
      </c>
      <c r="Z38" s="41" t="s">
        <v>433</v>
      </c>
      <c r="AA38" s="45" t="str">
        <f t="shared" si="25"/>
        <v>Geotechnical Segment Supplier: It is a sale of products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317</v>
      </c>
      <c r="E39" s="52" t="s">
        <v>221</v>
      </c>
      <c r="F39" s="57" t="s">
        <v>482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20"/>
        <v>Fornecedores</v>
      </c>
      <c r="M39" s="23" t="str">
        <f t="shared" si="21"/>
        <v>Segmentos dos Profissionais</v>
      </c>
      <c r="N39" s="23" t="str">
        <f t="shared" si="21"/>
        <v>Segmento Geral</v>
      </c>
      <c r="O39" s="23" t="str">
        <f t="shared" si="21"/>
        <v>Ger Compra</v>
      </c>
      <c r="P39" s="23" t="s">
        <v>504</v>
      </c>
      <c r="Q39" s="26" t="str">
        <f t="shared" si="22"/>
        <v>Proveedor del segmento general: es una compra de productos</v>
      </c>
      <c r="R39" s="42" t="s">
        <v>9</v>
      </c>
      <c r="S39" s="43" t="str">
        <f t="shared" si="23"/>
        <v>Fornecedores</v>
      </c>
      <c r="T39" s="43" t="str">
        <f t="shared" si="23"/>
        <v>Segmentos dos Profissionais</v>
      </c>
      <c r="U39" s="43" t="str">
        <f t="shared" si="23"/>
        <v>Segmento Geral</v>
      </c>
      <c r="V39" s="41" t="s">
        <v>184</v>
      </c>
      <c r="W39" s="60" t="str">
        <f t="shared" si="24"/>
        <v>Key.Fab.39</v>
      </c>
      <c r="X39" s="41" t="s">
        <v>9</v>
      </c>
      <c r="Y39" s="41" t="s">
        <v>9</v>
      </c>
      <c r="Z39" s="41" t="s">
        <v>505</v>
      </c>
      <c r="AA39" s="45" t="str">
        <f t="shared" si="25"/>
        <v>General segment supplier: it is a purchase of products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317</v>
      </c>
      <c r="E40" s="52" t="s">
        <v>221</v>
      </c>
      <c r="F40" s="57" t="s">
        <v>390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20"/>
        <v>Fornecedores</v>
      </c>
      <c r="M40" s="23" t="str">
        <f t="shared" si="21"/>
        <v>Segmentos dos Profissionais</v>
      </c>
      <c r="N40" s="23" t="str">
        <f t="shared" si="21"/>
        <v>Segmento Geral</v>
      </c>
      <c r="O40" s="23" t="str">
        <f t="shared" si="21"/>
        <v>Ger Consultor</v>
      </c>
      <c r="P40" s="23" t="s">
        <v>186</v>
      </c>
      <c r="Q40" s="26" t="str">
        <f t="shared" si="22"/>
        <v>Proveedor del segmento general: es un consultor autónomo</v>
      </c>
      <c r="R40" s="42" t="s">
        <v>9</v>
      </c>
      <c r="S40" s="43" t="str">
        <f t="shared" si="23"/>
        <v>Fornecedores</v>
      </c>
      <c r="T40" s="43" t="str">
        <f t="shared" si="23"/>
        <v>Segmentos dos Profissionais</v>
      </c>
      <c r="U40" s="43" t="str">
        <f t="shared" si="23"/>
        <v>Segmento Geral</v>
      </c>
      <c r="V40" s="41" t="s">
        <v>184</v>
      </c>
      <c r="W40" s="60" t="str">
        <f t="shared" si="24"/>
        <v>Key.Fab.40</v>
      </c>
      <c r="X40" s="41" t="s">
        <v>9</v>
      </c>
      <c r="Y40" s="41" t="s">
        <v>9</v>
      </c>
      <c r="Z40" s="41" t="s">
        <v>434</v>
      </c>
      <c r="AA40" s="45" t="str">
        <f t="shared" si="25"/>
        <v>General segment supplier: is a self-employed consultant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317</v>
      </c>
      <c r="E41" s="52" t="s">
        <v>221</v>
      </c>
      <c r="F41" s="57" t="s">
        <v>568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">
        <v>95</v>
      </c>
      <c r="M41" s="23" t="s">
        <v>518</v>
      </c>
      <c r="N41" s="23" t="s">
        <v>546</v>
      </c>
      <c r="O41" s="23" t="s">
        <v>547</v>
      </c>
      <c r="P41" s="23" t="s">
        <v>581</v>
      </c>
      <c r="Q41" s="26" t="s">
        <v>603</v>
      </c>
      <c r="R41" s="42" t="s">
        <v>9</v>
      </c>
      <c r="S41" s="43" t="s">
        <v>95</v>
      </c>
      <c r="T41" s="43" t="s">
        <v>518</v>
      </c>
      <c r="U41" s="43" t="s">
        <v>546</v>
      </c>
      <c r="V41" s="41" t="s">
        <v>184</v>
      </c>
      <c r="W41" s="60" t="s">
        <v>548</v>
      </c>
      <c r="X41" s="41" t="s">
        <v>9</v>
      </c>
      <c r="Y41" s="41" t="s">
        <v>9</v>
      </c>
      <c r="Z41" s="41" t="s">
        <v>571</v>
      </c>
      <c r="AA41" s="45" t="s">
        <v>593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317</v>
      </c>
      <c r="E42" s="52" t="s">
        <v>221</v>
      </c>
      <c r="F42" s="57" t="s">
        <v>391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ref="L42:L49" si="26">_xlfn.CONCAT(SUBSTITUTE(C42,"1.",""))</f>
        <v>Fornecedores</v>
      </c>
      <c r="M42" s="23" t="str">
        <f t="shared" ref="M42:O49" si="27">_xlfn.CONCAT(SUBSTITUTE(D42,"."," "))</f>
        <v>Segmentos dos Profissionais</v>
      </c>
      <c r="N42" s="23" t="str">
        <f t="shared" si="27"/>
        <v>Segmento Geral</v>
      </c>
      <c r="O42" s="23" t="str">
        <f t="shared" si="27"/>
        <v>Ger Empresa Consultora</v>
      </c>
      <c r="P42" s="23" t="s">
        <v>187</v>
      </c>
      <c r="Q42" s="26" t="str">
        <f t="shared" ref="Q42:Q49" si="28">_xlfn.TRANSLATE(P42,"pt","es")</f>
        <v>Proveedor de segmento general: es una empresa de consultoría</v>
      </c>
      <c r="R42" s="42" t="s">
        <v>9</v>
      </c>
      <c r="S42" s="43" t="str">
        <f t="shared" ref="S42:U49" si="29">SUBSTITUTE(C42, ".", " ")</f>
        <v>Fornecedores</v>
      </c>
      <c r="T42" s="43" t="str">
        <f t="shared" si="29"/>
        <v>Segmentos dos Profissionais</v>
      </c>
      <c r="U42" s="43" t="str">
        <f t="shared" si="29"/>
        <v>Segmento Geral</v>
      </c>
      <c r="V42" s="41" t="s">
        <v>184</v>
      </c>
      <c r="W42" s="60" t="str">
        <f t="shared" ref="W42:W49" si="30">CONCATENATE("Key.Fab.",A42)</f>
        <v>Key.Fab.42</v>
      </c>
      <c r="X42" s="41" t="s">
        <v>9</v>
      </c>
      <c r="Y42" s="41" t="s">
        <v>9</v>
      </c>
      <c r="Z42" s="41" t="s">
        <v>434</v>
      </c>
      <c r="AA42" s="45" t="str">
        <f t="shared" ref="AA42:AA49" si="31">_xlfn.TRANSLATE(P42,"pt","en")</f>
        <v>General segment supplier: it is a consulting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317</v>
      </c>
      <c r="E43" s="52" t="s">
        <v>221</v>
      </c>
      <c r="F43" s="57" t="s">
        <v>392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26"/>
        <v>Fornecedores</v>
      </c>
      <c r="M43" s="23" t="str">
        <f t="shared" si="27"/>
        <v>Segmentos dos Profissionais</v>
      </c>
      <c r="N43" s="23" t="str">
        <f t="shared" si="27"/>
        <v>Segmento Geral</v>
      </c>
      <c r="O43" s="23" t="str">
        <f t="shared" si="27"/>
        <v>Ger Fabricante</v>
      </c>
      <c r="P43" s="23" t="s">
        <v>188</v>
      </c>
      <c r="Q43" s="26" t="str">
        <f t="shared" si="28"/>
        <v>Proveedor del segmento general: es un fabricante de productos</v>
      </c>
      <c r="R43" s="42" t="s">
        <v>9</v>
      </c>
      <c r="S43" s="43" t="str">
        <f t="shared" si="29"/>
        <v>Fornecedores</v>
      </c>
      <c r="T43" s="43" t="str">
        <f t="shared" si="29"/>
        <v>Segmentos dos Profissionais</v>
      </c>
      <c r="U43" s="43" t="str">
        <f t="shared" si="29"/>
        <v>Segmento Geral</v>
      </c>
      <c r="V43" s="41" t="s">
        <v>184</v>
      </c>
      <c r="W43" s="60" t="str">
        <f t="shared" si="30"/>
        <v>Key.Fab.43</v>
      </c>
      <c r="X43" s="41" t="s">
        <v>9</v>
      </c>
      <c r="Y43" s="41" t="s">
        <v>9</v>
      </c>
      <c r="Z43" s="41" t="s">
        <v>425</v>
      </c>
      <c r="AA43" s="45" t="str">
        <f t="shared" si="31"/>
        <v>General segment supplier: is a manufacturer of products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317</v>
      </c>
      <c r="E44" s="52" t="s">
        <v>221</v>
      </c>
      <c r="F44" s="57" t="s">
        <v>393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26"/>
        <v>Fornecedores</v>
      </c>
      <c r="M44" s="23" t="str">
        <f t="shared" si="27"/>
        <v>Segmentos dos Profissionais</v>
      </c>
      <c r="N44" s="23" t="str">
        <f t="shared" si="27"/>
        <v>Segmento Geral</v>
      </c>
      <c r="O44" s="23" t="str">
        <f t="shared" si="27"/>
        <v>Ger Fornecimento</v>
      </c>
      <c r="P44" s="23" t="s">
        <v>189</v>
      </c>
      <c r="Q44" s="26" t="str">
        <f t="shared" si="28"/>
        <v>Proveedor del segmento general: es un proveedor</v>
      </c>
      <c r="R44" s="42" t="s">
        <v>9</v>
      </c>
      <c r="S44" s="43" t="str">
        <f t="shared" si="29"/>
        <v>Fornecedores</v>
      </c>
      <c r="T44" s="43" t="str">
        <f t="shared" si="29"/>
        <v>Segmentos dos Profissionais</v>
      </c>
      <c r="U44" s="43" t="str">
        <f t="shared" si="29"/>
        <v>Segmento Geral</v>
      </c>
      <c r="V44" s="41" t="s">
        <v>184</v>
      </c>
      <c r="W44" s="60" t="str">
        <f t="shared" si="30"/>
        <v>Key.Fab.44</v>
      </c>
      <c r="X44" s="41" t="s">
        <v>9</v>
      </c>
      <c r="Y44" s="41" t="s">
        <v>9</v>
      </c>
      <c r="Z44" s="41" t="s">
        <v>432</v>
      </c>
      <c r="AA44" s="45" t="str">
        <f t="shared" si="31"/>
        <v>General segment supplier: is a supplier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317</v>
      </c>
      <c r="E45" s="52" t="s">
        <v>221</v>
      </c>
      <c r="F45" s="57" t="s">
        <v>394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26"/>
        <v>Fornecedores</v>
      </c>
      <c r="M45" s="23" t="str">
        <f t="shared" si="27"/>
        <v>Segmentos dos Profissionais</v>
      </c>
      <c r="N45" s="23" t="str">
        <f t="shared" si="27"/>
        <v>Segmento Geral</v>
      </c>
      <c r="O45" s="23" t="str">
        <f t="shared" si="27"/>
        <v>Ger Projetista</v>
      </c>
      <c r="P45" s="23" t="s">
        <v>233</v>
      </c>
      <c r="Q45" s="26" t="str">
        <f t="shared" si="28"/>
        <v>Proveedor del segmento general: es una empresa de diseño o diseñador</v>
      </c>
      <c r="R45" s="42" t="s">
        <v>9</v>
      </c>
      <c r="S45" s="43" t="str">
        <f t="shared" si="29"/>
        <v>Fornecedores</v>
      </c>
      <c r="T45" s="43" t="str">
        <f t="shared" si="29"/>
        <v>Segmentos dos Profissionais</v>
      </c>
      <c r="U45" s="43" t="str">
        <f t="shared" si="29"/>
        <v>Segmento Geral</v>
      </c>
      <c r="V45" s="41" t="s">
        <v>184</v>
      </c>
      <c r="W45" s="60" t="str">
        <f t="shared" si="30"/>
        <v>Key.Fab.45</v>
      </c>
      <c r="X45" s="41" t="s">
        <v>9</v>
      </c>
      <c r="Y45" s="41" t="s">
        <v>9</v>
      </c>
      <c r="Z45" s="41" t="s">
        <v>436</v>
      </c>
      <c r="AA45" s="45" t="str">
        <f t="shared" si="31"/>
        <v>General Segment Supplier: is a Designer or Design Company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317</v>
      </c>
      <c r="E46" s="52" t="s">
        <v>221</v>
      </c>
      <c r="F46" s="57" t="s">
        <v>395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26"/>
        <v>Fornecedores</v>
      </c>
      <c r="M46" s="23" t="str">
        <f t="shared" si="27"/>
        <v>Segmentos dos Profissionais</v>
      </c>
      <c r="N46" s="23" t="str">
        <f t="shared" si="27"/>
        <v>Segmento Geral</v>
      </c>
      <c r="O46" s="23" t="str">
        <f t="shared" si="27"/>
        <v>Ger Serviço</v>
      </c>
      <c r="P46" s="23" t="s">
        <v>190</v>
      </c>
      <c r="Q46" s="26" t="str">
        <f t="shared" si="28"/>
        <v>Proveedor del segmento general: Es un servicio</v>
      </c>
      <c r="R46" s="42" t="s">
        <v>9</v>
      </c>
      <c r="S46" s="43" t="str">
        <f t="shared" si="29"/>
        <v>Fornecedores</v>
      </c>
      <c r="T46" s="43" t="str">
        <f t="shared" si="29"/>
        <v>Segmentos dos Profissionais</v>
      </c>
      <c r="U46" s="43" t="str">
        <f t="shared" si="29"/>
        <v>Segmento Geral</v>
      </c>
      <c r="V46" s="41" t="s">
        <v>184</v>
      </c>
      <c r="W46" s="60" t="str">
        <f t="shared" si="30"/>
        <v>Key.Fab.46</v>
      </c>
      <c r="X46" s="41" t="s">
        <v>9</v>
      </c>
      <c r="Y46" s="41" t="s">
        <v>9</v>
      </c>
      <c r="Z46" s="41" t="s">
        <v>435</v>
      </c>
      <c r="AA46" s="45" t="str">
        <f t="shared" si="31"/>
        <v>General Segment Supplier: It is a service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317</v>
      </c>
      <c r="E47" s="52" t="s">
        <v>221</v>
      </c>
      <c r="F47" s="57" t="s">
        <v>477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26"/>
        <v>Fornecedores</v>
      </c>
      <c r="M47" s="23" t="str">
        <f t="shared" si="27"/>
        <v>Segmentos dos Profissionais</v>
      </c>
      <c r="N47" s="23" t="str">
        <f t="shared" si="27"/>
        <v>Segmento Geral</v>
      </c>
      <c r="O47" s="23" t="str">
        <f t="shared" si="27"/>
        <v>Ger Venda</v>
      </c>
      <c r="P47" s="23" t="s">
        <v>515</v>
      </c>
      <c r="Q47" s="26" t="str">
        <f t="shared" si="28"/>
        <v>Proveedor del segmento general: es una venta de productos</v>
      </c>
      <c r="R47" s="42" t="s">
        <v>9</v>
      </c>
      <c r="S47" s="43" t="str">
        <f t="shared" si="29"/>
        <v>Fornecedores</v>
      </c>
      <c r="T47" s="43" t="str">
        <f t="shared" si="29"/>
        <v>Segmentos dos Profissionais</v>
      </c>
      <c r="U47" s="43" t="str">
        <f t="shared" si="29"/>
        <v>Segmento Geral</v>
      </c>
      <c r="V47" s="41" t="s">
        <v>184</v>
      </c>
      <c r="W47" s="60" t="str">
        <f t="shared" si="30"/>
        <v>Key.Fab.47</v>
      </c>
      <c r="X47" s="41" t="s">
        <v>9</v>
      </c>
      <c r="Y47" s="41" t="s">
        <v>9</v>
      </c>
      <c r="Z47" s="41" t="s">
        <v>433</v>
      </c>
      <c r="AA47" s="45" t="str">
        <f t="shared" si="31"/>
        <v>General segment supplier: it is a sale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317</v>
      </c>
      <c r="E48" s="52" t="s">
        <v>101</v>
      </c>
      <c r="F48" s="57" t="s">
        <v>489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26"/>
        <v>Fornecedores</v>
      </c>
      <c r="M48" s="23" t="str">
        <f t="shared" si="27"/>
        <v>Segmentos dos Profissionais</v>
      </c>
      <c r="N48" s="23" t="str">
        <f t="shared" si="27"/>
        <v>Segmento Hospitalar</v>
      </c>
      <c r="O48" s="23" t="str">
        <f t="shared" si="27"/>
        <v>Hos Compra</v>
      </c>
      <c r="P48" s="23" t="s">
        <v>497</v>
      </c>
      <c r="Q48" s="26" t="str">
        <f t="shared" si="28"/>
        <v>Proveedor del segmento hospitalario: es una compra de productos</v>
      </c>
      <c r="R48" s="42" t="s">
        <v>9</v>
      </c>
      <c r="S48" s="43" t="str">
        <f t="shared" si="29"/>
        <v>Fornecedores</v>
      </c>
      <c r="T48" s="43" t="str">
        <f t="shared" si="29"/>
        <v>Segmentos dos Profissionais</v>
      </c>
      <c r="U48" s="43" t="str">
        <f t="shared" si="29"/>
        <v>Segmento Hospitalar</v>
      </c>
      <c r="V48" s="41" t="s">
        <v>184</v>
      </c>
      <c r="W48" s="60" t="str">
        <f t="shared" si="30"/>
        <v>Key.Fab.48</v>
      </c>
      <c r="X48" s="41" t="s">
        <v>9</v>
      </c>
      <c r="Y48" s="41" t="s">
        <v>9</v>
      </c>
      <c r="Z48" s="41" t="s">
        <v>505</v>
      </c>
      <c r="AA48" s="45" t="str">
        <f t="shared" si="31"/>
        <v>Hospital segment supplier: it is a purchase of products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317</v>
      </c>
      <c r="E49" s="52" t="s">
        <v>101</v>
      </c>
      <c r="F49" s="57" t="s">
        <v>372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26"/>
        <v>Fornecedores</v>
      </c>
      <c r="M49" s="23" t="str">
        <f t="shared" si="27"/>
        <v>Segmentos dos Profissionais</v>
      </c>
      <c r="N49" s="23" t="str">
        <f t="shared" si="27"/>
        <v>Segmento Hospitalar</v>
      </c>
      <c r="O49" s="23" t="str">
        <f t="shared" si="27"/>
        <v>Hos Consultor</v>
      </c>
      <c r="P49" s="23" t="s">
        <v>128</v>
      </c>
      <c r="Q49" s="26" t="str">
        <f t="shared" si="28"/>
        <v>Proveedor del segmento hospitalario: es consultor autónomo</v>
      </c>
      <c r="R49" s="42" t="s">
        <v>9</v>
      </c>
      <c r="S49" s="43" t="str">
        <f t="shared" si="29"/>
        <v>Fornecedores</v>
      </c>
      <c r="T49" s="43" t="str">
        <f t="shared" si="29"/>
        <v>Segmentos dos Profissionais</v>
      </c>
      <c r="U49" s="43" t="str">
        <f t="shared" si="29"/>
        <v>Segmento Hospitalar</v>
      </c>
      <c r="V49" s="41" t="s">
        <v>184</v>
      </c>
      <c r="W49" s="60" t="str">
        <f t="shared" si="30"/>
        <v>Key.Fab.49</v>
      </c>
      <c r="X49" s="41" t="s">
        <v>9</v>
      </c>
      <c r="Y49" s="41" t="s">
        <v>9</v>
      </c>
      <c r="Z49" s="41" t="s">
        <v>429</v>
      </c>
      <c r="AA49" s="45" t="str">
        <f t="shared" si="31"/>
        <v>Hospital Segment Supplier: is a self-employed consultant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317</v>
      </c>
      <c r="E50" s="52" t="s">
        <v>101</v>
      </c>
      <c r="F50" s="57" t="s">
        <v>561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">
        <v>95</v>
      </c>
      <c r="M50" s="23" t="s">
        <v>518</v>
      </c>
      <c r="N50" s="23" t="s">
        <v>525</v>
      </c>
      <c r="O50" s="23" t="s">
        <v>526</v>
      </c>
      <c r="P50" s="23" t="s">
        <v>574</v>
      </c>
      <c r="Q50" s="26" t="s">
        <v>599</v>
      </c>
      <c r="R50" s="42" t="s">
        <v>9</v>
      </c>
      <c r="S50" s="43" t="s">
        <v>95</v>
      </c>
      <c r="T50" s="43" t="s">
        <v>518</v>
      </c>
      <c r="U50" s="43" t="s">
        <v>525</v>
      </c>
      <c r="V50" s="41" t="s">
        <v>184</v>
      </c>
      <c r="W50" s="60" t="s">
        <v>527</v>
      </c>
      <c r="X50" s="41" t="s">
        <v>9</v>
      </c>
      <c r="Y50" s="41" t="s">
        <v>9</v>
      </c>
      <c r="Z50" s="41" t="s">
        <v>571</v>
      </c>
      <c r="AA50" s="45" t="s">
        <v>586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317</v>
      </c>
      <c r="E51" s="52" t="s">
        <v>101</v>
      </c>
      <c r="F51" s="57" t="s">
        <v>373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ref="L51:L58" si="32">_xlfn.CONCAT(SUBSTITUTE(C51,"1.",""))</f>
        <v>Fornecedores</v>
      </c>
      <c r="M51" s="23" t="str">
        <f t="shared" ref="M51:O58" si="33">_xlfn.CONCAT(SUBSTITUTE(D51,"."," "))</f>
        <v>Segmentos dos Profissionais</v>
      </c>
      <c r="N51" s="23" t="str">
        <f t="shared" si="33"/>
        <v>Segmento Hospitalar</v>
      </c>
      <c r="O51" s="23" t="str">
        <f t="shared" si="33"/>
        <v>Hos Empresa Consultora</v>
      </c>
      <c r="P51" s="23" t="s">
        <v>129</v>
      </c>
      <c r="Q51" s="26" t="str">
        <f t="shared" ref="Q51:Q58" si="34">_xlfn.TRANSLATE(P51,"pt","es")</f>
        <v>Proveedor en el segmento hospitalario: es una empresa de consultoría</v>
      </c>
      <c r="R51" s="42" t="s">
        <v>9</v>
      </c>
      <c r="S51" s="43" t="str">
        <f t="shared" ref="S51:U58" si="35">SUBSTITUTE(C51, ".", " ")</f>
        <v>Fornecedores</v>
      </c>
      <c r="T51" s="43" t="str">
        <f t="shared" si="35"/>
        <v>Segmentos dos Profissionais</v>
      </c>
      <c r="U51" s="43" t="str">
        <f t="shared" si="35"/>
        <v>Segmento Hospitalar</v>
      </c>
      <c r="V51" s="41" t="s">
        <v>184</v>
      </c>
      <c r="W51" s="60" t="str">
        <f t="shared" ref="W51:W58" si="36">CONCATENATE("Key.Fab.",A51)</f>
        <v>Key.Fab.51</v>
      </c>
      <c r="X51" s="41" t="s">
        <v>9</v>
      </c>
      <c r="Y51" s="41" t="s">
        <v>9</v>
      </c>
      <c r="Z51" s="41" t="s">
        <v>429</v>
      </c>
      <c r="AA51" s="45" t="str">
        <f t="shared" ref="AA51:AA58" si="37">_xlfn.TRANSLATE(P51,"pt","en")</f>
        <v>Supplier in the hospital segment: it is a consulting company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317</v>
      </c>
      <c r="E52" s="52" t="s">
        <v>101</v>
      </c>
      <c r="F52" s="57" t="s">
        <v>374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32"/>
        <v>Fornecedores</v>
      </c>
      <c r="M52" s="23" t="str">
        <f t="shared" si="33"/>
        <v>Segmentos dos Profissionais</v>
      </c>
      <c r="N52" s="23" t="str">
        <f t="shared" si="33"/>
        <v>Segmento Hospitalar</v>
      </c>
      <c r="O52" s="23" t="str">
        <f t="shared" si="33"/>
        <v>Hos Fabricante</v>
      </c>
      <c r="P52" s="23" t="s">
        <v>130</v>
      </c>
      <c r="Q52" s="26" t="str">
        <f t="shared" si="34"/>
        <v>Proveedor en el segmento hospitalario: es un fabricante de productos</v>
      </c>
      <c r="R52" s="42" t="s">
        <v>9</v>
      </c>
      <c r="S52" s="43" t="str">
        <f t="shared" si="35"/>
        <v>Fornecedores</v>
      </c>
      <c r="T52" s="43" t="str">
        <f t="shared" si="35"/>
        <v>Segmentos dos Profissionais</v>
      </c>
      <c r="U52" s="43" t="str">
        <f t="shared" si="35"/>
        <v>Segmento Hospitalar</v>
      </c>
      <c r="V52" s="41" t="s">
        <v>184</v>
      </c>
      <c r="W52" s="60" t="str">
        <f t="shared" si="36"/>
        <v>Key.Fab.52</v>
      </c>
      <c r="X52" s="41" t="s">
        <v>9</v>
      </c>
      <c r="Y52" s="41" t="s">
        <v>9</v>
      </c>
      <c r="Z52" s="41" t="s">
        <v>425</v>
      </c>
      <c r="AA52" s="45" t="str">
        <f t="shared" si="37"/>
        <v>Supplier in the hospital segment: it is a manufacturer of products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317</v>
      </c>
      <c r="E53" s="52" t="s">
        <v>101</v>
      </c>
      <c r="F53" s="57" t="s">
        <v>375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32"/>
        <v>Fornecedores</v>
      </c>
      <c r="M53" s="23" t="str">
        <f t="shared" si="33"/>
        <v>Segmentos dos Profissionais</v>
      </c>
      <c r="N53" s="23" t="str">
        <f t="shared" si="33"/>
        <v>Segmento Hospitalar</v>
      </c>
      <c r="O53" s="23" t="str">
        <f t="shared" si="33"/>
        <v>Hos Fornecimento</v>
      </c>
      <c r="P53" s="23" t="s">
        <v>180</v>
      </c>
      <c r="Q53" s="26" t="str">
        <f t="shared" si="34"/>
        <v>Proveedor del segmento hospitalario: es un proveedor</v>
      </c>
      <c r="R53" s="42" t="s">
        <v>9</v>
      </c>
      <c r="S53" s="43" t="str">
        <f t="shared" si="35"/>
        <v>Fornecedores</v>
      </c>
      <c r="T53" s="43" t="str">
        <f t="shared" si="35"/>
        <v>Segmentos dos Profissionais</v>
      </c>
      <c r="U53" s="43" t="str">
        <f t="shared" si="35"/>
        <v>Segmento Hospitalar</v>
      </c>
      <c r="V53" s="41" t="s">
        <v>184</v>
      </c>
      <c r="W53" s="60" t="str">
        <f t="shared" si="36"/>
        <v>Key.Fab.53</v>
      </c>
      <c r="X53" s="41" t="s">
        <v>9</v>
      </c>
      <c r="Y53" s="41" t="s">
        <v>9</v>
      </c>
      <c r="Z53" s="41" t="s">
        <v>432</v>
      </c>
      <c r="AA53" s="45" t="str">
        <f t="shared" si="37"/>
        <v>Hospital Segment Supplier: is a supplier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317</v>
      </c>
      <c r="E54" s="52" t="s">
        <v>101</v>
      </c>
      <c r="F54" s="57" t="s">
        <v>376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32"/>
        <v>Fornecedores</v>
      </c>
      <c r="M54" s="23" t="str">
        <f t="shared" si="33"/>
        <v>Segmentos dos Profissionais</v>
      </c>
      <c r="N54" s="23" t="str">
        <f t="shared" si="33"/>
        <v>Segmento Hospitalar</v>
      </c>
      <c r="O54" s="23" t="str">
        <f t="shared" si="33"/>
        <v>Hos Projetista</v>
      </c>
      <c r="P54" s="23" t="s">
        <v>227</v>
      </c>
      <c r="Q54" s="26" t="str">
        <f t="shared" si="34"/>
        <v>Proveedor en el segmento hospitalario: es una empresa de diseñador o diseño</v>
      </c>
      <c r="R54" s="42" t="s">
        <v>9</v>
      </c>
      <c r="S54" s="43" t="str">
        <f t="shared" si="35"/>
        <v>Fornecedores</v>
      </c>
      <c r="T54" s="43" t="str">
        <f t="shared" si="35"/>
        <v>Segmentos dos Profissionais</v>
      </c>
      <c r="U54" s="43" t="str">
        <f t="shared" si="35"/>
        <v>Segmento Hospitalar</v>
      </c>
      <c r="V54" s="41" t="s">
        <v>184</v>
      </c>
      <c r="W54" s="60" t="str">
        <f t="shared" si="36"/>
        <v>Key.Fab.54</v>
      </c>
      <c r="X54" s="41" t="s">
        <v>9</v>
      </c>
      <c r="Y54" s="41" t="s">
        <v>9</v>
      </c>
      <c r="Z54" s="41" t="s">
        <v>430</v>
      </c>
      <c r="AA54" s="45" t="str">
        <f t="shared" si="37"/>
        <v>Supplier in the hospital segment: is a Designer or Design Company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317</v>
      </c>
      <c r="E55" s="52" t="s">
        <v>101</v>
      </c>
      <c r="F55" s="57" t="s">
        <v>377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32"/>
        <v>Fornecedores</v>
      </c>
      <c r="M55" s="23" t="str">
        <f t="shared" si="33"/>
        <v>Segmentos dos Profissionais</v>
      </c>
      <c r="N55" s="23" t="str">
        <f t="shared" si="33"/>
        <v>Segmento Hospitalar</v>
      </c>
      <c r="O55" s="23" t="str">
        <f t="shared" si="33"/>
        <v>Hos Serviço</v>
      </c>
      <c r="P55" s="23" t="s">
        <v>127</v>
      </c>
      <c r="Q55" s="26" t="str">
        <f t="shared" si="34"/>
        <v>Proveedor en el segmento hospitalario: es un servicio</v>
      </c>
      <c r="R55" s="42" t="s">
        <v>9</v>
      </c>
      <c r="S55" s="43" t="str">
        <f t="shared" si="35"/>
        <v>Fornecedores</v>
      </c>
      <c r="T55" s="43" t="str">
        <f t="shared" si="35"/>
        <v>Segmentos dos Profissionais</v>
      </c>
      <c r="U55" s="43" t="str">
        <f t="shared" si="35"/>
        <v>Segmento Hospitalar</v>
      </c>
      <c r="V55" s="41" t="s">
        <v>184</v>
      </c>
      <c r="W55" s="60" t="str">
        <f t="shared" si="36"/>
        <v>Key.Fab.55</v>
      </c>
      <c r="X55" s="41" t="s">
        <v>9</v>
      </c>
      <c r="Y55" s="41" t="s">
        <v>9</v>
      </c>
      <c r="Z55" s="41" t="s">
        <v>431</v>
      </c>
      <c r="AA55" s="45" t="str">
        <f t="shared" si="37"/>
        <v>Supplier in the hospital segment: it is a service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317</v>
      </c>
      <c r="E56" s="52" t="s">
        <v>101</v>
      </c>
      <c r="F56" s="57" t="s">
        <v>470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32"/>
        <v>Fornecedores</v>
      </c>
      <c r="M56" s="23" t="str">
        <f t="shared" si="33"/>
        <v>Segmentos dos Profissionais</v>
      </c>
      <c r="N56" s="23" t="str">
        <f t="shared" si="33"/>
        <v>Segmento Hospitalar</v>
      </c>
      <c r="O56" s="23" t="str">
        <f t="shared" si="33"/>
        <v>Hos Venda</v>
      </c>
      <c r="P56" s="23" t="s">
        <v>508</v>
      </c>
      <c r="Q56" s="26" t="str">
        <f t="shared" si="34"/>
        <v>Proveedor en el segmento hospitalario: es una venta de productos</v>
      </c>
      <c r="R56" s="42" t="s">
        <v>9</v>
      </c>
      <c r="S56" s="43" t="str">
        <f t="shared" si="35"/>
        <v>Fornecedores</v>
      </c>
      <c r="T56" s="43" t="str">
        <f t="shared" si="35"/>
        <v>Segmentos dos Profissionais</v>
      </c>
      <c r="U56" s="43" t="str">
        <f t="shared" si="35"/>
        <v>Segmento Hospitalar</v>
      </c>
      <c r="V56" s="41" t="s">
        <v>184</v>
      </c>
      <c r="W56" s="60" t="str">
        <f t="shared" si="36"/>
        <v>Key.Fab.56</v>
      </c>
      <c r="X56" s="41" t="s">
        <v>9</v>
      </c>
      <c r="Y56" s="41" t="s">
        <v>9</v>
      </c>
      <c r="Z56" s="41" t="s">
        <v>433</v>
      </c>
      <c r="AA56" s="45" t="str">
        <f t="shared" si="37"/>
        <v>Supplier in the hospital segment: it is a sale of products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317</v>
      </c>
      <c r="E57" s="52" t="s">
        <v>324</v>
      </c>
      <c r="F57" s="57" t="s">
        <v>481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32"/>
        <v>Fornecedores</v>
      </c>
      <c r="M57" s="23" t="str">
        <f t="shared" si="33"/>
        <v>Segmentos dos Profissionais</v>
      </c>
      <c r="N57" s="23" t="str">
        <f t="shared" si="33"/>
        <v>Segmento de Iluminação</v>
      </c>
      <c r="O57" s="23" t="str">
        <f t="shared" si="33"/>
        <v>Ilu Compra</v>
      </c>
      <c r="P57" s="23" t="s">
        <v>492</v>
      </c>
      <c r="Q57" s="26" t="str">
        <f t="shared" si="34"/>
        <v>Proveedor del segmento de iluminación: es una compra de productos</v>
      </c>
      <c r="R57" s="42" t="s">
        <v>9</v>
      </c>
      <c r="S57" s="43" t="str">
        <f t="shared" si="35"/>
        <v>Fornecedores</v>
      </c>
      <c r="T57" s="43" t="str">
        <f t="shared" si="35"/>
        <v>Segmentos dos Profissionais</v>
      </c>
      <c r="U57" s="43" t="str">
        <f t="shared" si="35"/>
        <v>Segmento de Iluminação</v>
      </c>
      <c r="V57" s="41" t="s">
        <v>184</v>
      </c>
      <c r="W57" s="60" t="str">
        <f t="shared" si="36"/>
        <v>Key.Fab.57</v>
      </c>
      <c r="X57" s="41" t="s">
        <v>9</v>
      </c>
      <c r="Y57" s="41" t="s">
        <v>9</v>
      </c>
      <c r="Z57" s="41" t="s">
        <v>505</v>
      </c>
      <c r="AA57" s="45" t="str">
        <f t="shared" si="37"/>
        <v>Lighting segment supplier: it is a purchase of products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317</v>
      </c>
      <c r="E58" s="52" t="s">
        <v>324</v>
      </c>
      <c r="F58" s="57" t="s">
        <v>396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32"/>
        <v>Fornecedores</v>
      </c>
      <c r="M58" s="23" t="str">
        <f t="shared" si="33"/>
        <v>Segmentos dos Profissionais</v>
      </c>
      <c r="N58" s="23" t="str">
        <f t="shared" si="33"/>
        <v>Segmento de Iluminação</v>
      </c>
      <c r="O58" s="23" t="str">
        <f t="shared" si="33"/>
        <v>Ilu Consultor</v>
      </c>
      <c r="P58" s="23" t="s">
        <v>318</v>
      </c>
      <c r="Q58" s="26" t="str">
        <f t="shared" si="34"/>
        <v>Proveedor del segmento de iluminación: es consultor autónomo</v>
      </c>
      <c r="R58" s="42" t="s">
        <v>9</v>
      </c>
      <c r="S58" s="43" t="str">
        <f t="shared" si="35"/>
        <v>Fornecedores</v>
      </c>
      <c r="T58" s="43" t="str">
        <f t="shared" si="35"/>
        <v>Segmentos dos Profissionais</v>
      </c>
      <c r="U58" s="43" t="str">
        <f t="shared" si="35"/>
        <v>Segmento de Iluminação</v>
      </c>
      <c r="V58" s="41" t="s">
        <v>184</v>
      </c>
      <c r="W58" s="60" t="str">
        <f t="shared" si="36"/>
        <v>Key.Fab.58</v>
      </c>
      <c r="X58" s="41" t="s">
        <v>9</v>
      </c>
      <c r="Y58" s="41" t="s">
        <v>9</v>
      </c>
      <c r="Z58" s="41" t="s">
        <v>434</v>
      </c>
      <c r="AA58" s="45" t="str">
        <f t="shared" si="37"/>
        <v>Lighting Segment Supplier: is a self-employed consultant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317</v>
      </c>
      <c r="E59" s="52" t="s">
        <v>324</v>
      </c>
      <c r="F59" s="57" t="s">
        <v>569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">
        <v>95</v>
      </c>
      <c r="M59" s="23" t="s">
        <v>518</v>
      </c>
      <c r="N59" s="23" t="s">
        <v>549</v>
      </c>
      <c r="O59" s="23" t="s">
        <v>550</v>
      </c>
      <c r="P59" s="23" t="s">
        <v>582</v>
      </c>
      <c r="Q59" s="26" t="s">
        <v>604</v>
      </c>
      <c r="R59" s="42" t="s">
        <v>9</v>
      </c>
      <c r="S59" s="43" t="s">
        <v>95</v>
      </c>
      <c r="T59" s="43" t="s">
        <v>518</v>
      </c>
      <c r="U59" s="43" t="s">
        <v>549</v>
      </c>
      <c r="V59" s="41" t="s">
        <v>184</v>
      </c>
      <c r="W59" s="60" t="s">
        <v>551</v>
      </c>
      <c r="X59" s="41" t="s">
        <v>9</v>
      </c>
      <c r="Y59" s="41" t="s">
        <v>9</v>
      </c>
      <c r="Z59" s="41" t="s">
        <v>571</v>
      </c>
      <c r="AA59" s="45" t="s">
        <v>594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317</v>
      </c>
      <c r="E60" s="52" t="s">
        <v>324</v>
      </c>
      <c r="F60" s="57" t="s">
        <v>397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ref="L60:L67" si="38">_xlfn.CONCAT(SUBSTITUTE(C60,"1.",""))</f>
        <v>Fornecedores</v>
      </c>
      <c r="M60" s="23" t="str">
        <f t="shared" ref="M60:O67" si="39">_xlfn.CONCAT(SUBSTITUTE(D60,"."," "))</f>
        <v>Segmentos dos Profissionais</v>
      </c>
      <c r="N60" s="23" t="str">
        <f t="shared" si="39"/>
        <v>Segmento de Iluminação</v>
      </c>
      <c r="O60" s="23" t="str">
        <f t="shared" si="39"/>
        <v>Ilu Empresa Consultora</v>
      </c>
      <c r="P60" s="23" t="s">
        <v>319</v>
      </c>
      <c r="Q60" s="26" t="str">
        <f t="shared" ref="Q60:Q67" si="40">_xlfn.TRANSLATE(P60,"pt","es")</f>
        <v>Proveedor en el segmento de iluminación: es una empresa de consultoría</v>
      </c>
      <c r="R60" s="42" t="s">
        <v>9</v>
      </c>
      <c r="S60" s="43" t="str">
        <f t="shared" ref="S60:U67" si="41">SUBSTITUTE(C60, ".", " ")</f>
        <v>Fornecedores</v>
      </c>
      <c r="T60" s="43" t="str">
        <f t="shared" si="41"/>
        <v>Segmentos dos Profissionais</v>
      </c>
      <c r="U60" s="43" t="str">
        <f t="shared" si="41"/>
        <v>Segmento de Iluminação</v>
      </c>
      <c r="V60" s="41" t="s">
        <v>184</v>
      </c>
      <c r="W60" s="60" t="str">
        <f t="shared" ref="W60:W67" si="42">CONCATENATE("Key.Fab.",A60)</f>
        <v>Key.Fab.60</v>
      </c>
      <c r="X60" s="41" t="s">
        <v>9</v>
      </c>
      <c r="Y60" s="41" t="s">
        <v>9</v>
      </c>
      <c r="Z60" s="41" t="s">
        <v>434</v>
      </c>
      <c r="AA60" s="45" t="str">
        <f t="shared" ref="AA60:AA67" si="43">_xlfn.TRANSLATE(P60,"pt","en")</f>
        <v>Supplier in the lighting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317</v>
      </c>
      <c r="E61" s="52" t="s">
        <v>324</v>
      </c>
      <c r="F61" s="57" t="s">
        <v>398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38"/>
        <v>Fornecedores</v>
      </c>
      <c r="M61" s="23" t="str">
        <f t="shared" si="39"/>
        <v>Segmentos dos Profissionais</v>
      </c>
      <c r="N61" s="23" t="str">
        <f t="shared" si="39"/>
        <v>Segmento de Iluminação</v>
      </c>
      <c r="O61" s="23" t="str">
        <f t="shared" si="39"/>
        <v>Ilu Fabricante</v>
      </c>
      <c r="P61" s="23" t="s">
        <v>320</v>
      </c>
      <c r="Q61" s="26" t="str">
        <f t="shared" si="40"/>
        <v>Proveedor del segmento de iluminación: es un fabricante de productos</v>
      </c>
      <c r="R61" s="42" t="s">
        <v>9</v>
      </c>
      <c r="S61" s="43" t="str">
        <f t="shared" si="41"/>
        <v>Fornecedores</v>
      </c>
      <c r="T61" s="43" t="str">
        <f t="shared" si="41"/>
        <v>Segmentos dos Profissionais</v>
      </c>
      <c r="U61" s="43" t="str">
        <f t="shared" si="41"/>
        <v>Segmento de Iluminação</v>
      </c>
      <c r="V61" s="41" t="s">
        <v>184</v>
      </c>
      <c r="W61" s="60" t="str">
        <f t="shared" si="42"/>
        <v>Key.Fab.61</v>
      </c>
      <c r="X61" s="41" t="s">
        <v>9</v>
      </c>
      <c r="Y61" s="41" t="s">
        <v>9</v>
      </c>
      <c r="Z61" s="41" t="s">
        <v>425</v>
      </c>
      <c r="AA61" s="45" t="str">
        <f t="shared" si="43"/>
        <v>Lighting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317</v>
      </c>
      <c r="E62" s="52" t="s">
        <v>324</v>
      </c>
      <c r="F62" s="57" t="s">
        <v>399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38"/>
        <v>Fornecedores</v>
      </c>
      <c r="M62" s="23" t="str">
        <f t="shared" si="39"/>
        <v>Segmentos dos Profissionais</v>
      </c>
      <c r="N62" s="23" t="str">
        <f t="shared" si="39"/>
        <v>Segmento de Iluminação</v>
      </c>
      <c r="O62" s="23" t="str">
        <f t="shared" si="39"/>
        <v>Ilu Fornecimento</v>
      </c>
      <c r="P62" s="23" t="s">
        <v>321</v>
      </c>
      <c r="Q62" s="26" t="str">
        <f t="shared" si="40"/>
        <v>Proveedor del segmento de iluminación: es un proveedor</v>
      </c>
      <c r="R62" s="42" t="s">
        <v>9</v>
      </c>
      <c r="S62" s="43" t="str">
        <f t="shared" si="41"/>
        <v>Fornecedores</v>
      </c>
      <c r="T62" s="43" t="str">
        <f t="shared" si="41"/>
        <v>Segmentos dos Profissionais</v>
      </c>
      <c r="U62" s="43" t="str">
        <f t="shared" si="41"/>
        <v>Segmento de Iluminação</v>
      </c>
      <c r="V62" s="41" t="s">
        <v>184</v>
      </c>
      <c r="W62" s="60" t="str">
        <f t="shared" si="42"/>
        <v>Key.Fab.62</v>
      </c>
      <c r="X62" s="41" t="s">
        <v>9</v>
      </c>
      <c r="Y62" s="41" t="s">
        <v>9</v>
      </c>
      <c r="Z62" s="41" t="s">
        <v>432</v>
      </c>
      <c r="AA62" s="45" t="str">
        <f t="shared" si="43"/>
        <v>Lighting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317</v>
      </c>
      <c r="E63" s="52" t="s">
        <v>324</v>
      </c>
      <c r="F63" s="57" t="s">
        <v>400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38"/>
        <v>Fornecedores</v>
      </c>
      <c r="M63" s="23" t="str">
        <f t="shared" si="39"/>
        <v>Segmentos dos Profissionais</v>
      </c>
      <c r="N63" s="23" t="str">
        <f t="shared" si="39"/>
        <v>Segmento de Iluminação</v>
      </c>
      <c r="O63" s="23" t="str">
        <f t="shared" si="39"/>
        <v>Ilu Projetista</v>
      </c>
      <c r="P63" s="23" t="s">
        <v>322</v>
      </c>
      <c r="Q63" s="26" t="str">
        <f t="shared" si="40"/>
        <v>Proveedor del segmento de iluminación: es una empresa de diseño o diseñador</v>
      </c>
      <c r="R63" s="42" t="s">
        <v>9</v>
      </c>
      <c r="S63" s="43" t="str">
        <f t="shared" si="41"/>
        <v>Fornecedores</v>
      </c>
      <c r="T63" s="43" t="str">
        <f t="shared" si="41"/>
        <v>Segmentos dos Profissionais</v>
      </c>
      <c r="U63" s="43" t="str">
        <f t="shared" si="41"/>
        <v>Segmento de Iluminação</v>
      </c>
      <c r="V63" s="41" t="s">
        <v>184</v>
      </c>
      <c r="W63" s="60" t="str">
        <f t="shared" si="42"/>
        <v>Key.Fab.63</v>
      </c>
      <c r="X63" s="41" t="s">
        <v>9</v>
      </c>
      <c r="Y63" s="41" t="s">
        <v>9</v>
      </c>
      <c r="Z63" s="41" t="s">
        <v>436</v>
      </c>
      <c r="AA63" s="45" t="str">
        <f t="shared" si="43"/>
        <v>Lighting Segment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317</v>
      </c>
      <c r="E64" s="52" t="s">
        <v>324</v>
      </c>
      <c r="F64" s="57" t="s">
        <v>401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38"/>
        <v>Fornecedores</v>
      </c>
      <c r="M64" s="23" t="str">
        <f t="shared" si="39"/>
        <v>Segmentos dos Profissionais</v>
      </c>
      <c r="N64" s="23" t="str">
        <f t="shared" si="39"/>
        <v>Segmento de Iluminação</v>
      </c>
      <c r="O64" s="23" t="str">
        <f t="shared" si="39"/>
        <v>Ilu Serviço</v>
      </c>
      <c r="P64" s="23" t="s">
        <v>323</v>
      </c>
      <c r="Q64" s="26" t="str">
        <f t="shared" si="40"/>
        <v>Proveedor del segmento de iluminación: es un servicio</v>
      </c>
      <c r="R64" s="42" t="s">
        <v>9</v>
      </c>
      <c r="S64" s="43" t="str">
        <f t="shared" si="41"/>
        <v>Fornecedores</v>
      </c>
      <c r="T64" s="43" t="str">
        <f t="shared" si="41"/>
        <v>Segmentos dos Profissionais</v>
      </c>
      <c r="U64" s="43" t="str">
        <f t="shared" si="41"/>
        <v>Segmento de Iluminação</v>
      </c>
      <c r="V64" s="41" t="s">
        <v>184</v>
      </c>
      <c r="W64" s="60" t="str">
        <f t="shared" si="42"/>
        <v>Key.Fab.64</v>
      </c>
      <c r="X64" s="41" t="s">
        <v>9</v>
      </c>
      <c r="Y64" s="41" t="s">
        <v>9</v>
      </c>
      <c r="Z64" s="41" t="s">
        <v>435</v>
      </c>
      <c r="AA64" s="45" t="str">
        <f t="shared" si="43"/>
        <v>Lighting Segment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317</v>
      </c>
      <c r="E65" s="52" t="s">
        <v>324</v>
      </c>
      <c r="F65" s="57" t="s">
        <v>478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38"/>
        <v>Fornecedores</v>
      </c>
      <c r="M65" s="23" t="str">
        <f t="shared" si="39"/>
        <v>Segmentos dos Profissionais</v>
      </c>
      <c r="N65" s="23" t="str">
        <f t="shared" si="39"/>
        <v>Segmento de Iluminação</v>
      </c>
      <c r="O65" s="23" t="str">
        <f t="shared" si="39"/>
        <v>Ilu Venda</v>
      </c>
      <c r="P65" s="23" t="s">
        <v>516</v>
      </c>
      <c r="Q65" s="26" t="str">
        <f t="shared" si="40"/>
        <v>Proveedor del segmento de iluminación: Es una venta de productos</v>
      </c>
      <c r="R65" s="42" t="s">
        <v>9</v>
      </c>
      <c r="S65" s="43" t="str">
        <f t="shared" si="41"/>
        <v>Fornecedores</v>
      </c>
      <c r="T65" s="43" t="str">
        <f t="shared" si="41"/>
        <v>Segmentos dos Profissionais</v>
      </c>
      <c r="U65" s="43" t="str">
        <f t="shared" si="41"/>
        <v>Segmento de Iluminação</v>
      </c>
      <c r="V65" s="41" t="s">
        <v>184</v>
      </c>
      <c r="W65" s="60" t="str">
        <f t="shared" si="42"/>
        <v>Key.Fab.65</v>
      </c>
      <c r="X65" s="41" t="s">
        <v>9</v>
      </c>
      <c r="Y65" s="41" t="s">
        <v>9</v>
      </c>
      <c r="Z65" s="41" t="s">
        <v>433</v>
      </c>
      <c r="AA65" s="45" t="str">
        <f t="shared" si="43"/>
        <v>Lighting Segment Supplier: It is a sale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317</v>
      </c>
      <c r="E66" s="52" t="s">
        <v>99</v>
      </c>
      <c r="F66" s="57" t="s">
        <v>484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38"/>
        <v>Fornecedores</v>
      </c>
      <c r="M66" s="23" t="str">
        <f t="shared" si="39"/>
        <v>Segmentos dos Profissionais</v>
      </c>
      <c r="N66" s="23" t="str">
        <f t="shared" si="39"/>
        <v>Segmento de Inovação</v>
      </c>
      <c r="O66" s="23" t="str">
        <f t="shared" si="39"/>
        <v>Ino Compra</v>
      </c>
      <c r="P66" s="23" t="s">
        <v>502</v>
      </c>
      <c r="Q66" s="26" t="str">
        <f t="shared" si="40"/>
        <v>Proveedor del segmento de innovación: Es una compra de productos</v>
      </c>
      <c r="R66" s="42" t="s">
        <v>9</v>
      </c>
      <c r="S66" s="43" t="str">
        <f t="shared" si="41"/>
        <v>Fornecedores</v>
      </c>
      <c r="T66" s="43" t="str">
        <f t="shared" si="41"/>
        <v>Segmentos dos Profissionais</v>
      </c>
      <c r="U66" s="43" t="str">
        <f t="shared" si="41"/>
        <v>Segmento de Inovação</v>
      </c>
      <c r="V66" s="41" t="s">
        <v>184</v>
      </c>
      <c r="W66" s="60" t="str">
        <f t="shared" si="42"/>
        <v>Key.Fab.66</v>
      </c>
      <c r="X66" s="41" t="s">
        <v>9</v>
      </c>
      <c r="Y66" s="41" t="s">
        <v>9</v>
      </c>
      <c r="Z66" s="41" t="s">
        <v>505</v>
      </c>
      <c r="AA66" s="45" t="str">
        <f t="shared" si="43"/>
        <v>Innovation Segment Supplier: It is a purchase of products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317</v>
      </c>
      <c r="E67" s="52" t="s">
        <v>99</v>
      </c>
      <c r="F67" s="57" t="s">
        <v>378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si="38"/>
        <v>Fornecedores</v>
      </c>
      <c r="M67" s="23" t="str">
        <f t="shared" si="39"/>
        <v>Segmentos dos Profissionais</v>
      </c>
      <c r="N67" s="23" t="str">
        <f t="shared" si="39"/>
        <v>Segmento de Inovação</v>
      </c>
      <c r="O67" s="23" t="str">
        <f t="shared" si="39"/>
        <v>Ino Consultor</v>
      </c>
      <c r="P67" s="23" t="s">
        <v>120</v>
      </c>
      <c r="Q67" s="26" t="str">
        <f t="shared" si="40"/>
        <v>Proveedor de segmento de innovación: es consultor autónomo</v>
      </c>
      <c r="R67" s="42" t="s">
        <v>9</v>
      </c>
      <c r="S67" s="43" t="str">
        <f t="shared" si="41"/>
        <v>Fornecedores</v>
      </c>
      <c r="T67" s="43" t="str">
        <f t="shared" si="41"/>
        <v>Segmentos dos Profissionais</v>
      </c>
      <c r="U67" s="43" t="str">
        <f t="shared" si="41"/>
        <v>Segmento de Inovação</v>
      </c>
      <c r="V67" s="41" t="s">
        <v>184</v>
      </c>
      <c r="W67" s="60" t="str">
        <f t="shared" si="42"/>
        <v>Key.Fab.67</v>
      </c>
      <c r="X67" s="41" t="s">
        <v>9</v>
      </c>
      <c r="Y67" s="41" t="s">
        <v>9</v>
      </c>
      <c r="Z67" s="41" t="s">
        <v>434</v>
      </c>
      <c r="AA67" s="45" t="str">
        <f t="shared" si="43"/>
        <v>Innovation Segment Provider: is a self-employed consultant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317</v>
      </c>
      <c r="E68" s="52" t="s">
        <v>99</v>
      </c>
      <c r="F68" s="57" t="s">
        <v>566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">
        <v>95</v>
      </c>
      <c r="M68" s="23" t="s">
        <v>518</v>
      </c>
      <c r="N68" s="23" t="s">
        <v>540</v>
      </c>
      <c r="O68" s="23" t="s">
        <v>541</v>
      </c>
      <c r="P68" s="23" t="s">
        <v>579</v>
      </c>
      <c r="Q68" s="26" t="s">
        <v>607</v>
      </c>
      <c r="R68" s="42" t="s">
        <v>9</v>
      </c>
      <c r="S68" s="43" t="s">
        <v>95</v>
      </c>
      <c r="T68" s="43" t="s">
        <v>518</v>
      </c>
      <c r="U68" s="43" t="s">
        <v>540</v>
      </c>
      <c r="V68" s="41" t="s">
        <v>184</v>
      </c>
      <c r="W68" s="60" t="s">
        <v>542</v>
      </c>
      <c r="X68" s="41" t="s">
        <v>9</v>
      </c>
      <c r="Y68" s="41" t="s">
        <v>9</v>
      </c>
      <c r="Z68" s="41" t="s">
        <v>571</v>
      </c>
      <c r="AA68" s="45" t="s">
        <v>591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317</v>
      </c>
      <c r="E69" s="52" t="s">
        <v>99</v>
      </c>
      <c r="F69" s="57" t="s">
        <v>379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ref="L69:L76" si="44">_xlfn.CONCAT(SUBSTITUTE(C69,"1.",""))</f>
        <v>Fornecedores</v>
      </c>
      <c r="M69" s="23" t="str">
        <f t="shared" ref="M69:O76" si="45">_xlfn.CONCAT(SUBSTITUTE(D69,"."," "))</f>
        <v>Segmentos dos Profissionais</v>
      </c>
      <c r="N69" s="23" t="str">
        <f t="shared" si="45"/>
        <v>Segmento de Inovação</v>
      </c>
      <c r="O69" s="23" t="str">
        <f t="shared" si="45"/>
        <v>Ino Empresa Consultora</v>
      </c>
      <c r="P69" s="23" t="s">
        <v>121</v>
      </c>
      <c r="Q69" s="26" t="str">
        <f t="shared" ref="Q69:Q76" si="46">_xlfn.TRANSLATE(P69,"pt","es")</f>
        <v>Proveedor del segmento de innovación: es una empresa de consultoría</v>
      </c>
      <c r="R69" s="42" t="s">
        <v>9</v>
      </c>
      <c r="S69" s="43" t="str">
        <f t="shared" ref="S69:U76" si="47">SUBSTITUTE(C69, ".", " ")</f>
        <v>Fornecedores</v>
      </c>
      <c r="T69" s="43" t="str">
        <f t="shared" si="47"/>
        <v>Segmentos dos Profissionais</v>
      </c>
      <c r="U69" s="43" t="str">
        <f t="shared" si="47"/>
        <v>Segmento de Inovação</v>
      </c>
      <c r="V69" s="41" t="s">
        <v>184</v>
      </c>
      <c r="W69" s="60" t="str">
        <f t="shared" ref="W69:W76" si="48">CONCATENATE("Key.Fab.",A69)</f>
        <v>Key.Fab.69</v>
      </c>
      <c r="X69" s="41" t="s">
        <v>9</v>
      </c>
      <c r="Y69" s="41" t="s">
        <v>9</v>
      </c>
      <c r="Z69" s="41" t="s">
        <v>434</v>
      </c>
      <c r="AA69" s="45" t="str">
        <f t="shared" ref="AA69:AA76" si="49">_xlfn.TRANSLATE(P69,"pt","en")</f>
        <v>Supplier of the innovation segment: it is a consulting company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317</v>
      </c>
      <c r="E70" s="52" t="s">
        <v>99</v>
      </c>
      <c r="F70" s="57" t="s">
        <v>380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44"/>
        <v>Fornecedores</v>
      </c>
      <c r="M70" s="23" t="str">
        <f t="shared" si="45"/>
        <v>Segmentos dos Profissionais</v>
      </c>
      <c r="N70" s="23" t="str">
        <f t="shared" si="45"/>
        <v>Segmento de Inovação</v>
      </c>
      <c r="O70" s="23" t="str">
        <f t="shared" si="45"/>
        <v>Ino Fabricante</v>
      </c>
      <c r="P70" s="23" t="s">
        <v>122</v>
      </c>
      <c r="Q70" s="26" t="str">
        <f t="shared" si="46"/>
        <v>Proveedor del segmento de innovación: es un fabricante de productos</v>
      </c>
      <c r="R70" s="42" t="s">
        <v>9</v>
      </c>
      <c r="S70" s="43" t="str">
        <f t="shared" si="47"/>
        <v>Fornecedores</v>
      </c>
      <c r="T70" s="43" t="str">
        <f t="shared" si="47"/>
        <v>Segmentos dos Profissionais</v>
      </c>
      <c r="U70" s="43" t="str">
        <f t="shared" si="47"/>
        <v>Segmento de Inovação</v>
      </c>
      <c r="V70" s="41" t="s">
        <v>184</v>
      </c>
      <c r="W70" s="60" t="str">
        <f t="shared" si="48"/>
        <v>Key.Fab.70</v>
      </c>
      <c r="X70" s="41" t="s">
        <v>9</v>
      </c>
      <c r="Y70" s="41" t="s">
        <v>9</v>
      </c>
      <c r="Z70" s="41" t="s">
        <v>425</v>
      </c>
      <c r="AA70" s="45" t="str">
        <f t="shared" si="49"/>
        <v>Innovation Segment Supplier: is a manufacturer of products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317</v>
      </c>
      <c r="E71" s="52" t="s">
        <v>99</v>
      </c>
      <c r="F71" s="57" t="s">
        <v>381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44"/>
        <v>Fornecedores</v>
      </c>
      <c r="M71" s="23" t="str">
        <f t="shared" si="45"/>
        <v>Segmentos dos Profissionais</v>
      </c>
      <c r="N71" s="23" t="str">
        <f t="shared" si="45"/>
        <v>Segmento de Inovação</v>
      </c>
      <c r="O71" s="23" t="str">
        <f t="shared" si="45"/>
        <v>Ino Fornecimento</v>
      </c>
      <c r="P71" s="23" t="s">
        <v>182</v>
      </c>
      <c r="Q71" s="26" t="str">
        <f t="shared" si="46"/>
        <v>Proveedor del segmento de innovación: es un proveedor</v>
      </c>
      <c r="R71" s="42" t="s">
        <v>9</v>
      </c>
      <c r="S71" s="43" t="str">
        <f t="shared" si="47"/>
        <v>Fornecedores</v>
      </c>
      <c r="T71" s="43" t="str">
        <f t="shared" si="47"/>
        <v>Segmentos dos Profissionais</v>
      </c>
      <c r="U71" s="43" t="str">
        <f t="shared" si="47"/>
        <v>Segmento de Inovação</v>
      </c>
      <c r="V71" s="41" t="s">
        <v>184</v>
      </c>
      <c r="W71" s="60" t="str">
        <f t="shared" si="48"/>
        <v>Key.Fab.71</v>
      </c>
      <c r="X71" s="41" t="s">
        <v>9</v>
      </c>
      <c r="Y71" s="41" t="s">
        <v>9</v>
      </c>
      <c r="Z71" s="41" t="s">
        <v>432</v>
      </c>
      <c r="AA71" s="45" t="str">
        <f t="shared" si="49"/>
        <v>Innovation Segment Supplier: is a supplier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317</v>
      </c>
      <c r="E72" s="52" t="s">
        <v>99</v>
      </c>
      <c r="F72" s="57" t="s">
        <v>382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44"/>
        <v>Fornecedores</v>
      </c>
      <c r="M72" s="23" t="str">
        <f t="shared" si="45"/>
        <v>Segmentos dos Profissionais</v>
      </c>
      <c r="N72" s="23" t="str">
        <f t="shared" si="45"/>
        <v>Segmento de Inovação</v>
      </c>
      <c r="O72" s="23" t="str">
        <f t="shared" si="45"/>
        <v>Ino Projetista</v>
      </c>
      <c r="P72" s="23" t="s">
        <v>231</v>
      </c>
      <c r="Q72" s="26" t="str">
        <f t="shared" si="46"/>
        <v>Proveedor del segmento de innovación: es una empresa de diseño o diseñador</v>
      </c>
      <c r="R72" s="42" t="s">
        <v>9</v>
      </c>
      <c r="S72" s="43" t="str">
        <f t="shared" si="47"/>
        <v>Fornecedores</v>
      </c>
      <c r="T72" s="43" t="str">
        <f t="shared" si="47"/>
        <v>Segmentos dos Profissionais</v>
      </c>
      <c r="U72" s="43" t="str">
        <f t="shared" si="47"/>
        <v>Segmento de Inovação</v>
      </c>
      <c r="V72" s="41" t="s">
        <v>184</v>
      </c>
      <c r="W72" s="60" t="str">
        <f t="shared" si="48"/>
        <v>Key.Fab.72</v>
      </c>
      <c r="X72" s="41" t="s">
        <v>9</v>
      </c>
      <c r="Y72" s="41" t="s">
        <v>9</v>
      </c>
      <c r="Z72" s="41" t="s">
        <v>436</v>
      </c>
      <c r="AA72" s="45" t="str">
        <f t="shared" si="49"/>
        <v>Innovation Segment Supplier: is a Designer or Design Company</v>
      </c>
    </row>
    <row r="73" spans="1:27" ht="6.55" customHeight="1" x14ac:dyDescent="0.4">
      <c r="A73" s="51">
        <v>73</v>
      </c>
      <c r="B73" s="52" t="s">
        <v>75</v>
      </c>
      <c r="C73" s="56" t="s">
        <v>95</v>
      </c>
      <c r="D73" s="52" t="s">
        <v>317</v>
      </c>
      <c r="E73" s="52" t="s">
        <v>99</v>
      </c>
      <c r="F73" s="57" t="s">
        <v>383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44"/>
        <v>Fornecedores</v>
      </c>
      <c r="M73" s="23" t="str">
        <f t="shared" si="45"/>
        <v>Segmentos dos Profissionais</v>
      </c>
      <c r="N73" s="23" t="str">
        <f t="shared" si="45"/>
        <v>Segmento de Inovação</v>
      </c>
      <c r="O73" s="23" t="str">
        <f t="shared" si="45"/>
        <v>Ino Serviço</v>
      </c>
      <c r="P73" s="23" t="s">
        <v>119</v>
      </c>
      <c r="Q73" s="26" t="str">
        <f t="shared" si="46"/>
        <v>Proveedor de Innovación: Es un Servicio</v>
      </c>
      <c r="R73" s="42" t="s">
        <v>9</v>
      </c>
      <c r="S73" s="43" t="str">
        <f t="shared" si="47"/>
        <v>Fornecedores</v>
      </c>
      <c r="T73" s="43" t="str">
        <f t="shared" si="47"/>
        <v>Segmentos dos Profissionais</v>
      </c>
      <c r="U73" s="43" t="str">
        <f t="shared" si="47"/>
        <v>Segmento de Inovação</v>
      </c>
      <c r="V73" s="41" t="s">
        <v>184</v>
      </c>
      <c r="W73" s="60" t="str">
        <f t="shared" si="48"/>
        <v>Key.Fab.73</v>
      </c>
      <c r="X73" s="41" t="s">
        <v>9</v>
      </c>
      <c r="Y73" s="41" t="s">
        <v>9</v>
      </c>
      <c r="Z73" s="41" t="s">
        <v>435</v>
      </c>
      <c r="AA73" s="45" t="str">
        <f t="shared" si="49"/>
        <v>Innovation Supplier: It's a Service</v>
      </c>
    </row>
    <row r="74" spans="1:27" ht="6.55" customHeight="1" x14ac:dyDescent="0.4">
      <c r="A74" s="51">
        <v>74</v>
      </c>
      <c r="B74" s="52" t="s">
        <v>75</v>
      </c>
      <c r="C74" s="56" t="s">
        <v>95</v>
      </c>
      <c r="D74" s="52" t="s">
        <v>317</v>
      </c>
      <c r="E74" s="52" t="s">
        <v>99</v>
      </c>
      <c r="F74" s="57" t="s">
        <v>475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si="44"/>
        <v>Fornecedores</v>
      </c>
      <c r="M74" s="23" t="str">
        <f t="shared" si="45"/>
        <v>Segmentos dos Profissionais</v>
      </c>
      <c r="N74" s="23" t="str">
        <f t="shared" si="45"/>
        <v>Segmento de Inovação</v>
      </c>
      <c r="O74" s="23" t="str">
        <f t="shared" si="45"/>
        <v>Ino Venda</v>
      </c>
      <c r="P74" s="23" t="s">
        <v>513</v>
      </c>
      <c r="Q74" s="26" t="str">
        <f t="shared" si="46"/>
        <v>Proveedor del segmento de innovación: es una venta de productos</v>
      </c>
      <c r="R74" s="42" t="s">
        <v>9</v>
      </c>
      <c r="S74" s="43" t="str">
        <f t="shared" si="47"/>
        <v>Fornecedores</v>
      </c>
      <c r="T74" s="43" t="str">
        <f t="shared" si="47"/>
        <v>Segmentos dos Profissionais</v>
      </c>
      <c r="U74" s="43" t="str">
        <f t="shared" si="47"/>
        <v>Segmento de Inovação</v>
      </c>
      <c r="V74" s="41" t="s">
        <v>184</v>
      </c>
      <c r="W74" s="60" t="str">
        <f t="shared" si="48"/>
        <v>Key.Fab.74</v>
      </c>
      <c r="X74" s="41" t="s">
        <v>9</v>
      </c>
      <c r="Y74" s="41" t="s">
        <v>9</v>
      </c>
      <c r="Z74" s="41" t="s">
        <v>433</v>
      </c>
      <c r="AA74" s="45" t="str">
        <f t="shared" si="49"/>
        <v>Supplier of the innovation segment: it is a sale of products</v>
      </c>
    </row>
    <row r="75" spans="1:27" ht="6.55" customHeight="1" x14ac:dyDescent="0.4">
      <c r="A75" s="51">
        <v>75</v>
      </c>
      <c r="B75" s="52" t="s">
        <v>75</v>
      </c>
      <c r="C75" s="56" t="s">
        <v>95</v>
      </c>
      <c r="D75" s="52" t="s">
        <v>317</v>
      </c>
      <c r="E75" s="52" t="s">
        <v>98</v>
      </c>
      <c r="F75" s="57" t="s">
        <v>488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4"/>
        <v>Fornecedores</v>
      </c>
      <c r="M75" s="23" t="str">
        <f t="shared" si="45"/>
        <v>Segmentos dos Profissionais</v>
      </c>
      <c r="N75" s="23" t="str">
        <f t="shared" si="45"/>
        <v>Segmento de Instalações</v>
      </c>
      <c r="O75" s="23" t="str">
        <f t="shared" si="45"/>
        <v>Ins Compra</v>
      </c>
      <c r="P75" s="23" t="s">
        <v>498</v>
      </c>
      <c r="Q75" s="26" t="str">
        <f t="shared" si="46"/>
        <v>Proveedor del segmento de instalaciones: es una compra de productos</v>
      </c>
      <c r="R75" s="42" t="s">
        <v>9</v>
      </c>
      <c r="S75" s="43" t="str">
        <f t="shared" si="47"/>
        <v>Fornecedores</v>
      </c>
      <c r="T75" s="43" t="str">
        <f t="shared" si="47"/>
        <v>Segmentos dos Profissionais</v>
      </c>
      <c r="U75" s="43" t="str">
        <f t="shared" si="47"/>
        <v>Segmento de Instalações</v>
      </c>
      <c r="V75" s="41" t="s">
        <v>184</v>
      </c>
      <c r="W75" s="60" t="str">
        <f t="shared" si="48"/>
        <v>Key.Fab.75</v>
      </c>
      <c r="X75" s="41" t="s">
        <v>9</v>
      </c>
      <c r="Y75" s="41" t="s">
        <v>9</v>
      </c>
      <c r="Z75" s="41" t="s">
        <v>505</v>
      </c>
      <c r="AA75" s="45" t="str">
        <f t="shared" si="49"/>
        <v>Facilities segment supplier: it is a purchase of products</v>
      </c>
    </row>
    <row r="76" spans="1:27" ht="6.55" customHeight="1" x14ac:dyDescent="0.4">
      <c r="A76" s="51">
        <v>76</v>
      </c>
      <c r="B76" s="52" t="s">
        <v>75</v>
      </c>
      <c r="C76" s="56" t="s">
        <v>95</v>
      </c>
      <c r="D76" s="52" t="s">
        <v>317</v>
      </c>
      <c r="E76" s="52" t="s">
        <v>98</v>
      </c>
      <c r="F76" s="57" t="s">
        <v>348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4"/>
        <v>Fornecedores</v>
      </c>
      <c r="M76" s="23" t="str">
        <f t="shared" si="45"/>
        <v>Segmentos dos Profissionais</v>
      </c>
      <c r="N76" s="23" t="str">
        <f t="shared" si="45"/>
        <v>Segmento de Instalações</v>
      </c>
      <c r="O76" s="23" t="str">
        <f t="shared" si="45"/>
        <v>Ins Consultor</v>
      </c>
      <c r="P76" s="23" t="s">
        <v>108</v>
      </c>
      <c r="Q76" s="26" t="str">
        <f t="shared" si="46"/>
        <v>Proveedor del segmento de instalaciones: es consultor autónomo</v>
      </c>
      <c r="R76" s="42" t="s">
        <v>9</v>
      </c>
      <c r="S76" s="43" t="str">
        <f t="shared" si="47"/>
        <v>Fornecedores</v>
      </c>
      <c r="T76" s="43" t="str">
        <f t="shared" si="47"/>
        <v>Segmentos dos Profissionais</v>
      </c>
      <c r="U76" s="43" t="str">
        <f t="shared" si="47"/>
        <v>Segmento de Instalações</v>
      </c>
      <c r="V76" s="41" t="s">
        <v>184</v>
      </c>
      <c r="W76" s="60" t="str">
        <f t="shared" si="48"/>
        <v>Key.Fab.76</v>
      </c>
      <c r="X76" s="41" t="s">
        <v>9</v>
      </c>
      <c r="Y76" s="41" t="s">
        <v>9</v>
      </c>
      <c r="Z76" s="41" t="s">
        <v>434</v>
      </c>
      <c r="AA76" s="45" t="str">
        <f t="shared" si="49"/>
        <v>Facilities Segment Provider: is a self-employed consultant</v>
      </c>
    </row>
    <row r="77" spans="1:27" ht="6.55" customHeight="1" x14ac:dyDescent="0.4">
      <c r="A77" s="51">
        <v>77</v>
      </c>
      <c r="B77" s="52" t="s">
        <v>75</v>
      </c>
      <c r="C77" s="56" t="s">
        <v>95</v>
      </c>
      <c r="D77" s="52" t="s">
        <v>317</v>
      </c>
      <c r="E77" s="52" t="s">
        <v>98</v>
      </c>
      <c r="F77" s="57" t="s">
        <v>562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">
        <v>95</v>
      </c>
      <c r="M77" s="23" t="s">
        <v>518</v>
      </c>
      <c r="N77" s="23" t="s">
        <v>528</v>
      </c>
      <c r="O77" s="23" t="s">
        <v>529</v>
      </c>
      <c r="P77" s="23" t="s">
        <v>575</v>
      </c>
      <c r="Q77" s="26" t="s">
        <v>608</v>
      </c>
      <c r="R77" s="42" t="s">
        <v>9</v>
      </c>
      <c r="S77" s="43" t="s">
        <v>95</v>
      </c>
      <c r="T77" s="43" t="s">
        <v>518</v>
      </c>
      <c r="U77" s="43" t="s">
        <v>528</v>
      </c>
      <c r="V77" s="41" t="s">
        <v>184</v>
      </c>
      <c r="W77" s="60" t="s">
        <v>530</v>
      </c>
      <c r="X77" s="41" t="s">
        <v>9</v>
      </c>
      <c r="Y77" s="41" t="s">
        <v>9</v>
      </c>
      <c r="Z77" s="41" t="s">
        <v>571</v>
      </c>
      <c r="AA77" s="45" t="s">
        <v>587</v>
      </c>
    </row>
    <row r="78" spans="1:27" ht="6.55" customHeight="1" x14ac:dyDescent="0.4">
      <c r="A78" s="51">
        <v>78</v>
      </c>
      <c r="B78" s="52" t="s">
        <v>75</v>
      </c>
      <c r="C78" s="56" t="s">
        <v>95</v>
      </c>
      <c r="D78" s="52" t="s">
        <v>317</v>
      </c>
      <c r="E78" s="52" t="s">
        <v>98</v>
      </c>
      <c r="F78" s="57" t="s">
        <v>349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ref="L78:L85" si="50">_xlfn.CONCAT(SUBSTITUTE(C78,"1.",""))</f>
        <v>Fornecedores</v>
      </c>
      <c r="M78" s="23" t="str">
        <f t="shared" ref="M78:O85" si="51">_xlfn.CONCAT(SUBSTITUTE(D78,"."," "))</f>
        <v>Segmentos dos Profissionais</v>
      </c>
      <c r="N78" s="23" t="str">
        <f t="shared" si="51"/>
        <v>Segmento de Instalações</v>
      </c>
      <c r="O78" s="23" t="str">
        <f t="shared" si="51"/>
        <v>Ins Empresa Consultora</v>
      </c>
      <c r="P78" s="23" t="s">
        <v>109</v>
      </c>
      <c r="Q78" s="26" t="str">
        <f t="shared" ref="Q78:Q85" si="52">_xlfn.TRANSLATE(P78,"pt","es")</f>
        <v>Proveedor en el segmento de instalaciones: es una empresa de consultoría</v>
      </c>
      <c r="R78" s="42" t="s">
        <v>9</v>
      </c>
      <c r="S78" s="43" t="str">
        <f t="shared" ref="S78:U85" si="53">SUBSTITUTE(C78, ".", " ")</f>
        <v>Fornecedores</v>
      </c>
      <c r="T78" s="43" t="str">
        <f t="shared" si="53"/>
        <v>Segmentos dos Profissionais</v>
      </c>
      <c r="U78" s="43" t="str">
        <f t="shared" si="53"/>
        <v>Segmento de Instalações</v>
      </c>
      <c r="V78" s="41" t="s">
        <v>184</v>
      </c>
      <c r="W78" s="60" t="str">
        <f t="shared" ref="W78:W85" si="54">CONCATENATE("Key.Fab.",A78)</f>
        <v>Key.Fab.78</v>
      </c>
      <c r="X78" s="41" t="s">
        <v>9</v>
      </c>
      <c r="Y78" s="41" t="s">
        <v>9</v>
      </c>
      <c r="Z78" s="41" t="s">
        <v>434</v>
      </c>
      <c r="AA78" s="45" t="str">
        <f t="shared" ref="AA78:AA85" si="55">_xlfn.TRANSLATE(P78,"pt","en")</f>
        <v>Supplier in the facilities segment: it is a consulting company</v>
      </c>
    </row>
    <row r="79" spans="1:27" ht="6.55" customHeight="1" x14ac:dyDescent="0.4">
      <c r="A79" s="51">
        <v>79</v>
      </c>
      <c r="B79" s="52" t="s">
        <v>75</v>
      </c>
      <c r="C79" s="56" t="s">
        <v>95</v>
      </c>
      <c r="D79" s="52" t="s">
        <v>317</v>
      </c>
      <c r="E79" s="52" t="s">
        <v>98</v>
      </c>
      <c r="F79" s="57" t="s">
        <v>350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50"/>
        <v>Fornecedores</v>
      </c>
      <c r="M79" s="23" t="str">
        <f t="shared" si="51"/>
        <v>Segmentos dos Profissionais</v>
      </c>
      <c r="N79" s="23" t="str">
        <f t="shared" si="51"/>
        <v>Segmento de Instalações</v>
      </c>
      <c r="O79" s="23" t="str">
        <f t="shared" si="51"/>
        <v>Ins Fabricante</v>
      </c>
      <c r="P79" s="23" t="s">
        <v>110</v>
      </c>
      <c r="Q79" s="26" t="str">
        <f t="shared" si="52"/>
        <v>Proveedor en el segmento de instalación: es un fabricante de productos</v>
      </c>
      <c r="R79" s="42" t="s">
        <v>9</v>
      </c>
      <c r="S79" s="43" t="str">
        <f t="shared" si="53"/>
        <v>Fornecedores</v>
      </c>
      <c r="T79" s="43" t="str">
        <f t="shared" si="53"/>
        <v>Segmentos dos Profissionais</v>
      </c>
      <c r="U79" s="43" t="str">
        <f t="shared" si="53"/>
        <v>Segmento de Instalações</v>
      </c>
      <c r="V79" s="41" t="s">
        <v>184</v>
      </c>
      <c r="W79" s="60" t="str">
        <f t="shared" si="54"/>
        <v>Key.Fab.79</v>
      </c>
      <c r="X79" s="41" t="s">
        <v>9</v>
      </c>
      <c r="Y79" s="41" t="s">
        <v>9</v>
      </c>
      <c r="Z79" s="41" t="s">
        <v>425</v>
      </c>
      <c r="AA79" s="45" t="str">
        <f t="shared" si="55"/>
        <v>Supplier in the installation segment: is a manufacturer of products</v>
      </c>
    </row>
    <row r="80" spans="1:27" ht="6.55" customHeight="1" x14ac:dyDescent="0.4">
      <c r="A80" s="51">
        <v>80</v>
      </c>
      <c r="B80" s="52" t="s">
        <v>75</v>
      </c>
      <c r="C80" s="56" t="s">
        <v>95</v>
      </c>
      <c r="D80" s="52" t="s">
        <v>317</v>
      </c>
      <c r="E80" s="52" t="s">
        <v>98</v>
      </c>
      <c r="F80" s="57" t="s">
        <v>351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50"/>
        <v>Fornecedores</v>
      </c>
      <c r="M80" s="23" t="str">
        <f t="shared" si="51"/>
        <v>Segmentos dos Profissionais</v>
      </c>
      <c r="N80" s="23" t="str">
        <f t="shared" si="51"/>
        <v>Segmento de Instalações</v>
      </c>
      <c r="O80" s="23" t="str">
        <f t="shared" si="51"/>
        <v>Ins Fornecimento</v>
      </c>
      <c r="P80" s="23" t="s">
        <v>178</v>
      </c>
      <c r="Q80" s="26" t="str">
        <f t="shared" si="52"/>
        <v>Proveedor del segmento de instalaciones: es un proveedor</v>
      </c>
      <c r="R80" s="42" t="s">
        <v>9</v>
      </c>
      <c r="S80" s="43" t="str">
        <f t="shared" si="53"/>
        <v>Fornecedores</v>
      </c>
      <c r="T80" s="43" t="str">
        <f t="shared" si="53"/>
        <v>Segmentos dos Profissionais</v>
      </c>
      <c r="U80" s="43" t="str">
        <f t="shared" si="53"/>
        <v>Segmento de Instalações</v>
      </c>
      <c r="V80" s="41" t="s">
        <v>184</v>
      </c>
      <c r="W80" s="60" t="str">
        <f t="shared" si="54"/>
        <v>Key.Fab.80</v>
      </c>
      <c r="X80" s="41" t="s">
        <v>9</v>
      </c>
      <c r="Y80" s="41" t="s">
        <v>9</v>
      </c>
      <c r="Z80" s="41" t="s">
        <v>432</v>
      </c>
      <c r="AA80" s="45" t="str">
        <f t="shared" si="55"/>
        <v>Facilities Segment Supplier: is a supplier</v>
      </c>
    </row>
    <row r="81" spans="1:27" ht="6.55" customHeight="1" x14ac:dyDescent="0.4">
      <c r="A81" s="51">
        <v>81</v>
      </c>
      <c r="B81" s="52" t="s">
        <v>75</v>
      </c>
      <c r="C81" s="56" t="s">
        <v>95</v>
      </c>
      <c r="D81" s="52" t="s">
        <v>317</v>
      </c>
      <c r="E81" s="52" t="s">
        <v>98</v>
      </c>
      <c r="F81" s="57" t="s">
        <v>352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50"/>
        <v>Fornecedores</v>
      </c>
      <c r="M81" s="23" t="str">
        <f t="shared" si="51"/>
        <v>Segmentos dos Profissionais</v>
      </c>
      <c r="N81" s="23" t="str">
        <f t="shared" si="51"/>
        <v>Segmento de Instalações</v>
      </c>
      <c r="O81" s="23" t="str">
        <f t="shared" si="51"/>
        <v>Ins Projetista</v>
      </c>
      <c r="P81" s="23" t="s">
        <v>228</v>
      </c>
      <c r="Q81" s="26" t="str">
        <f t="shared" si="52"/>
        <v>Proveedor del segmento de instalación: es un diseñador o empresa de diseño</v>
      </c>
      <c r="R81" s="42" t="s">
        <v>9</v>
      </c>
      <c r="S81" s="43" t="str">
        <f t="shared" si="53"/>
        <v>Fornecedores</v>
      </c>
      <c r="T81" s="43" t="str">
        <f t="shared" si="53"/>
        <v>Segmentos dos Profissionais</v>
      </c>
      <c r="U81" s="43" t="str">
        <f t="shared" si="53"/>
        <v>Segmento de Instalações</v>
      </c>
      <c r="V81" s="41" t="s">
        <v>184</v>
      </c>
      <c r="W81" s="60" t="str">
        <f t="shared" si="54"/>
        <v>Key.Fab.81</v>
      </c>
      <c r="X81" s="41" t="s">
        <v>9</v>
      </c>
      <c r="Y81" s="41" t="s">
        <v>9</v>
      </c>
      <c r="Z81" s="41" t="s">
        <v>427</v>
      </c>
      <c r="AA81" s="45" t="str">
        <f t="shared" si="55"/>
        <v>Installation Segment Supplier: is a Designer or Design Company</v>
      </c>
    </row>
    <row r="82" spans="1:27" ht="6.55" customHeight="1" x14ac:dyDescent="0.4">
      <c r="A82" s="51">
        <v>82</v>
      </c>
      <c r="B82" s="52" t="s">
        <v>75</v>
      </c>
      <c r="C82" s="56" t="s">
        <v>95</v>
      </c>
      <c r="D82" s="52" t="s">
        <v>317</v>
      </c>
      <c r="E82" s="52" t="s">
        <v>98</v>
      </c>
      <c r="F82" s="57" t="s">
        <v>353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50"/>
        <v>Fornecedores</v>
      </c>
      <c r="M82" s="23" t="str">
        <f t="shared" si="51"/>
        <v>Segmentos dos Profissionais</v>
      </c>
      <c r="N82" s="23" t="str">
        <f t="shared" si="51"/>
        <v>Segmento de Instalações</v>
      </c>
      <c r="O82" s="23" t="str">
        <f t="shared" si="51"/>
        <v>Ins Serviço</v>
      </c>
      <c r="P82" s="23" t="s">
        <v>107</v>
      </c>
      <c r="Q82" s="26" t="str">
        <f t="shared" si="52"/>
        <v>Proveedor de Segmento de Instalaciones: Es un Servicio</v>
      </c>
      <c r="R82" s="42" t="s">
        <v>9</v>
      </c>
      <c r="S82" s="43" t="str">
        <f t="shared" si="53"/>
        <v>Fornecedores</v>
      </c>
      <c r="T82" s="43" t="str">
        <f t="shared" si="53"/>
        <v>Segmentos dos Profissionais</v>
      </c>
      <c r="U82" s="43" t="str">
        <f t="shared" si="53"/>
        <v>Segmento de Instalações</v>
      </c>
      <c r="V82" s="41" t="s">
        <v>184</v>
      </c>
      <c r="W82" s="60" t="str">
        <f t="shared" si="54"/>
        <v>Key.Fab.82</v>
      </c>
      <c r="X82" s="41" t="s">
        <v>9</v>
      </c>
      <c r="Y82" s="41" t="s">
        <v>9</v>
      </c>
      <c r="Z82" s="41" t="s">
        <v>435</v>
      </c>
      <c r="AA82" s="45" t="str">
        <f t="shared" si="55"/>
        <v>Facilities Segment Provider: It's a Service</v>
      </c>
    </row>
    <row r="83" spans="1:27" ht="6.55" customHeight="1" x14ac:dyDescent="0.4">
      <c r="A83" s="51">
        <v>83</v>
      </c>
      <c r="B83" s="52" t="s">
        <v>75</v>
      </c>
      <c r="C83" s="56" t="s">
        <v>95</v>
      </c>
      <c r="D83" s="52" t="s">
        <v>317</v>
      </c>
      <c r="E83" s="52" t="s">
        <v>98</v>
      </c>
      <c r="F83" s="57" t="s">
        <v>471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50"/>
        <v>Fornecedores</v>
      </c>
      <c r="M83" s="23" t="str">
        <f t="shared" si="51"/>
        <v>Segmentos dos Profissionais</v>
      </c>
      <c r="N83" s="23" t="str">
        <f t="shared" si="51"/>
        <v>Segmento de Instalações</v>
      </c>
      <c r="O83" s="23" t="str">
        <f t="shared" si="51"/>
        <v>Ins Venda</v>
      </c>
      <c r="P83" s="23" t="s">
        <v>509</v>
      </c>
      <c r="Q83" s="26" t="str">
        <f t="shared" si="52"/>
        <v>Proveedor en el segmento de instalaciones: es una venta de productos</v>
      </c>
      <c r="R83" s="42" t="s">
        <v>9</v>
      </c>
      <c r="S83" s="43" t="str">
        <f t="shared" si="53"/>
        <v>Fornecedores</v>
      </c>
      <c r="T83" s="43" t="str">
        <f t="shared" si="53"/>
        <v>Segmentos dos Profissionais</v>
      </c>
      <c r="U83" s="43" t="str">
        <f t="shared" si="53"/>
        <v>Segmento de Instalações</v>
      </c>
      <c r="V83" s="41" t="s">
        <v>184</v>
      </c>
      <c r="W83" s="60" t="str">
        <f t="shared" si="54"/>
        <v>Key.Fab.83</v>
      </c>
      <c r="X83" s="41" t="s">
        <v>9</v>
      </c>
      <c r="Y83" s="41" t="s">
        <v>9</v>
      </c>
      <c r="Z83" s="41" t="s">
        <v>433</v>
      </c>
      <c r="AA83" s="45" t="str">
        <f t="shared" si="55"/>
        <v>Supplier in the facilities segment: it is a sale of products</v>
      </c>
    </row>
    <row r="84" spans="1:27" ht="6.55" customHeight="1" x14ac:dyDescent="0.4">
      <c r="A84" s="51">
        <v>84</v>
      </c>
      <c r="B84" s="52" t="s">
        <v>75</v>
      </c>
      <c r="C84" s="56" t="s">
        <v>95</v>
      </c>
      <c r="D84" s="52" t="s">
        <v>317</v>
      </c>
      <c r="E84" s="52" t="s">
        <v>102</v>
      </c>
      <c r="F84" s="57" t="s">
        <v>487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50"/>
        <v>Fornecedores</v>
      </c>
      <c r="M84" s="23" t="str">
        <f t="shared" si="51"/>
        <v>Segmentos dos Profissionais</v>
      </c>
      <c r="N84" s="23" t="str">
        <f t="shared" si="51"/>
        <v>Segmento Laboratorial</v>
      </c>
      <c r="O84" s="23" t="str">
        <f t="shared" si="51"/>
        <v>Lab Compra</v>
      </c>
      <c r="P84" s="23" t="s">
        <v>499</v>
      </c>
      <c r="Q84" s="26" t="str">
        <f t="shared" si="52"/>
        <v>Proveedor en el segmento de laboratorio: es una compra de productos</v>
      </c>
      <c r="R84" s="42" t="s">
        <v>9</v>
      </c>
      <c r="S84" s="43" t="str">
        <f t="shared" si="53"/>
        <v>Fornecedores</v>
      </c>
      <c r="T84" s="43" t="str">
        <f t="shared" si="53"/>
        <v>Segmentos dos Profissionais</v>
      </c>
      <c r="U84" s="43" t="str">
        <f t="shared" si="53"/>
        <v>Segmento Laboratorial</v>
      </c>
      <c r="V84" s="41" t="s">
        <v>184</v>
      </c>
      <c r="W84" s="60" t="str">
        <f t="shared" si="54"/>
        <v>Key.Fab.84</v>
      </c>
      <c r="X84" s="41" t="s">
        <v>9</v>
      </c>
      <c r="Y84" s="41" t="s">
        <v>9</v>
      </c>
      <c r="Z84" s="41" t="s">
        <v>505</v>
      </c>
      <c r="AA84" s="45" t="str">
        <f t="shared" si="55"/>
        <v>Supplier in the laboratory segment: it is a purchase of products</v>
      </c>
    </row>
    <row r="85" spans="1:27" ht="6.55" customHeight="1" x14ac:dyDescent="0.4">
      <c r="A85" s="51">
        <v>85</v>
      </c>
      <c r="B85" s="52" t="s">
        <v>75</v>
      </c>
      <c r="C85" s="56" t="s">
        <v>95</v>
      </c>
      <c r="D85" s="52" t="s">
        <v>317</v>
      </c>
      <c r="E85" s="52" t="s">
        <v>102</v>
      </c>
      <c r="F85" s="57" t="s">
        <v>342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50"/>
        <v>Fornecedores</v>
      </c>
      <c r="M85" s="23" t="str">
        <f t="shared" si="51"/>
        <v>Segmentos dos Profissionais</v>
      </c>
      <c r="N85" s="23" t="str">
        <f t="shared" si="51"/>
        <v>Segmento Laboratorial</v>
      </c>
      <c r="O85" s="23" t="str">
        <f t="shared" si="51"/>
        <v>Lab Consultor</v>
      </c>
      <c r="P85" s="23" t="s">
        <v>116</v>
      </c>
      <c r="Q85" s="26" t="str">
        <f t="shared" si="52"/>
        <v>Proveedor de segmento de laboratorio: es consultor autónomo</v>
      </c>
      <c r="R85" s="42" t="s">
        <v>9</v>
      </c>
      <c r="S85" s="43" t="str">
        <f t="shared" si="53"/>
        <v>Fornecedores</v>
      </c>
      <c r="T85" s="43" t="str">
        <f t="shared" si="53"/>
        <v>Segmentos dos Profissionais</v>
      </c>
      <c r="U85" s="43" t="str">
        <f t="shared" si="53"/>
        <v>Segmento Laboratorial</v>
      </c>
      <c r="V85" s="41" t="s">
        <v>184</v>
      </c>
      <c r="W85" s="60" t="str">
        <f t="shared" si="54"/>
        <v>Key.Fab.85</v>
      </c>
      <c r="X85" s="41" t="s">
        <v>9</v>
      </c>
      <c r="Y85" s="41" t="s">
        <v>9</v>
      </c>
      <c r="Z85" s="41" t="s">
        <v>434</v>
      </c>
      <c r="AA85" s="45" t="str">
        <f t="shared" si="55"/>
        <v>Laboratory Segment Supplier: is a self-employed consultant</v>
      </c>
    </row>
    <row r="86" spans="1:27" ht="6.55" customHeight="1" x14ac:dyDescent="0.4">
      <c r="A86" s="51">
        <v>86</v>
      </c>
      <c r="B86" s="52" t="s">
        <v>75</v>
      </c>
      <c r="C86" s="56" t="s">
        <v>95</v>
      </c>
      <c r="D86" s="52" t="s">
        <v>317</v>
      </c>
      <c r="E86" s="52" t="s">
        <v>102</v>
      </c>
      <c r="F86" s="57" t="s">
        <v>563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">
        <v>95</v>
      </c>
      <c r="M86" s="23" t="s">
        <v>518</v>
      </c>
      <c r="N86" s="23" t="s">
        <v>531</v>
      </c>
      <c r="O86" s="23" t="s">
        <v>532</v>
      </c>
      <c r="P86" s="23" t="s">
        <v>576</v>
      </c>
      <c r="Q86" s="26" t="s">
        <v>600</v>
      </c>
      <c r="R86" s="42" t="s">
        <v>9</v>
      </c>
      <c r="S86" s="43" t="s">
        <v>95</v>
      </c>
      <c r="T86" s="43" t="s">
        <v>518</v>
      </c>
      <c r="U86" s="43" t="s">
        <v>531</v>
      </c>
      <c r="V86" s="41" t="s">
        <v>184</v>
      </c>
      <c r="W86" s="60" t="s">
        <v>533</v>
      </c>
      <c r="X86" s="41" t="s">
        <v>9</v>
      </c>
      <c r="Y86" s="41" t="s">
        <v>9</v>
      </c>
      <c r="Z86" s="41" t="s">
        <v>571</v>
      </c>
      <c r="AA86" s="45" t="s">
        <v>588</v>
      </c>
    </row>
    <row r="87" spans="1:27" ht="6.55" customHeight="1" x14ac:dyDescent="0.4">
      <c r="A87" s="51">
        <v>87</v>
      </c>
      <c r="B87" s="52" t="s">
        <v>75</v>
      </c>
      <c r="C87" s="56" t="s">
        <v>95</v>
      </c>
      <c r="D87" s="52" t="s">
        <v>317</v>
      </c>
      <c r="E87" s="52" t="s">
        <v>102</v>
      </c>
      <c r="F87" s="57" t="s">
        <v>343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ref="L87:L94" si="56">_xlfn.CONCAT(SUBSTITUTE(C87,"1.",""))</f>
        <v>Fornecedores</v>
      </c>
      <c r="M87" s="23" t="str">
        <f t="shared" ref="M87:O94" si="57">_xlfn.CONCAT(SUBSTITUTE(D87,"."," "))</f>
        <v>Segmentos dos Profissionais</v>
      </c>
      <c r="N87" s="23" t="str">
        <f t="shared" si="57"/>
        <v>Segmento Laboratorial</v>
      </c>
      <c r="O87" s="23" t="str">
        <f t="shared" si="57"/>
        <v>Lab Empresa Consultora</v>
      </c>
      <c r="P87" s="23" t="s">
        <v>117</v>
      </c>
      <c r="Q87" s="26" t="str">
        <f t="shared" ref="Q87:Q94" si="58">_xlfn.TRANSLATE(P87,"pt","es")</f>
        <v>Proveedor en el segmento de laboratorios: es una empresa de consultoría</v>
      </c>
      <c r="R87" s="42" t="s">
        <v>9</v>
      </c>
      <c r="S87" s="43" t="str">
        <f t="shared" ref="S87:U94" si="59">SUBSTITUTE(C87, ".", " ")</f>
        <v>Fornecedores</v>
      </c>
      <c r="T87" s="43" t="str">
        <f t="shared" si="59"/>
        <v>Segmentos dos Profissionais</v>
      </c>
      <c r="U87" s="43" t="str">
        <f t="shared" si="59"/>
        <v>Segmento Laboratorial</v>
      </c>
      <c r="V87" s="41" t="s">
        <v>184</v>
      </c>
      <c r="W87" s="60" t="str">
        <f t="shared" ref="W87:W94" si="60">CONCATENATE("Key.Fab.",A87)</f>
        <v>Key.Fab.87</v>
      </c>
      <c r="X87" s="41" t="s">
        <v>9</v>
      </c>
      <c r="Y87" s="41" t="s">
        <v>9</v>
      </c>
      <c r="Z87" s="41" t="s">
        <v>434</v>
      </c>
      <c r="AA87" s="45" t="str">
        <f t="shared" ref="AA87:AA94" si="61">_xlfn.TRANSLATE(P87,"pt","en")</f>
        <v>Supplier in the laboratory segment: it is a consulting company</v>
      </c>
    </row>
    <row r="88" spans="1:27" ht="6.55" customHeight="1" x14ac:dyDescent="0.4">
      <c r="A88" s="51">
        <v>88</v>
      </c>
      <c r="B88" s="52" t="s">
        <v>75</v>
      </c>
      <c r="C88" s="56" t="s">
        <v>95</v>
      </c>
      <c r="D88" s="52" t="s">
        <v>317</v>
      </c>
      <c r="E88" s="52" t="s">
        <v>102</v>
      </c>
      <c r="F88" s="57" t="s">
        <v>344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56"/>
        <v>Fornecedores</v>
      </c>
      <c r="M88" s="23" t="str">
        <f t="shared" si="57"/>
        <v>Segmentos dos Profissionais</v>
      </c>
      <c r="N88" s="23" t="str">
        <f t="shared" si="57"/>
        <v>Segmento Laboratorial</v>
      </c>
      <c r="O88" s="23" t="str">
        <f t="shared" si="57"/>
        <v>Lab Fabricante</v>
      </c>
      <c r="P88" s="23" t="s">
        <v>118</v>
      </c>
      <c r="Q88" s="26" t="str">
        <f t="shared" si="58"/>
        <v>Proveedor del segmento de laboratorio: es un fabricante de productos</v>
      </c>
      <c r="R88" s="42" t="s">
        <v>9</v>
      </c>
      <c r="S88" s="43" t="str">
        <f t="shared" si="59"/>
        <v>Fornecedores</v>
      </c>
      <c r="T88" s="43" t="str">
        <f t="shared" si="59"/>
        <v>Segmentos dos Profissionais</v>
      </c>
      <c r="U88" s="43" t="str">
        <f t="shared" si="59"/>
        <v>Segmento Laboratorial</v>
      </c>
      <c r="V88" s="41" t="s">
        <v>184</v>
      </c>
      <c r="W88" s="60" t="str">
        <f t="shared" si="60"/>
        <v>Key.Fab.88</v>
      </c>
      <c r="X88" s="41" t="s">
        <v>9</v>
      </c>
      <c r="Y88" s="41" t="s">
        <v>9</v>
      </c>
      <c r="Z88" s="41" t="s">
        <v>425</v>
      </c>
      <c r="AA88" s="45" t="str">
        <f t="shared" si="61"/>
        <v>Supplier of the laboratory segment: it is a manufacturer of products</v>
      </c>
    </row>
    <row r="89" spans="1:27" ht="6.55" customHeight="1" x14ac:dyDescent="0.4">
      <c r="A89" s="51">
        <v>89</v>
      </c>
      <c r="B89" s="52" t="s">
        <v>75</v>
      </c>
      <c r="C89" s="56" t="s">
        <v>95</v>
      </c>
      <c r="D89" s="52" t="s">
        <v>317</v>
      </c>
      <c r="E89" s="52" t="s">
        <v>102</v>
      </c>
      <c r="F89" s="57" t="s">
        <v>345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56"/>
        <v>Fornecedores</v>
      </c>
      <c r="M89" s="23" t="str">
        <f t="shared" si="57"/>
        <v>Segmentos dos Profissionais</v>
      </c>
      <c r="N89" s="23" t="str">
        <f t="shared" si="57"/>
        <v>Segmento Laboratorial</v>
      </c>
      <c r="O89" s="23" t="str">
        <f t="shared" si="57"/>
        <v>Lab Fornecimento</v>
      </c>
      <c r="P89" s="23" t="s">
        <v>181</v>
      </c>
      <c r="Q89" s="26" t="str">
        <f t="shared" si="58"/>
        <v>Proveedor en el segmento de laboratorio: es un proveedor</v>
      </c>
      <c r="R89" s="42" t="s">
        <v>9</v>
      </c>
      <c r="S89" s="43" t="str">
        <f t="shared" si="59"/>
        <v>Fornecedores</v>
      </c>
      <c r="T89" s="43" t="str">
        <f t="shared" si="59"/>
        <v>Segmentos dos Profissionais</v>
      </c>
      <c r="U89" s="43" t="str">
        <f t="shared" si="59"/>
        <v>Segmento Laboratorial</v>
      </c>
      <c r="V89" s="41" t="s">
        <v>184</v>
      </c>
      <c r="W89" s="60" t="str">
        <f t="shared" si="60"/>
        <v>Key.Fab.89</v>
      </c>
      <c r="X89" s="41" t="s">
        <v>9</v>
      </c>
      <c r="Y89" s="41" t="s">
        <v>9</v>
      </c>
      <c r="Z89" s="41" t="s">
        <v>432</v>
      </c>
      <c r="AA89" s="45" t="str">
        <f t="shared" si="61"/>
        <v>Supplier in the laboratory segment: is a supplier</v>
      </c>
    </row>
    <row r="90" spans="1:27" ht="6.55" customHeight="1" x14ac:dyDescent="0.4">
      <c r="A90" s="51">
        <v>90</v>
      </c>
      <c r="B90" s="52" t="s">
        <v>75</v>
      </c>
      <c r="C90" s="56" t="s">
        <v>95</v>
      </c>
      <c r="D90" s="52" t="s">
        <v>317</v>
      </c>
      <c r="E90" s="52" t="s">
        <v>102</v>
      </c>
      <c r="F90" s="57" t="s">
        <v>346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56"/>
        <v>Fornecedores</v>
      </c>
      <c r="M90" s="23" t="str">
        <f t="shared" si="57"/>
        <v>Segmentos dos Profissionais</v>
      </c>
      <c r="N90" s="23" t="str">
        <f t="shared" si="57"/>
        <v>Segmento Laboratorial</v>
      </c>
      <c r="O90" s="23" t="str">
        <f t="shared" si="57"/>
        <v>Lab Projetista</v>
      </c>
      <c r="P90" s="23" t="s">
        <v>229</v>
      </c>
      <c r="Q90" s="26" t="str">
        <f t="shared" si="58"/>
        <v>Proveedor del segmento de laboratorio: es una empresa de diseño o diseñador</v>
      </c>
      <c r="R90" s="42" t="s">
        <v>9</v>
      </c>
      <c r="S90" s="43" t="str">
        <f t="shared" si="59"/>
        <v>Fornecedores</v>
      </c>
      <c r="T90" s="43" t="str">
        <f t="shared" si="59"/>
        <v>Segmentos dos Profissionais</v>
      </c>
      <c r="U90" s="43" t="str">
        <f t="shared" si="59"/>
        <v>Segmento Laboratorial</v>
      </c>
      <c r="V90" s="41" t="s">
        <v>184</v>
      </c>
      <c r="W90" s="60" t="str">
        <f t="shared" si="60"/>
        <v>Key.Fab.90</v>
      </c>
      <c r="X90" s="41" t="s">
        <v>9</v>
      </c>
      <c r="Y90" s="41" t="s">
        <v>9</v>
      </c>
      <c r="Z90" s="41" t="s">
        <v>436</v>
      </c>
      <c r="AA90" s="45" t="str">
        <f t="shared" si="61"/>
        <v>Laboratory Segment Supplier: is a Designer or Design Company</v>
      </c>
    </row>
    <row r="91" spans="1:27" ht="6.55" customHeight="1" x14ac:dyDescent="0.4">
      <c r="A91" s="51">
        <v>91</v>
      </c>
      <c r="B91" s="52" t="s">
        <v>75</v>
      </c>
      <c r="C91" s="56" t="s">
        <v>95</v>
      </c>
      <c r="D91" s="52" t="s">
        <v>317</v>
      </c>
      <c r="E91" s="52" t="s">
        <v>102</v>
      </c>
      <c r="F91" s="57" t="s">
        <v>347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56"/>
        <v>Fornecedores</v>
      </c>
      <c r="M91" s="23" t="str">
        <f t="shared" si="57"/>
        <v>Segmentos dos Profissionais</v>
      </c>
      <c r="N91" s="23" t="str">
        <f t="shared" si="57"/>
        <v>Segmento Laboratorial</v>
      </c>
      <c r="O91" s="23" t="str">
        <f t="shared" si="57"/>
        <v>Lab Serviço</v>
      </c>
      <c r="P91" s="23" t="s">
        <v>115</v>
      </c>
      <c r="Q91" s="26" t="str">
        <f t="shared" si="58"/>
        <v>Proveedor en el segmento de laboratorio: es un servicio</v>
      </c>
      <c r="R91" s="42" t="s">
        <v>9</v>
      </c>
      <c r="S91" s="43" t="str">
        <f t="shared" si="59"/>
        <v>Fornecedores</v>
      </c>
      <c r="T91" s="43" t="str">
        <f t="shared" si="59"/>
        <v>Segmentos dos Profissionais</v>
      </c>
      <c r="U91" s="43" t="str">
        <f t="shared" si="59"/>
        <v>Segmento Laboratorial</v>
      </c>
      <c r="V91" s="41" t="s">
        <v>184</v>
      </c>
      <c r="W91" s="60" t="str">
        <f t="shared" si="60"/>
        <v>Key.Fab.91</v>
      </c>
      <c r="X91" s="41" t="s">
        <v>9</v>
      </c>
      <c r="Y91" s="41" t="s">
        <v>9</v>
      </c>
      <c r="Z91" s="41" t="s">
        <v>435</v>
      </c>
      <c r="AA91" s="45" t="str">
        <f t="shared" si="61"/>
        <v>Supplier in the laboratory segment: it is a service</v>
      </c>
    </row>
    <row r="92" spans="1:27" ht="6.55" customHeight="1" x14ac:dyDescent="0.4">
      <c r="A92" s="51">
        <v>92</v>
      </c>
      <c r="B92" s="52" t="s">
        <v>75</v>
      </c>
      <c r="C92" s="56" t="s">
        <v>95</v>
      </c>
      <c r="D92" s="52" t="s">
        <v>317</v>
      </c>
      <c r="E92" s="52" t="s">
        <v>102</v>
      </c>
      <c r="F92" s="57" t="s">
        <v>472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56"/>
        <v>Fornecedores</v>
      </c>
      <c r="M92" s="23" t="str">
        <f t="shared" si="57"/>
        <v>Segmentos dos Profissionais</v>
      </c>
      <c r="N92" s="23" t="str">
        <f t="shared" si="57"/>
        <v>Segmento Laboratorial</v>
      </c>
      <c r="O92" s="23" t="str">
        <f t="shared" si="57"/>
        <v>Lab Venda</v>
      </c>
      <c r="P92" s="23" t="s">
        <v>510</v>
      </c>
      <c r="Q92" s="26" t="str">
        <f t="shared" si="58"/>
        <v>Proveedor del segmento de laboratorio: es una venta de productos</v>
      </c>
      <c r="R92" s="42" t="s">
        <v>9</v>
      </c>
      <c r="S92" s="43" t="str">
        <f t="shared" si="59"/>
        <v>Fornecedores</v>
      </c>
      <c r="T92" s="43" t="str">
        <f t="shared" si="59"/>
        <v>Segmentos dos Profissionais</v>
      </c>
      <c r="U92" s="43" t="str">
        <f t="shared" si="59"/>
        <v>Segmento Laboratorial</v>
      </c>
      <c r="V92" s="41" t="s">
        <v>184</v>
      </c>
      <c r="W92" s="60" t="str">
        <f t="shared" si="60"/>
        <v>Key.Fab.92</v>
      </c>
      <c r="X92" s="41" t="s">
        <v>9</v>
      </c>
      <c r="Y92" s="41" t="s">
        <v>9</v>
      </c>
      <c r="Z92" s="41" t="s">
        <v>433</v>
      </c>
      <c r="AA92" s="45" t="str">
        <f t="shared" si="61"/>
        <v>Supplier of the laboratory segment: it is a sale of products</v>
      </c>
    </row>
    <row r="93" spans="1:27" ht="6.55" customHeight="1" x14ac:dyDescent="0.4">
      <c r="A93" s="51">
        <v>93</v>
      </c>
      <c r="B93" s="52" t="s">
        <v>75</v>
      </c>
      <c r="C93" s="56" t="s">
        <v>95</v>
      </c>
      <c r="D93" s="52" t="s">
        <v>317</v>
      </c>
      <c r="E93" s="52" t="s">
        <v>410</v>
      </c>
      <c r="F93" s="57" t="s">
        <v>485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56"/>
        <v>Fornecedores</v>
      </c>
      <c r="M93" s="23" t="str">
        <f t="shared" si="57"/>
        <v>Segmentos dos Profissionais</v>
      </c>
      <c r="N93" s="23" t="str">
        <f t="shared" si="57"/>
        <v>Segmento de Mecânica</v>
      </c>
      <c r="O93" s="23" t="str">
        <f t="shared" si="57"/>
        <v>Mec Compra</v>
      </c>
      <c r="P93" s="23" t="s">
        <v>501</v>
      </c>
      <c r="Q93" s="26" t="str">
        <f t="shared" si="58"/>
        <v>Proveedor en el segmento de equipos mecánicos: es una compra de productos</v>
      </c>
      <c r="R93" s="42" t="s">
        <v>9</v>
      </c>
      <c r="S93" s="43" t="str">
        <f t="shared" si="59"/>
        <v>Fornecedores</v>
      </c>
      <c r="T93" s="43" t="str">
        <f t="shared" si="59"/>
        <v>Segmentos dos Profissionais</v>
      </c>
      <c r="U93" s="43" t="str">
        <f t="shared" si="59"/>
        <v>Segmento de Mecânica</v>
      </c>
      <c r="V93" s="41" t="s">
        <v>184</v>
      </c>
      <c r="W93" s="60" t="str">
        <f t="shared" si="60"/>
        <v>Key.Fab.93</v>
      </c>
      <c r="X93" s="41" t="s">
        <v>9</v>
      </c>
      <c r="Y93" s="41" t="s">
        <v>9</v>
      </c>
      <c r="Z93" s="41" t="s">
        <v>505</v>
      </c>
      <c r="AA93" s="45" t="str">
        <f t="shared" si="61"/>
        <v>Supplier in the mechanical equipment segment: it is a purchase of products</v>
      </c>
    </row>
    <row r="94" spans="1:27" ht="6.55" customHeight="1" x14ac:dyDescent="0.4">
      <c r="A94" s="51">
        <v>94</v>
      </c>
      <c r="B94" s="52" t="s">
        <v>75</v>
      </c>
      <c r="C94" s="56" t="s">
        <v>95</v>
      </c>
      <c r="D94" s="52" t="s">
        <v>317</v>
      </c>
      <c r="E94" s="52" t="s">
        <v>410</v>
      </c>
      <c r="F94" s="57" t="s">
        <v>325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56"/>
        <v>Fornecedores</v>
      </c>
      <c r="M94" s="23" t="str">
        <f t="shared" si="57"/>
        <v>Segmentos dos Profissionais</v>
      </c>
      <c r="N94" s="23" t="str">
        <f t="shared" si="57"/>
        <v>Segmento de Mecânica</v>
      </c>
      <c r="O94" s="23" t="str">
        <f t="shared" si="57"/>
        <v>Mec Consultor</v>
      </c>
      <c r="P94" s="23" t="s">
        <v>424</v>
      </c>
      <c r="Q94" s="26" t="str">
        <f t="shared" si="58"/>
        <v>Proveedor en el segmento de equipos mecánicos: es consultor autónomo</v>
      </c>
      <c r="R94" s="42" t="s">
        <v>9</v>
      </c>
      <c r="S94" s="43" t="str">
        <f t="shared" si="59"/>
        <v>Fornecedores</v>
      </c>
      <c r="T94" s="43" t="str">
        <f t="shared" si="59"/>
        <v>Segmentos dos Profissionais</v>
      </c>
      <c r="U94" s="43" t="str">
        <f t="shared" si="59"/>
        <v>Segmento de Mecânica</v>
      </c>
      <c r="V94" s="41" t="s">
        <v>184</v>
      </c>
      <c r="W94" s="60" t="str">
        <f t="shared" si="60"/>
        <v>Key.Fab.94</v>
      </c>
      <c r="X94" s="41" t="s">
        <v>9</v>
      </c>
      <c r="Y94" s="41" t="s">
        <v>9</v>
      </c>
      <c r="Z94" s="41" t="s">
        <v>434</v>
      </c>
      <c r="AA94" s="45" t="str">
        <f t="shared" si="61"/>
        <v>Supplier in the mechanical equipment segment: is a self-employed consultant</v>
      </c>
    </row>
    <row r="95" spans="1:27" ht="6.55" customHeight="1" x14ac:dyDescent="0.4">
      <c r="A95" s="51">
        <v>95</v>
      </c>
      <c r="B95" s="52" t="s">
        <v>75</v>
      </c>
      <c r="C95" s="56" t="s">
        <v>95</v>
      </c>
      <c r="D95" s="52" t="s">
        <v>317</v>
      </c>
      <c r="E95" s="52" t="s">
        <v>410</v>
      </c>
      <c r="F95" s="57" t="s">
        <v>565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">
        <v>95</v>
      </c>
      <c r="M95" s="23" t="s">
        <v>518</v>
      </c>
      <c r="N95" s="23" t="s">
        <v>537</v>
      </c>
      <c r="O95" s="23" t="s">
        <v>538</v>
      </c>
      <c r="P95" s="23" t="s">
        <v>578</v>
      </c>
      <c r="Q95" s="26" t="s">
        <v>606</v>
      </c>
      <c r="R95" s="42" t="s">
        <v>9</v>
      </c>
      <c r="S95" s="43" t="s">
        <v>95</v>
      </c>
      <c r="T95" s="43" t="s">
        <v>518</v>
      </c>
      <c r="U95" s="43" t="s">
        <v>537</v>
      </c>
      <c r="V95" s="41" t="s">
        <v>184</v>
      </c>
      <c r="W95" s="60" t="s">
        <v>539</v>
      </c>
      <c r="X95" s="41" t="s">
        <v>9</v>
      </c>
      <c r="Y95" s="41" t="s">
        <v>9</v>
      </c>
      <c r="Z95" s="41" t="s">
        <v>571</v>
      </c>
      <c r="AA95" s="45" t="s">
        <v>590</v>
      </c>
    </row>
    <row r="96" spans="1:27" ht="6.55" customHeight="1" x14ac:dyDescent="0.4">
      <c r="A96" s="51">
        <v>96</v>
      </c>
      <c r="B96" s="52" t="s">
        <v>75</v>
      </c>
      <c r="C96" s="56" t="s">
        <v>95</v>
      </c>
      <c r="D96" s="52" t="s">
        <v>317</v>
      </c>
      <c r="E96" s="52" t="s">
        <v>410</v>
      </c>
      <c r="F96" s="57" t="s">
        <v>326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ref="L96:L103" si="62">_xlfn.CONCAT(SUBSTITUTE(C96,"1.",""))</f>
        <v>Fornecedores</v>
      </c>
      <c r="M96" s="23" t="str">
        <f t="shared" ref="M96:O103" si="63">_xlfn.CONCAT(SUBSTITUTE(D96,"."," "))</f>
        <v>Segmentos dos Profissionais</v>
      </c>
      <c r="N96" s="23" t="str">
        <f t="shared" si="63"/>
        <v>Segmento de Mecânica</v>
      </c>
      <c r="O96" s="23" t="str">
        <f t="shared" si="63"/>
        <v>Mec Empresa Consultora</v>
      </c>
      <c r="P96" s="23" t="s">
        <v>337</v>
      </c>
      <c r="Q96" s="26" t="str">
        <f t="shared" ref="Q96:Q103" si="64">_xlfn.TRANSLATE(P96,"pt","es")</f>
        <v>Proveedor en el segmento de equipos mecánicos: es una empresa de consultoría</v>
      </c>
      <c r="R96" s="42" t="s">
        <v>9</v>
      </c>
      <c r="S96" s="43" t="str">
        <f t="shared" ref="S96:U103" si="65">SUBSTITUTE(C96, ".", " ")</f>
        <v>Fornecedores</v>
      </c>
      <c r="T96" s="43" t="str">
        <f t="shared" si="65"/>
        <v>Segmentos dos Profissionais</v>
      </c>
      <c r="U96" s="43" t="str">
        <f t="shared" si="65"/>
        <v>Segmento de Mecânica</v>
      </c>
      <c r="V96" s="41" t="s">
        <v>184</v>
      </c>
      <c r="W96" s="60" t="str">
        <f t="shared" ref="W96:W103" si="66">CONCATENATE("Key.Fab.",A96)</f>
        <v>Key.Fab.96</v>
      </c>
      <c r="X96" s="41" t="s">
        <v>9</v>
      </c>
      <c r="Y96" s="41" t="s">
        <v>9</v>
      </c>
      <c r="Z96" s="41" t="s">
        <v>434</v>
      </c>
      <c r="AA96" s="45" t="str">
        <f t="shared" ref="AA96:AA103" si="67">_xlfn.TRANSLATE(P96,"pt","en")</f>
        <v>Supplier in the mechanical equipment segment: it is a consulting company</v>
      </c>
    </row>
    <row r="97" spans="1:27" ht="6.55" customHeight="1" x14ac:dyDescent="0.4">
      <c r="A97" s="51">
        <v>97</v>
      </c>
      <c r="B97" s="52" t="s">
        <v>75</v>
      </c>
      <c r="C97" s="56" t="s">
        <v>95</v>
      </c>
      <c r="D97" s="52" t="s">
        <v>317</v>
      </c>
      <c r="E97" s="52" t="s">
        <v>410</v>
      </c>
      <c r="F97" s="57" t="s">
        <v>327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62"/>
        <v>Fornecedores</v>
      </c>
      <c r="M97" s="23" t="str">
        <f t="shared" si="63"/>
        <v>Segmentos dos Profissionais</v>
      </c>
      <c r="N97" s="23" t="str">
        <f t="shared" si="63"/>
        <v>Segmento de Mecânica</v>
      </c>
      <c r="O97" s="23" t="str">
        <f t="shared" si="63"/>
        <v>Mec Fabricante</v>
      </c>
      <c r="P97" s="23" t="s">
        <v>338</v>
      </c>
      <c r="Q97" s="26" t="str">
        <f t="shared" si="64"/>
        <v>Proveedor en el segmento de equipos mecánicos: es un fabricante de productos</v>
      </c>
      <c r="R97" s="42" t="s">
        <v>9</v>
      </c>
      <c r="S97" s="43" t="str">
        <f t="shared" si="65"/>
        <v>Fornecedores</v>
      </c>
      <c r="T97" s="43" t="str">
        <f t="shared" si="65"/>
        <v>Segmentos dos Profissionais</v>
      </c>
      <c r="U97" s="43" t="str">
        <f t="shared" si="65"/>
        <v>Segmento de Mecânica</v>
      </c>
      <c r="V97" s="41" t="s">
        <v>184</v>
      </c>
      <c r="W97" s="60" t="str">
        <f t="shared" si="66"/>
        <v>Key.Fab.97</v>
      </c>
      <c r="X97" s="41" t="s">
        <v>9</v>
      </c>
      <c r="Y97" s="41" t="s">
        <v>9</v>
      </c>
      <c r="Z97" s="41" t="s">
        <v>425</v>
      </c>
      <c r="AA97" s="45" t="str">
        <f t="shared" si="67"/>
        <v>Supplier in the mechanical equipment segment: it is a manufacturer of products</v>
      </c>
    </row>
    <row r="98" spans="1:27" ht="6.55" customHeight="1" x14ac:dyDescent="0.4">
      <c r="A98" s="51">
        <v>98</v>
      </c>
      <c r="B98" s="52" t="s">
        <v>75</v>
      </c>
      <c r="C98" s="56" t="s">
        <v>95</v>
      </c>
      <c r="D98" s="52" t="s">
        <v>317</v>
      </c>
      <c r="E98" s="52" t="s">
        <v>410</v>
      </c>
      <c r="F98" s="57" t="s">
        <v>328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62"/>
        <v>Fornecedores</v>
      </c>
      <c r="M98" s="23" t="str">
        <f t="shared" si="63"/>
        <v>Segmentos dos Profissionais</v>
      </c>
      <c r="N98" s="23" t="str">
        <f t="shared" si="63"/>
        <v>Segmento de Mecânica</v>
      </c>
      <c r="O98" s="23" t="str">
        <f t="shared" si="63"/>
        <v>Mec Fornecimento</v>
      </c>
      <c r="P98" s="23" t="s">
        <v>339</v>
      </c>
      <c r="Q98" s="26" t="str">
        <f t="shared" si="64"/>
        <v>Proveedor en el segmento de equipos mecánicos: es un proveedor</v>
      </c>
      <c r="R98" s="42" t="s">
        <v>9</v>
      </c>
      <c r="S98" s="43" t="str">
        <f t="shared" si="65"/>
        <v>Fornecedores</v>
      </c>
      <c r="T98" s="43" t="str">
        <f t="shared" si="65"/>
        <v>Segmentos dos Profissionais</v>
      </c>
      <c r="U98" s="43" t="str">
        <f t="shared" si="65"/>
        <v>Segmento de Mecânica</v>
      </c>
      <c r="V98" s="41" t="s">
        <v>184</v>
      </c>
      <c r="W98" s="60" t="str">
        <f t="shared" si="66"/>
        <v>Key.Fab.98</v>
      </c>
      <c r="X98" s="41" t="s">
        <v>9</v>
      </c>
      <c r="Y98" s="41" t="s">
        <v>9</v>
      </c>
      <c r="Z98" s="41" t="s">
        <v>432</v>
      </c>
      <c r="AA98" s="45" t="str">
        <f t="shared" si="67"/>
        <v>Supplier in the mechanical equipment segment: it is a supplier</v>
      </c>
    </row>
    <row r="99" spans="1:27" ht="6.55" customHeight="1" x14ac:dyDescent="0.4">
      <c r="A99" s="51">
        <v>99</v>
      </c>
      <c r="B99" s="52" t="s">
        <v>75</v>
      </c>
      <c r="C99" s="56" t="s">
        <v>95</v>
      </c>
      <c r="D99" s="52" t="s">
        <v>317</v>
      </c>
      <c r="E99" s="52" t="s">
        <v>410</v>
      </c>
      <c r="F99" s="57" t="s">
        <v>329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62"/>
        <v>Fornecedores</v>
      </c>
      <c r="M99" s="23" t="str">
        <f t="shared" si="63"/>
        <v>Segmentos dos Profissionais</v>
      </c>
      <c r="N99" s="23" t="str">
        <f t="shared" si="63"/>
        <v>Segmento de Mecânica</v>
      </c>
      <c r="O99" s="23" t="str">
        <f t="shared" si="63"/>
        <v>Mec Projetista</v>
      </c>
      <c r="P99" s="23" t="s">
        <v>340</v>
      </c>
      <c r="Q99" s="26" t="str">
        <f t="shared" si="64"/>
        <v>Proveedor en el segmento de equipos mecánicos: es una empresa de diseño o diseñador</v>
      </c>
      <c r="R99" s="42" t="s">
        <v>9</v>
      </c>
      <c r="S99" s="43" t="str">
        <f t="shared" si="65"/>
        <v>Fornecedores</v>
      </c>
      <c r="T99" s="43" t="str">
        <f t="shared" si="65"/>
        <v>Segmentos dos Profissionais</v>
      </c>
      <c r="U99" s="43" t="str">
        <f t="shared" si="65"/>
        <v>Segmento de Mecânica</v>
      </c>
      <c r="V99" s="41" t="s">
        <v>184</v>
      </c>
      <c r="W99" s="60" t="str">
        <f t="shared" si="66"/>
        <v>Key.Fab.99</v>
      </c>
      <c r="X99" s="41" t="s">
        <v>9</v>
      </c>
      <c r="Y99" s="41" t="s">
        <v>9</v>
      </c>
      <c r="Z99" s="41" t="s">
        <v>428</v>
      </c>
      <c r="AA99" s="45" t="str">
        <f t="shared" si="67"/>
        <v>Supplier in the mechanical equipment segment: is a Designer or Design Company</v>
      </c>
    </row>
    <row r="100" spans="1:27" ht="6.55" customHeight="1" x14ac:dyDescent="0.4">
      <c r="A100" s="51">
        <v>100</v>
      </c>
      <c r="B100" s="52" t="s">
        <v>75</v>
      </c>
      <c r="C100" s="56" t="s">
        <v>95</v>
      </c>
      <c r="D100" s="52" t="s">
        <v>317</v>
      </c>
      <c r="E100" s="52" t="s">
        <v>410</v>
      </c>
      <c r="F100" s="57" t="s">
        <v>330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62"/>
        <v>Fornecedores</v>
      </c>
      <c r="M100" s="23" t="str">
        <f t="shared" si="63"/>
        <v>Segmentos dos Profissionais</v>
      </c>
      <c r="N100" s="23" t="str">
        <f t="shared" si="63"/>
        <v>Segmento de Mecânica</v>
      </c>
      <c r="O100" s="23" t="str">
        <f t="shared" si="63"/>
        <v>Mec Serviço</v>
      </c>
      <c r="P100" s="23" t="s">
        <v>341</v>
      </c>
      <c r="Q100" s="26" t="str">
        <f t="shared" si="64"/>
        <v>Proveedor en el segmento de equipos mecánicos: es un servicio</v>
      </c>
      <c r="R100" s="42" t="s">
        <v>9</v>
      </c>
      <c r="S100" s="43" t="str">
        <f t="shared" si="65"/>
        <v>Fornecedores</v>
      </c>
      <c r="T100" s="43" t="str">
        <f t="shared" si="65"/>
        <v>Segmentos dos Profissionais</v>
      </c>
      <c r="U100" s="43" t="str">
        <f t="shared" si="65"/>
        <v>Segmento de Mecânica</v>
      </c>
      <c r="V100" s="41" t="s">
        <v>184</v>
      </c>
      <c r="W100" s="60" t="str">
        <f t="shared" si="66"/>
        <v>Key.Fab.100</v>
      </c>
      <c r="X100" s="41" t="s">
        <v>9</v>
      </c>
      <c r="Y100" s="41" t="s">
        <v>9</v>
      </c>
      <c r="Z100" s="41" t="s">
        <v>435</v>
      </c>
      <c r="AA100" s="45" t="str">
        <f t="shared" si="67"/>
        <v>Supplier in the mechanical equipment segment: it is a service</v>
      </c>
    </row>
    <row r="101" spans="1:27" ht="6.55" customHeight="1" x14ac:dyDescent="0.4">
      <c r="A101" s="51">
        <v>101</v>
      </c>
      <c r="B101" s="52" t="s">
        <v>75</v>
      </c>
      <c r="C101" s="56" t="s">
        <v>95</v>
      </c>
      <c r="D101" s="52" t="s">
        <v>317</v>
      </c>
      <c r="E101" s="52" t="s">
        <v>410</v>
      </c>
      <c r="F101" s="57" t="s">
        <v>474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62"/>
        <v>Fornecedores</v>
      </c>
      <c r="M101" s="23" t="str">
        <f t="shared" si="63"/>
        <v>Segmentos dos Profissionais</v>
      </c>
      <c r="N101" s="23" t="str">
        <f t="shared" si="63"/>
        <v>Segmento de Mecânica</v>
      </c>
      <c r="O101" s="23" t="str">
        <f t="shared" si="63"/>
        <v>Mec Venda</v>
      </c>
      <c r="P101" s="23" t="s">
        <v>512</v>
      </c>
      <c r="Q101" s="26" t="str">
        <f t="shared" si="64"/>
        <v>Proveedor en el segmento de equipos mecánicos: se trata de una venta de productos</v>
      </c>
      <c r="R101" s="42" t="s">
        <v>9</v>
      </c>
      <c r="S101" s="43" t="str">
        <f t="shared" si="65"/>
        <v>Fornecedores</v>
      </c>
      <c r="T101" s="43" t="str">
        <f t="shared" si="65"/>
        <v>Segmentos dos Profissionais</v>
      </c>
      <c r="U101" s="43" t="str">
        <f t="shared" si="65"/>
        <v>Segmento de Mecânica</v>
      </c>
      <c r="V101" s="41" t="s">
        <v>184</v>
      </c>
      <c r="W101" s="60" t="str">
        <f t="shared" si="66"/>
        <v>Key.Fab.101</v>
      </c>
      <c r="X101" s="41" t="s">
        <v>9</v>
      </c>
      <c r="Y101" s="41" t="s">
        <v>9</v>
      </c>
      <c r="Z101" s="41" t="s">
        <v>433</v>
      </c>
      <c r="AA101" s="45" t="str">
        <f t="shared" si="67"/>
        <v>Supplier in the mechanical equipment segment: it is a sale of products</v>
      </c>
    </row>
    <row r="102" spans="1:27" ht="6.55" customHeight="1" x14ac:dyDescent="0.4">
      <c r="A102" s="51">
        <v>102</v>
      </c>
      <c r="B102" s="52" t="s">
        <v>75</v>
      </c>
      <c r="C102" s="56" t="s">
        <v>95</v>
      </c>
      <c r="D102" s="52" t="s">
        <v>317</v>
      </c>
      <c r="E102" s="52" t="s">
        <v>100</v>
      </c>
      <c r="F102" s="57" t="s">
        <v>486</v>
      </c>
      <c r="G102" s="28" t="s">
        <v>9</v>
      </c>
      <c r="H102" s="28" t="s">
        <v>9</v>
      </c>
      <c r="I102" s="28" t="s">
        <v>9</v>
      </c>
      <c r="J102" s="28" t="s">
        <v>9</v>
      </c>
      <c r="K102" s="28" t="s">
        <v>9</v>
      </c>
      <c r="L102" s="23" t="str">
        <f t="shared" si="62"/>
        <v>Fornecedores</v>
      </c>
      <c r="M102" s="23" t="str">
        <f t="shared" si="63"/>
        <v>Segmentos dos Profissionais</v>
      </c>
      <c r="N102" s="23" t="str">
        <f t="shared" si="63"/>
        <v>Segmento de Mobiliário</v>
      </c>
      <c r="O102" s="23" t="str">
        <f t="shared" si="63"/>
        <v>Mob Compra</v>
      </c>
      <c r="P102" s="23" t="s">
        <v>500</v>
      </c>
      <c r="Q102" s="26" t="str">
        <f t="shared" si="64"/>
        <v>Proveedor de muebles: es una compra de productos</v>
      </c>
      <c r="R102" s="42" t="s">
        <v>9</v>
      </c>
      <c r="S102" s="43" t="str">
        <f t="shared" si="65"/>
        <v>Fornecedores</v>
      </c>
      <c r="T102" s="43" t="str">
        <f t="shared" si="65"/>
        <v>Segmentos dos Profissionais</v>
      </c>
      <c r="U102" s="43" t="str">
        <f t="shared" si="65"/>
        <v>Segmento de Mobiliário</v>
      </c>
      <c r="V102" s="41" t="s">
        <v>184</v>
      </c>
      <c r="W102" s="60" t="str">
        <f t="shared" si="66"/>
        <v>Key.Fab.102</v>
      </c>
      <c r="X102" s="41" t="s">
        <v>9</v>
      </c>
      <c r="Y102" s="41" t="s">
        <v>9</v>
      </c>
      <c r="Z102" s="41" t="s">
        <v>505</v>
      </c>
      <c r="AA102" s="45" t="str">
        <f t="shared" si="67"/>
        <v>Furniture supplier: it is a purchase of products</v>
      </c>
    </row>
    <row r="103" spans="1:27" ht="6.55" customHeight="1" x14ac:dyDescent="0.4">
      <c r="A103" s="51">
        <v>103</v>
      </c>
      <c r="B103" s="52" t="s">
        <v>75</v>
      </c>
      <c r="C103" s="56" t="s">
        <v>95</v>
      </c>
      <c r="D103" s="52" t="s">
        <v>317</v>
      </c>
      <c r="E103" s="52" t="s">
        <v>100</v>
      </c>
      <c r="F103" s="57" t="s">
        <v>331</v>
      </c>
      <c r="G103" s="28" t="s">
        <v>9</v>
      </c>
      <c r="H103" s="28" t="s">
        <v>9</v>
      </c>
      <c r="I103" s="28" t="s">
        <v>9</v>
      </c>
      <c r="J103" s="28" t="s">
        <v>9</v>
      </c>
      <c r="K103" s="28" t="s">
        <v>9</v>
      </c>
      <c r="L103" s="23" t="str">
        <f t="shared" si="62"/>
        <v>Fornecedores</v>
      </c>
      <c r="M103" s="23" t="str">
        <f t="shared" si="63"/>
        <v>Segmentos dos Profissionais</v>
      </c>
      <c r="N103" s="23" t="str">
        <f t="shared" si="63"/>
        <v>Segmento de Mobiliário</v>
      </c>
      <c r="O103" s="23" t="str">
        <f t="shared" si="63"/>
        <v>Mob Consultor</v>
      </c>
      <c r="P103" s="23" t="s">
        <v>112</v>
      </c>
      <c r="Q103" s="26" t="str">
        <f t="shared" si="64"/>
        <v>Proveedor de muebles: es un consultor autónomo</v>
      </c>
      <c r="R103" s="42" t="s">
        <v>9</v>
      </c>
      <c r="S103" s="43" t="str">
        <f t="shared" si="65"/>
        <v>Fornecedores</v>
      </c>
      <c r="T103" s="43" t="str">
        <f t="shared" si="65"/>
        <v>Segmentos dos Profissionais</v>
      </c>
      <c r="U103" s="43" t="str">
        <f t="shared" si="65"/>
        <v>Segmento de Mobiliário</v>
      </c>
      <c r="V103" s="41" t="s">
        <v>184</v>
      </c>
      <c r="W103" s="60" t="str">
        <f t="shared" si="66"/>
        <v>Key.Fab.103</v>
      </c>
      <c r="X103" s="41" t="s">
        <v>9</v>
      </c>
      <c r="Y103" s="41" t="s">
        <v>9</v>
      </c>
      <c r="Z103" s="41" t="s">
        <v>434</v>
      </c>
      <c r="AA103" s="45" t="str">
        <f t="shared" si="67"/>
        <v>Furniture supplier: is a self-employed consultant</v>
      </c>
    </row>
    <row r="104" spans="1:27" ht="6.55" customHeight="1" x14ac:dyDescent="0.4">
      <c r="A104" s="51">
        <v>104</v>
      </c>
      <c r="B104" s="52" t="s">
        <v>75</v>
      </c>
      <c r="C104" s="56" t="s">
        <v>95</v>
      </c>
      <c r="D104" s="52" t="s">
        <v>317</v>
      </c>
      <c r="E104" s="52" t="s">
        <v>100</v>
      </c>
      <c r="F104" s="57" t="s">
        <v>564</v>
      </c>
      <c r="G104" s="28" t="s">
        <v>9</v>
      </c>
      <c r="H104" s="28" t="s">
        <v>9</v>
      </c>
      <c r="I104" s="28" t="s">
        <v>9</v>
      </c>
      <c r="J104" s="28" t="s">
        <v>9</v>
      </c>
      <c r="K104" s="28" t="s">
        <v>9</v>
      </c>
      <c r="L104" s="23" t="s">
        <v>95</v>
      </c>
      <c r="M104" s="23" t="s">
        <v>518</v>
      </c>
      <c r="N104" s="23" t="s">
        <v>534</v>
      </c>
      <c r="O104" s="23" t="s">
        <v>535</v>
      </c>
      <c r="P104" s="23" t="s">
        <v>577</v>
      </c>
      <c r="Q104" s="26" t="s">
        <v>601</v>
      </c>
      <c r="R104" s="42" t="s">
        <v>9</v>
      </c>
      <c r="S104" s="43" t="s">
        <v>95</v>
      </c>
      <c r="T104" s="43" t="s">
        <v>518</v>
      </c>
      <c r="U104" s="43" t="s">
        <v>534</v>
      </c>
      <c r="V104" s="41" t="s">
        <v>184</v>
      </c>
      <c r="W104" s="60" t="s">
        <v>536</v>
      </c>
      <c r="X104" s="41" t="s">
        <v>9</v>
      </c>
      <c r="Y104" s="41" t="s">
        <v>9</v>
      </c>
      <c r="Z104" s="41" t="s">
        <v>571</v>
      </c>
      <c r="AA104" s="45" t="s">
        <v>589</v>
      </c>
    </row>
    <row r="105" spans="1:27" ht="6.55" customHeight="1" x14ac:dyDescent="0.4">
      <c r="A105" s="51">
        <v>105</v>
      </c>
      <c r="B105" s="52" t="s">
        <v>75</v>
      </c>
      <c r="C105" s="56" t="s">
        <v>95</v>
      </c>
      <c r="D105" s="52" t="s">
        <v>317</v>
      </c>
      <c r="E105" s="52" t="s">
        <v>100</v>
      </c>
      <c r="F105" s="57" t="s">
        <v>332</v>
      </c>
      <c r="G105" s="28" t="s">
        <v>9</v>
      </c>
      <c r="H105" s="28" t="s">
        <v>9</v>
      </c>
      <c r="I105" s="28" t="s">
        <v>9</v>
      </c>
      <c r="J105" s="28" t="s">
        <v>9</v>
      </c>
      <c r="K105" s="28" t="s">
        <v>9</v>
      </c>
      <c r="L105" s="23" t="str">
        <f t="shared" ref="L105:L112" si="68">_xlfn.CONCAT(SUBSTITUTE(C105,"1.",""))</f>
        <v>Fornecedores</v>
      </c>
      <c r="M105" s="23" t="str">
        <f t="shared" ref="M105:O112" si="69">_xlfn.CONCAT(SUBSTITUTE(D105,"."," "))</f>
        <v>Segmentos dos Profissionais</v>
      </c>
      <c r="N105" s="23" t="str">
        <f t="shared" si="69"/>
        <v>Segmento de Mobiliário</v>
      </c>
      <c r="O105" s="23" t="str">
        <f t="shared" si="69"/>
        <v>Mob Empresa Consultora</v>
      </c>
      <c r="P105" s="23" t="s">
        <v>113</v>
      </c>
      <c r="Q105" s="26" t="str">
        <f t="shared" ref="Q105:Q112" si="70">_xlfn.TRANSLATE(P105,"pt","es")</f>
        <v>Proveedor del segmento de muebles: es una empresa de consultoría</v>
      </c>
      <c r="R105" s="42" t="s">
        <v>9</v>
      </c>
      <c r="S105" s="43" t="str">
        <f t="shared" ref="S105:U112" si="71">SUBSTITUTE(C105, ".", " ")</f>
        <v>Fornecedores</v>
      </c>
      <c r="T105" s="43" t="str">
        <f t="shared" si="71"/>
        <v>Segmentos dos Profissionais</v>
      </c>
      <c r="U105" s="43" t="str">
        <f t="shared" si="71"/>
        <v>Segmento de Mobiliário</v>
      </c>
      <c r="V105" s="41" t="s">
        <v>184</v>
      </c>
      <c r="W105" s="60" t="str">
        <f t="shared" ref="W105:W112" si="72">CONCATENATE("Key.Fab.",A105)</f>
        <v>Key.Fab.105</v>
      </c>
      <c r="X105" s="41" t="s">
        <v>9</v>
      </c>
      <c r="Y105" s="41" t="s">
        <v>9</v>
      </c>
      <c r="Z105" s="41" t="s">
        <v>434</v>
      </c>
      <c r="AA105" s="45" t="str">
        <f t="shared" ref="AA105:AA112" si="73">_xlfn.TRANSLATE(P105,"pt","en")</f>
        <v>Supplier of the furniture segment: it is a consulting company</v>
      </c>
    </row>
    <row r="106" spans="1:27" ht="6.55" customHeight="1" x14ac:dyDescent="0.4">
      <c r="A106" s="51">
        <v>106</v>
      </c>
      <c r="B106" s="52" t="s">
        <v>75</v>
      </c>
      <c r="C106" s="56" t="s">
        <v>95</v>
      </c>
      <c r="D106" s="52" t="s">
        <v>317</v>
      </c>
      <c r="E106" s="52" t="s">
        <v>100</v>
      </c>
      <c r="F106" s="57" t="s">
        <v>333</v>
      </c>
      <c r="G106" s="28" t="s">
        <v>9</v>
      </c>
      <c r="H106" s="28" t="s">
        <v>9</v>
      </c>
      <c r="I106" s="28" t="s">
        <v>9</v>
      </c>
      <c r="J106" s="28" t="s">
        <v>9</v>
      </c>
      <c r="K106" s="28" t="s">
        <v>9</v>
      </c>
      <c r="L106" s="23" t="str">
        <f t="shared" si="68"/>
        <v>Fornecedores</v>
      </c>
      <c r="M106" s="23" t="str">
        <f t="shared" si="69"/>
        <v>Segmentos dos Profissionais</v>
      </c>
      <c r="N106" s="23" t="str">
        <f t="shared" si="69"/>
        <v>Segmento de Mobiliário</v>
      </c>
      <c r="O106" s="23" t="str">
        <f t="shared" si="69"/>
        <v>Mob Fabricante</v>
      </c>
      <c r="P106" s="23" t="s">
        <v>114</v>
      </c>
      <c r="Q106" s="26" t="str">
        <f t="shared" si="70"/>
        <v>Proveedor del segmento de muebles: es un fabricante de productos</v>
      </c>
      <c r="R106" s="42" t="s">
        <v>9</v>
      </c>
      <c r="S106" s="43" t="str">
        <f t="shared" si="71"/>
        <v>Fornecedores</v>
      </c>
      <c r="T106" s="43" t="str">
        <f t="shared" si="71"/>
        <v>Segmentos dos Profissionais</v>
      </c>
      <c r="U106" s="43" t="str">
        <f t="shared" si="71"/>
        <v>Segmento de Mobiliário</v>
      </c>
      <c r="V106" s="41" t="s">
        <v>184</v>
      </c>
      <c r="W106" s="60" t="str">
        <f t="shared" si="72"/>
        <v>Key.Fab.106</v>
      </c>
      <c r="X106" s="41" t="s">
        <v>9</v>
      </c>
      <c r="Y106" s="41" t="s">
        <v>9</v>
      </c>
      <c r="Z106" s="41" t="s">
        <v>425</v>
      </c>
      <c r="AA106" s="45" t="str">
        <f t="shared" si="73"/>
        <v>Furniture segment supplier: is a manufacturer of products</v>
      </c>
    </row>
    <row r="107" spans="1:27" ht="6.55" customHeight="1" x14ac:dyDescent="0.4">
      <c r="A107" s="51">
        <v>107</v>
      </c>
      <c r="B107" s="52" t="s">
        <v>75</v>
      </c>
      <c r="C107" s="56" t="s">
        <v>95</v>
      </c>
      <c r="D107" s="52" t="s">
        <v>317</v>
      </c>
      <c r="E107" s="52" t="s">
        <v>100</v>
      </c>
      <c r="F107" s="57" t="s">
        <v>334</v>
      </c>
      <c r="G107" s="28" t="s">
        <v>9</v>
      </c>
      <c r="H107" s="28" t="s">
        <v>9</v>
      </c>
      <c r="I107" s="28" t="s">
        <v>9</v>
      </c>
      <c r="J107" s="28" t="s">
        <v>9</v>
      </c>
      <c r="K107" s="28" t="s">
        <v>9</v>
      </c>
      <c r="L107" s="23" t="str">
        <f t="shared" si="68"/>
        <v>Fornecedores</v>
      </c>
      <c r="M107" s="23" t="str">
        <f t="shared" si="69"/>
        <v>Segmentos dos Profissionais</v>
      </c>
      <c r="N107" s="23" t="str">
        <f t="shared" si="69"/>
        <v>Segmento de Mobiliário</v>
      </c>
      <c r="O107" s="23" t="str">
        <f t="shared" si="69"/>
        <v>Mob Fornecimento</v>
      </c>
      <c r="P107" s="23" t="s">
        <v>179</v>
      </c>
      <c r="Q107" s="26" t="str">
        <f t="shared" si="70"/>
        <v>Proveedor de muebles: es un proveedor</v>
      </c>
      <c r="R107" s="42" t="s">
        <v>9</v>
      </c>
      <c r="S107" s="43" t="str">
        <f t="shared" si="71"/>
        <v>Fornecedores</v>
      </c>
      <c r="T107" s="43" t="str">
        <f t="shared" si="71"/>
        <v>Segmentos dos Profissionais</v>
      </c>
      <c r="U107" s="43" t="str">
        <f t="shared" si="71"/>
        <v>Segmento de Mobiliário</v>
      </c>
      <c r="V107" s="41" t="s">
        <v>184</v>
      </c>
      <c r="W107" s="60" t="str">
        <f t="shared" si="72"/>
        <v>Key.Fab.107</v>
      </c>
      <c r="X107" s="41" t="s">
        <v>9</v>
      </c>
      <c r="Y107" s="41" t="s">
        <v>9</v>
      </c>
      <c r="Z107" s="41" t="s">
        <v>432</v>
      </c>
      <c r="AA107" s="45" t="str">
        <f t="shared" si="73"/>
        <v>Furniture Supplier: is a supplier</v>
      </c>
    </row>
    <row r="108" spans="1:27" ht="6.55" customHeight="1" x14ac:dyDescent="0.4">
      <c r="A108" s="51">
        <v>108</v>
      </c>
      <c r="B108" s="52" t="s">
        <v>75</v>
      </c>
      <c r="C108" s="56" t="s">
        <v>95</v>
      </c>
      <c r="D108" s="52" t="s">
        <v>317</v>
      </c>
      <c r="E108" s="52" t="s">
        <v>100</v>
      </c>
      <c r="F108" s="57" t="s">
        <v>335</v>
      </c>
      <c r="G108" s="28" t="s">
        <v>9</v>
      </c>
      <c r="H108" s="28" t="s">
        <v>9</v>
      </c>
      <c r="I108" s="28" t="s">
        <v>9</v>
      </c>
      <c r="J108" s="28" t="s">
        <v>9</v>
      </c>
      <c r="K108" s="28" t="s">
        <v>9</v>
      </c>
      <c r="L108" s="23" t="str">
        <f t="shared" si="68"/>
        <v>Fornecedores</v>
      </c>
      <c r="M108" s="23" t="str">
        <f t="shared" si="69"/>
        <v>Segmentos dos Profissionais</v>
      </c>
      <c r="N108" s="23" t="str">
        <f t="shared" si="69"/>
        <v>Segmento de Mobiliário</v>
      </c>
      <c r="O108" s="23" t="str">
        <f t="shared" si="69"/>
        <v>Mob Projetista</v>
      </c>
      <c r="P108" s="23" t="s">
        <v>230</v>
      </c>
      <c r="Q108" s="26" t="str">
        <f t="shared" si="70"/>
        <v>Proveedor de muebles: es una empresa de diseñador o diseño</v>
      </c>
      <c r="R108" s="42" t="s">
        <v>9</v>
      </c>
      <c r="S108" s="43" t="str">
        <f t="shared" si="71"/>
        <v>Fornecedores</v>
      </c>
      <c r="T108" s="43" t="str">
        <f t="shared" si="71"/>
        <v>Segmentos dos Profissionais</v>
      </c>
      <c r="U108" s="43" t="str">
        <f t="shared" si="71"/>
        <v>Segmento de Mobiliário</v>
      </c>
      <c r="V108" s="41" t="s">
        <v>184</v>
      </c>
      <c r="W108" s="60" t="str">
        <f t="shared" si="72"/>
        <v>Key.Fab.108</v>
      </c>
      <c r="X108" s="41" t="s">
        <v>9</v>
      </c>
      <c r="Y108" s="41" t="s">
        <v>9</v>
      </c>
      <c r="Z108" s="41" t="s">
        <v>436</v>
      </c>
      <c r="AA108" s="45" t="str">
        <f t="shared" si="73"/>
        <v>Furniture Supplier: is a Designer or Design Company</v>
      </c>
    </row>
    <row r="109" spans="1:27" ht="6.55" customHeight="1" x14ac:dyDescent="0.4">
      <c r="A109" s="51">
        <v>109</v>
      </c>
      <c r="B109" s="52" t="s">
        <v>75</v>
      </c>
      <c r="C109" s="56" t="s">
        <v>95</v>
      </c>
      <c r="D109" s="52" t="s">
        <v>317</v>
      </c>
      <c r="E109" s="52" t="s">
        <v>100</v>
      </c>
      <c r="F109" s="57" t="s">
        <v>336</v>
      </c>
      <c r="G109" s="28" t="s">
        <v>9</v>
      </c>
      <c r="H109" s="28" t="s">
        <v>9</v>
      </c>
      <c r="I109" s="28" t="s">
        <v>9</v>
      </c>
      <c r="J109" s="28" t="s">
        <v>9</v>
      </c>
      <c r="K109" s="28" t="s">
        <v>9</v>
      </c>
      <c r="L109" s="23" t="str">
        <f t="shared" si="68"/>
        <v>Fornecedores</v>
      </c>
      <c r="M109" s="23" t="str">
        <f t="shared" si="69"/>
        <v>Segmentos dos Profissionais</v>
      </c>
      <c r="N109" s="23" t="str">
        <f t="shared" si="69"/>
        <v>Segmento de Mobiliário</v>
      </c>
      <c r="O109" s="23" t="str">
        <f t="shared" si="69"/>
        <v>Mob Serviço</v>
      </c>
      <c r="P109" s="23" t="s">
        <v>111</v>
      </c>
      <c r="Q109" s="26" t="str">
        <f t="shared" si="70"/>
        <v>Proveedor de muebles: es un servicio</v>
      </c>
      <c r="R109" s="42" t="s">
        <v>9</v>
      </c>
      <c r="S109" s="43" t="str">
        <f t="shared" si="71"/>
        <v>Fornecedores</v>
      </c>
      <c r="T109" s="43" t="str">
        <f t="shared" si="71"/>
        <v>Segmentos dos Profissionais</v>
      </c>
      <c r="U109" s="43" t="str">
        <f t="shared" si="71"/>
        <v>Segmento de Mobiliário</v>
      </c>
      <c r="V109" s="41" t="s">
        <v>184</v>
      </c>
      <c r="W109" s="60" t="str">
        <f t="shared" si="72"/>
        <v>Key.Fab.109</v>
      </c>
      <c r="X109" s="41" t="s">
        <v>9</v>
      </c>
      <c r="Y109" s="41" t="s">
        <v>9</v>
      </c>
      <c r="Z109" s="41" t="s">
        <v>435</v>
      </c>
      <c r="AA109" s="45" t="str">
        <f t="shared" si="73"/>
        <v>Furniture supplier: it is a service</v>
      </c>
    </row>
    <row r="110" spans="1:27" ht="6.55" customHeight="1" x14ac:dyDescent="0.4">
      <c r="A110" s="51">
        <v>110</v>
      </c>
      <c r="B110" s="52" t="s">
        <v>75</v>
      </c>
      <c r="C110" s="56" t="s">
        <v>95</v>
      </c>
      <c r="D110" s="52" t="s">
        <v>317</v>
      </c>
      <c r="E110" s="52" t="s">
        <v>100</v>
      </c>
      <c r="F110" s="57" t="s">
        <v>473</v>
      </c>
      <c r="G110" s="28" t="s">
        <v>9</v>
      </c>
      <c r="H110" s="28" t="s">
        <v>9</v>
      </c>
      <c r="I110" s="28" t="s">
        <v>9</v>
      </c>
      <c r="J110" s="28" t="s">
        <v>9</v>
      </c>
      <c r="K110" s="28" t="s">
        <v>9</v>
      </c>
      <c r="L110" s="23" t="str">
        <f t="shared" si="68"/>
        <v>Fornecedores</v>
      </c>
      <c r="M110" s="23" t="str">
        <f t="shared" si="69"/>
        <v>Segmentos dos Profissionais</v>
      </c>
      <c r="N110" s="23" t="str">
        <f t="shared" si="69"/>
        <v>Segmento de Mobiliário</v>
      </c>
      <c r="O110" s="23" t="str">
        <f t="shared" si="69"/>
        <v>Mob Venda</v>
      </c>
      <c r="P110" s="23" t="s">
        <v>511</v>
      </c>
      <c r="Q110" s="26" t="str">
        <f t="shared" si="70"/>
        <v>Proveedor de muebles: Es una venta de productos</v>
      </c>
      <c r="R110" s="42" t="s">
        <v>9</v>
      </c>
      <c r="S110" s="43" t="str">
        <f t="shared" si="71"/>
        <v>Fornecedores</v>
      </c>
      <c r="T110" s="43" t="str">
        <f t="shared" si="71"/>
        <v>Segmentos dos Profissionais</v>
      </c>
      <c r="U110" s="43" t="str">
        <f t="shared" si="71"/>
        <v>Segmento de Mobiliário</v>
      </c>
      <c r="V110" s="41" t="s">
        <v>184</v>
      </c>
      <c r="W110" s="60" t="str">
        <f t="shared" si="72"/>
        <v>Key.Fab.110</v>
      </c>
      <c r="X110" s="41" t="s">
        <v>9</v>
      </c>
      <c r="Y110" s="41" t="s">
        <v>9</v>
      </c>
      <c r="Z110" s="41" t="s">
        <v>433</v>
      </c>
      <c r="AA110" s="45" t="str">
        <f t="shared" si="73"/>
        <v>Furniture Supplier: It is a sale of products</v>
      </c>
    </row>
    <row r="111" spans="1:27" ht="6.55" customHeight="1" x14ac:dyDescent="0.4">
      <c r="A111" s="51">
        <v>111</v>
      </c>
      <c r="B111" s="52" t="s">
        <v>75</v>
      </c>
      <c r="C111" s="56" t="s">
        <v>95</v>
      </c>
      <c r="D111" s="52" t="s">
        <v>317</v>
      </c>
      <c r="E111" s="52" t="s">
        <v>411</v>
      </c>
      <c r="F111" s="57" t="s">
        <v>480</v>
      </c>
      <c r="G111" s="28" t="s">
        <v>9</v>
      </c>
      <c r="H111" s="28" t="s">
        <v>9</v>
      </c>
      <c r="I111" s="28" t="s">
        <v>9</v>
      </c>
      <c r="J111" s="28" t="s">
        <v>9</v>
      </c>
      <c r="K111" s="28" t="s">
        <v>9</v>
      </c>
      <c r="L111" s="23" t="str">
        <f t="shared" si="68"/>
        <v>Fornecedores</v>
      </c>
      <c r="M111" s="23" t="str">
        <f t="shared" si="69"/>
        <v>Segmentos dos Profissionais</v>
      </c>
      <c r="N111" s="23" t="str">
        <f t="shared" si="69"/>
        <v>Segmento de Telecom</v>
      </c>
      <c r="O111" s="23" t="str">
        <f t="shared" si="69"/>
        <v>Tel Compra</v>
      </c>
      <c r="P111" s="23" t="s">
        <v>493</v>
      </c>
      <c r="Q111" s="26" t="str">
        <f t="shared" si="70"/>
        <v>Proveedor de telecomunicaciones: es una compra de productos</v>
      </c>
      <c r="R111" s="42" t="s">
        <v>9</v>
      </c>
      <c r="S111" s="43" t="str">
        <f t="shared" si="71"/>
        <v>Fornecedores</v>
      </c>
      <c r="T111" s="43" t="str">
        <f t="shared" si="71"/>
        <v>Segmentos dos Profissionais</v>
      </c>
      <c r="U111" s="43" t="str">
        <f t="shared" si="71"/>
        <v>Segmento de Telecom</v>
      </c>
      <c r="V111" s="41" t="s">
        <v>184</v>
      </c>
      <c r="W111" s="60" t="str">
        <f t="shared" si="72"/>
        <v>Key.Fab.111</v>
      </c>
      <c r="X111" s="41" t="s">
        <v>9</v>
      </c>
      <c r="Y111" s="41" t="s">
        <v>9</v>
      </c>
      <c r="Z111" s="41" t="s">
        <v>505</v>
      </c>
      <c r="AA111" s="45" t="str">
        <f t="shared" si="73"/>
        <v>Telecom supplier: it is a purchase of products</v>
      </c>
    </row>
    <row r="112" spans="1:27" ht="6.55" customHeight="1" x14ac:dyDescent="0.4">
      <c r="A112" s="51">
        <v>112</v>
      </c>
      <c r="B112" s="52" t="s">
        <v>75</v>
      </c>
      <c r="C112" s="56" t="s">
        <v>95</v>
      </c>
      <c r="D112" s="52" t="s">
        <v>317</v>
      </c>
      <c r="E112" s="52" t="s">
        <v>411</v>
      </c>
      <c r="F112" s="57" t="s">
        <v>412</v>
      </c>
      <c r="G112" s="28" t="s">
        <v>9</v>
      </c>
      <c r="H112" s="28" t="s">
        <v>9</v>
      </c>
      <c r="I112" s="28" t="s">
        <v>9</v>
      </c>
      <c r="J112" s="28" t="s">
        <v>9</v>
      </c>
      <c r="K112" s="28" t="s">
        <v>9</v>
      </c>
      <c r="L112" s="23" t="str">
        <f t="shared" si="68"/>
        <v>Fornecedores</v>
      </c>
      <c r="M112" s="23" t="str">
        <f t="shared" si="69"/>
        <v>Segmentos dos Profissionais</v>
      </c>
      <c r="N112" s="23" t="str">
        <f t="shared" si="69"/>
        <v>Segmento de Telecom</v>
      </c>
      <c r="O112" s="23" t="str">
        <f t="shared" si="69"/>
        <v>Tel Consultor</v>
      </c>
      <c r="P112" s="23" t="s">
        <v>423</v>
      </c>
      <c r="Q112" s="26" t="str">
        <f t="shared" si="70"/>
        <v>Proveedor de telecomunicaciones: es consultor autónomo</v>
      </c>
      <c r="R112" s="42" t="s">
        <v>9</v>
      </c>
      <c r="S112" s="43" t="str">
        <f t="shared" si="71"/>
        <v>Fornecedores</v>
      </c>
      <c r="T112" s="43" t="str">
        <f t="shared" si="71"/>
        <v>Segmentos dos Profissionais</v>
      </c>
      <c r="U112" s="43" t="str">
        <f t="shared" si="71"/>
        <v>Segmento de Telecom</v>
      </c>
      <c r="V112" s="41" t="s">
        <v>184</v>
      </c>
      <c r="W112" s="60" t="str">
        <f t="shared" si="72"/>
        <v>Key.Fab.112</v>
      </c>
      <c r="X112" s="41" t="s">
        <v>9</v>
      </c>
      <c r="Y112" s="41" t="s">
        <v>9</v>
      </c>
      <c r="Z112" s="41" t="s">
        <v>434</v>
      </c>
      <c r="AA112" s="45" t="str">
        <f t="shared" si="73"/>
        <v>Telecom supplier: is a self-employed consultant</v>
      </c>
    </row>
    <row r="113" spans="1:27" ht="6.55" customHeight="1" x14ac:dyDescent="0.4">
      <c r="A113" s="51">
        <v>113</v>
      </c>
      <c r="B113" s="52" t="s">
        <v>75</v>
      </c>
      <c r="C113" s="56" t="s">
        <v>95</v>
      </c>
      <c r="D113" s="52" t="s">
        <v>317</v>
      </c>
      <c r="E113" s="52" t="s">
        <v>411</v>
      </c>
      <c r="F113" s="57" t="s">
        <v>570</v>
      </c>
      <c r="G113" s="28" t="s">
        <v>9</v>
      </c>
      <c r="H113" s="28" t="s">
        <v>9</v>
      </c>
      <c r="I113" s="28" t="s">
        <v>9</v>
      </c>
      <c r="J113" s="28" t="s">
        <v>9</v>
      </c>
      <c r="K113" s="28" t="s">
        <v>9</v>
      </c>
      <c r="L113" s="23" t="s">
        <v>95</v>
      </c>
      <c r="M113" s="23" t="s">
        <v>518</v>
      </c>
      <c r="N113" s="23" t="s">
        <v>552</v>
      </c>
      <c r="O113" s="23" t="s">
        <v>553</v>
      </c>
      <c r="P113" s="23" t="s">
        <v>583</v>
      </c>
      <c r="Q113" s="26" t="s">
        <v>605</v>
      </c>
      <c r="R113" s="42" t="s">
        <v>9</v>
      </c>
      <c r="S113" s="43" t="s">
        <v>95</v>
      </c>
      <c r="T113" s="43" t="s">
        <v>518</v>
      </c>
      <c r="U113" s="43" t="s">
        <v>552</v>
      </c>
      <c r="V113" s="41" t="s">
        <v>184</v>
      </c>
      <c r="W113" s="60" t="s">
        <v>554</v>
      </c>
      <c r="X113" s="41" t="s">
        <v>9</v>
      </c>
      <c r="Y113" s="41" t="s">
        <v>9</v>
      </c>
      <c r="Z113" s="41" t="s">
        <v>571</v>
      </c>
      <c r="AA113" s="45" t="s">
        <v>595</v>
      </c>
    </row>
    <row r="114" spans="1:27" ht="6.55" customHeight="1" x14ac:dyDescent="0.4">
      <c r="A114" s="51">
        <v>114</v>
      </c>
      <c r="B114" s="52" t="s">
        <v>75</v>
      </c>
      <c r="C114" s="56" t="s">
        <v>95</v>
      </c>
      <c r="D114" s="52" t="s">
        <v>317</v>
      </c>
      <c r="E114" s="52" t="s">
        <v>411</v>
      </c>
      <c r="F114" s="57" t="s">
        <v>413</v>
      </c>
      <c r="G114" s="28" t="s">
        <v>9</v>
      </c>
      <c r="H114" s="28" t="s">
        <v>9</v>
      </c>
      <c r="I114" s="28" t="s">
        <v>9</v>
      </c>
      <c r="J114" s="28" t="s">
        <v>9</v>
      </c>
      <c r="K114" s="28" t="s">
        <v>9</v>
      </c>
      <c r="L114" s="23" t="str">
        <f t="shared" ref="L114:L148" si="74">_xlfn.CONCAT(SUBSTITUTE(C114,"1.",""))</f>
        <v>Fornecedores</v>
      </c>
      <c r="M114" s="23" t="str">
        <f t="shared" ref="M114:M148" si="75">_xlfn.CONCAT(SUBSTITUTE(D114,"."," "))</f>
        <v>Segmentos dos Profissionais</v>
      </c>
      <c r="N114" s="23" t="str">
        <f t="shared" ref="N114:N148" si="76">_xlfn.CONCAT(SUBSTITUTE(E114,"."," "))</f>
        <v>Segmento de Telecom</v>
      </c>
      <c r="O114" s="23" t="str">
        <f t="shared" ref="O114:O148" si="77">_xlfn.CONCAT(SUBSTITUTE(F114,"."," "))</f>
        <v>Tel Empresa Consultora</v>
      </c>
      <c r="P114" s="23" t="s">
        <v>418</v>
      </c>
      <c r="Q114" s="26" t="str">
        <f t="shared" ref="Q114:Q148" si="78">_xlfn.TRANSLATE(P114,"pt","es")</f>
        <v>Proveedor de telecomunicaciones: es una empresa de consultoría</v>
      </c>
      <c r="R114" s="42" t="s">
        <v>9</v>
      </c>
      <c r="S114" s="43" t="str">
        <f t="shared" ref="S114:S148" si="79">SUBSTITUTE(C114, ".", " ")</f>
        <v>Fornecedores</v>
      </c>
      <c r="T114" s="43" t="str">
        <f t="shared" ref="T114:T148" si="80">SUBSTITUTE(D114, ".", " ")</f>
        <v>Segmentos dos Profissionais</v>
      </c>
      <c r="U114" s="43" t="str">
        <f t="shared" ref="U114:U148" si="81">SUBSTITUTE(E114, ".", " ")</f>
        <v>Segmento de Telecom</v>
      </c>
      <c r="V114" s="41" t="s">
        <v>184</v>
      </c>
      <c r="W114" s="60" t="str">
        <f t="shared" ref="W114:W148" si="82">CONCATENATE("Key.Fab.",A114)</f>
        <v>Key.Fab.114</v>
      </c>
      <c r="X114" s="41" t="s">
        <v>9</v>
      </c>
      <c r="Y114" s="41" t="s">
        <v>9</v>
      </c>
      <c r="Z114" s="41" t="s">
        <v>434</v>
      </c>
      <c r="AA114" s="45" t="str">
        <f t="shared" ref="AA114:AA148" si="83">_xlfn.TRANSLATE(P114,"pt","en")</f>
        <v>Telecom supplier: it is a consulting company</v>
      </c>
    </row>
    <row r="115" spans="1:27" ht="6.55" customHeight="1" x14ac:dyDescent="0.4">
      <c r="A115" s="51">
        <v>115</v>
      </c>
      <c r="B115" s="52" t="s">
        <v>75</v>
      </c>
      <c r="C115" s="56" t="s">
        <v>95</v>
      </c>
      <c r="D115" s="52" t="s">
        <v>317</v>
      </c>
      <c r="E115" s="52" t="s">
        <v>411</v>
      </c>
      <c r="F115" s="57" t="s">
        <v>414</v>
      </c>
      <c r="G115" s="28" t="s">
        <v>9</v>
      </c>
      <c r="H115" s="28" t="s">
        <v>9</v>
      </c>
      <c r="I115" s="28" t="s">
        <v>9</v>
      </c>
      <c r="J115" s="28" t="s">
        <v>9</v>
      </c>
      <c r="K115" s="28" t="s">
        <v>9</v>
      </c>
      <c r="L115" s="23" t="str">
        <f t="shared" si="74"/>
        <v>Fornecedores</v>
      </c>
      <c r="M115" s="23" t="str">
        <f t="shared" si="75"/>
        <v>Segmentos dos Profissionais</v>
      </c>
      <c r="N115" s="23" t="str">
        <f t="shared" si="76"/>
        <v>Segmento de Telecom</v>
      </c>
      <c r="O115" s="23" t="str">
        <f t="shared" si="77"/>
        <v>Tel Fabricante</v>
      </c>
      <c r="P115" s="23" t="s">
        <v>419</v>
      </c>
      <c r="Q115" s="26" t="str">
        <f t="shared" si="78"/>
        <v>Proveedor del segmento de telecomunicaciones: es un fabricante de productos de telecomunicaciones</v>
      </c>
      <c r="R115" s="42" t="s">
        <v>9</v>
      </c>
      <c r="S115" s="43" t="str">
        <f t="shared" si="79"/>
        <v>Fornecedores</v>
      </c>
      <c r="T115" s="43" t="str">
        <f t="shared" si="80"/>
        <v>Segmentos dos Profissionais</v>
      </c>
      <c r="U115" s="43" t="str">
        <f t="shared" si="81"/>
        <v>Segmento de Telecom</v>
      </c>
      <c r="V115" s="41" t="s">
        <v>184</v>
      </c>
      <c r="W115" s="60" t="str">
        <f t="shared" si="82"/>
        <v>Key.Fab.115</v>
      </c>
      <c r="X115" s="41" t="s">
        <v>9</v>
      </c>
      <c r="Y115" s="41" t="s">
        <v>9</v>
      </c>
      <c r="Z115" s="41" t="s">
        <v>425</v>
      </c>
      <c r="AA115" s="45" t="str">
        <f t="shared" si="83"/>
        <v>Telecom Segment Supplier: is a manufacturer of telecom products</v>
      </c>
    </row>
    <row r="116" spans="1:27" ht="6.55" customHeight="1" x14ac:dyDescent="0.4">
      <c r="A116" s="51">
        <v>116</v>
      </c>
      <c r="B116" s="52" t="s">
        <v>75</v>
      </c>
      <c r="C116" s="56" t="s">
        <v>95</v>
      </c>
      <c r="D116" s="52" t="s">
        <v>317</v>
      </c>
      <c r="E116" s="52" t="s">
        <v>411</v>
      </c>
      <c r="F116" s="57" t="s">
        <v>415</v>
      </c>
      <c r="G116" s="28" t="s">
        <v>9</v>
      </c>
      <c r="H116" s="28" t="s">
        <v>9</v>
      </c>
      <c r="I116" s="28" t="s">
        <v>9</v>
      </c>
      <c r="J116" s="28" t="s">
        <v>9</v>
      </c>
      <c r="K116" s="28" t="s">
        <v>9</v>
      </c>
      <c r="L116" s="23" t="str">
        <f t="shared" si="74"/>
        <v>Fornecedores</v>
      </c>
      <c r="M116" s="23" t="str">
        <f t="shared" si="75"/>
        <v>Segmentos dos Profissionais</v>
      </c>
      <c r="N116" s="23" t="str">
        <f t="shared" si="76"/>
        <v>Segmento de Telecom</v>
      </c>
      <c r="O116" s="23" t="str">
        <f t="shared" si="77"/>
        <v>Tel Fornecimento</v>
      </c>
      <c r="P116" s="23" t="s">
        <v>420</v>
      </c>
      <c r="Q116" s="26" t="str">
        <f t="shared" si="78"/>
        <v>Proveedor del segmento de telecomunicaciones: es un proveedor</v>
      </c>
      <c r="R116" s="42" t="s">
        <v>9</v>
      </c>
      <c r="S116" s="43" t="str">
        <f t="shared" si="79"/>
        <v>Fornecedores</v>
      </c>
      <c r="T116" s="43" t="str">
        <f t="shared" si="80"/>
        <v>Segmentos dos Profissionais</v>
      </c>
      <c r="U116" s="43" t="str">
        <f t="shared" si="81"/>
        <v>Segmento de Telecom</v>
      </c>
      <c r="V116" s="41" t="s">
        <v>184</v>
      </c>
      <c r="W116" s="60" t="str">
        <f t="shared" si="82"/>
        <v>Key.Fab.116</v>
      </c>
      <c r="X116" s="41" t="s">
        <v>9</v>
      </c>
      <c r="Y116" s="41" t="s">
        <v>9</v>
      </c>
      <c r="Z116" s="41" t="s">
        <v>432</v>
      </c>
      <c r="AA116" s="45" t="str">
        <f t="shared" si="83"/>
        <v>Telecom Segment Supplier: is a supplier</v>
      </c>
    </row>
    <row r="117" spans="1:27" ht="6.55" customHeight="1" x14ac:dyDescent="0.4">
      <c r="A117" s="51">
        <v>117</v>
      </c>
      <c r="B117" s="52" t="s">
        <v>75</v>
      </c>
      <c r="C117" s="56" t="s">
        <v>95</v>
      </c>
      <c r="D117" s="52" t="s">
        <v>317</v>
      </c>
      <c r="E117" s="52" t="s">
        <v>411</v>
      </c>
      <c r="F117" s="57" t="s">
        <v>416</v>
      </c>
      <c r="G117" s="28" t="s">
        <v>9</v>
      </c>
      <c r="H117" s="28" t="s">
        <v>9</v>
      </c>
      <c r="I117" s="28" t="s">
        <v>9</v>
      </c>
      <c r="J117" s="28" t="s">
        <v>9</v>
      </c>
      <c r="K117" s="28" t="s">
        <v>9</v>
      </c>
      <c r="L117" s="23" t="str">
        <f t="shared" si="74"/>
        <v>Fornecedores</v>
      </c>
      <c r="M117" s="23" t="str">
        <f t="shared" si="75"/>
        <v>Segmentos dos Profissionais</v>
      </c>
      <c r="N117" s="23" t="str">
        <f t="shared" si="76"/>
        <v>Segmento de Telecom</v>
      </c>
      <c r="O117" s="23" t="str">
        <f t="shared" si="77"/>
        <v>Tel Projetista</v>
      </c>
      <c r="P117" s="23" t="s">
        <v>421</v>
      </c>
      <c r="Q117" s="26" t="str">
        <f t="shared" si="78"/>
        <v>Proveedor del segmento de telecomunicaciones: es una empresa de diseño o diseñador</v>
      </c>
      <c r="R117" s="42" t="s">
        <v>9</v>
      </c>
      <c r="S117" s="43" t="str">
        <f t="shared" si="79"/>
        <v>Fornecedores</v>
      </c>
      <c r="T117" s="43" t="str">
        <f t="shared" si="80"/>
        <v>Segmentos dos Profissionais</v>
      </c>
      <c r="U117" s="43" t="str">
        <f t="shared" si="81"/>
        <v>Segmento de Telecom</v>
      </c>
      <c r="V117" s="41" t="s">
        <v>184</v>
      </c>
      <c r="W117" s="60" t="str">
        <f t="shared" si="82"/>
        <v>Key.Fab.117</v>
      </c>
      <c r="X117" s="41" t="s">
        <v>9</v>
      </c>
      <c r="Y117" s="41" t="s">
        <v>9</v>
      </c>
      <c r="Z117" s="41" t="s">
        <v>436</v>
      </c>
      <c r="AA117" s="45" t="str">
        <f t="shared" si="83"/>
        <v>Telecom Segment Supplier: is a Designer or Design Company</v>
      </c>
    </row>
    <row r="118" spans="1:27" ht="6.55" customHeight="1" x14ac:dyDescent="0.4">
      <c r="A118" s="51">
        <v>118</v>
      </c>
      <c r="B118" s="52" t="s">
        <v>75</v>
      </c>
      <c r="C118" s="56" t="s">
        <v>95</v>
      </c>
      <c r="D118" s="52" t="s">
        <v>317</v>
      </c>
      <c r="E118" s="52" t="s">
        <v>411</v>
      </c>
      <c r="F118" s="57" t="s">
        <v>417</v>
      </c>
      <c r="G118" s="28" t="s">
        <v>9</v>
      </c>
      <c r="H118" s="28" t="s">
        <v>9</v>
      </c>
      <c r="I118" s="28" t="s">
        <v>9</v>
      </c>
      <c r="J118" s="28" t="s">
        <v>9</v>
      </c>
      <c r="K118" s="28" t="s">
        <v>9</v>
      </c>
      <c r="L118" s="23" t="str">
        <f t="shared" si="74"/>
        <v>Fornecedores</v>
      </c>
      <c r="M118" s="23" t="str">
        <f t="shared" si="75"/>
        <v>Segmentos dos Profissionais</v>
      </c>
      <c r="N118" s="23" t="str">
        <f t="shared" si="76"/>
        <v>Segmento de Telecom</v>
      </c>
      <c r="O118" s="23" t="str">
        <f t="shared" si="77"/>
        <v>Tel Serviço</v>
      </c>
      <c r="P118" s="23" t="s">
        <v>422</v>
      </c>
      <c r="Q118" s="26" t="str">
        <f t="shared" si="78"/>
        <v>Proveedor del segmento de telecomunicaciones: Es un servicio</v>
      </c>
      <c r="R118" s="42" t="s">
        <v>9</v>
      </c>
      <c r="S118" s="43" t="str">
        <f t="shared" si="79"/>
        <v>Fornecedores</v>
      </c>
      <c r="T118" s="43" t="str">
        <f t="shared" si="80"/>
        <v>Segmentos dos Profissionais</v>
      </c>
      <c r="U118" s="43" t="str">
        <f t="shared" si="81"/>
        <v>Segmento de Telecom</v>
      </c>
      <c r="V118" s="41" t="s">
        <v>184</v>
      </c>
      <c r="W118" s="60" t="str">
        <f t="shared" si="82"/>
        <v>Key.Fab.118</v>
      </c>
      <c r="X118" s="41" t="s">
        <v>9</v>
      </c>
      <c r="Y118" s="41" t="s">
        <v>9</v>
      </c>
      <c r="Z118" s="41" t="s">
        <v>435</v>
      </c>
      <c r="AA118" s="45" t="str">
        <f t="shared" si="83"/>
        <v>Telecom Segment Supplier: It's a Service</v>
      </c>
    </row>
    <row r="119" spans="1:27" ht="6.55" customHeight="1" x14ac:dyDescent="0.4">
      <c r="A119" s="51">
        <v>119</v>
      </c>
      <c r="B119" s="52" t="s">
        <v>75</v>
      </c>
      <c r="C119" s="56" t="s">
        <v>95</v>
      </c>
      <c r="D119" s="52" t="s">
        <v>317</v>
      </c>
      <c r="E119" s="52" t="s">
        <v>411</v>
      </c>
      <c r="F119" s="57" t="s">
        <v>479</v>
      </c>
      <c r="G119" s="28" t="s">
        <v>9</v>
      </c>
      <c r="H119" s="28" t="s">
        <v>9</v>
      </c>
      <c r="I119" s="28" t="s">
        <v>9</v>
      </c>
      <c r="J119" s="28" t="s">
        <v>9</v>
      </c>
      <c r="K119" s="28" t="s">
        <v>9</v>
      </c>
      <c r="L119" s="23" t="str">
        <f t="shared" si="74"/>
        <v>Fornecedores</v>
      </c>
      <c r="M119" s="23" t="str">
        <f t="shared" si="75"/>
        <v>Segmentos dos Profissionais</v>
      </c>
      <c r="N119" s="23" t="str">
        <f t="shared" si="76"/>
        <v>Segmento de Telecom</v>
      </c>
      <c r="O119" s="23" t="str">
        <f t="shared" si="77"/>
        <v>Tel Venda</v>
      </c>
      <c r="P119" s="23" t="s">
        <v>517</v>
      </c>
      <c r="Q119" s="26" t="str">
        <f t="shared" si="78"/>
        <v>Proveedor del segmento de telecomunicaciones: es una venta de productos</v>
      </c>
      <c r="R119" s="42" t="s">
        <v>9</v>
      </c>
      <c r="S119" s="43" t="str">
        <f t="shared" si="79"/>
        <v>Fornecedores</v>
      </c>
      <c r="T119" s="43" t="str">
        <f t="shared" si="80"/>
        <v>Segmentos dos Profissionais</v>
      </c>
      <c r="U119" s="43" t="str">
        <f t="shared" si="81"/>
        <v>Segmento de Telecom</v>
      </c>
      <c r="V119" s="41" t="s">
        <v>184</v>
      </c>
      <c r="W119" s="60" t="str">
        <f t="shared" si="82"/>
        <v>Key.Fab.119</v>
      </c>
      <c r="X119" s="41" t="s">
        <v>9</v>
      </c>
      <c r="Y119" s="41" t="s">
        <v>9</v>
      </c>
      <c r="Z119" s="41" t="s">
        <v>433</v>
      </c>
      <c r="AA119" s="45" t="str">
        <f t="shared" si="83"/>
        <v>Telecom segment supplier: it is a sale of products</v>
      </c>
    </row>
    <row r="120" spans="1:27" ht="6.55" customHeight="1" x14ac:dyDescent="0.4">
      <c r="A120" s="51">
        <v>120</v>
      </c>
      <c r="B120" s="52" t="s">
        <v>75</v>
      </c>
      <c r="C120" s="56" t="s">
        <v>158</v>
      </c>
      <c r="D120" s="52" t="s">
        <v>316</v>
      </c>
      <c r="E120" s="52" t="s">
        <v>315</v>
      </c>
      <c r="F120" s="52" t="s">
        <v>159</v>
      </c>
      <c r="G120" s="28" t="s">
        <v>9</v>
      </c>
      <c r="H120" s="28" t="s">
        <v>9</v>
      </c>
      <c r="I120" s="28" t="s">
        <v>9</v>
      </c>
      <c r="J120" s="28" t="s">
        <v>9</v>
      </c>
      <c r="K120" s="28" t="s">
        <v>9</v>
      </c>
      <c r="L120" s="23" t="str">
        <f t="shared" si="74"/>
        <v>Fornecidos</v>
      </c>
      <c r="M120" s="23" t="str">
        <f t="shared" si="75"/>
        <v>Segmentos dos Produto</v>
      </c>
      <c r="N120" s="23" t="str">
        <f t="shared" si="76"/>
        <v>Segmento do Produto</v>
      </c>
      <c r="O120" s="23" t="str">
        <f t="shared" si="77"/>
        <v>Produto de Geotécnica</v>
      </c>
      <c r="P120" s="23" t="s">
        <v>192</v>
      </c>
      <c r="Q120" s="26" t="str">
        <f t="shared" si="78"/>
        <v>Es un producto o elemento del segmento geotécnico</v>
      </c>
      <c r="R120" s="42" t="s">
        <v>9</v>
      </c>
      <c r="S120" s="43" t="str">
        <f t="shared" si="79"/>
        <v>Fornecidos</v>
      </c>
      <c r="T120" s="43" t="str">
        <f t="shared" si="80"/>
        <v>Segmentos dos Produto</v>
      </c>
      <c r="U120" s="43" t="str">
        <f t="shared" si="81"/>
        <v>Segmento do Produto</v>
      </c>
      <c r="V120" s="41" t="s">
        <v>184</v>
      </c>
      <c r="W120" s="60" t="str">
        <f t="shared" si="82"/>
        <v>Key.Fab.120</v>
      </c>
      <c r="X120" s="41" t="s">
        <v>9</v>
      </c>
      <c r="Y120" s="41" t="s">
        <v>9</v>
      </c>
      <c r="Z120" s="50" t="s">
        <v>437</v>
      </c>
      <c r="AA120" s="45" t="str">
        <f t="shared" si="83"/>
        <v>It is a product or element of the geotechnical segment</v>
      </c>
    </row>
    <row r="121" spans="1:27" ht="6.55" customHeight="1" x14ac:dyDescent="0.4">
      <c r="A121" s="51">
        <v>121</v>
      </c>
      <c r="B121" s="52" t="s">
        <v>75</v>
      </c>
      <c r="C121" s="56" t="s">
        <v>158</v>
      </c>
      <c r="D121" s="52" t="s">
        <v>316</v>
      </c>
      <c r="E121" s="52" t="s">
        <v>315</v>
      </c>
      <c r="F121" s="52" t="s">
        <v>131</v>
      </c>
      <c r="G121" s="28" t="s">
        <v>9</v>
      </c>
      <c r="H121" s="28" t="s">
        <v>9</v>
      </c>
      <c r="I121" s="28" t="s">
        <v>9</v>
      </c>
      <c r="J121" s="28" t="s">
        <v>9</v>
      </c>
      <c r="K121" s="28" t="s">
        <v>9</v>
      </c>
      <c r="L121" s="23" t="str">
        <f t="shared" si="74"/>
        <v>Fornecidos</v>
      </c>
      <c r="M121" s="23" t="str">
        <f t="shared" si="75"/>
        <v>Segmentos dos Produto</v>
      </c>
      <c r="N121" s="23" t="str">
        <f t="shared" si="76"/>
        <v>Segmento do Produto</v>
      </c>
      <c r="O121" s="23" t="str">
        <f t="shared" si="77"/>
        <v>Produto de Obra</v>
      </c>
      <c r="P121" s="23" t="s">
        <v>218</v>
      </c>
      <c r="Q121" s="26" t="str">
        <f t="shared" si="78"/>
        <v>Es un producto o elemento del segmento de obra</v>
      </c>
      <c r="R121" s="42" t="s">
        <v>9</v>
      </c>
      <c r="S121" s="43" t="str">
        <f t="shared" si="79"/>
        <v>Fornecidos</v>
      </c>
      <c r="T121" s="43" t="str">
        <f t="shared" si="80"/>
        <v>Segmentos dos Produto</v>
      </c>
      <c r="U121" s="43" t="str">
        <f t="shared" si="81"/>
        <v>Segmento do Produto</v>
      </c>
      <c r="V121" s="41" t="s">
        <v>184</v>
      </c>
      <c r="W121" s="60" t="str">
        <f t="shared" si="82"/>
        <v>Key.Fab.121</v>
      </c>
      <c r="X121" s="41" t="s">
        <v>9</v>
      </c>
      <c r="Y121" s="41" t="s">
        <v>9</v>
      </c>
      <c r="Z121" s="50" t="s">
        <v>438</v>
      </c>
      <c r="AA121" s="45" t="str">
        <f t="shared" si="83"/>
        <v>It is a product or element of the construction site segment</v>
      </c>
    </row>
    <row r="122" spans="1:27" ht="6.55" customHeight="1" x14ac:dyDescent="0.4">
      <c r="A122" s="51">
        <v>122</v>
      </c>
      <c r="B122" s="52" t="s">
        <v>75</v>
      </c>
      <c r="C122" s="56" t="s">
        <v>158</v>
      </c>
      <c r="D122" s="52" t="s">
        <v>316</v>
      </c>
      <c r="E122" s="52" t="s">
        <v>315</v>
      </c>
      <c r="F122" s="52" t="s">
        <v>132</v>
      </c>
      <c r="G122" s="28" t="s">
        <v>9</v>
      </c>
      <c r="H122" s="28" t="s">
        <v>9</v>
      </c>
      <c r="I122" s="28" t="s">
        <v>9</v>
      </c>
      <c r="J122" s="28" t="s">
        <v>9</v>
      </c>
      <c r="K122" s="28" t="s">
        <v>9</v>
      </c>
      <c r="L122" s="23" t="str">
        <f t="shared" si="74"/>
        <v>Fornecidos</v>
      </c>
      <c r="M122" s="23" t="str">
        <f t="shared" si="75"/>
        <v>Segmentos dos Produto</v>
      </c>
      <c r="N122" s="23" t="str">
        <f t="shared" si="76"/>
        <v>Segmento do Produto</v>
      </c>
      <c r="O122" s="23" t="str">
        <f t="shared" si="77"/>
        <v>Produto de Drenagem</v>
      </c>
      <c r="P122" s="23" t="s">
        <v>193</v>
      </c>
      <c r="Q122" s="26" t="str">
        <f t="shared" si="78"/>
        <v>Es un producto o elemento del segmento de drenaje</v>
      </c>
      <c r="R122" s="42" t="s">
        <v>9</v>
      </c>
      <c r="S122" s="43" t="str">
        <f t="shared" si="79"/>
        <v>Fornecidos</v>
      </c>
      <c r="T122" s="43" t="str">
        <f t="shared" si="80"/>
        <v>Segmentos dos Produto</v>
      </c>
      <c r="U122" s="43" t="str">
        <f t="shared" si="81"/>
        <v>Segmento do Produto</v>
      </c>
      <c r="V122" s="41" t="s">
        <v>184</v>
      </c>
      <c r="W122" s="60" t="str">
        <f t="shared" si="82"/>
        <v>Key.Fab.122</v>
      </c>
      <c r="X122" s="41" t="s">
        <v>9</v>
      </c>
      <c r="Y122" s="41" t="s">
        <v>9</v>
      </c>
      <c r="Z122" s="50" t="s">
        <v>439</v>
      </c>
      <c r="AA122" s="45" t="str">
        <f t="shared" si="83"/>
        <v>It is a product or element of the drainage segment</v>
      </c>
    </row>
    <row r="123" spans="1:27" ht="6.55" customHeight="1" x14ac:dyDescent="0.4">
      <c r="A123" s="51">
        <v>123</v>
      </c>
      <c r="B123" s="52" t="s">
        <v>75</v>
      </c>
      <c r="C123" s="56" t="s">
        <v>158</v>
      </c>
      <c r="D123" s="52" t="s">
        <v>316</v>
      </c>
      <c r="E123" s="52" t="s">
        <v>315</v>
      </c>
      <c r="F123" s="52" t="s">
        <v>133</v>
      </c>
      <c r="G123" s="28" t="s">
        <v>9</v>
      </c>
      <c r="H123" s="28" t="s">
        <v>9</v>
      </c>
      <c r="I123" s="28" t="s">
        <v>9</v>
      </c>
      <c r="J123" s="28" t="s">
        <v>9</v>
      </c>
      <c r="K123" s="28" t="s">
        <v>9</v>
      </c>
      <c r="L123" s="23" t="str">
        <f t="shared" si="74"/>
        <v>Fornecidos</v>
      </c>
      <c r="M123" s="23" t="str">
        <f t="shared" si="75"/>
        <v>Segmentos dos Produto</v>
      </c>
      <c r="N123" s="23" t="str">
        <f t="shared" si="76"/>
        <v>Segmento do Produto</v>
      </c>
      <c r="O123" s="23" t="str">
        <f t="shared" si="77"/>
        <v>Produto de Tráfego</v>
      </c>
      <c r="P123" s="23" t="s">
        <v>217</v>
      </c>
      <c r="Q123" s="26" t="str">
        <f t="shared" si="78"/>
        <v>Es un producto o elemento del segmento de tráfico y pavimentación</v>
      </c>
      <c r="R123" s="42" t="s">
        <v>9</v>
      </c>
      <c r="S123" s="43" t="str">
        <f t="shared" si="79"/>
        <v>Fornecidos</v>
      </c>
      <c r="T123" s="43" t="str">
        <f t="shared" si="80"/>
        <v>Segmentos dos Produto</v>
      </c>
      <c r="U123" s="43" t="str">
        <f t="shared" si="81"/>
        <v>Segmento do Produto</v>
      </c>
      <c r="V123" s="41" t="s">
        <v>184</v>
      </c>
      <c r="W123" s="60" t="str">
        <f t="shared" si="82"/>
        <v>Key.Fab.123</v>
      </c>
      <c r="X123" s="41" t="s">
        <v>9</v>
      </c>
      <c r="Y123" s="41" t="s">
        <v>9</v>
      </c>
      <c r="Z123" s="50" t="s">
        <v>440</v>
      </c>
      <c r="AA123" s="45" t="str">
        <f t="shared" si="83"/>
        <v>It is a product or element of the traffic and paving segment</v>
      </c>
    </row>
    <row r="124" spans="1:27" ht="6.55" customHeight="1" x14ac:dyDescent="0.4">
      <c r="A124" s="51">
        <v>124</v>
      </c>
      <c r="B124" s="52" t="s">
        <v>75</v>
      </c>
      <c r="C124" s="56" t="s">
        <v>158</v>
      </c>
      <c r="D124" s="52" t="s">
        <v>316</v>
      </c>
      <c r="E124" s="52" t="s">
        <v>315</v>
      </c>
      <c r="F124" s="52" t="s">
        <v>134</v>
      </c>
      <c r="G124" s="28" t="s">
        <v>9</v>
      </c>
      <c r="H124" s="28" t="s">
        <v>9</v>
      </c>
      <c r="I124" s="28" t="s">
        <v>9</v>
      </c>
      <c r="J124" s="28" t="s">
        <v>9</v>
      </c>
      <c r="K124" s="28" t="s">
        <v>9</v>
      </c>
      <c r="L124" s="23" t="str">
        <f t="shared" si="74"/>
        <v>Fornecidos</v>
      </c>
      <c r="M124" s="23" t="str">
        <f t="shared" si="75"/>
        <v>Segmentos dos Produto</v>
      </c>
      <c r="N124" s="23" t="str">
        <f t="shared" si="76"/>
        <v>Segmento do Produto</v>
      </c>
      <c r="O124" s="23" t="str">
        <f t="shared" si="77"/>
        <v>Produto de Fundação</v>
      </c>
      <c r="P124" s="23" t="s">
        <v>191</v>
      </c>
      <c r="Q124" s="26" t="str">
        <f t="shared" si="78"/>
        <v>Es un producto o elemento del segmento de estructura de la cimentación</v>
      </c>
      <c r="R124" s="42" t="s">
        <v>9</v>
      </c>
      <c r="S124" s="43" t="str">
        <f t="shared" si="79"/>
        <v>Fornecidos</v>
      </c>
      <c r="T124" s="43" t="str">
        <f t="shared" si="80"/>
        <v>Segmentos dos Produto</v>
      </c>
      <c r="U124" s="43" t="str">
        <f t="shared" si="81"/>
        <v>Segmento do Produto</v>
      </c>
      <c r="V124" s="41" t="s">
        <v>184</v>
      </c>
      <c r="W124" s="60" t="str">
        <f t="shared" si="82"/>
        <v>Key.Fab.124</v>
      </c>
      <c r="X124" s="41" t="s">
        <v>9</v>
      </c>
      <c r="Y124" s="41" t="s">
        <v>9</v>
      </c>
      <c r="Z124" s="50" t="s">
        <v>441</v>
      </c>
      <c r="AA124" s="45" t="str">
        <f t="shared" si="83"/>
        <v>It is a product or element of the foundation structure segment</v>
      </c>
    </row>
    <row r="125" spans="1:27" ht="6.55" customHeight="1" x14ac:dyDescent="0.4">
      <c r="A125" s="51">
        <v>125</v>
      </c>
      <c r="B125" s="52" t="s">
        <v>75</v>
      </c>
      <c r="C125" s="56" t="s">
        <v>158</v>
      </c>
      <c r="D125" s="52" t="s">
        <v>316</v>
      </c>
      <c r="E125" s="52" t="s">
        <v>315</v>
      </c>
      <c r="F125" s="52" t="s">
        <v>135</v>
      </c>
      <c r="G125" s="28" t="s">
        <v>9</v>
      </c>
      <c r="H125" s="28" t="s">
        <v>9</v>
      </c>
      <c r="I125" s="28" t="s">
        <v>9</v>
      </c>
      <c r="J125" s="28" t="s">
        <v>9</v>
      </c>
      <c r="K125" s="28" t="s">
        <v>9</v>
      </c>
      <c r="L125" s="23" t="str">
        <f t="shared" si="74"/>
        <v>Fornecidos</v>
      </c>
      <c r="M125" s="23" t="str">
        <f t="shared" si="75"/>
        <v>Segmentos dos Produto</v>
      </c>
      <c r="N125" s="23" t="str">
        <f t="shared" si="76"/>
        <v>Segmento do Produto</v>
      </c>
      <c r="O125" s="23" t="str">
        <f t="shared" si="77"/>
        <v>Produto de Estrutura</v>
      </c>
      <c r="P125" s="23" t="s">
        <v>194</v>
      </c>
      <c r="Q125" s="26" t="str">
        <f t="shared" si="78"/>
        <v>Es un producto o elemento del segmento de estructura</v>
      </c>
      <c r="R125" s="42" t="s">
        <v>9</v>
      </c>
      <c r="S125" s="43" t="str">
        <f t="shared" si="79"/>
        <v>Fornecidos</v>
      </c>
      <c r="T125" s="43" t="str">
        <f t="shared" si="80"/>
        <v>Segmentos dos Produto</v>
      </c>
      <c r="U125" s="43" t="str">
        <f t="shared" si="81"/>
        <v>Segmento do Produto</v>
      </c>
      <c r="V125" s="41" t="s">
        <v>184</v>
      </c>
      <c r="W125" s="60" t="str">
        <f t="shared" si="82"/>
        <v>Key.Fab.125</v>
      </c>
      <c r="X125" s="41" t="s">
        <v>9</v>
      </c>
      <c r="Y125" s="41" t="s">
        <v>9</v>
      </c>
      <c r="Z125" s="50" t="s">
        <v>442</v>
      </c>
      <c r="AA125" s="45" t="str">
        <f t="shared" si="83"/>
        <v>It is a product or element of the structure segment</v>
      </c>
    </row>
    <row r="126" spans="1:27" ht="6.55" customHeight="1" x14ac:dyDescent="0.4">
      <c r="A126" s="51">
        <v>126</v>
      </c>
      <c r="B126" s="52" t="s">
        <v>75</v>
      </c>
      <c r="C126" s="56" t="s">
        <v>158</v>
      </c>
      <c r="D126" s="52" t="s">
        <v>316</v>
      </c>
      <c r="E126" s="52" t="s">
        <v>315</v>
      </c>
      <c r="F126" s="52" t="s">
        <v>136</v>
      </c>
      <c r="G126" s="28" t="s">
        <v>9</v>
      </c>
      <c r="H126" s="28" t="s">
        <v>9</v>
      </c>
      <c r="I126" s="28" t="s">
        <v>9</v>
      </c>
      <c r="J126" s="28" t="s">
        <v>9</v>
      </c>
      <c r="K126" s="28" t="s">
        <v>9</v>
      </c>
      <c r="L126" s="23" t="str">
        <f t="shared" si="74"/>
        <v>Fornecidos</v>
      </c>
      <c r="M126" s="23" t="str">
        <f t="shared" si="75"/>
        <v>Segmentos dos Produto</v>
      </c>
      <c r="N126" s="23" t="str">
        <f t="shared" si="76"/>
        <v>Segmento do Produto</v>
      </c>
      <c r="O126" s="23" t="str">
        <f t="shared" si="77"/>
        <v>Produto de Vedação</v>
      </c>
      <c r="P126" s="23" t="s">
        <v>216</v>
      </c>
      <c r="Q126" s="26" t="str">
        <f t="shared" si="78"/>
        <v>Es un producto o elemento del segmento de sellado, paredes y tejados</v>
      </c>
      <c r="R126" s="42" t="s">
        <v>9</v>
      </c>
      <c r="S126" s="43" t="str">
        <f t="shared" si="79"/>
        <v>Fornecidos</v>
      </c>
      <c r="T126" s="43" t="str">
        <f t="shared" si="80"/>
        <v>Segmentos dos Produto</v>
      </c>
      <c r="U126" s="43" t="str">
        <f t="shared" si="81"/>
        <v>Segmento do Produto</v>
      </c>
      <c r="V126" s="41" t="s">
        <v>184</v>
      </c>
      <c r="W126" s="60" t="str">
        <f t="shared" si="82"/>
        <v>Key.Fab.126</v>
      </c>
      <c r="X126" s="41" t="s">
        <v>9</v>
      </c>
      <c r="Y126" s="41" t="s">
        <v>9</v>
      </c>
      <c r="Z126" s="50" t="s">
        <v>443</v>
      </c>
      <c r="AA126" s="45" t="str">
        <f t="shared" si="83"/>
        <v>It is a product or element of the sealing, walls and roofs segment</v>
      </c>
    </row>
    <row r="127" spans="1:27" ht="6.55" customHeight="1" x14ac:dyDescent="0.4">
      <c r="A127" s="51">
        <v>127</v>
      </c>
      <c r="B127" s="52" t="s">
        <v>75</v>
      </c>
      <c r="C127" s="56" t="s">
        <v>158</v>
      </c>
      <c r="D127" s="52" t="s">
        <v>316</v>
      </c>
      <c r="E127" s="52" t="s">
        <v>315</v>
      </c>
      <c r="F127" s="52" t="s">
        <v>137</v>
      </c>
      <c r="G127" s="28" t="s">
        <v>9</v>
      </c>
      <c r="H127" s="28" t="s">
        <v>9</v>
      </c>
      <c r="I127" s="28" t="s">
        <v>9</v>
      </c>
      <c r="J127" s="28" t="s">
        <v>9</v>
      </c>
      <c r="K127" s="28" t="s">
        <v>9</v>
      </c>
      <c r="L127" s="23" t="str">
        <f t="shared" si="74"/>
        <v>Fornecidos</v>
      </c>
      <c r="M127" s="23" t="str">
        <f t="shared" si="75"/>
        <v>Segmentos dos Produto</v>
      </c>
      <c r="N127" s="23" t="str">
        <f t="shared" si="76"/>
        <v>Segmento do Produto</v>
      </c>
      <c r="O127" s="23" t="str">
        <f t="shared" si="77"/>
        <v>Produto de Acabado</v>
      </c>
      <c r="P127" s="23" t="s">
        <v>195</v>
      </c>
      <c r="Q127" s="26" t="str">
        <f t="shared" si="78"/>
        <v>Es un producto o elemento del segmento terminado</v>
      </c>
      <c r="R127" s="42" t="s">
        <v>9</v>
      </c>
      <c r="S127" s="43" t="str">
        <f t="shared" si="79"/>
        <v>Fornecidos</v>
      </c>
      <c r="T127" s="43" t="str">
        <f t="shared" si="80"/>
        <v>Segmentos dos Produto</v>
      </c>
      <c r="U127" s="43" t="str">
        <f t="shared" si="81"/>
        <v>Segmento do Produto</v>
      </c>
      <c r="V127" s="41" t="s">
        <v>184</v>
      </c>
      <c r="W127" s="60" t="str">
        <f t="shared" si="82"/>
        <v>Key.Fab.127</v>
      </c>
      <c r="X127" s="41" t="s">
        <v>9</v>
      </c>
      <c r="Y127" s="41" t="s">
        <v>9</v>
      </c>
      <c r="Z127" s="50" t="s">
        <v>444</v>
      </c>
      <c r="AA127" s="45" t="str">
        <f t="shared" si="83"/>
        <v>It is a product or element of the finished segment</v>
      </c>
    </row>
    <row r="128" spans="1:27" ht="6.55" customHeight="1" x14ac:dyDescent="0.4">
      <c r="A128" s="51">
        <v>128</v>
      </c>
      <c r="B128" s="52" t="s">
        <v>75</v>
      </c>
      <c r="C128" s="56" t="s">
        <v>158</v>
      </c>
      <c r="D128" s="52" t="s">
        <v>316</v>
      </c>
      <c r="E128" s="52" t="s">
        <v>315</v>
      </c>
      <c r="F128" s="52" t="s">
        <v>138</v>
      </c>
      <c r="G128" s="28" t="s">
        <v>9</v>
      </c>
      <c r="H128" s="28" t="s">
        <v>9</v>
      </c>
      <c r="I128" s="28" t="s">
        <v>9</v>
      </c>
      <c r="J128" s="28" t="s">
        <v>9</v>
      </c>
      <c r="K128" s="28" t="s">
        <v>9</v>
      </c>
      <c r="L128" s="23" t="str">
        <f t="shared" si="74"/>
        <v>Fornecidos</v>
      </c>
      <c r="M128" s="23" t="str">
        <f t="shared" si="75"/>
        <v>Segmentos dos Produto</v>
      </c>
      <c r="N128" s="23" t="str">
        <f t="shared" si="76"/>
        <v>Segmento do Produto</v>
      </c>
      <c r="O128" s="23" t="str">
        <f t="shared" si="77"/>
        <v>Produto de Abertura</v>
      </c>
      <c r="P128" s="23" t="s">
        <v>215</v>
      </c>
      <c r="Q128" s="26" t="str">
        <f t="shared" si="78"/>
        <v>Es un producto o elemento del segmento de aberturas y marcos</v>
      </c>
      <c r="R128" s="42" t="s">
        <v>9</v>
      </c>
      <c r="S128" s="43" t="str">
        <f t="shared" si="79"/>
        <v>Fornecidos</v>
      </c>
      <c r="T128" s="43" t="str">
        <f t="shared" si="80"/>
        <v>Segmentos dos Produto</v>
      </c>
      <c r="U128" s="43" t="str">
        <f t="shared" si="81"/>
        <v>Segmento do Produto</v>
      </c>
      <c r="V128" s="41" t="s">
        <v>184</v>
      </c>
      <c r="W128" s="60" t="str">
        <f t="shared" si="82"/>
        <v>Key.Fab.128</v>
      </c>
      <c r="X128" s="41" t="s">
        <v>9</v>
      </c>
      <c r="Y128" s="41" t="s">
        <v>9</v>
      </c>
      <c r="Z128" s="50" t="s">
        <v>445</v>
      </c>
      <c r="AA128" s="45" t="str">
        <f t="shared" si="83"/>
        <v>It is a product or element of the openings and frames segment</v>
      </c>
    </row>
    <row r="129" spans="1:27" ht="6.55" customHeight="1" x14ac:dyDescent="0.4">
      <c r="A129" s="51">
        <v>129</v>
      </c>
      <c r="B129" s="52" t="s">
        <v>75</v>
      </c>
      <c r="C129" s="56" t="s">
        <v>158</v>
      </c>
      <c r="D129" s="52" t="s">
        <v>316</v>
      </c>
      <c r="E129" s="52" t="s">
        <v>315</v>
      </c>
      <c r="F129" s="52" t="s">
        <v>139</v>
      </c>
      <c r="G129" s="28" t="s">
        <v>9</v>
      </c>
      <c r="H129" s="28" t="s">
        <v>9</v>
      </c>
      <c r="I129" s="28" t="s">
        <v>9</v>
      </c>
      <c r="J129" s="28" t="s">
        <v>9</v>
      </c>
      <c r="K129" s="28" t="s">
        <v>9</v>
      </c>
      <c r="L129" s="23" t="str">
        <f t="shared" si="74"/>
        <v>Fornecidos</v>
      </c>
      <c r="M129" s="23" t="str">
        <f t="shared" si="75"/>
        <v>Segmentos dos Produto</v>
      </c>
      <c r="N129" s="23" t="str">
        <f t="shared" si="76"/>
        <v>Segmento do Produto</v>
      </c>
      <c r="O129" s="23" t="str">
        <f t="shared" si="77"/>
        <v>Produto de Acústica</v>
      </c>
      <c r="P129" s="23" t="s">
        <v>196</v>
      </c>
      <c r="Q129" s="26" t="str">
        <f t="shared" si="78"/>
        <v>Es un producto o elemento del segmento acústico</v>
      </c>
      <c r="R129" s="42" t="s">
        <v>9</v>
      </c>
      <c r="S129" s="43" t="str">
        <f t="shared" si="79"/>
        <v>Fornecidos</v>
      </c>
      <c r="T129" s="43" t="str">
        <f t="shared" si="80"/>
        <v>Segmentos dos Produto</v>
      </c>
      <c r="U129" s="43" t="str">
        <f t="shared" si="81"/>
        <v>Segmento do Produto</v>
      </c>
      <c r="V129" s="41" t="s">
        <v>184</v>
      </c>
      <c r="W129" s="60" t="str">
        <f t="shared" si="82"/>
        <v>Key.Fab.129</v>
      </c>
      <c r="X129" s="41" t="s">
        <v>9</v>
      </c>
      <c r="Y129" s="41" t="s">
        <v>9</v>
      </c>
      <c r="Z129" s="50" t="s">
        <v>446</v>
      </c>
      <c r="AA129" s="45" t="str">
        <f t="shared" si="83"/>
        <v>It is a product or element of the acoustics segment</v>
      </c>
    </row>
    <row r="130" spans="1:27" ht="6.55" customHeight="1" x14ac:dyDescent="0.4">
      <c r="A130" s="51">
        <v>130</v>
      </c>
      <c r="B130" s="52" t="s">
        <v>75</v>
      </c>
      <c r="C130" s="56" t="s">
        <v>158</v>
      </c>
      <c r="D130" s="52" t="s">
        <v>316</v>
      </c>
      <c r="E130" s="52" t="s">
        <v>315</v>
      </c>
      <c r="F130" s="52" t="s">
        <v>140</v>
      </c>
      <c r="G130" s="28" t="s">
        <v>9</v>
      </c>
      <c r="H130" s="28" t="s">
        <v>9</v>
      </c>
      <c r="I130" s="28" t="s">
        <v>9</v>
      </c>
      <c r="J130" s="28" t="s">
        <v>9</v>
      </c>
      <c r="K130" s="28" t="s">
        <v>9</v>
      </c>
      <c r="L130" s="23" t="str">
        <f t="shared" si="74"/>
        <v>Fornecidos</v>
      </c>
      <c r="M130" s="23" t="str">
        <f t="shared" si="75"/>
        <v>Segmentos dos Produto</v>
      </c>
      <c r="N130" s="23" t="str">
        <f t="shared" si="76"/>
        <v>Segmento do Produto</v>
      </c>
      <c r="O130" s="23" t="str">
        <f t="shared" si="77"/>
        <v>Produto de Elétrica</v>
      </c>
      <c r="P130" s="23" t="s">
        <v>197</v>
      </c>
      <c r="Q130" s="26" t="str">
        <f t="shared" si="78"/>
        <v>Es un producto o elemento del segmento eléctrico</v>
      </c>
      <c r="R130" s="42" t="s">
        <v>9</v>
      </c>
      <c r="S130" s="43" t="str">
        <f t="shared" si="79"/>
        <v>Fornecidos</v>
      </c>
      <c r="T130" s="43" t="str">
        <f t="shared" si="80"/>
        <v>Segmentos dos Produto</v>
      </c>
      <c r="U130" s="43" t="str">
        <f t="shared" si="81"/>
        <v>Segmento do Produto</v>
      </c>
      <c r="V130" s="41" t="s">
        <v>184</v>
      </c>
      <c r="W130" s="60" t="str">
        <f t="shared" si="82"/>
        <v>Key.Fab.130</v>
      </c>
      <c r="X130" s="41" t="s">
        <v>9</v>
      </c>
      <c r="Y130" s="41" t="s">
        <v>9</v>
      </c>
      <c r="Z130" s="50" t="s">
        <v>447</v>
      </c>
      <c r="AA130" s="45" t="str">
        <f t="shared" si="83"/>
        <v>It is a product or element of the electrical segment</v>
      </c>
    </row>
    <row r="131" spans="1:27" ht="6.55" customHeight="1" x14ac:dyDescent="0.4">
      <c r="A131" s="51">
        <v>131</v>
      </c>
      <c r="B131" s="52" t="s">
        <v>75</v>
      </c>
      <c r="C131" s="56" t="s">
        <v>158</v>
      </c>
      <c r="D131" s="52" t="s">
        <v>316</v>
      </c>
      <c r="E131" s="52" t="s">
        <v>315</v>
      </c>
      <c r="F131" s="52" t="s">
        <v>141</v>
      </c>
      <c r="G131" s="28" t="s">
        <v>9</v>
      </c>
      <c r="H131" s="28" t="s">
        <v>9</v>
      </c>
      <c r="I131" s="28" t="s">
        <v>9</v>
      </c>
      <c r="J131" s="28" t="s">
        <v>9</v>
      </c>
      <c r="K131" s="28" t="s">
        <v>9</v>
      </c>
      <c r="L131" s="23" t="str">
        <f t="shared" si="74"/>
        <v>Fornecidos</v>
      </c>
      <c r="M131" s="23" t="str">
        <f t="shared" si="75"/>
        <v>Segmentos dos Produto</v>
      </c>
      <c r="N131" s="23" t="str">
        <f t="shared" si="76"/>
        <v>Segmento do Produto</v>
      </c>
      <c r="O131" s="23" t="str">
        <f t="shared" si="77"/>
        <v>Produto de Iluminação</v>
      </c>
      <c r="P131" s="23" t="s">
        <v>183</v>
      </c>
      <c r="Q131" s="26" t="str">
        <f t="shared" si="78"/>
        <v>Es un producto o elemento del segmento de Iluminación</v>
      </c>
      <c r="R131" s="42" t="s">
        <v>9</v>
      </c>
      <c r="S131" s="43" t="str">
        <f t="shared" si="79"/>
        <v>Fornecidos</v>
      </c>
      <c r="T131" s="43" t="str">
        <f t="shared" si="80"/>
        <v>Segmentos dos Produto</v>
      </c>
      <c r="U131" s="43" t="str">
        <f t="shared" si="81"/>
        <v>Segmento do Produto</v>
      </c>
      <c r="V131" s="41" t="s">
        <v>184</v>
      </c>
      <c r="W131" s="60" t="str">
        <f t="shared" si="82"/>
        <v>Key.Fab.131</v>
      </c>
      <c r="X131" s="41" t="s">
        <v>9</v>
      </c>
      <c r="Y131" s="41" t="s">
        <v>9</v>
      </c>
      <c r="Z131" s="50" t="s">
        <v>448</v>
      </c>
      <c r="AA131" s="45" t="str">
        <f t="shared" si="83"/>
        <v>It is a product or element of the Lighting segment</v>
      </c>
    </row>
    <row r="132" spans="1:27" ht="6.55" customHeight="1" x14ac:dyDescent="0.4">
      <c r="A132" s="51">
        <v>132</v>
      </c>
      <c r="B132" s="52" t="s">
        <v>75</v>
      </c>
      <c r="C132" s="56" t="s">
        <v>158</v>
      </c>
      <c r="D132" s="52" t="s">
        <v>316</v>
      </c>
      <c r="E132" s="52" t="s">
        <v>315</v>
      </c>
      <c r="F132" s="52" t="s">
        <v>142</v>
      </c>
      <c r="G132" s="28" t="s">
        <v>9</v>
      </c>
      <c r="H132" s="28" t="s">
        <v>9</v>
      </c>
      <c r="I132" s="28" t="s">
        <v>9</v>
      </c>
      <c r="J132" s="28" t="s">
        <v>9</v>
      </c>
      <c r="K132" s="28" t="s">
        <v>9</v>
      </c>
      <c r="L132" s="23" t="str">
        <f t="shared" si="74"/>
        <v>Fornecidos</v>
      </c>
      <c r="M132" s="23" t="str">
        <f t="shared" si="75"/>
        <v>Segmentos dos Produto</v>
      </c>
      <c r="N132" s="23" t="str">
        <f t="shared" si="76"/>
        <v>Segmento do Produto</v>
      </c>
      <c r="O132" s="23" t="str">
        <f t="shared" si="77"/>
        <v>Produto de Exaustão Ventilação</v>
      </c>
      <c r="P132" s="23" t="s">
        <v>198</v>
      </c>
      <c r="Q132" s="26" t="str">
        <f t="shared" si="78"/>
        <v>Es un producto o elemento del segmento de extracción y ventilación</v>
      </c>
      <c r="R132" s="42" t="s">
        <v>9</v>
      </c>
      <c r="S132" s="43" t="str">
        <f t="shared" si="79"/>
        <v>Fornecidos</v>
      </c>
      <c r="T132" s="43" t="str">
        <f t="shared" si="80"/>
        <v>Segmentos dos Produto</v>
      </c>
      <c r="U132" s="43" t="str">
        <f t="shared" si="81"/>
        <v>Segmento do Produto</v>
      </c>
      <c r="V132" s="41" t="s">
        <v>184</v>
      </c>
      <c r="W132" s="60" t="str">
        <f t="shared" si="82"/>
        <v>Key.Fab.132</v>
      </c>
      <c r="X132" s="41" t="s">
        <v>9</v>
      </c>
      <c r="Y132" s="41" t="s">
        <v>9</v>
      </c>
      <c r="Z132" s="50" t="s">
        <v>449</v>
      </c>
      <c r="AA132" s="45" t="str">
        <f t="shared" si="83"/>
        <v>It is a product or element of the exhaust and ventilation segment</v>
      </c>
    </row>
    <row r="133" spans="1:27" ht="6.55" customHeight="1" x14ac:dyDescent="0.4">
      <c r="A133" s="51">
        <v>133</v>
      </c>
      <c r="B133" s="52" t="s">
        <v>75</v>
      </c>
      <c r="C133" s="56" t="s">
        <v>158</v>
      </c>
      <c r="D133" s="52" t="s">
        <v>316</v>
      </c>
      <c r="E133" s="52" t="s">
        <v>315</v>
      </c>
      <c r="F133" s="52" t="s">
        <v>143</v>
      </c>
      <c r="G133" s="28" t="s">
        <v>9</v>
      </c>
      <c r="H133" s="28" t="s">
        <v>9</v>
      </c>
      <c r="I133" s="28" t="s">
        <v>9</v>
      </c>
      <c r="J133" s="28" t="s">
        <v>9</v>
      </c>
      <c r="K133" s="28" t="s">
        <v>9</v>
      </c>
      <c r="L133" s="23" t="str">
        <f t="shared" si="74"/>
        <v>Fornecidos</v>
      </c>
      <c r="M133" s="23" t="str">
        <f t="shared" si="75"/>
        <v>Segmentos dos Produto</v>
      </c>
      <c r="N133" s="23" t="str">
        <f t="shared" si="76"/>
        <v>Segmento do Produto</v>
      </c>
      <c r="O133" s="23" t="str">
        <f t="shared" si="77"/>
        <v>Produto de Telecom Urbana</v>
      </c>
      <c r="P133" s="23" t="s">
        <v>203</v>
      </c>
      <c r="Q133" s="26" t="str">
        <f t="shared" si="78"/>
        <v>Es un producto o elemento del segmento de la red de telecomunicaciones urbana</v>
      </c>
      <c r="R133" s="42" t="s">
        <v>9</v>
      </c>
      <c r="S133" s="43" t="str">
        <f t="shared" si="79"/>
        <v>Fornecidos</v>
      </c>
      <c r="T133" s="43" t="str">
        <f t="shared" si="80"/>
        <v>Segmentos dos Produto</v>
      </c>
      <c r="U133" s="43" t="str">
        <f t="shared" si="81"/>
        <v>Segmento do Produto</v>
      </c>
      <c r="V133" s="41" t="s">
        <v>184</v>
      </c>
      <c r="W133" s="60" t="str">
        <f t="shared" si="82"/>
        <v>Key.Fab.133</v>
      </c>
      <c r="X133" s="41" t="s">
        <v>9</v>
      </c>
      <c r="Y133" s="41" t="s">
        <v>9</v>
      </c>
      <c r="Z133" s="50" t="s">
        <v>450</v>
      </c>
      <c r="AA133" s="45" t="str">
        <f t="shared" si="83"/>
        <v>It is a product or element of the urban telecom network segment</v>
      </c>
    </row>
    <row r="134" spans="1:27" ht="6.55" customHeight="1" x14ac:dyDescent="0.4">
      <c r="A134" s="51">
        <v>134</v>
      </c>
      <c r="B134" s="52" t="s">
        <v>75</v>
      </c>
      <c r="C134" s="56" t="s">
        <v>158</v>
      </c>
      <c r="D134" s="52" t="s">
        <v>316</v>
      </c>
      <c r="E134" s="52" t="s">
        <v>315</v>
      </c>
      <c r="F134" s="52" t="s">
        <v>144</v>
      </c>
      <c r="G134" s="28" t="s">
        <v>9</v>
      </c>
      <c r="H134" s="28" t="s">
        <v>9</v>
      </c>
      <c r="I134" s="28" t="s">
        <v>9</v>
      </c>
      <c r="J134" s="28" t="s">
        <v>9</v>
      </c>
      <c r="K134" s="28" t="s">
        <v>9</v>
      </c>
      <c r="L134" s="23" t="str">
        <f t="shared" si="74"/>
        <v>Fornecidos</v>
      </c>
      <c r="M134" s="23" t="str">
        <f t="shared" si="75"/>
        <v>Segmentos dos Produto</v>
      </c>
      <c r="N134" s="23" t="str">
        <f t="shared" si="76"/>
        <v>Segmento do Produto</v>
      </c>
      <c r="O134" s="23" t="str">
        <f t="shared" si="77"/>
        <v>Produto de Telecom Predial</v>
      </c>
      <c r="P134" s="23" t="s">
        <v>204</v>
      </c>
      <c r="Q134" s="26" t="str">
        <f t="shared" si="78"/>
        <v>Es un producto o elemento del segmento de redes de telecomunicaciones en construcción</v>
      </c>
      <c r="R134" s="42" t="s">
        <v>9</v>
      </c>
      <c r="S134" s="43" t="str">
        <f t="shared" si="79"/>
        <v>Fornecidos</v>
      </c>
      <c r="T134" s="43" t="str">
        <f t="shared" si="80"/>
        <v>Segmentos dos Produto</v>
      </c>
      <c r="U134" s="43" t="str">
        <f t="shared" si="81"/>
        <v>Segmento do Produto</v>
      </c>
      <c r="V134" s="41" t="s">
        <v>184</v>
      </c>
      <c r="W134" s="60" t="str">
        <f t="shared" si="82"/>
        <v>Key.Fab.134</v>
      </c>
      <c r="X134" s="41" t="s">
        <v>9</v>
      </c>
      <c r="Y134" s="41" t="s">
        <v>9</v>
      </c>
      <c r="Z134" s="50" t="s">
        <v>451</v>
      </c>
      <c r="AA134" s="45" t="str">
        <f t="shared" si="83"/>
        <v>It is a product or element of the building telecom network segment</v>
      </c>
    </row>
    <row r="135" spans="1:27" ht="6.55" customHeight="1" x14ac:dyDescent="0.4">
      <c r="A135" s="51">
        <v>135</v>
      </c>
      <c r="B135" s="52" t="s">
        <v>75</v>
      </c>
      <c r="C135" s="56" t="s">
        <v>158</v>
      </c>
      <c r="D135" s="52" t="s">
        <v>316</v>
      </c>
      <c r="E135" s="52" t="s">
        <v>315</v>
      </c>
      <c r="F135" s="52" t="s">
        <v>145</v>
      </c>
      <c r="G135" s="28" t="s">
        <v>9</v>
      </c>
      <c r="H135" s="28" t="s">
        <v>9</v>
      </c>
      <c r="I135" s="28" t="s">
        <v>9</v>
      </c>
      <c r="J135" s="28" t="s">
        <v>9</v>
      </c>
      <c r="K135" s="28" t="s">
        <v>9</v>
      </c>
      <c r="L135" s="23" t="str">
        <f t="shared" si="74"/>
        <v>Fornecidos</v>
      </c>
      <c r="M135" s="23" t="str">
        <f t="shared" si="75"/>
        <v>Segmentos dos Produto</v>
      </c>
      <c r="N135" s="23" t="str">
        <f t="shared" si="76"/>
        <v>Segmento do Produto</v>
      </c>
      <c r="O135" s="23" t="str">
        <f t="shared" si="77"/>
        <v>Produto de Hidráulica Urbana</v>
      </c>
      <c r="P135" s="23" t="s">
        <v>202</v>
      </c>
      <c r="Q135" s="26" t="str">
        <f t="shared" si="78"/>
        <v>Es un producto o elemento del segmento de la red de hidráulica urbana</v>
      </c>
      <c r="R135" s="42" t="s">
        <v>9</v>
      </c>
      <c r="S135" s="43" t="str">
        <f t="shared" si="79"/>
        <v>Fornecidos</v>
      </c>
      <c r="T135" s="43" t="str">
        <f t="shared" si="80"/>
        <v>Segmentos dos Produto</v>
      </c>
      <c r="U135" s="43" t="str">
        <f t="shared" si="81"/>
        <v>Segmento do Produto</v>
      </c>
      <c r="V135" s="41" t="s">
        <v>184</v>
      </c>
      <c r="W135" s="60" t="str">
        <f t="shared" si="82"/>
        <v>Key.Fab.135</v>
      </c>
      <c r="X135" s="41" t="s">
        <v>9</v>
      </c>
      <c r="Y135" s="41" t="s">
        <v>9</v>
      </c>
      <c r="Z135" s="50" t="s">
        <v>452</v>
      </c>
      <c r="AA135" s="45" t="str">
        <f t="shared" si="83"/>
        <v>It is a product or element of the urban hydraulics network segment</v>
      </c>
    </row>
    <row r="136" spans="1:27" ht="6.55" customHeight="1" x14ac:dyDescent="0.4">
      <c r="A136" s="51">
        <v>136</v>
      </c>
      <c r="B136" s="52" t="s">
        <v>75</v>
      </c>
      <c r="C136" s="56" t="s">
        <v>158</v>
      </c>
      <c r="D136" s="52" t="s">
        <v>316</v>
      </c>
      <c r="E136" s="52" t="s">
        <v>315</v>
      </c>
      <c r="F136" s="52" t="s">
        <v>146</v>
      </c>
      <c r="G136" s="28" t="s">
        <v>9</v>
      </c>
      <c r="H136" s="28" t="s">
        <v>9</v>
      </c>
      <c r="I136" s="28" t="s">
        <v>9</v>
      </c>
      <c r="J136" s="28" t="s">
        <v>9</v>
      </c>
      <c r="K136" s="28" t="s">
        <v>9</v>
      </c>
      <c r="L136" s="23" t="str">
        <f t="shared" si="74"/>
        <v>Fornecidos</v>
      </c>
      <c r="M136" s="23" t="str">
        <f t="shared" si="75"/>
        <v>Segmentos dos Produto</v>
      </c>
      <c r="N136" s="23" t="str">
        <f t="shared" si="76"/>
        <v>Segmento do Produto</v>
      </c>
      <c r="O136" s="23" t="str">
        <f t="shared" si="77"/>
        <v>Produto de Hidráulica Predial</v>
      </c>
      <c r="P136" s="23" t="s">
        <v>201</v>
      </c>
      <c r="Q136" s="26" t="str">
        <f t="shared" si="78"/>
        <v>Es un producto o elemento del segmento de redes hidráulicas para edificios</v>
      </c>
      <c r="R136" s="42" t="s">
        <v>9</v>
      </c>
      <c r="S136" s="43" t="str">
        <f t="shared" si="79"/>
        <v>Fornecidos</v>
      </c>
      <c r="T136" s="43" t="str">
        <f t="shared" si="80"/>
        <v>Segmentos dos Produto</v>
      </c>
      <c r="U136" s="43" t="str">
        <f t="shared" si="81"/>
        <v>Segmento do Produto</v>
      </c>
      <c r="V136" s="41" t="s">
        <v>184</v>
      </c>
      <c r="W136" s="60" t="str">
        <f t="shared" si="82"/>
        <v>Key.Fab.136</v>
      </c>
      <c r="X136" s="41" t="s">
        <v>9</v>
      </c>
      <c r="Y136" s="41" t="s">
        <v>9</v>
      </c>
      <c r="Z136" s="50" t="s">
        <v>453</v>
      </c>
      <c r="AA136" s="45" t="str">
        <f t="shared" si="83"/>
        <v>It is a product or element of the building hydraulic network segment</v>
      </c>
    </row>
    <row r="137" spans="1:27" ht="6.55" customHeight="1" x14ac:dyDescent="0.4">
      <c r="A137" s="51">
        <v>137</v>
      </c>
      <c r="B137" s="52" t="s">
        <v>75</v>
      </c>
      <c r="C137" s="56" t="s">
        <v>158</v>
      </c>
      <c r="D137" s="52" t="s">
        <v>316</v>
      </c>
      <c r="E137" s="52" t="s">
        <v>315</v>
      </c>
      <c r="F137" s="52" t="s">
        <v>147</v>
      </c>
      <c r="G137" s="28" t="s">
        <v>9</v>
      </c>
      <c r="H137" s="28" t="s">
        <v>9</v>
      </c>
      <c r="I137" s="28" t="s">
        <v>9</v>
      </c>
      <c r="J137" s="28" t="s">
        <v>9</v>
      </c>
      <c r="K137" s="28" t="s">
        <v>9</v>
      </c>
      <c r="L137" s="23" t="str">
        <f t="shared" si="74"/>
        <v>Fornecidos</v>
      </c>
      <c r="M137" s="23" t="str">
        <f t="shared" si="75"/>
        <v>Segmentos dos Produto</v>
      </c>
      <c r="N137" s="23" t="str">
        <f t="shared" si="76"/>
        <v>Segmento do Produto</v>
      </c>
      <c r="O137" s="23" t="str">
        <f t="shared" si="77"/>
        <v>Produto de Pluvial</v>
      </c>
      <c r="P137" s="23" t="s">
        <v>205</v>
      </c>
      <c r="Q137" s="26" t="str">
        <f t="shared" si="78"/>
        <v>Es un producto o elemento del segmento de la red de aguas pluviales</v>
      </c>
      <c r="R137" s="42" t="s">
        <v>9</v>
      </c>
      <c r="S137" s="43" t="str">
        <f t="shared" si="79"/>
        <v>Fornecidos</v>
      </c>
      <c r="T137" s="43" t="str">
        <f t="shared" si="80"/>
        <v>Segmentos dos Produto</v>
      </c>
      <c r="U137" s="43" t="str">
        <f t="shared" si="81"/>
        <v>Segmento do Produto</v>
      </c>
      <c r="V137" s="41" t="s">
        <v>184</v>
      </c>
      <c r="W137" s="60" t="str">
        <f t="shared" si="82"/>
        <v>Key.Fab.137</v>
      </c>
      <c r="X137" s="41" t="s">
        <v>9</v>
      </c>
      <c r="Y137" s="41" t="s">
        <v>9</v>
      </c>
      <c r="Z137" s="50" t="s">
        <v>454</v>
      </c>
      <c r="AA137" s="45" t="str">
        <f t="shared" si="83"/>
        <v>It is a product or element of the rainwater network segment</v>
      </c>
    </row>
    <row r="138" spans="1:27" ht="6.55" customHeight="1" x14ac:dyDescent="0.4">
      <c r="A138" s="51">
        <v>138</v>
      </c>
      <c r="B138" s="52" t="s">
        <v>75</v>
      </c>
      <c r="C138" s="56" t="s">
        <v>158</v>
      </c>
      <c r="D138" s="52" t="s">
        <v>316</v>
      </c>
      <c r="E138" s="52" t="s">
        <v>315</v>
      </c>
      <c r="F138" s="52" t="s">
        <v>148</v>
      </c>
      <c r="G138" s="28" t="s">
        <v>9</v>
      </c>
      <c r="H138" s="28" t="s">
        <v>9</v>
      </c>
      <c r="I138" s="28" t="s">
        <v>9</v>
      </c>
      <c r="J138" s="28" t="s">
        <v>9</v>
      </c>
      <c r="K138" s="28" t="s">
        <v>9</v>
      </c>
      <c r="L138" s="23" t="str">
        <f t="shared" si="74"/>
        <v>Fornecidos</v>
      </c>
      <c r="M138" s="23" t="str">
        <f t="shared" si="75"/>
        <v>Segmentos dos Produto</v>
      </c>
      <c r="N138" s="23" t="str">
        <f t="shared" si="76"/>
        <v>Segmento do Produto</v>
      </c>
      <c r="O138" s="23" t="str">
        <f t="shared" si="77"/>
        <v>Produto de Esgoto Predial</v>
      </c>
      <c r="P138" s="23" t="s">
        <v>199</v>
      </c>
      <c r="Q138" s="26" t="str">
        <f t="shared" si="78"/>
        <v>Es un producto o elemento del segmento de la red de alcantarillado del edificio</v>
      </c>
      <c r="R138" s="42" t="s">
        <v>9</v>
      </c>
      <c r="S138" s="43" t="str">
        <f t="shared" si="79"/>
        <v>Fornecidos</v>
      </c>
      <c r="T138" s="43" t="str">
        <f t="shared" si="80"/>
        <v>Segmentos dos Produto</v>
      </c>
      <c r="U138" s="43" t="str">
        <f t="shared" si="81"/>
        <v>Segmento do Produto</v>
      </c>
      <c r="V138" s="41" t="s">
        <v>184</v>
      </c>
      <c r="W138" s="60" t="str">
        <f t="shared" si="82"/>
        <v>Key.Fab.138</v>
      </c>
      <c r="X138" s="41" t="s">
        <v>9</v>
      </c>
      <c r="Y138" s="41" t="s">
        <v>9</v>
      </c>
      <c r="Z138" s="50" t="s">
        <v>455</v>
      </c>
      <c r="AA138" s="45" t="str">
        <f t="shared" si="83"/>
        <v>It is a product or element of the building sewer network segment</v>
      </c>
    </row>
    <row r="139" spans="1:27" ht="6.55" customHeight="1" x14ac:dyDescent="0.4">
      <c r="A139" s="51">
        <v>139</v>
      </c>
      <c r="B139" s="52" t="s">
        <v>75</v>
      </c>
      <c r="C139" s="56" t="s">
        <v>158</v>
      </c>
      <c r="D139" s="52" t="s">
        <v>316</v>
      </c>
      <c r="E139" s="52" t="s">
        <v>315</v>
      </c>
      <c r="F139" s="52" t="s">
        <v>149</v>
      </c>
      <c r="G139" s="28" t="s">
        <v>9</v>
      </c>
      <c r="H139" s="28" t="s">
        <v>9</v>
      </c>
      <c r="I139" s="28" t="s">
        <v>9</v>
      </c>
      <c r="J139" s="28" t="s">
        <v>9</v>
      </c>
      <c r="K139" s="28" t="s">
        <v>9</v>
      </c>
      <c r="L139" s="23" t="str">
        <f t="shared" si="74"/>
        <v>Fornecidos</v>
      </c>
      <c r="M139" s="23" t="str">
        <f t="shared" si="75"/>
        <v>Segmentos dos Produto</v>
      </c>
      <c r="N139" s="23" t="str">
        <f t="shared" si="76"/>
        <v>Segmento do Produto</v>
      </c>
      <c r="O139" s="23" t="str">
        <f t="shared" si="77"/>
        <v>Produto de Esgoto Urbano</v>
      </c>
      <c r="P139" s="23" t="s">
        <v>200</v>
      </c>
      <c r="Q139" s="26" t="str">
        <f t="shared" si="78"/>
        <v>Es un producto o elemento del segmento de la red de alcantarillado urbano</v>
      </c>
      <c r="R139" s="42" t="s">
        <v>9</v>
      </c>
      <c r="S139" s="43" t="str">
        <f t="shared" si="79"/>
        <v>Fornecidos</v>
      </c>
      <c r="T139" s="43" t="str">
        <f t="shared" si="80"/>
        <v>Segmentos dos Produto</v>
      </c>
      <c r="U139" s="43" t="str">
        <f t="shared" si="81"/>
        <v>Segmento do Produto</v>
      </c>
      <c r="V139" s="41" t="s">
        <v>184</v>
      </c>
      <c r="W139" s="60" t="str">
        <f t="shared" si="82"/>
        <v>Key.Fab.139</v>
      </c>
      <c r="X139" s="41" t="s">
        <v>9</v>
      </c>
      <c r="Y139" s="41" t="s">
        <v>9</v>
      </c>
      <c r="Z139" s="50" t="s">
        <v>456</v>
      </c>
      <c r="AA139" s="45" t="str">
        <f t="shared" si="83"/>
        <v>It is a product or element of the urban sewer network segment</v>
      </c>
    </row>
    <row r="140" spans="1:27" ht="6.55" customHeight="1" x14ac:dyDescent="0.4">
      <c r="A140" s="51">
        <v>140</v>
      </c>
      <c r="B140" s="52" t="s">
        <v>75</v>
      </c>
      <c r="C140" s="56" t="s">
        <v>158</v>
      </c>
      <c r="D140" s="52" t="s">
        <v>316</v>
      </c>
      <c r="E140" s="52" t="s">
        <v>315</v>
      </c>
      <c r="F140" s="52" t="s">
        <v>150</v>
      </c>
      <c r="G140" s="28" t="s">
        <v>9</v>
      </c>
      <c r="H140" s="28" t="s">
        <v>9</v>
      </c>
      <c r="I140" s="28" t="s">
        <v>9</v>
      </c>
      <c r="J140" s="28" t="s">
        <v>9</v>
      </c>
      <c r="K140" s="28" t="s">
        <v>9</v>
      </c>
      <c r="L140" s="23" t="str">
        <f t="shared" si="74"/>
        <v>Fornecidos</v>
      </c>
      <c r="M140" s="23" t="str">
        <f t="shared" si="75"/>
        <v>Segmentos dos Produto</v>
      </c>
      <c r="N140" s="23" t="str">
        <f t="shared" si="76"/>
        <v>Segmento do Produto</v>
      </c>
      <c r="O140" s="23" t="str">
        <f t="shared" si="77"/>
        <v>Produto de Resíduo</v>
      </c>
      <c r="P140" s="23" t="s">
        <v>206</v>
      </c>
      <c r="Q140" s="26" t="str">
        <f t="shared" si="78"/>
        <v>Es un producto o elemento del segmento de tratamiento de residuos</v>
      </c>
      <c r="R140" s="42" t="s">
        <v>9</v>
      </c>
      <c r="S140" s="43" t="str">
        <f t="shared" si="79"/>
        <v>Fornecidos</v>
      </c>
      <c r="T140" s="43" t="str">
        <f t="shared" si="80"/>
        <v>Segmentos dos Produto</v>
      </c>
      <c r="U140" s="43" t="str">
        <f t="shared" si="81"/>
        <v>Segmento do Produto</v>
      </c>
      <c r="V140" s="41" t="s">
        <v>184</v>
      </c>
      <c r="W140" s="60" t="str">
        <f t="shared" si="82"/>
        <v>Key.Fab.140</v>
      </c>
      <c r="X140" s="41" t="s">
        <v>9</v>
      </c>
      <c r="Y140" s="41" t="s">
        <v>9</v>
      </c>
      <c r="Z140" s="50" t="s">
        <v>457</v>
      </c>
      <c r="AA140" s="45" t="str">
        <f t="shared" si="83"/>
        <v>It is a product or element of the waste treatment segment</v>
      </c>
    </row>
    <row r="141" spans="1:27" ht="6.55" customHeight="1" x14ac:dyDescent="0.4">
      <c r="A141" s="51">
        <v>141</v>
      </c>
      <c r="B141" s="52" t="s">
        <v>75</v>
      </c>
      <c r="C141" s="56" t="s">
        <v>158</v>
      </c>
      <c r="D141" s="52" t="s">
        <v>316</v>
      </c>
      <c r="E141" s="52" t="s">
        <v>315</v>
      </c>
      <c r="F141" s="52" t="s">
        <v>151</v>
      </c>
      <c r="G141" s="28" t="s">
        <v>9</v>
      </c>
      <c r="H141" s="28" t="s">
        <v>9</v>
      </c>
      <c r="I141" s="28" t="s">
        <v>9</v>
      </c>
      <c r="J141" s="28" t="s">
        <v>9</v>
      </c>
      <c r="K141" s="28" t="s">
        <v>9</v>
      </c>
      <c r="L141" s="23" t="str">
        <f t="shared" si="74"/>
        <v>Fornecidos</v>
      </c>
      <c r="M141" s="23" t="str">
        <f t="shared" si="75"/>
        <v>Segmentos dos Produto</v>
      </c>
      <c r="N141" s="23" t="str">
        <f t="shared" si="76"/>
        <v>Segmento do Produto</v>
      </c>
      <c r="O141" s="23" t="str">
        <f t="shared" si="77"/>
        <v>Produto de Refrigeração</v>
      </c>
      <c r="P141" s="23" t="s">
        <v>207</v>
      </c>
      <c r="Q141" s="26" t="str">
        <f t="shared" si="78"/>
        <v>Es un producto o elemento del segmento de refrigeración</v>
      </c>
      <c r="R141" s="42" t="s">
        <v>9</v>
      </c>
      <c r="S141" s="43" t="str">
        <f t="shared" si="79"/>
        <v>Fornecidos</v>
      </c>
      <c r="T141" s="43" t="str">
        <f t="shared" si="80"/>
        <v>Segmentos dos Produto</v>
      </c>
      <c r="U141" s="43" t="str">
        <f t="shared" si="81"/>
        <v>Segmento do Produto</v>
      </c>
      <c r="V141" s="41" t="s">
        <v>184</v>
      </c>
      <c r="W141" s="60" t="str">
        <f t="shared" si="82"/>
        <v>Key.Fab.141</v>
      </c>
      <c r="X141" s="41" t="s">
        <v>9</v>
      </c>
      <c r="Y141" s="41" t="s">
        <v>9</v>
      </c>
      <c r="Z141" s="50" t="s">
        <v>458</v>
      </c>
      <c r="AA141" s="45" t="str">
        <f t="shared" si="83"/>
        <v>It is a product or element of the refrigeration segment</v>
      </c>
    </row>
    <row r="142" spans="1:27" ht="6.55" customHeight="1" x14ac:dyDescent="0.4">
      <c r="A142" s="51">
        <v>142</v>
      </c>
      <c r="B142" s="52" t="s">
        <v>75</v>
      </c>
      <c r="C142" s="56" t="s">
        <v>158</v>
      </c>
      <c r="D142" s="52" t="s">
        <v>316</v>
      </c>
      <c r="E142" s="52" t="s">
        <v>315</v>
      </c>
      <c r="F142" s="52" t="s">
        <v>152</v>
      </c>
      <c r="G142" s="28" t="s">
        <v>9</v>
      </c>
      <c r="H142" s="28" t="s">
        <v>9</v>
      </c>
      <c r="I142" s="28" t="s">
        <v>9</v>
      </c>
      <c r="J142" s="28" t="s">
        <v>9</v>
      </c>
      <c r="K142" s="28" t="s">
        <v>9</v>
      </c>
      <c r="L142" s="23" t="str">
        <f t="shared" si="74"/>
        <v>Fornecidos</v>
      </c>
      <c r="M142" s="23" t="str">
        <f t="shared" si="75"/>
        <v>Segmentos dos Produto</v>
      </c>
      <c r="N142" s="23" t="str">
        <f t="shared" si="76"/>
        <v>Segmento do Produto</v>
      </c>
      <c r="O142" s="23" t="str">
        <f t="shared" si="77"/>
        <v>Produto de Aquecimento</v>
      </c>
      <c r="P142" s="23" t="s">
        <v>208</v>
      </c>
      <c r="Q142" s="26" t="str">
        <f t="shared" si="78"/>
        <v>Es un producto o elemento del segmento de calentamiento</v>
      </c>
      <c r="R142" s="42" t="s">
        <v>9</v>
      </c>
      <c r="S142" s="43" t="str">
        <f t="shared" si="79"/>
        <v>Fornecidos</v>
      </c>
      <c r="T142" s="43" t="str">
        <f t="shared" si="80"/>
        <v>Segmentos dos Produto</v>
      </c>
      <c r="U142" s="43" t="str">
        <f t="shared" si="81"/>
        <v>Segmento do Produto</v>
      </c>
      <c r="V142" s="41" t="s">
        <v>184</v>
      </c>
      <c r="W142" s="60" t="str">
        <f t="shared" si="82"/>
        <v>Key.Fab.142</v>
      </c>
      <c r="X142" s="41" t="s">
        <v>9</v>
      </c>
      <c r="Y142" s="41" t="s">
        <v>9</v>
      </c>
      <c r="Z142" s="50" t="s">
        <v>459</v>
      </c>
      <c r="AA142" s="45" t="str">
        <f t="shared" si="83"/>
        <v>It is a product or element of the heating segment</v>
      </c>
    </row>
    <row r="143" spans="1:27" ht="6.55" customHeight="1" x14ac:dyDescent="0.4">
      <c r="A143" s="51">
        <v>143</v>
      </c>
      <c r="B143" s="52" t="s">
        <v>75</v>
      </c>
      <c r="C143" s="56" t="s">
        <v>158</v>
      </c>
      <c r="D143" s="52" t="s">
        <v>316</v>
      </c>
      <c r="E143" s="52" t="s">
        <v>315</v>
      </c>
      <c r="F143" s="52" t="s">
        <v>153</v>
      </c>
      <c r="G143" s="28" t="s">
        <v>9</v>
      </c>
      <c r="H143" s="28" t="s">
        <v>9</v>
      </c>
      <c r="I143" s="28" t="s">
        <v>9</v>
      </c>
      <c r="J143" s="28" t="s">
        <v>9</v>
      </c>
      <c r="K143" s="28" t="s">
        <v>9</v>
      </c>
      <c r="L143" s="23" t="str">
        <f t="shared" si="74"/>
        <v>Fornecidos</v>
      </c>
      <c r="M143" s="23" t="str">
        <f t="shared" si="75"/>
        <v>Segmentos dos Produto</v>
      </c>
      <c r="N143" s="23" t="str">
        <f t="shared" si="76"/>
        <v>Segmento do Produto</v>
      </c>
      <c r="O143" s="23" t="str">
        <f t="shared" si="77"/>
        <v>Produto de Gases</v>
      </c>
      <c r="P143" s="23" t="s">
        <v>209</v>
      </c>
      <c r="Q143" s="26" t="str">
        <f t="shared" si="78"/>
        <v>Es un producto o elemento del segmento de gas</v>
      </c>
      <c r="R143" s="42" t="s">
        <v>9</v>
      </c>
      <c r="S143" s="43" t="str">
        <f t="shared" si="79"/>
        <v>Fornecidos</v>
      </c>
      <c r="T143" s="43" t="str">
        <f t="shared" si="80"/>
        <v>Segmentos dos Produto</v>
      </c>
      <c r="U143" s="43" t="str">
        <f t="shared" si="81"/>
        <v>Segmento do Produto</v>
      </c>
      <c r="V143" s="41" t="s">
        <v>184</v>
      </c>
      <c r="W143" s="60" t="str">
        <f t="shared" si="82"/>
        <v>Key.Fab.143</v>
      </c>
      <c r="X143" s="41" t="s">
        <v>9</v>
      </c>
      <c r="Y143" s="41" t="s">
        <v>9</v>
      </c>
      <c r="Z143" s="50" t="s">
        <v>460</v>
      </c>
      <c r="AA143" s="45" t="str">
        <f t="shared" si="83"/>
        <v>It is a product or element of the gas segment</v>
      </c>
    </row>
    <row r="144" spans="1:27" ht="6.55" customHeight="1" x14ac:dyDescent="0.4">
      <c r="A144" s="51">
        <v>144</v>
      </c>
      <c r="B144" s="52" t="s">
        <v>75</v>
      </c>
      <c r="C144" s="56" t="s">
        <v>158</v>
      </c>
      <c r="D144" s="52" t="s">
        <v>316</v>
      </c>
      <c r="E144" s="52" t="s">
        <v>315</v>
      </c>
      <c r="F144" s="52" t="s">
        <v>154</v>
      </c>
      <c r="G144" s="28" t="s">
        <v>9</v>
      </c>
      <c r="H144" s="28" t="s">
        <v>9</v>
      </c>
      <c r="I144" s="28" t="s">
        <v>9</v>
      </c>
      <c r="J144" s="28" t="s">
        <v>9</v>
      </c>
      <c r="K144" s="28" t="s">
        <v>9</v>
      </c>
      <c r="L144" s="23" t="str">
        <f t="shared" si="74"/>
        <v>Fornecidos</v>
      </c>
      <c r="M144" s="23" t="str">
        <f t="shared" si="75"/>
        <v>Segmentos dos Produto</v>
      </c>
      <c r="N144" s="23" t="str">
        <f t="shared" si="76"/>
        <v>Segmento do Produto</v>
      </c>
      <c r="O144" s="23" t="str">
        <f t="shared" si="77"/>
        <v>Produto de Mobiliário</v>
      </c>
      <c r="P144" s="23" t="s">
        <v>210</v>
      </c>
      <c r="Q144" s="26" t="str">
        <f t="shared" si="78"/>
        <v>Es un producto o elemento del segmento del mobiliario</v>
      </c>
      <c r="R144" s="42" t="s">
        <v>9</v>
      </c>
      <c r="S144" s="43" t="str">
        <f t="shared" si="79"/>
        <v>Fornecidos</v>
      </c>
      <c r="T144" s="43" t="str">
        <f t="shared" si="80"/>
        <v>Segmentos dos Produto</v>
      </c>
      <c r="U144" s="43" t="str">
        <f t="shared" si="81"/>
        <v>Segmento do Produto</v>
      </c>
      <c r="V144" s="41" t="s">
        <v>184</v>
      </c>
      <c r="W144" s="60" t="str">
        <f t="shared" si="82"/>
        <v>Key.Fab.144</v>
      </c>
      <c r="X144" s="41" t="s">
        <v>9</v>
      </c>
      <c r="Y144" s="41" t="s">
        <v>9</v>
      </c>
      <c r="Z144" s="50" t="s">
        <v>461</v>
      </c>
      <c r="AA144" s="45" t="str">
        <f t="shared" si="83"/>
        <v>It is a product or element of the furniture segment</v>
      </c>
    </row>
    <row r="145" spans="1:27" ht="6.55" customHeight="1" x14ac:dyDescent="0.4">
      <c r="A145" s="51">
        <v>145</v>
      </c>
      <c r="B145" s="52" t="s">
        <v>75</v>
      </c>
      <c r="C145" s="56" t="s">
        <v>158</v>
      </c>
      <c r="D145" s="52" t="s">
        <v>316</v>
      </c>
      <c r="E145" s="52" t="s">
        <v>315</v>
      </c>
      <c r="F145" s="52" t="s">
        <v>155</v>
      </c>
      <c r="G145" s="28" t="s">
        <v>9</v>
      </c>
      <c r="H145" s="28" t="s">
        <v>9</v>
      </c>
      <c r="I145" s="28" t="s">
        <v>9</v>
      </c>
      <c r="J145" s="28" t="s">
        <v>9</v>
      </c>
      <c r="K145" s="28" t="s">
        <v>9</v>
      </c>
      <c r="L145" s="23" t="str">
        <f t="shared" si="74"/>
        <v>Fornecidos</v>
      </c>
      <c r="M145" s="23" t="str">
        <f t="shared" si="75"/>
        <v>Segmentos dos Produto</v>
      </c>
      <c r="N145" s="23" t="str">
        <f t="shared" si="76"/>
        <v>Segmento do Produto</v>
      </c>
      <c r="O145" s="23" t="str">
        <f t="shared" si="77"/>
        <v>Produto de Automação</v>
      </c>
      <c r="P145" s="23" t="s">
        <v>211</v>
      </c>
      <c r="Q145" s="26" t="str">
        <f t="shared" si="78"/>
        <v>Es un producto o elemento del segmento de automatización</v>
      </c>
      <c r="R145" s="42" t="s">
        <v>9</v>
      </c>
      <c r="S145" s="43" t="str">
        <f t="shared" si="79"/>
        <v>Fornecidos</v>
      </c>
      <c r="T145" s="43" t="str">
        <f t="shared" si="80"/>
        <v>Segmentos dos Produto</v>
      </c>
      <c r="U145" s="43" t="str">
        <f t="shared" si="81"/>
        <v>Segmento do Produto</v>
      </c>
      <c r="V145" s="41" t="s">
        <v>184</v>
      </c>
      <c r="W145" s="60" t="str">
        <f t="shared" si="82"/>
        <v>Key.Fab.145</v>
      </c>
      <c r="X145" s="41" t="s">
        <v>9</v>
      </c>
      <c r="Y145" s="41" t="s">
        <v>9</v>
      </c>
      <c r="Z145" s="50" t="s">
        <v>462</v>
      </c>
      <c r="AA145" s="45" t="str">
        <f t="shared" si="83"/>
        <v>It is a product or element of the automation segment</v>
      </c>
    </row>
    <row r="146" spans="1:27" ht="6.55" customHeight="1" x14ac:dyDescent="0.4">
      <c r="A146" s="51">
        <v>146</v>
      </c>
      <c r="B146" s="52" t="s">
        <v>75</v>
      </c>
      <c r="C146" s="56" t="s">
        <v>158</v>
      </c>
      <c r="D146" s="52" t="s">
        <v>316</v>
      </c>
      <c r="E146" s="52" t="s">
        <v>315</v>
      </c>
      <c r="F146" s="52" t="s">
        <v>164</v>
      </c>
      <c r="G146" s="28" t="s">
        <v>9</v>
      </c>
      <c r="H146" s="28" t="s">
        <v>9</v>
      </c>
      <c r="I146" s="28" t="s">
        <v>9</v>
      </c>
      <c r="J146" s="28" t="s">
        <v>9</v>
      </c>
      <c r="K146" s="28" t="s">
        <v>9</v>
      </c>
      <c r="L146" s="23" t="str">
        <f t="shared" si="74"/>
        <v>Fornecidos</v>
      </c>
      <c r="M146" s="23" t="str">
        <f t="shared" si="75"/>
        <v>Segmentos dos Produto</v>
      </c>
      <c r="N146" s="23" t="str">
        <f t="shared" si="76"/>
        <v>Segmento do Produto</v>
      </c>
      <c r="O146" s="23" t="str">
        <f t="shared" si="77"/>
        <v>Produto de Proteção de Descargas</v>
      </c>
      <c r="P146" s="23" t="s">
        <v>212</v>
      </c>
      <c r="Q146" s="26" t="str">
        <f t="shared" si="78"/>
        <v>Es un producto o elemento del segmento de protección contra rayos</v>
      </c>
      <c r="R146" s="42" t="s">
        <v>9</v>
      </c>
      <c r="S146" s="43" t="str">
        <f t="shared" si="79"/>
        <v>Fornecidos</v>
      </c>
      <c r="T146" s="43" t="str">
        <f t="shared" si="80"/>
        <v>Segmentos dos Produto</v>
      </c>
      <c r="U146" s="43" t="str">
        <f t="shared" si="81"/>
        <v>Segmento do Produto</v>
      </c>
      <c r="V146" s="41" t="s">
        <v>184</v>
      </c>
      <c r="W146" s="60" t="str">
        <f t="shared" si="82"/>
        <v>Key.Fab.146</v>
      </c>
      <c r="X146" s="41" t="s">
        <v>9</v>
      </c>
      <c r="Y146" s="41" t="s">
        <v>9</v>
      </c>
      <c r="Z146" s="50" t="s">
        <v>463</v>
      </c>
      <c r="AA146" s="45" t="str">
        <f t="shared" si="83"/>
        <v>It is a product or element of the lightning protection segment</v>
      </c>
    </row>
    <row r="147" spans="1:27" ht="6.55" customHeight="1" x14ac:dyDescent="0.4">
      <c r="A147" s="51">
        <v>147</v>
      </c>
      <c r="B147" s="52" t="s">
        <v>75</v>
      </c>
      <c r="C147" s="56" t="s">
        <v>158</v>
      </c>
      <c r="D147" s="52" t="s">
        <v>316</v>
      </c>
      <c r="E147" s="52" t="s">
        <v>315</v>
      </c>
      <c r="F147" s="52" t="s">
        <v>156</v>
      </c>
      <c r="G147" s="28" t="s">
        <v>9</v>
      </c>
      <c r="H147" s="28" t="s">
        <v>9</v>
      </c>
      <c r="I147" s="28" t="s">
        <v>9</v>
      </c>
      <c r="J147" s="28" t="s">
        <v>9</v>
      </c>
      <c r="K147" s="28" t="s">
        <v>9</v>
      </c>
      <c r="L147" s="23" t="str">
        <f t="shared" si="74"/>
        <v>Fornecidos</v>
      </c>
      <c r="M147" s="23" t="str">
        <f t="shared" si="75"/>
        <v>Segmentos dos Produto</v>
      </c>
      <c r="N147" s="23" t="str">
        <f t="shared" si="76"/>
        <v>Segmento do Produto</v>
      </c>
      <c r="O147" s="23" t="str">
        <f t="shared" si="77"/>
        <v>Produto de Proteção de Incêndio</v>
      </c>
      <c r="P147" s="23" t="s">
        <v>213</v>
      </c>
      <c r="Q147" s="26" t="str">
        <f t="shared" si="78"/>
        <v>Es un producto o elemento del segmento de protección contra incendios</v>
      </c>
      <c r="R147" s="42" t="s">
        <v>9</v>
      </c>
      <c r="S147" s="43" t="str">
        <f t="shared" si="79"/>
        <v>Fornecidos</v>
      </c>
      <c r="T147" s="43" t="str">
        <f t="shared" si="80"/>
        <v>Segmentos dos Produto</v>
      </c>
      <c r="U147" s="43" t="str">
        <f t="shared" si="81"/>
        <v>Segmento do Produto</v>
      </c>
      <c r="V147" s="41" t="s">
        <v>184</v>
      </c>
      <c r="W147" s="60" t="str">
        <f t="shared" si="82"/>
        <v>Key.Fab.147</v>
      </c>
      <c r="X147" s="41" t="s">
        <v>9</v>
      </c>
      <c r="Y147" s="41" t="s">
        <v>9</v>
      </c>
      <c r="Z147" s="50" t="s">
        <v>464</v>
      </c>
      <c r="AA147" s="45" t="str">
        <f t="shared" si="83"/>
        <v>It is a product or element of the fire protection segment</v>
      </c>
    </row>
    <row r="148" spans="1:27" ht="6.55" customHeight="1" x14ac:dyDescent="0.4">
      <c r="A148" s="51">
        <v>148</v>
      </c>
      <c r="B148" s="52" t="s">
        <v>75</v>
      </c>
      <c r="C148" s="56" t="s">
        <v>158</v>
      </c>
      <c r="D148" s="52" t="s">
        <v>316</v>
      </c>
      <c r="E148" s="52" t="s">
        <v>315</v>
      </c>
      <c r="F148" s="52" t="s">
        <v>157</v>
      </c>
      <c r="G148" s="28" t="s">
        <v>9</v>
      </c>
      <c r="H148" s="28" t="s">
        <v>9</v>
      </c>
      <c r="I148" s="28" t="s">
        <v>9</v>
      </c>
      <c r="J148" s="28" t="s">
        <v>9</v>
      </c>
      <c r="K148" s="28" t="s">
        <v>9</v>
      </c>
      <c r="L148" s="23" t="str">
        <f t="shared" si="74"/>
        <v>Fornecidos</v>
      </c>
      <c r="M148" s="23" t="str">
        <f t="shared" si="75"/>
        <v>Segmentos dos Produto</v>
      </c>
      <c r="N148" s="23" t="str">
        <f t="shared" si="76"/>
        <v>Segmento do Produto</v>
      </c>
      <c r="O148" s="23" t="str">
        <f t="shared" si="77"/>
        <v>Produto de Segurança Patrimonial</v>
      </c>
      <c r="P148" s="23" t="s">
        <v>214</v>
      </c>
      <c r="Q148" s="26" t="str">
        <f t="shared" si="78"/>
        <v>Es un producto o elemento del segmento de seguridad de propiedades</v>
      </c>
      <c r="R148" s="42" t="s">
        <v>9</v>
      </c>
      <c r="S148" s="43" t="str">
        <f t="shared" si="79"/>
        <v>Fornecidos</v>
      </c>
      <c r="T148" s="43" t="str">
        <f t="shared" si="80"/>
        <v>Segmentos dos Produto</v>
      </c>
      <c r="U148" s="43" t="str">
        <f t="shared" si="81"/>
        <v>Segmento do Produto</v>
      </c>
      <c r="V148" s="41" t="s">
        <v>184</v>
      </c>
      <c r="W148" s="60" t="str">
        <f t="shared" si="82"/>
        <v>Key.Fab.148</v>
      </c>
      <c r="X148" s="41" t="s">
        <v>9</v>
      </c>
      <c r="Y148" s="41" t="s">
        <v>9</v>
      </c>
      <c r="Z148" s="50" t="s">
        <v>465</v>
      </c>
      <c r="AA148" s="45" t="str">
        <f t="shared" si="83"/>
        <v>It is a product or element of the property security segment</v>
      </c>
    </row>
  </sheetData>
  <sortState xmlns:xlrd2="http://schemas.microsoft.com/office/spreadsheetml/2017/richdata2" ref="A3:AA119">
    <sortCondition ref="F1:F119"/>
  </sortState>
  <phoneticPr fontId="9" type="noConversion"/>
  <conditionalFormatting sqref="F1:F119 F149:F1048576">
    <cfRule type="duplicateValues" dxfId="15" priority="6"/>
  </conditionalFormatting>
  <conditionalFormatting sqref="F2">
    <cfRule type="duplicateValues" dxfId="14" priority="11"/>
  </conditionalFormatting>
  <conditionalFormatting sqref="F3">
    <cfRule type="duplicateValues" dxfId="13" priority="16"/>
    <cfRule type="duplicateValues" dxfId="12" priority="17"/>
  </conditionalFormatting>
  <conditionalFormatting sqref="F4:F106">
    <cfRule type="duplicateValues" dxfId="11" priority="524"/>
  </conditionalFormatting>
  <conditionalFormatting sqref="F111:F119">
    <cfRule type="duplicateValues" dxfId="10" priority="528"/>
  </conditionalFormatting>
  <conditionalFormatting sqref="F120:F144">
    <cfRule type="duplicateValues" dxfId="9" priority="5"/>
  </conditionalFormatting>
  <conditionalFormatting sqref="F120:F148">
    <cfRule type="duplicateValues" dxfId="8" priority="1"/>
  </conditionalFormatting>
  <conditionalFormatting sqref="F145:F148">
    <cfRule type="duplicateValues" dxfId="7" priority="3"/>
  </conditionalFormatting>
  <conditionalFormatting sqref="F149:F1048576 F107:F110 F1">
    <cfRule type="duplicateValues" dxfId="6" priority="21"/>
  </conditionalFormatting>
  <conditionalFormatting sqref="G1:O1">
    <cfRule type="cellIs" dxfId="5" priority="72" operator="equal">
      <formula>"null"</formula>
    </cfRule>
  </conditionalFormatting>
  <conditionalFormatting sqref="AA1:AA2">
    <cfRule type="cellIs" dxfId="4" priority="10" operator="equal">
      <formula>"null"</formula>
    </cfRule>
  </conditionalFormatting>
  <conditionalFormatting sqref="AA4:AA148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07421875" style="13" customWidth="1"/>
    <col min="3" max="3" width="7.460937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29"/>
  <sheetViews>
    <sheetView zoomScale="325" zoomScaleNormal="325" workbookViewId="0">
      <pane ySplit="1" topLeftCell="A2" activePane="bottomLeft" state="frozen"/>
      <selection pane="bottomLeft" activeCell="C26" sqref="C26"/>
    </sheetView>
  </sheetViews>
  <sheetFormatPr defaultColWidth="9.15234375" defaultRowHeight="6" customHeight="1" x14ac:dyDescent="0.4"/>
  <cols>
    <col min="1" max="1" width="2.53515625" style="55" customWidth="1"/>
    <col min="2" max="2" width="9" style="55" customWidth="1"/>
    <col min="3" max="3" width="6.61328125" style="55" customWidth="1"/>
    <col min="4" max="4" width="7.23046875" style="55" customWidth="1"/>
    <col min="5" max="5" width="8.07421875" style="55" customWidth="1"/>
    <col min="6" max="6" width="2.3828125" style="65" bestFit="1" customWidth="1"/>
    <col min="7" max="7" width="2.84375" style="65" bestFit="1" customWidth="1"/>
    <col min="8" max="8" width="3.15234375" style="65" customWidth="1"/>
    <col min="9" max="9" width="2.84375" style="65" bestFit="1" customWidth="1"/>
    <col min="10" max="10" width="4.61328125" style="63" customWidth="1"/>
    <col min="11" max="11" width="29.84375" style="63" customWidth="1"/>
    <col min="12" max="12" width="3.765625" style="63" customWidth="1"/>
    <col min="13" max="13" width="21.23046875" style="64" customWidth="1"/>
    <col min="14" max="14" width="6.074218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252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308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251</v>
      </c>
      <c r="C3" s="57" t="s">
        <v>94</v>
      </c>
      <c r="D3" s="36" t="s">
        <v>79</v>
      </c>
      <c r="E3" s="37" t="s">
        <v>252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309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256</v>
      </c>
      <c r="C4" s="57" t="s">
        <v>356</v>
      </c>
      <c r="D4" s="36" t="s">
        <v>79</v>
      </c>
      <c r="E4" s="37" t="s">
        <v>251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293</v>
      </c>
      <c r="L4" s="33" t="s">
        <v>222</v>
      </c>
      <c r="M4" s="62" t="s">
        <v>257</v>
      </c>
      <c r="N4" s="33" t="s">
        <v>234</v>
      </c>
      <c r="O4" s="18" t="s">
        <v>267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258</v>
      </c>
      <c r="C5" s="57" t="s">
        <v>356</v>
      </c>
      <c r="D5" s="36" t="s">
        <v>79</v>
      </c>
      <c r="E5" s="37" t="s">
        <v>251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294</v>
      </c>
      <c r="L5" s="33" t="s">
        <v>222</v>
      </c>
      <c r="M5" s="62" t="s">
        <v>259</v>
      </c>
      <c r="N5" s="33" t="s">
        <v>234</v>
      </c>
      <c r="O5" s="18" t="s">
        <v>260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66" t="s">
        <v>261</v>
      </c>
      <c r="C6" s="57" t="s">
        <v>333</v>
      </c>
      <c r="D6" s="36" t="s">
        <v>79</v>
      </c>
      <c r="E6" s="37" t="s">
        <v>251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307</v>
      </c>
      <c r="L6" s="33" t="s">
        <v>222</v>
      </c>
      <c r="M6" s="62" t="s">
        <v>265</v>
      </c>
      <c r="N6" s="33" t="s">
        <v>253</v>
      </c>
      <c r="O6" s="18" t="s">
        <v>266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66" t="s">
        <v>306</v>
      </c>
      <c r="C7" s="57" t="s">
        <v>333</v>
      </c>
      <c r="D7" s="36" t="s">
        <v>79</v>
      </c>
      <c r="E7" s="37" t="s">
        <v>251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307</v>
      </c>
      <c r="L7" s="33" t="s">
        <v>222</v>
      </c>
      <c r="M7" s="62" t="s">
        <v>263</v>
      </c>
      <c r="N7" s="33" t="s">
        <v>253</v>
      </c>
      <c r="O7" s="18" t="s">
        <v>273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66" t="s">
        <v>262</v>
      </c>
      <c r="C8" s="57" t="s">
        <v>333</v>
      </c>
      <c r="D8" s="36" t="s">
        <v>79</v>
      </c>
      <c r="E8" s="37" t="s">
        <v>251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307</v>
      </c>
      <c r="L8" s="33" t="s">
        <v>222</v>
      </c>
      <c r="M8" s="62" t="s">
        <v>264</v>
      </c>
      <c r="N8" s="33" t="s">
        <v>253</v>
      </c>
      <c r="O8" s="18" t="s">
        <v>274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66" t="s">
        <v>402</v>
      </c>
      <c r="C9" s="57" t="s">
        <v>327</v>
      </c>
      <c r="D9" s="36" t="s">
        <v>79</v>
      </c>
      <c r="E9" s="37" t="s">
        <v>251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404</v>
      </c>
      <c r="L9" s="33" t="s">
        <v>222</v>
      </c>
      <c r="M9" s="62" t="s">
        <v>405</v>
      </c>
      <c r="N9" s="33" t="s">
        <v>253</v>
      </c>
      <c r="O9" s="18" t="s">
        <v>407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66" t="s">
        <v>409</v>
      </c>
      <c r="C10" s="57" t="s">
        <v>327</v>
      </c>
      <c r="D10" s="36" t="s">
        <v>79</v>
      </c>
      <c r="E10" s="37" t="s">
        <v>251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404</v>
      </c>
      <c r="L10" s="33" t="s">
        <v>222</v>
      </c>
      <c r="M10" s="62" t="s">
        <v>408</v>
      </c>
      <c r="N10" s="33" t="s">
        <v>253</v>
      </c>
      <c r="O10" s="18" t="s">
        <v>407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66" t="s">
        <v>403</v>
      </c>
      <c r="C11" s="57" t="s">
        <v>327</v>
      </c>
      <c r="D11" s="36" t="s">
        <v>79</v>
      </c>
      <c r="E11" s="37" t="s">
        <v>251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404</v>
      </c>
      <c r="L11" s="33" t="s">
        <v>222</v>
      </c>
      <c r="M11" s="62" t="s">
        <v>406</v>
      </c>
      <c r="N11" s="33" t="s">
        <v>253</v>
      </c>
      <c r="O11" s="18" t="s">
        <v>407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278</v>
      </c>
      <c r="C12" s="57" t="s">
        <v>374</v>
      </c>
      <c r="D12" s="36" t="s">
        <v>79</v>
      </c>
      <c r="E12" s="37" t="s">
        <v>251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299</v>
      </c>
      <c r="L12" s="33" t="s">
        <v>222</v>
      </c>
      <c r="M12" s="61" t="s">
        <v>279</v>
      </c>
      <c r="N12" s="33" t="s">
        <v>234</v>
      </c>
      <c r="O12" s="18" t="s">
        <v>280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275</v>
      </c>
      <c r="C13" s="57" t="s">
        <v>386</v>
      </c>
      <c r="D13" s="36" t="s">
        <v>79</v>
      </c>
      <c r="E13" s="37" t="s">
        <v>251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300</v>
      </c>
      <c r="L13" s="33" t="s">
        <v>222</v>
      </c>
      <c r="M13" s="61" t="s">
        <v>276</v>
      </c>
      <c r="N13" s="33" t="s">
        <v>234</v>
      </c>
      <c r="O13" s="18" t="s">
        <v>277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17" t="s">
        <v>223</v>
      </c>
      <c r="C14" s="57" t="s">
        <v>350</v>
      </c>
      <c r="D14" s="36" t="s">
        <v>79</v>
      </c>
      <c r="E14" s="37" t="s">
        <v>251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295</v>
      </c>
      <c r="L14" s="33" t="s">
        <v>222</v>
      </c>
      <c r="M14" s="62" t="s">
        <v>238</v>
      </c>
      <c r="N14" s="33" t="s">
        <v>234</v>
      </c>
      <c r="O14" s="18" t="s">
        <v>285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4">
      <c r="A15" s="16">
        <v>15</v>
      </c>
      <c r="B15" s="17" t="s">
        <v>289</v>
      </c>
      <c r="C15" s="57" t="s">
        <v>350</v>
      </c>
      <c r="D15" s="36" t="s">
        <v>79</v>
      </c>
      <c r="E15" s="37" t="s">
        <v>251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296</v>
      </c>
      <c r="L15" s="33" t="s">
        <v>222</v>
      </c>
      <c r="M15" s="62" t="s">
        <v>290</v>
      </c>
      <c r="N15" s="33" t="s">
        <v>234</v>
      </c>
      <c r="O15" s="18" t="s">
        <v>291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4">
      <c r="A16" s="16">
        <v>16</v>
      </c>
      <c r="B16" s="17" t="s">
        <v>283</v>
      </c>
      <c r="C16" s="57" t="s">
        <v>350</v>
      </c>
      <c r="D16" s="36" t="s">
        <v>79</v>
      </c>
      <c r="E16" s="37" t="s">
        <v>251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297</v>
      </c>
      <c r="L16" s="33" t="s">
        <v>222</v>
      </c>
      <c r="M16" s="62" t="s">
        <v>282</v>
      </c>
      <c r="N16" s="33" t="s">
        <v>234</v>
      </c>
      <c r="O16" s="18" t="s">
        <v>284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286</v>
      </c>
      <c r="C17" s="57" t="s">
        <v>350</v>
      </c>
      <c r="D17" s="36" t="s">
        <v>79</v>
      </c>
      <c r="E17" s="37" t="s">
        <v>251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298</v>
      </c>
      <c r="L17" s="33" t="s">
        <v>222</v>
      </c>
      <c r="M17" s="62" t="s">
        <v>287</v>
      </c>
      <c r="N17" s="33" t="s">
        <v>234</v>
      </c>
      <c r="O17" s="18" t="s">
        <v>288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245</v>
      </c>
      <c r="C18" s="57" t="s">
        <v>350</v>
      </c>
      <c r="D18" s="36" t="s">
        <v>79</v>
      </c>
      <c r="E18" s="37" t="s">
        <v>251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305</v>
      </c>
      <c r="L18" s="33" t="s">
        <v>222</v>
      </c>
      <c r="M18" s="61" t="s">
        <v>248</v>
      </c>
      <c r="N18" s="33" t="s">
        <v>234</v>
      </c>
      <c r="O18" s="18" t="s">
        <v>292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255</v>
      </c>
      <c r="C19" s="57" t="s">
        <v>350</v>
      </c>
      <c r="D19" s="36" t="s">
        <v>79</v>
      </c>
      <c r="E19" s="37" t="s">
        <v>251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305</v>
      </c>
      <c r="L19" s="33" t="s">
        <v>222</v>
      </c>
      <c r="M19" s="61" t="s">
        <v>254</v>
      </c>
      <c r="N19" s="33" t="s">
        <v>234</v>
      </c>
      <c r="O19" s="18" t="s">
        <v>292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219</v>
      </c>
      <c r="C20" s="57" t="s">
        <v>350</v>
      </c>
      <c r="D20" s="36" t="s">
        <v>79</v>
      </c>
      <c r="E20" s="37" t="s">
        <v>251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301</v>
      </c>
      <c r="L20" s="33" t="s">
        <v>222</v>
      </c>
      <c r="M20" s="62" t="s">
        <v>239</v>
      </c>
      <c r="N20" s="33" t="s">
        <v>234</v>
      </c>
      <c r="O20" s="18" t="s">
        <v>268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220</v>
      </c>
      <c r="C21" s="57" t="s">
        <v>392</v>
      </c>
      <c r="D21" s="36" t="s">
        <v>79</v>
      </c>
      <c r="E21" s="37" t="s">
        <v>251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302</v>
      </c>
      <c r="L21" s="33" t="s">
        <v>222</v>
      </c>
      <c r="M21" s="62" t="s">
        <v>240</v>
      </c>
      <c r="N21" s="33" t="s">
        <v>234</v>
      </c>
      <c r="O21" s="18" t="s">
        <v>269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235</v>
      </c>
      <c r="C22" s="57" t="s">
        <v>362</v>
      </c>
      <c r="D22" s="36" t="s">
        <v>79</v>
      </c>
      <c r="E22" s="37" t="s">
        <v>251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303</v>
      </c>
      <c r="L22" s="33" t="s">
        <v>222</v>
      </c>
      <c r="M22" s="61" t="s">
        <v>249</v>
      </c>
      <c r="N22" s="33" t="s">
        <v>234</v>
      </c>
      <c r="O22" s="18" t="s">
        <v>270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236</v>
      </c>
      <c r="C23" s="57" t="s">
        <v>362</v>
      </c>
      <c r="D23" s="36" t="s">
        <v>79</v>
      </c>
      <c r="E23" s="37" t="s">
        <v>251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304</v>
      </c>
      <c r="L23" s="33" t="s">
        <v>222</v>
      </c>
      <c r="M23" s="61" t="s">
        <v>237</v>
      </c>
      <c r="N23" s="33" t="s">
        <v>234</v>
      </c>
      <c r="O23" s="18" t="s">
        <v>271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4">
      <c r="A24" s="16">
        <v>24</v>
      </c>
      <c r="B24" s="17" t="s">
        <v>246</v>
      </c>
      <c r="C24" s="57" t="s">
        <v>477</v>
      </c>
      <c r="D24" s="36" t="s">
        <v>79</v>
      </c>
      <c r="E24" s="37" t="s">
        <v>251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250</v>
      </c>
      <c r="L24" s="33" t="s">
        <v>222</v>
      </c>
      <c r="M24" s="61" t="s">
        <v>247</v>
      </c>
      <c r="N24" s="33" t="s">
        <v>253</v>
      </c>
      <c r="O24" s="18" t="s">
        <v>272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4">
      <c r="A25" s="16">
        <v>25</v>
      </c>
      <c r="B25" s="17" t="s">
        <v>241</v>
      </c>
      <c r="C25" s="57" t="s">
        <v>94</v>
      </c>
      <c r="D25" s="36" t="s">
        <v>79</v>
      </c>
      <c r="E25" s="37" t="s">
        <v>252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310</v>
      </c>
      <c r="L25" s="33" t="s">
        <v>9</v>
      </c>
      <c r="M25" s="18" t="s">
        <v>9</v>
      </c>
      <c r="N25" s="33" t="s">
        <v>9</v>
      </c>
      <c r="O25" s="18" t="s">
        <v>9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4">
      <c r="A26" s="16">
        <v>26</v>
      </c>
      <c r="B26" s="17" t="s">
        <v>242</v>
      </c>
      <c r="C26" s="57" t="s">
        <v>94</v>
      </c>
      <c r="D26" s="36" t="s">
        <v>79</v>
      </c>
      <c r="E26" s="37" t="s">
        <v>252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311</v>
      </c>
      <c r="L26" s="33" t="s">
        <v>9</v>
      </c>
      <c r="M26" s="18" t="s">
        <v>9</v>
      </c>
      <c r="N26" s="33" t="s">
        <v>9</v>
      </c>
      <c r="O26" s="18" t="s">
        <v>9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  <row r="27" spans="1:31" ht="6" customHeight="1" x14ac:dyDescent="0.4">
      <c r="A27" s="16">
        <v>27</v>
      </c>
      <c r="B27" s="17" t="s">
        <v>243</v>
      </c>
      <c r="C27" s="57" t="s">
        <v>94</v>
      </c>
      <c r="D27" s="36" t="s">
        <v>79</v>
      </c>
      <c r="E27" s="37" t="s">
        <v>252</v>
      </c>
      <c r="F27" s="67" t="s">
        <v>9</v>
      </c>
      <c r="G27" s="68" t="s">
        <v>9</v>
      </c>
      <c r="H27" s="67" t="s">
        <v>9</v>
      </c>
      <c r="I27" s="68" t="s">
        <v>9</v>
      </c>
      <c r="J27" s="33" t="s">
        <v>16</v>
      </c>
      <c r="K27" s="18" t="s">
        <v>312</v>
      </c>
      <c r="L27" s="33" t="s">
        <v>9</v>
      </c>
      <c r="M27" s="18" t="s">
        <v>9</v>
      </c>
      <c r="N27" s="33" t="s">
        <v>9</v>
      </c>
      <c r="O27" s="18" t="s">
        <v>9</v>
      </c>
      <c r="P27" s="33" t="s">
        <v>9</v>
      </c>
      <c r="Q27" s="35" t="s">
        <v>9</v>
      </c>
      <c r="R27" s="33" t="s">
        <v>9</v>
      </c>
      <c r="S27" s="35" t="s">
        <v>9</v>
      </c>
      <c r="T27" s="33" t="s">
        <v>9</v>
      </c>
      <c r="U27" s="35" t="s">
        <v>9</v>
      </c>
      <c r="V27" s="33" t="s">
        <v>9</v>
      </c>
      <c r="W27" s="35" t="s">
        <v>9</v>
      </c>
      <c r="X27" s="33" t="s">
        <v>9</v>
      </c>
      <c r="Y27" s="35" t="s">
        <v>9</v>
      </c>
      <c r="Z27" s="33" t="s">
        <v>9</v>
      </c>
      <c r="AA27" s="18" t="s">
        <v>9</v>
      </c>
      <c r="AB27" s="33" t="s">
        <v>9</v>
      </c>
      <c r="AC27" s="18" t="s">
        <v>9</v>
      </c>
      <c r="AD27" s="33" t="s">
        <v>9</v>
      </c>
      <c r="AE27" s="18" t="s">
        <v>9</v>
      </c>
    </row>
    <row r="28" spans="1:31" ht="6" customHeight="1" x14ac:dyDescent="0.4">
      <c r="A28" s="16">
        <v>28</v>
      </c>
      <c r="B28" s="17" t="s">
        <v>244</v>
      </c>
      <c r="C28" s="57" t="s">
        <v>94</v>
      </c>
      <c r="D28" s="36" t="s">
        <v>79</v>
      </c>
      <c r="E28" s="37" t="s">
        <v>252</v>
      </c>
      <c r="F28" s="67" t="s">
        <v>9</v>
      </c>
      <c r="G28" s="68" t="s">
        <v>9</v>
      </c>
      <c r="H28" s="67" t="s">
        <v>9</v>
      </c>
      <c r="I28" s="68" t="s">
        <v>9</v>
      </c>
      <c r="J28" s="33" t="s">
        <v>16</v>
      </c>
      <c r="K28" s="18" t="s">
        <v>313</v>
      </c>
      <c r="L28" s="33" t="s">
        <v>9</v>
      </c>
      <c r="M28" s="18" t="s">
        <v>9</v>
      </c>
      <c r="N28" s="33" t="s">
        <v>9</v>
      </c>
      <c r="O28" s="18" t="s">
        <v>9</v>
      </c>
      <c r="P28" s="33" t="s">
        <v>9</v>
      </c>
      <c r="Q28" s="35" t="s">
        <v>9</v>
      </c>
      <c r="R28" s="33" t="s">
        <v>9</v>
      </c>
      <c r="S28" s="35" t="s">
        <v>9</v>
      </c>
      <c r="T28" s="33" t="s">
        <v>9</v>
      </c>
      <c r="U28" s="35" t="s">
        <v>9</v>
      </c>
      <c r="V28" s="33" t="s">
        <v>9</v>
      </c>
      <c r="W28" s="35" t="s">
        <v>9</v>
      </c>
      <c r="X28" s="33" t="s">
        <v>9</v>
      </c>
      <c r="Y28" s="35" t="s">
        <v>9</v>
      </c>
      <c r="Z28" s="33" t="s">
        <v>9</v>
      </c>
      <c r="AA28" s="18" t="s">
        <v>9</v>
      </c>
      <c r="AB28" s="33" t="s">
        <v>9</v>
      </c>
      <c r="AC28" s="18" t="s">
        <v>9</v>
      </c>
      <c r="AD28" s="33" t="s">
        <v>9</v>
      </c>
      <c r="AE28" s="18" t="s">
        <v>9</v>
      </c>
    </row>
    <row r="29" spans="1:31" ht="6" customHeight="1" x14ac:dyDescent="0.4">
      <c r="A29" s="16">
        <v>29</v>
      </c>
      <c r="B29" s="17" t="s">
        <v>281</v>
      </c>
      <c r="C29" s="57" t="s">
        <v>94</v>
      </c>
      <c r="D29" s="36" t="s">
        <v>79</v>
      </c>
      <c r="E29" s="37" t="s">
        <v>252</v>
      </c>
      <c r="F29" s="67" t="s">
        <v>9</v>
      </c>
      <c r="G29" s="68" t="s">
        <v>9</v>
      </c>
      <c r="H29" s="67" t="s">
        <v>9</v>
      </c>
      <c r="I29" s="68" t="s">
        <v>9</v>
      </c>
      <c r="J29" s="33" t="s">
        <v>16</v>
      </c>
      <c r="K29" s="18" t="s">
        <v>314</v>
      </c>
      <c r="L29" s="33" t="s">
        <v>9</v>
      </c>
      <c r="M29" s="18" t="s">
        <v>9</v>
      </c>
      <c r="N29" s="33" t="s">
        <v>9</v>
      </c>
      <c r="O29" s="18" t="s">
        <v>9</v>
      </c>
      <c r="P29" s="33" t="s">
        <v>9</v>
      </c>
      <c r="Q29" s="35" t="s">
        <v>9</v>
      </c>
      <c r="R29" s="33" t="s">
        <v>9</v>
      </c>
      <c r="S29" s="35" t="s">
        <v>9</v>
      </c>
      <c r="T29" s="33" t="s">
        <v>9</v>
      </c>
      <c r="U29" s="35" t="s">
        <v>9</v>
      </c>
      <c r="V29" s="33" t="s">
        <v>9</v>
      </c>
      <c r="W29" s="35" t="s">
        <v>9</v>
      </c>
      <c r="X29" s="33" t="s">
        <v>9</v>
      </c>
      <c r="Y29" s="35" t="s">
        <v>9</v>
      </c>
      <c r="Z29" s="33" t="s">
        <v>9</v>
      </c>
      <c r="AA29" s="18" t="s">
        <v>9</v>
      </c>
      <c r="AB29" s="33" t="s">
        <v>9</v>
      </c>
      <c r="AC29" s="18" t="s">
        <v>9</v>
      </c>
      <c r="AD29" s="33" t="s">
        <v>9</v>
      </c>
      <c r="AE29" s="18" t="s">
        <v>9</v>
      </c>
    </row>
  </sheetData>
  <phoneticPr fontId="9" type="noConversion"/>
  <conditionalFormatting sqref="B1:B1048576">
    <cfRule type="duplicateValues" dxfId="2" priority="162"/>
  </conditionalFormatting>
  <conditionalFormatting sqref="B12:B29 B1:B5">
    <cfRule type="duplicateValues" dxfId="1" priority="513"/>
    <cfRule type="duplicateValues" dxfId="0" priority="514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2025-12-23T16:39:15Z</dcterms:modified>
</cp:coreProperties>
</file>