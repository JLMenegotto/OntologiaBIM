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SUS\"/>
    </mc:Choice>
  </mc:AlternateContent>
  <xr:revisionPtr revIDLastSave="0" documentId="13_ncr:1_{D4E3B8CD-94FA-491E-9A2B-FD1741527234}" xr6:coauthVersionLast="47" xr6:coauthVersionMax="47" xr10:uidLastSave="{00000000-0000-0000-0000-000000000000}"/>
  <bookViews>
    <workbookView xWindow="-120" yWindow="-120" windowWidth="24240" windowHeight="13290" activeTab="1" xr2:uid="{6AA21774-678E-47D1-B8DD-6444A2CEB00E}"/>
  </bookViews>
  <sheets>
    <sheet name="Projeto" sheetId="30" r:id="rId1"/>
    <sheet name="Classes" sheetId="24" r:id="rId2"/>
    <sheet name="Disjunt" sheetId="3" r:id="rId3"/>
    <sheet name="Interop" sheetId="26" r:id="rId4"/>
    <sheet name="FatosIn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24" l="1"/>
  <c r="V27" i="24"/>
  <c r="U27" i="24"/>
  <c r="T27" i="24"/>
  <c r="O27" i="24"/>
  <c r="N27" i="24"/>
  <c r="M27" i="24"/>
  <c r="L27" i="24"/>
  <c r="X26" i="24"/>
  <c r="V26" i="24"/>
  <c r="U26" i="24"/>
  <c r="T26" i="24"/>
  <c r="O26" i="24"/>
  <c r="N26" i="24"/>
  <c r="M26" i="24"/>
  <c r="L26" i="24"/>
  <c r="X25" i="24"/>
  <c r="V25" i="24"/>
  <c r="U25" i="24"/>
  <c r="T25" i="24"/>
  <c r="O25" i="24"/>
  <c r="N25" i="24"/>
  <c r="M25" i="24"/>
  <c r="L25" i="24"/>
  <c r="X24" i="24"/>
  <c r="V24" i="24"/>
  <c r="U24" i="24"/>
  <c r="T24" i="24"/>
  <c r="O24" i="24"/>
  <c r="N24" i="24"/>
  <c r="M24" i="24"/>
  <c r="L24" i="24"/>
  <c r="X23" i="24"/>
  <c r="V23" i="24"/>
  <c r="U23" i="24"/>
  <c r="T23" i="24"/>
  <c r="O23" i="24"/>
  <c r="N23" i="24"/>
  <c r="M23" i="24"/>
  <c r="L23" i="24"/>
  <c r="L10" i="29" l="1"/>
  <c r="L9" i="29"/>
  <c r="L8" i="29"/>
  <c r="L7" i="29"/>
  <c r="L6" i="29"/>
  <c r="X2" i="24" l="1"/>
  <c r="V2" i="24"/>
  <c r="U2" i="24"/>
  <c r="T2" i="24"/>
  <c r="O2" i="24"/>
  <c r="N2" i="24"/>
  <c r="M2" i="24"/>
  <c r="L2" i="24"/>
  <c r="X22" i="24" l="1"/>
  <c r="V22" i="24"/>
  <c r="U22" i="24"/>
  <c r="T22" i="24"/>
  <c r="O22" i="24"/>
  <c r="N22" i="24"/>
  <c r="M22" i="24"/>
  <c r="L22" i="24"/>
  <c r="X21" i="24"/>
  <c r="V21" i="24"/>
  <c r="U21" i="24"/>
  <c r="T21" i="24"/>
  <c r="O21" i="24"/>
  <c r="N21" i="24"/>
  <c r="M21" i="24"/>
  <c r="L21" i="24"/>
  <c r="X20" i="24"/>
  <c r="V20" i="24"/>
  <c r="U20" i="24"/>
  <c r="T20" i="24"/>
  <c r="O20" i="24"/>
  <c r="N20" i="24"/>
  <c r="M20" i="24"/>
  <c r="L20" i="24"/>
  <c r="X19" i="24"/>
  <c r="V19" i="24"/>
  <c r="U19" i="24"/>
  <c r="T19" i="24"/>
  <c r="O19" i="24"/>
  <c r="N19" i="24"/>
  <c r="M19" i="24"/>
  <c r="L19" i="24"/>
  <c r="X18" i="24"/>
  <c r="V18" i="24"/>
  <c r="U18" i="24"/>
  <c r="T18" i="24"/>
  <c r="O18" i="24"/>
  <c r="N18" i="24"/>
  <c r="M18" i="24"/>
  <c r="L18" i="24"/>
  <c r="X17" i="24"/>
  <c r="V17" i="24"/>
  <c r="U17" i="24"/>
  <c r="T17" i="24"/>
  <c r="O17" i="24"/>
  <c r="N17" i="24"/>
  <c r="M17" i="24"/>
  <c r="L17" i="24"/>
  <c r="X16" i="24"/>
  <c r="V16" i="24"/>
  <c r="U16" i="24"/>
  <c r="T16" i="24"/>
  <c r="O16" i="24"/>
  <c r="N16" i="24"/>
  <c r="M16" i="24"/>
  <c r="L16" i="24"/>
  <c r="X15" i="24"/>
  <c r="V15" i="24"/>
  <c r="U15" i="24"/>
  <c r="T15" i="24"/>
  <c r="O15" i="24"/>
  <c r="N15" i="24"/>
  <c r="M15" i="24"/>
  <c r="L15" i="24"/>
  <c r="X14" i="24"/>
  <c r="V14" i="24"/>
  <c r="U14" i="24"/>
  <c r="T14" i="24"/>
  <c r="O14" i="24"/>
  <c r="N14" i="24"/>
  <c r="M14" i="24"/>
  <c r="L14" i="24"/>
  <c r="X13" i="24"/>
  <c r="V13" i="24"/>
  <c r="U13" i="24"/>
  <c r="T13" i="24"/>
  <c r="O13" i="24"/>
  <c r="N13" i="24"/>
  <c r="M13" i="24"/>
  <c r="L13" i="24"/>
  <c r="X12" i="24"/>
  <c r="V12" i="24"/>
  <c r="U12" i="24"/>
  <c r="T12" i="24"/>
  <c r="O12" i="24"/>
  <c r="N12" i="24"/>
  <c r="M12" i="24"/>
  <c r="L12" i="24"/>
  <c r="X11" i="24"/>
  <c r="V11" i="24"/>
  <c r="U11" i="24"/>
  <c r="T11" i="24"/>
  <c r="O11" i="24"/>
  <c r="N11" i="24"/>
  <c r="M11" i="24"/>
  <c r="L11" i="24"/>
  <c r="X10" i="24"/>
  <c r="V10" i="24"/>
  <c r="U10" i="24"/>
  <c r="T10" i="24"/>
  <c r="O10" i="24"/>
  <c r="N10" i="24"/>
  <c r="M10" i="24"/>
  <c r="L10" i="24"/>
  <c r="X9" i="24"/>
  <c r="V9" i="24"/>
  <c r="U9" i="24"/>
  <c r="T9" i="24"/>
  <c r="O9" i="24"/>
  <c r="N9" i="24"/>
  <c r="M9" i="24"/>
  <c r="L9" i="24"/>
  <c r="X8" i="24"/>
  <c r="V8" i="24"/>
  <c r="U8" i="24"/>
  <c r="T8" i="24"/>
  <c r="O8" i="24"/>
  <c r="N8" i="24"/>
  <c r="M8" i="24"/>
  <c r="L8" i="24"/>
  <c r="X7" i="24"/>
  <c r="V7" i="24"/>
  <c r="U7" i="24"/>
  <c r="T7" i="24"/>
  <c r="O7" i="24"/>
  <c r="N7" i="24"/>
  <c r="M7" i="24"/>
  <c r="L7" i="24"/>
  <c r="X6" i="24"/>
  <c r="V6" i="24"/>
  <c r="U6" i="24"/>
  <c r="T6" i="24"/>
  <c r="O6" i="24"/>
  <c r="N6" i="24"/>
  <c r="M6" i="24"/>
  <c r="L6" i="24"/>
  <c r="X5" i="24"/>
  <c r="V5" i="24"/>
  <c r="U5" i="24"/>
  <c r="T5" i="24"/>
  <c r="O5" i="24"/>
  <c r="N5" i="24"/>
  <c r="M5" i="24"/>
  <c r="L5" i="24"/>
  <c r="X4" i="24"/>
  <c r="V4" i="24"/>
  <c r="U4" i="24"/>
  <c r="T4" i="24"/>
  <c r="O4" i="24"/>
  <c r="N4" i="24"/>
  <c r="M4" i="24"/>
  <c r="L4" i="24"/>
  <c r="X3" i="24"/>
  <c r="V3" i="24"/>
  <c r="U3" i="24"/>
  <c r="T3" i="24"/>
  <c r="O3" i="24"/>
  <c r="N3" i="24"/>
  <c r="M3" i="24"/>
  <c r="L3" i="24"/>
  <c r="B18" i="30" l="1"/>
  <c r="B6" i="30"/>
  <c r="B5" i="30"/>
  <c r="B26" i="30"/>
  <c r="B22" i="30"/>
  <c r="B23" i="30"/>
</calcChain>
</file>

<file path=xl/sharedStrings.xml><?xml version="1.0" encoding="utf-8"?>
<sst xmlns="http://schemas.openxmlformats.org/spreadsheetml/2006/main" count="978" uniqueCount="312">
  <si>
    <t>Key</t>
  </si>
  <si>
    <t>null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</si>
  <si>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</si>
  <si>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</si>
  <si>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</si>
  <si>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</si>
  <si>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</si>
  <si>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</si>
  <si>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</si>
  <si>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</si>
  <si>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</si>
  <si>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</si>
  <si>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</si>
  <si>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</si>
  <si>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>SomaSUS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</si>
  <si>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</si>
  <si>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</si>
  <si>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</si>
  <si>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</si>
  <si>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</si>
  <si>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</si>
  <si>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</si>
  <si>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</si>
  <si>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</si>
  <si>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N°</t>
  </si>
  <si>
    <t>BIM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</si>
  <si>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</si>
  <si>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</si>
  <si>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</si>
  <si>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</si>
  <si>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</si>
  <si>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</si>
  <si>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</si>
  <si>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</si>
  <si>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</si>
  <si>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</si>
  <si>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</si>
  <si>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</si>
  <si>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</si>
  <si>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</si>
  <si>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</si>
  <si>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</si>
  <si>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</si>
  <si>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</si>
  <si>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</si>
  <si>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</si>
  <si>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0</t>
  </si>
  <si>
    <t>Chave</t>
  </si>
  <si>
    <t>Valor</t>
  </si>
  <si>
    <t>OntologiaPrefixo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</si>
  <si>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</si>
  <si>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</si>
  <si>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</si>
  <si>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</si>
  <si>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</si>
  <si>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</si>
  <si>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</si>
  <si>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</si>
  <si>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</si>
  <si>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</si>
  <si>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</si>
  <si>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</si>
  <si>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</si>
  <si>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</si>
  <si>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</si>
  <si>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</si>
  <si>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</si>
  <si>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</si>
  <si>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Caderno SomaSUS elaborado pelo Sistema Único de Saúde</t>
  </si>
  <si>
    <t>DataHora</t>
  </si>
  <si>
    <t>Prédio</t>
  </si>
  <si>
    <t>Cidade</t>
  </si>
  <si>
    <t>Explicação</t>
  </si>
  <si>
    <t>Explicación</t>
  </si>
  <si>
    <t xml:space="preserve">Formalizar el Cuaderno SomaSUS elaborado por el Sistema Único de Salud de Brasil. </t>
  </si>
  <si>
    <t>Indivíduo</t>
  </si>
  <si>
    <t>Fato</t>
  </si>
  <si>
    <t>SomaSUS_Volumes</t>
  </si>
  <si>
    <t>VOL.01</t>
  </si>
  <si>
    <t>VOL.02</t>
  </si>
  <si>
    <t>VOL.03</t>
  </si>
  <si>
    <t>VOL.04</t>
  </si>
  <si>
    <t>Volumes do Caderno SUS</t>
  </si>
  <si>
    <t>tema</t>
  </si>
  <si>
    <t>descrição</t>
  </si>
  <si>
    <t>Interop</t>
  </si>
  <si>
    <t>SUS.Area</t>
  </si>
  <si>
    <t>SUS.Unidade.Funcional</t>
  </si>
  <si>
    <t>SUS.Setor</t>
  </si>
  <si>
    <t>SUS.Zoneamento</t>
  </si>
  <si>
    <t>SUS.Equipamento</t>
  </si>
  <si>
    <t>SUS.Dispositivo</t>
  </si>
  <si>
    <t>SUS.Mobília</t>
  </si>
  <si>
    <t>Classe</t>
  </si>
  <si>
    <t>Equivalente a</t>
  </si>
  <si>
    <t>SUS.Volume</t>
  </si>
  <si>
    <t>bim:</t>
  </si>
  <si>
    <t>CategoriaRvt</t>
  </si>
  <si>
    <t>ABNT</t>
  </si>
  <si>
    <t>Volumes do Caderno SomaSUS. Sistema Único de Saúde do Brasil.</t>
  </si>
  <si>
    <t>Volúmenes del Cuaderno SomaSUS. Sistema Único de Salud de Brasil.</t>
  </si>
  <si>
    <t>Se refere a um ambiente não totalmente enclausurado.</t>
  </si>
  <si>
    <t>Se refiere a un entorno que no está totalmente enclaustrado.</t>
  </si>
  <si>
    <t>SUS.Box</t>
  </si>
  <si>
    <t>Se refere a um ambiente fechado e pequeno, normalmente para atender pacientes.</t>
  </si>
  <si>
    <t>Se refiere a un entorno cerrado y pequeño, generalmente para atender a los pacientes.</t>
  </si>
  <si>
    <t>SUS.Consultório</t>
  </si>
  <si>
    <t>Se refere a um ambiente de tipo consultório médico.</t>
  </si>
  <si>
    <t>Se refiere a un entorno tipo consultorio médico.</t>
  </si>
  <si>
    <t>SUS.Enfermaria</t>
  </si>
  <si>
    <t>Se refere a um ambiente equipado para cumprir funcões de enfermaria.</t>
  </si>
  <si>
    <t>SUS.Laboratório</t>
  </si>
  <si>
    <t>Se refere a um ambiente equipado para cumprir funcões laboratoriais.</t>
  </si>
  <si>
    <t>Se refiere a un entorno equipado para realizar funciones de laboratorio.</t>
  </si>
  <si>
    <t>SUS.Piscina</t>
  </si>
  <si>
    <t>Se refere a um ambiente fechado ou aberto para piscinas de tratamento médico.</t>
  </si>
  <si>
    <t>Se refiere a un entorno cerrado o abierto para piscinas de tratamiento médico.</t>
  </si>
  <si>
    <t>SUS.Posto</t>
  </si>
  <si>
    <t>SUS.Quarto</t>
  </si>
  <si>
    <t>Se refere a um quarto de internação.</t>
  </si>
  <si>
    <t>Se refiere a una sala de hospitalización.</t>
  </si>
  <si>
    <t>SUS.Sala</t>
  </si>
  <si>
    <t>Se refere a uma sala para funcionar como atendimento administrativo ou técnico.</t>
  </si>
  <si>
    <t>Se refiere a una sala para funcionar como servicio administrativo o técnico.</t>
  </si>
  <si>
    <t>Dispositivos médicos usados nos hospitais do Sistema Único de Saúde do Brasil.</t>
  </si>
  <si>
    <t>Mobiliários médicos usados nos hospitais do Sistema Único de Saúde do Brasil.</t>
  </si>
  <si>
    <t>Mobiliario médico utilizado en hospitales del Sistema Único de Salud de Brasil.</t>
  </si>
  <si>
    <t>SUS.Caderno</t>
  </si>
  <si>
    <t>SUS.Ocupação</t>
  </si>
  <si>
    <t>SUS.Ambientes</t>
  </si>
  <si>
    <t>SUS.Funcional</t>
  </si>
  <si>
    <t>SUS.Equipamentos</t>
  </si>
  <si>
    <t>SUS.Assistência.Médica</t>
  </si>
  <si>
    <t>Se refiere a un entorno equipado para cumplir funciones de enfermería.</t>
  </si>
  <si>
    <t>Se refere a um posto de enfermagem associado a uma enfermaria.</t>
  </si>
  <si>
    <t>Se refiere a un puesto de enfermería asociado a una enfermería.</t>
  </si>
  <si>
    <t>Se refere a um zoneamento definido.</t>
  </si>
  <si>
    <t>Se refiere a una zonificación definida.</t>
  </si>
  <si>
    <t xml:space="preserve">São as Unidades funcionais do Sistema Único de Saúde do Brasil. </t>
  </si>
  <si>
    <t>Son las Unidades funcionales del Sistema Único de Salud Brasileño.</t>
  </si>
  <si>
    <t>São os Setores do Sistema Único de Saúde do Brasil.</t>
  </si>
  <si>
    <t>Son los Sectores del Sistema Único de Salud de Brasil.</t>
  </si>
  <si>
    <t>SUS.Instrumento</t>
  </si>
  <si>
    <t>Instrumento médico usados nos hospitais do Sistema Único de Saúde do Brasil.</t>
  </si>
  <si>
    <t>SUS.Mobília.de.Saúde</t>
  </si>
  <si>
    <t>Ropa de cama usada em hospitais do Sistema Único de Saúde do Brasil.</t>
  </si>
  <si>
    <t>Ropa de cama usada en hospitales del Sistema Único de Salud de Brasil.</t>
  </si>
  <si>
    <t>SUS.Alimentação</t>
  </si>
  <si>
    <t>Elementos para alimentação usados em hospitais do Sistema Único de Saúde do Brasil.</t>
  </si>
  <si>
    <t>Elementos para alimentación usados en hospitales del Sistema Único de Salud de Brasil.</t>
  </si>
  <si>
    <t>SUS.Robot</t>
  </si>
  <si>
    <t>Equipamentos médicos robóticos usados nos hospitais do Sistema Único de Saúde do Brasil.</t>
  </si>
  <si>
    <t>Equipo médico robótico utilizado en hospitales del Sistema Único de Salud de Brasil.</t>
  </si>
  <si>
    <t>Equipamentos médicos convencionais usados nos hospitais do Sistema Único de Saúde do Brasil.</t>
  </si>
  <si>
    <t>Equipo médico convencional utilizado en hospitales del Sistema Único de Salud de Brasil.</t>
  </si>
  <si>
    <t>Dispositivo médico utilizados en hospitales del Sistema Único de Salud de Brasil.</t>
  </si>
  <si>
    <t>Instrumento médico utilizados en hospitales del Sistema Único de Salud de Brasil.</t>
  </si>
  <si>
    <t>SUS.Hotelaria</t>
  </si>
  <si>
    <t>SUS.Roupa</t>
  </si>
  <si>
    <t>000 Translate Classe 5</t>
  </si>
  <si>
    <t>Prof. José Luis Menegotto DEG/POLI/UFRJ</t>
  </si>
  <si>
    <t>Explanation</t>
  </si>
  <si>
    <t>Formalizar Caderno SomaSUS elaborado pelo Sistema Único de Saúde do Brasil.</t>
  </si>
  <si>
    <t>Idioma</t>
  </si>
  <si>
    <t>pt</t>
  </si>
  <si>
    <t>es</t>
  </si>
  <si>
    <t>en</t>
  </si>
  <si>
    <t>Caderno SomaSUS elaborado pelo Sistema Único de Saúde do Brasil</t>
  </si>
  <si>
    <t>Aviso</t>
  </si>
  <si>
    <t>Advertência</t>
  </si>
  <si>
    <t>Alert</t>
  </si>
  <si>
    <t>[ 5I.10.54.12.16 ]</t>
  </si>
  <si>
    <t>[ 4A.43.04 ]</t>
  </si>
  <si>
    <t>[ 4U.74 ]</t>
  </si>
  <si>
    <t>[ IfcMedicalDevice ]</t>
  </si>
  <si>
    <t>[ 2C.74 ]</t>
  </si>
  <si>
    <t>[ OST_Furniture ]</t>
  </si>
  <si>
    <t>[ IfcFurniture ]</t>
  </si>
  <si>
    <t>"[ 5I.10.28 ]"</t>
  </si>
  <si>
    <t>código.abnt</t>
  </si>
  <si>
    <t>"Caderno do SomaSUS"</t>
  </si>
  <si>
    <t>"Volume 1 - Atendimento Ambulatorial e Atendimento Imediato"</t>
  </si>
  <si>
    <t>"Volume 4 - Apoio ao Diagnóstico e à Terapia (Anatomia Patológica, Patologia Clínica, Hemoterapia e Hematologia, Medicina Nuclear)"</t>
  </si>
  <si>
    <t>"Volume 3 - Apoio ao Diagnóstico e à Terapia (Imagenologia)"</t>
  </si>
  <si>
    <t>"Volume 2 - Internação e Apoio ao Diagnóstico e à Terapia (Reabilitação)"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</si>
  <si>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</si>
  <si>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</si>
  <si>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</si>
  <si>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</si>
  <si>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</si>
  <si>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</si>
  <si>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</si>
  <si>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</si>
  <si>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</si>
  <si>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</si>
  <si>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</si>
  <si>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</si>
  <si>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</si>
  <si>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https://somasus.saude.gov.br/sistema/home</t>
  </si>
  <si>
    <t>Conceitos</t>
  </si>
  <si>
    <t>SUS.Informação</t>
  </si>
  <si>
    <t>[ OST_Areas : OST_Rooms : OST_MEPSpaces : OST_MEPZone ]</t>
  </si>
  <si>
    <t>[ IfcZone : IfcSpace ]</t>
  </si>
  <si>
    <t>[ OST_MedicalEquipment : OST_NurseCallDevices ]</t>
  </si>
  <si>
    <t>[ OST_Sheets : OST_TitleBlocks : OST_Revisions : OST_RevisionNumberingSequences ]</t>
  </si>
  <si>
    <t>[ IfcAnnotation ]</t>
  </si>
  <si>
    <t>Volumes of the SomaSUS Notebook. Unified Health System of Brazil.</t>
  </si>
  <si>
    <t>It refers to an environment that is not totally cloistered.</t>
  </si>
  <si>
    <t>It refers to a closed and small environment, usually to serve patients.</t>
  </si>
  <si>
    <t>It refers to a doctor's office-type environment.</t>
  </si>
  <si>
    <t>It refers to an environment equipped to fulfill ward functions.</t>
  </si>
  <si>
    <t>It refers to an environment equipped to perform laboratory functions.</t>
  </si>
  <si>
    <t>It refers to a closed or open environment for medical treatment pools.</t>
  </si>
  <si>
    <t>It refers to a nursing station associated with an infirmary.</t>
  </si>
  <si>
    <t>It refers to a hospitalization room.</t>
  </si>
  <si>
    <t>It refers to a room to function as administrative or technical service.</t>
  </si>
  <si>
    <t>It refers to a defined zoning.</t>
  </si>
  <si>
    <t>They are the functional units of the Unified Health System of Brazil.</t>
  </si>
  <si>
    <t>They are the Sectors of the Unified Health System of Brazil.</t>
  </si>
  <si>
    <t>Robotic medical equipment used in hospitals of the Unified Health System of Brazil.</t>
  </si>
  <si>
    <t>Conventional medical equipment used in hospitals of the Brazilian Unified Health System.</t>
  </si>
  <si>
    <t>Medical devices used in hospitals of the Brazilian Unified Health System.</t>
  </si>
  <si>
    <t>Medical instrument used in hospitals of the Unified Health System of Brazil.</t>
  </si>
  <si>
    <t>Medical furniture used in hospitals of the Unified Health System of Brazil.</t>
  </si>
  <si>
    <t>Bed robe used in hospitals of the Unified Health System of Brazil.</t>
  </si>
  <si>
    <t>Elements for feeding used in hospitals of the Unified Health System of Brazil.</t>
  </si>
  <si>
    <t>Atributo IFC</t>
  </si>
  <si>
    <t>Classe IFC</t>
  </si>
  <si>
    <t>Parâmetro RVT</t>
  </si>
  <si>
    <t>Hospitalar Público</t>
  </si>
  <si>
    <t>API_Ambiente</t>
  </si>
  <si>
    <t>"API"</t>
  </si>
  <si>
    <t>subtema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</si>
  <si>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</si>
  <si>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</si>
  <si>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</si>
  <si>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</si>
  <si>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</si>
  <si>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</si>
  <si>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</si>
  <si>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</si>
  <si>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</si>
  <si>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</si>
  <si>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</si>
  <si>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</si>
  <si>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</si>
  <si>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</si>
  <si>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</si>
  <si>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</si>
  <si>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</si>
  <si>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</si>
  <si>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</si>
  <si>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"Volumes"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</si>
  <si>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</si>
  <si>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</si>
  <si>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</si>
  <si>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</si>
  <si>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</si>
  <si>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</si>
  <si>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</si>
  <si>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</si>
  <si>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</si>
  <si>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</si>
  <si>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</si>
  <si>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</si>
  <si>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</si>
  <si>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</si>
  <si>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</si>
  <si>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</si>
  <si>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</si>
  <si>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</si>
  <si>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</si>
  <si>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</si>
  <si>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</si>
  <si>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</si>
  <si>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</si>
  <si>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</si>
  <si>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</si>
  <si>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</si>
  <si>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</si>
  <si>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Fonte.Brasil.01</t>
  </si>
  <si>
    <t>Fonte.Brasil.02</t>
  </si>
  <si>
    <t>Fonte.Brasil.03</t>
  </si>
  <si>
    <t>Fonte.Brasil.04</t>
  </si>
  <si>
    <t>Fonte.Vegetação.01</t>
  </si>
  <si>
    <t>Fonte.Vegetação.02</t>
  </si>
  <si>
    <t>Fonte.Vegetação.03</t>
  </si>
  <si>
    <t>Fonte.Vegetação.04</t>
  </si>
  <si>
    <t>Fonte.Vegetação.05</t>
  </si>
  <si>
    <t>Fonte.Vegetação.06</t>
  </si>
  <si>
    <t>Fonte.Vegetação.07</t>
  </si>
  <si>
    <t>Fonte.Vegetação.08</t>
  </si>
  <si>
    <t>Fonte.SINAPI</t>
  </si>
  <si>
    <t>Fonte.Brasil.Saúde.01</t>
  </si>
  <si>
    <t>Fonte.Brasil.Saúde.02</t>
  </si>
  <si>
    <t>https://anvisalegis.datalegis.net</t>
  </si>
  <si>
    <t>Fonte.Brasil.Saúde.03</t>
  </si>
  <si>
    <t>RDC 611/2022. Radiologia diagnóstica. Blindagem, proteção radiológica.</t>
  </si>
  <si>
    <t>Fonte.Brasil.Saúde.04</t>
  </si>
  <si>
    <t>RDC 222/2018. Gerenciamento de resíduos. Plano de gerenciamento obrigatório.</t>
  </si>
  <si>
    <t>Fonte.NBR.01</t>
  </si>
  <si>
    <t>NBR 9050. Acessibilidade. Todos os ambientes de uso público.</t>
  </si>
  <si>
    <t>Fonte.NBR.02</t>
  </si>
  <si>
    <t>NBR 7256. Climatização em EAS. Obrigatória para CC, CTI, CME, hemodinâmica.</t>
  </si>
  <si>
    <t>Fonte.NBR.03</t>
  </si>
  <si>
    <t>NBR 15575. Desempenho de edificações. Conforto térmico, acústico, lumínico.</t>
  </si>
  <si>
    <t>Fonte.NBR.04</t>
  </si>
  <si>
    <t>NBR 13534. Instalações elétricas em EAS. Circuitos, aterramento, emergência.</t>
  </si>
  <si>
    <t>Fonte.NBR.05</t>
  </si>
  <si>
    <t>NBR 12188. Gases medicinais. Centrais, redes, pontos de uso.</t>
  </si>
  <si>
    <t>Fonte.Bombeiros.01</t>
  </si>
  <si>
    <t>IT Bombeiros (estadual). Segurança contra incêndio. Varia por estado — consultar VISA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</si>
</sst>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 Nova Cond Light"/>
      <family val="2"/>
    </font>
    <font>
      <b/>
      <sz val="6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</fonts>
  <fills count="3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theme="0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5" tint="0.39997558519241921"/>
        <bgColor rgb="FFF6C6AD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EF2CB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4">
    <xf numFmtId="0" fontId="0" fillId="0" borderId="0" xfId="0"/>
    <xf numFmtId="0" fontId="4" fillId="0" borderId="0" xfId="0" applyFont="1"/>
    <xf numFmtId="0" fontId="6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Fill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22" fontId="6" fillId="0" borderId="1" xfId="1" applyNumberFormat="1" applyFont="1" applyBorder="1" applyAlignment="1">
      <alignment horizontal="left" vertical="center"/>
    </xf>
    <xf numFmtId="0" fontId="6" fillId="18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6" fillId="21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14" fillId="0" borderId="0" xfId="0" applyFont="1"/>
    <xf numFmtId="0" fontId="9" fillId="10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horizontal="left" vertical="center"/>
    </xf>
    <xf numFmtId="0" fontId="6" fillId="28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29" borderId="1" xfId="0" applyFont="1" applyFill="1" applyBorder="1" applyAlignment="1">
      <alignment horizontal="left" vertical="center"/>
    </xf>
    <xf numFmtId="0" fontId="6" fillId="30" borderId="1" xfId="0" applyFont="1" applyFill="1" applyBorder="1" applyAlignment="1">
      <alignment vertical="center"/>
    </xf>
    <xf numFmtId="0" fontId="2" fillId="31" borderId="1" xfId="0" applyFont="1" applyFill="1" applyBorder="1" applyAlignment="1">
      <alignment horizontal="left" vertical="center"/>
    </xf>
    <xf numFmtId="0" fontId="5" fillId="31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31" borderId="1" xfId="0" applyFont="1" applyFill="1" applyBorder="1" applyAlignment="1">
      <alignment horizontal="left" vertical="center" wrapText="1"/>
    </xf>
    <xf numFmtId="0" fontId="6" fillId="32" borderId="3" xfId="0" applyFont="1" applyFill="1" applyBorder="1" applyAlignment="1">
      <alignment horizontal="left" vertical="center"/>
    </xf>
    <xf numFmtId="0" fontId="5" fillId="31" borderId="1" xfId="0" applyFont="1" applyFill="1" applyBorder="1" applyAlignment="1">
      <alignment vertical="center"/>
    </xf>
    <xf numFmtId="0" fontId="5" fillId="31" borderId="3" xfId="0" applyFont="1" applyFill="1" applyBorder="1" applyAlignment="1">
      <alignment vertical="center" wrapText="1"/>
    </xf>
    <xf numFmtId="0" fontId="5" fillId="31" borderId="1" xfId="0" applyFont="1" applyFill="1" applyBorder="1" applyAlignment="1">
      <alignment vertical="center" wrapText="1"/>
    </xf>
    <xf numFmtId="0" fontId="6" fillId="32" borderId="1" xfId="0" applyFont="1" applyFill="1" applyBorder="1" applyAlignment="1">
      <alignment vertical="center"/>
    </xf>
    <xf numFmtId="0" fontId="10" fillId="5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/>
    </xf>
    <xf numFmtId="0" fontId="6" fillId="20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1" applyFont="1" applyBorder="1" applyAlignment="1">
      <alignment vertical="center"/>
    </xf>
    <xf numFmtId="0" fontId="5" fillId="20" borderId="1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35"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3FB0-44DC-47E8-B3E0-611685D282EA}">
  <sheetPr codeName="Planilha1"/>
  <dimension ref="A1:C49"/>
  <sheetViews>
    <sheetView zoomScale="220" zoomScaleNormal="220" workbookViewId="0">
      <pane ySplit="1" topLeftCell="A2" activePane="bottomLeft" state="frozen"/>
      <selection pane="bottomLeft" activeCell="A28" sqref="A28"/>
    </sheetView>
  </sheetViews>
  <sheetFormatPr defaultRowHeight="10.35" customHeight="1" x14ac:dyDescent="0.25"/>
  <cols>
    <col min="1" max="1" width="12.42578125" bestFit="1" customWidth="1"/>
    <col min="2" max="2" width="48.85546875" bestFit="1" customWidth="1"/>
    <col min="3" max="3" width="3.42578125" bestFit="1" customWidth="1"/>
  </cols>
  <sheetData>
    <row r="1" spans="1:3" ht="21.6" customHeight="1" x14ac:dyDescent="0.25">
      <c r="A1" s="13" t="s">
        <v>47</v>
      </c>
      <c r="B1" s="13" t="s">
        <v>48</v>
      </c>
      <c r="C1" s="32" t="s">
        <v>163</v>
      </c>
    </row>
    <row r="2" spans="1:3" ht="7.9" customHeight="1" x14ac:dyDescent="0.25">
      <c r="A2" s="14" t="s">
        <v>49</v>
      </c>
      <c r="B2" s="14" t="s">
        <v>96</v>
      </c>
      <c r="C2" s="33" t="s">
        <v>164</v>
      </c>
    </row>
    <row r="3" spans="1:3" ht="7.9" customHeight="1" x14ac:dyDescent="0.25">
      <c r="A3" s="14" t="s">
        <v>50</v>
      </c>
      <c r="B3" s="15" t="s">
        <v>77</v>
      </c>
      <c r="C3" s="33" t="s">
        <v>164</v>
      </c>
    </row>
    <row r="4" spans="1:3" ht="7.9" customHeight="1" x14ac:dyDescent="0.25">
      <c r="A4" s="14" t="s">
        <v>51</v>
      </c>
      <c r="B4" s="14" t="s">
        <v>25</v>
      </c>
      <c r="C4" s="33" t="s">
        <v>164</v>
      </c>
    </row>
    <row r="5" spans="1:3" ht="7.9" customHeight="1" x14ac:dyDescent="0.25">
      <c r="A5" s="14" t="s">
        <v>52</v>
      </c>
      <c r="B5" s="14" t="str">
        <f>_xlfn.CONCAT(B4,"Prop")</f>
        <v>BIMProp</v>
      </c>
      <c r="C5" s="33" t="s">
        <v>164</v>
      </c>
    </row>
    <row r="6" spans="1:3" ht="7.9" customHeight="1" x14ac:dyDescent="0.25">
      <c r="A6" s="14" t="s">
        <v>53</v>
      </c>
      <c r="B6" s="14" t="str">
        <f>_xlfn.CONCAT(B4,"Data")</f>
        <v>BIMData</v>
      </c>
      <c r="C6" s="33" t="s">
        <v>164</v>
      </c>
    </row>
    <row r="7" spans="1:3" ht="7.9" customHeight="1" x14ac:dyDescent="0.25">
      <c r="A7" s="14" t="s">
        <v>54</v>
      </c>
      <c r="B7" s="14" t="s">
        <v>55</v>
      </c>
      <c r="C7" s="33" t="s">
        <v>164</v>
      </c>
    </row>
    <row r="8" spans="1:3" ht="7.9" customHeight="1" x14ac:dyDescent="0.25">
      <c r="A8" s="14" t="s">
        <v>56</v>
      </c>
      <c r="B8" s="14" t="s">
        <v>160</v>
      </c>
      <c r="C8" s="33" t="s">
        <v>164</v>
      </c>
    </row>
    <row r="9" spans="1:3" ht="7.9" customHeight="1" x14ac:dyDescent="0.25">
      <c r="A9" s="14" t="s">
        <v>57</v>
      </c>
      <c r="B9" s="14" t="s">
        <v>58</v>
      </c>
      <c r="C9" s="33" t="s">
        <v>164</v>
      </c>
    </row>
    <row r="10" spans="1:3" ht="7.9" customHeight="1" x14ac:dyDescent="0.25">
      <c r="A10" s="14" t="s">
        <v>59</v>
      </c>
      <c r="B10" s="14" t="s">
        <v>60</v>
      </c>
      <c r="C10" s="33" t="s">
        <v>164</v>
      </c>
    </row>
    <row r="11" spans="1:3" ht="7.9" customHeight="1" x14ac:dyDescent="0.25">
      <c r="A11" s="14" t="s">
        <v>61</v>
      </c>
      <c r="B11" s="14" t="s">
        <v>60</v>
      </c>
      <c r="C11" s="33" t="s">
        <v>164</v>
      </c>
    </row>
    <row r="12" spans="1:3" ht="7.9" customHeight="1" x14ac:dyDescent="0.25">
      <c r="A12" s="14" t="s">
        <v>62</v>
      </c>
      <c r="B12" s="14" t="s">
        <v>60</v>
      </c>
      <c r="C12" s="33" t="s">
        <v>164</v>
      </c>
    </row>
    <row r="13" spans="1:3" ht="7.9" customHeight="1" x14ac:dyDescent="0.25">
      <c r="A13" s="14" t="s">
        <v>63</v>
      </c>
      <c r="B13" s="16" t="s">
        <v>82</v>
      </c>
      <c r="C13" s="33" t="s">
        <v>164</v>
      </c>
    </row>
    <row r="14" spans="1:3" ht="7.9" customHeight="1" x14ac:dyDescent="0.25">
      <c r="A14" s="14" t="s">
        <v>64</v>
      </c>
      <c r="B14" s="14" t="s">
        <v>60</v>
      </c>
      <c r="C14" s="33" t="s">
        <v>164</v>
      </c>
    </row>
    <row r="15" spans="1:3" ht="7.9" customHeight="1" x14ac:dyDescent="0.25">
      <c r="A15" s="14" t="s">
        <v>65</v>
      </c>
      <c r="B15" s="14" t="s">
        <v>60</v>
      </c>
      <c r="C15" s="33" t="s">
        <v>164</v>
      </c>
    </row>
    <row r="16" spans="1:3" ht="7.9" customHeight="1" x14ac:dyDescent="0.25">
      <c r="A16" s="14" t="s">
        <v>66</v>
      </c>
      <c r="B16" s="14" t="s">
        <v>60</v>
      </c>
      <c r="C16" s="33" t="s">
        <v>164</v>
      </c>
    </row>
    <row r="17" spans="1:3" ht="7.9" customHeight="1" x14ac:dyDescent="0.25">
      <c r="A17" s="14" t="s">
        <v>67</v>
      </c>
      <c r="B17" s="15" t="s">
        <v>68</v>
      </c>
      <c r="C17" s="33" t="s">
        <v>164</v>
      </c>
    </row>
    <row r="18" spans="1:3" ht="7.9" customHeight="1" x14ac:dyDescent="0.25">
      <c r="A18" s="14" t="s">
        <v>69</v>
      </c>
      <c r="B18" s="17">
        <f ca="1">NOW()</f>
        <v>46274.303017129627</v>
      </c>
      <c r="C18" s="33" t="s">
        <v>164</v>
      </c>
    </row>
    <row r="19" spans="1:3" ht="7.9" customHeight="1" x14ac:dyDescent="0.25">
      <c r="A19" s="14" t="s">
        <v>70</v>
      </c>
      <c r="B19" s="14" t="s">
        <v>60</v>
      </c>
      <c r="C19" s="33" t="s">
        <v>164</v>
      </c>
    </row>
    <row r="20" spans="1:3" ht="7.9" customHeight="1" x14ac:dyDescent="0.25">
      <c r="A20" s="14" t="s">
        <v>71</v>
      </c>
      <c r="B20" s="14" t="s">
        <v>60</v>
      </c>
      <c r="C20" s="33" t="s">
        <v>164</v>
      </c>
    </row>
    <row r="21" spans="1:3" ht="7.9" customHeight="1" x14ac:dyDescent="0.25">
      <c r="A21" s="16" t="s">
        <v>169</v>
      </c>
      <c r="B21" s="15" t="s">
        <v>167</v>
      </c>
      <c r="C21" s="33" t="s">
        <v>164</v>
      </c>
    </row>
    <row r="22" spans="1:3" ht="7.9" customHeight="1" x14ac:dyDescent="0.25">
      <c r="A22" s="14" t="s">
        <v>168</v>
      </c>
      <c r="B22" s="17" t="str">
        <f>_xlfn.TRANSLATE(B21,"pt","es")</f>
        <v>Cuaderno SomaSUS preparado por el Sistema Unificado de Salud de Brasil</v>
      </c>
      <c r="C22" s="33" t="s">
        <v>165</v>
      </c>
    </row>
    <row r="23" spans="1:3" ht="7.9" customHeight="1" x14ac:dyDescent="0.25">
      <c r="A23" s="14" t="s">
        <v>170</v>
      </c>
      <c r="B23" s="17" t="str">
        <f>_xlfn.TRANSLATE(B22,"pt","en")</f>
        <v>Cuaderno SomaSUS prepared by the Unified Health System of Brazil</v>
      </c>
      <c r="C23" s="33" t="s">
        <v>166</v>
      </c>
    </row>
    <row r="24" spans="1:3" ht="7.9" customHeight="1" x14ac:dyDescent="0.25">
      <c r="A24" s="16" t="s">
        <v>72</v>
      </c>
      <c r="B24" s="18" t="s">
        <v>162</v>
      </c>
      <c r="C24" s="33" t="s">
        <v>164</v>
      </c>
    </row>
    <row r="25" spans="1:3" ht="7.9" customHeight="1" x14ac:dyDescent="0.25">
      <c r="A25" s="16" t="s">
        <v>73</v>
      </c>
      <c r="B25" s="18" t="s">
        <v>74</v>
      </c>
      <c r="C25" s="33" t="s">
        <v>165</v>
      </c>
    </row>
    <row r="26" spans="1:3" ht="7.9" customHeight="1" x14ac:dyDescent="0.25">
      <c r="A26" s="16" t="s">
        <v>161</v>
      </c>
      <c r="B26" s="18" t="str">
        <f>_xlfn.TRANSLATE(B24,"pt","en")</f>
        <v>Formalize the SomaSUS Notebook prepared by the Unified Health System of Brazil.</v>
      </c>
      <c r="C26" s="33" t="s">
        <v>166</v>
      </c>
    </row>
    <row r="27" spans="1:3" s="77" customFormat="1" ht="7.5" customHeight="1" x14ac:dyDescent="0.25">
      <c r="A27" s="14" t="s">
        <v>280</v>
      </c>
      <c r="B27" s="44" t="s">
        <v>185</v>
      </c>
      <c r="C27" s="33" t="s">
        <v>164</v>
      </c>
    </row>
    <row r="28" spans="1:3" s="77" customFormat="1" ht="7.5" customHeight="1" x14ac:dyDescent="0.25">
      <c r="A28" s="14" t="s">
        <v>281</v>
      </c>
      <c r="B28" s="45" t="s">
        <v>186</v>
      </c>
      <c r="C28" s="33" t="s">
        <v>164</v>
      </c>
    </row>
    <row r="29" spans="1:3" s="77" customFormat="1" ht="7.5" customHeight="1" x14ac:dyDescent="0.25">
      <c r="A29" s="14" t="s">
        <v>282</v>
      </c>
      <c r="B29" s="45" t="s">
        <v>187</v>
      </c>
      <c r="C29" s="33" t="s">
        <v>164</v>
      </c>
    </row>
    <row r="30" spans="1:3" s="77" customFormat="1" ht="7.5" customHeight="1" x14ac:dyDescent="0.25">
      <c r="A30" s="14" t="s">
        <v>283</v>
      </c>
      <c r="B30" s="46" t="s">
        <v>196</v>
      </c>
      <c r="C30" s="33" t="s">
        <v>164</v>
      </c>
    </row>
    <row r="31" spans="1:3" s="43" customFormat="1" ht="7.5" customHeight="1" x14ac:dyDescent="0.25">
      <c r="A31" s="14" t="s">
        <v>284</v>
      </c>
      <c r="B31" s="78" t="s">
        <v>188</v>
      </c>
      <c r="C31" s="33" t="s">
        <v>164</v>
      </c>
    </row>
    <row r="32" spans="1:3" s="43" customFormat="1" ht="7.5" customHeight="1" x14ac:dyDescent="0.25">
      <c r="A32" s="14" t="s">
        <v>285</v>
      </c>
      <c r="B32" s="78" t="s">
        <v>189</v>
      </c>
      <c r="C32" s="33" t="s">
        <v>164</v>
      </c>
    </row>
    <row r="33" spans="1:3" s="43" customFormat="1" ht="7.5" customHeight="1" x14ac:dyDescent="0.25">
      <c r="A33" s="14" t="s">
        <v>286</v>
      </c>
      <c r="B33" s="78" t="s">
        <v>190</v>
      </c>
      <c r="C33" s="33" t="s">
        <v>164</v>
      </c>
    </row>
    <row r="34" spans="1:3" s="43" customFormat="1" ht="7.5" customHeight="1" x14ac:dyDescent="0.25">
      <c r="A34" s="14" t="s">
        <v>287</v>
      </c>
      <c r="B34" s="79" t="s">
        <v>191</v>
      </c>
      <c r="C34" s="33" t="s">
        <v>164</v>
      </c>
    </row>
    <row r="35" spans="1:3" s="43" customFormat="1" ht="7.5" customHeight="1" x14ac:dyDescent="0.25">
      <c r="A35" s="14" t="s">
        <v>288</v>
      </c>
      <c r="B35" s="79" t="s">
        <v>192</v>
      </c>
      <c r="C35" s="33" t="s">
        <v>164</v>
      </c>
    </row>
    <row r="36" spans="1:3" s="43" customFormat="1" ht="7.5" customHeight="1" x14ac:dyDescent="0.25">
      <c r="A36" s="14" t="s">
        <v>289</v>
      </c>
      <c r="B36" s="78" t="s">
        <v>193</v>
      </c>
      <c r="C36" s="33" t="s">
        <v>164</v>
      </c>
    </row>
    <row r="37" spans="1:3" s="43" customFormat="1" ht="7.5" customHeight="1" x14ac:dyDescent="0.25">
      <c r="A37" s="14" t="s">
        <v>290</v>
      </c>
      <c r="B37" s="79" t="s">
        <v>194</v>
      </c>
      <c r="C37" s="33" t="s">
        <v>164</v>
      </c>
    </row>
    <row r="38" spans="1:3" s="43" customFormat="1" ht="7.5" customHeight="1" x14ac:dyDescent="0.25">
      <c r="A38" s="14" t="s">
        <v>291</v>
      </c>
      <c r="B38" s="78" t="s">
        <v>195</v>
      </c>
      <c r="C38" s="33" t="s">
        <v>164</v>
      </c>
    </row>
    <row r="39" spans="1:3" s="80" customFormat="1" ht="7.5" customHeight="1" x14ac:dyDescent="0.25">
      <c r="A39" s="14" t="s">
        <v>292</v>
      </c>
      <c r="B39" s="47" t="s">
        <v>197</v>
      </c>
      <c r="C39" s="33" t="s">
        <v>164</v>
      </c>
    </row>
    <row r="40" spans="1:3" s="81" customFormat="1" ht="7.5" customHeight="1" x14ac:dyDescent="0.25">
      <c r="A40" s="14" t="s">
        <v>293</v>
      </c>
      <c r="B40" s="47" t="s">
        <v>198</v>
      </c>
      <c r="C40" s="33" t="s">
        <v>164</v>
      </c>
    </row>
    <row r="41" spans="1:3" s="81" customFormat="1" ht="7.5" customHeight="1" x14ac:dyDescent="0.25">
      <c r="A41" s="14" t="s">
        <v>294</v>
      </c>
      <c r="B41" s="82" t="s">
        <v>295</v>
      </c>
      <c r="C41" s="33" t="s">
        <v>164</v>
      </c>
    </row>
    <row r="42" spans="1:3" s="81" customFormat="1" ht="7.5" customHeight="1" x14ac:dyDescent="0.25">
      <c r="A42" s="14" t="s">
        <v>296</v>
      </c>
      <c r="B42" s="83" t="s">
        <v>297</v>
      </c>
      <c r="C42" s="33" t="s">
        <v>164</v>
      </c>
    </row>
    <row r="43" spans="1:3" s="81" customFormat="1" ht="7.5" customHeight="1" x14ac:dyDescent="0.25">
      <c r="A43" s="14" t="s">
        <v>298</v>
      </c>
      <c r="B43" s="83" t="s">
        <v>299</v>
      </c>
      <c r="C43" s="33" t="s">
        <v>164</v>
      </c>
    </row>
    <row r="44" spans="1:3" s="81" customFormat="1" ht="7.5" customHeight="1" x14ac:dyDescent="0.25">
      <c r="A44" s="14" t="s">
        <v>300</v>
      </c>
      <c r="B44" s="83" t="s">
        <v>301</v>
      </c>
      <c r="C44" s="33" t="s">
        <v>164</v>
      </c>
    </row>
    <row r="45" spans="1:3" s="81" customFormat="1" ht="7.5" customHeight="1" x14ac:dyDescent="0.25">
      <c r="A45" s="14" t="s">
        <v>302</v>
      </c>
      <c r="B45" s="83" t="s">
        <v>303</v>
      </c>
      <c r="C45" s="33" t="s">
        <v>164</v>
      </c>
    </row>
    <row r="46" spans="1:3" s="81" customFormat="1" ht="7.5" customHeight="1" x14ac:dyDescent="0.25">
      <c r="A46" s="14" t="s">
        <v>304</v>
      </c>
      <c r="B46" s="83" t="s">
        <v>305</v>
      </c>
      <c r="C46" s="33" t="s">
        <v>164</v>
      </c>
    </row>
    <row r="47" spans="1:3" s="81" customFormat="1" ht="7.5" customHeight="1" x14ac:dyDescent="0.25">
      <c r="A47" s="14" t="s">
        <v>306</v>
      </c>
      <c r="B47" s="83" t="s">
        <v>307</v>
      </c>
      <c r="C47" s="33" t="s">
        <v>164</v>
      </c>
    </row>
    <row r="48" spans="1:3" s="81" customFormat="1" ht="7.5" customHeight="1" x14ac:dyDescent="0.25">
      <c r="A48" s="14" t="s">
        <v>308</v>
      </c>
      <c r="B48" s="83" t="s">
        <v>309</v>
      </c>
      <c r="C48" s="33" t="s">
        <v>164</v>
      </c>
    </row>
    <row r="49" spans="1:3" s="81" customFormat="1" ht="7.5" customHeight="1" x14ac:dyDescent="0.25">
      <c r="A49" s="14" t="s">
        <v>310</v>
      </c>
      <c r="B49" s="83" t="s">
        <v>311</v>
      </c>
      <c r="C49" s="33" t="s">
        <v>164</v>
      </c>
    </row>
  </sheetData>
  <hyperlinks>
    <hyperlink ref="B27" r:id="rId1" xr:uid="{88DD90D0-931F-4AAC-AE7E-516F82689E7D}"/>
    <hyperlink ref="B29" r:id="rId2" xr:uid="{645F0605-0703-420A-BEE4-A645E90ACDFC}"/>
    <hyperlink ref="B28" r:id="rId3" xr:uid="{B08EA68F-728E-4768-B845-95C20330440C}"/>
    <hyperlink ref="B39" r:id="rId4" location="categoria_888" xr:uid="{D4029F2D-4B86-4D86-9A84-0D744B69DFE3}"/>
    <hyperlink ref="B40" r:id="rId5" xr:uid="{71DCF592-0061-42CE-9049-9B3CB669E301}"/>
    <hyperlink ref="B41" r:id="rId6" xr:uid="{32BAD505-06E3-40A9-A25F-6A2E6C77E9CE}"/>
    <hyperlink ref="B30" r:id="rId7" xr:uid="{D24CD502-BC2F-4045-AE05-736D65D9F826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1939-68E5-4BC3-8236-D740835F34B0}">
  <sheetPr codeName="Planilha2"/>
  <dimension ref="A1:AD27"/>
  <sheetViews>
    <sheetView tabSelected="1" zoomScale="175" zoomScaleNormal="175" workbookViewId="0">
      <pane ySplit="1" topLeftCell="A2" activePane="bottomLeft" state="frozen"/>
      <selection pane="bottomLeft" activeCell="C19" sqref="C19"/>
    </sheetView>
  </sheetViews>
  <sheetFormatPr defaultColWidth="8.85546875" defaultRowHeight="7.9" customHeight="1" x14ac:dyDescent="0.2"/>
  <cols>
    <col min="1" max="1" width="2.42578125" style="1" bestFit="1" customWidth="1"/>
    <col min="2" max="2" width="5.42578125" style="8" customWidth="1"/>
    <col min="3" max="3" width="7.140625" style="1" customWidth="1"/>
    <col min="4" max="4" width="10.85546875" style="1" customWidth="1"/>
    <col min="5" max="5" width="9.42578125" style="1" customWidth="1"/>
    <col min="6" max="6" width="11.140625" style="1" customWidth="1"/>
    <col min="7" max="11" width="7.5703125" style="1" customWidth="1"/>
    <col min="12" max="12" width="6.7109375" style="8" bestFit="1" customWidth="1"/>
    <col min="13" max="13" width="10.5703125" style="8" customWidth="1"/>
    <col min="14" max="14" width="8.85546875" style="8" customWidth="1"/>
    <col min="15" max="15" width="10.7109375" style="8" customWidth="1"/>
    <col min="16" max="16" width="40" style="1" customWidth="1"/>
    <col min="17" max="17" width="38" style="1" customWidth="1"/>
    <col min="18" max="18" width="37.85546875" style="1" customWidth="1"/>
    <col min="19" max="19" width="3.7109375" style="76" bestFit="1" customWidth="1"/>
    <col min="20" max="20" width="11" style="1" customWidth="1"/>
    <col min="21" max="21" width="9.5703125" style="1" customWidth="1"/>
    <col min="22" max="22" width="11" style="1" customWidth="1"/>
    <col min="23" max="23" width="10.42578125" style="1" bestFit="1" customWidth="1"/>
    <col min="24" max="24" width="6.5703125" style="1" customWidth="1"/>
    <col min="25" max="25" width="37.140625" style="1" customWidth="1"/>
    <col min="26" max="26" width="7.7109375" style="1" bestFit="1" customWidth="1"/>
    <col min="27" max="27" width="9.7109375" style="1" customWidth="1"/>
    <col min="28" max="28" width="6.85546875" style="1" bestFit="1" customWidth="1"/>
    <col min="29" max="29" width="9.140625" style="1" bestFit="1" customWidth="1"/>
    <col min="30" max="30" width="4.5703125" style="1" customWidth="1"/>
    <col min="31" max="16384" width="8.85546875" style="1"/>
  </cols>
  <sheetData>
    <row r="1" spans="1:30" s="3" customFormat="1" ht="36.950000000000003" customHeight="1" x14ac:dyDescent="0.25">
      <c r="A1" s="25" t="s">
        <v>46</v>
      </c>
      <c r="B1" s="26" t="s">
        <v>26</v>
      </c>
      <c r="C1" s="26" t="s">
        <v>27</v>
      </c>
      <c r="D1" s="26" t="s">
        <v>28</v>
      </c>
      <c r="E1" s="26" t="s">
        <v>29</v>
      </c>
      <c r="F1" s="26" t="s">
        <v>30</v>
      </c>
      <c r="G1" s="51" t="s">
        <v>31</v>
      </c>
      <c r="H1" s="51" t="s">
        <v>32</v>
      </c>
      <c r="I1" s="51" t="s">
        <v>33</v>
      </c>
      <c r="J1" s="51" t="s">
        <v>34</v>
      </c>
      <c r="K1" s="51" t="s">
        <v>35</v>
      </c>
      <c r="L1" s="27" t="s">
        <v>36</v>
      </c>
      <c r="M1" s="27" t="s">
        <v>37</v>
      </c>
      <c r="N1" s="27" t="s">
        <v>38</v>
      </c>
      <c r="O1" s="27" t="s">
        <v>39</v>
      </c>
      <c r="P1" s="27" t="s">
        <v>40</v>
      </c>
      <c r="Q1" s="27" t="s">
        <v>41</v>
      </c>
      <c r="R1" s="36" t="s">
        <v>159</v>
      </c>
      <c r="S1" s="75" t="s">
        <v>85</v>
      </c>
      <c r="T1" s="27" t="s">
        <v>42</v>
      </c>
      <c r="U1" s="27" t="s">
        <v>43</v>
      </c>
      <c r="V1" s="27" t="s">
        <v>44</v>
      </c>
      <c r="W1" s="27" t="s">
        <v>45</v>
      </c>
      <c r="X1" s="41" t="s">
        <v>0</v>
      </c>
      <c r="Y1" s="27" t="s">
        <v>97</v>
      </c>
      <c r="Z1" s="27" t="s">
        <v>228</v>
      </c>
      <c r="AA1" s="27" t="s">
        <v>227</v>
      </c>
      <c r="AB1" s="27" t="s">
        <v>226</v>
      </c>
      <c r="AC1" s="27" t="s">
        <v>98</v>
      </c>
      <c r="AD1" s="27" t="s">
        <v>273</v>
      </c>
    </row>
    <row r="2" spans="1:30" ht="6" customHeight="1" x14ac:dyDescent="0.2">
      <c r="A2" s="37">
        <v>2</v>
      </c>
      <c r="B2" s="65" t="s">
        <v>199</v>
      </c>
      <c r="C2" s="69" t="s">
        <v>14</v>
      </c>
      <c r="D2" s="66" t="s">
        <v>127</v>
      </c>
      <c r="E2" s="66" t="s">
        <v>200</v>
      </c>
      <c r="F2" s="70" t="s">
        <v>95</v>
      </c>
      <c r="G2" s="52" t="s">
        <v>1</v>
      </c>
      <c r="H2" s="52" t="s">
        <v>1</v>
      </c>
      <c r="I2" s="52" t="s">
        <v>1</v>
      </c>
      <c r="J2" s="52" t="s">
        <v>1</v>
      </c>
      <c r="K2" s="52" t="s">
        <v>1</v>
      </c>
      <c r="L2" s="38" t="str">
        <f t="shared" ref="L2:N2" si="0">CONCATENATE("", C2)</f>
        <v>SomaSUS</v>
      </c>
      <c r="M2" s="38" t="str">
        <f t="shared" si="0"/>
        <v>SUS.Caderno</v>
      </c>
      <c r="N2" s="38" t="str">
        <f t="shared" si="0"/>
        <v>SUS.Informação</v>
      </c>
      <c r="O2" s="38" t="str">
        <f t="shared" ref="O2" si="1">F2</f>
        <v>SUS.Volume</v>
      </c>
      <c r="P2" s="38" t="s">
        <v>99</v>
      </c>
      <c r="Q2" s="38" t="s">
        <v>100</v>
      </c>
      <c r="R2" s="39" t="s">
        <v>206</v>
      </c>
      <c r="S2" s="67" t="s">
        <v>1</v>
      </c>
      <c r="T2" s="38" t="str">
        <f t="shared" ref="T2:V2" si="2">SUBSTITUTE(D2, "_", " ")</f>
        <v>SUS.Caderno</v>
      </c>
      <c r="U2" s="38" t="str">
        <f t="shared" si="2"/>
        <v>SUS.Informação</v>
      </c>
      <c r="V2" s="38" t="str">
        <f t="shared" si="2"/>
        <v>SUS.Volume</v>
      </c>
      <c r="W2" s="39" t="s">
        <v>229</v>
      </c>
      <c r="X2" s="42" t="str">
        <f t="shared" ref="X2" si="3">CONCATENATE("Key-SUS-",A2)</f>
        <v>Key-SUS-2</v>
      </c>
      <c r="Y2" s="48" t="s">
        <v>204</v>
      </c>
      <c r="Z2" s="50" t="s">
        <v>1</v>
      </c>
      <c r="AA2" s="49" t="s">
        <v>205</v>
      </c>
      <c r="AB2" s="50" t="s">
        <v>1</v>
      </c>
      <c r="AC2" s="40" t="s">
        <v>171</v>
      </c>
      <c r="AD2" s="39" t="s">
        <v>1</v>
      </c>
    </row>
    <row r="3" spans="1:30" ht="6" customHeight="1" x14ac:dyDescent="0.2">
      <c r="A3" s="37">
        <v>3</v>
      </c>
      <c r="B3" s="65" t="s">
        <v>199</v>
      </c>
      <c r="C3" s="69" t="s">
        <v>14</v>
      </c>
      <c r="D3" s="71" t="s">
        <v>128</v>
      </c>
      <c r="E3" s="71" t="s">
        <v>129</v>
      </c>
      <c r="F3" s="72" t="s">
        <v>86</v>
      </c>
      <c r="G3" s="52" t="s">
        <v>1</v>
      </c>
      <c r="H3" s="52" t="s">
        <v>1</v>
      </c>
      <c r="I3" s="52" t="s">
        <v>1</v>
      </c>
      <c r="J3" s="52" t="s">
        <v>1</v>
      </c>
      <c r="K3" s="52" t="s">
        <v>1</v>
      </c>
      <c r="L3" s="38" t="str">
        <f t="shared" ref="L3:N21" si="4">CONCATENATE("", C3)</f>
        <v>SomaSUS</v>
      </c>
      <c r="M3" s="38" t="str">
        <f t="shared" si="4"/>
        <v>SUS.Ocupação</v>
      </c>
      <c r="N3" s="38" t="str">
        <f t="shared" si="4"/>
        <v>SUS.Ambientes</v>
      </c>
      <c r="O3" s="38" t="str">
        <f t="shared" ref="O3:O22" si="5">F3</f>
        <v>SUS.Area</v>
      </c>
      <c r="P3" s="38" t="s">
        <v>101</v>
      </c>
      <c r="Q3" s="38" t="s">
        <v>102</v>
      </c>
      <c r="R3" s="39" t="s">
        <v>207</v>
      </c>
      <c r="S3" s="67" t="s">
        <v>1</v>
      </c>
      <c r="T3" s="38" t="str">
        <f t="shared" ref="T3:V21" si="6">SUBSTITUTE(D3, "_", " ")</f>
        <v>SUS.Ocupação</v>
      </c>
      <c r="U3" s="38" t="str">
        <f t="shared" si="6"/>
        <v>SUS.Ambientes</v>
      </c>
      <c r="V3" s="38" t="str">
        <f t="shared" si="6"/>
        <v>SUS.Area</v>
      </c>
      <c r="W3" s="39" t="s">
        <v>229</v>
      </c>
      <c r="X3" s="42" t="str">
        <f t="shared" ref="X3:X27" si="7">CONCATENATE("Key-SUS-",A3)</f>
        <v>Key-SUS-3</v>
      </c>
      <c r="Y3" s="39" t="s">
        <v>201</v>
      </c>
      <c r="Z3" s="50" t="s">
        <v>1</v>
      </c>
      <c r="AA3" s="39" t="s">
        <v>202</v>
      </c>
      <c r="AB3" s="50" t="s">
        <v>1</v>
      </c>
      <c r="AC3" s="40" t="s">
        <v>172</v>
      </c>
      <c r="AD3" s="39" t="s">
        <v>1</v>
      </c>
    </row>
    <row r="4" spans="1:30" ht="6" customHeight="1" x14ac:dyDescent="0.2">
      <c r="A4" s="37">
        <v>4</v>
      </c>
      <c r="B4" s="65" t="s">
        <v>199</v>
      </c>
      <c r="C4" s="69" t="s">
        <v>14</v>
      </c>
      <c r="D4" s="71" t="s">
        <v>128</v>
      </c>
      <c r="E4" s="71" t="s">
        <v>129</v>
      </c>
      <c r="F4" s="72" t="s">
        <v>103</v>
      </c>
      <c r="G4" s="52" t="s">
        <v>1</v>
      </c>
      <c r="H4" s="52" t="s">
        <v>1</v>
      </c>
      <c r="I4" s="52" t="s">
        <v>1</v>
      </c>
      <c r="J4" s="52" t="s">
        <v>1</v>
      </c>
      <c r="K4" s="52" t="s">
        <v>1</v>
      </c>
      <c r="L4" s="38" t="str">
        <f t="shared" si="4"/>
        <v>SomaSUS</v>
      </c>
      <c r="M4" s="38" t="str">
        <f t="shared" si="4"/>
        <v>SUS.Ocupação</v>
      </c>
      <c r="N4" s="38" t="str">
        <f t="shared" si="4"/>
        <v>SUS.Ambientes</v>
      </c>
      <c r="O4" s="38" t="str">
        <f t="shared" si="5"/>
        <v>SUS.Box</v>
      </c>
      <c r="P4" s="38" t="s">
        <v>104</v>
      </c>
      <c r="Q4" s="38" t="s">
        <v>105</v>
      </c>
      <c r="R4" s="39" t="s">
        <v>208</v>
      </c>
      <c r="S4" s="67" t="s">
        <v>1</v>
      </c>
      <c r="T4" s="38" t="str">
        <f t="shared" si="6"/>
        <v>SUS.Ocupação</v>
      </c>
      <c r="U4" s="38" t="str">
        <f t="shared" si="6"/>
        <v>SUS.Ambientes</v>
      </c>
      <c r="V4" s="38" t="str">
        <f t="shared" si="6"/>
        <v>SUS.Box</v>
      </c>
      <c r="W4" s="39" t="s">
        <v>229</v>
      </c>
      <c r="X4" s="42" t="str">
        <f t="shared" si="7"/>
        <v>Key-SUS-4</v>
      </c>
      <c r="Y4" s="39" t="s">
        <v>201</v>
      </c>
      <c r="Z4" s="50" t="s">
        <v>1</v>
      </c>
      <c r="AA4" s="39" t="s">
        <v>202</v>
      </c>
      <c r="AB4" s="50" t="s">
        <v>1</v>
      </c>
      <c r="AC4" s="40" t="s">
        <v>172</v>
      </c>
      <c r="AD4" s="39" t="s">
        <v>1</v>
      </c>
    </row>
    <row r="5" spans="1:30" ht="6" customHeight="1" x14ac:dyDescent="0.2">
      <c r="A5" s="37">
        <v>5</v>
      </c>
      <c r="B5" s="65" t="s">
        <v>199</v>
      </c>
      <c r="C5" s="69" t="s">
        <v>14</v>
      </c>
      <c r="D5" s="71" t="s">
        <v>128</v>
      </c>
      <c r="E5" s="71" t="s">
        <v>129</v>
      </c>
      <c r="F5" s="72" t="s">
        <v>106</v>
      </c>
      <c r="G5" s="52" t="s">
        <v>1</v>
      </c>
      <c r="H5" s="52" t="s">
        <v>1</v>
      </c>
      <c r="I5" s="52" t="s">
        <v>1</v>
      </c>
      <c r="J5" s="52" t="s">
        <v>1</v>
      </c>
      <c r="K5" s="52" t="s">
        <v>1</v>
      </c>
      <c r="L5" s="38" t="str">
        <f t="shared" si="4"/>
        <v>SomaSUS</v>
      </c>
      <c r="M5" s="38" t="str">
        <f t="shared" si="4"/>
        <v>SUS.Ocupação</v>
      </c>
      <c r="N5" s="38" t="str">
        <f t="shared" si="4"/>
        <v>SUS.Ambientes</v>
      </c>
      <c r="O5" s="38" t="str">
        <f t="shared" si="5"/>
        <v>SUS.Consultório</v>
      </c>
      <c r="P5" s="38" t="s">
        <v>107</v>
      </c>
      <c r="Q5" s="38" t="s">
        <v>108</v>
      </c>
      <c r="R5" s="39" t="s">
        <v>209</v>
      </c>
      <c r="S5" s="67" t="s">
        <v>1</v>
      </c>
      <c r="T5" s="38" t="str">
        <f t="shared" si="6"/>
        <v>SUS.Ocupação</v>
      </c>
      <c r="U5" s="38" t="str">
        <f t="shared" si="6"/>
        <v>SUS.Ambientes</v>
      </c>
      <c r="V5" s="38" t="str">
        <f t="shared" si="6"/>
        <v>SUS.Consultório</v>
      </c>
      <c r="W5" s="39" t="s">
        <v>229</v>
      </c>
      <c r="X5" s="42" t="str">
        <f t="shared" si="7"/>
        <v>Key-SUS-5</v>
      </c>
      <c r="Y5" s="39" t="s">
        <v>201</v>
      </c>
      <c r="Z5" s="50" t="s">
        <v>1</v>
      </c>
      <c r="AA5" s="39" t="s">
        <v>202</v>
      </c>
      <c r="AB5" s="50" t="s">
        <v>1</v>
      </c>
      <c r="AC5" s="40" t="s">
        <v>172</v>
      </c>
      <c r="AD5" s="39" t="s">
        <v>1</v>
      </c>
    </row>
    <row r="6" spans="1:30" ht="6" customHeight="1" x14ac:dyDescent="0.2">
      <c r="A6" s="37">
        <v>6</v>
      </c>
      <c r="B6" s="65" t="s">
        <v>199</v>
      </c>
      <c r="C6" s="69" t="s">
        <v>14</v>
      </c>
      <c r="D6" s="71" t="s">
        <v>128</v>
      </c>
      <c r="E6" s="71" t="s">
        <v>129</v>
      </c>
      <c r="F6" s="72" t="s">
        <v>109</v>
      </c>
      <c r="G6" s="52" t="s">
        <v>1</v>
      </c>
      <c r="H6" s="52" t="s">
        <v>1</v>
      </c>
      <c r="I6" s="52" t="s">
        <v>1</v>
      </c>
      <c r="J6" s="52" t="s">
        <v>1</v>
      </c>
      <c r="K6" s="52" t="s">
        <v>1</v>
      </c>
      <c r="L6" s="38" t="str">
        <f t="shared" si="4"/>
        <v>SomaSUS</v>
      </c>
      <c r="M6" s="38" t="str">
        <f t="shared" si="4"/>
        <v>SUS.Ocupação</v>
      </c>
      <c r="N6" s="38" t="str">
        <f t="shared" si="4"/>
        <v>SUS.Ambientes</v>
      </c>
      <c r="O6" s="38" t="str">
        <f t="shared" si="5"/>
        <v>SUS.Enfermaria</v>
      </c>
      <c r="P6" s="38" t="s">
        <v>110</v>
      </c>
      <c r="Q6" s="38" t="s">
        <v>133</v>
      </c>
      <c r="R6" s="39" t="s">
        <v>210</v>
      </c>
      <c r="S6" s="67" t="s">
        <v>1</v>
      </c>
      <c r="T6" s="38" t="str">
        <f t="shared" si="6"/>
        <v>SUS.Ocupação</v>
      </c>
      <c r="U6" s="38" t="str">
        <f t="shared" si="6"/>
        <v>SUS.Ambientes</v>
      </c>
      <c r="V6" s="38" t="str">
        <f t="shared" si="6"/>
        <v>SUS.Enfermaria</v>
      </c>
      <c r="W6" s="39" t="s">
        <v>229</v>
      </c>
      <c r="X6" s="42" t="str">
        <f t="shared" si="7"/>
        <v>Key-SUS-6</v>
      </c>
      <c r="Y6" s="39" t="s">
        <v>201</v>
      </c>
      <c r="Z6" s="50" t="s">
        <v>1</v>
      </c>
      <c r="AA6" s="39" t="s">
        <v>202</v>
      </c>
      <c r="AB6" s="50" t="s">
        <v>1</v>
      </c>
      <c r="AC6" s="40" t="s">
        <v>172</v>
      </c>
      <c r="AD6" s="39" t="s">
        <v>1</v>
      </c>
    </row>
    <row r="7" spans="1:30" ht="6" customHeight="1" x14ac:dyDescent="0.2">
      <c r="A7" s="37">
        <v>7</v>
      </c>
      <c r="B7" s="65" t="s">
        <v>199</v>
      </c>
      <c r="C7" s="69" t="s">
        <v>14</v>
      </c>
      <c r="D7" s="71" t="s">
        <v>128</v>
      </c>
      <c r="E7" s="71" t="s">
        <v>129</v>
      </c>
      <c r="F7" s="72" t="s">
        <v>111</v>
      </c>
      <c r="G7" s="52" t="s">
        <v>1</v>
      </c>
      <c r="H7" s="52" t="s">
        <v>1</v>
      </c>
      <c r="I7" s="52" t="s">
        <v>1</v>
      </c>
      <c r="J7" s="52" t="s">
        <v>1</v>
      </c>
      <c r="K7" s="52" t="s">
        <v>1</v>
      </c>
      <c r="L7" s="38" t="str">
        <f t="shared" si="4"/>
        <v>SomaSUS</v>
      </c>
      <c r="M7" s="38" t="str">
        <f t="shared" si="4"/>
        <v>SUS.Ocupação</v>
      </c>
      <c r="N7" s="38" t="str">
        <f t="shared" si="4"/>
        <v>SUS.Ambientes</v>
      </c>
      <c r="O7" s="38" t="str">
        <f t="shared" si="5"/>
        <v>SUS.Laboratório</v>
      </c>
      <c r="P7" s="38" t="s">
        <v>112</v>
      </c>
      <c r="Q7" s="38" t="s">
        <v>113</v>
      </c>
      <c r="R7" s="39" t="s">
        <v>211</v>
      </c>
      <c r="S7" s="67" t="s">
        <v>1</v>
      </c>
      <c r="T7" s="38" t="str">
        <f t="shared" si="6"/>
        <v>SUS.Ocupação</v>
      </c>
      <c r="U7" s="38" t="str">
        <f t="shared" si="6"/>
        <v>SUS.Ambientes</v>
      </c>
      <c r="V7" s="38" t="str">
        <f t="shared" si="6"/>
        <v>SUS.Laboratório</v>
      </c>
      <c r="W7" s="39" t="s">
        <v>229</v>
      </c>
      <c r="X7" s="42" t="str">
        <f t="shared" si="7"/>
        <v>Key-SUS-7</v>
      </c>
      <c r="Y7" s="39" t="s">
        <v>201</v>
      </c>
      <c r="Z7" s="50" t="s">
        <v>1</v>
      </c>
      <c r="AA7" s="39" t="s">
        <v>202</v>
      </c>
      <c r="AB7" s="50" t="s">
        <v>1</v>
      </c>
      <c r="AC7" s="40" t="s">
        <v>172</v>
      </c>
      <c r="AD7" s="39" t="s">
        <v>1</v>
      </c>
    </row>
    <row r="8" spans="1:30" ht="6" customHeight="1" x14ac:dyDescent="0.2">
      <c r="A8" s="37">
        <v>8</v>
      </c>
      <c r="B8" s="65" t="s">
        <v>199</v>
      </c>
      <c r="C8" s="69" t="s">
        <v>14</v>
      </c>
      <c r="D8" s="71" t="s">
        <v>128</v>
      </c>
      <c r="E8" s="71" t="s">
        <v>129</v>
      </c>
      <c r="F8" s="72" t="s">
        <v>114</v>
      </c>
      <c r="G8" s="52" t="s">
        <v>1</v>
      </c>
      <c r="H8" s="52" t="s">
        <v>1</v>
      </c>
      <c r="I8" s="52" t="s">
        <v>1</v>
      </c>
      <c r="J8" s="52" t="s">
        <v>1</v>
      </c>
      <c r="K8" s="52" t="s">
        <v>1</v>
      </c>
      <c r="L8" s="38" t="str">
        <f t="shared" si="4"/>
        <v>SomaSUS</v>
      </c>
      <c r="M8" s="38" t="str">
        <f t="shared" si="4"/>
        <v>SUS.Ocupação</v>
      </c>
      <c r="N8" s="38" t="str">
        <f t="shared" si="4"/>
        <v>SUS.Ambientes</v>
      </c>
      <c r="O8" s="38" t="str">
        <f t="shared" si="5"/>
        <v>SUS.Piscina</v>
      </c>
      <c r="P8" s="38" t="s">
        <v>115</v>
      </c>
      <c r="Q8" s="38" t="s">
        <v>116</v>
      </c>
      <c r="R8" s="39" t="s">
        <v>212</v>
      </c>
      <c r="S8" s="67" t="s">
        <v>1</v>
      </c>
      <c r="T8" s="38" t="str">
        <f t="shared" si="6"/>
        <v>SUS.Ocupação</v>
      </c>
      <c r="U8" s="38" t="str">
        <f t="shared" si="6"/>
        <v>SUS.Ambientes</v>
      </c>
      <c r="V8" s="38" t="str">
        <f t="shared" si="6"/>
        <v>SUS.Piscina</v>
      </c>
      <c r="W8" s="39" t="s">
        <v>229</v>
      </c>
      <c r="X8" s="42" t="str">
        <f t="shared" si="7"/>
        <v>Key-SUS-8</v>
      </c>
      <c r="Y8" s="39" t="s">
        <v>201</v>
      </c>
      <c r="Z8" s="50" t="s">
        <v>1</v>
      </c>
      <c r="AA8" s="39" t="s">
        <v>202</v>
      </c>
      <c r="AB8" s="50" t="s">
        <v>1</v>
      </c>
      <c r="AC8" s="40" t="s">
        <v>172</v>
      </c>
      <c r="AD8" s="39" t="s">
        <v>1</v>
      </c>
    </row>
    <row r="9" spans="1:30" ht="6" customHeight="1" x14ac:dyDescent="0.2">
      <c r="A9" s="37">
        <v>9</v>
      </c>
      <c r="B9" s="65" t="s">
        <v>199</v>
      </c>
      <c r="C9" s="69" t="s">
        <v>14</v>
      </c>
      <c r="D9" s="71" t="s">
        <v>128</v>
      </c>
      <c r="E9" s="71" t="s">
        <v>129</v>
      </c>
      <c r="F9" s="72" t="s">
        <v>117</v>
      </c>
      <c r="G9" s="52" t="s">
        <v>1</v>
      </c>
      <c r="H9" s="52" t="s">
        <v>1</v>
      </c>
      <c r="I9" s="52" t="s">
        <v>1</v>
      </c>
      <c r="J9" s="52" t="s">
        <v>1</v>
      </c>
      <c r="K9" s="52" t="s">
        <v>1</v>
      </c>
      <c r="L9" s="38" t="str">
        <f t="shared" si="4"/>
        <v>SomaSUS</v>
      </c>
      <c r="M9" s="38" t="str">
        <f t="shared" si="4"/>
        <v>SUS.Ocupação</v>
      </c>
      <c r="N9" s="38" t="str">
        <f t="shared" si="4"/>
        <v>SUS.Ambientes</v>
      </c>
      <c r="O9" s="38" t="str">
        <f t="shared" si="5"/>
        <v>SUS.Posto</v>
      </c>
      <c r="P9" s="38" t="s">
        <v>134</v>
      </c>
      <c r="Q9" s="38" t="s">
        <v>135</v>
      </c>
      <c r="R9" s="39" t="s">
        <v>213</v>
      </c>
      <c r="S9" s="67" t="s">
        <v>1</v>
      </c>
      <c r="T9" s="38" t="str">
        <f t="shared" si="6"/>
        <v>SUS.Ocupação</v>
      </c>
      <c r="U9" s="38" t="str">
        <f t="shared" si="6"/>
        <v>SUS.Ambientes</v>
      </c>
      <c r="V9" s="38" t="str">
        <f t="shared" si="6"/>
        <v>SUS.Posto</v>
      </c>
      <c r="W9" s="39" t="s">
        <v>229</v>
      </c>
      <c r="X9" s="42" t="str">
        <f t="shared" si="7"/>
        <v>Key-SUS-9</v>
      </c>
      <c r="Y9" s="39" t="s">
        <v>201</v>
      </c>
      <c r="Z9" s="50" t="s">
        <v>1</v>
      </c>
      <c r="AA9" s="39" t="s">
        <v>202</v>
      </c>
      <c r="AB9" s="50" t="s">
        <v>1</v>
      </c>
      <c r="AC9" s="40" t="s">
        <v>172</v>
      </c>
      <c r="AD9" s="39" t="s">
        <v>1</v>
      </c>
    </row>
    <row r="10" spans="1:30" ht="6" customHeight="1" x14ac:dyDescent="0.2">
      <c r="A10" s="37">
        <v>10</v>
      </c>
      <c r="B10" s="65" t="s">
        <v>199</v>
      </c>
      <c r="C10" s="69" t="s">
        <v>14</v>
      </c>
      <c r="D10" s="71" t="s">
        <v>128</v>
      </c>
      <c r="E10" s="71" t="s">
        <v>129</v>
      </c>
      <c r="F10" s="72" t="s">
        <v>118</v>
      </c>
      <c r="G10" s="52" t="s">
        <v>1</v>
      </c>
      <c r="H10" s="52" t="s">
        <v>1</v>
      </c>
      <c r="I10" s="52" t="s">
        <v>1</v>
      </c>
      <c r="J10" s="52" t="s">
        <v>1</v>
      </c>
      <c r="K10" s="52" t="s">
        <v>1</v>
      </c>
      <c r="L10" s="38" t="str">
        <f t="shared" si="4"/>
        <v>SomaSUS</v>
      </c>
      <c r="M10" s="38" t="str">
        <f t="shared" si="4"/>
        <v>SUS.Ocupação</v>
      </c>
      <c r="N10" s="38" t="str">
        <f t="shared" si="4"/>
        <v>SUS.Ambientes</v>
      </c>
      <c r="O10" s="38" t="str">
        <f t="shared" si="5"/>
        <v>SUS.Quarto</v>
      </c>
      <c r="P10" s="38" t="s">
        <v>119</v>
      </c>
      <c r="Q10" s="38" t="s">
        <v>120</v>
      </c>
      <c r="R10" s="39" t="s">
        <v>214</v>
      </c>
      <c r="S10" s="67" t="s">
        <v>1</v>
      </c>
      <c r="T10" s="38" t="str">
        <f t="shared" si="6"/>
        <v>SUS.Ocupação</v>
      </c>
      <c r="U10" s="38" t="str">
        <f t="shared" si="6"/>
        <v>SUS.Ambientes</v>
      </c>
      <c r="V10" s="38" t="str">
        <f t="shared" si="6"/>
        <v>SUS.Quarto</v>
      </c>
      <c r="W10" s="39" t="s">
        <v>229</v>
      </c>
      <c r="X10" s="42" t="str">
        <f t="shared" si="7"/>
        <v>Key-SUS-10</v>
      </c>
      <c r="Y10" s="39" t="s">
        <v>201</v>
      </c>
      <c r="Z10" s="50" t="s">
        <v>1</v>
      </c>
      <c r="AA10" s="39" t="s">
        <v>202</v>
      </c>
      <c r="AB10" s="50" t="s">
        <v>1</v>
      </c>
      <c r="AC10" s="40" t="s">
        <v>172</v>
      </c>
      <c r="AD10" s="39" t="s">
        <v>1</v>
      </c>
    </row>
    <row r="11" spans="1:30" ht="6" customHeight="1" x14ac:dyDescent="0.2">
      <c r="A11" s="37">
        <v>11</v>
      </c>
      <c r="B11" s="65" t="s">
        <v>199</v>
      </c>
      <c r="C11" s="69" t="s">
        <v>14</v>
      </c>
      <c r="D11" s="71" t="s">
        <v>128</v>
      </c>
      <c r="E11" s="71" t="s">
        <v>129</v>
      </c>
      <c r="F11" s="73" t="s">
        <v>121</v>
      </c>
      <c r="G11" s="52" t="s">
        <v>1</v>
      </c>
      <c r="H11" s="52" t="s">
        <v>1</v>
      </c>
      <c r="I11" s="52" t="s">
        <v>1</v>
      </c>
      <c r="J11" s="52" t="s">
        <v>1</v>
      </c>
      <c r="K11" s="52" t="s">
        <v>1</v>
      </c>
      <c r="L11" s="38" t="str">
        <f t="shared" si="4"/>
        <v>SomaSUS</v>
      </c>
      <c r="M11" s="38" t="str">
        <f t="shared" si="4"/>
        <v>SUS.Ocupação</v>
      </c>
      <c r="N11" s="38" t="str">
        <f t="shared" si="4"/>
        <v>SUS.Ambientes</v>
      </c>
      <c r="O11" s="38" t="str">
        <f t="shared" si="5"/>
        <v>SUS.Sala</v>
      </c>
      <c r="P11" s="38" t="s">
        <v>122</v>
      </c>
      <c r="Q11" s="38" t="s">
        <v>123</v>
      </c>
      <c r="R11" s="39" t="s">
        <v>215</v>
      </c>
      <c r="S11" s="67" t="s">
        <v>1</v>
      </c>
      <c r="T11" s="38" t="str">
        <f t="shared" si="6"/>
        <v>SUS.Ocupação</v>
      </c>
      <c r="U11" s="38" t="str">
        <f t="shared" si="6"/>
        <v>SUS.Ambientes</v>
      </c>
      <c r="V11" s="38" t="str">
        <f t="shared" si="6"/>
        <v>SUS.Sala</v>
      </c>
      <c r="W11" s="39" t="s">
        <v>229</v>
      </c>
      <c r="X11" s="42" t="str">
        <f t="shared" si="7"/>
        <v>Key-SUS-11</v>
      </c>
      <c r="Y11" s="39" t="s">
        <v>201</v>
      </c>
      <c r="Z11" s="50" t="s">
        <v>1</v>
      </c>
      <c r="AA11" s="39" t="s">
        <v>202</v>
      </c>
      <c r="AB11" s="50" t="s">
        <v>1</v>
      </c>
      <c r="AC11" s="40" t="s">
        <v>172</v>
      </c>
      <c r="AD11" s="39" t="s">
        <v>1</v>
      </c>
    </row>
    <row r="12" spans="1:30" ht="6" customHeight="1" x14ac:dyDescent="0.2">
      <c r="A12" s="37">
        <v>12</v>
      </c>
      <c r="B12" s="65" t="s">
        <v>199</v>
      </c>
      <c r="C12" s="69" t="s">
        <v>14</v>
      </c>
      <c r="D12" s="71" t="s">
        <v>128</v>
      </c>
      <c r="E12" s="71" t="s">
        <v>130</v>
      </c>
      <c r="F12" s="74" t="s">
        <v>89</v>
      </c>
      <c r="G12" s="52" t="s">
        <v>1</v>
      </c>
      <c r="H12" s="52" t="s">
        <v>1</v>
      </c>
      <c r="I12" s="52" t="s">
        <v>1</v>
      </c>
      <c r="J12" s="52" t="s">
        <v>1</v>
      </c>
      <c r="K12" s="52" t="s">
        <v>1</v>
      </c>
      <c r="L12" s="38" t="str">
        <f t="shared" si="4"/>
        <v>SomaSUS</v>
      </c>
      <c r="M12" s="38" t="str">
        <f t="shared" si="4"/>
        <v>SUS.Ocupação</v>
      </c>
      <c r="N12" s="38" t="str">
        <f t="shared" si="4"/>
        <v>SUS.Funcional</v>
      </c>
      <c r="O12" s="38" t="str">
        <f t="shared" si="5"/>
        <v>SUS.Zoneamento</v>
      </c>
      <c r="P12" s="38" t="s">
        <v>136</v>
      </c>
      <c r="Q12" s="38" t="s">
        <v>137</v>
      </c>
      <c r="R12" s="39" t="s">
        <v>216</v>
      </c>
      <c r="S12" s="67" t="s">
        <v>1</v>
      </c>
      <c r="T12" s="38" t="str">
        <f t="shared" si="6"/>
        <v>SUS.Ocupação</v>
      </c>
      <c r="U12" s="38" t="str">
        <f t="shared" si="6"/>
        <v>SUS.Funcional</v>
      </c>
      <c r="V12" s="38" t="str">
        <f t="shared" si="6"/>
        <v>SUS.Zoneamento</v>
      </c>
      <c r="W12" s="39" t="s">
        <v>229</v>
      </c>
      <c r="X12" s="42" t="str">
        <f t="shared" si="7"/>
        <v>Key-SUS-12</v>
      </c>
      <c r="Y12" s="39" t="s">
        <v>201</v>
      </c>
      <c r="Z12" s="50" t="s">
        <v>1</v>
      </c>
      <c r="AA12" s="39" t="s">
        <v>202</v>
      </c>
      <c r="AB12" s="50" t="s">
        <v>1</v>
      </c>
      <c r="AC12" s="40" t="s">
        <v>172</v>
      </c>
      <c r="AD12" s="39" t="s">
        <v>1</v>
      </c>
    </row>
    <row r="13" spans="1:30" ht="6" customHeight="1" x14ac:dyDescent="0.2">
      <c r="A13" s="37">
        <v>13</v>
      </c>
      <c r="B13" s="65" t="s">
        <v>199</v>
      </c>
      <c r="C13" s="69" t="s">
        <v>14</v>
      </c>
      <c r="D13" s="71" t="s">
        <v>128</v>
      </c>
      <c r="E13" s="71" t="s">
        <v>130</v>
      </c>
      <c r="F13" s="74" t="s">
        <v>87</v>
      </c>
      <c r="G13" s="52" t="s">
        <v>1</v>
      </c>
      <c r="H13" s="52" t="s">
        <v>1</v>
      </c>
      <c r="I13" s="52" t="s">
        <v>1</v>
      </c>
      <c r="J13" s="52" t="s">
        <v>1</v>
      </c>
      <c r="K13" s="52" t="s">
        <v>1</v>
      </c>
      <c r="L13" s="38" t="str">
        <f t="shared" si="4"/>
        <v>SomaSUS</v>
      </c>
      <c r="M13" s="38" t="str">
        <f t="shared" si="4"/>
        <v>SUS.Ocupação</v>
      </c>
      <c r="N13" s="38" t="str">
        <f t="shared" si="4"/>
        <v>SUS.Funcional</v>
      </c>
      <c r="O13" s="38" t="str">
        <f t="shared" si="5"/>
        <v>SUS.Unidade.Funcional</v>
      </c>
      <c r="P13" s="38" t="s">
        <v>138</v>
      </c>
      <c r="Q13" s="38" t="s">
        <v>139</v>
      </c>
      <c r="R13" s="39" t="s">
        <v>217</v>
      </c>
      <c r="S13" s="67" t="s">
        <v>1</v>
      </c>
      <c r="T13" s="38" t="str">
        <f t="shared" si="6"/>
        <v>SUS.Ocupação</v>
      </c>
      <c r="U13" s="38" t="str">
        <f t="shared" si="6"/>
        <v>SUS.Funcional</v>
      </c>
      <c r="V13" s="38" t="str">
        <f t="shared" si="6"/>
        <v>SUS.Unidade.Funcional</v>
      </c>
      <c r="W13" s="39" t="s">
        <v>229</v>
      </c>
      <c r="X13" s="42" t="str">
        <f t="shared" si="7"/>
        <v>Key-SUS-13</v>
      </c>
      <c r="Y13" s="39" t="s">
        <v>201</v>
      </c>
      <c r="Z13" s="50" t="s">
        <v>1</v>
      </c>
      <c r="AA13" s="39" t="s">
        <v>202</v>
      </c>
      <c r="AB13" s="50" t="s">
        <v>1</v>
      </c>
      <c r="AC13" s="40" t="s">
        <v>173</v>
      </c>
      <c r="AD13" s="39" t="s">
        <v>1</v>
      </c>
    </row>
    <row r="14" spans="1:30" ht="6" customHeight="1" x14ac:dyDescent="0.2">
      <c r="A14" s="37">
        <v>14</v>
      </c>
      <c r="B14" s="65" t="s">
        <v>199</v>
      </c>
      <c r="C14" s="69" t="s">
        <v>14</v>
      </c>
      <c r="D14" s="71" t="s">
        <v>128</v>
      </c>
      <c r="E14" s="71" t="s">
        <v>130</v>
      </c>
      <c r="F14" s="74" t="s">
        <v>88</v>
      </c>
      <c r="G14" s="52" t="s">
        <v>1</v>
      </c>
      <c r="H14" s="52" t="s">
        <v>1</v>
      </c>
      <c r="I14" s="52" t="s">
        <v>1</v>
      </c>
      <c r="J14" s="52" t="s">
        <v>1</v>
      </c>
      <c r="K14" s="52" t="s">
        <v>1</v>
      </c>
      <c r="L14" s="38" t="str">
        <f t="shared" si="4"/>
        <v>SomaSUS</v>
      </c>
      <c r="M14" s="38" t="str">
        <f t="shared" si="4"/>
        <v>SUS.Ocupação</v>
      </c>
      <c r="N14" s="38" t="str">
        <f t="shared" si="4"/>
        <v>SUS.Funcional</v>
      </c>
      <c r="O14" s="38" t="str">
        <f t="shared" si="5"/>
        <v>SUS.Setor</v>
      </c>
      <c r="P14" s="38" t="s">
        <v>140</v>
      </c>
      <c r="Q14" s="38" t="s">
        <v>141</v>
      </c>
      <c r="R14" s="39" t="s">
        <v>218</v>
      </c>
      <c r="S14" s="67" t="s">
        <v>1</v>
      </c>
      <c r="T14" s="38" t="str">
        <f t="shared" si="6"/>
        <v>SUS.Ocupação</v>
      </c>
      <c r="U14" s="38" t="str">
        <f t="shared" si="6"/>
        <v>SUS.Funcional</v>
      </c>
      <c r="V14" s="38" t="str">
        <f t="shared" si="6"/>
        <v>SUS.Setor</v>
      </c>
      <c r="W14" s="39" t="s">
        <v>229</v>
      </c>
      <c r="X14" s="42" t="str">
        <f t="shared" si="7"/>
        <v>Key-SUS-14</v>
      </c>
      <c r="Y14" s="39" t="s">
        <v>201</v>
      </c>
      <c r="Z14" s="50" t="s">
        <v>1</v>
      </c>
      <c r="AA14" s="39" t="s">
        <v>202</v>
      </c>
      <c r="AB14" s="50" t="s">
        <v>1</v>
      </c>
      <c r="AC14" s="40" t="s">
        <v>173</v>
      </c>
      <c r="AD14" s="39" t="s">
        <v>1</v>
      </c>
    </row>
    <row r="15" spans="1:30" ht="6" customHeight="1" x14ac:dyDescent="0.2">
      <c r="A15" s="37">
        <v>15</v>
      </c>
      <c r="B15" s="65" t="s">
        <v>199</v>
      </c>
      <c r="C15" s="69" t="s">
        <v>14</v>
      </c>
      <c r="D15" s="71" t="s">
        <v>132</v>
      </c>
      <c r="E15" s="71" t="s">
        <v>131</v>
      </c>
      <c r="F15" s="74" t="s">
        <v>150</v>
      </c>
      <c r="G15" s="52" t="s">
        <v>1</v>
      </c>
      <c r="H15" s="52" t="s">
        <v>1</v>
      </c>
      <c r="I15" s="52" t="s">
        <v>1</v>
      </c>
      <c r="J15" s="52" t="s">
        <v>1</v>
      </c>
      <c r="K15" s="52" t="s">
        <v>1</v>
      </c>
      <c r="L15" s="38" t="str">
        <f t="shared" si="4"/>
        <v>SomaSUS</v>
      </c>
      <c r="M15" s="38" t="str">
        <f t="shared" si="4"/>
        <v>SUS.Assistência.Médica</v>
      </c>
      <c r="N15" s="38" t="str">
        <f t="shared" si="4"/>
        <v>SUS.Equipamentos</v>
      </c>
      <c r="O15" s="38" t="str">
        <f t="shared" si="5"/>
        <v>SUS.Robot</v>
      </c>
      <c r="P15" s="38" t="s">
        <v>151</v>
      </c>
      <c r="Q15" s="38" t="s">
        <v>152</v>
      </c>
      <c r="R15" s="39" t="s">
        <v>219</v>
      </c>
      <c r="S15" s="67" t="s">
        <v>1</v>
      </c>
      <c r="T15" s="38" t="str">
        <f t="shared" si="6"/>
        <v>SUS.Assistência.Médica</v>
      </c>
      <c r="U15" s="38" t="str">
        <f t="shared" si="6"/>
        <v>SUS.Equipamentos</v>
      </c>
      <c r="V15" s="38" t="str">
        <f t="shared" si="6"/>
        <v>SUS.Robot</v>
      </c>
      <c r="W15" s="39" t="s">
        <v>229</v>
      </c>
      <c r="X15" s="42" t="str">
        <f t="shared" si="7"/>
        <v>Key-SUS-15</v>
      </c>
      <c r="Y15" s="39" t="s">
        <v>203</v>
      </c>
      <c r="Z15" s="50" t="s">
        <v>1</v>
      </c>
      <c r="AA15" s="39" t="s">
        <v>174</v>
      </c>
      <c r="AB15" s="50" t="s">
        <v>1</v>
      </c>
      <c r="AC15" s="40" t="s">
        <v>175</v>
      </c>
      <c r="AD15" s="39" t="s">
        <v>1</v>
      </c>
    </row>
    <row r="16" spans="1:30" ht="6" customHeight="1" x14ac:dyDescent="0.2">
      <c r="A16" s="37">
        <v>16</v>
      </c>
      <c r="B16" s="65" t="s">
        <v>199</v>
      </c>
      <c r="C16" s="69" t="s">
        <v>14</v>
      </c>
      <c r="D16" s="71" t="s">
        <v>132</v>
      </c>
      <c r="E16" s="71" t="s">
        <v>131</v>
      </c>
      <c r="F16" s="74" t="s">
        <v>90</v>
      </c>
      <c r="G16" s="52" t="s">
        <v>1</v>
      </c>
      <c r="H16" s="52" t="s">
        <v>1</v>
      </c>
      <c r="I16" s="52" t="s">
        <v>1</v>
      </c>
      <c r="J16" s="52" t="s">
        <v>1</v>
      </c>
      <c r="K16" s="52" t="s">
        <v>1</v>
      </c>
      <c r="L16" s="38" t="str">
        <f t="shared" si="4"/>
        <v>SomaSUS</v>
      </c>
      <c r="M16" s="38" t="str">
        <f t="shared" si="4"/>
        <v>SUS.Assistência.Médica</v>
      </c>
      <c r="N16" s="38" t="str">
        <f t="shared" si="4"/>
        <v>SUS.Equipamentos</v>
      </c>
      <c r="O16" s="38" t="str">
        <f t="shared" si="5"/>
        <v>SUS.Equipamento</v>
      </c>
      <c r="P16" s="38" t="s">
        <v>153</v>
      </c>
      <c r="Q16" s="38" t="s">
        <v>154</v>
      </c>
      <c r="R16" s="39" t="s">
        <v>220</v>
      </c>
      <c r="S16" s="67" t="s">
        <v>1</v>
      </c>
      <c r="T16" s="38" t="str">
        <f t="shared" si="6"/>
        <v>SUS.Assistência.Médica</v>
      </c>
      <c r="U16" s="38" t="str">
        <f t="shared" si="6"/>
        <v>SUS.Equipamentos</v>
      </c>
      <c r="V16" s="38" t="str">
        <f t="shared" si="6"/>
        <v>SUS.Equipamento</v>
      </c>
      <c r="W16" s="39" t="s">
        <v>229</v>
      </c>
      <c r="X16" s="42" t="str">
        <f t="shared" si="7"/>
        <v>Key-SUS-16</v>
      </c>
      <c r="Y16" s="39" t="s">
        <v>203</v>
      </c>
      <c r="Z16" s="50" t="s">
        <v>1</v>
      </c>
      <c r="AA16" s="39" t="s">
        <v>174</v>
      </c>
      <c r="AB16" s="50" t="s">
        <v>1</v>
      </c>
      <c r="AC16" s="40" t="s">
        <v>175</v>
      </c>
      <c r="AD16" s="39" t="s">
        <v>1</v>
      </c>
    </row>
    <row r="17" spans="1:30" ht="6" customHeight="1" x14ac:dyDescent="0.2">
      <c r="A17" s="37">
        <v>17</v>
      </c>
      <c r="B17" s="65" t="s">
        <v>199</v>
      </c>
      <c r="C17" s="69" t="s">
        <v>14</v>
      </c>
      <c r="D17" s="71" t="s">
        <v>132</v>
      </c>
      <c r="E17" s="71" t="s">
        <v>131</v>
      </c>
      <c r="F17" s="74" t="s">
        <v>91</v>
      </c>
      <c r="G17" s="52" t="s">
        <v>1</v>
      </c>
      <c r="H17" s="52" t="s">
        <v>1</v>
      </c>
      <c r="I17" s="52" t="s">
        <v>1</v>
      </c>
      <c r="J17" s="52" t="s">
        <v>1</v>
      </c>
      <c r="K17" s="52" t="s">
        <v>1</v>
      </c>
      <c r="L17" s="38" t="str">
        <f t="shared" si="4"/>
        <v>SomaSUS</v>
      </c>
      <c r="M17" s="38" t="str">
        <f t="shared" si="4"/>
        <v>SUS.Assistência.Médica</v>
      </c>
      <c r="N17" s="38" t="str">
        <f t="shared" si="4"/>
        <v>SUS.Equipamentos</v>
      </c>
      <c r="O17" s="38" t="str">
        <f t="shared" si="5"/>
        <v>SUS.Dispositivo</v>
      </c>
      <c r="P17" s="38" t="s">
        <v>124</v>
      </c>
      <c r="Q17" s="38" t="s">
        <v>155</v>
      </c>
      <c r="R17" s="39" t="s">
        <v>221</v>
      </c>
      <c r="S17" s="67" t="s">
        <v>1</v>
      </c>
      <c r="T17" s="38" t="str">
        <f t="shared" si="6"/>
        <v>SUS.Assistência.Médica</v>
      </c>
      <c r="U17" s="38" t="str">
        <f t="shared" si="6"/>
        <v>SUS.Equipamentos</v>
      </c>
      <c r="V17" s="38" t="str">
        <f t="shared" si="6"/>
        <v>SUS.Dispositivo</v>
      </c>
      <c r="W17" s="39" t="s">
        <v>229</v>
      </c>
      <c r="X17" s="42" t="str">
        <f t="shared" si="7"/>
        <v>Key-SUS-17</v>
      </c>
      <c r="Y17" s="39" t="s">
        <v>203</v>
      </c>
      <c r="Z17" s="50" t="s">
        <v>1</v>
      </c>
      <c r="AA17" s="39" t="s">
        <v>174</v>
      </c>
      <c r="AB17" s="50" t="s">
        <v>1</v>
      </c>
      <c r="AC17" s="40" t="s">
        <v>175</v>
      </c>
      <c r="AD17" s="39" t="s">
        <v>1</v>
      </c>
    </row>
    <row r="18" spans="1:30" ht="6" customHeight="1" x14ac:dyDescent="0.2">
      <c r="A18" s="37">
        <v>18</v>
      </c>
      <c r="B18" s="65" t="s">
        <v>199</v>
      </c>
      <c r="C18" s="69" t="s">
        <v>14</v>
      </c>
      <c r="D18" s="71" t="s">
        <v>132</v>
      </c>
      <c r="E18" s="71" t="s">
        <v>131</v>
      </c>
      <c r="F18" s="74" t="s">
        <v>142</v>
      </c>
      <c r="G18" s="52" t="s">
        <v>1</v>
      </c>
      <c r="H18" s="52" t="s">
        <v>1</v>
      </c>
      <c r="I18" s="52" t="s">
        <v>1</v>
      </c>
      <c r="J18" s="52" t="s">
        <v>1</v>
      </c>
      <c r="K18" s="52" t="s">
        <v>1</v>
      </c>
      <c r="L18" s="38" t="str">
        <f t="shared" si="4"/>
        <v>SomaSUS</v>
      </c>
      <c r="M18" s="38" t="str">
        <f t="shared" si="4"/>
        <v>SUS.Assistência.Médica</v>
      </c>
      <c r="N18" s="38" t="str">
        <f t="shared" si="4"/>
        <v>SUS.Equipamentos</v>
      </c>
      <c r="O18" s="38" t="str">
        <f t="shared" si="5"/>
        <v>SUS.Instrumento</v>
      </c>
      <c r="P18" s="38" t="s">
        <v>143</v>
      </c>
      <c r="Q18" s="38" t="s">
        <v>156</v>
      </c>
      <c r="R18" s="39" t="s">
        <v>222</v>
      </c>
      <c r="S18" s="67" t="s">
        <v>1</v>
      </c>
      <c r="T18" s="38" t="str">
        <f t="shared" si="6"/>
        <v>SUS.Assistência.Médica</v>
      </c>
      <c r="U18" s="38" t="str">
        <f t="shared" si="6"/>
        <v>SUS.Equipamentos</v>
      </c>
      <c r="V18" s="38" t="str">
        <f t="shared" si="6"/>
        <v>SUS.Instrumento</v>
      </c>
      <c r="W18" s="39" t="s">
        <v>229</v>
      </c>
      <c r="X18" s="42" t="str">
        <f t="shared" si="7"/>
        <v>Key-SUS-18</v>
      </c>
      <c r="Y18" s="39" t="s">
        <v>203</v>
      </c>
      <c r="Z18" s="50" t="s">
        <v>1</v>
      </c>
      <c r="AA18" s="39" t="s">
        <v>174</v>
      </c>
      <c r="AB18" s="50" t="s">
        <v>1</v>
      </c>
      <c r="AC18" s="40" t="s">
        <v>175</v>
      </c>
      <c r="AD18" s="39" t="s">
        <v>1</v>
      </c>
    </row>
    <row r="19" spans="1:30" customFormat="1" ht="6" customHeight="1" x14ac:dyDescent="0.25">
      <c r="A19" s="37">
        <v>19</v>
      </c>
      <c r="B19" s="65" t="s">
        <v>199</v>
      </c>
      <c r="C19" s="69" t="s">
        <v>14</v>
      </c>
      <c r="D19" s="71" t="s">
        <v>132</v>
      </c>
      <c r="E19" s="71" t="s">
        <v>131</v>
      </c>
      <c r="F19" s="74" t="s">
        <v>144</v>
      </c>
      <c r="G19" s="52" t="s">
        <v>1</v>
      </c>
      <c r="H19" s="52" t="s">
        <v>1</v>
      </c>
      <c r="I19" s="52" t="s">
        <v>1</v>
      </c>
      <c r="J19" s="52" t="s">
        <v>1</v>
      </c>
      <c r="K19" s="52" t="s">
        <v>1</v>
      </c>
      <c r="L19" s="38" t="str">
        <f t="shared" si="4"/>
        <v>SomaSUS</v>
      </c>
      <c r="M19" s="38" t="str">
        <f t="shared" si="4"/>
        <v>SUS.Assistência.Médica</v>
      </c>
      <c r="N19" s="38" t="str">
        <f t="shared" si="4"/>
        <v>SUS.Equipamentos</v>
      </c>
      <c r="O19" s="38" t="str">
        <f t="shared" si="5"/>
        <v>SUS.Mobília.de.Saúde</v>
      </c>
      <c r="P19" s="38" t="s">
        <v>125</v>
      </c>
      <c r="Q19" s="38" t="s">
        <v>126</v>
      </c>
      <c r="R19" s="39" t="s">
        <v>223</v>
      </c>
      <c r="S19" s="67" t="s">
        <v>1</v>
      </c>
      <c r="T19" s="38" t="str">
        <f t="shared" si="6"/>
        <v>SUS.Assistência.Médica</v>
      </c>
      <c r="U19" s="38" t="str">
        <f t="shared" si="6"/>
        <v>SUS.Equipamentos</v>
      </c>
      <c r="V19" s="38" t="str">
        <f t="shared" si="6"/>
        <v>SUS.Mobília.de.Saúde</v>
      </c>
      <c r="W19" s="39" t="s">
        <v>229</v>
      </c>
      <c r="X19" s="42" t="str">
        <f t="shared" si="7"/>
        <v>Key-SUS-19</v>
      </c>
      <c r="Y19" s="39" t="s">
        <v>176</v>
      </c>
      <c r="Z19" s="50" t="s">
        <v>1</v>
      </c>
      <c r="AA19" s="39" t="s">
        <v>177</v>
      </c>
      <c r="AB19" s="50" t="s">
        <v>1</v>
      </c>
      <c r="AC19" s="40" t="s">
        <v>175</v>
      </c>
      <c r="AD19" s="39" t="s">
        <v>1</v>
      </c>
    </row>
    <row r="20" spans="1:30" customFormat="1" ht="6" customHeight="1" x14ac:dyDescent="0.25">
      <c r="A20" s="37">
        <v>20</v>
      </c>
      <c r="B20" s="65" t="s">
        <v>199</v>
      </c>
      <c r="C20" s="69" t="s">
        <v>14</v>
      </c>
      <c r="D20" s="71" t="s">
        <v>132</v>
      </c>
      <c r="E20" s="71" t="s">
        <v>157</v>
      </c>
      <c r="F20" s="74" t="s">
        <v>92</v>
      </c>
      <c r="G20" s="52" t="s">
        <v>1</v>
      </c>
      <c r="H20" s="52" t="s">
        <v>1</v>
      </c>
      <c r="I20" s="52" t="s">
        <v>1</v>
      </c>
      <c r="J20" s="52" t="s">
        <v>1</v>
      </c>
      <c r="K20" s="52" t="s">
        <v>1</v>
      </c>
      <c r="L20" s="38" t="str">
        <f t="shared" si="4"/>
        <v>SomaSUS</v>
      </c>
      <c r="M20" s="38" t="str">
        <f t="shared" si="4"/>
        <v>SUS.Assistência.Médica</v>
      </c>
      <c r="N20" s="38" t="str">
        <f t="shared" si="4"/>
        <v>SUS.Hotelaria</v>
      </c>
      <c r="O20" s="38" t="str">
        <f t="shared" si="5"/>
        <v>SUS.Mobília</v>
      </c>
      <c r="P20" s="38" t="s">
        <v>125</v>
      </c>
      <c r="Q20" s="38" t="s">
        <v>126</v>
      </c>
      <c r="R20" s="39" t="s">
        <v>223</v>
      </c>
      <c r="S20" s="67" t="s">
        <v>1</v>
      </c>
      <c r="T20" s="38" t="str">
        <f t="shared" si="6"/>
        <v>SUS.Assistência.Médica</v>
      </c>
      <c r="U20" s="38" t="str">
        <f t="shared" si="6"/>
        <v>SUS.Hotelaria</v>
      </c>
      <c r="V20" s="38" t="str">
        <f t="shared" si="6"/>
        <v>SUS.Mobília</v>
      </c>
      <c r="W20" s="39" t="s">
        <v>229</v>
      </c>
      <c r="X20" s="42" t="str">
        <f t="shared" si="7"/>
        <v>Key-SUS-20</v>
      </c>
      <c r="Y20" s="39" t="s">
        <v>176</v>
      </c>
      <c r="Z20" s="50" t="s">
        <v>1</v>
      </c>
      <c r="AA20" s="39" t="s">
        <v>177</v>
      </c>
      <c r="AB20" s="50" t="s">
        <v>1</v>
      </c>
      <c r="AC20" s="40" t="s">
        <v>175</v>
      </c>
      <c r="AD20" s="39" t="s">
        <v>1</v>
      </c>
    </row>
    <row r="21" spans="1:30" customFormat="1" ht="6" customHeight="1" x14ac:dyDescent="0.25">
      <c r="A21" s="37">
        <v>21</v>
      </c>
      <c r="B21" s="65" t="s">
        <v>199</v>
      </c>
      <c r="C21" s="69" t="s">
        <v>14</v>
      </c>
      <c r="D21" s="71" t="s">
        <v>132</v>
      </c>
      <c r="E21" s="71" t="s">
        <v>157</v>
      </c>
      <c r="F21" s="74" t="s">
        <v>158</v>
      </c>
      <c r="G21" s="52" t="s">
        <v>1</v>
      </c>
      <c r="H21" s="52" t="s">
        <v>1</v>
      </c>
      <c r="I21" s="52" t="s">
        <v>1</v>
      </c>
      <c r="J21" s="52" t="s">
        <v>1</v>
      </c>
      <c r="K21" s="52" t="s">
        <v>1</v>
      </c>
      <c r="L21" s="38" t="str">
        <f t="shared" si="4"/>
        <v>SomaSUS</v>
      </c>
      <c r="M21" s="38" t="str">
        <f t="shared" si="4"/>
        <v>SUS.Assistência.Médica</v>
      </c>
      <c r="N21" s="38" t="str">
        <f t="shared" si="4"/>
        <v>SUS.Hotelaria</v>
      </c>
      <c r="O21" s="38" t="str">
        <f t="shared" si="5"/>
        <v>SUS.Roupa</v>
      </c>
      <c r="P21" s="38" t="s">
        <v>145</v>
      </c>
      <c r="Q21" s="38" t="s">
        <v>146</v>
      </c>
      <c r="R21" s="39" t="s">
        <v>224</v>
      </c>
      <c r="S21" s="67" t="s">
        <v>1</v>
      </c>
      <c r="T21" s="38" t="str">
        <f t="shared" si="6"/>
        <v>SUS.Assistência.Médica</v>
      </c>
      <c r="U21" s="38" t="str">
        <f t="shared" si="6"/>
        <v>SUS.Hotelaria</v>
      </c>
      <c r="V21" s="38" t="str">
        <f t="shared" si="6"/>
        <v>SUS.Roupa</v>
      </c>
      <c r="W21" s="39" t="s">
        <v>229</v>
      </c>
      <c r="X21" s="42" t="str">
        <f t="shared" si="7"/>
        <v>Key-SUS-21</v>
      </c>
      <c r="Y21" s="39" t="s">
        <v>176</v>
      </c>
      <c r="Z21" s="50" t="s">
        <v>1</v>
      </c>
      <c r="AA21" s="39" t="s">
        <v>177</v>
      </c>
      <c r="AB21" s="50" t="s">
        <v>1</v>
      </c>
      <c r="AC21" s="40" t="s">
        <v>175</v>
      </c>
      <c r="AD21" s="39" t="s">
        <v>1</v>
      </c>
    </row>
    <row r="22" spans="1:30" customFormat="1" ht="6" customHeight="1" x14ac:dyDescent="0.25">
      <c r="A22" s="37">
        <v>22</v>
      </c>
      <c r="B22" s="65" t="s">
        <v>199</v>
      </c>
      <c r="C22" s="69" t="s">
        <v>14</v>
      </c>
      <c r="D22" s="71" t="s">
        <v>132</v>
      </c>
      <c r="E22" s="71" t="s">
        <v>157</v>
      </c>
      <c r="F22" s="74" t="s">
        <v>147</v>
      </c>
      <c r="G22" s="52" t="s">
        <v>1</v>
      </c>
      <c r="H22" s="52" t="s">
        <v>1</v>
      </c>
      <c r="I22" s="52" t="s">
        <v>1</v>
      </c>
      <c r="J22" s="52" t="s">
        <v>1</v>
      </c>
      <c r="K22" s="52" t="s">
        <v>1</v>
      </c>
      <c r="L22" s="38" t="str">
        <f t="shared" ref="L22:N27" si="8">CONCATENATE("", C22)</f>
        <v>SomaSUS</v>
      </c>
      <c r="M22" s="38" t="str">
        <f t="shared" si="8"/>
        <v>SUS.Assistência.Médica</v>
      </c>
      <c r="N22" s="38" t="str">
        <f t="shared" si="8"/>
        <v>SUS.Hotelaria</v>
      </c>
      <c r="O22" s="38" t="str">
        <f t="shared" si="5"/>
        <v>SUS.Alimentação</v>
      </c>
      <c r="P22" s="38" t="s">
        <v>148</v>
      </c>
      <c r="Q22" s="38" t="s">
        <v>149</v>
      </c>
      <c r="R22" s="39" t="s">
        <v>225</v>
      </c>
      <c r="S22" s="67" t="s">
        <v>1</v>
      </c>
      <c r="T22" s="38" t="str">
        <f t="shared" ref="T22:V22" si="9">SUBSTITUTE(D22, "_", " ")</f>
        <v>SUS.Assistência.Médica</v>
      </c>
      <c r="U22" s="38" t="str">
        <f t="shared" si="9"/>
        <v>SUS.Hotelaria</v>
      </c>
      <c r="V22" s="38" t="str">
        <f t="shared" si="9"/>
        <v>SUS.Alimentação</v>
      </c>
      <c r="W22" s="39" t="s">
        <v>229</v>
      </c>
      <c r="X22" s="42" t="str">
        <f t="shared" si="7"/>
        <v>Key-SUS-22</v>
      </c>
      <c r="Y22" s="39" t="s">
        <v>176</v>
      </c>
      <c r="Z22" s="50" t="s">
        <v>1</v>
      </c>
      <c r="AA22" s="39" t="s">
        <v>177</v>
      </c>
      <c r="AB22" s="50" t="s">
        <v>1</v>
      </c>
      <c r="AC22" s="40" t="s">
        <v>175</v>
      </c>
      <c r="AD22" s="39" t="s">
        <v>1</v>
      </c>
    </row>
    <row r="23" spans="1:30" s="68" customFormat="1" ht="6.75" customHeight="1" x14ac:dyDescent="0.25">
      <c r="A23" s="37">
        <v>23</v>
      </c>
      <c r="B23" s="65" t="s">
        <v>274</v>
      </c>
      <c r="C23" s="66" t="s">
        <v>275</v>
      </c>
      <c r="D23" s="66" t="s">
        <v>276</v>
      </c>
      <c r="E23" s="66" t="s">
        <v>277</v>
      </c>
      <c r="F23" s="66" t="s">
        <v>253</v>
      </c>
      <c r="G23" s="62" t="s">
        <v>1</v>
      </c>
      <c r="H23" s="62" t="s">
        <v>1</v>
      </c>
      <c r="I23" s="62" t="s">
        <v>1</v>
      </c>
      <c r="J23" s="62" t="s">
        <v>1</v>
      </c>
      <c r="K23" s="62" t="s">
        <v>1</v>
      </c>
      <c r="L23" s="38" t="str">
        <f t="shared" si="8"/>
        <v>API.Plataforma</v>
      </c>
      <c r="M23" s="38" t="str">
        <f t="shared" si="8"/>
        <v>API.Macros</v>
      </c>
      <c r="N23" s="38" t="str">
        <f t="shared" ref="N23:O27" si="10">(SUBSTITUTE(SUBSTITUTE(CONCATENATE("",E23),"."," ")," De "," de "))</f>
        <v>API Método</v>
      </c>
      <c r="O23" s="38" t="str">
        <f t="shared" si="10"/>
        <v>Função Auxiliar</v>
      </c>
      <c r="P23" s="39" t="s">
        <v>254</v>
      </c>
      <c r="Q23" s="39" t="s">
        <v>255</v>
      </c>
      <c r="R23" s="39" t="s">
        <v>256</v>
      </c>
      <c r="S23" s="67" t="s">
        <v>1</v>
      </c>
      <c r="T23" s="39" t="str">
        <f t="shared" ref="T23:V27" si="11">SUBSTITUTE(C23, ".", " ")</f>
        <v>API Plataforma</v>
      </c>
      <c r="U23" s="39" t="str">
        <f t="shared" si="11"/>
        <v>API Macros</v>
      </c>
      <c r="V23" s="40" t="str">
        <f t="shared" si="11"/>
        <v>API Método</v>
      </c>
      <c r="W23" s="39" t="s">
        <v>229</v>
      </c>
      <c r="X23" s="42" t="str">
        <f t="shared" si="7"/>
        <v>Key-SUS-23</v>
      </c>
      <c r="Y23" s="50" t="s">
        <v>1</v>
      </c>
      <c r="Z23" s="50" t="s">
        <v>1</v>
      </c>
      <c r="AA23" s="50" t="s">
        <v>1</v>
      </c>
      <c r="AB23" s="50" t="s">
        <v>1</v>
      </c>
      <c r="AC23" s="50" t="s">
        <v>1</v>
      </c>
      <c r="AD23" s="50" t="s">
        <v>1</v>
      </c>
    </row>
    <row r="24" spans="1:30" s="68" customFormat="1" ht="6.75" customHeight="1" x14ac:dyDescent="0.25">
      <c r="A24" s="37">
        <v>24</v>
      </c>
      <c r="B24" s="65" t="s">
        <v>274</v>
      </c>
      <c r="C24" s="66" t="s">
        <v>275</v>
      </c>
      <c r="D24" s="66" t="s">
        <v>276</v>
      </c>
      <c r="E24" s="66" t="s">
        <v>277</v>
      </c>
      <c r="F24" s="66" t="s">
        <v>257</v>
      </c>
      <c r="G24" s="62" t="s">
        <v>1</v>
      </c>
      <c r="H24" s="62" t="s">
        <v>1</v>
      </c>
      <c r="I24" s="62" t="s">
        <v>1</v>
      </c>
      <c r="J24" s="62" t="s">
        <v>1</v>
      </c>
      <c r="K24" s="62" t="s">
        <v>1</v>
      </c>
      <c r="L24" s="38" t="str">
        <f t="shared" si="8"/>
        <v>API.Plataforma</v>
      </c>
      <c r="M24" s="38" t="str">
        <f t="shared" si="8"/>
        <v>API.Macros</v>
      </c>
      <c r="N24" s="38" t="str">
        <f t="shared" si="10"/>
        <v>API Método</v>
      </c>
      <c r="O24" s="38" t="str">
        <f t="shared" si="10"/>
        <v>Função Global</v>
      </c>
      <c r="P24" s="39" t="s">
        <v>258</v>
      </c>
      <c r="Q24" s="39" t="s">
        <v>259</v>
      </c>
      <c r="R24" s="39" t="s">
        <v>260</v>
      </c>
      <c r="S24" s="67" t="s">
        <v>1</v>
      </c>
      <c r="T24" s="39" t="str">
        <f t="shared" si="11"/>
        <v>API Plataforma</v>
      </c>
      <c r="U24" s="39" t="str">
        <f t="shared" si="11"/>
        <v>API Macros</v>
      </c>
      <c r="V24" s="40" t="str">
        <f t="shared" si="11"/>
        <v>API Método</v>
      </c>
      <c r="W24" s="39" t="s">
        <v>229</v>
      </c>
      <c r="X24" s="42" t="str">
        <f t="shared" si="7"/>
        <v>Key-SUS-24</v>
      </c>
      <c r="Y24" s="50" t="s">
        <v>1</v>
      </c>
      <c r="Z24" s="50" t="s">
        <v>1</v>
      </c>
      <c r="AA24" s="50" t="s">
        <v>1</v>
      </c>
      <c r="AB24" s="50" t="s">
        <v>1</v>
      </c>
      <c r="AC24" s="50" t="s">
        <v>1</v>
      </c>
      <c r="AD24" s="50" t="s">
        <v>1</v>
      </c>
    </row>
    <row r="25" spans="1:30" s="68" customFormat="1" ht="6.75" customHeight="1" x14ac:dyDescent="0.25">
      <c r="A25" s="37">
        <v>25</v>
      </c>
      <c r="B25" s="65" t="s">
        <v>274</v>
      </c>
      <c r="C25" s="66" t="s">
        <v>275</v>
      </c>
      <c r="D25" s="66" t="s">
        <v>276</v>
      </c>
      <c r="E25" s="66" t="s">
        <v>277</v>
      </c>
      <c r="F25" s="66" t="s">
        <v>261</v>
      </c>
      <c r="G25" s="62" t="s">
        <v>1</v>
      </c>
      <c r="H25" s="62" t="s">
        <v>1</v>
      </c>
      <c r="I25" s="62" t="s">
        <v>1</v>
      </c>
      <c r="J25" s="62" t="s">
        <v>1</v>
      </c>
      <c r="K25" s="62" t="s">
        <v>1</v>
      </c>
      <c r="L25" s="38" t="str">
        <f t="shared" si="8"/>
        <v>API.Plataforma</v>
      </c>
      <c r="M25" s="38" t="str">
        <f t="shared" si="8"/>
        <v>API.Macros</v>
      </c>
      <c r="N25" s="38" t="str">
        <f t="shared" si="10"/>
        <v>API Método</v>
      </c>
      <c r="O25" s="38" t="str">
        <f t="shared" si="10"/>
        <v>Função Local</v>
      </c>
      <c r="P25" s="39" t="s">
        <v>262</v>
      </c>
      <c r="Q25" s="39" t="s">
        <v>263</v>
      </c>
      <c r="R25" s="39" t="s">
        <v>264</v>
      </c>
      <c r="S25" s="67" t="s">
        <v>1</v>
      </c>
      <c r="T25" s="39" t="str">
        <f t="shared" si="11"/>
        <v>API Plataforma</v>
      </c>
      <c r="U25" s="39" t="str">
        <f t="shared" si="11"/>
        <v>API Macros</v>
      </c>
      <c r="V25" s="40" t="str">
        <f t="shared" si="11"/>
        <v>API Método</v>
      </c>
      <c r="W25" s="39" t="s">
        <v>229</v>
      </c>
      <c r="X25" s="42" t="str">
        <f t="shared" si="7"/>
        <v>Key-SUS-25</v>
      </c>
      <c r="Y25" s="50" t="s">
        <v>1</v>
      </c>
      <c r="Z25" s="50" t="s">
        <v>1</v>
      </c>
      <c r="AA25" s="50" t="s">
        <v>1</v>
      </c>
      <c r="AB25" s="50" t="s">
        <v>1</v>
      </c>
      <c r="AC25" s="50" t="s">
        <v>1</v>
      </c>
      <c r="AD25" s="50" t="s">
        <v>1</v>
      </c>
    </row>
    <row r="26" spans="1:30" s="68" customFormat="1" ht="6.75" customHeight="1" x14ac:dyDescent="0.25">
      <c r="A26" s="37">
        <v>26</v>
      </c>
      <c r="B26" s="65" t="s">
        <v>274</v>
      </c>
      <c r="C26" s="66" t="s">
        <v>275</v>
      </c>
      <c r="D26" s="66" t="s">
        <v>276</v>
      </c>
      <c r="E26" s="66" t="s">
        <v>277</v>
      </c>
      <c r="F26" s="66" t="s">
        <v>265</v>
      </c>
      <c r="G26" s="62" t="s">
        <v>1</v>
      </c>
      <c r="H26" s="62" t="s">
        <v>1</v>
      </c>
      <c r="I26" s="62" t="s">
        <v>1</v>
      </c>
      <c r="J26" s="62" t="s">
        <v>1</v>
      </c>
      <c r="K26" s="62" t="s">
        <v>1</v>
      </c>
      <c r="L26" s="38" t="str">
        <f t="shared" si="8"/>
        <v>API.Plataforma</v>
      </c>
      <c r="M26" s="38" t="str">
        <f t="shared" si="8"/>
        <v>API.Macros</v>
      </c>
      <c r="N26" s="38" t="str">
        <f t="shared" si="10"/>
        <v>API Método</v>
      </c>
      <c r="O26" s="38" t="str">
        <f t="shared" si="10"/>
        <v>Função Filtro</v>
      </c>
      <c r="P26" s="39" t="s">
        <v>266</v>
      </c>
      <c r="Q26" s="39" t="s">
        <v>267</v>
      </c>
      <c r="R26" s="39" t="s">
        <v>268</v>
      </c>
      <c r="S26" s="67" t="s">
        <v>1</v>
      </c>
      <c r="T26" s="39" t="str">
        <f t="shared" si="11"/>
        <v>API Plataforma</v>
      </c>
      <c r="U26" s="39" t="str">
        <f t="shared" si="11"/>
        <v>API Macros</v>
      </c>
      <c r="V26" s="40" t="str">
        <f t="shared" si="11"/>
        <v>API Método</v>
      </c>
      <c r="W26" s="39" t="s">
        <v>229</v>
      </c>
      <c r="X26" s="42" t="str">
        <f t="shared" si="7"/>
        <v>Key-SUS-26</v>
      </c>
      <c r="Y26" s="50" t="s">
        <v>1</v>
      </c>
      <c r="Z26" s="50" t="s">
        <v>1</v>
      </c>
      <c r="AA26" s="50" t="s">
        <v>1</v>
      </c>
      <c r="AB26" s="50" t="s">
        <v>1</v>
      </c>
      <c r="AC26" s="50" t="s">
        <v>1</v>
      </c>
      <c r="AD26" s="50" t="s">
        <v>1</v>
      </c>
    </row>
    <row r="27" spans="1:30" s="68" customFormat="1" ht="6.75" customHeight="1" x14ac:dyDescent="0.25">
      <c r="A27" s="37">
        <v>27</v>
      </c>
      <c r="B27" s="65" t="s">
        <v>274</v>
      </c>
      <c r="C27" s="66" t="s">
        <v>275</v>
      </c>
      <c r="D27" s="66" t="s">
        <v>278</v>
      </c>
      <c r="E27" s="66" t="s">
        <v>279</v>
      </c>
      <c r="F27" s="66" t="s">
        <v>269</v>
      </c>
      <c r="G27" s="62" t="s">
        <v>1</v>
      </c>
      <c r="H27" s="62" t="s">
        <v>1</v>
      </c>
      <c r="I27" s="62" t="s">
        <v>1</v>
      </c>
      <c r="J27" s="62" t="s">
        <v>1</v>
      </c>
      <c r="K27" s="62" t="s">
        <v>1</v>
      </c>
      <c r="L27" s="38" t="str">
        <f t="shared" si="8"/>
        <v>API.Plataforma</v>
      </c>
      <c r="M27" s="38" t="str">
        <f t="shared" si="8"/>
        <v>API.Macros.Visuais</v>
      </c>
      <c r="N27" s="38" t="str">
        <f t="shared" si="10"/>
        <v>API Método Visual</v>
      </c>
      <c r="O27" s="38" t="str">
        <f t="shared" si="10"/>
        <v>Bloco de Código</v>
      </c>
      <c r="P27" s="39" t="s">
        <v>270</v>
      </c>
      <c r="Q27" s="39" t="s">
        <v>271</v>
      </c>
      <c r="R27" s="39" t="s">
        <v>272</v>
      </c>
      <c r="S27" s="67" t="s">
        <v>1</v>
      </c>
      <c r="T27" s="39" t="str">
        <f t="shared" si="11"/>
        <v>API Plataforma</v>
      </c>
      <c r="U27" s="39" t="str">
        <f t="shared" si="11"/>
        <v>API Macros Visuais</v>
      </c>
      <c r="V27" s="40" t="str">
        <f t="shared" si="11"/>
        <v>API Método Visual</v>
      </c>
      <c r="W27" s="39" t="s">
        <v>229</v>
      </c>
      <c r="X27" s="42" t="str">
        <f t="shared" si="7"/>
        <v>Key-SUS-27</v>
      </c>
      <c r="Y27" s="50" t="s">
        <v>1</v>
      </c>
      <c r="Z27" s="50" t="s">
        <v>1</v>
      </c>
      <c r="AA27" s="50" t="s">
        <v>1</v>
      </c>
      <c r="AB27" s="50" t="s">
        <v>1</v>
      </c>
      <c r="AC27" s="50" t="s">
        <v>1</v>
      </c>
      <c r="AD27" s="50" t="s">
        <v>1</v>
      </c>
    </row>
  </sheetData>
  <phoneticPr fontId="1" type="noConversion"/>
  <conditionalFormatting sqref="A23:A27">
    <cfRule type="cellIs" dxfId="34" priority="3" operator="equal">
      <formula>"null"</formula>
    </cfRule>
  </conditionalFormatting>
  <conditionalFormatting sqref="A2:B22">
    <cfRule type="cellIs" dxfId="33" priority="5" operator="equal">
      <formula>"null"</formula>
    </cfRule>
  </conditionalFormatting>
  <conditionalFormatting sqref="D2:F2 L2:Q22">
    <cfRule type="cellIs" dxfId="32" priority="16" operator="equal">
      <formula>"null"</formula>
    </cfRule>
  </conditionalFormatting>
  <conditionalFormatting sqref="D3:F22">
    <cfRule type="cellIs" dxfId="31" priority="22" operator="equal">
      <formula>"null"</formula>
    </cfRule>
  </conditionalFormatting>
  <conditionalFormatting sqref="F2">
    <cfRule type="duplicateValues" dxfId="30" priority="17"/>
  </conditionalFormatting>
  <conditionalFormatting sqref="F3:F18">
    <cfRule type="duplicateValues" dxfId="29" priority="28"/>
  </conditionalFormatting>
  <conditionalFormatting sqref="F19:F22">
    <cfRule type="duplicateValues" dxfId="28" priority="21"/>
    <cfRule type="duplicateValues" dxfId="27" priority="23"/>
    <cfRule type="duplicateValues" dxfId="26" priority="24"/>
    <cfRule type="duplicateValues" dxfId="25" priority="25"/>
    <cfRule type="duplicateValues" dxfId="24" priority="26"/>
    <cfRule type="duplicateValues" dxfId="23" priority="27"/>
  </conditionalFormatting>
  <conditionalFormatting sqref="F23:F27">
    <cfRule type="duplicateValues" dxfId="22" priority="1"/>
    <cfRule type="duplicateValues" dxfId="21" priority="2"/>
  </conditionalFormatting>
  <conditionalFormatting sqref="R1:R22">
    <cfRule type="cellIs" dxfId="20" priority="8" operator="equal">
      <formula>"null"</formula>
    </cfRule>
  </conditionalFormatting>
  <conditionalFormatting sqref="T2:W22">
    <cfRule type="cellIs" dxfId="19" priority="15" operator="equal">
      <formula>"null"</formula>
    </cfRule>
  </conditionalFormatting>
  <conditionalFormatting sqref="W23:W27">
    <cfRule type="cellIs" dxfId="18" priority="4" operator="equal">
      <formula>"null"</formula>
    </cfRule>
  </conditionalFormatting>
  <conditionalFormatting sqref="AC2:AC22 AE2:XFD22 Y3:Y22 AA3:AA22">
    <cfRule type="cellIs" dxfId="17" priority="14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S1:X1 AE1:XFD1 AC28:XFD1048576 A28:P1048576 A1:P1 AA28:AA1048576 S28:Y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2"/>
  <sheetViews>
    <sheetView zoomScale="220" zoomScaleNormal="220" workbookViewId="0"/>
  </sheetViews>
  <sheetFormatPr defaultColWidth="5.42578125" defaultRowHeight="7.9" customHeight="1" x14ac:dyDescent="0.15"/>
  <cols>
    <col min="1" max="1" width="2.5703125" style="6" bestFit="1" customWidth="1"/>
    <col min="2" max="4" width="6" style="7" customWidth="1"/>
    <col min="5" max="10" width="4.7109375" style="7" bestFit="1" customWidth="1"/>
    <col min="11" max="11" width="4.7109375" style="5" bestFit="1" customWidth="1"/>
    <col min="12" max="12" width="4.42578125" style="5" bestFit="1" customWidth="1"/>
    <col min="13" max="20" width="4.7109375" style="5" bestFit="1" customWidth="1"/>
    <col min="21" max="21" width="4" style="5" bestFit="1" customWidth="1"/>
    <col min="22" max="16384" width="5.42578125" style="5"/>
  </cols>
  <sheetData>
    <row r="1" spans="1:21" s="4" customFormat="1" ht="26.25" customHeight="1" x14ac:dyDescent="0.15">
      <c r="A1" s="28" t="s">
        <v>13</v>
      </c>
      <c r="B1" s="29" t="s">
        <v>15</v>
      </c>
      <c r="C1" s="29" t="s">
        <v>16</v>
      </c>
      <c r="D1" s="29" t="s">
        <v>17</v>
      </c>
      <c r="E1" s="29" t="s">
        <v>18</v>
      </c>
      <c r="F1" s="29" t="s">
        <v>19</v>
      </c>
      <c r="G1" s="29" t="s">
        <v>20</v>
      </c>
      <c r="H1" s="29" t="s">
        <v>21</v>
      </c>
      <c r="I1" s="29" t="s">
        <v>22</v>
      </c>
      <c r="J1" s="29" t="s">
        <v>23</v>
      </c>
      <c r="K1" s="29" t="s">
        <v>2</v>
      </c>
      <c r="L1" s="29" t="s">
        <v>3</v>
      </c>
      <c r="M1" s="29" t="s">
        <v>4</v>
      </c>
      <c r="N1" s="29" t="s">
        <v>5</v>
      </c>
      <c r="O1" s="29" t="s">
        <v>6</v>
      </c>
      <c r="P1" s="29" t="s">
        <v>7</v>
      </c>
      <c r="Q1" s="29" t="s">
        <v>8</v>
      </c>
      <c r="R1" s="29" t="s">
        <v>9</v>
      </c>
      <c r="S1" s="29" t="s">
        <v>10</v>
      </c>
      <c r="T1" s="29" t="s">
        <v>11</v>
      </c>
      <c r="U1" s="29" t="s">
        <v>12</v>
      </c>
    </row>
    <row r="2" spans="1:21" ht="9.75" customHeight="1" x14ac:dyDescent="0.15">
      <c r="A2" s="28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</row>
  </sheetData>
  <phoneticPr fontId="1" type="noConversion"/>
  <conditionalFormatting sqref="A1:XFD1048576">
    <cfRule type="cellIs" dxfId="16" priority="1" operator="equal">
      <formula>"null"</formula>
    </cfRule>
  </conditionalFormatting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6A8C-1CEB-46D6-A1F4-67CE8A835CC9}">
  <sheetPr codeName="Planilha4"/>
  <dimension ref="A1:C2"/>
  <sheetViews>
    <sheetView zoomScale="265" zoomScaleNormal="265" workbookViewId="0">
      <selection activeCell="A2" sqref="A2:XFD2"/>
    </sheetView>
  </sheetViews>
  <sheetFormatPr defaultRowHeight="15" x14ac:dyDescent="0.25"/>
  <cols>
    <col min="1" max="1" width="3.28515625" customWidth="1"/>
    <col min="2" max="2" width="16.28515625" customWidth="1"/>
    <col min="3" max="3" width="19.42578125" customWidth="1"/>
  </cols>
  <sheetData>
    <row r="1" spans="1:3" x14ac:dyDescent="0.25">
      <c r="A1" s="9">
        <v>1</v>
      </c>
      <c r="B1" s="10" t="s">
        <v>93</v>
      </c>
      <c r="C1" s="10" t="s">
        <v>94</v>
      </c>
    </row>
    <row r="2" spans="1:3" ht="9" customHeight="1" x14ac:dyDescent="0.25">
      <c r="A2" s="11">
        <v>2</v>
      </c>
      <c r="B2" s="12" t="s">
        <v>1</v>
      </c>
      <c r="C2" s="12" t="s">
        <v>1</v>
      </c>
    </row>
  </sheetData>
  <conditionalFormatting sqref="A1:A2">
    <cfRule type="cellIs" dxfId="15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128A-C40E-43D6-A351-FFD2E9954DB9}">
  <sheetPr codeName="Planilha5"/>
  <dimension ref="A1:W10"/>
  <sheetViews>
    <sheetView zoomScale="220" zoomScaleNormal="220" workbookViewId="0">
      <pane ySplit="1" topLeftCell="A2" activePane="bottomLeft" state="frozen"/>
      <selection pane="bottomLeft" activeCell="C14" sqref="C14"/>
    </sheetView>
  </sheetViews>
  <sheetFormatPr defaultRowHeight="7.5" customHeight="1" x14ac:dyDescent="0.25"/>
  <cols>
    <col min="1" max="1" width="3.140625" bestFit="1" customWidth="1"/>
    <col min="2" max="2" width="8.42578125" bestFit="1" customWidth="1"/>
    <col min="3" max="3" width="8.140625" customWidth="1"/>
    <col min="4" max="4" width="4.28515625" style="31" bestFit="1" customWidth="1"/>
    <col min="5" max="5" width="12.42578125" style="31" customWidth="1"/>
    <col min="6" max="6" width="5.28515625" style="31" bestFit="1" customWidth="1"/>
    <col min="7" max="7" width="14.28515625" style="31" bestFit="1" customWidth="1"/>
    <col min="8" max="8" width="6" style="22" bestFit="1" customWidth="1"/>
    <col min="9" max="9" width="58.42578125" style="22" customWidth="1"/>
    <col min="10" max="10" width="7.28515625" style="31" bestFit="1" customWidth="1"/>
    <col min="11" max="11" width="7.28515625" style="31" customWidth="1"/>
    <col min="12" max="12" width="7.5703125" bestFit="1" customWidth="1"/>
    <col min="13" max="13" width="9.42578125" bestFit="1" customWidth="1"/>
    <col min="14" max="23" width="3.7109375" style="58" customWidth="1"/>
  </cols>
  <sheetData>
    <row r="1" spans="1:23" ht="18" customHeight="1" x14ac:dyDescent="0.25">
      <c r="A1" s="19" t="s">
        <v>24</v>
      </c>
      <c r="B1" s="20" t="s">
        <v>75</v>
      </c>
      <c r="C1" s="20" t="s">
        <v>75</v>
      </c>
      <c r="D1" s="20" t="s">
        <v>76</v>
      </c>
      <c r="E1" s="20" t="s">
        <v>48</v>
      </c>
      <c r="F1" s="20" t="s">
        <v>76</v>
      </c>
      <c r="G1" s="20" t="s">
        <v>48</v>
      </c>
      <c r="H1" s="21" t="s">
        <v>76</v>
      </c>
      <c r="I1" s="21" t="s">
        <v>48</v>
      </c>
      <c r="J1" s="20" t="s">
        <v>76</v>
      </c>
      <c r="K1" s="20" t="s">
        <v>48</v>
      </c>
      <c r="L1" s="20" t="s">
        <v>76</v>
      </c>
      <c r="M1" s="20" t="s">
        <v>48</v>
      </c>
      <c r="N1" s="59" t="s">
        <v>76</v>
      </c>
      <c r="O1" s="59" t="s">
        <v>48</v>
      </c>
      <c r="P1" s="59" t="s">
        <v>76</v>
      </c>
      <c r="Q1" s="59" t="s">
        <v>48</v>
      </c>
      <c r="R1" s="59" t="s">
        <v>76</v>
      </c>
      <c r="S1" s="59" t="s">
        <v>48</v>
      </c>
      <c r="T1" s="59" t="s">
        <v>76</v>
      </c>
      <c r="U1" s="59" t="s">
        <v>48</v>
      </c>
      <c r="V1" s="59" t="s">
        <v>76</v>
      </c>
      <c r="W1" s="59" t="s">
        <v>48</v>
      </c>
    </row>
    <row r="2" spans="1:23" ht="6.75" customHeight="1" x14ac:dyDescent="0.25">
      <c r="A2" s="23">
        <v>2</v>
      </c>
      <c r="B2" s="24" t="s">
        <v>78</v>
      </c>
      <c r="C2" s="64" t="s">
        <v>95</v>
      </c>
      <c r="D2" s="34" t="s">
        <v>83</v>
      </c>
      <c r="E2" s="30" t="s">
        <v>180</v>
      </c>
      <c r="F2" s="54" t="s">
        <v>232</v>
      </c>
      <c r="G2" s="55" t="s">
        <v>252</v>
      </c>
      <c r="H2" s="34" t="s">
        <v>84</v>
      </c>
      <c r="I2" s="35" t="s">
        <v>181</v>
      </c>
      <c r="J2" s="34" t="s">
        <v>179</v>
      </c>
      <c r="K2" s="30" t="s">
        <v>178</v>
      </c>
      <c r="L2" s="34" t="s">
        <v>1</v>
      </c>
      <c r="M2" s="30" t="s">
        <v>1</v>
      </c>
      <c r="N2" s="60" t="s">
        <v>1</v>
      </c>
      <c r="O2" s="61" t="s">
        <v>1</v>
      </c>
      <c r="P2" s="60" t="s">
        <v>1</v>
      </c>
      <c r="Q2" s="61" t="s">
        <v>1</v>
      </c>
      <c r="R2" s="60" t="s">
        <v>1</v>
      </c>
      <c r="S2" s="61" t="s">
        <v>1</v>
      </c>
      <c r="T2" s="60" t="s">
        <v>1</v>
      </c>
      <c r="U2" s="61" t="s">
        <v>1</v>
      </c>
      <c r="V2" s="60" t="s">
        <v>1</v>
      </c>
      <c r="W2" s="61" t="s">
        <v>1</v>
      </c>
    </row>
    <row r="3" spans="1:23" ht="6.75" customHeight="1" x14ac:dyDescent="0.25">
      <c r="A3" s="23">
        <v>3</v>
      </c>
      <c r="B3" s="24" t="s">
        <v>79</v>
      </c>
      <c r="C3" s="64" t="s">
        <v>95</v>
      </c>
      <c r="D3" s="34" t="s">
        <v>83</v>
      </c>
      <c r="E3" s="30" t="s">
        <v>180</v>
      </c>
      <c r="F3" s="54" t="s">
        <v>232</v>
      </c>
      <c r="G3" s="55" t="s">
        <v>252</v>
      </c>
      <c r="H3" s="34" t="s">
        <v>84</v>
      </c>
      <c r="I3" s="35" t="s">
        <v>184</v>
      </c>
      <c r="J3" s="34" t="s">
        <v>179</v>
      </c>
      <c r="K3" s="30" t="s">
        <v>178</v>
      </c>
      <c r="L3" s="34" t="s">
        <v>1</v>
      </c>
      <c r="M3" s="30" t="s">
        <v>1</v>
      </c>
      <c r="N3" s="60" t="s">
        <v>1</v>
      </c>
      <c r="O3" s="61" t="s">
        <v>1</v>
      </c>
      <c r="P3" s="60" t="s">
        <v>1</v>
      </c>
      <c r="Q3" s="61" t="s">
        <v>1</v>
      </c>
      <c r="R3" s="60" t="s">
        <v>1</v>
      </c>
      <c r="S3" s="61" t="s">
        <v>1</v>
      </c>
      <c r="T3" s="60" t="s">
        <v>1</v>
      </c>
      <c r="U3" s="61" t="s">
        <v>1</v>
      </c>
      <c r="V3" s="60" t="s">
        <v>1</v>
      </c>
      <c r="W3" s="61" t="s">
        <v>1</v>
      </c>
    </row>
    <row r="4" spans="1:23" ht="6.75" customHeight="1" x14ac:dyDescent="0.25">
      <c r="A4" s="23">
        <v>4</v>
      </c>
      <c r="B4" s="24" t="s">
        <v>80</v>
      </c>
      <c r="C4" s="64" t="s">
        <v>95</v>
      </c>
      <c r="D4" s="34" t="s">
        <v>83</v>
      </c>
      <c r="E4" s="30" t="s">
        <v>180</v>
      </c>
      <c r="F4" s="54" t="s">
        <v>232</v>
      </c>
      <c r="G4" s="55" t="s">
        <v>252</v>
      </c>
      <c r="H4" s="34" t="s">
        <v>84</v>
      </c>
      <c r="I4" s="35" t="s">
        <v>183</v>
      </c>
      <c r="J4" s="34" t="s">
        <v>179</v>
      </c>
      <c r="K4" s="30" t="s">
        <v>178</v>
      </c>
      <c r="L4" s="34" t="s">
        <v>1</v>
      </c>
      <c r="M4" s="30" t="s">
        <v>1</v>
      </c>
      <c r="N4" s="60" t="s">
        <v>1</v>
      </c>
      <c r="O4" s="61" t="s">
        <v>1</v>
      </c>
      <c r="P4" s="60" t="s">
        <v>1</v>
      </c>
      <c r="Q4" s="61" t="s">
        <v>1</v>
      </c>
      <c r="R4" s="60" t="s">
        <v>1</v>
      </c>
      <c r="S4" s="61" t="s">
        <v>1</v>
      </c>
      <c r="T4" s="60" t="s">
        <v>1</v>
      </c>
      <c r="U4" s="61" t="s">
        <v>1</v>
      </c>
      <c r="V4" s="60" t="s">
        <v>1</v>
      </c>
      <c r="W4" s="61" t="s">
        <v>1</v>
      </c>
    </row>
    <row r="5" spans="1:23" ht="6.75" customHeight="1" x14ac:dyDescent="0.25">
      <c r="A5" s="23">
        <v>5</v>
      </c>
      <c r="B5" s="24" t="s">
        <v>81</v>
      </c>
      <c r="C5" s="64" t="s">
        <v>95</v>
      </c>
      <c r="D5" s="34" t="s">
        <v>83</v>
      </c>
      <c r="E5" s="30" t="s">
        <v>180</v>
      </c>
      <c r="F5" s="54" t="s">
        <v>232</v>
      </c>
      <c r="G5" s="55" t="s">
        <v>252</v>
      </c>
      <c r="H5" s="34" t="s">
        <v>84</v>
      </c>
      <c r="I5" s="35" t="s">
        <v>182</v>
      </c>
      <c r="J5" s="34" t="s">
        <v>179</v>
      </c>
      <c r="K5" s="30" t="s">
        <v>178</v>
      </c>
      <c r="L5" s="34" t="s">
        <v>1</v>
      </c>
      <c r="M5" s="30" t="s">
        <v>1</v>
      </c>
      <c r="N5" s="60" t="s">
        <v>1</v>
      </c>
      <c r="O5" s="61" t="s">
        <v>1</v>
      </c>
      <c r="P5" s="60" t="s">
        <v>1</v>
      </c>
      <c r="Q5" s="61" t="s">
        <v>1</v>
      </c>
      <c r="R5" s="60" t="s">
        <v>1</v>
      </c>
      <c r="S5" s="61" t="s">
        <v>1</v>
      </c>
      <c r="T5" s="60" t="s">
        <v>1</v>
      </c>
      <c r="U5" s="61" t="s">
        <v>1</v>
      </c>
      <c r="V5" s="60" t="s">
        <v>1</v>
      </c>
      <c r="W5" s="61" t="s">
        <v>1</v>
      </c>
    </row>
    <row r="6" spans="1:23" s="58" customFormat="1" ht="6.75" customHeight="1" x14ac:dyDescent="0.2">
      <c r="A6" s="23">
        <v>6</v>
      </c>
      <c r="B6" s="53" t="s">
        <v>230</v>
      </c>
      <c r="C6" s="63" t="s">
        <v>265</v>
      </c>
      <c r="D6" s="54" t="s">
        <v>83</v>
      </c>
      <c r="E6" s="55" t="s">
        <v>231</v>
      </c>
      <c r="F6" s="54" t="s">
        <v>232</v>
      </c>
      <c r="G6" s="55" t="s">
        <v>233</v>
      </c>
      <c r="H6" s="34" t="s">
        <v>84</v>
      </c>
      <c r="I6" s="55" t="s">
        <v>234</v>
      </c>
      <c r="J6" s="54" t="s">
        <v>1</v>
      </c>
      <c r="K6" s="55" t="s">
        <v>1</v>
      </c>
      <c r="L6" s="56" t="str">
        <f t="shared" ref="L6:L10" si="0">IF(M6="null", "null", "método.revit")</f>
        <v>método.revit</v>
      </c>
      <c r="M6" s="57" t="s">
        <v>235</v>
      </c>
      <c r="N6" s="60" t="s">
        <v>1</v>
      </c>
      <c r="O6" s="61" t="s">
        <v>1</v>
      </c>
      <c r="P6" s="60" t="s">
        <v>1</v>
      </c>
      <c r="Q6" s="61" t="s">
        <v>1</v>
      </c>
      <c r="R6" s="60" t="s">
        <v>1</v>
      </c>
      <c r="S6" s="61" t="s">
        <v>1</v>
      </c>
      <c r="T6" s="60" t="s">
        <v>1</v>
      </c>
      <c r="U6" s="61" t="s">
        <v>1</v>
      </c>
      <c r="V6" s="60" t="s">
        <v>1</v>
      </c>
      <c r="W6" s="61" t="s">
        <v>1</v>
      </c>
    </row>
    <row r="7" spans="1:23" s="58" customFormat="1" ht="6.75" customHeight="1" x14ac:dyDescent="0.2">
      <c r="A7" s="23">
        <v>7</v>
      </c>
      <c r="B7" s="53" t="s">
        <v>236</v>
      </c>
      <c r="C7" s="63" t="s">
        <v>265</v>
      </c>
      <c r="D7" s="54" t="s">
        <v>83</v>
      </c>
      <c r="E7" s="55" t="s">
        <v>231</v>
      </c>
      <c r="F7" s="54" t="s">
        <v>232</v>
      </c>
      <c r="G7" s="55" t="s">
        <v>237</v>
      </c>
      <c r="H7" s="34" t="s">
        <v>84</v>
      </c>
      <c r="I7" s="55" t="s">
        <v>238</v>
      </c>
      <c r="J7" s="54" t="s">
        <v>1</v>
      </c>
      <c r="K7" s="55" t="s">
        <v>1</v>
      </c>
      <c r="L7" s="56" t="str">
        <f t="shared" si="0"/>
        <v>método.revit</v>
      </c>
      <c r="M7" s="57" t="s">
        <v>239</v>
      </c>
      <c r="N7" s="60" t="s">
        <v>1</v>
      </c>
      <c r="O7" s="61" t="s">
        <v>1</v>
      </c>
      <c r="P7" s="60" t="s">
        <v>1</v>
      </c>
      <c r="Q7" s="61" t="s">
        <v>1</v>
      </c>
      <c r="R7" s="60" t="s">
        <v>1</v>
      </c>
      <c r="S7" s="61" t="s">
        <v>1</v>
      </c>
      <c r="T7" s="60" t="s">
        <v>1</v>
      </c>
      <c r="U7" s="61" t="s">
        <v>1</v>
      </c>
      <c r="V7" s="60" t="s">
        <v>1</v>
      </c>
      <c r="W7" s="61" t="s">
        <v>1</v>
      </c>
    </row>
    <row r="8" spans="1:23" s="58" customFormat="1" ht="6.75" customHeight="1" x14ac:dyDescent="0.2">
      <c r="A8" s="23">
        <v>8</v>
      </c>
      <c r="B8" s="53" t="s">
        <v>240</v>
      </c>
      <c r="C8" s="63" t="s">
        <v>265</v>
      </c>
      <c r="D8" s="54" t="s">
        <v>83</v>
      </c>
      <c r="E8" s="55" t="s">
        <v>231</v>
      </c>
      <c r="F8" s="54" t="s">
        <v>232</v>
      </c>
      <c r="G8" s="55" t="s">
        <v>241</v>
      </c>
      <c r="H8" s="34" t="s">
        <v>84</v>
      </c>
      <c r="I8" s="55" t="s">
        <v>242</v>
      </c>
      <c r="J8" s="54" t="s">
        <v>1</v>
      </c>
      <c r="K8" s="55" t="s">
        <v>1</v>
      </c>
      <c r="L8" s="56" t="str">
        <f t="shared" si="0"/>
        <v>método.revit</v>
      </c>
      <c r="M8" s="57" t="s">
        <v>243</v>
      </c>
      <c r="N8" s="60" t="s">
        <v>1</v>
      </c>
      <c r="O8" s="61" t="s">
        <v>1</v>
      </c>
      <c r="P8" s="60" t="s">
        <v>1</v>
      </c>
      <c r="Q8" s="61" t="s">
        <v>1</v>
      </c>
      <c r="R8" s="60" t="s">
        <v>1</v>
      </c>
      <c r="S8" s="61" t="s">
        <v>1</v>
      </c>
      <c r="T8" s="60" t="s">
        <v>1</v>
      </c>
      <c r="U8" s="61" t="s">
        <v>1</v>
      </c>
      <c r="V8" s="60" t="s">
        <v>1</v>
      </c>
      <c r="W8" s="61" t="s">
        <v>1</v>
      </c>
    </row>
    <row r="9" spans="1:23" s="58" customFormat="1" ht="6.75" customHeight="1" x14ac:dyDescent="0.2">
      <c r="A9" s="23">
        <v>9</v>
      </c>
      <c r="B9" s="53" t="s">
        <v>244</v>
      </c>
      <c r="C9" s="63" t="s">
        <v>265</v>
      </c>
      <c r="D9" s="54" t="s">
        <v>83</v>
      </c>
      <c r="E9" s="55" t="s">
        <v>231</v>
      </c>
      <c r="F9" s="54" t="s">
        <v>232</v>
      </c>
      <c r="G9" s="55" t="s">
        <v>245</v>
      </c>
      <c r="H9" s="34" t="s">
        <v>84</v>
      </c>
      <c r="I9" s="55" t="s">
        <v>246</v>
      </c>
      <c r="J9" s="54" t="s">
        <v>1</v>
      </c>
      <c r="K9" s="55" t="s">
        <v>1</v>
      </c>
      <c r="L9" s="56" t="str">
        <f t="shared" si="0"/>
        <v>método.revit</v>
      </c>
      <c r="M9" s="57" t="s">
        <v>247</v>
      </c>
      <c r="N9" s="60" t="s">
        <v>1</v>
      </c>
      <c r="O9" s="61" t="s">
        <v>1</v>
      </c>
      <c r="P9" s="60" t="s">
        <v>1</v>
      </c>
      <c r="Q9" s="61" t="s">
        <v>1</v>
      </c>
      <c r="R9" s="60" t="s">
        <v>1</v>
      </c>
      <c r="S9" s="61" t="s">
        <v>1</v>
      </c>
      <c r="T9" s="60" t="s">
        <v>1</v>
      </c>
      <c r="U9" s="61" t="s">
        <v>1</v>
      </c>
      <c r="V9" s="60" t="s">
        <v>1</v>
      </c>
      <c r="W9" s="61" t="s">
        <v>1</v>
      </c>
    </row>
    <row r="10" spans="1:23" s="58" customFormat="1" ht="6.75" customHeight="1" x14ac:dyDescent="0.2">
      <c r="A10" s="23">
        <v>10</v>
      </c>
      <c r="B10" s="53" t="s">
        <v>248</v>
      </c>
      <c r="C10" s="63" t="s">
        <v>265</v>
      </c>
      <c r="D10" s="54" t="s">
        <v>83</v>
      </c>
      <c r="E10" s="55" t="s">
        <v>231</v>
      </c>
      <c r="F10" s="54" t="s">
        <v>232</v>
      </c>
      <c r="G10" s="55" t="s">
        <v>249</v>
      </c>
      <c r="H10" s="34" t="s">
        <v>84</v>
      </c>
      <c r="I10" s="55" t="s">
        <v>250</v>
      </c>
      <c r="J10" s="54" t="s">
        <v>1</v>
      </c>
      <c r="K10" s="55" t="s">
        <v>1</v>
      </c>
      <c r="L10" s="56" t="str">
        <f t="shared" si="0"/>
        <v>método.revit</v>
      </c>
      <c r="M10" s="57" t="s">
        <v>251</v>
      </c>
      <c r="N10" s="60" t="s">
        <v>1</v>
      </c>
      <c r="O10" s="61" t="s">
        <v>1</v>
      </c>
      <c r="P10" s="60" t="s">
        <v>1</v>
      </c>
      <c r="Q10" s="61" t="s">
        <v>1</v>
      </c>
      <c r="R10" s="60" t="s">
        <v>1</v>
      </c>
      <c r="S10" s="61" t="s">
        <v>1</v>
      </c>
      <c r="T10" s="60" t="s">
        <v>1</v>
      </c>
      <c r="U10" s="61" t="s">
        <v>1</v>
      </c>
      <c r="V10" s="60" t="s">
        <v>1</v>
      </c>
      <c r="W10" s="61" t="s">
        <v>1</v>
      </c>
    </row>
  </sheetData>
  <conditionalFormatting sqref="B6:B10">
    <cfRule type="duplicateValues" dxfId="14" priority="29"/>
    <cfRule type="duplicateValues" dxfId="13" priority="30"/>
  </conditionalFormatting>
  <conditionalFormatting sqref="D1">
    <cfRule type="cellIs" dxfId="12" priority="41" operator="equal">
      <formula>"null"</formula>
    </cfRule>
  </conditionalFormatting>
  <conditionalFormatting sqref="F1">
    <cfRule type="cellIs" dxfId="11" priority="11" operator="equal">
      <formula>"null"</formula>
    </cfRule>
  </conditionalFormatting>
  <conditionalFormatting sqref="H1">
    <cfRule type="cellIs" dxfId="10" priority="37" operator="equal">
      <formula>"null"</formula>
    </cfRule>
  </conditionalFormatting>
  <conditionalFormatting sqref="J1">
    <cfRule type="cellIs" dxfId="9" priority="34" operator="equal">
      <formula>"null"</formula>
    </cfRule>
  </conditionalFormatting>
  <conditionalFormatting sqref="J6:K10">
    <cfRule type="cellIs" dxfId="8" priority="12" operator="equal">
      <formula>"null"</formula>
    </cfRule>
  </conditionalFormatting>
  <conditionalFormatting sqref="J1:M5 F1:I1 A1:E2 X1:XFD5 H2:I5 B3:E5 A3:A10 A11:M1048576 X11:XFD1048576">
    <cfRule type="cellIs" dxfId="7" priority="32" operator="equal">
      <formula>"null"</formula>
    </cfRule>
  </conditionalFormatting>
  <conditionalFormatting sqref="L1">
    <cfRule type="cellIs" dxfId="6" priority="21" operator="equal">
      <formula>"null"</formula>
    </cfRule>
  </conditionalFormatting>
  <conditionalFormatting sqref="N1">
    <cfRule type="cellIs" dxfId="5" priority="6" operator="equal">
      <formula>"null"</formula>
    </cfRule>
  </conditionalFormatting>
  <conditionalFormatting sqref="N1:W1">
    <cfRule type="cellIs" dxfId="4" priority="7" operator="equal">
      <formula>"null"</formula>
    </cfRule>
  </conditionalFormatting>
  <conditionalFormatting sqref="P1">
    <cfRule type="cellIs" dxfId="3" priority="5" operator="equal">
      <formula>"null"</formula>
    </cfRule>
  </conditionalFormatting>
  <conditionalFormatting sqref="R1">
    <cfRule type="cellIs" dxfId="2" priority="4" operator="equal">
      <formula>"null"</formula>
    </cfRule>
  </conditionalFormatting>
  <conditionalFormatting sqref="T1">
    <cfRule type="cellIs" dxfId="1" priority="3" operator="equal">
      <formula>"null"</formula>
    </cfRule>
  </conditionalFormatting>
  <conditionalFormatting sqref="V1">
    <cfRule type="cellIs" dxfId="0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2026-09-09T10:16:40Z</dcterms:modified>
</cp:coreProperties>
</file>