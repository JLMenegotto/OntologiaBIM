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20BA4B6C-E283-40CB-9145-1AE01342D846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Interop" sheetId="16" r:id="rId4"/>
    <sheet name="FatosIn" sheetId="25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17" l="1"/>
  <c r="W20" i="17"/>
  <c r="V20" i="17"/>
  <c r="U20" i="17"/>
  <c r="T20" i="17"/>
  <c r="O20" i="17"/>
  <c r="N20" i="17"/>
  <c r="M20" i="17"/>
  <c r="L20" i="17"/>
  <c r="X19" i="17"/>
  <c r="W19" i="17"/>
  <c r="V19" i="17"/>
  <c r="U19" i="17"/>
  <c r="T19" i="17"/>
  <c r="O19" i="17"/>
  <c r="N19" i="17"/>
  <c r="M19" i="17"/>
  <c r="L19" i="17"/>
  <c r="X18" i="17"/>
  <c r="W18" i="17"/>
  <c r="V18" i="17"/>
  <c r="U18" i="17"/>
  <c r="T18" i="17"/>
  <c r="O18" i="17"/>
  <c r="N18" i="17"/>
  <c r="M18" i="17"/>
  <c r="L18" i="17"/>
  <c r="X17" i="17"/>
  <c r="W17" i="17"/>
  <c r="V17" i="17"/>
  <c r="U17" i="17"/>
  <c r="T17" i="17"/>
  <c r="O17" i="17"/>
  <c r="N17" i="17"/>
  <c r="M17" i="17"/>
  <c r="L17" i="17"/>
  <c r="X16" i="17"/>
  <c r="W16" i="17"/>
  <c r="V16" i="17"/>
  <c r="U16" i="17"/>
  <c r="T16" i="17"/>
  <c r="O16" i="17"/>
  <c r="N16" i="17"/>
  <c r="M16" i="17"/>
  <c r="L16" i="17"/>
  <c r="X2" i="17"/>
  <c r="X3" i="17"/>
  <c r="X4" i="17"/>
  <c r="X5" i="17"/>
  <c r="X6" i="17"/>
  <c r="X7" i="17"/>
  <c r="X8" i="17"/>
  <c r="X9" i="17"/>
  <c r="X10" i="17"/>
  <c r="X11" i="17"/>
  <c r="X12" i="17"/>
  <c r="X13" i="17"/>
  <c r="X14" i="17"/>
  <c r="X15" i="17"/>
  <c r="W13" i="17"/>
  <c r="V13" i="17"/>
  <c r="U13" i="17"/>
  <c r="T13" i="17"/>
  <c r="O13" i="17"/>
  <c r="N13" i="17"/>
  <c r="M13" i="17"/>
  <c r="L13" i="17"/>
  <c r="W12" i="17"/>
  <c r="V12" i="17"/>
  <c r="U12" i="17"/>
  <c r="T12" i="17"/>
  <c r="O12" i="17"/>
  <c r="N12" i="17"/>
  <c r="M12" i="17"/>
  <c r="L12" i="17"/>
  <c r="W14" i="17"/>
  <c r="V14" i="17"/>
  <c r="U14" i="17"/>
  <c r="T14" i="17"/>
  <c r="O14" i="17"/>
  <c r="N14" i="17"/>
  <c r="M14" i="17"/>
  <c r="L14" i="17"/>
  <c r="W11" i="17"/>
  <c r="V11" i="17"/>
  <c r="U11" i="17"/>
  <c r="T11" i="17"/>
  <c r="O11" i="17"/>
  <c r="N11" i="17"/>
  <c r="M11" i="17"/>
  <c r="L11" i="17"/>
  <c r="W10" i="17"/>
  <c r="V10" i="17"/>
  <c r="U10" i="17"/>
  <c r="T10" i="17"/>
  <c r="O10" i="17"/>
  <c r="N10" i="17"/>
  <c r="M10" i="17"/>
  <c r="L10" i="17"/>
  <c r="W9" i="17"/>
  <c r="V9" i="17"/>
  <c r="U9" i="17"/>
  <c r="T9" i="17"/>
  <c r="O9" i="17"/>
  <c r="N9" i="17"/>
  <c r="M9" i="17"/>
  <c r="L9" i="17"/>
  <c r="W3" i="17"/>
  <c r="W4" i="17"/>
  <c r="W5" i="17"/>
  <c r="W6" i="17"/>
  <c r="W7" i="17"/>
  <c r="W8" i="17"/>
  <c r="W15" i="17"/>
  <c r="V3" i="17"/>
  <c r="V4" i="17"/>
  <c r="V5" i="17"/>
  <c r="V6" i="17"/>
  <c r="V7" i="17"/>
  <c r="V8" i="17"/>
  <c r="V15" i="17"/>
  <c r="U3" i="17"/>
  <c r="U4" i="17"/>
  <c r="U5" i="17"/>
  <c r="U6" i="17"/>
  <c r="U7" i="17"/>
  <c r="U8" i="17"/>
  <c r="U15" i="17"/>
  <c r="T3" i="17"/>
  <c r="T4" i="17"/>
  <c r="T5" i="17"/>
  <c r="T6" i="17"/>
  <c r="T7" i="17"/>
  <c r="T8" i="17"/>
  <c r="T15" i="17"/>
  <c r="O3" i="17"/>
  <c r="O4" i="17"/>
  <c r="O5" i="17"/>
  <c r="O6" i="17"/>
  <c r="O7" i="17"/>
  <c r="O8" i="17"/>
  <c r="O15" i="17"/>
  <c r="O2" i="17"/>
  <c r="N8" i="17"/>
  <c r="M8" i="17"/>
  <c r="L8" i="17"/>
  <c r="N7" i="17"/>
  <c r="M7" i="17"/>
  <c r="L7" i="17"/>
  <c r="N6" i="17"/>
  <c r="M6" i="17"/>
  <c r="L6" i="17"/>
  <c r="N3" i="17"/>
  <c r="M3" i="17"/>
  <c r="L3" i="17"/>
  <c r="N5" i="17"/>
  <c r="M5" i="17"/>
  <c r="L5" i="17"/>
  <c r="N4" i="17"/>
  <c r="M4" i="17"/>
  <c r="L4" i="17"/>
  <c r="V2" i="17"/>
  <c r="U2" i="17"/>
  <c r="T2" i="17"/>
  <c r="N2" i="17"/>
  <c r="M2" i="17"/>
  <c r="L2" i="17"/>
  <c r="N15" i="17" l="1"/>
  <c r="M15" i="17"/>
  <c r="L15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<sst xmlns="http://schemas.openxmlformats.org/spreadsheetml/2006/main" count="693" uniqueCount="218">
  <si>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</si>
  <si>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</si>
  <si>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</si>
  <si>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</si>
  <si>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</si>
  <si>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</si>
  <si>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</si>
  <si>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</si>
  <si>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</si>
  <si>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</si>
  <si>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</si>
  <si>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</si>
  <si>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</si>
  <si>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</si>
  <si>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</si>
  <si>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</si>
  <si>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</si>
  <si>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</si>
  <si>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</si>
  <si>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</si>
  <si>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</si>
  <si>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</si>
  <si>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</si>
  <si>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</si>
  <si>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</si>
  <si>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</si>
  <si>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</si>
  <si>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</si>
  <si>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</si>
  <si>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</si>
  <si>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</si>
  <si>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</si>
  <si>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</si>
  <si>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</si>
  <si>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</si>
  <si>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</si>
  <si>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</si>
  <si>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</si>
  <si>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</si>
  <si>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</si>
  <si>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</si>
  <si>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</si>
  <si>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</si>
  <si>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</si>
  <si>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</si>
  <si>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</si>
  <si>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</si>
  <si>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</si>
  <si>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</si>
  <si>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</si>
  <si>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</si>
  <si>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</si>
  <si>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</si>
  <si>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</si>
  <si>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</si>
  <si>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</si>
  <si>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</si>
  <si>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</si>
  <si>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</si>
  <si>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</si>
  <si>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</si>
  <si>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</si>
  <si>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</si>
  <si>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</si>
  <si>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</si>
  <si>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</si>
  <si>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</si>
  <si>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</si>
  <si>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</si>
  <si>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</si>
  <si>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</si>
  <si>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</si>
  <si>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</si>
  <si>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</si>
  <si>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</si>
  <si>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</si>
  <si>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</si>
  <si>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</si>
  <si>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</si>
  <si>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</si>
  <si>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</si>
  <si>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</si>
  <si>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</si>
  <si>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</si>
  <si>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</si>
  <si>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</si>
  <si>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</si>
  <si>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</si>
  <si>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</si>
  <si>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</si>
  <si>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</si>
  <si>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</si>
  <si>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</si>
  <si>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código.abnt</t>
  </si>
  <si>
    <t>classe.ifc</t>
  </si>
  <si>
    <t>categoria.revit</t>
  </si>
  <si>
    <t>é.pertencente.a</t>
  </si>
  <si>
    <t>modelo</t>
  </si>
  <si>
    <t>[ IfcDiscreteAccessory ]</t>
  </si>
  <si>
    <t>[ IfcMotorConnection ]</t>
  </si>
  <si>
    <t>[ IfcMotorConnectionCOUPLING ]</t>
  </si>
  <si>
    <t>[ IfcMotorConnectionBELTDRIVE ]</t>
  </si>
  <si>
    <t>[ IfcMotorConnectionDIRECTDRIVE ]</t>
  </si>
  <si>
    <t>Motor.de.Acoplamento</t>
  </si>
  <si>
    <t>Motor.de.Acionamento.Direto</t>
  </si>
  <si>
    <t>Motor.de.Acionamento.Correia</t>
  </si>
  <si>
    <t>Motricidade</t>
  </si>
  <si>
    <t>Motor.de.Combustão</t>
  </si>
  <si>
    <t>[ IfcEngine ]</t>
  </si>
  <si>
    <t>[ IfcEngineINTERNALCOMBUSTION ]</t>
  </si>
  <si>
    <t>[ IfcEngineEXTERNALCOMBUSTION ]</t>
  </si>
  <si>
    <t>Máquina.de.Combustão.Externa</t>
  </si>
  <si>
    <t>Máquina.de.Combustão.Interna</t>
  </si>
  <si>
    <t>Máquina.Motriz</t>
  </si>
  <si>
    <t>Motor que converte combustível em energia mecânica por meio da combustão externa</t>
  </si>
  <si>
    <t>Motor que converte combustível em energia mecânica por meio da combustão interna</t>
  </si>
  <si>
    <t>Motor que converte combustível em energia mecânica por meio da combustão</t>
  </si>
  <si>
    <t>Motor de acionamento por correia</t>
  </si>
  <si>
    <t>Motor de acionamento direto</t>
  </si>
  <si>
    <t>Motor de acoplamento</t>
  </si>
  <si>
    <t>Motor de combustão</t>
  </si>
  <si>
    <t>Acessório Mecânico</t>
  </si>
  <si>
    <t>Motor de combustión</t>
  </si>
  <si>
    <t>Motor de acoplamiento</t>
  </si>
  <si>
    <t>Motor de transmisión por correa</t>
  </si>
  <si>
    <t>Motor de accionamiento directo</t>
  </si>
  <si>
    <t>Motor que convierte combustible en energía mecánica mediante combustión</t>
  </si>
  <si>
    <t>Motor que convierte combustible en energía mecánica mediante combustión externa</t>
  </si>
  <si>
    <t>Motor que convierte combustible en energía mecánica mediante combustión interna</t>
  </si>
  <si>
    <t>Accesorio mecánico</t>
  </si>
  <si>
    <t>[ MechanicalEquipment ]</t>
  </si>
  <si>
    <t>Maq_111233</t>
  </si>
  <si>
    <t>Maq_111234</t>
  </si>
  <si>
    <t>Maq_111235</t>
  </si>
  <si>
    <t>Maq_111236</t>
  </si>
  <si>
    <t>Maq_111237</t>
  </si>
  <si>
    <t>Maq_111238</t>
  </si>
  <si>
    <t>Maq_111239</t>
  </si>
  <si>
    <t>Maq_111240</t>
  </si>
  <si>
    <t>"Modelo"</t>
  </si>
  <si>
    <t>Objetos de Sistemas Mecâninos Motrizes</t>
  </si>
  <si>
    <t>Formalizar elementos do projeto BIM. Objetos específicos de Sistemas Mecânicos Motrizes</t>
  </si>
  <si>
    <t>Formalizar elementos de proyecto BIM. Objetos específicos de Sistemas Mecánicos Motrices</t>
  </si>
  <si>
    <t>Objetos_de_Sistemas_Mecânicos_Motrizes</t>
  </si>
  <si>
    <t>[ 3E.56 ]</t>
  </si>
  <si>
    <t>"[ 3E.56 ]"</t>
  </si>
  <si>
    <t>Elevador.MRL</t>
  </si>
  <si>
    <t>Elevador.MR</t>
  </si>
  <si>
    <t>Elevador de tração com casa de máquinas</t>
  </si>
  <si>
    <t>Elevador com roldana de içamento sem casa de máquinas</t>
  </si>
  <si>
    <t>Elevador.Hidráulico</t>
  </si>
  <si>
    <t>Elevador para poucos andares sem transporte de cargas pesadas</t>
  </si>
  <si>
    <t>Plataforma</t>
  </si>
  <si>
    <t>Plataforma.Articulada</t>
  </si>
  <si>
    <t>Plataforma.Cesto</t>
  </si>
  <si>
    <t>Ascensor para pocos pisos sin transporte de cargas pesadas</t>
  </si>
  <si>
    <t>Ascensor con sistema de izamiento mediante roldana y sin sala de máquinas</t>
  </si>
  <si>
    <t>Ascensor de tracción con sala de máquinas</t>
  </si>
  <si>
    <t>Plataforma de elevación con cesto</t>
  </si>
  <si>
    <t>Plataforma de elevación articulada</t>
  </si>
  <si>
    <t>Plataforma de elevação</t>
  </si>
  <si>
    <t>Plataforma de elevação articulada</t>
  </si>
  <si>
    <t>Plataforma de elevação com cesto</t>
  </si>
  <si>
    <t>[ IfcTransportElementELEVATOR ]</t>
  </si>
  <si>
    <t>[ 3E.08.06.06 ]</t>
  </si>
  <si>
    <t>[ 3E.08.06.10.02 ]</t>
  </si>
  <si>
    <t>quem.fabrica</t>
  </si>
  <si>
    <t>"[ OST_MechanicalEquipment ]"</t>
  </si>
  <si>
    <t>"[ IfcEngine ]"</t>
  </si>
  <si>
    <t>"Nome de um fabricante"</t>
  </si>
  <si>
    <t>CTI_Projeto_A</t>
  </si>
  <si>
    <t>Conceitos</t>
  </si>
  <si>
    <t>De.Motricidade</t>
  </si>
  <si>
    <t>Projeto</t>
  </si>
  <si>
    <t>"Força motriz do Projeto Específico 01"</t>
  </si>
  <si>
    <t>[ MechanicalEquipment : OST_VerticalCirculation ]</t>
  </si>
  <si>
    <t>De.Força.Motriz</t>
  </si>
  <si>
    <t>Maquinárias</t>
  </si>
  <si>
    <t>Máquina</t>
  </si>
  <si>
    <t>Bomba</t>
  </si>
  <si>
    <t>Motor</t>
  </si>
  <si>
    <t>Elevador</t>
  </si>
  <si>
    <t>Escada.Rolante</t>
  </si>
  <si>
    <t>Escada Rolante</t>
  </si>
  <si>
    <t>Escalera mecânica</t>
  </si>
  <si>
    <t>Acensor+Q3</t>
  </si>
  <si>
    <t>Máquinas</t>
  </si>
  <si>
    <t>Motorizados</t>
  </si>
  <si>
    <t>Maquinizados</t>
  </si>
  <si>
    <t>Elevadores</t>
  </si>
  <si>
    <t>Elementos.Motrizes</t>
  </si>
  <si>
    <t>Acessórios.Motrizes</t>
  </si>
  <si>
    <t>Acessório.Motriz</t>
  </si>
  <si>
    <t>"Instância de Equipamento Mecânico Motriz Identificado no projeto"</t>
  </si>
  <si>
    <t>Combustion engine</t>
  </si>
  <si>
    <t>Coupling motor</t>
  </si>
  <si>
    <t>Belt drive motor</t>
  </si>
  <si>
    <t>Direct drive motor</t>
  </si>
  <si>
    <t>Engine that converts fuel into mechanical energy through combustion</t>
  </si>
  <si>
    <t>Engine that converts fuel into mechanical energy through external combustion</t>
  </si>
  <si>
    <t>Engine that converts fuel into mechanical energy through internal combustion</t>
  </si>
  <si>
    <t>Elevator to a few floors without carrying heavy loads</t>
  </si>
  <si>
    <t>Traction Elevator with Machine Room</t>
  </si>
  <si>
    <t>Elevator with hoisting pulley without machine room</t>
  </si>
  <si>
    <t>Lifting Platform</t>
  </si>
  <si>
    <t>Articulated lifting platform</t>
  </si>
  <si>
    <t>Basket lifting platform</t>
  </si>
  <si>
    <t>Mechanical Accessory</t>
  </si>
  <si>
    <t>Machine</t>
  </si>
  <si>
    <t>Pump</t>
  </si>
  <si>
    <t>Engine</t>
  </si>
  <si>
    <t>Elevator</t>
  </si>
  <si>
    <t>Escalator</t>
  </si>
  <si>
    <t>Classe IFC</t>
  </si>
  <si>
    <t>Atributo IFC</t>
  </si>
  <si>
    <t>[ - ]</t>
  </si>
  <si>
    <t>Parâmetro Rvt</t>
  </si>
  <si>
    <t>Categoria Rvt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</si>
</sst>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6" fillId="5" borderId="4" xfId="0" applyFont="1" applyFill="1" applyBorder="1" applyAlignment="1">
      <alignment horizontal="left"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2" fillId="2" borderId="7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2" fillId="17" borderId="4" xfId="0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/>
    </xf>
    <xf numFmtId="0" fontId="2" fillId="23" borderId="4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3" fillId="2" borderId="8" xfId="0" applyFont="1" applyFill="1" applyBorder="1" applyAlignment="1">
      <alignment horizontal="left" vertical="center" wrapText="1"/>
    </xf>
    <xf numFmtId="0" fontId="6" fillId="5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27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2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4" sqref="B4"/>
    </sheetView>
  </sheetViews>
  <sheetFormatPr defaultColWidth="9.15234375" defaultRowHeight="9.75" customHeight="1" x14ac:dyDescent="0.4"/>
  <cols>
    <col min="1" max="1" width="8.69140625" customWidth="1"/>
    <col min="2" max="2" width="47.15234375" customWidth="1"/>
    <col min="3" max="3" width="3.3828125" style="43" bestFit="1" customWidth="1"/>
  </cols>
  <sheetData>
    <row r="1" spans="1:3" ht="20.25" customHeight="1" x14ac:dyDescent="0.4">
      <c r="A1" s="11" t="s">
        <v>44</v>
      </c>
      <c r="B1" s="11" t="s">
        <v>45</v>
      </c>
      <c r="C1" s="41" t="s">
        <v>86</v>
      </c>
    </row>
    <row r="2" spans="1:3" ht="9" customHeight="1" x14ac:dyDescent="0.4">
      <c r="A2" s="12" t="s">
        <v>46</v>
      </c>
      <c r="B2" s="12" t="s">
        <v>47</v>
      </c>
      <c r="C2" s="42" t="s">
        <v>87</v>
      </c>
    </row>
    <row r="3" spans="1:3" ht="9" customHeight="1" x14ac:dyDescent="0.4">
      <c r="A3" s="12" t="s">
        <v>48</v>
      </c>
      <c r="B3" s="12" t="s">
        <v>143</v>
      </c>
      <c r="C3" s="42" t="s">
        <v>87</v>
      </c>
    </row>
    <row r="4" spans="1:3" ht="9" customHeight="1" x14ac:dyDescent="0.4">
      <c r="A4" s="13" t="s">
        <v>49</v>
      </c>
      <c r="B4" s="13" t="s">
        <v>32</v>
      </c>
      <c r="C4" s="42" t="s">
        <v>87</v>
      </c>
    </row>
    <row r="5" spans="1:3" ht="9" customHeight="1" x14ac:dyDescent="0.4">
      <c r="A5" s="13" t="s">
        <v>50</v>
      </c>
      <c r="B5" s="13" t="str">
        <f>_xlfn.CONCAT(B4,"Prop")</f>
        <v>BIMProp</v>
      </c>
      <c r="C5" s="42" t="s">
        <v>87</v>
      </c>
    </row>
    <row r="6" spans="1:3" ht="9" customHeight="1" x14ac:dyDescent="0.4">
      <c r="A6" s="13" t="s">
        <v>51</v>
      </c>
      <c r="B6" s="13" t="str">
        <f>_xlfn.CONCAT(B4,"Data")</f>
        <v>BIMData</v>
      </c>
      <c r="C6" s="42" t="s">
        <v>87</v>
      </c>
    </row>
    <row r="7" spans="1:3" ht="9" customHeight="1" x14ac:dyDescent="0.4">
      <c r="A7" s="13" t="s">
        <v>52</v>
      </c>
      <c r="B7" s="14" t="s">
        <v>53</v>
      </c>
      <c r="C7" s="42" t="s">
        <v>87</v>
      </c>
    </row>
    <row r="8" spans="1:3" s="40" customFormat="1" ht="9" customHeight="1" x14ac:dyDescent="0.4">
      <c r="A8" s="39" t="s">
        <v>54</v>
      </c>
      <c r="B8" s="39" t="s">
        <v>84</v>
      </c>
      <c r="C8" s="42" t="s">
        <v>87</v>
      </c>
    </row>
    <row r="9" spans="1:3" ht="9" customHeight="1" x14ac:dyDescent="0.4">
      <c r="A9" s="13" t="s">
        <v>55</v>
      </c>
      <c r="B9" s="13" t="s">
        <v>56</v>
      </c>
      <c r="C9" s="42" t="s">
        <v>87</v>
      </c>
    </row>
    <row r="10" spans="1:3" ht="9" customHeight="1" x14ac:dyDescent="0.4">
      <c r="A10" s="13" t="s">
        <v>57</v>
      </c>
      <c r="B10" s="13" t="s">
        <v>58</v>
      </c>
      <c r="C10" s="42" t="s">
        <v>87</v>
      </c>
    </row>
    <row r="11" spans="1:3" ht="9" customHeight="1" x14ac:dyDescent="0.4">
      <c r="A11" s="13" t="s">
        <v>59</v>
      </c>
      <c r="B11" s="13" t="s">
        <v>58</v>
      </c>
      <c r="C11" s="42" t="s">
        <v>87</v>
      </c>
    </row>
    <row r="12" spans="1:3" ht="9" customHeight="1" x14ac:dyDescent="0.4">
      <c r="A12" s="13" t="s">
        <v>60</v>
      </c>
      <c r="B12" s="13" t="s">
        <v>58</v>
      </c>
      <c r="C12" s="42" t="s">
        <v>87</v>
      </c>
    </row>
    <row r="13" spans="1:3" ht="9" customHeight="1" x14ac:dyDescent="0.4">
      <c r="A13" s="13" t="s">
        <v>61</v>
      </c>
      <c r="B13" s="13" t="s">
        <v>58</v>
      </c>
      <c r="C13" s="42" t="s">
        <v>87</v>
      </c>
    </row>
    <row r="14" spans="1:3" ht="9" customHeight="1" x14ac:dyDescent="0.4">
      <c r="A14" s="13" t="s">
        <v>62</v>
      </c>
      <c r="B14" s="13" t="s">
        <v>58</v>
      </c>
      <c r="C14" s="42" t="s">
        <v>87</v>
      </c>
    </row>
    <row r="15" spans="1:3" ht="9" customHeight="1" x14ac:dyDescent="0.4">
      <c r="A15" s="13" t="s">
        <v>63</v>
      </c>
      <c r="B15" s="13" t="s">
        <v>58</v>
      </c>
      <c r="C15" s="42" t="s">
        <v>87</v>
      </c>
    </row>
    <row r="16" spans="1:3" ht="9" customHeight="1" x14ac:dyDescent="0.4">
      <c r="A16" s="13" t="s">
        <v>64</v>
      </c>
      <c r="B16" s="13" t="s">
        <v>58</v>
      </c>
      <c r="C16" s="42" t="s">
        <v>87</v>
      </c>
    </row>
    <row r="17" spans="1:3" ht="9" customHeight="1" x14ac:dyDescent="0.4">
      <c r="A17" s="13" t="s">
        <v>65</v>
      </c>
      <c r="B17" s="13" t="s">
        <v>140</v>
      </c>
      <c r="C17" s="42" t="s">
        <v>87</v>
      </c>
    </row>
    <row r="18" spans="1:3" ht="9" customHeight="1" x14ac:dyDescent="0.4">
      <c r="A18" s="13" t="s">
        <v>66</v>
      </c>
      <c r="B18" s="15">
        <f ca="1">NOW()</f>
        <v>46253.807392708331</v>
      </c>
      <c r="C18" s="42" t="s">
        <v>87</v>
      </c>
    </row>
    <row r="19" spans="1:3" ht="9" customHeight="1" x14ac:dyDescent="0.4">
      <c r="A19" s="13" t="s">
        <v>67</v>
      </c>
      <c r="B19" s="15" t="s">
        <v>68</v>
      </c>
      <c r="C19" s="42" t="s">
        <v>87</v>
      </c>
    </row>
    <row r="20" spans="1:3" ht="9" customHeight="1" x14ac:dyDescent="0.4">
      <c r="A20" s="13" t="s">
        <v>69</v>
      </c>
      <c r="B20" s="13" t="s">
        <v>58</v>
      </c>
      <c r="C20" s="42" t="s">
        <v>87</v>
      </c>
    </row>
    <row r="21" spans="1:3" ht="9" customHeight="1" x14ac:dyDescent="0.4">
      <c r="A21" s="13" t="s">
        <v>70</v>
      </c>
      <c r="B21" s="13" t="s">
        <v>58</v>
      </c>
      <c r="C21" s="42" t="s">
        <v>87</v>
      </c>
    </row>
    <row r="22" spans="1:3" ht="9" customHeight="1" x14ac:dyDescent="0.4">
      <c r="A22" s="13" t="s">
        <v>71</v>
      </c>
      <c r="B22" s="16" t="s">
        <v>141</v>
      </c>
      <c r="C22" s="42" t="s">
        <v>87</v>
      </c>
    </row>
    <row r="23" spans="1:3" ht="9" customHeight="1" x14ac:dyDescent="0.4">
      <c r="A23" s="13" t="s">
        <v>72</v>
      </c>
      <c r="B23" s="16" t="s">
        <v>142</v>
      </c>
      <c r="C23" s="42" t="s">
        <v>88</v>
      </c>
    </row>
    <row r="24" spans="1:3" s="40" customFormat="1" ht="9" customHeight="1" x14ac:dyDescent="0.4">
      <c r="A24" s="13" t="s">
        <v>85</v>
      </c>
      <c r="B24" s="16" t="str">
        <f>_xlfn.TRANSLATE(B22,"pt","en")</f>
        <v>Formalize elements of the BIM project. Specific objects of Mechanical Driving Systems</v>
      </c>
      <c r="C24" s="42" t="s">
        <v>89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C20"/>
  <sheetViews>
    <sheetView tabSelected="1" zoomScale="220" zoomScaleNormal="220" workbookViewId="0">
      <pane ySplit="1" topLeftCell="A2" activePane="bottomLeft" state="frozen"/>
      <selection activeCell="A179" sqref="A179:XFD190"/>
      <selection pane="bottomLeft" activeCell="F11" sqref="F11"/>
    </sheetView>
  </sheetViews>
  <sheetFormatPr defaultColWidth="9.15234375" defaultRowHeight="6.65" customHeight="1" x14ac:dyDescent="0.4"/>
  <cols>
    <col min="1" max="1" width="1.4609375" bestFit="1" customWidth="1"/>
    <col min="2" max="2" width="4.23046875" style="61" bestFit="1" customWidth="1"/>
    <col min="3" max="3" width="6.53515625" style="61" bestFit="1" customWidth="1"/>
    <col min="4" max="4" width="7.921875" style="61" bestFit="1" customWidth="1"/>
    <col min="5" max="5" width="8.15234375" style="61" bestFit="1" customWidth="1"/>
    <col min="6" max="6" width="12.61328125" style="65" bestFit="1" customWidth="1"/>
    <col min="7" max="11" width="6.4609375" style="61" bestFit="1" customWidth="1"/>
    <col min="12" max="12" width="6.53515625" style="61" bestFit="1" customWidth="1"/>
    <col min="13" max="13" width="7.921875" style="61" bestFit="1" customWidth="1"/>
    <col min="14" max="14" width="8.15234375" style="61" bestFit="1" customWidth="1"/>
    <col min="15" max="15" width="12.61328125" style="61" bestFit="1" customWidth="1"/>
    <col min="16" max="16" width="34" style="61" bestFit="1" customWidth="1"/>
    <col min="17" max="17" width="33.15234375" style="61" bestFit="1" customWidth="1"/>
    <col min="18" max="18" width="30.61328125" style="61" bestFit="1" customWidth="1"/>
    <col min="19" max="19" width="3.69140625" style="61" bestFit="1" customWidth="1"/>
    <col min="20" max="20" width="6.53515625" style="61" bestFit="1" customWidth="1"/>
    <col min="21" max="21" width="7.921875" style="61" bestFit="1" customWidth="1"/>
    <col min="22" max="22" width="8.15234375" style="61" bestFit="1" customWidth="1"/>
    <col min="23" max="23" width="6.53515625" style="61" bestFit="1" customWidth="1"/>
    <col min="24" max="24" width="5.4609375" style="61" bestFit="1" customWidth="1"/>
    <col min="25" max="25" width="20" style="61" bestFit="1" customWidth="1"/>
    <col min="26" max="26" width="6.765625" style="61" bestFit="1" customWidth="1"/>
    <col min="27" max="27" width="15" style="66" bestFit="1" customWidth="1"/>
    <col min="28" max="28" width="6" style="61" bestFit="1" customWidth="1"/>
    <col min="29" max="29" width="7.4609375" style="61" bestFit="1" customWidth="1"/>
    <col min="30" max="16384" width="9.15234375" style="61"/>
  </cols>
  <sheetData>
    <row r="1" spans="1:29" ht="35.6" customHeight="1" x14ac:dyDescent="0.4">
      <c r="A1" s="45" t="s">
        <v>90</v>
      </c>
      <c r="B1" s="46" t="s">
        <v>42</v>
      </c>
      <c r="C1" s="46" t="s">
        <v>40</v>
      </c>
      <c r="D1" s="46" t="s">
        <v>41</v>
      </c>
      <c r="E1" s="46" t="s">
        <v>39</v>
      </c>
      <c r="F1" s="56" t="s">
        <v>36</v>
      </c>
      <c r="G1" s="47" t="s">
        <v>0</v>
      </c>
      <c r="H1" s="47" t="s">
        <v>1</v>
      </c>
      <c r="I1" s="47" t="s">
        <v>2</v>
      </c>
      <c r="J1" s="47" t="s">
        <v>3</v>
      </c>
      <c r="K1" s="47" t="s">
        <v>4</v>
      </c>
      <c r="L1" s="37" t="s">
        <v>91</v>
      </c>
      <c r="M1" s="37" t="s">
        <v>5</v>
      </c>
      <c r="N1" s="37" t="s">
        <v>6</v>
      </c>
      <c r="O1" s="37" t="s">
        <v>7</v>
      </c>
      <c r="P1" s="37" t="s">
        <v>37</v>
      </c>
      <c r="Q1" s="37" t="s">
        <v>43</v>
      </c>
      <c r="R1" s="38" t="s">
        <v>83</v>
      </c>
      <c r="S1" s="37" t="s">
        <v>92</v>
      </c>
      <c r="T1" s="37" t="s">
        <v>33</v>
      </c>
      <c r="U1" s="37" t="s">
        <v>38</v>
      </c>
      <c r="V1" s="48" t="s">
        <v>35</v>
      </c>
      <c r="W1" s="37" t="s">
        <v>34</v>
      </c>
      <c r="X1" s="62" t="s">
        <v>8</v>
      </c>
      <c r="Y1" s="37" t="s">
        <v>217</v>
      </c>
      <c r="Z1" s="37" t="s">
        <v>216</v>
      </c>
      <c r="AA1" s="37" t="s">
        <v>213</v>
      </c>
      <c r="AB1" s="37" t="s">
        <v>214</v>
      </c>
      <c r="AC1" s="37" t="s">
        <v>82</v>
      </c>
    </row>
    <row r="2" spans="1:29" ht="6.65" customHeight="1" x14ac:dyDescent="0.4">
      <c r="A2" s="58">
        <v>2</v>
      </c>
      <c r="B2" s="1" t="s">
        <v>171</v>
      </c>
      <c r="C2" s="33" t="s">
        <v>172</v>
      </c>
      <c r="D2" s="1" t="s">
        <v>190</v>
      </c>
      <c r="E2" s="1" t="s">
        <v>187</v>
      </c>
      <c r="F2" s="55" t="s">
        <v>107</v>
      </c>
      <c r="G2" s="59" t="s">
        <v>9</v>
      </c>
      <c r="H2" s="59" t="s">
        <v>9</v>
      </c>
      <c r="I2" s="59" t="s">
        <v>9</v>
      </c>
      <c r="J2" s="59" t="s">
        <v>9</v>
      </c>
      <c r="K2" s="59" t="s">
        <v>9</v>
      </c>
      <c r="L2" s="34" t="str">
        <f t="shared" ref="L2:L4" si="0">CONCATENATE("", C2)</f>
        <v>De.Motricidade</v>
      </c>
      <c r="M2" s="34" t="str">
        <f t="shared" ref="M2:M4" si="1">CONCATENATE("", D2)</f>
        <v>Elementos.Motrizes</v>
      </c>
      <c r="N2" s="34" t="str">
        <f t="shared" ref="N2:N4" si="2">(SUBSTITUTE(SUBSTITUTE(CONCATENATE("",E2),"."," ")," De "," de "))</f>
        <v>Motorizados</v>
      </c>
      <c r="O2" s="30" t="str">
        <f>IF(ISNUMBER(FIND("Ifc",F2)),CONCATENATE("Classe IFC:   ",F2),F2)</f>
        <v>Motor.de.Combustão</v>
      </c>
      <c r="P2" s="30" t="s">
        <v>120</v>
      </c>
      <c r="Q2" s="30" t="s">
        <v>122</v>
      </c>
      <c r="R2" s="30" t="s">
        <v>194</v>
      </c>
      <c r="S2" s="30" t="s">
        <v>9</v>
      </c>
      <c r="T2" s="30" t="str">
        <f t="shared" ref="T2:T15" si="3">SUBSTITUTE(C2, "_", " ")</f>
        <v>De.Motricidade</v>
      </c>
      <c r="U2" s="30" t="str">
        <f t="shared" ref="U2:U15" si="4">SUBSTITUTE(D2, "_", " ")</f>
        <v>Elementos.Motrizes</v>
      </c>
      <c r="V2" s="30" t="str">
        <f t="shared" ref="V2:V15" si="5">SUBSTITUTE(E2, "_", " ")</f>
        <v>Motorizados</v>
      </c>
      <c r="W2" s="30" t="s">
        <v>106</v>
      </c>
      <c r="X2" s="60" t="str">
        <f t="shared" ref="X2:X15" si="6">CONCATENATE("Key-MOT-",A2)</f>
        <v>Key-MOT-2</v>
      </c>
      <c r="Y2" s="30" t="s">
        <v>130</v>
      </c>
      <c r="Z2" s="30" t="s">
        <v>215</v>
      </c>
      <c r="AA2" s="29" t="s">
        <v>99</v>
      </c>
      <c r="AB2" s="30" t="s">
        <v>215</v>
      </c>
      <c r="AC2" s="30" t="s">
        <v>144</v>
      </c>
    </row>
    <row r="3" spans="1:29" ht="6.65" customHeight="1" x14ac:dyDescent="0.4">
      <c r="A3" s="58">
        <v>3</v>
      </c>
      <c r="B3" s="1" t="s">
        <v>171</v>
      </c>
      <c r="C3" s="33" t="s">
        <v>172</v>
      </c>
      <c r="D3" s="1" t="s">
        <v>190</v>
      </c>
      <c r="E3" s="1" t="s">
        <v>187</v>
      </c>
      <c r="F3" s="55" t="s">
        <v>103</v>
      </c>
      <c r="G3" s="59" t="s">
        <v>9</v>
      </c>
      <c r="H3" s="59" t="s">
        <v>9</v>
      </c>
      <c r="I3" s="59" t="s">
        <v>9</v>
      </c>
      <c r="J3" s="59" t="s">
        <v>9</v>
      </c>
      <c r="K3" s="59" t="s">
        <v>9</v>
      </c>
      <c r="L3" s="34" t="str">
        <f t="shared" ref="L3" si="7">CONCATENATE("", C3)</f>
        <v>De.Motricidade</v>
      </c>
      <c r="M3" s="34" t="str">
        <f t="shared" ref="M3" si="8">CONCATENATE("", D3)</f>
        <v>Elementos.Motrizes</v>
      </c>
      <c r="N3" s="34" t="str">
        <f t="shared" ref="N3" si="9">(SUBSTITUTE(SUBSTITUTE(CONCATENATE("",E3),"."," ")," De "," de "))</f>
        <v>Motorizados</v>
      </c>
      <c r="O3" s="30" t="str">
        <f t="shared" ref="O3:O15" si="10">IF(ISNUMBER(FIND("Ifc",F3)),CONCATENATE("Classe IFC:   ",F3),F3)</f>
        <v>Motor.de.Acoplamento</v>
      </c>
      <c r="P3" s="30" t="s">
        <v>119</v>
      </c>
      <c r="Q3" s="30" t="s">
        <v>123</v>
      </c>
      <c r="R3" s="30" t="s">
        <v>195</v>
      </c>
      <c r="S3" s="30" t="s">
        <v>9</v>
      </c>
      <c r="T3" s="30" t="str">
        <f t="shared" si="3"/>
        <v>De.Motricidade</v>
      </c>
      <c r="U3" s="30" t="str">
        <f t="shared" si="4"/>
        <v>Elementos.Motrizes</v>
      </c>
      <c r="V3" s="30" t="str">
        <f t="shared" si="5"/>
        <v>Motorizados</v>
      </c>
      <c r="W3" s="30" t="str">
        <f t="shared" ref="W3:W15" si="11">SUBSTITUTE(C3, "_", " ")</f>
        <v>De.Motricidade</v>
      </c>
      <c r="X3" s="60" t="str">
        <f t="shared" si="6"/>
        <v>Key-MOT-3</v>
      </c>
      <c r="Y3" s="30" t="s">
        <v>130</v>
      </c>
      <c r="Z3" s="30" t="s">
        <v>215</v>
      </c>
      <c r="AA3" s="29" t="s">
        <v>100</v>
      </c>
      <c r="AB3" s="30" t="s">
        <v>215</v>
      </c>
      <c r="AC3" s="30" t="s">
        <v>144</v>
      </c>
    </row>
    <row r="4" spans="1:29" ht="6.65" customHeight="1" x14ac:dyDescent="0.4">
      <c r="A4" s="58">
        <v>4</v>
      </c>
      <c r="B4" s="1" t="s">
        <v>171</v>
      </c>
      <c r="C4" s="33" t="s">
        <v>172</v>
      </c>
      <c r="D4" s="1" t="s">
        <v>190</v>
      </c>
      <c r="E4" s="1" t="s">
        <v>187</v>
      </c>
      <c r="F4" s="55" t="s">
        <v>105</v>
      </c>
      <c r="G4" s="59" t="s">
        <v>9</v>
      </c>
      <c r="H4" s="59" t="s">
        <v>9</v>
      </c>
      <c r="I4" s="59" t="s">
        <v>9</v>
      </c>
      <c r="J4" s="59" t="s">
        <v>9</v>
      </c>
      <c r="K4" s="59" t="s">
        <v>9</v>
      </c>
      <c r="L4" s="34" t="str">
        <f t="shared" si="0"/>
        <v>De.Motricidade</v>
      </c>
      <c r="M4" s="34" t="str">
        <f t="shared" si="1"/>
        <v>Elementos.Motrizes</v>
      </c>
      <c r="N4" s="34" t="str">
        <f t="shared" si="2"/>
        <v>Motorizados</v>
      </c>
      <c r="O4" s="30" t="str">
        <f t="shared" si="10"/>
        <v>Motor.de.Acionamento.Correia</v>
      </c>
      <c r="P4" s="30" t="s">
        <v>117</v>
      </c>
      <c r="Q4" s="30" t="s">
        <v>124</v>
      </c>
      <c r="R4" s="30" t="s">
        <v>196</v>
      </c>
      <c r="S4" s="30" t="s">
        <v>9</v>
      </c>
      <c r="T4" s="30" t="str">
        <f t="shared" si="3"/>
        <v>De.Motricidade</v>
      </c>
      <c r="U4" s="30" t="str">
        <f t="shared" si="4"/>
        <v>Elementos.Motrizes</v>
      </c>
      <c r="V4" s="30" t="str">
        <f t="shared" si="5"/>
        <v>Motorizados</v>
      </c>
      <c r="W4" s="30" t="str">
        <f t="shared" si="11"/>
        <v>De.Motricidade</v>
      </c>
      <c r="X4" s="60" t="str">
        <f t="shared" si="6"/>
        <v>Key-MOT-4</v>
      </c>
      <c r="Y4" s="30" t="s">
        <v>130</v>
      </c>
      <c r="Z4" s="30" t="s">
        <v>215</v>
      </c>
      <c r="AA4" s="29" t="s">
        <v>101</v>
      </c>
      <c r="AB4" s="30" t="s">
        <v>215</v>
      </c>
      <c r="AC4" s="30" t="s">
        <v>144</v>
      </c>
    </row>
    <row r="5" spans="1:29" ht="6.65" customHeight="1" x14ac:dyDescent="0.4">
      <c r="A5" s="58">
        <v>5</v>
      </c>
      <c r="B5" s="1" t="s">
        <v>171</v>
      </c>
      <c r="C5" s="33" t="s">
        <v>172</v>
      </c>
      <c r="D5" s="1" t="s">
        <v>190</v>
      </c>
      <c r="E5" s="1" t="s">
        <v>187</v>
      </c>
      <c r="F5" s="55" t="s">
        <v>104</v>
      </c>
      <c r="G5" s="59" t="s">
        <v>9</v>
      </c>
      <c r="H5" s="59" t="s">
        <v>9</v>
      </c>
      <c r="I5" s="59" t="s">
        <v>9</v>
      </c>
      <c r="J5" s="59" t="s">
        <v>9</v>
      </c>
      <c r="K5" s="59" t="s">
        <v>9</v>
      </c>
      <c r="L5" s="34" t="str">
        <f t="shared" ref="L5" si="12">CONCATENATE("", C5)</f>
        <v>De.Motricidade</v>
      </c>
      <c r="M5" s="34" t="str">
        <f t="shared" ref="M5" si="13">CONCATENATE("", D5)</f>
        <v>Elementos.Motrizes</v>
      </c>
      <c r="N5" s="34" t="str">
        <f t="shared" ref="N5" si="14">(SUBSTITUTE(SUBSTITUTE(CONCATENATE("",E5),"."," ")," De "," de "))</f>
        <v>Motorizados</v>
      </c>
      <c r="O5" s="30" t="str">
        <f t="shared" si="10"/>
        <v>Motor.de.Acionamento.Direto</v>
      </c>
      <c r="P5" s="30" t="s">
        <v>118</v>
      </c>
      <c r="Q5" s="30" t="s">
        <v>125</v>
      </c>
      <c r="R5" s="30" t="s">
        <v>197</v>
      </c>
      <c r="S5" s="30" t="s">
        <v>9</v>
      </c>
      <c r="T5" s="30" t="str">
        <f t="shared" si="3"/>
        <v>De.Motricidade</v>
      </c>
      <c r="U5" s="30" t="str">
        <f t="shared" si="4"/>
        <v>Elementos.Motrizes</v>
      </c>
      <c r="V5" s="30" t="str">
        <f t="shared" si="5"/>
        <v>Motorizados</v>
      </c>
      <c r="W5" s="30" t="str">
        <f t="shared" si="11"/>
        <v>De.Motricidade</v>
      </c>
      <c r="X5" s="60" t="str">
        <f t="shared" si="6"/>
        <v>Key-MOT-5</v>
      </c>
      <c r="Y5" s="30" t="s">
        <v>130</v>
      </c>
      <c r="Z5" s="30" t="s">
        <v>215</v>
      </c>
      <c r="AA5" s="29" t="s">
        <v>102</v>
      </c>
      <c r="AB5" s="30" t="s">
        <v>215</v>
      </c>
      <c r="AC5" s="30" t="s">
        <v>144</v>
      </c>
    </row>
    <row r="6" spans="1:29" ht="6.65" customHeight="1" x14ac:dyDescent="0.4">
      <c r="A6" s="58">
        <v>6</v>
      </c>
      <c r="B6" s="1" t="s">
        <v>171</v>
      </c>
      <c r="C6" s="33" t="s">
        <v>172</v>
      </c>
      <c r="D6" s="1" t="s">
        <v>190</v>
      </c>
      <c r="E6" s="1" t="s">
        <v>188</v>
      </c>
      <c r="F6" s="55" t="s">
        <v>113</v>
      </c>
      <c r="G6" s="59" t="s">
        <v>9</v>
      </c>
      <c r="H6" s="59" t="s">
        <v>9</v>
      </c>
      <c r="I6" s="59" t="s">
        <v>9</v>
      </c>
      <c r="J6" s="59" t="s">
        <v>9</v>
      </c>
      <c r="K6" s="59" t="s">
        <v>9</v>
      </c>
      <c r="L6" s="34" t="str">
        <f t="shared" ref="L6:M13" si="15">CONCATENATE("", C6)</f>
        <v>De.Motricidade</v>
      </c>
      <c r="M6" s="34" t="str">
        <f t="shared" si="15"/>
        <v>Elementos.Motrizes</v>
      </c>
      <c r="N6" s="34" t="str">
        <f>(SUBSTITUTE(SUBSTITUTE(CONCATENATE("",E6),"."," ")," De "," de "))</f>
        <v>Maquinizados</v>
      </c>
      <c r="O6" s="30" t="str">
        <f t="shared" si="10"/>
        <v>Máquina.Motriz</v>
      </c>
      <c r="P6" s="30" t="s">
        <v>116</v>
      </c>
      <c r="Q6" s="30" t="s">
        <v>126</v>
      </c>
      <c r="R6" s="30" t="s">
        <v>198</v>
      </c>
      <c r="S6" s="30" t="s">
        <v>9</v>
      </c>
      <c r="T6" s="30" t="str">
        <f t="shared" si="3"/>
        <v>De.Motricidade</v>
      </c>
      <c r="U6" s="30" t="str">
        <f t="shared" si="4"/>
        <v>Elementos.Motrizes</v>
      </c>
      <c r="V6" s="30" t="str">
        <f t="shared" si="5"/>
        <v>Maquinizados</v>
      </c>
      <c r="W6" s="30" t="str">
        <f t="shared" si="11"/>
        <v>De.Motricidade</v>
      </c>
      <c r="X6" s="60" t="str">
        <f t="shared" si="6"/>
        <v>Key-MOT-6</v>
      </c>
      <c r="Y6" s="30" t="s">
        <v>130</v>
      </c>
      <c r="Z6" s="30" t="s">
        <v>215</v>
      </c>
      <c r="AA6" s="29" t="s">
        <v>108</v>
      </c>
      <c r="AB6" s="30" t="s">
        <v>215</v>
      </c>
      <c r="AC6" s="30" t="s">
        <v>144</v>
      </c>
    </row>
    <row r="7" spans="1:29" ht="6.65" customHeight="1" x14ac:dyDescent="0.4">
      <c r="A7" s="58">
        <v>7</v>
      </c>
      <c r="B7" s="1" t="s">
        <v>171</v>
      </c>
      <c r="C7" s="33" t="s">
        <v>172</v>
      </c>
      <c r="D7" s="1" t="s">
        <v>190</v>
      </c>
      <c r="E7" s="1" t="s">
        <v>188</v>
      </c>
      <c r="F7" s="55" t="s">
        <v>111</v>
      </c>
      <c r="G7" s="59" t="s">
        <v>9</v>
      </c>
      <c r="H7" s="59" t="s">
        <v>9</v>
      </c>
      <c r="I7" s="59" t="s">
        <v>9</v>
      </c>
      <c r="J7" s="59" t="s">
        <v>9</v>
      </c>
      <c r="K7" s="59" t="s">
        <v>9</v>
      </c>
      <c r="L7" s="34" t="str">
        <f t="shared" si="15"/>
        <v>De.Motricidade</v>
      </c>
      <c r="M7" s="34" t="str">
        <f t="shared" si="15"/>
        <v>Elementos.Motrizes</v>
      </c>
      <c r="N7" s="34" t="str">
        <f>(SUBSTITUTE(SUBSTITUTE(CONCATENATE("",E7),"."," ")," De "," de "))</f>
        <v>Maquinizados</v>
      </c>
      <c r="O7" s="30" t="str">
        <f t="shared" si="10"/>
        <v>Máquina.de.Combustão.Externa</v>
      </c>
      <c r="P7" s="30" t="s">
        <v>114</v>
      </c>
      <c r="Q7" s="30" t="s">
        <v>127</v>
      </c>
      <c r="R7" s="30" t="s">
        <v>199</v>
      </c>
      <c r="S7" s="30" t="s">
        <v>9</v>
      </c>
      <c r="T7" s="30" t="str">
        <f t="shared" si="3"/>
        <v>De.Motricidade</v>
      </c>
      <c r="U7" s="30" t="str">
        <f t="shared" si="4"/>
        <v>Elementos.Motrizes</v>
      </c>
      <c r="V7" s="30" t="str">
        <f t="shared" si="5"/>
        <v>Maquinizados</v>
      </c>
      <c r="W7" s="30" t="str">
        <f t="shared" si="11"/>
        <v>De.Motricidade</v>
      </c>
      <c r="X7" s="60" t="str">
        <f t="shared" si="6"/>
        <v>Key-MOT-7</v>
      </c>
      <c r="Y7" s="30" t="s">
        <v>130</v>
      </c>
      <c r="Z7" s="30" t="s">
        <v>215</v>
      </c>
      <c r="AA7" s="29" t="s">
        <v>110</v>
      </c>
      <c r="AB7" s="30" t="s">
        <v>215</v>
      </c>
      <c r="AC7" s="30" t="s">
        <v>144</v>
      </c>
    </row>
    <row r="8" spans="1:29" ht="6.65" customHeight="1" x14ac:dyDescent="0.4">
      <c r="A8" s="58">
        <v>8</v>
      </c>
      <c r="B8" s="1" t="s">
        <v>171</v>
      </c>
      <c r="C8" s="33" t="s">
        <v>172</v>
      </c>
      <c r="D8" s="1" t="s">
        <v>190</v>
      </c>
      <c r="E8" s="1" t="s">
        <v>188</v>
      </c>
      <c r="F8" s="55" t="s">
        <v>112</v>
      </c>
      <c r="G8" s="59" t="s">
        <v>9</v>
      </c>
      <c r="H8" s="59" t="s">
        <v>9</v>
      </c>
      <c r="I8" s="59" t="s">
        <v>9</v>
      </c>
      <c r="J8" s="59" t="s">
        <v>9</v>
      </c>
      <c r="K8" s="59" t="s">
        <v>9</v>
      </c>
      <c r="L8" s="34" t="str">
        <f t="shared" si="15"/>
        <v>De.Motricidade</v>
      </c>
      <c r="M8" s="34" t="str">
        <f t="shared" si="15"/>
        <v>Elementos.Motrizes</v>
      </c>
      <c r="N8" s="34" t="str">
        <f>(SUBSTITUTE(SUBSTITUTE(CONCATENATE("",E8),"."," ")," De "," de "))</f>
        <v>Maquinizados</v>
      </c>
      <c r="O8" s="30" t="str">
        <f t="shared" si="10"/>
        <v>Máquina.de.Combustão.Interna</v>
      </c>
      <c r="P8" s="30" t="s">
        <v>115</v>
      </c>
      <c r="Q8" s="30" t="s">
        <v>128</v>
      </c>
      <c r="R8" s="30" t="s">
        <v>200</v>
      </c>
      <c r="S8" s="30" t="s">
        <v>9</v>
      </c>
      <c r="T8" s="30" t="str">
        <f t="shared" si="3"/>
        <v>De.Motricidade</v>
      </c>
      <c r="U8" s="30" t="str">
        <f t="shared" si="4"/>
        <v>Elementos.Motrizes</v>
      </c>
      <c r="V8" s="30" t="str">
        <f t="shared" si="5"/>
        <v>Maquinizados</v>
      </c>
      <c r="W8" s="30" t="str">
        <f t="shared" si="11"/>
        <v>De.Motricidade</v>
      </c>
      <c r="X8" s="60" t="str">
        <f t="shared" si="6"/>
        <v>Key-MOT-8</v>
      </c>
      <c r="Y8" s="30" t="s">
        <v>130</v>
      </c>
      <c r="Z8" s="30" t="s">
        <v>215</v>
      </c>
      <c r="AA8" s="29" t="s">
        <v>109</v>
      </c>
      <c r="AB8" s="30" t="s">
        <v>215</v>
      </c>
      <c r="AC8" s="30" t="s">
        <v>144</v>
      </c>
    </row>
    <row r="9" spans="1:29" ht="6.65" customHeight="1" x14ac:dyDescent="0.4">
      <c r="A9" s="58">
        <v>9</v>
      </c>
      <c r="B9" s="1" t="s">
        <v>171</v>
      </c>
      <c r="C9" s="33" t="s">
        <v>172</v>
      </c>
      <c r="D9" s="1" t="s">
        <v>190</v>
      </c>
      <c r="E9" s="1" t="s">
        <v>189</v>
      </c>
      <c r="F9" s="55" t="s">
        <v>150</v>
      </c>
      <c r="G9" s="59" t="s">
        <v>9</v>
      </c>
      <c r="H9" s="59" t="s">
        <v>9</v>
      </c>
      <c r="I9" s="59" t="s">
        <v>9</v>
      </c>
      <c r="J9" s="59" t="s">
        <v>9</v>
      </c>
      <c r="K9" s="59" t="s">
        <v>9</v>
      </c>
      <c r="L9" s="34" t="str">
        <f t="shared" si="15"/>
        <v>De.Motricidade</v>
      </c>
      <c r="M9" s="34" t="str">
        <f t="shared" si="15"/>
        <v>Elementos.Motrizes</v>
      </c>
      <c r="N9" s="34" t="str">
        <f t="shared" ref="N9:N11" si="16">(SUBSTITUTE(SUBSTITUTE(CONCATENATE("",E9),"."," ")," De "," de "))</f>
        <v>Elevadores</v>
      </c>
      <c r="O9" s="30" t="str">
        <f>IF(ISNUMBER(FIND("Ifc",F9)),CONCATENATE("Classe IFC:   ",F9),F9)</f>
        <v>Elevador.Hidráulico</v>
      </c>
      <c r="P9" s="30" t="s">
        <v>151</v>
      </c>
      <c r="Q9" s="30" t="s">
        <v>155</v>
      </c>
      <c r="R9" s="30" t="s">
        <v>201</v>
      </c>
      <c r="S9" s="30" t="s">
        <v>9</v>
      </c>
      <c r="T9" s="30" t="str">
        <f t="shared" ref="T9:T14" si="17">SUBSTITUTE(C9, "_", " ")</f>
        <v>De.Motricidade</v>
      </c>
      <c r="U9" s="30" t="str">
        <f t="shared" ref="U9:U14" si="18">SUBSTITUTE(D9, "_", " ")</f>
        <v>Elementos.Motrizes</v>
      </c>
      <c r="V9" s="30" t="str">
        <f t="shared" ref="V9:V14" si="19">SUBSTITUTE(E9, "_", " ")</f>
        <v>Elevadores</v>
      </c>
      <c r="W9" s="30" t="str">
        <f t="shared" ref="W9:W14" si="20">SUBSTITUTE(C9, "_", " ")</f>
        <v>De.Motricidade</v>
      </c>
      <c r="X9" s="60" t="str">
        <f t="shared" si="6"/>
        <v>Key-MOT-9</v>
      </c>
      <c r="Y9" s="30" t="s">
        <v>175</v>
      </c>
      <c r="Z9" s="30" t="s">
        <v>215</v>
      </c>
      <c r="AA9" s="29" t="s">
        <v>163</v>
      </c>
      <c r="AB9" s="30" t="s">
        <v>215</v>
      </c>
      <c r="AC9" s="30" t="s">
        <v>164</v>
      </c>
    </row>
    <row r="10" spans="1:29" ht="6.65" customHeight="1" x14ac:dyDescent="0.4">
      <c r="A10" s="58">
        <v>10</v>
      </c>
      <c r="B10" s="1" t="s">
        <v>171</v>
      </c>
      <c r="C10" s="33" t="s">
        <v>172</v>
      </c>
      <c r="D10" s="1" t="s">
        <v>190</v>
      </c>
      <c r="E10" s="1" t="s">
        <v>189</v>
      </c>
      <c r="F10" s="55" t="s">
        <v>147</v>
      </c>
      <c r="G10" s="59" t="s">
        <v>9</v>
      </c>
      <c r="H10" s="59" t="s">
        <v>9</v>
      </c>
      <c r="I10" s="59" t="s">
        <v>9</v>
      </c>
      <c r="J10" s="59" t="s">
        <v>9</v>
      </c>
      <c r="K10" s="59" t="s">
        <v>9</v>
      </c>
      <c r="L10" s="34" t="str">
        <f t="shared" si="15"/>
        <v>De.Motricidade</v>
      </c>
      <c r="M10" s="34" t="str">
        <f t="shared" si="15"/>
        <v>Elementos.Motrizes</v>
      </c>
      <c r="N10" s="34" t="str">
        <f t="shared" si="16"/>
        <v>Elevadores</v>
      </c>
      <c r="O10" s="30" t="str">
        <f t="shared" ref="O10:O14" si="21">IF(ISNUMBER(FIND("Ifc",F10)),CONCATENATE("Classe IFC:   ",F10),F10)</f>
        <v>Elevador.MR</v>
      </c>
      <c r="P10" s="30" t="s">
        <v>148</v>
      </c>
      <c r="Q10" s="30" t="s">
        <v>157</v>
      </c>
      <c r="R10" s="30" t="s">
        <v>202</v>
      </c>
      <c r="S10" s="30" t="s">
        <v>9</v>
      </c>
      <c r="T10" s="30" t="str">
        <f t="shared" si="17"/>
        <v>De.Motricidade</v>
      </c>
      <c r="U10" s="30" t="str">
        <f t="shared" si="18"/>
        <v>Elementos.Motrizes</v>
      </c>
      <c r="V10" s="30" t="str">
        <f t="shared" si="19"/>
        <v>Elevadores</v>
      </c>
      <c r="W10" s="30" t="str">
        <f t="shared" si="20"/>
        <v>De.Motricidade</v>
      </c>
      <c r="X10" s="60" t="str">
        <f t="shared" si="6"/>
        <v>Key-MOT-10</v>
      </c>
      <c r="Y10" s="30" t="s">
        <v>175</v>
      </c>
      <c r="Z10" s="30" t="s">
        <v>215</v>
      </c>
      <c r="AA10" s="29" t="s">
        <v>163</v>
      </c>
      <c r="AB10" s="30" t="s">
        <v>215</v>
      </c>
      <c r="AC10" s="30" t="s">
        <v>164</v>
      </c>
    </row>
    <row r="11" spans="1:29" ht="6.65" customHeight="1" x14ac:dyDescent="0.4">
      <c r="A11" s="58">
        <v>11</v>
      </c>
      <c r="B11" s="1" t="s">
        <v>171</v>
      </c>
      <c r="C11" s="33" t="s">
        <v>172</v>
      </c>
      <c r="D11" s="1" t="s">
        <v>190</v>
      </c>
      <c r="E11" s="1" t="s">
        <v>189</v>
      </c>
      <c r="F11" s="55" t="s">
        <v>146</v>
      </c>
      <c r="G11" s="59" t="s">
        <v>9</v>
      </c>
      <c r="H11" s="59" t="s">
        <v>9</v>
      </c>
      <c r="I11" s="59" t="s">
        <v>9</v>
      </c>
      <c r="J11" s="59" t="s">
        <v>9</v>
      </c>
      <c r="K11" s="59" t="s">
        <v>9</v>
      </c>
      <c r="L11" s="34" t="str">
        <f t="shared" si="15"/>
        <v>De.Motricidade</v>
      </c>
      <c r="M11" s="34" t="str">
        <f t="shared" si="15"/>
        <v>Elementos.Motrizes</v>
      </c>
      <c r="N11" s="34" t="str">
        <f t="shared" si="16"/>
        <v>Elevadores</v>
      </c>
      <c r="O11" s="30" t="str">
        <f t="shared" si="21"/>
        <v>Elevador.MRL</v>
      </c>
      <c r="P11" s="30" t="s">
        <v>149</v>
      </c>
      <c r="Q11" s="30" t="s">
        <v>156</v>
      </c>
      <c r="R11" s="30" t="s">
        <v>203</v>
      </c>
      <c r="S11" s="30" t="s">
        <v>9</v>
      </c>
      <c r="T11" s="30" t="str">
        <f t="shared" si="17"/>
        <v>De.Motricidade</v>
      </c>
      <c r="U11" s="30" t="str">
        <f t="shared" si="18"/>
        <v>Elementos.Motrizes</v>
      </c>
      <c r="V11" s="30" t="str">
        <f t="shared" si="19"/>
        <v>Elevadores</v>
      </c>
      <c r="W11" s="30" t="str">
        <f t="shared" si="20"/>
        <v>De.Motricidade</v>
      </c>
      <c r="X11" s="60" t="str">
        <f t="shared" si="6"/>
        <v>Key-MOT-11</v>
      </c>
      <c r="Y11" s="30" t="s">
        <v>175</v>
      </c>
      <c r="Z11" s="30" t="s">
        <v>215</v>
      </c>
      <c r="AA11" s="29" t="s">
        <v>163</v>
      </c>
      <c r="AB11" s="30" t="s">
        <v>215</v>
      </c>
      <c r="AC11" s="30" t="s">
        <v>164</v>
      </c>
    </row>
    <row r="12" spans="1:29" ht="6.65" customHeight="1" x14ac:dyDescent="0.4">
      <c r="A12" s="58">
        <v>12</v>
      </c>
      <c r="B12" s="1" t="s">
        <v>171</v>
      </c>
      <c r="C12" s="33" t="s">
        <v>172</v>
      </c>
      <c r="D12" s="1" t="s">
        <v>190</v>
      </c>
      <c r="E12" s="1" t="s">
        <v>189</v>
      </c>
      <c r="F12" s="55" t="s">
        <v>152</v>
      </c>
      <c r="G12" s="59" t="s">
        <v>9</v>
      </c>
      <c r="H12" s="59" t="s">
        <v>9</v>
      </c>
      <c r="I12" s="59" t="s">
        <v>9</v>
      </c>
      <c r="J12" s="59" t="s">
        <v>9</v>
      </c>
      <c r="K12" s="59" t="s">
        <v>9</v>
      </c>
      <c r="L12" s="34" t="str">
        <f t="shared" si="15"/>
        <v>De.Motricidade</v>
      </c>
      <c r="M12" s="34" t="str">
        <f t="shared" si="15"/>
        <v>Elementos.Motrizes</v>
      </c>
      <c r="N12" s="34" t="str">
        <f>(SUBSTITUTE(SUBSTITUTE(CONCATENATE("",E12),"."," ")," De "," de "))</f>
        <v>Elevadores</v>
      </c>
      <c r="O12" s="30" t="str">
        <f t="shared" ref="O12:O13" si="22">IF(ISNUMBER(FIND("Ifc",F12)),CONCATENATE("Classe IFC:   ",F12),F12)</f>
        <v>Plataforma</v>
      </c>
      <c r="P12" s="30" t="s">
        <v>160</v>
      </c>
      <c r="Q12" s="30" t="s">
        <v>152</v>
      </c>
      <c r="R12" s="30" t="s">
        <v>204</v>
      </c>
      <c r="S12" s="30" t="s">
        <v>9</v>
      </c>
      <c r="T12" s="30" t="str">
        <f t="shared" ref="T12:T13" si="23">SUBSTITUTE(C12, "_", " ")</f>
        <v>De.Motricidade</v>
      </c>
      <c r="U12" s="30" t="str">
        <f t="shared" ref="U12:U13" si="24">SUBSTITUTE(D12, "_", " ")</f>
        <v>Elementos.Motrizes</v>
      </c>
      <c r="V12" s="30" t="str">
        <f t="shared" ref="V12:V13" si="25">SUBSTITUTE(E12, "_", " ")</f>
        <v>Elevadores</v>
      </c>
      <c r="W12" s="30" t="str">
        <f t="shared" ref="W12:W13" si="26">SUBSTITUTE(C12, "_", " ")</f>
        <v>De.Motricidade</v>
      </c>
      <c r="X12" s="60" t="str">
        <f t="shared" si="6"/>
        <v>Key-MOT-12</v>
      </c>
      <c r="Y12" s="30" t="s">
        <v>175</v>
      </c>
      <c r="Z12" s="30" t="s">
        <v>215</v>
      </c>
      <c r="AA12" s="29" t="s">
        <v>163</v>
      </c>
      <c r="AB12" s="30" t="s">
        <v>215</v>
      </c>
      <c r="AC12" s="30" t="s">
        <v>165</v>
      </c>
    </row>
    <row r="13" spans="1:29" ht="6.65" customHeight="1" x14ac:dyDescent="0.4">
      <c r="A13" s="58">
        <v>13</v>
      </c>
      <c r="B13" s="1" t="s">
        <v>171</v>
      </c>
      <c r="C13" s="33" t="s">
        <v>172</v>
      </c>
      <c r="D13" s="1" t="s">
        <v>190</v>
      </c>
      <c r="E13" s="1" t="s">
        <v>189</v>
      </c>
      <c r="F13" s="55" t="s">
        <v>153</v>
      </c>
      <c r="G13" s="59" t="s">
        <v>9</v>
      </c>
      <c r="H13" s="59" t="s">
        <v>9</v>
      </c>
      <c r="I13" s="59" t="s">
        <v>9</v>
      </c>
      <c r="J13" s="59" t="s">
        <v>9</v>
      </c>
      <c r="K13" s="59" t="s">
        <v>9</v>
      </c>
      <c r="L13" s="34" t="str">
        <f t="shared" si="15"/>
        <v>De.Motricidade</v>
      </c>
      <c r="M13" s="34" t="str">
        <f t="shared" si="15"/>
        <v>Elementos.Motrizes</v>
      </c>
      <c r="N13" s="34" t="str">
        <f>(SUBSTITUTE(SUBSTITUTE(CONCATENATE("",E13),"."," ")," De "," de "))</f>
        <v>Elevadores</v>
      </c>
      <c r="O13" s="30" t="str">
        <f t="shared" si="22"/>
        <v>Plataforma.Articulada</v>
      </c>
      <c r="P13" s="30" t="s">
        <v>161</v>
      </c>
      <c r="Q13" s="30" t="s">
        <v>159</v>
      </c>
      <c r="R13" s="30" t="s">
        <v>205</v>
      </c>
      <c r="S13" s="30" t="s">
        <v>9</v>
      </c>
      <c r="T13" s="30" t="str">
        <f t="shared" si="23"/>
        <v>De.Motricidade</v>
      </c>
      <c r="U13" s="30" t="str">
        <f t="shared" si="24"/>
        <v>Elementos.Motrizes</v>
      </c>
      <c r="V13" s="30" t="str">
        <f t="shared" si="25"/>
        <v>Elevadores</v>
      </c>
      <c r="W13" s="30" t="str">
        <f t="shared" si="26"/>
        <v>De.Motricidade</v>
      </c>
      <c r="X13" s="60" t="str">
        <f t="shared" si="6"/>
        <v>Key-MOT-13</v>
      </c>
      <c r="Y13" s="30" t="s">
        <v>175</v>
      </c>
      <c r="Z13" s="30" t="s">
        <v>215</v>
      </c>
      <c r="AA13" s="29" t="s">
        <v>163</v>
      </c>
      <c r="AB13" s="30" t="s">
        <v>215</v>
      </c>
      <c r="AC13" s="30" t="s">
        <v>165</v>
      </c>
    </row>
    <row r="14" spans="1:29" ht="6.65" customHeight="1" x14ac:dyDescent="0.4">
      <c r="A14" s="58">
        <v>14</v>
      </c>
      <c r="B14" s="1" t="s">
        <v>171</v>
      </c>
      <c r="C14" s="33" t="s">
        <v>172</v>
      </c>
      <c r="D14" s="1" t="s">
        <v>190</v>
      </c>
      <c r="E14" s="1" t="s">
        <v>189</v>
      </c>
      <c r="F14" s="55" t="s">
        <v>154</v>
      </c>
      <c r="G14" s="59" t="s">
        <v>9</v>
      </c>
      <c r="H14" s="59" t="s">
        <v>9</v>
      </c>
      <c r="I14" s="59" t="s">
        <v>9</v>
      </c>
      <c r="J14" s="59" t="s">
        <v>9</v>
      </c>
      <c r="K14" s="59" t="s">
        <v>9</v>
      </c>
      <c r="L14" s="34" t="str">
        <f t="shared" ref="L14" si="27">CONCATENATE("", C14)</f>
        <v>De.Motricidade</v>
      </c>
      <c r="M14" s="34" t="str">
        <f t="shared" ref="M14" si="28">CONCATENATE("", D14)</f>
        <v>Elementos.Motrizes</v>
      </c>
      <c r="N14" s="34" t="str">
        <f>(SUBSTITUTE(SUBSTITUTE(CONCATENATE("",E14),"."," ")," De "," de "))</f>
        <v>Elevadores</v>
      </c>
      <c r="O14" s="30" t="str">
        <f t="shared" si="21"/>
        <v>Plataforma.Cesto</v>
      </c>
      <c r="P14" s="30" t="s">
        <v>162</v>
      </c>
      <c r="Q14" s="30" t="s">
        <v>158</v>
      </c>
      <c r="R14" s="30" t="s">
        <v>206</v>
      </c>
      <c r="S14" s="30" t="s">
        <v>9</v>
      </c>
      <c r="T14" s="30" t="str">
        <f t="shared" si="17"/>
        <v>De.Motricidade</v>
      </c>
      <c r="U14" s="30" t="str">
        <f t="shared" si="18"/>
        <v>Elementos.Motrizes</v>
      </c>
      <c r="V14" s="30" t="str">
        <f t="shared" si="19"/>
        <v>Elevadores</v>
      </c>
      <c r="W14" s="30" t="str">
        <f t="shared" si="20"/>
        <v>De.Motricidade</v>
      </c>
      <c r="X14" s="60" t="str">
        <f t="shared" si="6"/>
        <v>Key-MOT-14</v>
      </c>
      <c r="Y14" s="30" t="s">
        <v>175</v>
      </c>
      <c r="Z14" s="30" t="s">
        <v>215</v>
      </c>
      <c r="AA14" s="29" t="s">
        <v>163</v>
      </c>
      <c r="AB14" s="30" t="s">
        <v>215</v>
      </c>
      <c r="AC14" s="30" t="s">
        <v>165</v>
      </c>
    </row>
    <row r="15" spans="1:29" ht="6.65" customHeight="1" x14ac:dyDescent="0.4">
      <c r="A15" s="58">
        <v>15</v>
      </c>
      <c r="B15" s="1" t="s">
        <v>171</v>
      </c>
      <c r="C15" s="33" t="s">
        <v>172</v>
      </c>
      <c r="D15" s="1" t="s">
        <v>190</v>
      </c>
      <c r="E15" s="44" t="s">
        <v>191</v>
      </c>
      <c r="F15" s="63" t="s">
        <v>192</v>
      </c>
      <c r="G15" s="64" t="s">
        <v>9</v>
      </c>
      <c r="H15" s="59" t="s">
        <v>9</v>
      </c>
      <c r="I15" s="59" t="s">
        <v>9</v>
      </c>
      <c r="J15" s="59" t="s">
        <v>9</v>
      </c>
      <c r="K15" s="59" t="s">
        <v>9</v>
      </c>
      <c r="L15" s="34" t="str">
        <f t="shared" ref="L15:M15" si="29">CONCATENATE("", C15)</f>
        <v>De.Motricidade</v>
      </c>
      <c r="M15" s="34" t="str">
        <f t="shared" si="29"/>
        <v>Elementos.Motrizes</v>
      </c>
      <c r="N15" s="34" t="str">
        <f t="shared" ref="N15" si="30">(SUBSTITUTE(SUBSTITUTE(CONCATENATE("",E15),"."," ")," De "," de "))</f>
        <v>Acessórios Motrizes</v>
      </c>
      <c r="O15" s="30" t="str">
        <f t="shared" si="10"/>
        <v>Acessório.Motriz</v>
      </c>
      <c r="P15" s="30" t="s">
        <v>121</v>
      </c>
      <c r="Q15" s="30" t="s">
        <v>129</v>
      </c>
      <c r="R15" s="30" t="s">
        <v>207</v>
      </c>
      <c r="S15" s="30" t="s">
        <v>9</v>
      </c>
      <c r="T15" s="30" t="str">
        <f t="shared" si="3"/>
        <v>De.Motricidade</v>
      </c>
      <c r="U15" s="30" t="str">
        <f t="shared" si="4"/>
        <v>Elementos.Motrizes</v>
      </c>
      <c r="V15" s="30" t="str">
        <f t="shared" si="5"/>
        <v>Acessórios.Motrizes</v>
      </c>
      <c r="W15" s="30" t="str">
        <f t="shared" si="11"/>
        <v>De.Motricidade</v>
      </c>
      <c r="X15" s="60" t="str">
        <f t="shared" si="6"/>
        <v>Key-MOT-15</v>
      </c>
      <c r="Y15" s="30" t="s">
        <v>130</v>
      </c>
      <c r="Z15" s="30" t="s">
        <v>215</v>
      </c>
      <c r="AA15" s="29" t="s">
        <v>98</v>
      </c>
      <c r="AB15" s="30" t="s">
        <v>215</v>
      </c>
      <c r="AC15" s="30" t="s">
        <v>144</v>
      </c>
    </row>
    <row r="16" spans="1:29" ht="6.65" customHeight="1" x14ac:dyDescent="0.4">
      <c r="A16" s="58">
        <v>16</v>
      </c>
      <c r="B16" s="1" t="s">
        <v>173</v>
      </c>
      <c r="C16" s="33" t="s">
        <v>176</v>
      </c>
      <c r="D16" s="1" t="s">
        <v>177</v>
      </c>
      <c r="E16" s="44" t="s">
        <v>186</v>
      </c>
      <c r="F16" s="63" t="s">
        <v>178</v>
      </c>
      <c r="G16" s="64" t="s">
        <v>9</v>
      </c>
      <c r="H16" s="59" t="s">
        <v>9</v>
      </c>
      <c r="I16" s="59" t="s">
        <v>9</v>
      </c>
      <c r="J16" s="59" t="s">
        <v>9</v>
      </c>
      <c r="K16" s="59" t="s">
        <v>9</v>
      </c>
      <c r="L16" s="34" t="str">
        <f t="shared" ref="L16" si="31">CONCATENATE("", C16)</f>
        <v>De.Força.Motriz</v>
      </c>
      <c r="M16" s="34" t="str">
        <f t="shared" ref="M16" si="32">CONCATENATE("", D16)</f>
        <v>Maquinárias</v>
      </c>
      <c r="N16" s="34" t="str">
        <f t="shared" ref="N16" si="33">(SUBSTITUTE(SUBSTITUTE(CONCATENATE("",E16),"."," ")," De "," de "))</f>
        <v>Máquinas</v>
      </c>
      <c r="O16" s="30" t="str">
        <f t="shared" ref="O16" si="34">IF(ISNUMBER(FIND("Ifc",F16)),CONCATENATE("Classe IFC:   ",F16),F16)</f>
        <v>Máquina</v>
      </c>
      <c r="P16" s="30" t="s">
        <v>178</v>
      </c>
      <c r="Q16" s="30" t="s">
        <v>178</v>
      </c>
      <c r="R16" s="30" t="s">
        <v>208</v>
      </c>
      <c r="S16" s="30" t="s">
        <v>9</v>
      </c>
      <c r="T16" s="30" t="str">
        <f t="shared" ref="T16" si="35">SUBSTITUTE(C16, "_", " ")</f>
        <v>De.Força.Motriz</v>
      </c>
      <c r="U16" s="30" t="str">
        <f t="shared" ref="U16" si="36">SUBSTITUTE(D16, "_", " ")</f>
        <v>Maquinárias</v>
      </c>
      <c r="V16" s="30" t="str">
        <f t="shared" ref="V16" si="37">SUBSTITUTE(E16, "_", " ")</f>
        <v>Máquinas</v>
      </c>
      <c r="W16" s="30" t="str">
        <f t="shared" ref="W16" si="38">SUBSTITUTE(C16, "_", " ")</f>
        <v>De.Força.Motriz</v>
      </c>
      <c r="X16" s="60" t="str">
        <f t="shared" ref="X16" si="39">CONCATENATE("Key-MOT-",A16)</f>
        <v>Key-MOT-16</v>
      </c>
      <c r="Y16" s="30" t="s">
        <v>130</v>
      </c>
      <c r="Z16" s="30" t="s">
        <v>215</v>
      </c>
      <c r="AA16" s="29" t="s">
        <v>98</v>
      </c>
      <c r="AB16" s="30" t="s">
        <v>215</v>
      </c>
      <c r="AC16" s="30" t="s">
        <v>144</v>
      </c>
    </row>
    <row r="17" spans="1:29" ht="6.65" customHeight="1" x14ac:dyDescent="0.4">
      <c r="A17" s="58">
        <v>17</v>
      </c>
      <c r="B17" s="1" t="s">
        <v>173</v>
      </c>
      <c r="C17" s="33" t="s">
        <v>176</v>
      </c>
      <c r="D17" s="1" t="s">
        <v>177</v>
      </c>
      <c r="E17" s="44" t="s">
        <v>186</v>
      </c>
      <c r="F17" s="63" t="s">
        <v>179</v>
      </c>
      <c r="G17" s="64" t="s">
        <v>9</v>
      </c>
      <c r="H17" s="59" t="s">
        <v>9</v>
      </c>
      <c r="I17" s="59" t="s">
        <v>9</v>
      </c>
      <c r="J17" s="59" t="s">
        <v>9</v>
      </c>
      <c r="K17" s="59" t="s">
        <v>9</v>
      </c>
      <c r="L17" s="34" t="str">
        <f t="shared" ref="L17:L18" si="40">CONCATENATE("", C17)</f>
        <v>De.Força.Motriz</v>
      </c>
      <c r="M17" s="34" t="str">
        <f t="shared" ref="M17:M18" si="41">CONCATENATE("", D17)</f>
        <v>Maquinárias</v>
      </c>
      <c r="N17" s="34" t="str">
        <f t="shared" ref="N17:N18" si="42">(SUBSTITUTE(SUBSTITUTE(CONCATENATE("",E17),"."," ")," De "," de "))</f>
        <v>Máquinas</v>
      </c>
      <c r="O17" s="30" t="str">
        <f t="shared" ref="O17:O18" si="43">IF(ISNUMBER(FIND("Ifc",F17)),CONCATENATE("Classe IFC:   ",F17),F17)</f>
        <v>Bomba</v>
      </c>
      <c r="P17" s="30" t="s">
        <v>179</v>
      </c>
      <c r="Q17" s="30" t="s">
        <v>179</v>
      </c>
      <c r="R17" s="30" t="s">
        <v>209</v>
      </c>
      <c r="S17" s="30" t="s">
        <v>9</v>
      </c>
      <c r="T17" s="30" t="str">
        <f t="shared" ref="T17:T18" si="44">SUBSTITUTE(C17, "_", " ")</f>
        <v>De.Força.Motriz</v>
      </c>
      <c r="U17" s="30" t="str">
        <f t="shared" ref="U17:U18" si="45">SUBSTITUTE(D17, "_", " ")</f>
        <v>Maquinárias</v>
      </c>
      <c r="V17" s="30" t="str">
        <f t="shared" ref="V17:V18" si="46">SUBSTITUTE(E17, "_", " ")</f>
        <v>Máquinas</v>
      </c>
      <c r="W17" s="30" t="str">
        <f t="shared" ref="W17:W18" si="47">SUBSTITUTE(C17, "_", " ")</f>
        <v>De.Força.Motriz</v>
      </c>
      <c r="X17" s="60" t="str">
        <f t="shared" ref="X17:X18" si="48">CONCATENATE("Key-MOT-",A17)</f>
        <v>Key-MOT-17</v>
      </c>
      <c r="Y17" s="30" t="s">
        <v>130</v>
      </c>
      <c r="Z17" s="30" t="s">
        <v>215</v>
      </c>
      <c r="AA17" s="29" t="s">
        <v>98</v>
      </c>
      <c r="AB17" s="30" t="s">
        <v>215</v>
      </c>
      <c r="AC17" s="30" t="s">
        <v>144</v>
      </c>
    </row>
    <row r="18" spans="1:29" ht="6.65" customHeight="1" x14ac:dyDescent="0.4">
      <c r="A18" s="58">
        <v>18</v>
      </c>
      <c r="B18" s="1" t="s">
        <v>173</v>
      </c>
      <c r="C18" s="33" t="s">
        <v>176</v>
      </c>
      <c r="D18" s="1" t="s">
        <v>177</v>
      </c>
      <c r="E18" s="44" t="s">
        <v>186</v>
      </c>
      <c r="F18" s="63" t="s">
        <v>180</v>
      </c>
      <c r="G18" s="64" t="s">
        <v>9</v>
      </c>
      <c r="H18" s="59" t="s">
        <v>9</v>
      </c>
      <c r="I18" s="59" t="s">
        <v>9</v>
      </c>
      <c r="J18" s="59" t="s">
        <v>9</v>
      </c>
      <c r="K18" s="59" t="s">
        <v>9</v>
      </c>
      <c r="L18" s="34" t="str">
        <f t="shared" si="40"/>
        <v>De.Força.Motriz</v>
      </c>
      <c r="M18" s="34" t="str">
        <f t="shared" si="41"/>
        <v>Maquinárias</v>
      </c>
      <c r="N18" s="34" t="str">
        <f t="shared" si="42"/>
        <v>Máquinas</v>
      </c>
      <c r="O18" s="30" t="str">
        <f t="shared" si="43"/>
        <v>Motor</v>
      </c>
      <c r="P18" s="30" t="s">
        <v>180</v>
      </c>
      <c r="Q18" s="30" t="s">
        <v>180</v>
      </c>
      <c r="R18" s="30" t="s">
        <v>210</v>
      </c>
      <c r="S18" s="30" t="s">
        <v>9</v>
      </c>
      <c r="T18" s="30" t="str">
        <f t="shared" si="44"/>
        <v>De.Força.Motriz</v>
      </c>
      <c r="U18" s="30" t="str">
        <f t="shared" si="45"/>
        <v>Maquinárias</v>
      </c>
      <c r="V18" s="30" t="str">
        <f t="shared" si="46"/>
        <v>Máquinas</v>
      </c>
      <c r="W18" s="30" t="str">
        <f t="shared" si="47"/>
        <v>De.Força.Motriz</v>
      </c>
      <c r="X18" s="60" t="str">
        <f t="shared" si="48"/>
        <v>Key-MOT-18</v>
      </c>
      <c r="Y18" s="30" t="s">
        <v>130</v>
      </c>
      <c r="Z18" s="30" t="s">
        <v>215</v>
      </c>
      <c r="AA18" s="29" t="s">
        <v>98</v>
      </c>
      <c r="AB18" s="30" t="s">
        <v>215</v>
      </c>
      <c r="AC18" s="30" t="s">
        <v>144</v>
      </c>
    </row>
    <row r="19" spans="1:29" ht="6.65" customHeight="1" x14ac:dyDescent="0.4">
      <c r="A19" s="58">
        <v>19</v>
      </c>
      <c r="B19" s="1" t="s">
        <v>173</v>
      </c>
      <c r="C19" s="33" t="s">
        <v>176</v>
      </c>
      <c r="D19" s="1" t="s">
        <v>177</v>
      </c>
      <c r="E19" s="44" t="s">
        <v>186</v>
      </c>
      <c r="F19" s="63" t="s">
        <v>181</v>
      </c>
      <c r="G19" s="64" t="s">
        <v>9</v>
      </c>
      <c r="H19" s="59" t="s">
        <v>9</v>
      </c>
      <c r="I19" s="59" t="s">
        <v>9</v>
      </c>
      <c r="J19" s="59" t="s">
        <v>9</v>
      </c>
      <c r="K19" s="59" t="s">
        <v>9</v>
      </c>
      <c r="L19" s="34" t="str">
        <f t="shared" ref="L19" si="49">CONCATENATE("", C19)</f>
        <v>De.Força.Motriz</v>
      </c>
      <c r="M19" s="34" t="str">
        <f t="shared" ref="M19" si="50">CONCATENATE("", D19)</f>
        <v>Maquinárias</v>
      </c>
      <c r="N19" s="34" t="str">
        <f t="shared" ref="N19" si="51">(SUBSTITUTE(SUBSTITUTE(CONCATENATE("",E19),"."," ")," De "," de "))</f>
        <v>Máquinas</v>
      </c>
      <c r="O19" s="30" t="str">
        <f t="shared" ref="O19" si="52">IF(ISNUMBER(FIND("Ifc",F19)),CONCATENATE("Classe IFC:   ",F19),F19)</f>
        <v>Elevador</v>
      </c>
      <c r="P19" s="30" t="s">
        <v>181</v>
      </c>
      <c r="Q19" s="30" t="s">
        <v>185</v>
      </c>
      <c r="R19" s="30" t="s">
        <v>211</v>
      </c>
      <c r="S19" s="30" t="s">
        <v>9</v>
      </c>
      <c r="T19" s="30" t="str">
        <f t="shared" ref="T19" si="53">SUBSTITUTE(C19, "_", " ")</f>
        <v>De.Força.Motriz</v>
      </c>
      <c r="U19" s="30" t="str">
        <f t="shared" ref="U19" si="54">SUBSTITUTE(D19, "_", " ")</f>
        <v>Maquinárias</v>
      </c>
      <c r="V19" s="30" t="str">
        <f t="shared" ref="V19" si="55">SUBSTITUTE(E19, "_", " ")</f>
        <v>Máquinas</v>
      </c>
      <c r="W19" s="30" t="str">
        <f t="shared" ref="W19" si="56">SUBSTITUTE(C19, "_", " ")</f>
        <v>De.Força.Motriz</v>
      </c>
      <c r="X19" s="60" t="str">
        <f t="shared" ref="X19" si="57">CONCATENATE("Key-MOT-",A19)</f>
        <v>Key-MOT-19</v>
      </c>
      <c r="Y19" s="30" t="s">
        <v>130</v>
      </c>
      <c r="Z19" s="30" t="s">
        <v>215</v>
      </c>
      <c r="AA19" s="29" t="s">
        <v>98</v>
      </c>
      <c r="AB19" s="30" t="s">
        <v>215</v>
      </c>
      <c r="AC19" s="30" t="s">
        <v>144</v>
      </c>
    </row>
    <row r="20" spans="1:29" ht="6.65" customHeight="1" x14ac:dyDescent="0.4">
      <c r="A20" s="58">
        <v>20</v>
      </c>
      <c r="B20" s="1" t="s">
        <v>173</v>
      </c>
      <c r="C20" s="33" t="s">
        <v>176</v>
      </c>
      <c r="D20" s="1" t="s">
        <v>177</v>
      </c>
      <c r="E20" s="44" t="s">
        <v>186</v>
      </c>
      <c r="F20" s="63" t="s">
        <v>182</v>
      </c>
      <c r="G20" s="64" t="s">
        <v>9</v>
      </c>
      <c r="H20" s="59" t="s">
        <v>9</v>
      </c>
      <c r="I20" s="59" t="s">
        <v>9</v>
      </c>
      <c r="J20" s="59" t="s">
        <v>9</v>
      </c>
      <c r="K20" s="59" t="s">
        <v>9</v>
      </c>
      <c r="L20" s="34" t="str">
        <f t="shared" ref="L20" si="58">CONCATENATE("", C20)</f>
        <v>De.Força.Motriz</v>
      </c>
      <c r="M20" s="34" t="str">
        <f t="shared" ref="M20" si="59">CONCATENATE("", D20)</f>
        <v>Maquinárias</v>
      </c>
      <c r="N20" s="34" t="str">
        <f t="shared" ref="N20" si="60">(SUBSTITUTE(SUBSTITUTE(CONCATENATE("",E20),"."," ")," De "," de "))</f>
        <v>Máquinas</v>
      </c>
      <c r="O20" s="30" t="str">
        <f t="shared" ref="O20" si="61">IF(ISNUMBER(FIND("Ifc",F20)),CONCATENATE("Classe IFC:   ",F20),F20)</f>
        <v>Escada.Rolante</v>
      </c>
      <c r="P20" s="30" t="s">
        <v>183</v>
      </c>
      <c r="Q20" s="30" t="s">
        <v>184</v>
      </c>
      <c r="R20" s="30" t="s">
        <v>212</v>
      </c>
      <c r="S20" s="30" t="s">
        <v>9</v>
      </c>
      <c r="T20" s="30" t="str">
        <f t="shared" ref="T20" si="62">SUBSTITUTE(C20, "_", " ")</f>
        <v>De.Força.Motriz</v>
      </c>
      <c r="U20" s="30" t="str">
        <f t="shared" ref="U20" si="63">SUBSTITUTE(D20, "_", " ")</f>
        <v>Maquinárias</v>
      </c>
      <c r="V20" s="30" t="str">
        <f t="shared" ref="V20" si="64">SUBSTITUTE(E20, "_", " ")</f>
        <v>Máquinas</v>
      </c>
      <c r="W20" s="30" t="str">
        <f t="shared" ref="W20" si="65">SUBSTITUTE(C20, "_", " ")</f>
        <v>De.Força.Motriz</v>
      </c>
      <c r="X20" s="60" t="str">
        <f t="shared" ref="X20" si="66">CONCATENATE("Key-MOT-",A20)</f>
        <v>Key-MOT-20</v>
      </c>
      <c r="Y20" s="30" t="s">
        <v>130</v>
      </c>
      <c r="Z20" s="30" t="s">
        <v>215</v>
      </c>
      <c r="AA20" s="29" t="s">
        <v>98</v>
      </c>
      <c r="AB20" s="30" t="s">
        <v>215</v>
      </c>
      <c r="AC20" s="30" t="s">
        <v>144</v>
      </c>
    </row>
  </sheetData>
  <sortState xmlns:xlrd2="http://schemas.microsoft.com/office/spreadsheetml/2017/richdata2" ref="A2:AC740">
    <sortCondition ref="F2:F740"/>
  </sortState>
  <phoneticPr fontId="1" type="noConversion"/>
  <conditionalFormatting sqref="A2:B20">
    <cfRule type="cellIs" dxfId="26" priority="2" operator="equal">
      <formula>"null"</formula>
    </cfRule>
  </conditionalFormatting>
  <conditionalFormatting sqref="A1:O1 S1:Y1 AC1">
    <cfRule type="cellIs" dxfId="25" priority="231" operator="equal">
      <formula>"null"</formula>
    </cfRule>
  </conditionalFormatting>
  <conditionalFormatting sqref="F1 F15:F1048576">
    <cfRule type="duplicateValues" dxfId="24" priority="2010"/>
  </conditionalFormatting>
  <conditionalFormatting sqref="F1">
    <cfRule type="duplicateValues" dxfId="23" priority="1667"/>
  </conditionalFormatting>
  <conditionalFormatting sqref="F2:F5">
    <cfRule type="duplicateValues" dxfId="22" priority="2065"/>
  </conditionalFormatting>
  <conditionalFormatting sqref="F6:F8">
    <cfRule type="duplicateValues" dxfId="21" priority="31"/>
    <cfRule type="duplicateValues" dxfId="20" priority="32"/>
    <cfRule type="duplicateValues" dxfId="19" priority="33"/>
    <cfRule type="duplicateValues" dxfId="18" priority="34"/>
    <cfRule type="duplicateValues" dxfId="17" priority="35"/>
    <cfRule type="duplicateValues" dxfId="16" priority="36"/>
  </conditionalFormatting>
  <conditionalFormatting sqref="F9:F14">
    <cfRule type="duplicateValues" dxfId="15" priority="2102"/>
  </conditionalFormatting>
  <conditionalFormatting sqref="F15:F20">
    <cfRule type="duplicateValues" dxfId="14" priority="139"/>
  </conditionalFormatting>
  <conditionalFormatting sqref="F15:F1048576">
    <cfRule type="duplicateValues" dxfId="13" priority="2020"/>
    <cfRule type="duplicateValues" dxfId="12" priority="2026"/>
    <cfRule type="duplicateValues" dxfId="11" priority="2027"/>
    <cfRule type="duplicateValues" dxfId="10" priority="2028"/>
    <cfRule type="duplicateValues" dxfId="9" priority="2070"/>
  </conditionalFormatting>
  <conditionalFormatting sqref="Y2:Y20">
    <cfRule type="containsText" dxfId="8" priority="58" operator="containsText" text="null">
      <formula>NOT(ISERROR(SEARCH("null",Y2)))</formula>
    </cfRule>
  </conditionalFormatting>
  <conditionalFormatting sqref="R2:R14">
    <cfRule type="cellIs" dxfId="7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2"/>
  <sheetViews>
    <sheetView zoomScale="180" zoomScaleNormal="180" workbookViewId="0">
      <selection activeCell="A3" sqref="A3:XFD3"/>
    </sheetView>
  </sheetViews>
  <sheetFormatPr defaultColWidth="11.15234375" defaultRowHeight="7.75" x14ac:dyDescent="0.2"/>
  <cols>
    <col min="1" max="1" width="2.84375" style="9" customWidth="1"/>
    <col min="2" max="10" width="6.53515625" style="10" customWidth="1"/>
    <col min="11" max="21" width="6.53515625" style="8" customWidth="1"/>
    <col min="22" max="16384" width="11.15234375" style="8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</sheetData>
  <conditionalFormatting sqref="A1:XFD1048576">
    <cfRule type="cellIs" dxfId="6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15234375" style="26" customWidth="1"/>
    <col min="2" max="2" width="5.84375" style="25" bestFit="1" customWidth="1"/>
    <col min="3" max="3" width="11.3046875" style="25" bestFit="1" customWidth="1"/>
    <col min="4" max="7" width="10.84375" style="25" bestFit="1" customWidth="1"/>
  </cols>
  <sheetData>
    <row r="1" spans="1:7" ht="33" customHeight="1" x14ac:dyDescent="0.4">
      <c r="A1" s="31">
        <v>0</v>
      </c>
      <c r="B1" s="27" t="s">
        <v>79</v>
      </c>
      <c r="C1" s="28" t="s">
        <v>80</v>
      </c>
      <c r="D1" s="28" t="s">
        <v>81</v>
      </c>
      <c r="E1" s="28" t="s">
        <v>81</v>
      </c>
      <c r="F1" s="28" t="s">
        <v>81</v>
      </c>
      <c r="G1" s="28" t="s">
        <v>81</v>
      </c>
    </row>
    <row r="2" spans="1:7" ht="8.25" customHeight="1" x14ac:dyDescent="0.4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1449"/>
    <cfRule type="duplicateValues" dxfId="3" priority="1450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10"/>
  <sheetViews>
    <sheetView zoomScale="205" zoomScaleNormal="205" workbookViewId="0">
      <selection activeCell="G3" sqref="G3:G10"/>
    </sheetView>
  </sheetViews>
  <sheetFormatPr defaultColWidth="11.53515625" defaultRowHeight="7.5" customHeight="1" x14ac:dyDescent="0.4"/>
  <cols>
    <col min="1" max="1" width="2.53515625" bestFit="1" customWidth="1"/>
    <col min="2" max="2" width="9.3046875" bestFit="1" customWidth="1"/>
    <col min="3" max="3" width="5.53515625" customWidth="1"/>
    <col min="4" max="4" width="7.53515625" customWidth="1"/>
    <col min="5" max="5" width="7.69140625" customWidth="1"/>
    <col min="6" max="6" width="6" bestFit="1" customWidth="1"/>
    <col min="7" max="7" width="27.69140625" customWidth="1"/>
    <col min="8" max="8" width="6.69140625" customWidth="1"/>
    <col min="9" max="9" width="11.84375" customWidth="1"/>
    <col min="10" max="10" width="4.84375" bestFit="1" customWidth="1"/>
    <col min="11" max="11" width="5.53515625" customWidth="1"/>
    <col min="12" max="12" width="3" customWidth="1"/>
    <col min="13" max="13" width="2.84375" customWidth="1"/>
    <col min="14" max="14" width="7.3046875" customWidth="1"/>
    <col min="15" max="15" width="13.84375" customWidth="1"/>
    <col min="16" max="16" width="5.69140625" bestFit="1" customWidth="1"/>
    <col min="17" max="17" width="8.3046875" bestFit="1" customWidth="1"/>
    <col min="18" max="18" width="6" customWidth="1"/>
    <col min="19" max="19" width="6.53515625" style="35" bestFit="1" customWidth="1"/>
  </cols>
  <sheetData>
    <row r="1" spans="1:19" ht="17.25" customHeight="1" x14ac:dyDescent="0.4">
      <c r="A1" s="17" t="s">
        <v>10</v>
      </c>
      <c r="B1" s="18" t="s">
        <v>73</v>
      </c>
      <c r="C1" s="18" t="s">
        <v>74</v>
      </c>
      <c r="D1" s="19" t="s">
        <v>75</v>
      </c>
      <c r="E1" s="19" t="s">
        <v>78</v>
      </c>
      <c r="F1" s="19" t="s">
        <v>75</v>
      </c>
      <c r="G1" s="19" t="s">
        <v>78</v>
      </c>
      <c r="H1" s="50" t="s">
        <v>76</v>
      </c>
      <c r="I1" s="19" t="s">
        <v>78</v>
      </c>
      <c r="J1" s="19" t="s">
        <v>75</v>
      </c>
      <c r="K1" s="19" t="s">
        <v>78</v>
      </c>
      <c r="L1" s="19" t="s">
        <v>75</v>
      </c>
      <c r="M1" s="19" t="s">
        <v>78</v>
      </c>
      <c r="N1" s="19" t="s">
        <v>75</v>
      </c>
      <c r="O1" s="19" t="s">
        <v>78</v>
      </c>
      <c r="P1" s="19" t="s">
        <v>75</v>
      </c>
      <c r="Q1" s="19" t="s">
        <v>78</v>
      </c>
      <c r="R1" s="19" t="s">
        <v>75</v>
      </c>
      <c r="S1" s="17" t="s">
        <v>78</v>
      </c>
    </row>
    <row r="2" spans="1:19" ht="7.5" customHeight="1" x14ac:dyDescent="0.4">
      <c r="A2" s="20">
        <v>2</v>
      </c>
      <c r="B2" s="21" t="s">
        <v>170</v>
      </c>
      <c r="C2" s="54" t="s">
        <v>173</v>
      </c>
      <c r="D2" s="52" t="s">
        <v>9</v>
      </c>
      <c r="E2" s="53" t="s">
        <v>9</v>
      </c>
      <c r="F2" s="22" t="s">
        <v>77</v>
      </c>
      <c r="G2" s="23" t="s">
        <v>174</v>
      </c>
      <c r="H2" s="51" t="s">
        <v>9</v>
      </c>
      <c r="I2" s="24" t="s">
        <v>9</v>
      </c>
      <c r="J2" s="51" t="s">
        <v>9</v>
      </c>
      <c r="K2" s="24" t="s">
        <v>9</v>
      </c>
      <c r="L2" s="51" t="s">
        <v>9</v>
      </c>
      <c r="M2" s="24" t="s">
        <v>9</v>
      </c>
      <c r="N2" s="51" t="s">
        <v>9</v>
      </c>
      <c r="O2" s="24" t="s">
        <v>9</v>
      </c>
      <c r="P2" s="51" t="s">
        <v>9</v>
      </c>
      <c r="Q2" s="24" t="s">
        <v>9</v>
      </c>
      <c r="R2" s="51" t="s">
        <v>9</v>
      </c>
      <c r="S2" s="57" t="s">
        <v>9</v>
      </c>
    </row>
    <row r="3" spans="1:19" ht="7.5" customHeight="1" x14ac:dyDescent="0.4">
      <c r="A3" s="20">
        <v>3</v>
      </c>
      <c r="B3" s="49" t="s">
        <v>131</v>
      </c>
      <c r="C3" s="63" t="s">
        <v>178</v>
      </c>
      <c r="D3" s="52" t="s">
        <v>96</v>
      </c>
      <c r="E3" s="36" t="s">
        <v>170</v>
      </c>
      <c r="F3" s="22" t="s">
        <v>77</v>
      </c>
      <c r="G3" s="23" t="s">
        <v>193</v>
      </c>
      <c r="H3" s="51" t="s">
        <v>166</v>
      </c>
      <c r="I3" s="24" t="s">
        <v>169</v>
      </c>
      <c r="J3" s="51" t="s">
        <v>97</v>
      </c>
      <c r="K3" s="24" t="s">
        <v>139</v>
      </c>
      <c r="L3" s="51" t="s">
        <v>9</v>
      </c>
      <c r="M3" s="24" t="s">
        <v>9</v>
      </c>
      <c r="N3" s="51" t="s">
        <v>95</v>
      </c>
      <c r="O3" s="24" t="s">
        <v>167</v>
      </c>
      <c r="P3" s="51" t="s">
        <v>94</v>
      </c>
      <c r="Q3" s="24" t="s">
        <v>168</v>
      </c>
      <c r="R3" s="51" t="s">
        <v>93</v>
      </c>
      <c r="S3" s="57" t="s">
        <v>145</v>
      </c>
    </row>
    <row r="4" spans="1:19" ht="7.5" customHeight="1" x14ac:dyDescent="0.4">
      <c r="A4" s="20">
        <v>4</v>
      </c>
      <c r="B4" s="49" t="s">
        <v>132</v>
      </c>
      <c r="C4" s="63" t="s">
        <v>178</v>
      </c>
      <c r="D4" s="52" t="s">
        <v>96</v>
      </c>
      <c r="E4" s="36" t="s">
        <v>170</v>
      </c>
      <c r="F4" s="22" t="s">
        <v>77</v>
      </c>
      <c r="G4" s="23" t="s">
        <v>193</v>
      </c>
      <c r="H4" s="51" t="s">
        <v>166</v>
      </c>
      <c r="I4" s="24" t="s">
        <v>169</v>
      </c>
      <c r="J4" s="51" t="s">
        <v>97</v>
      </c>
      <c r="K4" s="24" t="s">
        <v>139</v>
      </c>
      <c r="L4" s="51" t="s">
        <v>9</v>
      </c>
      <c r="M4" s="24" t="s">
        <v>9</v>
      </c>
      <c r="N4" s="51" t="s">
        <v>95</v>
      </c>
      <c r="O4" s="24" t="s">
        <v>167</v>
      </c>
      <c r="P4" s="51" t="s">
        <v>94</v>
      </c>
      <c r="Q4" s="24" t="s">
        <v>168</v>
      </c>
      <c r="R4" s="51" t="s">
        <v>93</v>
      </c>
      <c r="S4" s="57" t="s">
        <v>145</v>
      </c>
    </row>
    <row r="5" spans="1:19" ht="7.5" customHeight="1" x14ac:dyDescent="0.4">
      <c r="A5" s="20">
        <v>5</v>
      </c>
      <c r="B5" s="49" t="s">
        <v>133</v>
      </c>
      <c r="C5" s="63" t="s">
        <v>178</v>
      </c>
      <c r="D5" s="52" t="s">
        <v>96</v>
      </c>
      <c r="E5" s="36" t="s">
        <v>170</v>
      </c>
      <c r="F5" s="22" t="s">
        <v>77</v>
      </c>
      <c r="G5" s="23" t="s">
        <v>193</v>
      </c>
      <c r="H5" s="51" t="s">
        <v>166</v>
      </c>
      <c r="I5" s="24" t="s">
        <v>169</v>
      </c>
      <c r="J5" s="51" t="s">
        <v>97</v>
      </c>
      <c r="K5" s="24" t="s">
        <v>139</v>
      </c>
      <c r="L5" s="51" t="s">
        <v>9</v>
      </c>
      <c r="M5" s="24" t="s">
        <v>9</v>
      </c>
      <c r="N5" s="51" t="s">
        <v>95</v>
      </c>
      <c r="O5" s="24" t="s">
        <v>167</v>
      </c>
      <c r="P5" s="51" t="s">
        <v>94</v>
      </c>
      <c r="Q5" s="24" t="s">
        <v>168</v>
      </c>
      <c r="R5" s="51" t="s">
        <v>93</v>
      </c>
      <c r="S5" s="57" t="s">
        <v>145</v>
      </c>
    </row>
    <row r="6" spans="1:19" ht="7.5" customHeight="1" x14ac:dyDescent="0.4">
      <c r="A6" s="20">
        <v>6</v>
      </c>
      <c r="B6" s="49" t="s">
        <v>134</v>
      </c>
      <c r="C6" s="63" t="s">
        <v>178</v>
      </c>
      <c r="D6" s="52" t="s">
        <v>96</v>
      </c>
      <c r="E6" s="36" t="s">
        <v>170</v>
      </c>
      <c r="F6" s="22" t="s">
        <v>77</v>
      </c>
      <c r="G6" s="23" t="s">
        <v>193</v>
      </c>
      <c r="H6" s="51" t="s">
        <v>166</v>
      </c>
      <c r="I6" s="24" t="s">
        <v>169</v>
      </c>
      <c r="J6" s="51" t="s">
        <v>97</v>
      </c>
      <c r="K6" s="24" t="s">
        <v>139</v>
      </c>
      <c r="L6" s="51" t="s">
        <v>9</v>
      </c>
      <c r="M6" s="24" t="s">
        <v>9</v>
      </c>
      <c r="N6" s="51" t="s">
        <v>95</v>
      </c>
      <c r="O6" s="24" t="s">
        <v>167</v>
      </c>
      <c r="P6" s="51" t="s">
        <v>94</v>
      </c>
      <c r="Q6" s="24" t="s">
        <v>168</v>
      </c>
      <c r="R6" s="51" t="s">
        <v>93</v>
      </c>
      <c r="S6" s="57" t="s">
        <v>145</v>
      </c>
    </row>
    <row r="7" spans="1:19" ht="7.5" customHeight="1" x14ac:dyDescent="0.4">
      <c r="A7" s="20">
        <v>7</v>
      </c>
      <c r="B7" s="49" t="s">
        <v>135</v>
      </c>
      <c r="C7" s="63" t="s">
        <v>178</v>
      </c>
      <c r="D7" s="52" t="s">
        <v>96</v>
      </c>
      <c r="E7" s="36" t="s">
        <v>170</v>
      </c>
      <c r="F7" s="22" t="s">
        <v>77</v>
      </c>
      <c r="G7" s="23" t="s">
        <v>193</v>
      </c>
      <c r="H7" s="51" t="s">
        <v>166</v>
      </c>
      <c r="I7" s="24" t="s">
        <v>169</v>
      </c>
      <c r="J7" s="51" t="s">
        <v>97</v>
      </c>
      <c r="K7" s="24" t="s">
        <v>139</v>
      </c>
      <c r="L7" s="51" t="s">
        <v>9</v>
      </c>
      <c r="M7" s="24" t="s">
        <v>9</v>
      </c>
      <c r="N7" s="51" t="s">
        <v>95</v>
      </c>
      <c r="O7" s="24" t="s">
        <v>167</v>
      </c>
      <c r="P7" s="51" t="s">
        <v>94</v>
      </c>
      <c r="Q7" s="24" t="s">
        <v>168</v>
      </c>
      <c r="R7" s="51" t="s">
        <v>93</v>
      </c>
      <c r="S7" s="57" t="s">
        <v>145</v>
      </c>
    </row>
    <row r="8" spans="1:19" ht="7.5" customHeight="1" x14ac:dyDescent="0.4">
      <c r="A8" s="20">
        <v>8</v>
      </c>
      <c r="B8" s="49" t="s">
        <v>136</v>
      </c>
      <c r="C8" s="63" t="s">
        <v>178</v>
      </c>
      <c r="D8" s="52" t="s">
        <v>96</v>
      </c>
      <c r="E8" s="36" t="s">
        <v>170</v>
      </c>
      <c r="F8" s="22" t="s">
        <v>77</v>
      </c>
      <c r="G8" s="23" t="s">
        <v>193</v>
      </c>
      <c r="H8" s="51" t="s">
        <v>166</v>
      </c>
      <c r="I8" s="24" t="s">
        <v>169</v>
      </c>
      <c r="J8" s="51" t="s">
        <v>97</v>
      </c>
      <c r="K8" s="24" t="s">
        <v>139</v>
      </c>
      <c r="L8" s="51" t="s">
        <v>9</v>
      </c>
      <c r="M8" s="24" t="s">
        <v>9</v>
      </c>
      <c r="N8" s="51" t="s">
        <v>95</v>
      </c>
      <c r="O8" s="24" t="s">
        <v>167</v>
      </c>
      <c r="P8" s="51" t="s">
        <v>94</v>
      </c>
      <c r="Q8" s="24" t="s">
        <v>168</v>
      </c>
      <c r="R8" s="51" t="s">
        <v>93</v>
      </c>
      <c r="S8" s="57" t="s">
        <v>145</v>
      </c>
    </row>
    <row r="9" spans="1:19" ht="7.5" customHeight="1" x14ac:dyDescent="0.4">
      <c r="A9" s="20">
        <v>9</v>
      </c>
      <c r="B9" s="49" t="s">
        <v>137</v>
      </c>
      <c r="C9" s="63" t="s">
        <v>178</v>
      </c>
      <c r="D9" s="52" t="s">
        <v>96</v>
      </c>
      <c r="E9" s="36" t="s">
        <v>170</v>
      </c>
      <c r="F9" s="22" t="s">
        <v>77</v>
      </c>
      <c r="G9" s="23" t="s">
        <v>193</v>
      </c>
      <c r="H9" s="51" t="s">
        <v>166</v>
      </c>
      <c r="I9" s="24" t="s">
        <v>169</v>
      </c>
      <c r="J9" s="51" t="s">
        <v>97</v>
      </c>
      <c r="K9" s="24" t="s">
        <v>139</v>
      </c>
      <c r="L9" s="51" t="s">
        <v>9</v>
      </c>
      <c r="M9" s="24" t="s">
        <v>9</v>
      </c>
      <c r="N9" s="51" t="s">
        <v>95</v>
      </c>
      <c r="O9" s="24" t="s">
        <v>167</v>
      </c>
      <c r="P9" s="51" t="s">
        <v>94</v>
      </c>
      <c r="Q9" s="24" t="s">
        <v>168</v>
      </c>
      <c r="R9" s="51" t="s">
        <v>93</v>
      </c>
      <c r="S9" s="57" t="s">
        <v>145</v>
      </c>
    </row>
    <row r="10" spans="1:19" ht="7.5" customHeight="1" x14ac:dyDescent="0.4">
      <c r="A10" s="20">
        <v>10</v>
      </c>
      <c r="B10" s="49" t="s">
        <v>138</v>
      </c>
      <c r="C10" s="63" t="s">
        <v>178</v>
      </c>
      <c r="D10" s="52" t="s">
        <v>96</v>
      </c>
      <c r="E10" s="36" t="s">
        <v>170</v>
      </c>
      <c r="F10" s="22" t="s">
        <v>77</v>
      </c>
      <c r="G10" s="23" t="s">
        <v>193</v>
      </c>
      <c r="H10" s="51" t="s">
        <v>166</v>
      </c>
      <c r="I10" s="24" t="s">
        <v>169</v>
      </c>
      <c r="J10" s="51" t="s">
        <v>97</v>
      </c>
      <c r="K10" s="24" t="s">
        <v>139</v>
      </c>
      <c r="L10" s="51" t="s">
        <v>9</v>
      </c>
      <c r="M10" s="24" t="s">
        <v>9</v>
      </c>
      <c r="N10" s="51" t="s">
        <v>95</v>
      </c>
      <c r="O10" s="24" t="s">
        <v>167</v>
      </c>
      <c r="P10" s="51" t="s">
        <v>94</v>
      </c>
      <c r="Q10" s="24" t="s">
        <v>168</v>
      </c>
      <c r="R10" s="51" t="s">
        <v>93</v>
      </c>
      <c r="S10" s="57" t="s">
        <v>145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2026-08-19T22:22:55Z</dcterms:modified>
  <dc:language>pt-BR</dc:language>
</cp:coreProperties>
</file>