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8A21ECED-69EE-48B3-B1DE-284CCF25B07B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0" i="17" l="1"/>
  <c r="X121" i="17"/>
  <c r="V121" i="17"/>
  <c r="U121" i="17"/>
  <c r="T121" i="17"/>
  <c r="O121" i="17"/>
  <c r="N121" i="17"/>
  <c r="M121" i="17"/>
  <c r="L121" i="17"/>
  <c r="X2" i="17" l="1"/>
  <c r="V2" i="17"/>
  <c r="U2" i="17"/>
  <c r="T2" i="17"/>
  <c r="O2" i="17"/>
  <c r="N2" i="17"/>
  <c r="M2" i="17"/>
  <c r="L2" i="17"/>
  <c r="X114" i="17"/>
  <c r="X115" i="17"/>
  <c r="X116" i="17"/>
  <c r="X117" i="17"/>
  <c r="X118" i="17"/>
  <c r="X119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<sst xmlns="http://schemas.openxmlformats.org/spreadsheetml/2006/main" count="2858" uniqueCount="709">
  <si>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</si>
  <si>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</si>
  <si>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</si>
  <si>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</si>
  <si>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</si>
  <si>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</si>
  <si>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</si>
  <si>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</si>
  <si>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</si>
  <si>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</si>
  <si>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</si>
  <si>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</si>
  <si>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</si>
  <si>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</si>
  <si>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</si>
  <si>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</si>
  <si>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</si>
  <si>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</si>
  <si>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</si>
  <si>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</si>
  <si>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</si>
  <si>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</si>
  <si>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</si>
  <si>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</si>
  <si>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</si>
  <si>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</si>
  <si>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</si>
  <si>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</si>
  <si>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</si>
  <si>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</si>
  <si>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</si>
  <si>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</si>
  <si>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</si>
  <si>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</si>
  <si>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</si>
  <si>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</si>
  <si>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</si>
  <si>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</si>
  <si>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</si>
  <si>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</si>
  <si>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</si>
  <si>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</si>
  <si>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</si>
  <si>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</si>
  <si>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</si>
  <si>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</si>
  <si>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</si>
  <si>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</si>
  <si>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</si>
  <si>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</si>
  <si>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</si>
  <si>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</si>
  <si>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</si>
  <si>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</si>
  <si>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</si>
  <si>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</si>
  <si>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</si>
  <si>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</si>
  <si>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</si>
  <si>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</si>
  <si>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</si>
  <si>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</si>
  <si>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</si>
  <si>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</si>
  <si>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</si>
  <si>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</si>
  <si>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</si>
  <si>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</si>
  <si>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</si>
  <si>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</si>
  <si>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</si>
  <si>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</si>
  <si>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</si>
  <si>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</si>
  <si>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</si>
  <si>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</si>
  <si>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</si>
  <si>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</si>
  <si>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</si>
  <si>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</si>
  <si>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</si>
  <si>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</si>
  <si>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</si>
  <si>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</si>
  <si>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</si>
  <si>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</si>
  <si>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</si>
  <si>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</si>
  <si>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</si>
  <si>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</si>
  <si>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</si>
  <si>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</si>
  <si>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</si>
  <si>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</si>
  <si>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</si>
  <si>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</si>
  <si>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</si>
  <si>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</si>
  <si>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</si>
  <si>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</si>
  <si>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</si>
  <si>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</si>
  <si>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</si>
  <si>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</si>
  <si>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</si>
  <si>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</si>
  <si>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</si>
  <si>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</si>
  <si>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</si>
  <si>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</si>
  <si>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</si>
  <si>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</si>
  <si>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</si>
  <si>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</si>
  <si>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</si>
  <si>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</si>
  <si>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</si>
  <si>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</si>
  <si>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</si>
  <si>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</si>
  <si>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</si>
  <si>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</si>
  <si>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</si>
  <si>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</si>
  <si>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</si>
  <si>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</si>
  <si>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</si>
  <si>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</si>
  <si>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</si>
  <si>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</si>
  <si>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</si>
  <si>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</si>
  <si>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</si>
  <si>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</si>
  <si>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</si>
  <si>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</si>
  <si>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</si>
  <si>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</si>
  <si>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</si>
  <si>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</si>
  <si>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</si>
  <si>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</si>
  <si>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</si>
  <si>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</si>
  <si>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</si>
  <si>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</si>
  <si>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</si>
  <si>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</si>
  <si>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</si>
  <si>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</si>
  <si>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</si>
  <si>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</si>
  <si>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</si>
  <si>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</si>
  <si>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</si>
  <si>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</si>
  <si>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</si>
  <si>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</si>
  <si>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</si>
  <si>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</si>
  <si>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</si>
  <si>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</si>
  <si>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</si>
  <si>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</si>
  <si>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</si>
  <si>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</si>
  <si>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</si>
  <si>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</si>
  <si>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</si>
  <si>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</si>
  <si>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</si>
  <si>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</si>
  <si>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</si>
  <si>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</si>
  <si>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</si>
  <si>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</si>
  <si>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</si>
  <si>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</si>
  <si>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</si>
  <si>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</si>
  <si>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</si>
  <si>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</si>
  <si>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</si>
  <si>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</si>
  <si>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</si>
  <si>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</si>
  <si>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</si>
  <si>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</si>
  <si>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</si>
  <si>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</si>
  <si>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</si>
  <si>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</si>
  <si>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</si>
  <si>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</si>
  <si>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</si>
  <si>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</si>
  <si>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</si>
  <si>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</si>
  <si>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</si>
  <si>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</si>
  <si>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</si>
  <si>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</si>
  <si>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</si>
  <si>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</si>
  <si>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</si>
  <si>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</si>
  <si>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</si>
  <si>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</si>
  <si>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</si>
  <si>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</si>
  <si>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</si>
  <si>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</si>
  <si>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</si>
  <si>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</si>
  <si>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</si>
  <si>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</si>
  <si>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</si>
  <si>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</si>
  <si>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</si>
  <si>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</si>
  <si>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</si>
  <si>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</si>
  <si>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</si>
  <si>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</si>
  <si>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</si>
  <si>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</si>
  <si>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</si>
  <si>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</si>
  <si>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</si>
  <si>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</si>
  <si>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</si>
  <si>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</si>
  <si>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</si>
  <si>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</si>
  <si>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</si>
  <si>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</si>
  <si>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</si>
  <si>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</si>
  <si>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</si>
  <si>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</si>
  <si>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</si>
  <si>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</si>
  <si>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</si>
  <si>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</si>
  <si>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</si>
  <si>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</si>
  <si>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</si>
  <si>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</si>
  <si>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</si>
  <si>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</si>
  <si>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</si>
  <si>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</si>
  <si>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</si>
  <si>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</si>
  <si>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</si>
  <si>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</si>
  <si>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</si>
  <si>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</si>
  <si>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</si>
  <si>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</si>
  <si>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</si>
  <si>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</si>
  <si>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</si>
  <si>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</si>
  <si>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</si>
  <si>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</si>
  <si>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</si>
  <si>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</si>
  <si>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</si>
  <si>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</si>
  <si>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</si>
  <si>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</si>
  <si>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</si>
  <si>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</si>
  <si>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</si>
  <si>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</si>
  <si>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</si>
  <si>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</si>
  <si>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</si>
  <si>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</si>
  <si>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</si>
  <si>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</si>
  <si>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</si>
  <si>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</si>
  <si>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</si>
  <si>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</si>
  <si>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</si>
  <si>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</si>
  <si>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</si>
  <si>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</si>
  <si>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</si>
  <si>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</si>
  <si>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</si>
  <si>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</si>
  <si>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</si>
  <si>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</si>
  <si>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</si>
  <si>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</si>
  <si>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</si>
  <si>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</si>
  <si>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</si>
  <si>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</si>
  <si>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</si>
  <si>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</si>
  <si>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</si>
  <si>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</si>
  <si>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</si>
  <si>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</si>
  <si>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</si>
  <si>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</si>
  <si>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</si>
  <si>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</si>
  <si>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</si>
  <si>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</si>
  <si>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</si>
  <si>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</si>
  <si>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</si>
  <si>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</si>
  <si>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</si>
  <si>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</si>
  <si>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</si>
  <si>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</si>
  <si>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</si>
  <si>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</si>
  <si>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</si>
  <si>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</si>
  <si>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</si>
  <si>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</si>
  <si>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</si>
  <si>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</si>
  <si>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</si>
  <si>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</si>
  <si>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</si>
  <si>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</si>
  <si>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</si>
  <si>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</si>
  <si>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</si>
  <si>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</si>
  <si>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</si>
  <si>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</si>
  <si>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</si>
  <si>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</si>
  <si>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</si>
  <si>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</si>
  <si>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</si>
  <si>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</si>
  <si>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</si>
  <si>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</si>
  <si>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</si>
  <si>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</si>
  <si>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</si>
  <si>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</si>
  <si>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</si>
  <si>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</si>
  <si>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</si>
  <si>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</si>
  <si>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</si>
  <si>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</si>
  <si>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</si>
  <si>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</si>
  <si>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</si>
  <si>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</si>
  <si>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</si>
  <si>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</si>
  <si>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</si>
  <si>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</si>
  <si>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</si>
  <si>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</si>
  <si>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</si>
  <si>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</si>
  <si>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</si>
  <si>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</si>
  <si>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</si>
  <si>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</si>
  <si>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</si>
  <si>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</si>
  <si>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</si>
  <si>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</si>
  <si>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</si>
  <si>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</si>
  <si>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</si>
  <si>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</si>
  <si>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</si>
  <si>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</si>
  <si>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</si>
  <si>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</si>
  <si>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</si>
  <si>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</si>
  <si>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</si>
  <si>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</si>
  <si>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</si>
  <si>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</si>
  <si>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</si>
  <si>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</si>
  <si>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</si>
  <si>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</si>
  <si>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</si>
  <si>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</si>
  <si>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</si>
  <si>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</si>
  <si>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</si>
  <si>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</si>
  <si>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</si>
  <si>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</si>
  <si>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</si>
  <si>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</si>
  <si>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</si>
  <si>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</si>
  <si>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</si>
  <si>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</si>
  <si>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</si>
  <si>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</si>
  <si>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</si>
  <si>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</si>
  <si>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</si>
  <si>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</si>
  <si>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</si>
  <si>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</si>
  <si>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</si>
  <si>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</si>
  <si>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</si>
  <si>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</si>
  <si>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</si>
  <si>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</si>
  <si>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</si>
  <si>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</si>
  <si>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</si>
  <si>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</si>
  <si>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</si>
  <si>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</si>
  <si>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</si>
  <si>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</si>
  <si>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</si>
  <si>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</si>
  <si>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</si>
  <si>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</si>
  <si>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</si>
  <si>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</si>
  <si>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</si>
  <si>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</si>
  <si>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</si>
  <si>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</si>
  <si>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</si>
  <si>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</si>
  <si>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</si>
  <si>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</si>
  <si>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</si>
  <si>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</si>
  <si>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</si>
  <si>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</si>
  <si>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</si>
  <si>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</si>
  <si>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</si>
  <si>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</si>
  <si>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</si>
  <si>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</si>
  <si>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</si>
  <si>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</si>
  <si>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</si>
  <si>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</si>
  <si>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</si>
  <si>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</si>
  <si>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</si>
  <si>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</si>
  <si>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</si>
  <si>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</si>
  <si>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</si>
  <si>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</si>
  <si>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</si>
  <si>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</si>
  <si>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</si>
  <si>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</si>
  <si>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</si>
  <si>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</si>
  <si>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</si>
  <si>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</si>
  <si>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</si>
  <si>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</si>
  <si>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</si>
  <si>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</si>
  <si>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</si>
  <si>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</si>
  <si>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</si>
  <si>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</si>
  <si>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</si>
  <si>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</si>
  <si>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</si>
  <si>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</si>
  <si>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</si>
  <si>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</si>
  <si>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</si>
  <si>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</si>
  <si>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</si>
  <si>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</si>
  <si>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</si>
  <si>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</si>
  <si>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</si>
  <si>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</si>
  <si>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</si>
  <si>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</si>
  <si>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</si>
  <si>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</si>
  <si>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</si>
  <si>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</si>
  <si>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</si>
  <si>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</si>
  <si>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</si>
  <si>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</si>
  <si>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</si>
  <si>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</si>
  <si>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</si>
  <si>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</si>
  <si>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</si>
  <si>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</si>
  <si>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</si>
  <si>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</si>
  <si>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</si>
  <si>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</si>
  <si>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</si>
  <si>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</si>
  <si>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</si>
  <si>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</si>
  <si>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</si>
  <si>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</si>
  <si>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</si>
  <si>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</si>
  <si>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</si>
  <si>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</si>
  <si>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</si>
  <si>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</si>
  <si>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</si>
  <si>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</si>
  <si>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</si>
  <si>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</si>
  <si>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</si>
  <si>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</si>
  <si>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</si>
  <si>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</si>
  <si>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</si>
  <si>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</si>
  <si>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</si>
  <si>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</si>
  <si>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</si>
  <si>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</si>
  <si>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</si>
  <si>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</si>
  <si>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</si>
  <si>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</si>
  <si>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</si>
  <si>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</si>
  <si>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</si>
  <si>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</si>
  <si>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</si>
  <si>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</si>
  <si>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</si>
  <si>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</si>
  <si>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</si>
  <si>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</si>
  <si>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</si>
  <si>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</si>
  <si>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</si>
  <si>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</si>
  <si>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</si>
  <si>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</si>
  <si>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</si>
  <si>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</si>
  <si>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</si>
  <si>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</si>
  <si>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</si>
  <si>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</si>
  <si>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</si>
  <si>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</si>
  <si>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</si>
  <si>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</si>
  <si>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</si>
  <si>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</si>
  <si>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</si>
  <si>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</si>
  <si>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</si>
  <si>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</si>
  <si>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</si>
  <si>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</si>
  <si>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</si>
  <si>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</si>
  <si>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</si>
  <si>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</si>
  <si>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</si>
  <si>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</si>
  <si>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</si>
  <si>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</si>
  <si>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</si>
  <si>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</si>
  <si>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</si>
  <si>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</si>
  <si>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</si>
  <si>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</si>
  <si>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</si>
  <si>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</si>
  <si>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</si>
  <si>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</si>
  <si>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</si>
  <si>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</si>
  <si>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</si>
  <si>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</si>
  <si>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</si>
  <si>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</si>
  <si>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</si>
  <si>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</si>
  <si>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</si>
  <si>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</si>
  <si>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</si>
  <si>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</si>
  <si>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</si>
  <si>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</si>
  <si>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</si>
  <si>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</si>
  <si>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</si>
  <si>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</si>
  <si>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</si>
  <si>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</si>
  <si>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</si>
  <si>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</si>
  <si>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</si>
  <si>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</si>
  <si>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</si>
  <si>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</si>
  <si>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</si>
  <si>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</si>
  <si>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</si>
  <si>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</si>
  <si>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</si>
  <si>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</si>
  <si>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</si>
  <si>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</si>
  <si>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</si>
  <si>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</si>
  <si>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</si>
  <si>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</si>
  <si>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</si>
  <si>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</si>
  <si>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</si>
  <si>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</si>
  <si>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</si>
  <si>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</si>
  <si>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</si>
  <si>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</si>
  <si>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</si>
  <si>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</si>
  <si>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</si>
  <si>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</si>
  <si>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</si>
  <si>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</si>
  <si>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</si>
  <si>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</si>
  <si>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</si>
  <si>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</si>
  <si>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</si>
  <si>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</si>
  <si>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</si>
  <si>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</si>
  <si>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</si>
  <si>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</si>
  <si>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</si>
  <si>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</si>
  <si>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</si>
  <si>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</si>
  <si>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</si>
  <si>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</si>
  <si>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</si>
  <si>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</si>
  <si>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</si>
  <si>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</si>
  <si>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</si>
  <si>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</si>
  <si>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</si>
  <si>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</si>
  <si>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</si>
  <si>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</si>
  <si>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</si>
  <si>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</si>
  <si>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</si>
  <si>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</si>
  <si>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</si>
  <si>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</si>
  <si>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</si>
  <si>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</si>
  <si>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</si>
  <si>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</si>
  <si>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</si>
  <si>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</si>
  <si>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</si>
  <si>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</si>
  <si>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</si>
  <si>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</si>
  <si>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</si>
  <si>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</si>
  <si>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[ - ]</t>
  </si>
  <si>
    <t>Parametro Rvt</t>
  </si>
  <si>
    <t>Atributo Ifc</t>
  </si>
  <si>
    <t>Código ABNT</t>
  </si>
  <si>
    <t>[ PATH_OF_TRAVEL_FROM_ROOM :  PATH_OF_TRAVEL_TO_ROOM : CURVE_ELEM_LENGTH ]</t>
  </si>
  <si>
    <t>[ OST_PathOfTravelLines ]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</si>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</sst>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2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39" bestFit="1" customWidth="1"/>
  </cols>
  <sheetData>
    <row r="1" spans="1:3" ht="21.95" customHeight="1" x14ac:dyDescent="0.25">
      <c r="A1" s="12" t="s">
        <v>45</v>
      </c>
      <c r="B1" s="12" t="s">
        <v>46</v>
      </c>
      <c r="C1" s="37" t="s">
        <v>171</v>
      </c>
    </row>
    <row r="2" spans="1:3" ht="9" customHeight="1" x14ac:dyDescent="0.25">
      <c r="A2" s="13" t="s">
        <v>47</v>
      </c>
      <c r="B2" s="13" t="s">
        <v>48</v>
      </c>
      <c r="C2" s="38" t="s">
        <v>172</v>
      </c>
    </row>
    <row r="3" spans="1:3" ht="9" customHeight="1" x14ac:dyDescent="0.25">
      <c r="A3" s="13" t="s">
        <v>49</v>
      </c>
      <c r="B3" s="13" t="s">
        <v>175</v>
      </c>
      <c r="C3" s="38" t="s">
        <v>172</v>
      </c>
    </row>
    <row r="4" spans="1:3" ht="9" customHeight="1" x14ac:dyDescent="0.25">
      <c r="A4" s="14" t="s">
        <v>50</v>
      </c>
      <c r="B4" s="14" t="s">
        <v>32</v>
      </c>
      <c r="C4" s="38" t="s">
        <v>172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25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25">
      <c r="A8" s="35" t="s">
        <v>55</v>
      </c>
      <c r="B8" s="35" t="s">
        <v>169</v>
      </c>
      <c r="C8" s="38" t="s">
        <v>172</v>
      </c>
    </row>
    <row r="9" spans="1:3" ht="9" customHeight="1" x14ac:dyDescent="0.25">
      <c r="A9" s="14" t="s">
        <v>56</v>
      </c>
      <c r="B9" s="14" t="s">
        <v>57</v>
      </c>
      <c r="C9" s="38" t="s">
        <v>172</v>
      </c>
    </row>
    <row r="10" spans="1:3" ht="9" customHeight="1" x14ac:dyDescent="0.25">
      <c r="A10" s="14" t="s">
        <v>58</v>
      </c>
      <c r="B10" s="14" t="s">
        <v>59</v>
      </c>
      <c r="C10" s="38" t="s">
        <v>172</v>
      </c>
    </row>
    <row r="11" spans="1:3" ht="9" customHeight="1" x14ac:dyDescent="0.25">
      <c r="A11" s="14" t="s">
        <v>60</v>
      </c>
      <c r="B11" s="14" t="s">
        <v>59</v>
      </c>
      <c r="C11" s="38" t="s">
        <v>172</v>
      </c>
    </row>
    <row r="12" spans="1:3" ht="9" customHeight="1" x14ac:dyDescent="0.25">
      <c r="A12" s="14" t="s">
        <v>61</v>
      </c>
      <c r="B12" s="14" t="s">
        <v>59</v>
      </c>
      <c r="C12" s="38" t="s">
        <v>172</v>
      </c>
    </row>
    <row r="13" spans="1:3" ht="9" customHeight="1" x14ac:dyDescent="0.25">
      <c r="A13" s="14" t="s">
        <v>62</v>
      </c>
      <c r="B13" s="14" t="s">
        <v>59</v>
      </c>
      <c r="C13" s="38" t="s">
        <v>172</v>
      </c>
    </row>
    <row r="14" spans="1:3" ht="9" customHeight="1" x14ac:dyDescent="0.25">
      <c r="A14" s="14" t="s">
        <v>63</v>
      </c>
      <c r="B14" s="14" t="s">
        <v>59</v>
      </c>
      <c r="C14" s="38" t="s">
        <v>172</v>
      </c>
    </row>
    <row r="15" spans="1:3" ht="9" customHeight="1" x14ac:dyDescent="0.25">
      <c r="A15" s="14" t="s">
        <v>64</v>
      </c>
      <c r="B15" s="14" t="s">
        <v>59</v>
      </c>
      <c r="C15" s="38" t="s">
        <v>172</v>
      </c>
    </row>
    <row r="16" spans="1:3" ht="9" customHeight="1" x14ac:dyDescent="0.25">
      <c r="A16" s="14" t="s">
        <v>65</v>
      </c>
      <c r="B16" s="14" t="s">
        <v>59</v>
      </c>
      <c r="C16" s="38" t="s">
        <v>172</v>
      </c>
    </row>
    <row r="17" spans="1:3" ht="9" customHeight="1" x14ac:dyDescent="0.25">
      <c r="A17" s="14" t="s">
        <v>66</v>
      </c>
      <c r="B17" s="14" t="s">
        <v>103</v>
      </c>
      <c r="C17" s="38" t="s">
        <v>172</v>
      </c>
    </row>
    <row r="18" spans="1:3" ht="9" customHeight="1" x14ac:dyDescent="0.25">
      <c r="A18" s="14" t="s">
        <v>67</v>
      </c>
      <c r="B18" s="16">
        <f ca="1">NOW()</f>
        <v>46258.590519212965</v>
      </c>
      <c r="C18" s="38" t="s">
        <v>172</v>
      </c>
    </row>
    <row r="19" spans="1:3" ht="9" customHeight="1" x14ac:dyDescent="0.25">
      <c r="A19" s="14" t="s">
        <v>68</v>
      </c>
      <c r="B19" s="16" t="s">
        <v>69</v>
      </c>
      <c r="C19" s="38" t="s">
        <v>172</v>
      </c>
    </row>
    <row r="20" spans="1:3" ht="9" customHeight="1" x14ac:dyDescent="0.25">
      <c r="A20" s="14" t="s">
        <v>70</v>
      </c>
      <c r="B20" s="14" t="s">
        <v>59</v>
      </c>
      <c r="C20" s="38" t="s">
        <v>172</v>
      </c>
    </row>
    <row r="21" spans="1:3" ht="9" customHeight="1" x14ac:dyDescent="0.25">
      <c r="A21" s="14" t="s">
        <v>71</v>
      </c>
      <c r="B21" s="14" t="s">
        <v>59</v>
      </c>
      <c r="C21" s="38" t="s">
        <v>172</v>
      </c>
    </row>
    <row r="22" spans="1:3" ht="9" customHeight="1" x14ac:dyDescent="0.25">
      <c r="A22" s="14" t="s">
        <v>72</v>
      </c>
      <c r="B22" s="17" t="s">
        <v>176</v>
      </c>
      <c r="C22" s="38" t="s">
        <v>172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25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C121"/>
  <sheetViews>
    <sheetView tabSelected="1" zoomScale="220" zoomScaleNormal="220" workbookViewId="0">
      <pane ySplit="1" topLeftCell="A107" activePane="bottomLeft" state="frozen"/>
      <selection activeCell="A179" sqref="A179:XFD190"/>
      <selection pane="bottomLeft" activeCell="Y121" sqref="Y121"/>
    </sheetView>
  </sheetViews>
  <sheetFormatPr defaultColWidth="9.140625" defaultRowHeight="6.6" customHeight="1" x14ac:dyDescent="0.25"/>
  <cols>
    <col min="1" max="1" width="3.140625" style="42" bestFit="1" customWidth="1"/>
    <col min="2" max="2" width="6.28515625" style="40" bestFit="1" customWidth="1"/>
    <col min="3" max="3" width="8.7109375" style="40" bestFit="1" customWidth="1"/>
    <col min="4" max="5" width="13.7109375" style="40" bestFit="1" customWidth="1"/>
    <col min="6" max="6" width="17.85546875" style="40" bestFit="1" customWidth="1"/>
    <col min="7" max="8" width="7.28515625" bestFit="1" customWidth="1"/>
    <col min="9" max="9" width="18.140625" bestFit="1" customWidth="1"/>
    <col min="10" max="11" width="7.28515625" bestFit="1" customWidth="1"/>
    <col min="12" max="12" width="8.7109375" style="40" bestFit="1" customWidth="1"/>
    <col min="13" max="14" width="13.7109375" style="40" bestFit="1" customWidth="1"/>
    <col min="15" max="15" width="17.85546875" style="40" bestFit="1" customWidth="1"/>
    <col min="16" max="16" width="112.85546875" style="40" bestFit="1" customWidth="1"/>
    <col min="17" max="17" width="111.7109375" style="40" bestFit="1" customWidth="1"/>
    <col min="18" max="18" width="98.28515625" style="40" bestFit="1" customWidth="1"/>
    <col min="19" max="19" width="3.140625" bestFit="1" customWidth="1"/>
    <col min="20" max="20" width="8.7109375" style="40" bestFit="1" customWidth="1"/>
    <col min="21" max="22" width="13.7109375" style="40" bestFit="1" customWidth="1"/>
    <col min="23" max="23" width="7" style="40" bestFit="1" customWidth="1"/>
    <col min="24" max="24" width="9.28515625" style="40" bestFit="1" customWidth="1"/>
    <col min="25" max="25" width="52.85546875" style="40" bestFit="1" customWidth="1"/>
    <col min="26" max="26" width="55.7109375" style="40" bestFit="1" customWidth="1"/>
    <col min="27" max="27" width="21.140625" style="40" customWidth="1"/>
    <col min="28" max="28" width="8.28515625" style="40" customWidth="1"/>
    <col min="29" max="29" width="10.42578125" style="46" bestFit="1" customWidth="1"/>
    <col min="30" max="16384" width="9.140625" style="40"/>
  </cols>
  <sheetData>
    <row r="1" spans="1:29" s="63" customFormat="1" ht="51" customHeight="1" x14ac:dyDescent="0.15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49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697</v>
      </c>
      <c r="AA1" s="33" t="s">
        <v>695</v>
      </c>
      <c r="AB1" s="33" t="s">
        <v>698</v>
      </c>
      <c r="AC1" s="49" t="s">
        <v>699</v>
      </c>
    </row>
    <row r="2" spans="1:29" ht="6.6" customHeight="1" x14ac:dyDescent="0.25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592</v>
      </c>
      <c r="S2" s="45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27" t="s">
        <v>696</v>
      </c>
      <c r="AA2" s="27" t="s">
        <v>9</v>
      </c>
      <c r="AB2" s="27" t="s">
        <v>696</v>
      </c>
      <c r="AC2" s="27" t="s">
        <v>9</v>
      </c>
    </row>
    <row r="3" spans="1:29" ht="6" customHeight="1" x14ac:dyDescent="0.25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593</v>
      </c>
      <c r="S3" s="45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27" t="s">
        <v>696</v>
      </c>
      <c r="AA3" s="26" t="s">
        <v>406</v>
      </c>
      <c r="AB3" s="27" t="s">
        <v>696</v>
      </c>
      <c r="AC3" s="45" t="s">
        <v>441</v>
      </c>
    </row>
    <row r="4" spans="1:29" ht="6" customHeight="1" x14ac:dyDescent="0.25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594</v>
      </c>
      <c r="S4" s="45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27" t="s">
        <v>696</v>
      </c>
      <c r="AA4" s="26" t="s">
        <v>406</v>
      </c>
      <c r="AB4" s="27" t="s">
        <v>696</v>
      </c>
      <c r="AC4" s="45" t="s">
        <v>441</v>
      </c>
    </row>
    <row r="5" spans="1:29" ht="6.6" customHeight="1" x14ac:dyDescent="0.25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595</v>
      </c>
      <c r="S5" s="45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27" t="s">
        <v>696</v>
      </c>
      <c r="AA5" s="26" t="s">
        <v>406</v>
      </c>
      <c r="AB5" s="27" t="s">
        <v>696</v>
      </c>
      <c r="AC5" s="45" t="s">
        <v>441</v>
      </c>
    </row>
    <row r="6" spans="1:29" ht="6.6" customHeight="1" x14ac:dyDescent="0.25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596</v>
      </c>
      <c r="S6" s="45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27" t="s">
        <v>696</v>
      </c>
      <c r="AA6" s="26" t="s">
        <v>406</v>
      </c>
      <c r="AB6" s="27" t="s">
        <v>696</v>
      </c>
      <c r="AC6" s="45" t="s">
        <v>441</v>
      </c>
    </row>
    <row r="7" spans="1:29" ht="6" customHeight="1" x14ac:dyDescent="0.25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597</v>
      </c>
      <c r="S7" s="45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27" t="s">
        <v>696</v>
      </c>
      <c r="AA7" s="26" t="s">
        <v>406</v>
      </c>
      <c r="AB7" s="27" t="s">
        <v>696</v>
      </c>
      <c r="AC7" s="45" t="s">
        <v>441</v>
      </c>
    </row>
    <row r="8" spans="1:29" ht="6" customHeight="1" x14ac:dyDescent="0.25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598</v>
      </c>
      <c r="S8" s="45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27" t="s">
        <v>696</v>
      </c>
      <c r="AA8" s="26" t="s">
        <v>406</v>
      </c>
      <c r="AB8" s="27" t="s">
        <v>696</v>
      </c>
      <c r="AC8" s="45" t="s">
        <v>450</v>
      </c>
    </row>
    <row r="9" spans="1:29" ht="6.6" customHeight="1" x14ac:dyDescent="0.25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599</v>
      </c>
      <c r="S9" s="45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27" t="s">
        <v>696</v>
      </c>
      <c r="AA9" s="26" t="s">
        <v>406</v>
      </c>
      <c r="AB9" s="27" t="s">
        <v>696</v>
      </c>
      <c r="AC9" s="45" t="s">
        <v>450</v>
      </c>
    </row>
    <row r="10" spans="1:29" ht="6.6" customHeight="1" x14ac:dyDescent="0.25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600</v>
      </c>
      <c r="S10" s="45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27" t="s">
        <v>696</v>
      </c>
      <c r="AA10" s="26" t="s">
        <v>406</v>
      </c>
      <c r="AB10" s="27" t="s">
        <v>696</v>
      </c>
      <c r="AC10" s="45" t="s">
        <v>450</v>
      </c>
    </row>
    <row r="11" spans="1:29" ht="6.6" customHeight="1" x14ac:dyDescent="0.25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601</v>
      </c>
      <c r="S11" s="45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27" t="s">
        <v>696</v>
      </c>
      <c r="AA11" s="26" t="s">
        <v>461</v>
      </c>
      <c r="AB11" s="27" t="s">
        <v>696</v>
      </c>
      <c r="AC11" s="45" t="s">
        <v>462</v>
      </c>
    </row>
    <row r="12" spans="1:29" ht="6.6" customHeight="1" x14ac:dyDescent="0.25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602</v>
      </c>
      <c r="S12" s="45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27" t="s">
        <v>696</v>
      </c>
      <c r="AA12" s="27" t="s">
        <v>405</v>
      </c>
      <c r="AB12" s="27" t="s">
        <v>696</v>
      </c>
      <c r="AC12" s="45" t="s">
        <v>578</v>
      </c>
    </row>
    <row r="13" spans="1:29" ht="6.6" customHeight="1" x14ac:dyDescent="0.25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603</v>
      </c>
      <c r="S13" s="45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27" t="s">
        <v>696</v>
      </c>
      <c r="AA13" s="27" t="s">
        <v>405</v>
      </c>
      <c r="AB13" s="27" t="s">
        <v>696</v>
      </c>
      <c r="AC13" s="45" t="s">
        <v>578</v>
      </c>
    </row>
    <row r="14" spans="1:29" ht="6.6" customHeight="1" x14ac:dyDescent="0.25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604</v>
      </c>
      <c r="S14" s="45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27" t="s">
        <v>696</v>
      </c>
      <c r="AA14" s="27" t="s">
        <v>405</v>
      </c>
      <c r="AB14" s="27" t="s">
        <v>696</v>
      </c>
      <c r="AC14" s="45" t="s">
        <v>578</v>
      </c>
    </row>
    <row r="15" spans="1:29" ht="6" customHeight="1" x14ac:dyDescent="0.25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605</v>
      </c>
      <c r="S15" s="45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27" t="s">
        <v>696</v>
      </c>
      <c r="AA15" s="27" t="s">
        <v>405</v>
      </c>
      <c r="AB15" s="27" t="s">
        <v>696</v>
      </c>
      <c r="AC15" s="45" t="s">
        <v>578</v>
      </c>
    </row>
    <row r="16" spans="1:29" ht="6" customHeight="1" x14ac:dyDescent="0.25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606</v>
      </c>
      <c r="S16" s="45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27" t="s">
        <v>696</v>
      </c>
      <c r="AA16" s="27" t="s">
        <v>405</v>
      </c>
      <c r="AB16" s="27" t="s">
        <v>696</v>
      </c>
      <c r="AC16" s="45" t="s">
        <v>578</v>
      </c>
    </row>
    <row r="17" spans="1:29" ht="6" customHeight="1" x14ac:dyDescent="0.25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607</v>
      </c>
      <c r="S17" s="45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27" t="s">
        <v>696</v>
      </c>
      <c r="AA17" s="27" t="s">
        <v>405</v>
      </c>
      <c r="AB17" s="27" t="s">
        <v>696</v>
      </c>
      <c r="AC17" s="45" t="s">
        <v>578</v>
      </c>
    </row>
    <row r="18" spans="1:29" ht="6" customHeight="1" x14ac:dyDescent="0.25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608</v>
      </c>
      <c r="S18" s="45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27" t="s">
        <v>696</v>
      </c>
      <c r="AA18" s="27" t="s">
        <v>405</v>
      </c>
      <c r="AB18" s="27" t="s">
        <v>696</v>
      </c>
      <c r="AC18" s="45" t="s">
        <v>578</v>
      </c>
    </row>
    <row r="19" spans="1:29" ht="6" customHeight="1" x14ac:dyDescent="0.25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609</v>
      </c>
      <c r="S19" s="45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27" t="s">
        <v>696</v>
      </c>
      <c r="AA19" s="27" t="s">
        <v>405</v>
      </c>
      <c r="AB19" s="27" t="s">
        <v>696</v>
      </c>
      <c r="AC19" s="45" t="s">
        <v>578</v>
      </c>
    </row>
    <row r="20" spans="1:29" ht="6" customHeight="1" x14ac:dyDescent="0.25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610</v>
      </c>
      <c r="S20" s="45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27" t="s">
        <v>696</v>
      </c>
      <c r="AA20" s="27" t="s">
        <v>405</v>
      </c>
      <c r="AB20" s="27" t="s">
        <v>696</v>
      </c>
      <c r="AC20" s="45" t="s">
        <v>578</v>
      </c>
    </row>
    <row r="21" spans="1:29" ht="6" customHeight="1" x14ac:dyDescent="0.25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611</v>
      </c>
      <c r="S21" s="45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27" t="s">
        <v>696</v>
      </c>
      <c r="AA21" s="27" t="s">
        <v>405</v>
      </c>
      <c r="AB21" s="27" t="s">
        <v>696</v>
      </c>
      <c r="AC21" s="45" t="s">
        <v>578</v>
      </c>
    </row>
    <row r="22" spans="1:29" ht="6" customHeight="1" x14ac:dyDescent="0.25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612</v>
      </c>
      <c r="S22" s="45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27" t="s">
        <v>696</v>
      </c>
      <c r="AA22" s="27" t="s">
        <v>405</v>
      </c>
      <c r="AB22" s="27" t="s">
        <v>696</v>
      </c>
      <c r="AC22" s="45" t="s">
        <v>578</v>
      </c>
    </row>
    <row r="23" spans="1:29" ht="6" customHeight="1" x14ac:dyDescent="0.25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613</v>
      </c>
      <c r="S23" s="45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27" t="s">
        <v>696</v>
      </c>
      <c r="AA23" s="27" t="s">
        <v>405</v>
      </c>
      <c r="AB23" s="27" t="s">
        <v>696</v>
      </c>
      <c r="AC23" s="45" t="s">
        <v>578</v>
      </c>
    </row>
    <row r="24" spans="1:29" ht="6" customHeight="1" x14ac:dyDescent="0.25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614</v>
      </c>
      <c r="S24" s="45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27" t="s">
        <v>696</v>
      </c>
      <c r="AA24" s="27" t="s">
        <v>405</v>
      </c>
      <c r="AB24" s="27" t="s">
        <v>696</v>
      </c>
      <c r="AC24" s="45" t="s">
        <v>578</v>
      </c>
    </row>
    <row r="25" spans="1:29" ht="6" customHeight="1" x14ac:dyDescent="0.25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615</v>
      </c>
      <c r="S25" s="45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27" t="s">
        <v>696</v>
      </c>
      <c r="AA25" s="27" t="s">
        <v>405</v>
      </c>
      <c r="AB25" s="27" t="s">
        <v>696</v>
      </c>
      <c r="AC25" s="45" t="s">
        <v>578</v>
      </c>
    </row>
    <row r="26" spans="1:29" ht="6" customHeight="1" x14ac:dyDescent="0.25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616</v>
      </c>
      <c r="S26" s="45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27" t="s">
        <v>696</v>
      </c>
      <c r="AA26" s="26" t="s">
        <v>418</v>
      </c>
      <c r="AB26" s="27" t="s">
        <v>696</v>
      </c>
      <c r="AC26" s="45" t="s">
        <v>578</v>
      </c>
    </row>
    <row r="27" spans="1:29" ht="6" customHeight="1" x14ac:dyDescent="0.25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617</v>
      </c>
      <c r="S27" s="45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27" t="s">
        <v>696</v>
      </c>
      <c r="AA27" s="26" t="s">
        <v>425</v>
      </c>
      <c r="AB27" s="27" t="s">
        <v>696</v>
      </c>
      <c r="AC27" s="45" t="s">
        <v>578</v>
      </c>
    </row>
    <row r="28" spans="1:29" ht="6" customHeight="1" x14ac:dyDescent="0.25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618</v>
      </c>
      <c r="S28" s="45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27" t="s">
        <v>696</v>
      </c>
      <c r="AA28" s="26" t="s">
        <v>426</v>
      </c>
      <c r="AB28" s="27" t="s">
        <v>696</v>
      </c>
      <c r="AC28" s="45" t="s">
        <v>578</v>
      </c>
    </row>
    <row r="29" spans="1:29" ht="6" customHeight="1" x14ac:dyDescent="0.25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619</v>
      </c>
      <c r="S29" s="45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27" t="s">
        <v>696</v>
      </c>
      <c r="AA29" s="26" t="s">
        <v>427</v>
      </c>
      <c r="AB29" s="27" t="s">
        <v>696</v>
      </c>
      <c r="AC29" s="45" t="s">
        <v>578</v>
      </c>
    </row>
    <row r="30" spans="1:29" ht="6" customHeight="1" x14ac:dyDescent="0.25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620</v>
      </c>
      <c r="S30" s="45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27" t="s">
        <v>696</v>
      </c>
      <c r="AA30" s="26" t="s">
        <v>428</v>
      </c>
      <c r="AB30" s="27" t="s">
        <v>696</v>
      </c>
      <c r="AC30" s="45" t="s">
        <v>578</v>
      </c>
    </row>
    <row r="31" spans="1:29" ht="6" customHeight="1" x14ac:dyDescent="0.25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621</v>
      </c>
      <c r="S31" s="45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27" t="s">
        <v>696</v>
      </c>
      <c r="AA31" s="26" t="s">
        <v>429</v>
      </c>
      <c r="AB31" s="27" t="s">
        <v>696</v>
      </c>
      <c r="AC31" s="45" t="s">
        <v>578</v>
      </c>
    </row>
    <row r="32" spans="1:29" ht="6" customHeight="1" x14ac:dyDescent="0.25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622</v>
      </c>
      <c r="S32" s="45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27" t="s">
        <v>696</v>
      </c>
      <c r="AA32" s="26" t="s">
        <v>403</v>
      </c>
      <c r="AB32" s="27" t="s">
        <v>696</v>
      </c>
      <c r="AC32" s="45" t="s">
        <v>578</v>
      </c>
    </row>
    <row r="33" spans="1:29" ht="6" customHeight="1" x14ac:dyDescent="0.25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623</v>
      </c>
      <c r="S33" s="45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27" t="s">
        <v>696</v>
      </c>
      <c r="AA33" s="26" t="s">
        <v>430</v>
      </c>
      <c r="AB33" s="27" t="s">
        <v>696</v>
      </c>
      <c r="AC33" s="45" t="s">
        <v>578</v>
      </c>
    </row>
    <row r="34" spans="1:29" ht="6" customHeight="1" x14ac:dyDescent="0.25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624</v>
      </c>
      <c r="S34" s="45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27" t="s">
        <v>696</v>
      </c>
      <c r="AA34" s="26" t="s">
        <v>404</v>
      </c>
      <c r="AB34" s="27" t="s">
        <v>696</v>
      </c>
      <c r="AC34" s="45" t="s">
        <v>578</v>
      </c>
    </row>
    <row r="35" spans="1:29" ht="6" customHeight="1" x14ac:dyDescent="0.25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625</v>
      </c>
      <c r="S35" s="45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27" t="s">
        <v>696</v>
      </c>
      <c r="AA35" s="26" t="s">
        <v>431</v>
      </c>
      <c r="AB35" s="27" t="s">
        <v>696</v>
      </c>
      <c r="AC35" s="45" t="s">
        <v>578</v>
      </c>
    </row>
    <row r="36" spans="1:29" ht="6" customHeight="1" x14ac:dyDescent="0.25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626</v>
      </c>
      <c r="S36" s="45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27" t="s">
        <v>696</v>
      </c>
      <c r="AA36" s="26" t="s">
        <v>432</v>
      </c>
      <c r="AB36" s="27" t="s">
        <v>696</v>
      </c>
      <c r="AC36" s="45" t="s">
        <v>578</v>
      </c>
    </row>
    <row r="37" spans="1:29" ht="6" customHeight="1" x14ac:dyDescent="0.25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627</v>
      </c>
      <c r="S37" s="45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27" t="s">
        <v>696</v>
      </c>
      <c r="AA37" s="26" t="s">
        <v>433</v>
      </c>
      <c r="AB37" s="27" t="s">
        <v>696</v>
      </c>
      <c r="AC37" s="45" t="s">
        <v>578</v>
      </c>
    </row>
    <row r="38" spans="1:29" ht="6" customHeight="1" x14ac:dyDescent="0.25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628</v>
      </c>
      <c r="S38" s="45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27" t="s">
        <v>696</v>
      </c>
      <c r="AA38" s="26" t="s">
        <v>434</v>
      </c>
      <c r="AB38" s="27" t="s">
        <v>696</v>
      </c>
      <c r="AC38" s="45" t="s">
        <v>578</v>
      </c>
    </row>
    <row r="39" spans="1:29" ht="6" customHeight="1" x14ac:dyDescent="0.25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629</v>
      </c>
      <c r="S39" s="45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27" t="s">
        <v>696</v>
      </c>
      <c r="AA39" s="26" t="s">
        <v>435</v>
      </c>
      <c r="AB39" s="27" t="s">
        <v>696</v>
      </c>
      <c r="AC39" s="45" t="s">
        <v>578</v>
      </c>
    </row>
    <row r="40" spans="1:29" ht="6" customHeight="1" x14ac:dyDescent="0.25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630</v>
      </c>
      <c r="S40" s="45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27" t="s">
        <v>696</v>
      </c>
      <c r="AA40" s="26" t="s">
        <v>436</v>
      </c>
      <c r="AB40" s="27" t="s">
        <v>696</v>
      </c>
      <c r="AC40" s="45" t="s">
        <v>578</v>
      </c>
    </row>
    <row r="41" spans="1:29" ht="6" customHeight="1" x14ac:dyDescent="0.25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631</v>
      </c>
      <c r="S41" s="45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27" t="s">
        <v>696</v>
      </c>
      <c r="AA41" s="26" t="s">
        <v>437</v>
      </c>
      <c r="AB41" s="27" t="s">
        <v>696</v>
      </c>
      <c r="AC41" s="45" t="s">
        <v>578</v>
      </c>
    </row>
    <row r="42" spans="1:29" ht="6" customHeight="1" x14ac:dyDescent="0.25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632</v>
      </c>
      <c r="S42" s="45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27" t="s">
        <v>696</v>
      </c>
      <c r="AA42" s="27" t="s">
        <v>405</v>
      </c>
      <c r="AB42" s="27" t="s">
        <v>696</v>
      </c>
      <c r="AC42" s="45" t="s">
        <v>578</v>
      </c>
    </row>
    <row r="43" spans="1:29" ht="6" customHeight="1" x14ac:dyDescent="0.25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633</v>
      </c>
      <c r="S43" s="45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27" t="s">
        <v>696</v>
      </c>
      <c r="AA43" s="27" t="s">
        <v>405</v>
      </c>
      <c r="AB43" s="27" t="s">
        <v>696</v>
      </c>
      <c r="AC43" s="45" t="s">
        <v>578</v>
      </c>
    </row>
    <row r="44" spans="1:29" ht="6" customHeight="1" x14ac:dyDescent="0.25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634</v>
      </c>
      <c r="S44" s="45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27" t="s">
        <v>696</v>
      </c>
      <c r="AA44" s="27" t="s">
        <v>405</v>
      </c>
      <c r="AB44" s="27" t="s">
        <v>696</v>
      </c>
      <c r="AC44" s="45" t="s">
        <v>578</v>
      </c>
    </row>
    <row r="45" spans="1:29" ht="6" customHeight="1" x14ac:dyDescent="0.25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635</v>
      </c>
      <c r="S45" s="45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27" t="s">
        <v>696</v>
      </c>
      <c r="AA45" s="27" t="s">
        <v>405</v>
      </c>
      <c r="AB45" s="27" t="s">
        <v>696</v>
      </c>
      <c r="AC45" s="45" t="s">
        <v>578</v>
      </c>
    </row>
    <row r="46" spans="1:29" ht="6" customHeight="1" x14ac:dyDescent="0.25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636</v>
      </c>
      <c r="S46" s="45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27" t="s">
        <v>696</v>
      </c>
      <c r="AA46" s="27" t="s">
        <v>419</v>
      </c>
      <c r="AB46" s="27" t="s">
        <v>696</v>
      </c>
      <c r="AC46" s="45" t="s">
        <v>578</v>
      </c>
    </row>
    <row r="47" spans="1:29" ht="6" customHeight="1" x14ac:dyDescent="0.25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637</v>
      </c>
      <c r="S47" s="45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27" t="s">
        <v>696</v>
      </c>
      <c r="AA47" s="26" t="s">
        <v>421</v>
      </c>
      <c r="AB47" s="27" t="s">
        <v>696</v>
      </c>
      <c r="AC47" s="45" t="s">
        <v>578</v>
      </c>
    </row>
    <row r="48" spans="1:29" ht="6" customHeight="1" x14ac:dyDescent="0.25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638</v>
      </c>
      <c r="S48" s="45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27" t="s">
        <v>696</v>
      </c>
      <c r="AA48" s="26" t="s">
        <v>420</v>
      </c>
      <c r="AB48" s="27" t="s">
        <v>696</v>
      </c>
      <c r="AC48" s="45" t="s">
        <v>578</v>
      </c>
    </row>
    <row r="49" spans="1:29" ht="6" customHeight="1" x14ac:dyDescent="0.25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639</v>
      </c>
      <c r="S49" s="45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27" t="s">
        <v>696</v>
      </c>
      <c r="AA49" s="26" t="s">
        <v>422</v>
      </c>
      <c r="AB49" s="27" t="s">
        <v>696</v>
      </c>
      <c r="AC49" s="45" t="s">
        <v>578</v>
      </c>
    </row>
    <row r="50" spans="1:29" ht="6" customHeight="1" x14ac:dyDescent="0.25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640</v>
      </c>
      <c r="S50" s="45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27" t="s">
        <v>696</v>
      </c>
      <c r="AA50" s="26" t="s">
        <v>423</v>
      </c>
      <c r="AB50" s="27" t="s">
        <v>696</v>
      </c>
      <c r="AC50" s="45" t="s">
        <v>578</v>
      </c>
    </row>
    <row r="51" spans="1:29" ht="6" customHeight="1" x14ac:dyDescent="0.25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641</v>
      </c>
      <c r="S51" s="45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27" t="s">
        <v>696</v>
      </c>
      <c r="AA51" s="26" t="s">
        <v>424</v>
      </c>
      <c r="AB51" s="27" t="s">
        <v>696</v>
      </c>
      <c r="AC51" s="45" t="s">
        <v>578</v>
      </c>
    </row>
    <row r="52" spans="1:29" ht="6" customHeight="1" x14ac:dyDescent="0.25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642</v>
      </c>
      <c r="S52" s="45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27" t="s">
        <v>696</v>
      </c>
      <c r="AA52" s="27" t="s">
        <v>405</v>
      </c>
      <c r="AB52" s="27" t="s">
        <v>696</v>
      </c>
      <c r="AC52" s="45" t="s">
        <v>578</v>
      </c>
    </row>
    <row r="53" spans="1:29" ht="6" customHeight="1" x14ac:dyDescent="0.25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643</v>
      </c>
      <c r="S53" s="45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27" t="s">
        <v>696</v>
      </c>
      <c r="AA53" s="27" t="s">
        <v>405</v>
      </c>
      <c r="AB53" s="27" t="s">
        <v>696</v>
      </c>
      <c r="AC53" s="45" t="s">
        <v>578</v>
      </c>
    </row>
    <row r="54" spans="1:29" ht="6" customHeight="1" x14ac:dyDescent="0.25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644</v>
      </c>
      <c r="S54" s="45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27" t="s">
        <v>696</v>
      </c>
      <c r="AA54" s="27" t="s">
        <v>405</v>
      </c>
      <c r="AB54" s="27" t="s">
        <v>696</v>
      </c>
      <c r="AC54" s="45" t="s">
        <v>578</v>
      </c>
    </row>
    <row r="55" spans="1:29" ht="6" customHeight="1" x14ac:dyDescent="0.25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645</v>
      </c>
      <c r="S55" s="45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27" t="s">
        <v>696</v>
      </c>
      <c r="AA55" s="27" t="s">
        <v>405</v>
      </c>
      <c r="AB55" s="27" t="s">
        <v>696</v>
      </c>
      <c r="AC55" s="45" t="s">
        <v>578</v>
      </c>
    </row>
    <row r="56" spans="1:29" ht="6" customHeight="1" x14ac:dyDescent="0.25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604</v>
      </c>
      <c r="S56" s="45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27" t="s">
        <v>696</v>
      </c>
      <c r="AA56" s="27" t="s">
        <v>405</v>
      </c>
      <c r="AB56" s="27" t="s">
        <v>696</v>
      </c>
      <c r="AC56" s="45" t="s">
        <v>578</v>
      </c>
    </row>
    <row r="57" spans="1:29" ht="6" customHeight="1" x14ac:dyDescent="0.25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646</v>
      </c>
      <c r="S57" s="45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27" t="s">
        <v>696</v>
      </c>
      <c r="AA57" s="27" t="s">
        <v>405</v>
      </c>
      <c r="AB57" s="27" t="s">
        <v>696</v>
      </c>
      <c r="AC57" s="45" t="s">
        <v>578</v>
      </c>
    </row>
    <row r="58" spans="1:29" ht="6" customHeight="1" x14ac:dyDescent="0.25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647</v>
      </c>
      <c r="S58" s="45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27" t="s">
        <v>696</v>
      </c>
      <c r="AA58" s="27" t="s">
        <v>405</v>
      </c>
      <c r="AB58" s="27" t="s">
        <v>696</v>
      </c>
      <c r="AC58" s="45" t="s">
        <v>578</v>
      </c>
    </row>
    <row r="59" spans="1:29" ht="6" customHeight="1" x14ac:dyDescent="0.25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648</v>
      </c>
      <c r="S59" s="45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27" t="s">
        <v>696</v>
      </c>
      <c r="AA59" s="27" t="s">
        <v>405</v>
      </c>
      <c r="AB59" s="27" t="s">
        <v>696</v>
      </c>
      <c r="AC59" s="45" t="s">
        <v>578</v>
      </c>
    </row>
    <row r="60" spans="1:29" ht="6" customHeight="1" x14ac:dyDescent="0.25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649</v>
      </c>
      <c r="S60" s="45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27" t="s">
        <v>696</v>
      </c>
      <c r="AA60" s="27" t="s">
        <v>405</v>
      </c>
      <c r="AB60" s="27" t="s">
        <v>696</v>
      </c>
      <c r="AC60" s="45" t="s">
        <v>578</v>
      </c>
    </row>
    <row r="61" spans="1:29" ht="6" customHeight="1" x14ac:dyDescent="0.25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650</v>
      </c>
      <c r="S61" s="45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27" t="s">
        <v>696</v>
      </c>
      <c r="AA61" s="26" t="s">
        <v>401</v>
      </c>
      <c r="AB61" s="27" t="s">
        <v>696</v>
      </c>
      <c r="AC61" s="45" t="s">
        <v>579</v>
      </c>
    </row>
    <row r="62" spans="1:29" ht="6" customHeight="1" x14ac:dyDescent="0.25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651</v>
      </c>
      <c r="S62" s="45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27" t="s">
        <v>696</v>
      </c>
      <c r="AA62" s="26" t="s">
        <v>416</v>
      </c>
      <c r="AB62" s="27" t="s">
        <v>696</v>
      </c>
      <c r="AC62" s="45" t="s">
        <v>579</v>
      </c>
    </row>
    <row r="63" spans="1:29" ht="6" customHeight="1" x14ac:dyDescent="0.25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651</v>
      </c>
      <c r="S63" s="45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27" t="s">
        <v>696</v>
      </c>
      <c r="AA63" s="26" t="s">
        <v>416</v>
      </c>
      <c r="AB63" s="27" t="s">
        <v>696</v>
      </c>
      <c r="AC63" s="45" t="s">
        <v>579</v>
      </c>
    </row>
    <row r="64" spans="1:29" ht="6" customHeight="1" x14ac:dyDescent="0.25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652</v>
      </c>
      <c r="S64" s="45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27" t="s">
        <v>696</v>
      </c>
      <c r="AA64" s="26" t="s">
        <v>415</v>
      </c>
      <c r="AB64" s="27" t="s">
        <v>696</v>
      </c>
      <c r="AC64" s="45" t="s">
        <v>579</v>
      </c>
    </row>
    <row r="65" spans="1:29" ht="6" customHeight="1" x14ac:dyDescent="0.25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652</v>
      </c>
      <c r="S65" s="45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27" t="s">
        <v>696</v>
      </c>
      <c r="AA65" s="26" t="s">
        <v>415</v>
      </c>
      <c r="AB65" s="27" t="s">
        <v>696</v>
      </c>
      <c r="AC65" s="45" t="s">
        <v>579</v>
      </c>
    </row>
    <row r="66" spans="1:29" ht="6" customHeight="1" x14ac:dyDescent="0.25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653</v>
      </c>
      <c r="S66" s="45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1" si="30">CONCATENATE("Key-CIRCU-",A66)</f>
        <v>Key-CIRCU-66</v>
      </c>
      <c r="Y66" s="27" t="s">
        <v>338</v>
      </c>
      <c r="Z66" s="27" t="s">
        <v>696</v>
      </c>
      <c r="AA66" s="26" t="s">
        <v>415</v>
      </c>
      <c r="AB66" s="27" t="s">
        <v>696</v>
      </c>
      <c r="AC66" s="45" t="s">
        <v>579</v>
      </c>
    </row>
    <row r="67" spans="1:29" ht="6" customHeight="1" x14ac:dyDescent="0.25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654</v>
      </c>
      <c r="S67" s="45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27" t="s">
        <v>696</v>
      </c>
      <c r="AA67" s="26" t="s">
        <v>415</v>
      </c>
      <c r="AB67" s="27" t="s">
        <v>696</v>
      </c>
      <c r="AC67" s="45" t="s">
        <v>579</v>
      </c>
    </row>
    <row r="68" spans="1:29" ht="6.6" customHeight="1" x14ac:dyDescent="0.25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652</v>
      </c>
      <c r="S68" s="45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27" t="s">
        <v>696</v>
      </c>
      <c r="AA68" s="26" t="s">
        <v>401</v>
      </c>
      <c r="AB68" s="27" t="s">
        <v>696</v>
      </c>
      <c r="AC68" s="45" t="s">
        <v>579</v>
      </c>
    </row>
    <row r="69" spans="1:29" ht="6.6" customHeight="1" x14ac:dyDescent="0.25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652</v>
      </c>
      <c r="S69" s="45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27" t="s">
        <v>696</v>
      </c>
      <c r="AA69" s="26" t="s">
        <v>401</v>
      </c>
      <c r="AB69" s="27" t="s">
        <v>696</v>
      </c>
      <c r="AC69" s="45" t="s">
        <v>579</v>
      </c>
    </row>
    <row r="70" spans="1:29" ht="6.6" customHeight="1" x14ac:dyDescent="0.25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655</v>
      </c>
      <c r="S70" s="45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27" t="s">
        <v>696</v>
      </c>
      <c r="AA70" s="26" t="s">
        <v>401</v>
      </c>
      <c r="AB70" s="27" t="s">
        <v>696</v>
      </c>
      <c r="AC70" s="45" t="s">
        <v>579</v>
      </c>
    </row>
    <row r="71" spans="1:29" ht="6.6" customHeight="1" x14ac:dyDescent="0.25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656</v>
      </c>
      <c r="S71" s="45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27" t="s">
        <v>696</v>
      </c>
      <c r="AA71" s="26" t="s">
        <v>401</v>
      </c>
      <c r="AB71" s="27" t="s">
        <v>696</v>
      </c>
      <c r="AC71" s="45" t="s">
        <v>579</v>
      </c>
    </row>
    <row r="72" spans="1:29" ht="6.6" customHeight="1" x14ac:dyDescent="0.25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657</v>
      </c>
      <c r="S72" s="45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27" t="s">
        <v>696</v>
      </c>
      <c r="AA72" s="26" t="s">
        <v>401</v>
      </c>
      <c r="AB72" s="27" t="s">
        <v>696</v>
      </c>
      <c r="AC72" s="45" t="s">
        <v>579</v>
      </c>
    </row>
    <row r="73" spans="1:29" ht="6.6" customHeight="1" x14ac:dyDescent="0.25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658</v>
      </c>
      <c r="S73" s="45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27" t="s">
        <v>696</v>
      </c>
      <c r="AA73" s="26" t="s">
        <v>401</v>
      </c>
      <c r="AB73" s="27" t="s">
        <v>696</v>
      </c>
      <c r="AC73" s="45" t="s">
        <v>579</v>
      </c>
    </row>
    <row r="74" spans="1:29" ht="6.6" customHeight="1" x14ac:dyDescent="0.25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659</v>
      </c>
      <c r="S74" s="45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27" t="s">
        <v>696</v>
      </c>
      <c r="AA74" s="26" t="s">
        <v>416</v>
      </c>
      <c r="AB74" s="27" t="s">
        <v>696</v>
      </c>
      <c r="AC74" s="45" t="s">
        <v>579</v>
      </c>
    </row>
    <row r="75" spans="1:29" ht="6.6" customHeight="1" x14ac:dyDescent="0.25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660</v>
      </c>
      <c r="S75" s="45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27" t="s">
        <v>696</v>
      </c>
      <c r="AA75" s="26" t="s">
        <v>415</v>
      </c>
      <c r="AB75" s="27" t="s">
        <v>696</v>
      </c>
      <c r="AC75" s="45" t="s">
        <v>579</v>
      </c>
    </row>
    <row r="76" spans="1:29" ht="6.6" customHeight="1" x14ac:dyDescent="0.25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657</v>
      </c>
      <c r="S76" s="45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27" t="s">
        <v>696</v>
      </c>
      <c r="AA76" s="26" t="s">
        <v>401</v>
      </c>
      <c r="AB76" s="27" t="s">
        <v>696</v>
      </c>
      <c r="AC76" s="45" t="s">
        <v>579</v>
      </c>
    </row>
    <row r="77" spans="1:29" ht="6.6" customHeight="1" x14ac:dyDescent="0.25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658</v>
      </c>
      <c r="S77" s="45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27" t="s">
        <v>696</v>
      </c>
      <c r="AA77" s="26" t="s">
        <v>401</v>
      </c>
      <c r="AB77" s="27" t="s">
        <v>696</v>
      </c>
      <c r="AC77" s="45" t="s">
        <v>579</v>
      </c>
    </row>
    <row r="78" spans="1:29" ht="6.6" customHeight="1" x14ac:dyDescent="0.25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659</v>
      </c>
      <c r="S78" s="45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27" t="s">
        <v>696</v>
      </c>
      <c r="AA78" s="26" t="s">
        <v>416</v>
      </c>
      <c r="AB78" s="27" t="s">
        <v>696</v>
      </c>
      <c r="AC78" s="45" t="s">
        <v>579</v>
      </c>
    </row>
    <row r="79" spans="1:29" ht="6.6" customHeight="1" x14ac:dyDescent="0.25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660</v>
      </c>
      <c r="S79" s="45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27" t="s">
        <v>696</v>
      </c>
      <c r="AA79" s="26" t="s">
        <v>415</v>
      </c>
      <c r="AB79" s="27" t="s">
        <v>696</v>
      </c>
      <c r="AC79" s="45" t="s">
        <v>579</v>
      </c>
    </row>
    <row r="80" spans="1:29" ht="6.6" customHeight="1" x14ac:dyDescent="0.25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657</v>
      </c>
      <c r="S80" s="45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27" t="s">
        <v>696</v>
      </c>
      <c r="AA80" s="26" t="s">
        <v>401</v>
      </c>
      <c r="AB80" s="27" t="s">
        <v>696</v>
      </c>
      <c r="AC80" s="45" t="s">
        <v>579</v>
      </c>
    </row>
    <row r="81" spans="1:29" ht="6.6" customHeight="1" x14ac:dyDescent="0.25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658</v>
      </c>
      <c r="S81" s="45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27" t="s">
        <v>696</v>
      </c>
      <c r="AA81" s="26" t="s">
        <v>401</v>
      </c>
      <c r="AB81" s="27" t="s">
        <v>696</v>
      </c>
      <c r="AC81" s="45" t="s">
        <v>579</v>
      </c>
    </row>
    <row r="82" spans="1:29" ht="6.6" customHeight="1" x14ac:dyDescent="0.25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659</v>
      </c>
      <c r="S82" s="45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27" t="s">
        <v>696</v>
      </c>
      <c r="AA82" s="26" t="s">
        <v>416</v>
      </c>
      <c r="AB82" s="27" t="s">
        <v>696</v>
      </c>
      <c r="AC82" s="45" t="s">
        <v>579</v>
      </c>
    </row>
    <row r="83" spans="1:29" ht="6.6" customHeight="1" x14ac:dyDescent="0.25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660</v>
      </c>
      <c r="S83" s="45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27" t="s">
        <v>696</v>
      </c>
      <c r="AA83" s="26" t="s">
        <v>415</v>
      </c>
      <c r="AB83" s="27" t="s">
        <v>696</v>
      </c>
      <c r="AC83" s="45" t="s">
        <v>579</v>
      </c>
    </row>
    <row r="84" spans="1:29" ht="6.6" customHeight="1" x14ac:dyDescent="0.25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661</v>
      </c>
      <c r="S84" s="45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27" t="s">
        <v>696</v>
      </c>
      <c r="AA84" s="26" t="s">
        <v>401</v>
      </c>
      <c r="AB84" s="27" t="s">
        <v>696</v>
      </c>
      <c r="AC84" s="45" t="s">
        <v>579</v>
      </c>
    </row>
    <row r="85" spans="1:29" ht="6.6" customHeight="1" x14ac:dyDescent="0.25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662</v>
      </c>
      <c r="S85" s="45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27" t="s">
        <v>696</v>
      </c>
      <c r="AA85" s="26" t="s">
        <v>416</v>
      </c>
      <c r="AB85" s="27" t="s">
        <v>696</v>
      </c>
      <c r="AC85" s="45" t="s">
        <v>579</v>
      </c>
    </row>
    <row r="86" spans="1:29" ht="6.6" customHeight="1" x14ac:dyDescent="0.25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652</v>
      </c>
      <c r="S86" s="45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27" t="s">
        <v>696</v>
      </c>
      <c r="AA86" s="26" t="s">
        <v>415</v>
      </c>
      <c r="AB86" s="27" t="s">
        <v>696</v>
      </c>
      <c r="AC86" s="45" t="s">
        <v>579</v>
      </c>
    </row>
    <row r="87" spans="1:29" ht="6.6" customHeight="1" x14ac:dyDescent="0.25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663</v>
      </c>
      <c r="S87" s="45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27" t="s">
        <v>696</v>
      </c>
      <c r="AA87" s="26" t="s">
        <v>415</v>
      </c>
      <c r="AB87" s="27" t="s">
        <v>696</v>
      </c>
      <c r="AC87" s="45" t="s">
        <v>579</v>
      </c>
    </row>
    <row r="88" spans="1:29" ht="6.6" customHeight="1" x14ac:dyDescent="0.25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664</v>
      </c>
      <c r="S88" s="45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27" t="s">
        <v>696</v>
      </c>
      <c r="AA88" s="26" t="s">
        <v>401</v>
      </c>
      <c r="AB88" s="27" t="s">
        <v>696</v>
      </c>
      <c r="AC88" s="45" t="s">
        <v>579</v>
      </c>
    </row>
    <row r="89" spans="1:29" ht="6.6" customHeight="1" x14ac:dyDescent="0.25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665</v>
      </c>
      <c r="S89" s="45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27" t="s">
        <v>696</v>
      </c>
      <c r="AA89" s="26" t="s">
        <v>401</v>
      </c>
      <c r="AB89" s="27" t="s">
        <v>696</v>
      </c>
      <c r="AC89" s="45" t="s">
        <v>579</v>
      </c>
    </row>
    <row r="90" spans="1:29" ht="6.6" customHeight="1" x14ac:dyDescent="0.25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666</v>
      </c>
      <c r="S90" s="45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27" t="s">
        <v>696</v>
      </c>
      <c r="AA90" s="26" t="s">
        <v>416</v>
      </c>
      <c r="AB90" s="27" t="s">
        <v>696</v>
      </c>
      <c r="AC90" s="45" t="s">
        <v>579</v>
      </c>
    </row>
    <row r="91" spans="1:29" ht="6.6" customHeight="1" x14ac:dyDescent="0.25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667</v>
      </c>
      <c r="S91" s="45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27" t="s">
        <v>696</v>
      </c>
      <c r="AA91" s="26" t="s">
        <v>415</v>
      </c>
      <c r="AB91" s="27" t="s">
        <v>696</v>
      </c>
      <c r="AC91" s="45" t="s">
        <v>579</v>
      </c>
    </row>
    <row r="92" spans="1:29" ht="6.6" customHeight="1" x14ac:dyDescent="0.25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668</v>
      </c>
      <c r="S92" s="45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27" t="s">
        <v>696</v>
      </c>
      <c r="AA92" s="26" t="s">
        <v>401</v>
      </c>
      <c r="AB92" s="27" t="s">
        <v>696</v>
      </c>
      <c r="AC92" s="45" t="s">
        <v>579</v>
      </c>
    </row>
    <row r="93" spans="1:29" ht="6.6" customHeight="1" x14ac:dyDescent="0.25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656</v>
      </c>
      <c r="S93" s="45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27" t="s">
        <v>696</v>
      </c>
      <c r="AA93" s="26" t="s">
        <v>401</v>
      </c>
      <c r="AB93" s="27" t="s">
        <v>696</v>
      </c>
      <c r="AC93" s="45" t="s">
        <v>579</v>
      </c>
    </row>
    <row r="94" spans="1:29" ht="6.6" customHeight="1" x14ac:dyDescent="0.25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653</v>
      </c>
      <c r="S94" s="45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27" t="s">
        <v>696</v>
      </c>
      <c r="AA94" s="26" t="s">
        <v>415</v>
      </c>
      <c r="AB94" s="27" t="s">
        <v>696</v>
      </c>
      <c r="AC94" s="45" t="s">
        <v>579</v>
      </c>
    </row>
    <row r="95" spans="1:29" ht="6.6" customHeight="1" x14ac:dyDescent="0.25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669</v>
      </c>
      <c r="S95" s="45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27" t="s">
        <v>696</v>
      </c>
      <c r="AA95" s="26" t="s">
        <v>401</v>
      </c>
      <c r="AB95" s="27" t="s">
        <v>696</v>
      </c>
      <c r="AC95" s="45" t="s">
        <v>579</v>
      </c>
    </row>
    <row r="96" spans="1:29" ht="6.6" customHeight="1" x14ac:dyDescent="0.25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670</v>
      </c>
      <c r="S96" s="45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27" t="s">
        <v>696</v>
      </c>
      <c r="AA96" s="26" t="s">
        <v>407</v>
      </c>
      <c r="AB96" s="27" t="s">
        <v>696</v>
      </c>
      <c r="AC96" s="45" t="s">
        <v>580</v>
      </c>
    </row>
    <row r="97" spans="1:29" ht="6.6" customHeight="1" x14ac:dyDescent="0.25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671</v>
      </c>
      <c r="S97" s="45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27" t="s">
        <v>696</v>
      </c>
      <c r="AA97" s="26" t="s">
        <v>412</v>
      </c>
      <c r="AB97" s="27" t="s">
        <v>696</v>
      </c>
      <c r="AC97" s="45" t="s">
        <v>580</v>
      </c>
    </row>
    <row r="98" spans="1:29" ht="6" customHeight="1" x14ac:dyDescent="0.25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672</v>
      </c>
      <c r="S98" s="45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27" t="s">
        <v>696</v>
      </c>
      <c r="AA98" s="26" t="s">
        <v>417</v>
      </c>
      <c r="AB98" s="27" t="s">
        <v>696</v>
      </c>
      <c r="AC98" s="45" t="s">
        <v>580</v>
      </c>
    </row>
    <row r="99" spans="1:29" ht="6" customHeight="1" x14ac:dyDescent="0.25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673</v>
      </c>
      <c r="S99" s="45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27" t="s">
        <v>696</v>
      </c>
      <c r="AA99" s="26" t="s">
        <v>410</v>
      </c>
      <c r="AB99" s="27" t="s">
        <v>696</v>
      </c>
      <c r="AC99" s="45" t="s">
        <v>580</v>
      </c>
    </row>
    <row r="100" spans="1:29" ht="6" customHeight="1" x14ac:dyDescent="0.25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674</v>
      </c>
      <c r="S100" s="45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27" t="s">
        <v>696</v>
      </c>
      <c r="AA100" s="26" t="s">
        <v>414</v>
      </c>
      <c r="AB100" s="27" t="s">
        <v>696</v>
      </c>
      <c r="AC100" s="45" t="s">
        <v>580</v>
      </c>
    </row>
    <row r="101" spans="1:29" ht="6" customHeight="1" x14ac:dyDescent="0.25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675</v>
      </c>
      <c r="S101" s="45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27" t="s">
        <v>696</v>
      </c>
      <c r="AA101" s="26" t="s">
        <v>411</v>
      </c>
      <c r="AB101" s="27" t="s">
        <v>696</v>
      </c>
      <c r="AC101" s="45" t="s">
        <v>580</v>
      </c>
    </row>
    <row r="102" spans="1:29" ht="6" customHeight="1" x14ac:dyDescent="0.25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676</v>
      </c>
      <c r="S102" s="45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27" t="s">
        <v>696</v>
      </c>
      <c r="AA102" s="26" t="s">
        <v>413</v>
      </c>
      <c r="AB102" s="27" t="s">
        <v>696</v>
      </c>
      <c r="AC102" s="45" t="s">
        <v>580</v>
      </c>
    </row>
    <row r="103" spans="1:29" ht="6" customHeight="1" x14ac:dyDescent="0.25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677</v>
      </c>
      <c r="S103" s="45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27" t="s">
        <v>696</v>
      </c>
      <c r="AA103" s="27" t="s">
        <v>405</v>
      </c>
      <c r="AB103" s="27" t="s">
        <v>696</v>
      </c>
      <c r="AC103" s="45" t="s">
        <v>580</v>
      </c>
    </row>
    <row r="104" spans="1:29" ht="6" customHeight="1" x14ac:dyDescent="0.25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678</v>
      </c>
      <c r="S104" s="45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27" t="s">
        <v>696</v>
      </c>
      <c r="AA104" s="27" t="s">
        <v>405</v>
      </c>
      <c r="AB104" s="27" t="s">
        <v>696</v>
      </c>
      <c r="AC104" s="45" t="s">
        <v>580</v>
      </c>
    </row>
    <row r="105" spans="1:29" ht="6" customHeight="1" x14ac:dyDescent="0.25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679</v>
      </c>
      <c r="S105" s="45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27" t="s">
        <v>696</v>
      </c>
      <c r="AA105" s="27" t="s">
        <v>405</v>
      </c>
      <c r="AB105" s="27" t="s">
        <v>696</v>
      </c>
      <c r="AC105" s="45" t="s">
        <v>580</v>
      </c>
    </row>
    <row r="106" spans="1:29" ht="6" customHeight="1" x14ac:dyDescent="0.25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680</v>
      </c>
      <c r="S106" s="45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27" t="s">
        <v>696</v>
      </c>
      <c r="AA106" s="26" t="s">
        <v>408</v>
      </c>
      <c r="AB106" s="27" t="s">
        <v>696</v>
      </c>
      <c r="AC106" s="45" t="s">
        <v>580</v>
      </c>
    </row>
    <row r="107" spans="1:29" ht="6" customHeight="1" x14ac:dyDescent="0.25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681</v>
      </c>
      <c r="S107" s="45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27" t="s">
        <v>696</v>
      </c>
      <c r="AA107" s="26" t="s">
        <v>402</v>
      </c>
      <c r="AB107" s="27" t="s">
        <v>696</v>
      </c>
      <c r="AC107" s="45" t="s">
        <v>580</v>
      </c>
    </row>
    <row r="108" spans="1:29" ht="6" customHeight="1" x14ac:dyDescent="0.25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682</v>
      </c>
      <c r="S108" s="45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27" t="s">
        <v>696</v>
      </c>
      <c r="AA108" s="26" t="s">
        <v>409</v>
      </c>
      <c r="AB108" s="27" t="s">
        <v>696</v>
      </c>
      <c r="AC108" s="45" t="s">
        <v>580</v>
      </c>
    </row>
    <row r="109" spans="1:29" ht="6" customHeight="1" x14ac:dyDescent="0.25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683</v>
      </c>
      <c r="S109" s="45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27" t="s">
        <v>696</v>
      </c>
      <c r="AA109" s="27" t="s">
        <v>405</v>
      </c>
      <c r="AB109" s="27" t="s">
        <v>696</v>
      </c>
      <c r="AC109" s="45" t="s">
        <v>580</v>
      </c>
    </row>
    <row r="110" spans="1:29" ht="6" customHeight="1" x14ac:dyDescent="0.25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684</v>
      </c>
      <c r="S110" s="45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27" t="s">
        <v>696</v>
      </c>
      <c r="AA110" s="27" t="s">
        <v>405</v>
      </c>
      <c r="AB110" s="27" t="s">
        <v>696</v>
      </c>
      <c r="AC110" s="45" t="s">
        <v>580</v>
      </c>
    </row>
    <row r="111" spans="1:29" ht="6" customHeight="1" x14ac:dyDescent="0.25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685</v>
      </c>
      <c r="S111" s="45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27" t="s">
        <v>696</v>
      </c>
      <c r="AA111" s="27" t="s">
        <v>405</v>
      </c>
      <c r="AB111" s="27" t="s">
        <v>696</v>
      </c>
      <c r="AC111" s="45" t="s">
        <v>580</v>
      </c>
    </row>
    <row r="112" spans="1:29" ht="6" customHeight="1" x14ac:dyDescent="0.25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686</v>
      </c>
      <c r="S112" s="45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27" t="s">
        <v>696</v>
      </c>
      <c r="AA112" s="27" t="s">
        <v>405</v>
      </c>
      <c r="AB112" s="27" t="s">
        <v>696</v>
      </c>
      <c r="AC112" s="45" t="s">
        <v>580</v>
      </c>
    </row>
    <row r="113" spans="1:29" ht="6" customHeight="1" x14ac:dyDescent="0.25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687</v>
      </c>
      <c r="S113" s="45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27" t="s">
        <v>696</v>
      </c>
      <c r="AA113" s="27" t="s">
        <v>405</v>
      </c>
      <c r="AB113" s="27" t="s">
        <v>696</v>
      </c>
      <c r="AC113" s="45" t="s">
        <v>580</v>
      </c>
    </row>
    <row r="114" spans="1:29" s="46" customFormat="1" ht="6" customHeight="1" x14ac:dyDescent="0.25">
      <c r="A114" s="41">
        <v>114</v>
      </c>
      <c r="B114" s="1" t="s">
        <v>521</v>
      </c>
      <c r="C114" s="1" t="s">
        <v>527</v>
      </c>
      <c r="D114" s="1" t="s">
        <v>590</v>
      </c>
      <c r="E114" s="1" t="s">
        <v>591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688</v>
      </c>
      <c r="S114" s="45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27" t="s">
        <v>43</v>
      </c>
      <c r="X114" s="43" t="str">
        <f t="shared" si="30"/>
        <v>Key-CIRCU-114</v>
      </c>
      <c r="Y114" s="65" t="s">
        <v>583</v>
      </c>
      <c r="Z114" s="27" t="s">
        <v>696</v>
      </c>
      <c r="AA114" s="66" t="s">
        <v>584</v>
      </c>
      <c r="AB114" s="27" t="s">
        <v>696</v>
      </c>
      <c r="AC114" s="45" t="s">
        <v>9</v>
      </c>
    </row>
    <row r="115" spans="1:29" s="46" customFormat="1" ht="6" customHeight="1" x14ac:dyDescent="0.25">
      <c r="A115" s="41">
        <v>115</v>
      </c>
      <c r="B115" s="1" t="s">
        <v>521</v>
      </c>
      <c r="C115" s="1" t="s">
        <v>527</v>
      </c>
      <c r="D115" s="1" t="s">
        <v>590</v>
      </c>
      <c r="E115" s="1" t="s">
        <v>591</v>
      </c>
      <c r="F115" s="1" t="s">
        <v>585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586</v>
      </c>
      <c r="Q115" s="45" t="str">
        <f t="shared" ref="Q115:Q116" si="38">_xlfn.TRANSLATE(P115,"pt","es")</f>
        <v>Distribución - Bases del camino</v>
      </c>
      <c r="R115" s="27" t="s">
        <v>689</v>
      </c>
      <c r="S115" s="45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27" t="s">
        <v>43</v>
      </c>
      <c r="X115" s="43" t="str">
        <f t="shared" si="30"/>
        <v>Key-CIRCU-115</v>
      </c>
      <c r="Y115" s="65" t="s">
        <v>701</v>
      </c>
      <c r="Z115" s="27" t="s">
        <v>700</v>
      </c>
      <c r="AA115" s="66" t="s">
        <v>584</v>
      </c>
      <c r="AB115" s="27" t="s">
        <v>696</v>
      </c>
      <c r="AC115" s="45" t="s">
        <v>9</v>
      </c>
    </row>
    <row r="116" spans="1:29" s="46" customFormat="1" ht="6" customHeight="1" x14ac:dyDescent="0.25">
      <c r="A116" s="41">
        <v>116</v>
      </c>
      <c r="B116" s="1" t="s">
        <v>521</v>
      </c>
      <c r="C116" s="1" t="s">
        <v>527</v>
      </c>
      <c r="D116" s="1" t="s">
        <v>590</v>
      </c>
      <c r="E116" s="1" t="s">
        <v>591</v>
      </c>
      <c r="F116" s="1" t="s">
        <v>587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588</v>
      </c>
      <c r="Q116" s="45" t="str">
        <f t="shared" si="38"/>
        <v>Distribución - Bases de la tubería traídas</v>
      </c>
      <c r="R116" s="27" t="s">
        <v>690</v>
      </c>
      <c r="S116" s="45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27" t="s">
        <v>43</v>
      </c>
      <c r="X116" s="43" t="str">
        <f t="shared" si="30"/>
        <v>Key-CIRCU-116</v>
      </c>
      <c r="Y116" s="65" t="s">
        <v>589</v>
      </c>
      <c r="Z116" s="27" t="s">
        <v>696</v>
      </c>
      <c r="AA116" s="66" t="s">
        <v>584</v>
      </c>
      <c r="AB116" s="27" t="s">
        <v>696</v>
      </c>
      <c r="AC116" s="45" t="s">
        <v>9</v>
      </c>
    </row>
    <row r="117" spans="1:29" s="46" customFormat="1" ht="6.6" customHeight="1" x14ac:dyDescent="0.25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691</v>
      </c>
      <c r="S117" s="45" t="s">
        <v>9</v>
      </c>
      <c r="T117" s="45" t="str">
        <f t="shared" ref="T117:V121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27" t="s">
        <v>696</v>
      </c>
      <c r="AA117" s="26" t="s">
        <v>418</v>
      </c>
      <c r="AB117" s="27" t="s">
        <v>696</v>
      </c>
      <c r="AC117" s="45" t="s">
        <v>578</v>
      </c>
    </row>
    <row r="118" spans="1:29" s="46" customFormat="1" ht="6.6" customHeight="1" x14ac:dyDescent="0.25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692</v>
      </c>
      <c r="S118" s="45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27" t="s">
        <v>696</v>
      </c>
      <c r="AA118" s="26" t="s">
        <v>406</v>
      </c>
      <c r="AB118" s="27" t="s">
        <v>696</v>
      </c>
      <c r="AC118" s="45" t="s">
        <v>450</v>
      </c>
    </row>
    <row r="119" spans="1:29" s="46" customFormat="1" ht="6.6" customHeight="1" x14ac:dyDescent="0.25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693</v>
      </c>
      <c r="S119" s="45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27" t="s">
        <v>696</v>
      </c>
      <c r="AA119" s="26" t="s">
        <v>406</v>
      </c>
      <c r="AB119" s="27" t="s">
        <v>696</v>
      </c>
      <c r="AC119" s="45" t="s">
        <v>450</v>
      </c>
    </row>
    <row r="120" spans="1:29" s="46" customFormat="1" ht="6.6" customHeight="1" x14ac:dyDescent="0.25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694</v>
      </c>
      <c r="S120" s="45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27" t="s">
        <v>696</v>
      </c>
      <c r="AA120" s="26" t="s">
        <v>407</v>
      </c>
      <c r="AB120" s="27" t="s">
        <v>696</v>
      </c>
      <c r="AC120" s="45" t="s">
        <v>580</v>
      </c>
    </row>
    <row r="121" spans="1:29" s="69" customFormat="1" ht="6.75" customHeight="1" x14ac:dyDescent="0.2">
      <c r="A121" s="41">
        <v>121</v>
      </c>
      <c r="B121" s="1" t="s">
        <v>523</v>
      </c>
      <c r="C121" s="44" t="s">
        <v>702</v>
      </c>
      <c r="D121" s="44" t="s">
        <v>703</v>
      </c>
      <c r="E121" s="44" t="s">
        <v>704</v>
      </c>
      <c r="F121" s="44" t="s">
        <v>705</v>
      </c>
      <c r="G121" s="67" t="s">
        <v>9</v>
      </c>
      <c r="H121" s="67" t="s">
        <v>9</v>
      </c>
      <c r="I121" s="67" t="s">
        <v>9</v>
      </c>
      <c r="J121" s="67" t="s">
        <v>9</v>
      </c>
      <c r="K121" s="67" t="s">
        <v>9</v>
      </c>
      <c r="L121" s="32" t="str">
        <f t="shared" ref="L121:O121" si="41">SUBSTITUTE(CONCATENATE("", C121), ".", " ")</f>
        <v>De API</v>
      </c>
      <c r="M121" s="32" t="str">
        <f t="shared" si="41"/>
        <v>Métodos</v>
      </c>
      <c r="N121" s="32" t="str">
        <f t="shared" si="41"/>
        <v>Macros</v>
      </c>
      <c r="O121" s="32" t="str">
        <f t="shared" si="41"/>
        <v>API Revit</v>
      </c>
      <c r="P121" s="27" t="s">
        <v>706</v>
      </c>
      <c r="Q121" s="27" t="s">
        <v>707</v>
      </c>
      <c r="R121" s="27" t="s">
        <v>708</v>
      </c>
      <c r="S121" s="27" t="s">
        <v>9</v>
      </c>
      <c r="T121" s="27" t="str">
        <f t="shared" si="40"/>
        <v>De API</v>
      </c>
      <c r="U121" s="27" t="str">
        <f t="shared" si="40"/>
        <v>Métodos</v>
      </c>
      <c r="V121" s="45" t="str">
        <f t="shared" si="40"/>
        <v>Macros</v>
      </c>
      <c r="W121" s="27" t="s">
        <v>43</v>
      </c>
      <c r="X121" s="43" t="str">
        <f t="shared" si="30"/>
        <v>Key-CIRCU-121</v>
      </c>
      <c r="Y121" s="68" t="s">
        <v>9</v>
      </c>
      <c r="Z121" s="68" t="s">
        <v>9</v>
      </c>
      <c r="AA121" s="68" t="s">
        <v>9</v>
      </c>
      <c r="AB121" s="68" t="s">
        <v>9</v>
      </c>
      <c r="AC121" s="68" t="s">
        <v>9</v>
      </c>
    </row>
  </sheetData>
  <sortState xmlns:xlrd2="http://schemas.microsoft.com/office/spreadsheetml/2017/richdata2" ref="A3:AC120">
    <sortCondition ref="E1:E120"/>
  </sortState>
  <conditionalFormatting sqref="B2:E2 P2:Q4 W2:W4">
    <cfRule type="cellIs" dxfId="24" priority="12" operator="equal">
      <formula>"null"</formula>
    </cfRule>
  </conditionalFormatting>
  <conditionalFormatting sqref="C3:E3 D4:E4">
    <cfRule type="cellIs" dxfId="23" priority="57" operator="equal">
      <formula>"null"</formula>
    </cfRule>
  </conditionalFormatting>
  <conditionalFormatting sqref="D11:D47 E11:E53">
    <cfRule type="cellIs" dxfId="22" priority="87" operator="equal">
      <formula>"null"</formula>
    </cfRule>
  </conditionalFormatting>
  <conditionalFormatting sqref="D6:E10">
    <cfRule type="cellIs" dxfId="21" priority="55" operator="equal">
      <formula>"null"</formula>
    </cfRule>
  </conditionalFormatting>
  <conditionalFormatting sqref="D68:E116">
    <cfRule type="cellIs" dxfId="20" priority="15" operator="equal">
      <formula>"null"</formula>
    </cfRule>
  </conditionalFormatting>
  <conditionalFormatting sqref="E62:E67 D65:D67">
    <cfRule type="cellIs" dxfId="19" priority="60" operator="equal">
      <formula>"null"</formula>
    </cfRule>
  </conditionalFormatting>
  <conditionalFormatting sqref="F114:F116">
    <cfRule type="duplicateValues" dxfId="18" priority="13"/>
  </conditionalFormatting>
  <conditionalFormatting sqref="F117:F120 F1:F113 F122:F1048576">
    <cfRule type="duplicateValues" dxfId="17" priority="23"/>
  </conditionalFormatting>
  <conditionalFormatting sqref="L117:Q120 T117:V120">
    <cfRule type="cellIs" dxfId="16" priority="29" operator="equal">
      <formula>"null"</formula>
    </cfRule>
  </conditionalFormatting>
  <conditionalFormatting sqref="P7:Q8 AA7:AA8">
    <cfRule type="cellIs" dxfId="15" priority="135" operator="equal">
      <formula>"null"</formula>
    </cfRule>
  </conditionalFormatting>
  <conditionalFormatting sqref="R1:R120">
    <cfRule type="cellIs" dxfId="14" priority="8" operator="equal">
      <formula>"null"</formula>
    </cfRule>
  </conditionalFormatting>
  <conditionalFormatting sqref="AA117">
    <cfRule type="cellIs" dxfId="13" priority="21" operator="equal">
      <formula>"null"</formula>
    </cfRule>
  </conditionalFormatting>
  <conditionalFormatting sqref="AA119:AA120">
    <cfRule type="cellIs" dxfId="12" priority="18" operator="equal">
      <formula>"null"</formula>
    </cfRule>
  </conditionalFormatting>
  <conditionalFormatting sqref="AC1">
    <cfRule type="cellIs" dxfId="11" priority="134" operator="equal">
      <formula>"null"</formula>
    </cfRule>
  </conditionalFormatting>
  <conditionalFormatting sqref="AD2:XFD4 AA3:AA4 AC3:AC4 B3:B113 C4:C113 AD7:XFD8 P15:Q113 AA15:AA113 AD15:XFD113 D48:E64 B114:C116 B117:E120 AD117:XFD120 A2:A121 W6:W121">
    <cfRule type="cellIs" dxfId="0" priority="28" operator="equal">
      <formula>"null"</formula>
    </cfRule>
  </conditionalFormatting>
  <conditionalFormatting sqref="B121">
    <cfRule type="cellIs" dxfId="3" priority="2" operator="equal">
      <formula>"null"</formula>
    </cfRule>
  </conditionalFormatting>
  <conditionalFormatting sqref="F121">
    <cfRule type="duplicateValues" dxfId="2" priority="3"/>
  </conditionalFormatting>
  <conditionalFormatting sqref="R12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9" priority="5" operator="containsText" text="null">
      <formula>NOT(ISERROR(SEARCH("null",A1)))</formula>
    </cfRule>
  </conditionalFormatting>
  <conditionalFormatting sqref="B2">
    <cfRule type="duplicateValues" dxfId="8" priority="754"/>
    <cfRule type="duplicateValues" dxfId="7" priority="755"/>
  </conditionalFormatting>
  <conditionalFormatting sqref="B3:B1048576 A1:B1">
    <cfRule type="duplicateValues" dxfId="6" priority="6"/>
  </conditionalFormatting>
  <conditionalFormatting sqref="B3:B1048576 B1">
    <cfRule type="duplicateValues" dxfId="5" priority="4"/>
  </conditionalFormatting>
  <conditionalFormatting sqref="B2:G2">
    <cfRule type="containsText" dxfId="4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opLeftCell="S1"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2" customWidth="1"/>
    <col min="26" max="26" width="6.85546875" customWidth="1"/>
    <col min="27" max="27" width="3.42578125" style="42" bestFit="1" customWidth="1"/>
    <col min="28" max="28" width="6.85546875" customWidth="1"/>
    <col min="29" max="29" width="3.140625" style="42" customWidth="1"/>
    <col min="30" max="30" width="5.5703125" customWidth="1"/>
    <col min="31" max="31" width="3" style="42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8.25" x14ac:dyDescent="0.15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8.25" x14ac:dyDescent="0.15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8.25" x14ac:dyDescent="0.15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8.25" x14ac:dyDescent="0.15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8.25" x14ac:dyDescent="0.15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8.25" x14ac:dyDescent="0.15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8.25" x14ac:dyDescent="0.15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8.25" x14ac:dyDescent="0.15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8.25" x14ac:dyDescent="0.15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2026-08-24T17:10:41Z</dcterms:modified>
  <dc:language>pt-BR</dc:language>
</cp:coreProperties>
</file>