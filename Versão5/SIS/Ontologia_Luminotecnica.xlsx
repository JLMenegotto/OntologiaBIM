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SIS\"/>
    </mc:Choice>
  </mc:AlternateContent>
  <xr:revisionPtr revIDLastSave="0" documentId="13_ncr:1_{8A7587C2-B9F4-4CA2-AB7A-994B26D1FEFB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7" l="1"/>
  <c r="X3" i="17"/>
  <c r="X4" i="17"/>
  <c r="X5" i="17"/>
  <c r="X6" i="17"/>
  <c r="V6" i="17"/>
  <c r="U6" i="17"/>
  <c r="T6" i="17"/>
  <c r="O6" i="17"/>
  <c r="N6" i="17"/>
  <c r="M6" i="17"/>
  <c r="L6" i="17"/>
  <c r="V5" i="17"/>
  <c r="U5" i="17"/>
  <c r="T5" i="17"/>
  <c r="O5" i="17"/>
  <c r="N5" i="17"/>
  <c r="M5" i="17"/>
  <c r="L5" i="17"/>
  <c r="V4" i="17"/>
  <c r="U4" i="17"/>
  <c r="T4" i="17"/>
  <c r="O4" i="17"/>
  <c r="N4" i="17"/>
  <c r="M4" i="17"/>
  <c r="L4" i="17"/>
  <c r="V3" i="17"/>
  <c r="U3" i="17"/>
  <c r="T3" i="17"/>
  <c r="O3" i="17"/>
  <c r="N3" i="17"/>
  <c r="M3" i="17"/>
  <c r="L3" i="17"/>
  <c r="V2" i="17"/>
  <c r="U2" i="17"/>
  <c r="T2" i="17"/>
  <c r="O2" i="17"/>
  <c r="N2" i="17"/>
  <c r="M2" i="17"/>
  <c r="L2" i="17"/>
  <c r="X35" i="17" l="1"/>
  <c r="X36" i="17"/>
  <c r="X37" i="17"/>
  <c r="X38" i="17"/>
  <c r="X39" i="17"/>
  <c r="X40" i="17"/>
  <c r="V40" i="17"/>
  <c r="U40" i="17"/>
  <c r="T40" i="17"/>
  <c r="O40" i="17"/>
  <c r="N40" i="17"/>
  <c r="M40" i="17"/>
  <c r="L40" i="17"/>
  <c r="V39" i="17"/>
  <c r="U39" i="17"/>
  <c r="T39" i="17"/>
  <c r="O39" i="17"/>
  <c r="N39" i="17"/>
  <c r="M39" i="17"/>
  <c r="L39" i="17"/>
  <c r="V38" i="17"/>
  <c r="U38" i="17"/>
  <c r="T38" i="17"/>
  <c r="O38" i="17"/>
  <c r="N38" i="17"/>
  <c r="M38" i="17"/>
  <c r="L38" i="17"/>
  <c r="V37" i="17"/>
  <c r="U37" i="17"/>
  <c r="T37" i="17"/>
  <c r="O37" i="17"/>
  <c r="N37" i="17"/>
  <c r="M37" i="17"/>
  <c r="L37" i="17"/>
  <c r="V36" i="17"/>
  <c r="U36" i="17"/>
  <c r="T36" i="17"/>
  <c r="O36" i="17"/>
  <c r="N36" i="17"/>
  <c r="M36" i="17"/>
  <c r="L36" i="17"/>
  <c r="X7" i="17" l="1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V8" i="17" l="1"/>
  <c r="U8" i="17"/>
  <c r="O8" i="17"/>
  <c r="N8" i="17"/>
  <c r="M8" i="17"/>
  <c r="L8" i="17"/>
  <c r="V7" i="17"/>
  <c r="U7" i="17"/>
  <c r="O7" i="17"/>
  <c r="N7" i="17"/>
  <c r="M7" i="17"/>
  <c r="L7" i="17"/>
  <c r="O16" i="17" l="1"/>
  <c r="N16" i="17"/>
  <c r="M16" i="17"/>
  <c r="L16" i="17"/>
  <c r="O24" i="17"/>
  <c r="N24" i="17"/>
  <c r="M24" i="17"/>
  <c r="L24" i="17"/>
  <c r="O32" i="17" l="1"/>
  <c r="N32" i="17"/>
  <c r="M32" i="17"/>
  <c r="L32" i="17"/>
  <c r="O9" i="17"/>
  <c r="O10" i="17"/>
  <c r="O11" i="17"/>
  <c r="O12" i="17"/>
  <c r="O13" i="17"/>
  <c r="O14" i="17"/>
  <c r="O15" i="17"/>
  <c r="O17" i="17"/>
  <c r="O18" i="17"/>
  <c r="O19" i="17"/>
  <c r="O20" i="17"/>
  <c r="O21" i="17"/>
  <c r="O22" i="17"/>
  <c r="O23" i="17"/>
  <c r="O25" i="17"/>
  <c r="O26" i="17"/>
  <c r="O27" i="17"/>
  <c r="O28" i="17"/>
  <c r="O29" i="17"/>
  <c r="O30" i="17"/>
  <c r="O31" i="17"/>
  <c r="O33" i="17"/>
  <c r="O34" i="17"/>
  <c r="O35" i="17"/>
  <c r="N35" i="17" l="1"/>
  <c r="M35" i="17"/>
  <c r="L35" i="17"/>
  <c r="N34" i="17"/>
  <c r="M34" i="17"/>
  <c r="L34" i="17"/>
  <c r="N33" i="17"/>
  <c r="M33" i="17"/>
  <c r="L33" i="17"/>
  <c r="N18" i="17" l="1"/>
  <c r="M18" i="17"/>
  <c r="L18" i="17"/>
  <c r="L29" i="17"/>
  <c r="M29" i="17"/>
  <c r="N29" i="17"/>
  <c r="L12" i="17"/>
  <c r="M12" i="17"/>
  <c r="N12" i="17"/>
  <c r="L9" i="17"/>
  <c r="M9" i="17"/>
  <c r="N9" i="17"/>
  <c r="L13" i="17"/>
  <c r="M13" i="17"/>
  <c r="N13" i="17"/>
  <c r="L10" i="17"/>
  <c r="M10" i="17"/>
  <c r="N10" i="17"/>
  <c r="L14" i="17"/>
  <c r="M14" i="17"/>
  <c r="N14" i="17"/>
  <c r="L15" i="17"/>
  <c r="M15" i="17"/>
  <c r="N15" i="17"/>
  <c r="L21" i="17"/>
  <c r="M21" i="17"/>
  <c r="N21" i="17"/>
  <c r="L20" i="17"/>
  <c r="M20" i="17"/>
  <c r="N20" i="17"/>
  <c r="L25" i="17"/>
  <c r="M25" i="17"/>
  <c r="N25" i="17"/>
  <c r="L26" i="17"/>
  <c r="M26" i="17"/>
  <c r="N26" i="17"/>
  <c r="L19" i="17"/>
  <c r="M19" i="17"/>
  <c r="N19" i="17"/>
  <c r="L23" i="17"/>
  <c r="M23" i="17"/>
  <c r="N23" i="17"/>
  <c r="L27" i="17"/>
  <c r="M27" i="17"/>
  <c r="N27" i="17"/>
  <c r="L28" i="17"/>
  <c r="M28" i="17"/>
  <c r="N28" i="17"/>
  <c r="L30" i="17"/>
  <c r="M30" i="17"/>
  <c r="N30" i="17"/>
  <c r="L31" i="17"/>
  <c r="M31" i="17"/>
  <c r="N31" i="17"/>
  <c r="L17" i="17"/>
  <c r="M17" i="17"/>
  <c r="N17" i="17"/>
  <c r="L22" i="17"/>
  <c r="M22" i="17"/>
  <c r="N22" i="17"/>
  <c r="N11" i="17"/>
  <c r="M11" i="17"/>
  <c r="L11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<sst xmlns="http://schemas.openxmlformats.org/spreadsheetml/2006/main" count="1326" uniqueCount="329">
  <si>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</si>
  <si>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</si>
  <si>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</si>
  <si>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</si>
  <si>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</si>
  <si>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</si>
  <si>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</si>
  <si>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</si>
  <si>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</si>
  <si>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</si>
  <si>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</si>
  <si>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</si>
  <si>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</si>
  <si>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</si>
  <si>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</si>
  <si>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</si>
  <si>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</si>
  <si>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</si>
  <si>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</si>
  <si>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</si>
  <si>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</si>
  <si>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</si>
  <si>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</si>
  <si>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</si>
  <si>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</si>
  <si>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</si>
  <si>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</si>
  <si>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</si>
  <si>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</si>
  <si>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</si>
  <si>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</si>
  <si>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</si>
  <si>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</si>
  <si>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</si>
  <si>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</si>
  <si>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</si>
  <si>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</si>
  <si>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</si>
  <si>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</si>
  <si>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</si>
  <si>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</si>
  <si>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</si>
  <si>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</si>
  <si>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</si>
  <si>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Luminotécnica</t>
  </si>
  <si>
    <t>Luminária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</si>
  <si>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</si>
  <si>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</si>
  <si>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</si>
  <si>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</si>
  <si>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</si>
  <si>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</si>
  <si>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</si>
  <si>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</si>
  <si>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</si>
  <si>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</si>
  <si>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</si>
  <si>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</si>
  <si>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</si>
  <si>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</si>
  <si>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</si>
  <si>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</si>
  <si>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</si>
  <si>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</si>
  <si>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</si>
  <si>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</si>
  <si>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</si>
  <si>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</si>
  <si>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</si>
  <si>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</si>
  <si>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</si>
  <si>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</si>
  <si>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</si>
  <si>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</si>
  <si>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</si>
  <si>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</si>
  <si>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</si>
  <si>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</si>
  <si>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</si>
  <si>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</si>
  <si>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</si>
  <si>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</si>
  <si>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</si>
  <si>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</si>
  <si>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</si>
  <si>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</si>
  <si>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</si>
  <si>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</si>
  <si>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</si>
  <si>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</si>
  <si>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</si>
  <si>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</si>
  <si>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</si>
  <si>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Objetos de Iluminação</t>
  </si>
  <si>
    <t>Luz.Arandela</t>
  </si>
  <si>
    <t>Luz.Baliza</t>
  </si>
  <si>
    <t>Luz.Aletas</t>
  </si>
  <si>
    <t>Luz.Difusa</t>
  </si>
  <si>
    <t xml:space="preserve">Luz.Antiofuscamento </t>
  </si>
  <si>
    <t>Luz.Embutida.Fixa</t>
  </si>
  <si>
    <t>Luz.Embutida.Orientável</t>
  </si>
  <si>
    <t>Luz.Hermética</t>
  </si>
  <si>
    <t>Luz.Grande.Altura</t>
  </si>
  <si>
    <t>Luz.Linear</t>
  </si>
  <si>
    <t>Luz.Painel</t>
  </si>
  <si>
    <t>Luz.Gôndola</t>
  </si>
  <si>
    <t>Luz.Pendente</t>
  </si>
  <si>
    <t>Luz.Plafon</t>
  </si>
  <si>
    <t>Luz.Spot</t>
  </si>
  <si>
    <t>Luz.Externa</t>
  </si>
  <si>
    <t>Luz.Feixe.Amplo</t>
  </si>
  <si>
    <t>Luz.Trilho</t>
  </si>
  <si>
    <t>Luz.LEDTubular</t>
  </si>
  <si>
    <t>Luz.LEDFita</t>
  </si>
  <si>
    <t>Luminária de Aletas</t>
  </si>
  <si>
    <t xml:space="preserve">Luminária de Antiofuscamento </t>
  </si>
  <si>
    <t>Luminária Arandela</t>
  </si>
  <si>
    <t>Luminária Balizadora</t>
  </si>
  <si>
    <t>Luminária de Luz Difusa</t>
  </si>
  <si>
    <t>Luminária Embutida Fixa</t>
  </si>
  <si>
    <t>Luminária Embutida Orientável</t>
  </si>
  <si>
    <t>Luminária de Paredes de Feixe Amplo tipo Wall Washer</t>
  </si>
  <si>
    <t>Luminária de Gôndolas</t>
  </si>
  <si>
    <t>Luminária de Grandes Alturas tipo High Bay</t>
  </si>
  <si>
    <t>Luminária Hermética</t>
  </si>
  <si>
    <t>Luminária de LEDFita</t>
  </si>
  <si>
    <t>Luminária de LEDTubular</t>
  </si>
  <si>
    <t>Luminária de Linear</t>
  </si>
  <si>
    <t>Luminária de Painel</t>
  </si>
  <si>
    <t>Luminária Pendente</t>
  </si>
  <si>
    <t>Luminária de Plafon</t>
  </si>
  <si>
    <t>Luminária de Automação com Sensor</t>
  </si>
  <si>
    <t>Luminária de Spot</t>
  </si>
  <si>
    <t>Luminária de Trilho</t>
  </si>
  <si>
    <t>Luminaria Empotrada Fija</t>
  </si>
  <si>
    <t>Luminaria Empotrada Ajustable</t>
  </si>
  <si>
    <t>Luminaria de LED Tubular</t>
  </si>
  <si>
    <t>Luminaria de LED Cinta</t>
  </si>
  <si>
    <t>Luminaria Lineal</t>
  </si>
  <si>
    <t>Luminaria Panel</t>
  </si>
  <si>
    <t>Luminaria colgante</t>
  </si>
  <si>
    <t>Luminaria Plafón</t>
  </si>
  <si>
    <t>Luminaria de automatización con Sensor</t>
  </si>
  <si>
    <t>Luminaria de Foco</t>
  </si>
  <si>
    <t>Luminaire de Pista</t>
  </si>
  <si>
    <t>Luminaria Hermética</t>
  </si>
  <si>
    <t>Luminaria de Pared</t>
  </si>
  <si>
    <t>Luminaria de Baliza</t>
  </si>
  <si>
    <t>Luminaria de Aletas</t>
  </si>
  <si>
    <t>Luminaria Antirreflejo</t>
  </si>
  <si>
    <t>Luminaria de Luz Difusa</t>
  </si>
  <si>
    <t>Luminaria de Pared de Haz Ancho tipo Wall Washer</t>
  </si>
  <si>
    <t>Luminaria de Góndola</t>
  </si>
  <si>
    <t>Luminaria de Altura tipo High Bay</t>
  </si>
  <si>
    <t>0</t>
  </si>
  <si>
    <t>Anotações 
de ajuda
Classe 1</t>
  </si>
  <si>
    <t>Interop</t>
  </si>
  <si>
    <t>Fin Luminaire</t>
  </si>
  <si>
    <t>Anti-glare luminaire</t>
  </si>
  <si>
    <t>Wall Luminaire</t>
  </si>
  <si>
    <t>Beacon Luminaire</t>
  </si>
  <si>
    <t>Diffused Light Luminaire</t>
  </si>
  <si>
    <t>Fixed recessed luminaire</t>
  </si>
  <si>
    <t>Adjustable recessed luminaire</t>
  </si>
  <si>
    <t>Gondola Luminaire</t>
  </si>
  <si>
    <t>High Bay Type Luminaire</t>
  </si>
  <si>
    <t>Hermetic Luminaire</t>
  </si>
  <si>
    <t>LED Lamp Tape</t>
  </si>
  <si>
    <t>Tubular LED Luminaire</t>
  </si>
  <si>
    <t>Linear Luminaire</t>
  </si>
  <si>
    <t>Panel Luminaire</t>
  </si>
  <si>
    <t>Ceiling Light Fixture</t>
  </si>
  <si>
    <t>Automation luminaire with sensor</t>
  </si>
  <si>
    <t>Spotlight Luminaire</t>
  </si>
  <si>
    <t>Track Luminaire</t>
  </si>
  <si>
    <t>Wide Beam Wall Washer Luminaire</t>
  </si>
  <si>
    <t>Pendant Luminaire</t>
  </si>
  <si>
    <t>CTI_Projeto_01</t>
  </si>
  <si>
    <t>"Lumicenter Lighting"</t>
  </si>
  <si>
    <t>"Indivíduo Luminária arandela, ideal para criar efeitos de luz decorativos em ambientes residenciais, hotéis, bares e restaurantes."</t>
  </si>
  <si>
    <t>"Indivíduo Luminária Balizadora LED de embutir com IP65. Ideal para criar efeitos de luz e demarcar caminhos, escadas, corredores, muros e fachadas."</t>
  </si>
  <si>
    <t>"A Escada de acesso"</t>
  </si>
  <si>
    <t>"A Sala de recepção"</t>
  </si>
  <si>
    <t>[ 3E.28.02 ]</t>
  </si>
  <si>
    <t>Iluminação</t>
  </si>
  <si>
    <t>Análise</t>
  </si>
  <si>
    <t>Ponto.Iluminado</t>
  </si>
  <si>
    <t>Linha.Iluminada</t>
  </si>
  <si>
    <t>Area.Iluminada</t>
  </si>
  <si>
    <t>Ponto de iluminação analizado</t>
  </si>
  <si>
    <t>Área de iluminação analizada</t>
  </si>
  <si>
    <t>Punto de iluminación analizado</t>
  </si>
  <si>
    <t>Faja de iluminación analizada</t>
  </si>
  <si>
    <t>Faixa de iluminação analizada</t>
  </si>
  <si>
    <t>Área de iluminación analizada</t>
  </si>
  <si>
    <t>Analitical Point of Light</t>
  </si>
  <si>
    <t>Analitical Track of Light</t>
  </si>
  <si>
    <t>Analitical Area of Light</t>
  </si>
  <si>
    <t>código.abnt</t>
  </si>
  <si>
    <t>"[ 3E.28.02 ]"</t>
  </si>
  <si>
    <t>"Nome da empresa vendedora do produto."</t>
  </si>
  <si>
    <t>Objetos_de_Luminotécnica</t>
  </si>
  <si>
    <t>Formalizar elementos do projeto BIM. Objetos específicos de Luminotécnica</t>
  </si>
  <si>
    <t>Formalizar elementos de proyecto BIM. Objetos específicos de Iluminación</t>
  </si>
  <si>
    <t>classe.ifc</t>
  </si>
  <si>
    <t>categoria.revit</t>
  </si>
  <si>
    <t>Sistema Eléctrico de Iluminación</t>
  </si>
  <si>
    <t>Sistema Elétrico de Iluminação</t>
  </si>
  <si>
    <t>[ OST_SwitchSystem ]</t>
  </si>
  <si>
    <t>[ IfcDistributionSystemLIGHTING ]</t>
  </si>
  <si>
    <t>Acessórios.de.Iluminação</t>
  </si>
  <si>
    <t>Sis_Luz_01</t>
  </si>
  <si>
    <t>Sis_Luz_02</t>
  </si>
  <si>
    <t>é.pertencente.a</t>
  </si>
  <si>
    <t>"Indivíduo de Iluminação que representa a luz de uma Escada do projeto"</t>
  </si>
  <si>
    <t>"Indivíduo de Iluminação que representa a luz de uma Sala do projeto"</t>
  </si>
  <si>
    <t>"Indivíduo de Sistema de Iluminação usado no Projeto"</t>
  </si>
  <si>
    <t>modelo</t>
  </si>
  <si>
    <t>"AR93-S"</t>
  </si>
  <si>
    <t>"BZ48-E"</t>
  </si>
  <si>
    <t>Lumi_Escada</t>
  </si>
  <si>
    <t>Lumi_Sala_A</t>
  </si>
  <si>
    <t>Lum_333324</t>
  </si>
  <si>
    <t>Lum_333325</t>
  </si>
  <si>
    <t>Lum_333326</t>
  </si>
  <si>
    <t>Lum_333327</t>
  </si>
  <si>
    <t>Lum_111233</t>
  </si>
  <si>
    <t>Lum_111234</t>
  </si>
  <si>
    <t>Lum_111235</t>
  </si>
  <si>
    <t>Lum_111236</t>
  </si>
  <si>
    <t>"Circuito de iluminação 1"</t>
  </si>
  <si>
    <t>"Circuito de iluminação 2"</t>
  </si>
  <si>
    <t>[ IfcDiscreteAccessory ]</t>
  </si>
  <si>
    <t>Elemento.Iluminação</t>
  </si>
  <si>
    <t>Analítico.de.Luz</t>
  </si>
  <si>
    <t>Acessórios de Luminitécnica</t>
  </si>
  <si>
    <t>Accesorio de Luminitécnica</t>
  </si>
  <si>
    <t>Instalações</t>
  </si>
  <si>
    <t>Luminárias</t>
  </si>
  <si>
    <t>[ OST_LightingFixtures ]</t>
  </si>
  <si>
    <t>Acessório.Luz</t>
  </si>
  <si>
    <t>Luz.TuboFluorescente</t>
  </si>
  <si>
    <t>Luminária de Tubular Fluorescente</t>
  </si>
  <si>
    <t>Luminaria Tubular Fluorescente</t>
  </si>
  <si>
    <t>Tubular Fluorescent Light</t>
  </si>
  <si>
    <t>Luminaire Accessory Fixture</t>
  </si>
  <si>
    <t>Luz.Sensorizada</t>
  </si>
  <si>
    <t>Luz.Externa.Urbana</t>
  </si>
  <si>
    <t>Luminaria de Exteriores Urbanos como postes de luz en calles y avenidas</t>
  </si>
  <si>
    <t>Luminária de Exteriores Urbanos como postes de luz em ruas e avenidas</t>
  </si>
  <si>
    <t>Outdoor Urban Luminaire</t>
  </si>
  <si>
    <t>Outdoor Garden Luminaire</t>
  </si>
  <si>
    <t>Luminária de Exteriores Domésticos como pátios e jardins</t>
  </si>
  <si>
    <t>Luminaria de Exteriores Domésticos como patios y jardines</t>
  </si>
  <si>
    <t>Circuito.Luz.Geral</t>
  </si>
  <si>
    <t>Circuito.Luz.Emergência</t>
  </si>
  <si>
    <t>Sistemas.Elétricos</t>
  </si>
  <si>
    <t>Sistemas.de.Iluminação</t>
  </si>
  <si>
    <t>Eletrotécnica</t>
  </si>
  <si>
    <t>[ 3E.26 ]</t>
  </si>
  <si>
    <t>quem.fabricou</t>
  </si>
  <si>
    <t>quem.forneceu</t>
  </si>
  <si>
    <t>Conceitos</t>
  </si>
  <si>
    <t>LuminoTécnicos</t>
  </si>
  <si>
    <t>[ IfcLamp : IfcLightFixture ]</t>
  </si>
  <si>
    <t>[ IfcLamp : IfcLampLED ]</t>
  </si>
  <si>
    <t>[ IfcLamp : IfcLightFixturePOINTSOURCE ]</t>
  </si>
  <si>
    <t>"Informações contidas no Projeto de Luminotécnica"</t>
  </si>
  <si>
    <t>"[ IfcDistributionSystemLIGHTING ]"</t>
  </si>
  <si>
    <t>"[ IfcLamp ]"</t>
  </si>
  <si>
    <t>"[ OST_SwitchSystem ]"</t>
  </si>
  <si>
    <t>"[ OST_LightingDevices ]"</t>
  </si>
  <si>
    <t>Electrical Lighting System</t>
  </si>
  <si>
    <t>Classe IFC</t>
  </si>
  <si>
    <t>Atributo IFC</t>
  </si>
  <si>
    <t>Parâmetro Rvt</t>
  </si>
  <si>
    <t>Categoria Rvt</t>
  </si>
  <si>
    <t>Projeto</t>
  </si>
  <si>
    <t>De.API</t>
  </si>
  <si>
    <t>Métodos</t>
  </si>
  <si>
    <t>Macros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</si>
  <si>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</si>
  <si>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</si>
  <si>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</si>
  <si>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</si>
  <si>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</si>
  <si>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</si>
  <si>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</si>
  <si>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</si>
  <si>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</si>
  <si>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</si>
  <si>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</si>
  <si>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</si>
  <si>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</si>
  <si>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</si>
  <si>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</si>
  <si>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</si>
  <si>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Códigos.Visuais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</si>
  <si>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</si>
  <si>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</si>
  <si>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</si>
  <si>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</si>
  <si>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</si>
  <si>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De.Materialidade</t>
  </si>
  <si>
    <t>Materialidades</t>
  </si>
  <si>
    <t>Materiais</t>
  </si>
  <si>
    <t>Mat.Cabo.de.Elétrica</t>
  </si>
  <si>
    <t>Material usado em Cabo de Elétrica</t>
  </si>
  <si>
    <t>Material utilizado en cables eléctricos</t>
  </si>
  <si>
    <t>Material used in electrical cables</t>
  </si>
  <si>
    <t>[ OST_Materials : OST_WireMaterials ]</t>
  </si>
  <si>
    <t>[ IfcMaterial ]</t>
  </si>
  <si>
    <t>[ 0M.20.20 ]</t>
  </si>
  <si>
    <t>Mat.Calha.de.Elétrica</t>
  </si>
  <si>
    <t>Material usado em Calha de Elétrica</t>
  </si>
  <si>
    <t>Material utilizado en canaletas eléctricas</t>
  </si>
  <si>
    <t>Material used in electrical gutters</t>
  </si>
  <si>
    <t>Mat.Canaleta.de.Elétrica</t>
  </si>
  <si>
    <t>Material usado em Canaleta de Elétrica</t>
  </si>
  <si>
    <t>Material utilizado en conductos eléctricos</t>
  </si>
  <si>
    <t>Material used in electrical conduits</t>
  </si>
  <si>
    <t>Mat.Eletroduto.Flexível</t>
  </si>
  <si>
    <t>Material usado em Eletroduto Flexível</t>
  </si>
  <si>
    <t>Material utilizado en conductos eléctricos flexibles</t>
  </si>
  <si>
    <t>Material used in flexible electrical conduits</t>
  </si>
  <si>
    <t>Mat.Eletroduto.Rígido</t>
  </si>
  <si>
    <t>Material usado em Eletroduto Rígido</t>
  </si>
  <si>
    <t>Material utilizado en conductos eléctricos rígidos</t>
  </si>
  <si>
    <t>Material used in rigid electrical conduits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</si>
</sst>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4" fillId="19" borderId="4" xfId="0" applyFont="1" applyFill="1" applyBorder="1" applyAlignment="1">
      <alignment vertical="center"/>
    </xf>
    <xf numFmtId="0" fontId="2" fillId="17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2" fillId="23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8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16" borderId="4" xfId="0" applyFont="1" applyFill="1" applyBorder="1" applyAlignment="1">
      <alignment vertical="center"/>
    </xf>
    <xf numFmtId="0" fontId="4" fillId="24" borderId="4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2" fillId="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/>
    </xf>
  </cellXfs>
  <cellStyles count="1">
    <cellStyle name="Normal" xfId="0" builtinId="0"/>
  </cellStyles>
  <dxfs count="28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6" sqref="B6"/>
    </sheetView>
  </sheetViews>
  <sheetFormatPr defaultColWidth="9.15234375" defaultRowHeight="9.75" customHeight="1" x14ac:dyDescent="0.4"/>
  <cols>
    <col min="1" max="1" width="8.69140625" customWidth="1"/>
    <col min="2" max="2" width="33.69140625" customWidth="1"/>
    <col min="3" max="3" width="3.3828125" style="42" bestFit="1" customWidth="1"/>
  </cols>
  <sheetData>
    <row r="1" spans="1:3" ht="20.25" customHeight="1" x14ac:dyDescent="0.4">
      <c r="A1" s="12" t="s">
        <v>46</v>
      </c>
      <c r="B1" s="12" t="s">
        <v>47</v>
      </c>
      <c r="C1" s="40" t="s">
        <v>89</v>
      </c>
    </row>
    <row r="2" spans="1:3" ht="9" customHeight="1" x14ac:dyDescent="0.4">
      <c r="A2" s="13" t="s">
        <v>48</v>
      </c>
      <c r="B2" s="13" t="s">
        <v>49</v>
      </c>
      <c r="C2" s="41" t="s">
        <v>90</v>
      </c>
    </row>
    <row r="3" spans="1:3" ht="9" customHeight="1" x14ac:dyDescent="0.4">
      <c r="A3" s="13" t="s">
        <v>50</v>
      </c>
      <c r="B3" s="13" t="s">
        <v>201</v>
      </c>
      <c r="C3" s="41" t="s">
        <v>90</v>
      </c>
    </row>
    <row r="4" spans="1:3" ht="9" customHeight="1" x14ac:dyDescent="0.4">
      <c r="A4" s="14" t="s">
        <v>51</v>
      </c>
      <c r="B4" s="14" t="s">
        <v>32</v>
      </c>
      <c r="C4" s="41" t="s">
        <v>90</v>
      </c>
    </row>
    <row r="5" spans="1:3" ht="9" customHeight="1" x14ac:dyDescent="0.4">
      <c r="A5" s="14" t="s">
        <v>52</v>
      </c>
      <c r="B5" s="14" t="str">
        <f>_xlfn.CONCAT(B4,"Prop")</f>
        <v>BIMProp</v>
      </c>
      <c r="C5" s="41" t="s">
        <v>90</v>
      </c>
    </row>
    <row r="6" spans="1:3" ht="9" customHeight="1" x14ac:dyDescent="0.4">
      <c r="A6" s="14" t="s">
        <v>53</v>
      </c>
      <c r="B6" s="14" t="str">
        <f>_xlfn.CONCAT(B4,"Data")</f>
        <v>BIMData</v>
      </c>
      <c r="C6" s="41" t="s">
        <v>90</v>
      </c>
    </row>
    <row r="7" spans="1:3" ht="9" customHeight="1" x14ac:dyDescent="0.4">
      <c r="A7" s="14" t="s">
        <v>54</v>
      </c>
      <c r="B7" s="15" t="s">
        <v>55</v>
      </c>
      <c r="C7" s="41" t="s">
        <v>90</v>
      </c>
    </row>
    <row r="8" spans="1:3" s="39" customFormat="1" ht="9" customHeight="1" x14ac:dyDescent="0.4">
      <c r="A8" s="38" t="s">
        <v>56</v>
      </c>
      <c r="B8" s="38" t="s">
        <v>87</v>
      </c>
      <c r="C8" s="41" t="s">
        <v>90</v>
      </c>
    </row>
    <row r="9" spans="1:3" ht="9" customHeight="1" x14ac:dyDescent="0.4">
      <c r="A9" s="14" t="s">
        <v>57</v>
      </c>
      <c r="B9" s="14" t="s">
        <v>58</v>
      </c>
      <c r="C9" s="41" t="s">
        <v>90</v>
      </c>
    </row>
    <row r="10" spans="1:3" ht="9" customHeight="1" x14ac:dyDescent="0.4">
      <c r="A10" s="14" t="s">
        <v>59</v>
      </c>
      <c r="B10" s="14" t="s">
        <v>60</v>
      </c>
      <c r="C10" s="41" t="s">
        <v>90</v>
      </c>
    </row>
    <row r="11" spans="1:3" ht="9" customHeight="1" x14ac:dyDescent="0.4">
      <c r="A11" s="14" t="s">
        <v>61</v>
      </c>
      <c r="B11" s="14" t="s">
        <v>60</v>
      </c>
      <c r="C11" s="41" t="s">
        <v>90</v>
      </c>
    </row>
    <row r="12" spans="1:3" ht="9" customHeight="1" x14ac:dyDescent="0.4">
      <c r="A12" s="14" t="s">
        <v>62</v>
      </c>
      <c r="B12" s="14" t="s">
        <v>60</v>
      </c>
      <c r="C12" s="41" t="s">
        <v>90</v>
      </c>
    </row>
    <row r="13" spans="1:3" ht="9" customHeight="1" x14ac:dyDescent="0.4">
      <c r="A13" s="14" t="s">
        <v>63</v>
      </c>
      <c r="B13" s="14" t="s">
        <v>60</v>
      </c>
      <c r="C13" s="41" t="s">
        <v>90</v>
      </c>
    </row>
    <row r="14" spans="1:3" ht="9" customHeight="1" x14ac:dyDescent="0.4">
      <c r="A14" s="14" t="s">
        <v>64</v>
      </c>
      <c r="B14" s="14" t="s">
        <v>60</v>
      </c>
      <c r="C14" s="41" t="s">
        <v>90</v>
      </c>
    </row>
    <row r="15" spans="1:3" ht="9" customHeight="1" x14ac:dyDescent="0.4">
      <c r="A15" s="14" t="s">
        <v>65</v>
      </c>
      <c r="B15" s="14" t="s">
        <v>60</v>
      </c>
      <c r="C15" s="41" t="s">
        <v>90</v>
      </c>
    </row>
    <row r="16" spans="1:3" ht="9" customHeight="1" x14ac:dyDescent="0.4">
      <c r="A16" s="14" t="s">
        <v>66</v>
      </c>
      <c r="B16" s="14" t="s">
        <v>60</v>
      </c>
      <c r="C16" s="41" t="s">
        <v>90</v>
      </c>
    </row>
    <row r="17" spans="1:3" ht="9" customHeight="1" x14ac:dyDescent="0.4">
      <c r="A17" s="14" t="s">
        <v>67</v>
      </c>
      <c r="B17" s="14" t="s">
        <v>93</v>
      </c>
      <c r="C17" s="41" t="s">
        <v>90</v>
      </c>
    </row>
    <row r="18" spans="1:3" ht="9" customHeight="1" x14ac:dyDescent="0.4">
      <c r="A18" s="14" t="s">
        <v>68</v>
      </c>
      <c r="B18" s="16">
        <f ca="1">NOW()</f>
        <v>46270.887389467593</v>
      </c>
      <c r="C18" s="41" t="s">
        <v>90</v>
      </c>
    </row>
    <row r="19" spans="1:3" ht="9" customHeight="1" x14ac:dyDescent="0.4">
      <c r="A19" s="14" t="s">
        <v>69</v>
      </c>
      <c r="B19" s="16" t="s">
        <v>70</v>
      </c>
      <c r="C19" s="41" t="s">
        <v>90</v>
      </c>
    </row>
    <row r="20" spans="1:3" ht="9" customHeight="1" x14ac:dyDescent="0.4">
      <c r="A20" s="14" t="s">
        <v>71</v>
      </c>
      <c r="B20" s="14" t="s">
        <v>60</v>
      </c>
      <c r="C20" s="41" t="s">
        <v>90</v>
      </c>
    </row>
    <row r="21" spans="1:3" ht="9" customHeight="1" x14ac:dyDescent="0.4">
      <c r="A21" s="14" t="s">
        <v>72</v>
      </c>
      <c r="B21" s="14" t="s">
        <v>60</v>
      </c>
      <c r="C21" s="41" t="s">
        <v>90</v>
      </c>
    </row>
    <row r="22" spans="1:3" ht="9" customHeight="1" x14ac:dyDescent="0.4">
      <c r="A22" s="14" t="s">
        <v>73</v>
      </c>
      <c r="B22" s="17" t="s">
        <v>202</v>
      </c>
      <c r="C22" s="41" t="s">
        <v>90</v>
      </c>
    </row>
    <row r="23" spans="1:3" ht="9" customHeight="1" x14ac:dyDescent="0.4">
      <c r="A23" s="14" t="s">
        <v>74</v>
      </c>
      <c r="B23" s="17" t="s">
        <v>203</v>
      </c>
      <c r="C23" s="41" t="s">
        <v>91</v>
      </c>
    </row>
    <row r="24" spans="1:3" s="39" customFormat="1" ht="9" customHeight="1" x14ac:dyDescent="0.4">
      <c r="A24" s="14" t="s">
        <v>88</v>
      </c>
      <c r="B24" s="17" t="str">
        <f>_xlfn.TRANSLATE(B22,"pt","en")</f>
        <v>Formalize elements of the BIM project. Specific objects of Lighting</v>
      </c>
      <c r="C24" s="41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D40"/>
  <sheetViews>
    <sheetView tabSelected="1" zoomScale="220" zoomScaleNormal="220" workbookViewId="0">
      <pane ySplit="1" topLeftCell="A2" activePane="bottomLeft" state="frozen"/>
      <selection activeCell="A179" sqref="A179:XFD190"/>
      <selection pane="bottomLeft" activeCell="C3" sqref="C3"/>
    </sheetView>
  </sheetViews>
  <sheetFormatPr defaultColWidth="9.15234375" defaultRowHeight="6.65" customHeight="1" x14ac:dyDescent="0.4"/>
  <cols>
    <col min="1" max="1" width="2.3828125" bestFit="1" customWidth="1"/>
    <col min="2" max="2" width="6.3046875" style="59" bestFit="1" customWidth="1"/>
    <col min="3" max="3" width="9.15234375" style="59" bestFit="1" customWidth="1"/>
    <col min="4" max="4" width="11.3046875" style="59" bestFit="1" customWidth="1"/>
    <col min="5" max="5" width="14.15234375" style="59" bestFit="1" customWidth="1"/>
    <col min="6" max="6" width="13.3828125" style="64" bestFit="1" customWidth="1"/>
    <col min="7" max="11" width="8.53515625" style="59" bestFit="1" customWidth="1"/>
    <col min="12" max="12" width="9.15234375" style="59" bestFit="1" customWidth="1"/>
    <col min="13" max="13" width="11.3046875" style="59" bestFit="1" customWidth="1"/>
    <col min="14" max="14" width="14.15234375" style="59" bestFit="1" customWidth="1"/>
    <col min="15" max="15" width="13.3828125" style="59" bestFit="1" customWidth="1"/>
    <col min="16" max="16" width="38.53515625" style="59" bestFit="1" customWidth="1"/>
    <col min="17" max="17" width="39" style="59" bestFit="1" customWidth="1"/>
    <col min="18" max="18" width="29.15234375" style="59" bestFit="1" customWidth="1"/>
    <col min="19" max="19" width="3.69140625" style="59" bestFit="1" customWidth="1"/>
    <col min="20" max="20" width="8.15234375" style="59" bestFit="1" customWidth="1"/>
    <col min="21" max="21" width="10.3828125" style="59" bestFit="1" customWidth="1"/>
    <col min="22" max="22" width="12.69140625" style="59" bestFit="1" customWidth="1"/>
    <col min="23" max="23" width="6.69140625" style="59" bestFit="1" customWidth="1"/>
    <col min="24" max="24" width="8" style="59" bestFit="1" customWidth="1"/>
    <col min="25" max="25" width="16.3828125" style="59" customWidth="1"/>
    <col min="26" max="26" width="6.84375" style="59" bestFit="1" customWidth="1"/>
    <col min="27" max="27" width="16.84375" style="65" bestFit="1" customWidth="1"/>
    <col min="28" max="28" width="6" style="59" bestFit="1" customWidth="1"/>
    <col min="29" max="29" width="7.3046875" style="59" bestFit="1" customWidth="1"/>
    <col min="30" max="30" width="2.69140625" style="59" bestFit="1" customWidth="1"/>
    <col min="31" max="16384" width="9.15234375" style="59"/>
  </cols>
  <sheetData>
    <row r="1" spans="1:30" ht="44.25" customHeight="1" x14ac:dyDescent="0.4">
      <c r="A1" s="44" t="s">
        <v>154</v>
      </c>
      <c r="B1" s="45" t="s">
        <v>42</v>
      </c>
      <c r="C1" s="45" t="s">
        <v>40</v>
      </c>
      <c r="D1" s="45" t="s">
        <v>41</v>
      </c>
      <c r="E1" s="45" t="s">
        <v>39</v>
      </c>
      <c r="F1" s="45" t="s">
        <v>36</v>
      </c>
      <c r="G1" s="46" t="s">
        <v>0</v>
      </c>
      <c r="H1" s="46" t="s">
        <v>1</v>
      </c>
      <c r="I1" s="46" t="s">
        <v>2</v>
      </c>
      <c r="J1" s="46" t="s">
        <v>3</v>
      </c>
      <c r="K1" s="46" t="s">
        <v>4</v>
      </c>
      <c r="L1" s="36" t="s">
        <v>155</v>
      </c>
      <c r="M1" s="36" t="s">
        <v>5</v>
      </c>
      <c r="N1" s="36" t="s">
        <v>6</v>
      </c>
      <c r="O1" s="36" t="s">
        <v>7</v>
      </c>
      <c r="P1" s="36" t="s">
        <v>37</v>
      </c>
      <c r="Q1" s="36" t="s">
        <v>43</v>
      </c>
      <c r="R1" s="37" t="s">
        <v>86</v>
      </c>
      <c r="S1" s="36" t="s">
        <v>156</v>
      </c>
      <c r="T1" s="36" t="s">
        <v>33</v>
      </c>
      <c r="U1" s="36" t="s">
        <v>38</v>
      </c>
      <c r="V1" s="47" t="s">
        <v>35</v>
      </c>
      <c r="W1" s="36" t="s">
        <v>34</v>
      </c>
      <c r="X1" s="60" t="s">
        <v>8</v>
      </c>
      <c r="Y1" s="36" t="s">
        <v>276</v>
      </c>
      <c r="Z1" s="36" t="s">
        <v>275</v>
      </c>
      <c r="AA1" s="36" t="s">
        <v>273</v>
      </c>
      <c r="AB1" s="36" t="s">
        <v>274</v>
      </c>
      <c r="AC1" s="36" t="s">
        <v>85</v>
      </c>
      <c r="AD1" s="36" t="s">
        <v>302</v>
      </c>
    </row>
    <row r="2" spans="1:30" ht="6.65" customHeight="1" x14ac:dyDescent="0.4">
      <c r="A2" s="56">
        <v>2</v>
      </c>
      <c r="B2" s="1" t="s">
        <v>262</v>
      </c>
      <c r="C2" s="1" t="s">
        <v>303</v>
      </c>
      <c r="D2" s="1" t="s">
        <v>304</v>
      </c>
      <c r="E2" s="1" t="s">
        <v>305</v>
      </c>
      <c r="F2" s="69" t="s">
        <v>306</v>
      </c>
      <c r="G2" s="57" t="s">
        <v>9</v>
      </c>
      <c r="H2" s="57" t="s">
        <v>9</v>
      </c>
      <c r="I2" s="57" t="s">
        <v>9</v>
      </c>
      <c r="J2" s="57" t="s">
        <v>9</v>
      </c>
      <c r="K2" s="57" t="s">
        <v>9</v>
      </c>
      <c r="L2" s="34" t="str">
        <f t="shared" ref="L2:O6" si="0">SUBSTITUTE(CONCATENATE("", C2), ".", " ")</f>
        <v>De Materialidade</v>
      </c>
      <c r="M2" s="34" t="str">
        <f t="shared" si="0"/>
        <v>Materialidades</v>
      </c>
      <c r="N2" s="34" t="str">
        <f t="shared" si="0"/>
        <v>Materiais</v>
      </c>
      <c r="O2" s="34" t="str">
        <f t="shared" si="0"/>
        <v>Mat Cabo de Elétrica</v>
      </c>
      <c r="P2" s="70" t="s">
        <v>307</v>
      </c>
      <c r="Q2" s="30" t="s">
        <v>308</v>
      </c>
      <c r="R2" s="30" t="s">
        <v>309</v>
      </c>
      <c r="S2" s="30" t="s">
        <v>9</v>
      </c>
      <c r="T2" s="30" t="str">
        <f t="shared" ref="T2:V6" si="1">SUBSTITUTE(C2, ".", " ")</f>
        <v>De Materialidade</v>
      </c>
      <c r="U2" s="30" t="str">
        <f t="shared" si="1"/>
        <v>Materialidades</v>
      </c>
      <c r="V2" s="30" t="str">
        <f t="shared" si="1"/>
        <v>Materiais</v>
      </c>
      <c r="W2" s="30" t="s">
        <v>237</v>
      </c>
      <c r="X2" s="58" t="str">
        <f t="shared" ref="X2:X6" si="2">CONCATENATE("Key-ILUM-",A2)</f>
        <v>Key-ILUM-2</v>
      </c>
      <c r="Y2" s="30" t="s">
        <v>310</v>
      </c>
      <c r="Z2" s="67" t="s">
        <v>9</v>
      </c>
      <c r="AA2" s="30" t="s">
        <v>311</v>
      </c>
      <c r="AB2" s="67" t="s">
        <v>9</v>
      </c>
      <c r="AC2" s="30" t="s">
        <v>312</v>
      </c>
      <c r="AD2" s="67" t="s">
        <v>9</v>
      </c>
    </row>
    <row r="3" spans="1:30" ht="6.65" customHeight="1" x14ac:dyDescent="0.4">
      <c r="A3" s="56">
        <v>3</v>
      </c>
      <c r="B3" s="1" t="s">
        <v>262</v>
      </c>
      <c r="C3" s="1" t="s">
        <v>303</v>
      </c>
      <c r="D3" s="1" t="s">
        <v>304</v>
      </c>
      <c r="E3" s="1" t="s">
        <v>305</v>
      </c>
      <c r="F3" s="69" t="s">
        <v>313</v>
      </c>
      <c r="G3" s="57" t="s">
        <v>9</v>
      </c>
      <c r="H3" s="57" t="s">
        <v>9</v>
      </c>
      <c r="I3" s="57" t="s">
        <v>9</v>
      </c>
      <c r="J3" s="57" t="s">
        <v>9</v>
      </c>
      <c r="K3" s="57" t="s">
        <v>9</v>
      </c>
      <c r="L3" s="34" t="str">
        <f t="shared" si="0"/>
        <v>De Materialidade</v>
      </c>
      <c r="M3" s="34" t="str">
        <f t="shared" si="0"/>
        <v>Materialidades</v>
      </c>
      <c r="N3" s="34" t="str">
        <f t="shared" si="0"/>
        <v>Materiais</v>
      </c>
      <c r="O3" s="34" t="str">
        <f t="shared" si="0"/>
        <v>Mat Calha de Elétrica</v>
      </c>
      <c r="P3" s="70" t="s">
        <v>314</v>
      </c>
      <c r="Q3" s="30" t="s">
        <v>315</v>
      </c>
      <c r="R3" s="30" t="s">
        <v>316</v>
      </c>
      <c r="S3" s="30" t="s">
        <v>9</v>
      </c>
      <c r="T3" s="30" t="str">
        <f t="shared" si="1"/>
        <v>De Materialidade</v>
      </c>
      <c r="U3" s="30" t="str">
        <f t="shared" si="1"/>
        <v>Materialidades</v>
      </c>
      <c r="V3" s="30" t="str">
        <f t="shared" si="1"/>
        <v>Materiais</v>
      </c>
      <c r="W3" s="30" t="s">
        <v>237</v>
      </c>
      <c r="X3" s="58" t="str">
        <f t="shared" si="2"/>
        <v>Key-ILUM-3</v>
      </c>
      <c r="Y3" s="30" t="s">
        <v>310</v>
      </c>
      <c r="Z3" s="67" t="s">
        <v>9</v>
      </c>
      <c r="AA3" s="30" t="s">
        <v>311</v>
      </c>
      <c r="AB3" s="67" t="s">
        <v>9</v>
      </c>
      <c r="AC3" s="30" t="s">
        <v>312</v>
      </c>
      <c r="AD3" s="67" t="s">
        <v>9</v>
      </c>
    </row>
    <row r="4" spans="1:30" ht="6.65" customHeight="1" x14ac:dyDescent="0.4">
      <c r="A4" s="56">
        <v>4</v>
      </c>
      <c r="B4" s="1" t="s">
        <v>262</v>
      </c>
      <c r="C4" s="1" t="s">
        <v>303</v>
      </c>
      <c r="D4" s="1" t="s">
        <v>304</v>
      </c>
      <c r="E4" s="1" t="s">
        <v>305</v>
      </c>
      <c r="F4" s="69" t="s">
        <v>317</v>
      </c>
      <c r="G4" s="57" t="s">
        <v>9</v>
      </c>
      <c r="H4" s="57" t="s">
        <v>9</v>
      </c>
      <c r="I4" s="57" t="s">
        <v>9</v>
      </c>
      <c r="J4" s="57" t="s">
        <v>9</v>
      </c>
      <c r="K4" s="57" t="s">
        <v>9</v>
      </c>
      <c r="L4" s="34" t="str">
        <f t="shared" si="0"/>
        <v>De Materialidade</v>
      </c>
      <c r="M4" s="34" t="str">
        <f t="shared" si="0"/>
        <v>Materialidades</v>
      </c>
      <c r="N4" s="34" t="str">
        <f t="shared" si="0"/>
        <v>Materiais</v>
      </c>
      <c r="O4" s="34" t="str">
        <f t="shared" si="0"/>
        <v>Mat Canaleta de Elétrica</v>
      </c>
      <c r="P4" s="70" t="s">
        <v>318</v>
      </c>
      <c r="Q4" s="30" t="s">
        <v>319</v>
      </c>
      <c r="R4" s="30" t="s">
        <v>320</v>
      </c>
      <c r="S4" s="30" t="s">
        <v>9</v>
      </c>
      <c r="T4" s="30" t="str">
        <f t="shared" si="1"/>
        <v>De Materialidade</v>
      </c>
      <c r="U4" s="30" t="str">
        <f t="shared" si="1"/>
        <v>Materialidades</v>
      </c>
      <c r="V4" s="30" t="str">
        <f t="shared" si="1"/>
        <v>Materiais</v>
      </c>
      <c r="W4" s="30" t="s">
        <v>237</v>
      </c>
      <c r="X4" s="58" t="str">
        <f t="shared" si="2"/>
        <v>Key-ILUM-4</v>
      </c>
      <c r="Y4" s="30" t="s">
        <v>310</v>
      </c>
      <c r="Z4" s="67" t="s">
        <v>9</v>
      </c>
      <c r="AA4" s="30" t="s">
        <v>311</v>
      </c>
      <c r="AB4" s="67" t="s">
        <v>9</v>
      </c>
      <c r="AC4" s="30" t="s">
        <v>312</v>
      </c>
      <c r="AD4" s="67" t="s">
        <v>9</v>
      </c>
    </row>
    <row r="5" spans="1:30" ht="6.65" customHeight="1" x14ac:dyDescent="0.4">
      <c r="A5" s="56">
        <v>5</v>
      </c>
      <c r="B5" s="1" t="s">
        <v>262</v>
      </c>
      <c r="C5" s="1" t="s">
        <v>303</v>
      </c>
      <c r="D5" s="1" t="s">
        <v>304</v>
      </c>
      <c r="E5" s="1" t="s">
        <v>305</v>
      </c>
      <c r="F5" s="69" t="s">
        <v>321</v>
      </c>
      <c r="G5" s="57" t="s">
        <v>9</v>
      </c>
      <c r="H5" s="57" t="s">
        <v>9</v>
      </c>
      <c r="I5" s="57" t="s">
        <v>9</v>
      </c>
      <c r="J5" s="57" t="s">
        <v>9</v>
      </c>
      <c r="K5" s="57" t="s">
        <v>9</v>
      </c>
      <c r="L5" s="34" t="str">
        <f t="shared" si="0"/>
        <v>De Materialidade</v>
      </c>
      <c r="M5" s="34" t="str">
        <f t="shared" si="0"/>
        <v>Materialidades</v>
      </c>
      <c r="N5" s="34" t="str">
        <f t="shared" si="0"/>
        <v>Materiais</v>
      </c>
      <c r="O5" s="34" t="str">
        <f t="shared" si="0"/>
        <v>Mat Eletroduto Flexível</v>
      </c>
      <c r="P5" s="70" t="s">
        <v>322</v>
      </c>
      <c r="Q5" s="30" t="s">
        <v>323</v>
      </c>
      <c r="R5" s="30" t="s">
        <v>324</v>
      </c>
      <c r="S5" s="30" t="s">
        <v>9</v>
      </c>
      <c r="T5" s="30" t="str">
        <f t="shared" si="1"/>
        <v>De Materialidade</v>
      </c>
      <c r="U5" s="30" t="str">
        <f t="shared" si="1"/>
        <v>Materialidades</v>
      </c>
      <c r="V5" s="30" t="str">
        <f t="shared" si="1"/>
        <v>Materiais</v>
      </c>
      <c r="W5" s="30" t="s">
        <v>237</v>
      </c>
      <c r="X5" s="58" t="str">
        <f t="shared" si="2"/>
        <v>Key-ILUM-5</v>
      </c>
      <c r="Y5" s="30" t="s">
        <v>310</v>
      </c>
      <c r="Z5" s="67" t="s">
        <v>9</v>
      </c>
      <c r="AA5" s="30" t="s">
        <v>311</v>
      </c>
      <c r="AB5" s="67" t="s">
        <v>9</v>
      </c>
      <c r="AC5" s="30" t="s">
        <v>312</v>
      </c>
      <c r="AD5" s="67" t="s">
        <v>9</v>
      </c>
    </row>
    <row r="6" spans="1:30" ht="6.65" customHeight="1" x14ac:dyDescent="0.4">
      <c r="A6" s="56">
        <v>6</v>
      </c>
      <c r="B6" s="1" t="s">
        <v>262</v>
      </c>
      <c r="C6" s="1" t="s">
        <v>303</v>
      </c>
      <c r="D6" s="1" t="s">
        <v>304</v>
      </c>
      <c r="E6" s="1" t="s">
        <v>305</v>
      </c>
      <c r="F6" s="69" t="s">
        <v>325</v>
      </c>
      <c r="G6" s="57" t="s">
        <v>9</v>
      </c>
      <c r="H6" s="57" t="s">
        <v>9</v>
      </c>
      <c r="I6" s="57" t="s">
        <v>9</v>
      </c>
      <c r="J6" s="57" t="s">
        <v>9</v>
      </c>
      <c r="K6" s="57" t="s">
        <v>9</v>
      </c>
      <c r="L6" s="34" t="str">
        <f t="shared" si="0"/>
        <v>De Materialidade</v>
      </c>
      <c r="M6" s="34" t="str">
        <f t="shared" si="0"/>
        <v>Materialidades</v>
      </c>
      <c r="N6" s="34" t="str">
        <f t="shared" si="0"/>
        <v>Materiais</v>
      </c>
      <c r="O6" s="34" t="str">
        <f t="shared" si="0"/>
        <v>Mat Eletroduto Rígido</v>
      </c>
      <c r="P6" s="70" t="s">
        <v>326</v>
      </c>
      <c r="Q6" s="30" t="s">
        <v>327</v>
      </c>
      <c r="R6" s="30" t="s">
        <v>328</v>
      </c>
      <c r="S6" s="30" t="s">
        <v>9</v>
      </c>
      <c r="T6" s="30" t="str">
        <f t="shared" si="1"/>
        <v>De Materialidade</v>
      </c>
      <c r="U6" s="30" t="str">
        <f t="shared" si="1"/>
        <v>Materialidades</v>
      </c>
      <c r="V6" s="30" t="str">
        <f t="shared" si="1"/>
        <v>Materiais</v>
      </c>
      <c r="W6" s="30" t="s">
        <v>237</v>
      </c>
      <c r="X6" s="58" t="str">
        <f t="shared" si="2"/>
        <v>Key-ILUM-6</v>
      </c>
      <c r="Y6" s="30" t="s">
        <v>310</v>
      </c>
      <c r="Z6" s="67" t="s">
        <v>9</v>
      </c>
      <c r="AA6" s="30" t="s">
        <v>311</v>
      </c>
      <c r="AB6" s="67" t="s">
        <v>9</v>
      </c>
      <c r="AC6" s="30" t="s">
        <v>312</v>
      </c>
      <c r="AD6" s="67" t="s">
        <v>9</v>
      </c>
    </row>
    <row r="7" spans="1:30" ht="6.65" customHeight="1" x14ac:dyDescent="0.4">
      <c r="A7" s="56">
        <v>7</v>
      </c>
      <c r="B7" s="1" t="s">
        <v>262</v>
      </c>
      <c r="C7" s="33" t="s">
        <v>263</v>
      </c>
      <c r="D7" s="43" t="s">
        <v>256</v>
      </c>
      <c r="E7" s="43" t="s">
        <v>257</v>
      </c>
      <c r="F7" s="43" t="s">
        <v>254</v>
      </c>
      <c r="G7" s="57" t="s">
        <v>9</v>
      </c>
      <c r="H7" s="57" t="s">
        <v>9</v>
      </c>
      <c r="I7" s="57" t="s">
        <v>9</v>
      </c>
      <c r="J7" s="57" t="s">
        <v>9</v>
      </c>
      <c r="K7" s="57" t="s">
        <v>9</v>
      </c>
      <c r="L7" s="34" t="str">
        <f t="shared" ref="L7:L35" si="3">CONCATENATE("", C7)</f>
        <v>LuminoTécnicos</v>
      </c>
      <c r="M7" s="34" t="str">
        <f t="shared" ref="M7:M35" si="4">CONCATENATE("", D7)</f>
        <v>Sistemas.Elétricos</v>
      </c>
      <c r="N7" s="34" t="str">
        <f t="shared" ref="N7:N35" si="5">(SUBSTITUTE(SUBSTITUTE(CONCATENATE("",E7),"."," ")," De "," de "))</f>
        <v>Sistemas de Iluminação</v>
      </c>
      <c r="O7" s="30" t="str">
        <f t="shared" ref="O7:O8" si="6">IF(ISNUMBER(FIND("Ifc",F7)),CONCATENATE("Classe IFC:   ",F7),CONCATENATE("",F7))</f>
        <v>Circuito.Luz.Geral</v>
      </c>
      <c r="P7" s="53" t="s">
        <v>207</v>
      </c>
      <c r="Q7" s="53" t="s">
        <v>206</v>
      </c>
      <c r="R7" s="30" t="s">
        <v>272</v>
      </c>
      <c r="S7" s="30" t="s">
        <v>9</v>
      </c>
      <c r="T7" s="30" t="s">
        <v>258</v>
      </c>
      <c r="U7" s="30" t="str">
        <f t="shared" ref="U7:U8" si="7">SUBSTITUTE(D7, "_", " ")</f>
        <v>Sistemas.Elétricos</v>
      </c>
      <c r="V7" s="30" t="str">
        <f t="shared" ref="V7:V8" si="8">SUBSTITUTE(E7, "_", " ")</f>
        <v>Sistemas.de.Iluminação</v>
      </c>
      <c r="W7" s="30" t="s">
        <v>237</v>
      </c>
      <c r="X7" s="58" t="str">
        <f t="shared" ref="X7:X40" si="9">CONCATENATE("Key-ILUM-",A7)</f>
        <v>Key-ILUM-7</v>
      </c>
      <c r="Y7" s="61" t="s">
        <v>208</v>
      </c>
      <c r="Z7" s="67" t="s">
        <v>9</v>
      </c>
      <c r="AA7" s="61" t="s">
        <v>209</v>
      </c>
      <c r="AB7" s="67" t="s">
        <v>9</v>
      </c>
      <c r="AC7" s="30" t="s">
        <v>259</v>
      </c>
      <c r="AD7" s="67" t="s">
        <v>9</v>
      </c>
    </row>
    <row r="8" spans="1:30" ht="6.65" customHeight="1" x14ac:dyDescent="0.4">
      <c r="A8" s="56">
        <v>8</v>
      </c>
      <c r="B8" s="1" t="s">
        <v>262</v>
      </c>
      <c r="C8" s="33" t="s">
        <v>263</v>
      </c>
      <c r="D8" s="43" t="s">
        <v>256</v>
      </c>
      <c r="E8" s="43" t="s">
        <v>257</v>
      </c>
      <c r="F8" s="43" t="s">
        <v>255</v>
      </c>
      <c r="G8" s="57" t="s">
        <v>9</v>
      </c>
      <c r="H8" s="57" t="s">
        <v>9</v>
      </c>
      <c r="I8" s="57" t="s">
        <v>9</v>
      </c>
      <c r="J8" s="57" t="s">
        <v>9</v>
      </c>
      <c r="K8" s="57" t="s">
        <v>9</v>
      </c>
      <c r="L8" s="34" t="str">
        <f t="shared" si="3"/>
        <v>LuminoTécnicos</v>
      </c>
      <c r="M8" s="34" t="str">
        <f t="shared" si="4"/>
        <v>Sistemas.Elétricos</v>
      </c>
      <c r="N8" s="34" t="str">
        <f t="shared" si="5"/>
        <v>Sistemas de Iluminação</v>
      </c>
      <c r="O8" s="30" t="str">
        <f t="shared" si="6"/>
        <v>Circuito.Luz.Emergência</v>
      </c>
      <c r="P8" s="53" t="s">
        <v>207</v>
      </c>
      <c r="Q8" s="53" t="s">
        <v>206</v>
      </c>
      <c r="R8" s="30" t="s">
        <v>272</v>
      </c>
      <c r="S8" s="30" t="s">
        <v>9</v>
      </c>
      <c r="T8" s="30" t="s">
        <v>258</v>
      </c>
      <c r="U8" s="30" t="str">
        <f t="shared" si="7"/>
        <v>Sistemas.Elétricos</v>
      </c>
      <c r="V8" s="30" t="str">
        <f t="shared" si="8"/>
        <v>Sistemas.de.Iluminação</v>
      </c>
      <c r="W8" s="30" t="s">
        <v>237</v>
      </c>
      <c r="X8" s="58" t="str">
        <f t="shared" si="9"/>
        <v>Key-ILUM-8</v>
      </c>
      <c r="Y8" s="61" t="s">
        <v>208</v>
      </c>
      <c r="Z8" s="67" t="s">
        <v>9</v>
      </c>
      <c r="AA8" s="61" t="s">
        <v>209</v>
      </c>
      <c r="AB8" s="67" t="s">
        <v>9</v>
      </c>
      <c r="AC8" s="30" t="s">
        <v>259</v>
      </c>
      <c r="AD8" s="67" t="s">
        <v>9</v>
      </c>
    </row>
    <row r="9" spans="1:30" ht="6.65" customHeight="1" x14ac:dyDescent="0.4">
      <c r="A9" s="56">
        <v>9</v>
      </c>
      <c r="B9" s="1" t="s">
        <v>262</v>
      </c>
      <c r="C9" s="33" t="s">
        <v>263</v>
      </c>
      <c r="D9" s="1" t="s">
        <v>233</v>
      </c>
      <c r="E9" s="43" t="s">
        <v>45</v>
      </c>
      <c r="F9" s="62" t="s">
        <v>96</v>
      </c>
      <c r="G9" s="63" t="s">
        <v>9</v>
      </c>
      <c r="H9" s="57" t="s">
        <v>9</v>
      </c>
      <c r="I9" s="57" t="s">
        <v>9</v>
      </c>
      <c r="J9" s="57" t="s">
        <v>9</v>
      </c>
      <c r="K9" s="57" t="s">
        <v>9</v>
      </c>
      <c r="L9" s="34" t="str">
        <f t="shared" si="3"/>
        <v>LuminoTécnicos</v>
      </c>
      <c r="M9" s="34" t="str">
        <f t="shared" si="4"/>
        <v>Elemento.Iluminação</v>
      </c>
      <c r="N9" s="34" t="str">
        <f t="shared" si="5"/>
        <v>Luminária</v>
      </c>
      <c r="O9" s="30" t="str">
        <f t="shared" ref="O9:O35" si="10">IF(ISNUMBER(FIND("Ifc",F9)),CONCATENATE("Classe IFC:   ",F9),CONCATENATE("",F9))</f>
        <v>Luz.Aletas</v>
      </c>
      <c r="P9" s="30" t="s">
        <v>114</v>
      </c>
      <c r="Q9" s="30" t="s">
        <v>148</v>
      </c>
      <c r="R9" s="30" t="s">
        <v>157</v>
      </c>
      <c r="S9" s="30" t="s">
        <v>9</v>
      </c>
      <c r="T9" s="30" t="s">
        <v>44</v>
      </c>
      <c r="U9" s="30" t="s">
        <v>184</v>
      </c>
      <c r="V9" s="30" t="s">
        <v>238</v>
      </c>
      <c r="W9" s="30" t="s">
        <v>237</v>
      </c>
      <c r="X9" s="58" t="str">
        <f t="shared" si="9"/>
        <v>Key-ILUM-9</v>
      </c>
      <c r="Y9" s="30" t="s">
        <v>239</v>
      </c>
      <c r="Z9" s="67" t="s">
        <v>9</v>
      </c>
      <c r="AA9" s="61" t="s">
        <v>264</v>
      </c>
      <c r="AB9" s="67" t="s">
        <v>9</v>
      </c>
      <c r="AC9" s="30" t="s">
        <v>183</v>
      </c>
      <c r="AD9" s="67" t="s">
        <v>9</v>
      </c>
    </row>
    <row r="10" spans="1:30" ht="6.65" customHeight="1" x14ac:dyDescent="0.4">
      <c r="A10" s="56">
        <v>10</v>
      </c>
      <c r="B10" s="1" t="s">
        <v>262</v>
      </c>
      <c r="C10" s="33" t="s">
        <v>263</v>
      </c>
      <c r="D10" s="1" t="s">
        <v>233</v>
      </c>
      <c r="E10" s="43" t="s">
        <v>45</v>
      </c>
      <c r="F10" s="62" t="s">
        <v>98</v>
      </c>
      <c r="G10" s="63" t="s">
        <v>9</v>
      </c>
      <c r="H10" s="57" t="s">
        <v>9</v>
      </c>
      <c r="I10" s="57" t="s">
        <v>9</v>
      </c>
      <c r="J10" s="57" t="s">
        <v>9</v>
      </c>
      <c r="K10" s="57" t="s">
        <v>9</v>
      </c>
      <c r="L10" s="34" t="str">
        <f t="shared" si="3"/>
        <v>LuminoTécnicos</v>
      </c>
      <c r="M10" s="34" t="str">
        <f t="shared" si="4"/>
        <v>Elemento.Iluminação</v>
      </c>
      <c r="N10" s="34" t="str">
        <f t="shared" si="5"/>
        <v>Luminária</v>
      </c>
      <c r="O10" s="30" t="str">
        <f t="shared" si="10"/>
        <v xml:space="preserve">Luz.Antiofuscamento </v>
      </c>
      <c r="P10" s="30" t="s">
        <v>115</v>
      </c>
      <c r="Q10" s="30" t="s">
        <v>149</v>
      </c>
      <c r="R10" s="30" t="s">
        <v>158</v>
      </c>
      <c r="S10" s="30" t="s">
        <v>9</v>
      </c>
      <c r="T10" s="30" t="s">
        <v>44</v>
      </c>
      <c r="U10" s="30" t="s">
        <v>184</v>
      </c>
      <c r="V10" s="30" t="s">
        <v>238</v>
      </c>
      <c r="W10" s="30" t="s">
        <v>237</v>
      </c>
      <c r="X10" s="58" t="str">
        <f t="shared" si="9"/>
        <v>Key-ILUM-10</v>
      </c>
      <c r="Y10" s="30" t="s">
        <v>239</v>
      </c>
      <c r="Z10" s="67" t="s">
        <v>9</v>
      </c>
      <c r="AA10" s="61" t="s">
        <v>264</v>
      </c>
      <c r="AB10" s="67" t="s">
        <v>9</v>
      </c>
      <c r="AC10" s="30" t="s">
        <v>183</v>
      </c>
      <c r="AD10" s="67" t="s">
        <v>9</v>
      </c>
    </row>
    <row r="11" spans="1:30" ht="6.65" customHeight="1" x14ac:dyDescent="0.4">
      <c r="A11" s="56">
        <v>11</v>
      </c>
      <c r="B11" s="1" t="s">
        <v>262</v>
      </c>
      <c r="C11" s="33" t="s">
        <v>263</v>
      </c>
      <c r="D11" s="1" t="s">
        <v>233</v>
      </c>
      <c r="E11" s="43" t="s">
        <v>45</v>
      </c>
      <c r="F11" s="62" t="s">
        <v>94</v>
      </c>
      <c r="G11" s="63" t="s">
        <v>9</v>
      </c>
      <c r="H11" s="57" t="s">
        <v>9</v>
      </c>
      <c r="I11" s="57" t="s">
        <v>9</v>
      </c>
      <c r="J11" s="57" t="s">
        <v>9</v>
      </c>
      <c r="K11" s="57" t="s">
        <v>9</v>
      </c>
      <c r="L11" s="34" t="str">
        <f t="shared" si="3"/>
        <v>LuminoTécnicos</v>
      </c>
      <c r="M11" s="34" t="str">
        <f t="shared" si="4"/>
        <v>Elemento.Iluminação</v>
      </c>
      <c r="N11" s="34" t="str">
        <f t="shared" si="5"/>
        <v>Luminária</v>
      </c>
      <c r="O11" s="30" t="str">
        <f t="shared" si="10"/>
        <v>Luz.Arandela</v>
      </c>
      <c r="P11" s="30" t="s">
        <v>116</v>
      </c>
      <c r="Q11" s="30" t="s">
        <v>146</v>
      </c>
      <c r="R11" s="30" t="s">
        <v>159</v>
      </c>
      <c r="S11" s="30" t="s">
        <v>9</v>
      </c>
      <c r="T11" s="30" t="s">
        <v>44</v>
      </c>
      <c r="U11" s="30" t="s">
        <v>184</v>
      </c>
      <c r="V11" s="30" t="s">
        <v>238</v>
      </c>
      <c r="W11" s="30" t="s">
        <v>237</v>
      </c>
      <c r="X11" s="58" t="str">
        <f t="shared" si="9"/>
        <v>Key-ILUM-11</v>
      </c>
      <c r="Y11" s="30" t="s">
        <v>239</v>
      </c>
      <c r="Z11" s="67" t="s">
        <v>9</v>
      </c>
      <c r="AA11" s="61" t="s">
        <v>264</v>
      </c>
      <c r="AB11" s="67" t="s">
        <v>9</v>
      </c>
      <c r="AC11" s="30" t="s">
        <v>183</v>
      </c>
      <c r="AD11" s="67" t="s">
        <v>9</v>
      </c>
    </row>
    <row r="12" spans="1:30" ht="6.65" customHeight="1" x14ac:dyDescent="0.4">
      <c r="A12" s="56">
        <v>12</v>
      </c>
      <c r="B12" s="1" t="s">
        <v>262</v>
      </c>
      <c r="C12" s="33" t="s">
        <v>263</v>
      </c>
      <c r="D12" s="1" t="s">
        <v>233</v>
      </c>
      <c r="E12" s="43" t="s">
        <v>45</v>
      </c>
      <c r="F12" s="62" t="s">
        <v>95</v>
      </c>
      <c r="G12" s="63" t="s">
        <v>9</v>
      </c>
      <c r="H12" s="57" t="s">
        <v>9</v>
      </c>
      <c r="I12" s="57" t="s">
        <v>9</v>
      </c>
      <c r="J12" s="57" t="s">
        <v>9</v>
      </c>
      <c r="K12" s="57" t="s">
        <v>9</v>
      </c>
      <c r="L12" s="34" t="str">
        <f t="shared" si="3"/>
        <v>LuminoTécnicos</v>
      </c>
      <c r="M12" s="34" t="str">
        <f t="shared" si="4"/>
        <v>Elemento.Iluminação</v>
      </c>
      <c r="N12" s="34" t="str">
        <f t="shared" si="5"/>
        <v>Luminária</v>
      </c>
      <c r="O12" s="30" t="str">
        <f t="shared" si="10"/>
        <v>Luz.Baliza</v>
      </c>
      <c r="P12" s="30" t="s">
        <v>117</v>
      </c>
      <c r="Q12" s="30" t="s">
        <v>147</v>
      </c>
      <c r="R12" s="30" t="s">
        <v>160</v>
      </c>
      <c r="S12" s="30" t="s">
        <v>9</v>
      </c>
      <c r="T12" s="30" t="s">
        <v>44</v>
      </c>
      <c r="U12" s="30" t="s">
        <v>184</v>
      </c>
      <c r="V12" s="30" t="s">
        <v>238</v>
      </c>
      <c r="W12" s="30" t="s">
        <v>237</v>
      </c>
      <c r="X12" s="58" t="str">
        <f t="shared" si="9"/>
        <v>Key-ILUM-12</v>
      </c>
      <c r="Y12" s="30" t="s">
        <v>239</v>
      </c>
      <c r="Z12" s="67" t="s">
        <v>9</v>
      </c>
      <c r="AA12" s="61" t="s">
        <v>264</v>
      </c>
      <c r="AB12" s="67" t="s">
        <v>9</v>
      </c>
      <c r="AC12" s="30" t="s">
        <v>183</v>
      </c>
      <c r="AD12" s="67" t="s">
        <v>9</v>
      </c>
    </row>
    <row r="13" spans="1:30" ht="6.65" customHeight="1" x14ac:dyDescent="0.4">
      <c r="A13" s="56">
        <v>13</v>
      </c>
      <c r="B13" s="1" t="s">
        <v>262</v>
      </c>
      <c r="C13" s="33" t="s">
        <v>263</v>
      </c>
      <c r="D13" s="1" t="s">
        <v>233</v>
      </c>
      <c r="E13" s="43" t="s">
        <v>45</v>
      </c>
      <c r="F13" s="62" t="s">
        <v>97</v>
      </c>
      <c r="G13" s="63" t="s">
        <v>9</v>
      </c>
      <c r="H13" s="57" t="s">
        <v>9</v>
      </c>
      <c r="I13" s="57" t="s">
        <v>9</v>
      </c>
      <c r="J13" s="57" t="s">
        <v>9</v>
      </c>
      <c r="K13" s="57" t="s">
        <v>9</v>
      </c>
      <c r="L13" s="34" t="str">
        <f t="shared" si="3"/>
        <v>LuminoTécnicos</v>
      </c>
      <c r="M13" s="34" t="str">
        <f t="shared" si="4"/>
        <v>Elemento.Iluminação</v>
      </c>
      <c r="N13" s="34" t="str">
        <f t="shared" si="5"/>
        <v>Luminária</v>
      </c>
      <c r="O13" s="30" t="str">
        <f t="shared" si="10"/>
        <v>Luz.Difusa</v>
      </c>
      <c r="P13" s="30" t="s">
        <v>118</v>
      </c>
      <c r="Q13" s="30" t="s">
        <v>150</v>
      </c>
      <c r="R13" s="30" t="s">
        <v>161</v>
      </c>
      <c r="S13" s="30" t="s">
        <v>9</v>
      </c>
      <c r="T13" s="30" t="s">
        <v>44</v>
      </c>
      <c r="U13" s="30" t="s">
        <v>184</v>
      </c>
      <c r="V13" s="30" t="s">
        <v>238</v>
      </c>
      <c r="W13" s="30" t="s">
        <v>237</v>
      </c>
      <c r="X13" s="58" t="str">
        <f t="shared" si="9"/>
        <v>Key-ILUM-13</v>
      </c>
      <c r="Y13" s="30" t="s">
        <v>239</v>
      </c>
      <c r="Z13" s="67" t="s">
        <v>9</v>
      </c>
      <c r="AA13" s="61" t="s">
        <v>264</v>
      </c>
      <c r="AB13" s="67" t="s">
        <v>9</v>
      </c>
      <c r="AC13" s="30" t="s">
        <v>183</v>
      </c>
      <c r="AD13" s="67" t="s">
        <v>9</v>
      </c>
    </row>
    <row r="14" spans="1:30" ht="6.65" customHeight="1" x14ac:dyDescent="0.4">
      <c r="A14" s="56">
        <v>14</v>
      </c>
      <c r="B14" s="1" t="s">
        <v>262</v>
      </c>
      <c r="C14" s="33" t="s">
        <v>263</v>
      </c>
      <c r="D14" s="1" t="s">
        <v>233</v>
      </c>
      <c r="E14" s="43" t="s">
        <v>45</v>
      </c>
      <c r="F14" s="62" t="s">
        <v>99</v>
      </c>
      <c r="G14" s="63" t="s">
        <v>9</v>
      </c>
      <c r="H14" s="57" t="s">
        <v>9</v>
      </c>
      <c r="I14" s="57" t="s">
        <v>9</v>
      </c>
      <c r="J14" s="57" t="s">
        <v>9</v>
      </c>
      <c r="K14" s="57" t="s">
        <v>9</v>
      </c>
      <c r="L14" s="34" t="str">
        <f t="shared" si="3"/>
        <v>LuminoTécnicos</v>
      </c>
      <c r="M14" s="34" t="str">
        <f t="shared" si="4"/>
        <v>Elemento.Iluminação</v>
      </c>
      <c r="N14" s="34" t="str">
        <f t="shared" si="5"/>
        <v>Luminária</v>
      </c>
      <c r="O14" s="30" t="str">
        <f t="shared" si="10"/>
        <v>Luz.Embutida.Fixa</v>
      </c>
      <c r="P14" s="30" t="s">
        <v>119</v>
      </c>
      <c r="Q14" s="30" t="s">
        <v>134</v>
      </c>
      <c r="R14" s="30" t="s">
        <v>162</v>
      </c>
      <c r="S14" s="30" t="s">
        <v>9</v>
      </c>
      <c r="T14" s="30" t="s">
        <v>44</v>
      </c>
      <c r="U14" s="30" t="s">
        <v>184</v>
      </c>
      <c r="V14" s="30" t="s">
        <v>238</v>
      </c>
      <c r="W14" s="30" t="s">
        <v>237</v>
      </c>
      <c r="X14" s="58" t="str">
        <f t="shared" si="9"/>
        <v>Key-ILUM-14</v>
      </c>
      <c r="Y14" s="30" t="s">
        <v>239</v>
      </c>
      <c r="Z14" s="67" t="s">
        <v>9</v>
      </c>
      <c r="AA14" s="61" t="s">
        <v>264</v>
      </c>
      <c r="AB14" s="67" t="s">
        <v>9</v>
      </c>
      <c r="AC14" s="30" t="s">
        <v>183</v>
      </c>
      <c r="AD14" s="67" t="s">
        <v>9</v>
      </c>
    </row>
    <row r="15" spans="1:30" ht="6.65" customHeight="1" x14ac:dyDescent="0.4">
      <c r="A15" s="56">
        <v>15</v>
      </c>
      <c r="B15" s="1" t="s">
        <v>262</v>
      </c>
      <c r="C15" s="33" t="s">
        <v>263</v>
      </c>
      <c r="D15" s="1" t="s">
        <v>233</v>
      </c>
      <c r="E15" s="43" t="s">
        <v>45</v>
      </c>
      <c r="F15" s="62" t="s">
        <v>100</v>
      </c>
      <c r="G15" s="63" t="s">
        <v>9</v>
      </c>
      <c r="H15" s="57" t="s">
        <v>9</v>
      </c>
      <c r="I15" s="57" t="s">
        <v>9</v>
      </c>
      <c r="J15" s="57" t="s">
        <v>9</v>
      </c>
      <c r="K15" s="57" t="s">
        <v>9</v>
      </c>
      <c r="L15" s="34" t="str">
        <f t="shared" si="3"/>
        <v>LuminoTécnicos</v>
      </c>
      <c r="M15" s="34" t="str">
        <f t="shared" si="4"/>
        <v>Elemento.Iluminação</v>
      </c>
      <c r="N15" s="34" t="str">
        <f t="shared" si="5"/>
        <v>Luminária</v>
      </c>
      <c r="O15" s="30" t="str">
        <f t="shared" si="10"/>
        <v>Luz.Embutida.Orientável</v>
      </c>
      <c r="P15" s="30" t="s">
        <v>120</v>
      </c>
      <c r="Q15" s="30" t="s">
        <v>135</v>
      </c>
      <c r="R15" s="30" t="s">
        <v>163</v>
      </c>
      <c r="S15" s="30" t="s">
        <v>9</v>
      </c>
      <c r="T15" s="30" t="s">
        <v>44</v>
      </c>
      <c r="U15" s="30" t="s">
        <v>184</v>
      </c>
      <c r="V15" s="30" t="s">
        <v>238</v>
      </c>
      <c r="W15" s="30" t="s">
        <v>237</v>
      </c>
      <c r="X15" s="58" t="str">
        <f t="shared" si="9"/>
        <v>Key-ILUM-15</v>
      </c>
      <c r="Y15" s="30" t="s">
        <v>239</v>
      </c>
      <c r="Z15" s="67" t="s">
        <v>9</v>
      </c>
      <c r="AA15" s="61" t="s">
        <v>264</v>
      </c>
      <c r="AB15" s="67" t="s">
        <v>9</v>
      </c>
      <c r="AC15" s="30" t="s">
        <v>183</v>
      </c>
      <c r="AD15" s="67" t="s">
        <v>9</v>
      </c>
    </row>
    <row r="16" spans="1:30" ht="6.65" customHeight="1" x14ac:dyDescent="0.4">
      <c r="A16" s="56">
        <v>16</v>
      </c>
      <c r="B16" s="1" t="s">
        <v>262</v>
      </c>
      <c r="C16" s="33" t="s">
        <v>263</v>
      </c>
      <c r="D16" s="1" t="s">
        <v>233</v>
      </c>
      <c r="E16" s="43" t="s">
        <v>45</v>
      </c>
      <c r="F16" s="62" t="s">
        <v>109</v>
      </c>
      <c r="G16" s="63" t="s">
        <v>9</v>
      </c>
      <c r="H16" s="57" t="s">
        <v>9</v>
      </c>
      <c r="I16" s="57" t="s">
        <v>9</v>
      </c>
      <c r="J16" s="57" t="s">
        <v>9</v>
      </c>
      <c r="K16" s="57" t="s">
        <v>9</v>
      </c>
      <c r="L16" s="34" t="str">
        <f t="shared" ref="L16" si="11">CONCATENATE("", C16)</f>
        <v>LuminoTécnicos</v>
      </c>
      <c r="M16" s="34" t="str">
        <f t="shared" ref="M16" si="12">CONCATENATE("", D16)</f>
        <v>Elemento.Iluminação</v>
      </c>
      <c r="N16" s="34" t="str">
        <f t="shared" ref="N16" si="13">(SUBSTITUTE(SUBSTITUTE(CONCATENATE("",E16),"."," ")," De "," de "))</f>
        <v>Luminária</v>
      </c>
      <c r="O16" s="30" t="str">
        <f t="shared" ref="O16" si="14">IF(ISNUMBER(FIND("Ifc",F16)),CONCATENATE("Classe IFC:   ",F16),CONCATENATE("",F16))</f>
        <v>Luz.Externa</v>
      </c>
      <c r="P16" s="30" t="s">
        <v>252</v>
      </c>
      <c r="Q16" s="30" t="s">
        <v>253</v>
      </c>
      <c r="R16" s="30" t="s">
        <v>251</v>
      </c>
      <c r="S16" s="30" t="s">
        <v>9</v>
      </c>
      <c r="T16" s="30" t="s">
        <v>44</v>
      </c>
      <c r="U16" s="30" t="s">
        <v>184</v>
      </c>
      <c r="V16" s="30" t="s">
        <v>238</v>
      </c>
      <c r="W16" s="30" t="s">
        <v>237</v>
      </c>
      <c r="X16" s="58" t="str">
        <f t="shared" si="9"/>
        <v>Key-ILUM-16</v>
      </c>
      <c r="Y16" s="30" t="s">
        <v>239</v>
      </c>
      <c r="Z16" s="67" t="s">
        <v>9</v>
      </c>
      <c r="AA16" s="61" t="s">
        <v>264</v>
      </c>
      <c r="AB16" s="67" t="s">
        <v>9</v>
      </c>
      <c r="AC16" s="30" t="s">
        <v>183</v>
      </c>
      <c r="AD16" s="67" t="s">
        <v>9</v>
      </c>
    </row>
    <row r="17" spans="1:30" ht="6.65" customHeight="1" x14ac:dyDescent="0.4">
      <c r="A17" s="56">
        <v>17</v>
      </c>
      <c r="B17" s="1" t="s">
        <v>262</v>
      </c>
      <c r="C17" s="33" t="s">
        <v>263</v>
      </c>
      <c r="D17" s="1" t="s">
        <v>233</v>
      </c>
      <c r="E17" s="43" t="s">
        <v>45</v>
      </c>
      <c r="F17" s="62" t="s">
        <v>247</v>
      </c>
      <c r="G17" s="63" t="s">
        <v>9</v>
      </c>
      <c r="H17" s="57" t="s">
        <v>9</v>
      </c>
      <c r="I17" s="57" t="s">
        <v>9</v>
      </c>
      <c r="J17" s="57" t="s">
        <v>9</v>
      </c>
      <c r="K17" s="57" t="s">
        <v>9</v>
      </c>
      <c r="L17" s="34" t="str">
        <f t="shared" si="3"/>
        <v>LuminoTécnicos</v>
      </c>
      <c r="M17" s="34" t="str">
        <f t="shared" si="4"/>
        <v>Elemento.Iluminação</v>
      </c>
      <c r="N17" s="34" t="str">
        <f t="shared" si="5"/>
        <v>Luminária</v>
      </c>
      <c r="O17" s="30" t="str">
        <f t="shared" si="10"/>
        <v>Luz.Externa.Urbana</v>
      </c>
      <c r="P17" s="30" t="s">
        <v>249</v>
      </c>
      <c r="Q17" s="30" t="s">
        <v>248</v>
      </c>
      <c r="R17" s="30" t="s">
        <v>250</v>
      </c>
      <c r="S17" s="30" t="s">
        <v>9</v>
      </c>
      <c r="T17" s="30" t="s">
        <v>44</v>
      </c>
      <c r="U17" s="30" t="s">
        <v>184</v>
      </c>
      <c r="V17" s="30" t="s">
        <v>238</v>
      </c>
      <c r="W17" s="30" t="s">
        <v>237</v>
      </c>
      <c r="X17" s="58" t="str">
        <f t="shared" si="9"/>
        <v>Key-ILUM-17</v>
      </c>
      <c r="Y17" s="30" t="s">
        <v>239</v>
      </c>
      <c r="Z17" s="67" t="s">
        <v>9</v>
      </c>
      <c r="AA17" s="61" t="s">
        <v>264</v>
      </c>
      <c r="AB17" s="67" t="s">
        <v>9</v>
      </c>
      <c r="AC17" s="30" t="s">
        <v>183</v>
      </c>
      <c r="AD17" s="67" t="s">
        <v>9</v>
      </c>
    </row>
    <row r="18" spans="1:30" ht="6.65" customHeight="1" x14ac:dyDescent="0.4">
      <c r="A18" s="56">
        <v>18</v>
      </c>
      <c r="B18" s="1" t="s">
        <v>262</v>
      </c>
      <c r="C18" s="33" t="s">
        <v>263</v>
      </c>
      <c r="D18" s="1" t="s">
        <v>233</v>
      </c>
      <c r="E18" s="43" t="s">
        <v>45</v>
      </c>
      <c r="F18" s="62" t="s">
        <v>110</v>
      </c>
      <c r="G18" s="63" t="s">
        <v>9</v>
      </c>
      <c r="H18" s="57" t="s">
        <v>9</v>
      </c>
      <c r="I18" s="57" t="s">
        <v>9</v>
      </c>
      <c r="J18" s="57" t="s">
        <v>9</v>
      </c>
      <c r="K18" s="57" t="s">
        <v>9</v>
      </c>
      <c r="L18" s="34" t="str">
        <f t="shared" si="3"/>
        <v>LuminoTécnicos</v>
      </c>
      <c r="M18" s="34" t="str">
        <f t="shared" si="4"/>
        <v>Elemento.Iluminação</v>
      </c>
      <c r="N18" s="34" t="str">
        <f t="shared" si="5"/>
        <v>Luminária</v>
      </c>
      <c r="O18" s="30" t="str">
        <f t="shared" si="10"/>
        <v>Luz.Feixe.Amplo</v>
      </c>
      <c r="P18" s="30" t="s">
        <v>121</v>
      </c>
      <c r="Q18" s="30" t="s">
        <v>151</v>
      </c>
      <c r="R18" s="30" t="s">
        <v>175</v>
      </c>
      <c r="S18" s="30" t="s">
        <v>9</v>
      </c>
      <c r="T18" s="30" t="s">
        <v>44</v>
      </c>
      <c r="U18" s="30" t="s">
        <v>184</v>
      </c>
      <c r="V18" s="30" t="s">
        <v>238</v>
      </c>
      <c r="W18" s="30" t="s">
        <v>237</v>
      </c>
      <c r="X18" s="58" t="str">
        <f t="shared" si="9"/>
        <v>Key-ILUM-18</v>
      </c>
      <c r="Y18" s="30" t="s">
        <v>239</v>
      </c>
      <c r="Z18" s="67" t="s">
        <v>9</v>
      </c>
      <c r="AA18" s="61" t="s">
        <v>264</v>
      </c>
      <c r="AB18" s="67" t="s">
        <v>9</v>
      </c>
      <c r="AC18" s="30" t="s">
        <v>183</v>
      </c>
      <c r="AD18" s="67" t="s">
        <v>9</v>
      </c>
    </row>
    <row r="19" spans="1:30" ht="6.65" customHeight="1" x14ac:dyDescent="0.4">
      <c r="A19" s="56">
        <v>19</v>
      </c>
      <c r="B19" s="1" t="s">
        <v>262</v>
      </c>
      <c r="C19" s="33" t="s">
        <v>263</v>
      </c>
      <c r="D19" s="1" t="s">
        <v>233</v>
      </c>
      <c r="E19" s="43" t="s">
        <v>45</v>
      </c>
      <c r="F19" s="62" t="s">
        <v>105</v>
      </c>
      <c r="G19" s="63" t="s">
        <v>9</v>
      </c>
      <c r="H19" s="57" t="s">
        <v>9</v>
      </c>
      <c r="I19" s="57" t="s">
        <v>9</v>
      </c>
      <c r="J19" s="57" t="s">
        <v>9</v>
      </c>
      <c r="K19" s="57" t="s">
        <v>9</v>
      </c>
      <c r="L19" s="34" t="str">
        <f t="shared" si="3"/>
        <v>LuminoTécnicos</v>
      </c>
      <c r="M19" s="34" t="str">
        <f t="shared" si="4"/>
        <v>Elemento.Iluminação</v>
      </c>
      <c r="N19" s="34" t="str">
        <f t="shared" si="5"/>
        <v>Luminária</v>
      </c>
      <c r="O19" s="30" t="str">
        <f t="shared" si="10"/>
        <v>Luz.Gôndola</v>
      </c>
      <c r="P19" s="30" t="s">
        <v>122</v>
      </c>
      <c r="Q19" s="30" t="s">
        <v>152</v>
      </c>
      <c r="R19" s="30" t="s">
        <v>164</v>
      </c>
      <c r="S19" s="30" t="s">
        <v>9</v>
      </c>
      <c r="T19" s="30" t="s">
        <v>44</v>
      </c>
      <c r="U19" s="30" t="s">
        <v>184</v>
      </c>
      <c r="V19" s="30" t="s">
        <v>238</v>
      </c>
      <c r="W19" s="30" t="s">
        <v>237</v>
      </c>
      <c r="X19" s="58" t="str">
        <f t="shared" si="9"/>
        <v>Key-ILUM-19</v>
      </c>
      <c r="Y19" s="30" t="s">
        <v>239</v>
      </c>
      <c r="Z19" s="67" t="s">
        <v>9</v>
      </c>
      <c r="AA19" s="61" t="s">
        <v>264</v>
      </c>
      <c r="AB19" s="67" t="s">
        <v>9</v>
      </c>
      <c r="AC19" s="30" t="s">
        <v>183</v>
      </c>
      <c r="AD19" s="67" t="s">
        <v>9</v>
      </c>
    </row>
    <row r="20" spans="1:30" ht="6.65" customHeight="1" x14ac:dyDescent="0.4">
      <c r="A20" s="56">
        <v>20</v>
      </c>
      <c r="B20" s="1" t="s">
        <v>262</v>
      </c>
      <c r="C20" s="33" t="s">
        <v>263</v>
      </c>
      <c r="D20" s="1" t="s">
        <v>233</v>
      </c>
      <c r="E20" s="43" t="s">
        <v>45</v>
      </c>
      <c r="F20" s="62" t="s">
        <v>102</v>
      </c>
      <c r="G20" s="63" t="s">
        <v>9</v>
      </c>
      <c r="H20" s="57" t="s">
        <v>9</v>
      </c>
      <c r="I20" s="57" t="s">
        <v>9</v>
      </c>
      <c r="J20" s="57" t="s">
        <v>9</v>
      </c>
      <c r="K20" s="57" t="s">
        <v>9</v>
      </c>
      <c r="L20" s="34" t="str">
        <f t="shared" si="3"/>
        <v>LuminoTécnicos</v>
      </c>
      <c r="M20" s="34" t="str">
        <f t="shared" si="4"/>
        <v>Elemento.Iluminação</v>
      </c>
      <c r="N20" s="34" t="str">
        <f t="shared" si="5"/>
        <v>Luminária</v>
      </c>
      <c r="O20" s="30" t="str">
        <f t="shared" si="10"/>
        <v>Luz.Grande.Altura</v>
      </c>
      <c r="P20" s="30" t="s">
        <v>123</v>
      </c>
      <c r="Q20" s="30" t="s">
        <v>153</v>
      </c>
      <c r="R20" s="30" t="s">
        <v>165</v>
      </c>
      <c r="S20" s="30" t="s">
        <v>9</v>
      </c>
      <c r="T20" s="30" t="s">
        <v>44</v>
      </c>
      <c r="U20" s="30" t="s">
        <v>184</v>
      </c>
      <c r="V20" s="30" t="s">
        <v>238</v>
      </c>
      <c r="W20" s="30" t="s">
        <v>237</v>
      </c>
      <c r="X20" s="58" t="str">
        <f t="shared" si="9"/>
        <v>Key-ILUM-20</v>
      </c>
      <c r="Y20" s="30" t="s">
        <v>239</v>
      </c>
      <c r="Z20" s="67" t="s">
        <v>9</v>
      </c>
      <c r="AA20" s="61" t="s">
        <v>264</v>
      </c>
      <c r="AB20" s="67" t="s">
        <v>9</v>
      </c>
      <c r="AC20" s="30" t="s">
        <v>183</v>
      </c>
      <c r="AD20" s="67" t="s">
        <v>9</v>
      </c>
    </row>
    <row r="21" spans="1:30" ht="6.65" customHeight="1" x14ac:dyDescent="0.4">
      <c r="A21" s="56">
        <v>21</v>
      </c>
      <c r="B21" s="1" t="s">
        <v>262</v>
      </c>
      <c r="C21" s="33" t="s">
        <v>263</v>
      </c>
      <c r="D21" s="1" t="s">
        <v>233</v>
      </c>
      <c r="E21" s="43" t="s">
        <v>45</v>
      </c>
      <c r="F21" s="62" t="s">
        <v>101</v>
      </c>
      <c r="G21" s="63" t="s">
        <v>9</v>
      </c>
      <c r="H21" s="57" t="s">
        <v>9</v>
      </c>
      <c r="I21" s="57" t="s">
        <v>9</v>
      </c>
      <c r="J21" s="57" t="s">
        <v>9</v>
      </c>
      <c r="K21" s="57" t="s">
        <v>9</v>
      </c>
      <c r="L21" s="34" t="str">
        <f t="shared" si="3"/>
        <v>LuminoTécnicos</v>
      </c>
      <c r="M21" s="34" t="str">
        <f t="shared" si="4"/>
        <v>Elemento.Iluminação</v>
      </c>
      <c r="N21" s="34" t="str">
        <f t="shared" si="5"/>
        <v>Luminária</v>
      </c>
      <c r="O21" s="30" t="str">
        <f t="shared" si="10"/>
        <v>Luz.Hermética</v>
      </c>
      <c r="P21" s="30" t="s">
        <v>124</v>
      </c>
      <c r="Q21" s="30" t="s">
        <v>145</v>
      </c>
      <c r="R21" s="30" t="s">
        <v>166</v>
      </c>
      <c r="S21" s="30" t="s">
        <v>9</v>
      </c>
      <c r="T21" s="30" t="s">
        <v>44</v>
      </c>
      <c r="U21" s="30" t="s">
        <v>184</v>
      </c>
      <c r="V21" s="30" t="s">
        <v>238</v>
      </c>
      <c r="W21" s="30" t="s">
        <v>237</v>
      </c>
      <c r="X21" s="58" t="str">
        <f t="shared" si="9"/>
        <v>Key-ILUM-21</v>
      </c>
      <c r="Y21" s="30" t="s">
        <v>239</v>
      </c>
      <c r="Z21" s="67" t="s">
        <v>9</v>
      </c>
      <c r="AA21" s="61" t="s">
        <v>264</v>
      </c>
      <c r="AB21" s="67" t="s">
        <v>9</v>
      </c>
      <c r="AC21" s="30" t="s">
        <v>183</v>
      </c>
      <c r="AD21" s="67" t="s">
        <v>9</v>
      </c>
    </row>
    <row r="22" spans="1:30" ht="6.65" customHeight="1" x14ac:dyDescent="0.4">
      <c r="A22" s="56">
        <v>22</v>
      </c>
      <c r="B22" s="1" t="s">
        <v>262</v>
      </c>
      <c r="C22" s="33" t="s">
        <v>263</v>
      </c>
      <c r="D22" s="1" t="s">
        <v>233</v>
      </c>
      <c r="E22" s="43" t="s">
        <v>45</v>
      </c>
      <c r="F22" s="62" t="s">
        <v>113</v>
      </c>
      <c r="G22" s="63" t="s">
        <v>9</v>
      </c>
      <c r="H22" s="57" t="s">
        <v>9</v>
      </c>
      <c r="I22" s="57" t="s">
        <v>9</v>
      </c>
      <c r="J22" s="57" t="s">
        <v>9</v>
      </c>
      <c r="K22" s="57" t="s">
        <v>9</v>
      </c>
      <c r="L22" s="34" t="str">
        <f t="shared" si="3"/>
        <v>LuminoTécnicos</v>
      </c>
      <c r="M22" s="34" t="str">
        <f t="shared" si="4"/>
        <v>Elemento.Iluminação</v>
      </c>
      <c r="N22" s="34" t="str">
        <f t="shared" si="5"/>
        <v>Luminária</v>
      </c>
      <c r="O22" s="30" t="str">
        <f t="shared" si="10"/>
        <v>Luz.LEDFita</v>
      </c>
      <c r="P22" s="30" t="s">
        <v>125</v>
      </c>
      <c r="Q22" s="30" t="s">
        <v>137</v>
      </c>
      <c r="R22" s="30" t="s">
        <v>167</v>
      </c>
      <c r="S22" s="30" t="s">
        <v>9</v>
      </c>
      <c r="T22" s="30" t="s">
        <v>44</v>
      </c>
      <c r="U22" s="30" t="s">
        <v>184</v>
      </c>
      <c r="V22" s="30" t="s">
        <v>238</v>
      </c>
      <c r="W22" s="30" t="s">
        <v>237</v>
      </c>
      <c r="X22" s="58" t="str">
        <f t="shared" si="9"/>
        <v>Key-ILUM-22</v>
      </c>
      <c r="Y22" s="30" t="s">
        <v>239</v>
      </c>
      <c r="Z22" s="67" t="s">
        <v>9</v>
      </c>
      <c r="AA22" s="61" t="s">
        <v>265</v>
      </c>
      <c r="AB22" s="67" t="s">
        <v>9</v>
      </c>
      <c r="AC22" s="30" t="s">
        <v>183</v>
      </c>
      <c r="AD22" s="67" t="s">
        <v>9</v>
      </c>
    </row>
    <row r="23" spans="1:30" ht="6.65" customHeight="1" x14ac:dyDescent="0.4">
      <c r="A23" s="56">
        <v>23</v>
      </c>
      <c r="B23" s="1" t="s">
        <v>262</v>
      </c>
      <c r="C23" s="33" t="s">
        <v>263</v>
      </c>
      <c r="D23" s="1" t="s">
        <v>233</v>
      </c>
      <c r="E23" s="43" t="s">
        <v>45</v>
      </c>
      <c r="F23" s="62" t="s">
        <v>112</v>
      </c>
      <c r="G23" s="63" t="s">
        <v>9</v>
      </c>
      <c r="H23" s="57" t="s">
        <v>9</v>
      </c>
      <c r="I23" s="57" t="s">
        <v>9</v>
      </c>
      <c r="J23" s="57" t="s">
        <v>9</v>
      </c>
      <c r="K23" s="57" t="s">
        <v>9</v>
      </c>
      <c r="L23" s="34" t="str">
        <f t="shared" si="3"/>
        <v>LuminoTécnicos</v>
      </c>
      <c r="M23" s="34" t="str">
        <f t="shared" si="4"/>
        <v>Elemento.Iluminação</v>
      </c>
      <c r="N23" s="34" t="str">
        <f t="shared" si="5"/>
        <v>Luminária</v>
      </c>
      <c r="O23" s="30" t="str">
        <f t="shared" si="10"/>
        <v>Luz.LEDTubular</v>
      </c>
      <c r="P23" s="30" t="s">
        <v>126</v>
      </c>
      <c r="Q23" s="30" t="s">
        <v>136</v>
      </c>
      <c r="R23" s="30" t="s">
        <v>168</v>
      </c>
      <c r="S23" s="30" t="s">
        <v>9</v>
      </c>
      <c r="T23" s="30" t="s">
        <v>44</v>
      </c>
      <c r="U23" s="30" t="s">
        <v>184</v>
      </c>
      <c r="V23" s="30" t="s">
        <v>238</v>
      </c>
      <c r="W23" s="30" t="s">
        <v>237</v>
      </c>
      <c r="X23" s="58" t="str">
        <f t="shared" si="9"/>
        <v>Key-ILUM-23</v>
      </c>
      <c r="Y23" s="30" t="s">
        <v>239</v>
      </c>
      <c r="Z23" s="67" t="s">
        <v>9</v>
      </c>
      <c r="AA23" s="61" t="s">
        <v>265</v>
      </c>
      <c r="AB23" s="67" t="s">
        <v>9</v>
      </c>
      <c r="AC23" s="30" t="s">
        <v>183</v>
      </c>
      <c r="AD23" s="67" t="s">
        <v>9</v>
      </c>
    </row>
    <row r="24" spans="1:30" ht="6.65" customHeight="1" x14ac:dyDescent="0.4">
      <c r="A24" s="56">
        <v>24</v>
      </c>
      <c r="B24" s="1" t="s">
        <v>262</v>
      </c>
      <c r="C24" s="33" t="s">
        <v>263</v>
      </c>
      <c r="D24" s="1" t="s">
        <v>233</v>
      </c>
      <c r="E24" s="43" t="s">
        <v>45</v>
      </c>
      <c r="F24" s="62" t="s">
        <v>241</v>
      </c>
      <c r="G24" s="63" t="s">
        <v>9</v>
      </c>
      <c r="H24" s="57" t="s">
        <v>9</v>
      </c>
      <c r="I24" s="57" t="s">
        <v>9</v>
      </c>
      <c r="J24" s="57" t="s">
        <v>9</v>
      </c>
      <c r="K24" s="57" t="s">
        <v>9</v>
      </c>
      <c r="L24" s="34" t="str">
        <f t="shared" ref="L24" si="15">CONCATENATE("", C24)</f>
        <v>LuminoTécnicos</v>
      </c>
      <c r="M24" s="34" t="str">
        <f t="shared" ref="M24" si="16">CONCATENATE("", D24)</f>
        <v>Elemento.Iluminação</v>
      </c>
      <c r="N24" s="34" t="str">
        <f t="shared" ref="N24" si="17">(SUBSTITUTE(SUBSTITUTE(CONCATENATE("",E24),"."," ")," De "," de "))</f>
        <v>Luminária</v>
      </c>
      <c r="O24" s="30" t="str">
        <f t="shared" ref="O24" si="18">IF(ISNUMBER(FIND("Ifc",F24)),CONCATENATE("Classe IFC:   ",F24),CONCATENATE("",F24))</f>
        <v>Luz.TuboFluorescente</v>
      </c>
      <c r="P24" s="30" t="s">
        <v>242</v>
      </c>
      <c r="Q24" s="30" t="s">
        <v>243</v>
      </c>
      <c r="R24" s="30" t="s">
        <v>244</v>
      </c>
      <c r="S24" s="30" t="s">
        <v>9</v>
      </c>
      <c r="T24" s="30" t="s">
        <v>44</v>
      </c>
      <c r="U24" s="30" t="s">
        <v>184</v>
      </c>
      <c r="V24" s="30" t="s">
        <v>238</v>
      </c>
      <c r="W24" s="30" t="s">
        <v>237</v>
      </c>
      <c r="X24" s="58" t="str">
        <f t="shared" si="9"/>
        <v>Key-ILUM-24</v>
      </c>
      <c r="Y24" s="30" t="s">
        <v>239</v>
      </c>
      <c r="Z24" s="67" t="s">
        <v>9</v>
      </c>
      <c r="AA24" s="61" t="s">
        <v>264</v>
      </c>
      <c r="AB24" s="67" t="s">
        <v>9</v>
      </c>
      <c r="AC24" s="30" t="s">
        <v>183</v>
      </c>
      <c r="AD24" s="67" t="s">
        <v>9</v>
      </c>
    </row>
    <row r="25" spans="1:30" ht="6.65" customHeight="1" x14ac:dyDescent="0.4">
      <c r="A25" s="56">
        <v>25</v>
      </c>
      <c r="B25" s="1" t="s">
        <v>262</v>
      </c>
      <c r="C25" s="33" t="s">
        <v>263</v>
      </c>
      <c r="D25" s="1" t="s">
        <v>233</v>
      </c>
      <c r="E25" s="43" t="s">
        <v>45</v>
      </c>
      <c r="F25" s="62" t="s">
        <v>103</v>
      </c>
      <c r="G25" s="63" t="s">
        <v>9</v>
      </c>
      <c r="H25" s="57" t="s">
        <v>9</v>
      </c>
      <c r="I25" s="57" t="s">
        <v>9</v>
      </c>
      <c r="J25" s="57" t="s">
        <v>9</v>
      </c>
      <c r="K25" s="57" t="s">
        <v>9</v>
      </c>
      <c r="L25" s="34" t="str">
        <f t="shared" si="3"/>
        <v>LuminoTécnicos</v>
      </c>
      <c r="M25" s="34" t="str">
        <f t="shared" si="4"/>
        <v>Elemento.Iluminação</v>
      </c>
      <c r="N25" s="34" t="str">
        <f t="shared" si="5"/>
        <v>Luminária</v>
      </c>
      <c r="O25" s="30" t="str">
        <f t="shared" si="10"/>
        <v>Luz.Linear</v>
      </c>
      <c r="P25" s="30" t="s">
        <v>127</v>
      </c>
      <c r="Q25" s="30" t="s">
        <v>138</v>
      </c>
      <c r="R25" s="30" t="s">
        <v>169</v>
      </c>
      <c r="S25" s="30" t="s">
        <v>9</v>
      </c>
      <c r="T25" s="30" t="s">
        <v>44</v>
      </c>
      <c r="U25" s="30" t="s">
        <v>184</v>
      </c>
      <c r="V25" s="30" t="s">
        <v>238</v>
      </c>
      <c r="W25" s="30" t="s">
        <v>237</v>
      </c>
      <c r="X25" s="58" t="str">
        <f t="shared" si="9"/>
        <v>Key-ILUM-25</v>
      </c>
      <c r="Y25" s="30" t="s">
        <v>239</v>
      </c>
      <c r="Z25" s="67" t="s">
        <v>9</v>
      </c>
      <c r="AA25" s="61" t="s">
        <v>264</v>
      </c>
      <c r="AB25" s="67" t="s">
        <v>9</v>
      </c>
      <c r="AC25" s="30" t="s">
        <v>183</v>
      </c>
      <c r="AD25" s="67" t="s">
        <v>9</v>
      </c>
    </row>
    <row r="26" spans="1:30" ht="6.65" customHeight="1" x14ac:dyDescent="0.4">
      <c r="A26" s="56">
        <v>26</v>
      </c>
      <c r="B26" s="1" t="s">
        <v>262</v>
      </c>
      <c r="C26" s="33" t="s">
        <v>263</v>
      </c>
      <c r="D26" s="1" t="s">
        <v>233</v>
      </c>
      <c r="E26" s="43" t="s">
        <v>45</v>
      </c>
      <c r="F26" s="62" t="s">
        <v>104</v>
      </c>
      <c r="G26" s="63" t="s">
        <v>9</v>
      </c>
      <c r="H26" s="57" t="s">
        <v>9</v>
      </c>
      <c r="I26" s="57" t="s">
        <v>9</v>
      </c>
      <c r="J26" s="57" t="s">
        <v>9</v>
      </c>
      <c r="K26" s="57" t="s">
        <v>9</v>
      </c>
      <c r="L26" s="34" t="str">
        <f t="shared" si="3"/>
        <v>LuminoTécnicos</v>
      </c>
      <c r="M26" s="34" t="str">
        <f t="shared" si="4"/>
        <v>Elemento.Iluminação</v>
      </c>
      <c r="N26" s="34" t="str">
        <f t="shared" si="5"/>
        <v>Luminária</v>
      </c>
      <c r="O26" s="30" t="str">
        <f t="shared" si="10"/>
        <v>Luz.Painel</v>
      </c>
      <c r="P26" s="30" t="s">
        <v>128</v>
      </c>
      <c r="Q26" s="30" t="s">
        <v>139</v>
      </c>
      <c r="R26" s="30" t="s">
        <v>170</v>
      </c>
      <c r="S26" s="30" t="s">
        <v>9</v>
      </c>
      <c r="T26" s="30" t="s">
        <v>44</v>
      </c>
      <c r="U26" s="30" t="s">
        <v>184</v>
      </c>
      <c r="V26" s="30" t="s">
        <v>238</v>
      </c>
      <c r="W26" s="30" t="s">
        <v>237</v>
      </c>
      <c r="X26" s="58" t="str">
        <f t="shared" si="9"/>
        <v>Key-ILUM-26</v>
      </c>
      <c r="Y26" s="30" t="s">
        <v>239</v>
      </c>
      <c r="Z26" s="67" t="s">
        <v>9</v>
      </c>
      <c r="AA26" s="61" t="s">
        <v>264</v>
      </c>
      <c r="AB26" s="67" t="s">
        <v>9</v>
      </c>
      <c r="AC26" s="30" t="s">
        <v>183</v>
      </c>
      <c r="AD26" s="67" t="s">
        <v>9</v>
      </c>
    </row>
    <row r="27" spans="1:30" ht="6.65" customHeight="1" x14ac:dyDescent="0.4">
      <c r="A27" s="56">
        <v>27</v>
      </c>
      <c r="B27" s="1" t="s">
        <v>262</v>
      </c>
      <c r="C27" s="33" t="s">
        <v>263</v>
      </c>
      <c r="D27" s="1" t="s">
        <v>233</v>
      </c>
      <c r="E27" s="43" t="s">
        <v>45</v>
      </c>
      <c r="F27" s="62" t="s">
        <v>106</v>
      </c>
      <c r="G27" s="63" t="s">
        <v>9</v>
      </c>
      <c r="H27" s="57" t="s">
        <v>9</v>
      </c>
      <c r="I27" s="57" t="s">
        <v>9</v>
      </c>
      <c r="J27" s="57" t="s">
        <v>9</v>
      </c>
      <c r="K27" s="57" t="s">
        <v>9</v>
      </c>
      <c r="L27" s="34" t="str">
        <f t="shared" si="3"/>
        <v>LuminoTécnicos</v>
      </c>
      <c r="M27" s="34" t="str">
        <f t="shared" si="4"/>
        <v>Elemento.Iluminação</v>
      </c>
      <c r="N27" s="34" t="str">
        <f t="shared" si="5"/>
        <v>Luminária</v>
      </c>
      <c r="O27" s="30" t="str">
        <f t="shared" si="10"/>
        <v>Luz.Pendente</v>
      </c>
      <c r="P27" s="30" t="s">
        <v>129</v>
      </c>
      <c r="Q27" s="30" t="s">
        <v>140</v>
      </c>
      <c r="R27" s="30" t="s">
        <v>176</v>
      </c>
      <c r="S27" s="30" t="s">
        <v>9</v>
      </c>
      <c r="T27" s="30" t="s">
        <v>44</v>
      </c>
      <c r="U27" s="30" t="s">
        <v>184</v>
      </c>
      <c r="V27" s="30" t="s">
        <v>238</v>
      </c>
      <c r="W27" s="30" t="s">
        <v>237</v>
      </c>
      <c r="X27" s="58" t="str">
        <f t="shared" si="9"/>
        <v>Key-ILUM-27</v>
      </c>
      <c r="Y27" s="30" t="s">
        <v>239</v>
      </c>
      <c r="Z27" s="67" t="s">
        <v>9</v>
      </c>
      <c r="AA27" s="61" t="s">
        <v>264</v>
      </c>
      <c r="AB27" s="67" t="s">
        <v>9</v>
      </c>
      <c r="AC27" s="30" t="s">
        <v>183</v>
      </c>
      <c r="AD27" s="67" t="s">
        <v>9</v>
      </c>
    </row>
    <row r="28" spans="1:30" ht="6.65" customHeight="1" x14ac:dyDescent="0.4">
      <c r="A28" s="56">
        <v>28</v>
      </c>
      <c r="B28" s="1" t="s">
        <v>262</v>
      </c>
      <c r="C28" s="33" t="s">
        <v>263</v>
      </c>
      <c r="D28" s="1" t="s">
        <v>233</v>
      </c>
      <c r="E28" s="43" t="s">
        <v>45</v>
      </c>
      <c r="F28" s="62" t="s">
        <v>107</v>
      </c>
      <c r="G28" s="63" t="s">
        <v>9</v>
      </c>
      <c r="H28" s="57" t="s">
        <v>9</v>
      </c>
      <c r="I28" s="57" t="s">
        <v>9</v>
      </c>
      <c r="J28" s="57" t="s">
        <v>9</v>
      </c>
      <c r="K28" s="57" t="s">
        <v>9</v>
      </c>
      <c r="L28" s="34" t="str">
        <f t="shared" si="3"/>
        <v>LuminoTécnicos</v>
      </c>
      <c r="M28" s="34" t="str">
        <f t="shared" si="4"/>
        <v>Elemento.Iluminação</v>
      </c>
      <c r="N28" s="34" t="str">
        <f t="shared" si="5"/>
        <v>Luminária</v>
      </c>
      <c r="O28" s="30" t="str">
        <f t="shared" si="10"/>
        <v>Luz.Plafon</v>
      </c>
      <c r="P28" s="30" t="s">
        <v>130</v>
      </c>
      <c r="Q28" s="30" t="s">
        <v>141</v>
      </c>
      <c r="R28" s="30" t="s">
        <v>171</v>
      </c>
      <c r="S28" s="30" t="s">
        <v>9</v>
      </c>
      <c r="T28" s="30" t="s">
        <v>44</v>
      </c>
      <c r="U28" s="30" t="s">
        <v>184</v>
      </c>
      <c r="V28" s="30" t="s">
        <v>238</v>
      </c>
      <c r="W28" s="30" t="s">
        <v>237</v>
      </c>
      <c r="X28" s="58" t="str">
        <f t="shared" si="9"/>
        <v>Key-ILUM-28</v>
      </c>
      <c r="Y28" s="30" t="s">
        <v>239</v>
      </c>
      <c r="Z28" s="67" t="s">
        <v>9</v>
      </c>
      <c r="AA28" s="61" t="s">
        <v>264</v>
      </c>
      <c r="AB28" s="67" t="s">
        <v>9</v>
      </c>
      <c r="AC28" s="30" t="s">
        <v>183</v>
      </c>
      <c r="AD28" s="67" t="s">
        <v>9</v>
      </c>
    </row>
    <row r="29" spans="1:30" ht="6.65" customHeight="1" x14ac:dyDescent="0.4">
      <c r="A29" s="56">
        <v>29</v>
      </c>
      <c r="B29" s="1" t="s">
        <v>262</v>
      </c>
      <c r="C29" s="33" t="s">
        <v>263</v>
      </c>
      <c r="D29" s="1" t="s">
        <v>233</v>
      </c>
      <c r="E29" s="43" t="s">
        <v>45</v>
      </c>
      <c r="F29" s="62" t="s">
        <v>246</v>
      </c>
      <c r="G29" s="63" t="s">
        <v>9</v>
      </c>
      <c r="H29" s="57" t="s">
        <v>9</v>
      </c>
      <c r="I29" s="57" t="s">
        <v>9</v>
      </c>
      <c r="J29" s="57" t="s">
        <v>9</v>
      </c>
      <c r="K29" s="57" t="s">
        <v>9</v>
      </c>
      <c r="L29" s="34" t="str">
        <f t="shared" si="3"/>
        <v>LuminoTécnicos</v>
      </c>
      <c r="M29" s="34" t="str">
        <f t="shared" si="4"/>
        <v>Elemento.Iluminação</v>
      </c>
      <c r="N29" s="34" t="str">
        <f t="shared" si="5"/>
        <v>Luminária</v>
      </c>
      <c r="O29" s="30" t="str">
        <f t="shared" si="10"/>
        <v>Luz.Sensorizada</v>
      </c>
      <c r="P29" s="30" t="s">
        <v>131</v>
      </c>
      <c r="Q29" s="30" t="s">
        <v>142</v>
      </c>
      <c r="R29" s="30" t="s">
        <v>172</v>
      </c>
      <c r="S29" s="30" t="s">
        <v>9</v>
      </c>
      <c r="T29" s="30" t="s">
        <v>44</v>
      </c>
      <c r="U29" s="30" t="s">
        <v>184</v>
      </c>
      <c r="V29" s="30" t="s">
        <v>238</v>
      </c>
      <c r="W29" s="30" t="s">
        <v>237</v>
      </c>
      <c r="X29" s="58" t="str">
        <f t="shared" si="9"/>
        <v>Key-ILUM-29</v>
      </c>
      <c r="Y29" s="30" t="s">
        <v>239</v>
      </c>
      <c r="Z29" s="67" t="s">
        <v>9</v>
      </c>
      <c r="AA29" s="61" t="s">
        <v>264</v>
      </c>
      <c r="AB29" s="67" t="s">
        <v>9</v>
      </c>
      <c r="AC29" s="30" t="s">
        <v>183</v>
      </c>
      <c r="AD29" s="67" t="s">
        <v>9</v>
      </c>
    </row>
    <row r="30" spans="1:30" ht="6.65" customHeight="1" x14ac:dyDescent="0.4">
      <c r="A30" s="56">
        <v>30</v>
      </c>
      <c r="B30" s="1" t="s">
        <v>262</v>
      </c>
      <c r="C30" s="33" t="s">
        <v>263</v>
      </c>
      <c r="D30" s="1" t="s">
        <v>233</v>
      </c>
      <c r="E30" s="43" t="s">
        <v>45</v>
      </c>
      <c r="F30" s="62" t="s">
        <v>108</v>
      </c>
      <c r="G30" s="63" t="s">
        <v>9</v>
      </c>
      <c r="H30" s="57" t="s">
        <v>9</v>
      </c>
      <c r="I30" s="57" t="s">
        <v>9</v>
      </c>
      <c r="J30" s="57" t="s">
        <v>9</v>
      </c>
      <c r="K30" s="57" t="s">
        <v>9</v>
      </c>
      <c r="L30" s="34" t="str">
        <f t="shared" si="3"/>
        <v>LuminoTécnicos</v>
      </c>
      <c r="M30" s="34" t="str">
        <f t="shared" si="4"/>
        <v>Elemento.Iluminação</v>
      </c>
      <c r="N30" s="34" t="str">
        <f t="shared" si="5"/>
        <v>Luminária</v>
      </c>
      <c r="O30" s="30" t="str">
        <f t="shared" si="10"/>
        <v>Luz.Spot</v>
      </c>
      <c r="P30" s="30" t="s">
        <v>132</v>
      </c>
      <c r="Q30" s="30" t="s">
        <v>143</v>
      </c>
      <c r="R30" s="30" t="s">
        <v>173</v>
      </c>
      <c r="S30" s="30" t="s">
        <v>9</v>
      </c>
      <c r="T30" s="30" t="s">
        <v>44</v>
      </c>
      <c r="U30" s="30" t="s">
        <v>184</v>
      </c>
      <c r="V30" s="30" t="s">
        <v>238</v>
      </c>
      <c r="W30" s="30" t="s">
        <v>237</v>
      </c>
      <c r="X30" s="58" t="str">
        <f t="shared" si="9"/>
        <v>Key-ILUM-30</v>
      </c>
      <c r="Y30" s="30" t="s">
        <v>239</v>
      </c>
      <c r="Z30" s="67" t="s">
        <v>9</v>
      </c>
      <c r="AA30" s="61" t="s">
        <v>266</v>
      </c>
      <c r="AB30" s="67" t="s">
        <v>9</v>
      </c>
      <c r="AC30" s="30" t="s">
        <v>183</v>
      </c>
      <c r="AD30" s="67" t="s">
        <v>9</v>
      </c>
    </row>
    <row r="31" spans="1:30" ht="6.65" customHeight="1" x14ac:dyDescent="0.4">
      <c r="A31" s="56">
        <v>31</v>
      </c>
      <c r="B31" s="1" t="s">
        <v>262</v>
      </c>
      <c r="C31" s="33" t="s">
        <v>263</v>
      </c>
      <c r="D31" s="1" t="s">
        <v>233</v>
      </c>
      <c r="E31" s="43" t="s">
        <v>45</v>
      </c>
      <c r="F31" s="62" t="s">
        <v>111</v>
      </c>
      <c r="G31" s="63" t="s">
        <v>9</v>
      </c>
      <c r="H31" s="57" t="s">
        <v>9</v>
      </c>
      <c r="I31" s="57" t="s">
        <v>9</v>
      </c>
      <c r="J31" s="57" t="s">
        <v>9</v>
      </c>
      <c r="K31" s="57" t="s">
        <v>9</v>
      </c>
      <c r="L31" s="34" t="str">
        <f t="shared" si="3"/>
        <v>LuminoTécnicos</v>
      </c>
      <c r="M31" s="34" t="str">
        <f t="shared" si="4"/>
        <v>Elemento.Iluminação</v>
      </c>
      <c r="N31" s="34" t="str">
        <f t="shared" si="5"/>
        <v>Luminária</v>
      </c>
      <c r="O31" s="30" t="str">
        <f t="shared" si="10"/>
        <v>Luz.Trilho</v>
      </c>
      <c r="P31" s="30" t="s">
        <v>133</v>
      </c>
      <c r="Q31" s="30" t="s">
        <v>144</v>
      </c>
      <c r="R31" s="30" t="s">
        <v>174</v>
      </c>
      <c r="S31" s="30" t="s">
        <v>9</v>
      </c>
      <c r="T31" s="30" t="s">
        <v>44</v>
      </c>
      <c r="U31" s="30" t="s">
        <v>184</v>
      </c>
      <c r="V31" s="30" t="s">
        <v>238</v>
      </c>
      <c r="W31" s="30" t="s">
        <v>237</v>
      </c>
      <c r="X31" s="58" t="str">
        <f t="shared" si="9"/>
        <v>Key-ILUM-31</v>
      </c>
      <c r="Y31" s="30" t="s">
        <v>239</v>
      </c>
      <c r="Z31" s="67" t="s">
        <v>9</v>
      </c>
      <c r="AA31" s="61" t="s">
        <v>264</v>
      </c>
      <c r="AB31" s="67" t="s">
        <v>9</v>
      </c>
      <c r="AC31" s="30" t="s">
        <v>183</v>
      </c>
      <c r="AD31" s="67" t="s">
        <v>9</v>
      </c>
    </row>
    <row r="32" spans="1:30" ht="6.65" customHeight="1" x14ac:dyDescent="0.4">
      <c r="A32" s="56">
        <v>32</v>
      </c>
      <c r="B32" s="1" t="s">
        <v>262</v>
      </c>
      <c r="C32" s="33" t="s">
        <v>263</v>
      </c>
      <c r="D32" s="1" t="s">
        <v>233</v>
      </c>
      <c r="E32" s="43" t="s">
        <v>210</v>
      </c>
      <c r="F32" s="62" t="s">
        <v>240</v>
      </c>
      <c r="G32" s="63" t="s">
        <v>9</v>
      </c>
      <c r="H32" s="57" t="s">
        <v>9</v>
      </c>
      <c r="I32" s="57" t="s">
        <v>9</v>
      </c>
      <c r="J32" s="57" t="s">
        <v>9</v>
      </c>
      <c r="K32" s="57" t="s">
        <v>9</v>
      </c>
      <c r="L32" s="34" t="str">
        <f t="shared" ref="L32" si="19">CONCATENATE("", C32)</f>
        <v>LuminoTécnicos</v>
      </c>
      <c r="M32" s="34" t="str">
        <f t="shared" ref="M32" si="20">CONCATENATE("", D32)</f>
        <v>Elemento.Iluminação</v>
      </c>
      <c r="N32" s="34" t="str">
        <f t="shared" ref="N32" si="21">(SUBSTITUTE(SUBSTITUTE(CONCATENATE("",E32),"."," ")," De "," de "))</f>
        <v>Acessórios de Iluminação</v>
      </c>
      <c r="O32" s="30" t="str">
        <f t="shared" ref="O32" si="22">IF(ISNUMBER(FIND("Ifc",F32)),CONCATENATE("Classe IFC:   ",F32),CONCATENATE("",F32))</f>
        <v>Acessório.Luz</v>
      </c>
      <c r="P32" s="30" t="s">
        <v>235</v>
      </c>
      <c r="Q32" s="30" t="s">
        <v>236</v>
      </c>
      <c r="R32" s="30" t="s">
        <v>245</v>
      </c>
      <c r="S32" s="30" t="s">
        <v>9</v>
      </c>
      <c r="T32" s="30" t="s">
        <v>44</v>
      </c>
      <c r="U32" s="30" t="s">
        <v>184</v>
      </c>
      <c r="V32" s="30" t="s">
        <v>238</v>
      </c>
      <c r="W32" s="30" t="s">
        <v>237</v>
      </c>
      <c r="X32" s="58" t="str">
        <f t="shared" si="9"/>
        <v>Key-ILUM-32</v>
      </c>
      <c r="Y32" s="30" t="s">
        <v>239</v>
      </c>
      <c r="Z32" s="67" t="s">
        <v>9</v>
      </c>
      <c r="AA32" s="61" t="s">
        <v>232</v>
      </c>
      <c r="AB32" s="67" t="s">
        <v>9</v>
      </c>
      <c r="AC32" s="30" t="s">
        <v>183</v>
      </c>
      <c r="AD32" s="67" t="s">
        <v>9</v>
      </c>
    </row>
    <row r="33" spans="1:30" ht="6.65" customHeight="1" x14ac:dyDescent="0.4">
      <c r="A33" s="56">
        <v>33</v>
      </c>
      <c r="B33" s="1" t="s">
        <v>262</v>
      </c>
      <c r="C33" s="33" t="s">
        <v>263</v>
      </c>
      <c r="D33" s="1" t="s">
        <v>233</v>
      </c>
      <c r="E33" s="43" t="s">
        <v>234</v>
      </c>
      <c r="F33" s="62" t="s">
        <v>186</v>
      </c>
      <c r="G33" s="63" t="s">
        <v>9</v>
      </c>
      <c r="H33" s="57" t="s">
        <v>9</v>
      </c>
      <c r="I33" s="57" t="s">
        <v>9</v>
      </c>
      <c r="J33" s="57" t="s">
        <v>9</v>
      </c>
      <c r="K33" s="57" t="s">
        <v>9</v>
      </c>
      <c r="L33" s="34" t="str">
        <f t="shared" si="3"/>
        <v>LuminoTécnicos</v>
      </c>
      <c r="M33" s="34" t="str">
        <f t="shared" si="4"/>
        <v>Elemento.Iluminação</v>
      </c>
      <c r="N33" s="34" t="str">
        <f t="shared" si="5"/>
        <v>Analítico de Luz</v>
      </c>
      <c r="O33" s="30" t="str">
        <f t="shared" si="10"/>
        <v>Ponto.Iluminado</v>
      </c>
      <c r="P33" s="30" t="s">
        <v>189</v>
      </c>
      <c r="Q33" s="30" t="s">
        <v>191</v>
      </c>
      <c r="R33" s="30" t="s">
        <v>195</v>
      </c>
      <c r="S33" s="30" t="s">
        <v>9</v>
      </c>
      <c r="T33" s="30" t="s">
        <v>44</v>
      </c>
      <c r="U33" s="30" t="s">
        <v>185</v>
      </c>
      <c r="V33" s="30" t="s">
        <v>234</v>
      </c>
      <c r="W33" s="30" t="s">
        <v>237</v>
      </c>
      <c r="X33" s="58" t="str">
        <f t="shared" si="9"/>
        <v>Key-ILUM-33</v>
      </c>
      <c r="Y33" s="67" t="s">
        <v>9</v>
      </c>
      <c r="Z33" s="67" t="s">
        <v>9</v>
      </c>
      <c r="AA33" s="67" t="s">
        <v>9</v>
      </c>
      <c r="AB33" s="67" t="s">
        <v>9</v>
      </c>
      <c r="AC33" s="67" t="s">
        <v>9</v>
      </c>
      <c r="AD33" s="67" t="s">
        <v>9</v>
      </c>
    </row>
    <row r="34" spans="1:30" ht="6.65" customHeight="1" x14ac:dyDescent="0.4">
      <c r="A34" s="56">
        <v>34</v>
      </c>
      <c r="B34" s="1" t="s">
        <v>262</v>
      </c>
      <c r="C34" s="33" t="s">
        <v>263</v>
      </c>
      <c r="D34" s="1" t="s">
        <v>233</v>
      </c>
      <c r="E34" s="43" t="s">
        <v>234</v>
      </c>
      <c r="F34" s="62" t="s">
        <v>187</v>
      </c>
      <c r="G34" s="63" t="s">
        <v>9</v>
      </c>
      <c r="H34" s="57" t="s">
        <v>9</v>
      </c>
      <c r="I34" s="57" t="s">
        <v>9</v>
      </c>
      <c r="J34" s="57" t="s">
        <v>9</v>
      </c>
      <c r="K34" s="57" t="s">
        <v>9</v>
      </c>
      <c r="L34" s="34" t="str">
        <f t="shared" si="3"/>
        <v>LuminoTécnicos</v>
      </c>
      <c r="M34" s="34" t="str">
        <f t="shared" si="4"/>
        <v>Elemento.Iluminação</v>
      </c>
      <c r="N34" s="34" t="str">
        <f t="shared" si="5"/>
        <v>Analítico de Luz</v>
      </c>
      <c r="O34" s="30" t="str">
        <f t="shared" si="10"/>
        <v>Linha.Iluminada</v>
      </c>
      <c r="P34" s="30" t="s">
        <v>193</v>
      </c>
      <c r="Q34" s="30" t="s">
        <v>192</v>
      </c>
      <c r="R34" s="30" t="s">
        <v>196</v>
      </c>
      <c r="S34" s="30" t="s">
        <v>9</v>
      </c>
      <c r="T34" s="30" t="s">
        <v>44</v>
      </c>
      <c r="U34" s="30" t="s">
        <v>185</v>
      </c>
      <c r="V34" s="30" t="s">
        <v>234</v>
      </c>
      <c r="W34" s="30" t="s">
        <v>237</v>
      </c>
      <c r="X34" s="58" t="str">
        <f t="shared" si="9"/>
        <v>Key-ILUM-34</v>
      </c>
      <c r="Y34" s="67" t="s">
        <v>9</v>
      </c>
      <c r="Z34" s="67" t="s">
        <v>9</v>
      </c>
      <c r="AA34" s="67" t="s">
        <v>9</v>
      </c>
      <c r="AB34" s="67" t="s">
        <v>9</v>
      </c>
      <c r="AC34" s="67" t="s">
        <v>9</v>
      </c>
      <c r="AD34" s="67" t="s">
        <v>9</v>
      </c>
    </row>
    <row r="35" spans="1:30" ht="6.65" customHeight="1" x14ac:dyDescent="0.4">
      <c r="A35" s="56">
        <v>35</v>
      </c>
      <c r="B35" s="1" t="s">
        <v>262</v>
      </c>
      <c r="C35" s="33" t="s">
        <v>263</v>
      </c>
      <c r="D35" s="1" t="s">
        <v>233</v>
      </c>
      <c r="E35" s="43" t="s">
        <v>234</v>
      </c>
      <c r="F35" s="62" t="s">
        <v>188</v>
      </c>
      <c r="G35" s="63" t="s">
        <v>9</v>
      </c>
      <c r="H35" s="57" t="s">
        <v>9</v>
      </c>
      <c r="I35" s="57" t="s">
        <v>9</v>
      </c>
      <c r="J35" s="57" t="s">
        <v>9</v>
      </c>
      <c r="K35" s="57" t="s">
        <v>9</v>
      </c>
      <c r="L35" s="34" t="str">
        <f t="shared" si="3"/>
        <v>LuminoTécnicos</v>
      </c>
      <c r="M35" s="34" t="str">
        <f t="shared" si="4"/>
        <v>Elemento.Iluminação</v>
      </c>
      <c r="N35" s="34" t="str">
        <f t="shared" si="5"/>
        <v>Analítico de Luz</v>
      </c>
      <c r="O35" s="30" t="str">
        <f t="shared" si="10"/>
        <v>Area.Iluminada</v>
      </c>
      <c r="P35" s="30" t="s">
        <v>190</v>
      </c>
      <c r="Q35" s="30" t="s">
        <v>194</v>
      </c>
      <c r="R35" s="30" t="s">
        <v>197</v>
      </c>
      <c r="S35" s="30" t="s">
        <v>9</v>
      </c>
      <c r="T35" s="30" t="s">
        <v>44</v>
      </c>
      <c r="U35" s="30" t="s">
        <v>185</v>
      </c>
      <c r="V35" s="30" t="s">
        <v>234</v>
      </c>
      <c r="W35" s="30" t="s">
        <v>237</v>
      </c>
      <c r="X35" s="58" t="str">
        <f t="shared" si="9"/>
        <v>Key-ILUM-35</v>
      </c>
      <c r="Y35" s="67" t="s">
        <v>9</v>
      </c>
      <c r="Z35" s="67" t="s">
        <v>9</v>
      </c>
      <c r="AA35" s="67" t="s">
        <v>9</v>
      </c>
      <c r="AB35" s="67" t="s">
        <v>9</v>
      </c>
      <c r="AC35" s="67" t="s">
        <v>9</v>
      </c>
      <c r="AD35" s="67" t="s">
        <v>9</v>
      </c>
    </row>
    <row r="36" spans="1:30" s="68" customFormat="1" ht="6.75" customHeight="1" x14ac:dyDescent="0.25">
      <c r="A36" s="56">
        <v>36</v>
      </c>
      <c r="B36" s="1" t="s">
        <v>277</v>
      </c>
      <c r="C36" s="62" t="s">
        <v>278</v>
      </c>
      <c r="D36" s="62" t="s">
        <v>280</v>
      </c>
      <c r="E36" s="62" t="s">
        <v>279</v>
      </c>
      <c r="F36" s="62" t="s">
        <v>281</v>
      </c>
      <c r="G36" s="57" t="s">
        <v>9</v>
      </c>
      <c r="H36" s="57" t="s">
        <v>9</v>
      </c>
      <c r="I36" s="57" t="s">
        <v>9</v>
      </c>
      <c r="J36" s="57" t="s">
        <v>9</v>
      </c>
      <c r="K36" s="57" t="s">
        <v>9</v>
      </c>
      <c r="L36" s="34" t="str">
        <f t="shared" ref="L36:O40" si="23">SUBSTITUTE(CONCATENATE("", C36), ".", " ")</f>
        <v>De API</v>
      </c>
      <c r="M36" s="34" t="str">
        <f t="shared" si="23"/>
        <v>Macros</v>
      </c>
      <c r="N36" s="34" t="str">
        <f t="shared" si="23"/>
        <v>Métodos</v>
      </c>
      <c r="O36" s="34" t="str">
        <f t="shared" si="23"/>
        <v>Função Auxiliar</v>
      </c>
      <c r="P36" s="30" t="s">
        <v>282</v>
      </c>
      <c r="Q36" s="30" t="s">
        <v>283</v>
      </c>
      <c r="R36" s="30" t="s">
        <v>284</v>
      </c>
      <c r="S36" s="30" t="s">
        <v>9</v>
      </c>
      <c r="T36" s="30" t="str">
        <f t="shared" ref="T36:V40" si="24">SUBSTITUTE(C36, ".", " ")</f>
        <v>De API</v>
      </c>
      <c r="U36" s="30" t="str">
        <f t="shared" si="24"/>
        <v>Macros</v>
      </c>
      <c r="V36" s="66" t="str">
        <f t="shared" si="24"/>
        <v>Métodos</v>
      </c>
      <c r="W36" s="30" t="s">
        <v>237</v>
      </c>
      <c r="X36" s="58" t="str">
        <f t="shared" si="9"/>
        <v>Key-ILUM-36</v>
      </c>
      <c r="Y36" s="67" t="s">
        <v>9</v>
      </c>
      <c r="Z36" s="67" t="s">
        <v>9</v>
      </c>
      <c r="AA36" s="67" t="s">
        <v>9</v>
      </c>
      <c r="AB36" s="67" t="s">
        <v>9</v>
      </c>
      <c r="AC36" s="67" t="s">
        <v>9</v>
      </c>
      <c r="AD36" s="67" t="s">
        <v>9</v>
      </c>
    </row>
    <row r="37" spans="1:30" s="68" customFormat="1" ht="6.75" customHeight="1" x14ac:dyDescent="0.25">
      <c r="A37" s="56">
        <v>37</v>
      </c>
      <c r="B37" s="1" t="s">
        <v>277</v>
      </c>
      <c r="C37" s="62" t="s">
        <v>278</v>
      </c>
      <c r="D37" s="62" t="s">
        <v>280</v>
      </c>
      <c r="E37" s="62" t="s">
        <v>279</v>
      </c>
      <c r="F37" s="62" t="s">
        <v>285</v>
      </c>
      <c r="G37" s="57" t="s">
        <v>9</v>
      </c>
      <c r="H37" s="57" t="s">
        <v>9</v>
      </c>
      <c r="I37" s="57" t="s">
        <v>9</v>
      </c>
      <c r="J37" s="57" t="s">
        <v>9</v>
      </c>
      <c r="K37" s="57" t="s">
        <v>9</v>
      </c>
      <c r="L37" s="34" t="str">
        <f t="shared" si="23"/>
        <v>De API</v>
      </c>
      <c r="M37" s="34" t="str">
        <f t="shared" si="23"/>
        <v>Macros</v>
      </c>
      <c r="N37" s="34" t="str">
        <f t="shared" si="23"/>
        <v>Métodos</v>
      </c>
      <c r="O37" s="34" t="str">
        <f t="shared" si="23"/>
        <v>Função Global</v>
      </c>
      <c r="P37" s="30" t="s">
        <v>286</v>
      </c>
      <c r="Q37" s="30" t="s">
        <v>287</v>
      </c>
      <c r="R37" s="30" t="s">
        <v>288</v>
      </c>
      <c r="S37" s="30" t="s">
        <v>9</v>
      </c>
      <c r="T37" s="30" t="str">
        <f t="shared" si="24"/>
        <v>De API</v>
      </c>
      <c r="U37" s="30" t="str">
        <f t="shared" si="24"/>
        <v>Macros</v>
      </c>
      <c r="V37" s="66" t="str">
        <f t="shared" si="24"/>
        <v>Métodos</v>
      </c>
      <c r="W37" s="30" t="s">
        <v>237</v>
      </c>
      <c r="X37" s="58" t="str">
        <f t="shared" si="9"/>
        <v>Key-ILUM-37</v>
      </c>
      <c r="Y37" s="67" t="s">
        <v>9</v>
      </c>
      <c r="Z37" s="67" t="s">
        <v>9</v>
      </c>
      <c r="AA37" s="67" t="s">
        <v>9</v>
      </c>
      <c r="AB37" s="67" t="s">
        <v>9</v>
      </c>
      <c r="AC37" s="67" t="s">
        <v>9</v>
      </c>
      <c r="AD37" s="67" t="s">
        <v>9</v>
      </c>
    </row>
    <row r="38" spans="1:30" s="68" customFormat="1" ht="6.75" customHeight="1" x14ac:dyDescent="0.25">
      <c r="A38" s="56">
        <v>38</v>
      </c>
      <c r="B38" s="1" t="s">
        <v>277</v>
      </c>
      <c r="C38" s="62" t="s">
        <v>278</v>
      </c>
      <c r="D38" s="62" t="s">
        <v>280</v>
      </c>
      <c r="E38" s="62" t="s">
        <v>279</v>
      </c>
      <c r="F38" s="62" t="s">
        <v>289</v>
      </c>
      <c r="G38" s="57" t="s">
        <v>9</v>
      </c>
      <c r="H38" s="57" t="s">
        <v>9</v>
      </c>
      <c r="I38" s="57" t="s">
        <v>9</v>
      </c>
      <c r="J38" s="57" t="s">
        <v>9</v>
      </c>
      <c r="K38" s="57" t="s">
        <v>9</v>
      </c>
      <c r="L38" s="34" t="str">
        <f t="shared" si="23"/>
        <v>De API</v>
      </c>
      <c r="M38" s="34" t="str">
        <f t="shared" si="23"/>
        <v>Macros</v>
      </c>
      <c r="N38" s="34" t="str">
        <f t="shared" si="23"/>
        <v>Métodos</v>
      </c>
      <c r="O38" s="34" t="str">
        <f t="shared" si="23"/>
        <v>Função Local</v>
      </c>
      <c r="P38" s="30" t="s">
        <v>290</v>
      </c>
      <c r="Q38" s="30" t="s">
        <v>291</v>
      </c>
      <c r="R38" s="30" t="s">
        <v>292</v>
      </c>
      <c r="S38" s="30" t="s">
        <v>9</v>
      </c>
      <c r="T38" s="30" t="str">
        <f t="shared" si="24"/>
        <v>De API</v>
      </c>
      <c r="U38" s="30" t="str">
        <f t="shared" si="24"/>
        <v>Macros</v>
      </c>
      <c r="V38" s="66" t="str">
        <f t="shared" si="24"/>
        <v>Métodos</v>
      </c>
      <c r="W38" s="30" t="s">
        <v>237</v>
      </c>
      <c r="X38" s="58" t="str">
        <f t="shared" si="9"/>
        <v>Key-ILUM-38</v>
      </c>
      <c r="Y38" s="67" t="s">
        <v>9</v>
      </c>
      <c r="Z38" s="67" t="s">
        <v>9</v>
      </c>
      <c r="AA38" s="67" t="s">
        <v>9</v>
      </c>
      <c r="AB38" s="67" t="s">
        <v>9</v>
      </c>
      <c r="AC38" s="67" t="s">
        <v>9</v>
      </c>
      <c r="AD38" s="67" t="s">
        <v>9</v>
      </c>
    </row>
    <row r="39" spans="1:30" s="68" customFormat="1" ht="6.75" customHeight="1" x14ac:dyDescent="0.25">
      <c r="A39" s="56">
        <v>39</v>
      </c>
      <c r="B39" s="1" t="s">
        <v>277</v>
      </c>
      <c r="C39" s="62" t="s">
        <v>278</v>
      </c>
      <c r="D39" s="62" t="s">
        <v>280</v>
      </c>
      <c r="E39" s="62" t="s">
        <v>279</v>
      </c>
      <c r="F39" s="62" t="s">
        <v>293</v>
      </c>
      <c r="G39" s="57" t="s">
        <v>9</v>
      </c>
      <c r="H39" s="57" t="s">
        <v>9</v>
      </c>
      <c r="I39" s="57" t="s">
        <v>9</v>
      </c>
      <c r="J39" s="57" t="s">
        <v>9</v>
      </c>
      <c r="K39" s="57" t="s">
        <v>9</v>
      </c>
      <c r="L39" s="34" t="str">
        <f t="shared" si="23"/>
        <v>De API</v>
      </c>
      <c r="M39" s="34" t="str">
        <f t="shared" si="23"/>
        <v>Macros</v>
      </c>
      <c r="N39" s="34" t="str">
        <f t="shared" si="23"/>
        <v>Métodos</v>
      </c>
      <c r="O39" s="34" t="str">
        <f t="shared" si="23"/>
        <v>Função Filtro</v>
      </c>
      <c r="P39" s="30" t="s">
        <v>294</v>
      </c>
      <c r="Q39" s="30" t="s">
        <v>295</v>
      </c>
      <c r="R39" s="30" t="s">
        <v>296</v>
      </c>
      <c r="S39" s="30" t="s">
        <v>9</v>
      </c>
      <c r="T39" s="30" t="str">
        <f t="shared" si="24"/>
        <v>De API</v>
      </c>
      <c r="U39" s="30" t="str">
        <f t="shared" si="24"/>
        <v>Macros</v>
      </c>
      <c r="V39" s="66" t="str">
        <f t="shared" si="24"/>
        <v>Métodos</v>
      </c>
      <c r="W39" s="30" t="s">
        <v>237</v>
      </c>
      <c r="X39" s="58" t="str">
        <f t="shared" si="9"/>
        <v>Key-ILUM-39</v>
      </c>
      <c r="Y39" s="67" t="s">
        <v>9</v>
      </c>
      <c r="Z39" s="67" t="s">
        <v>9</v>
      </c>
      <c r="AA39" s="67" t="s">
        <v>9</v>
      </c>
      <c r="AB39" s="67" t="s">
        <v>9</v>
      </c>
      <c r="AC39" s="67" t="s">
        <v>9</v>
      </c>
      <c r="AD39" s="67" t="s">
        <v>9</v>
      </c>
    </row>
    <row r="40" spans="1:30" s="68" customFormat="1" ht="6.75" customHeight="1" x14ac:dyDescent="0.25">
      <c r="A40" s="56">
        <v>40</v>
      </c>
      <c r="B40" s="1" t="s">
        <v>277</v>
      </c>
      <c r="C40" s="62" t="s">
        <v>278</v>
      </c>
      <c r="D40" s="62" t="s">
        <v>280</v>
      </c>
      <c r="E40" s="62" t="s">
        <v>297</v>
      </c>
      <c r="F40" s="62" t="s">
        <v>298</v>
      </c>
      <c r="G40" s="57" t="s">
        <v>9</v>
      </c>
      <c r="H40" s="57" t="s">
        <v>9</v>
      </c>
      <c r="I40" s="57" t="s">
        <v>9</v>
      </c>
      <c r="J40" s="57" t="s">
        <v>9</v>
      </c>
      <c r="K40" s="57" t="s">
        <v>9</v>
      </c>
      <c r="L40" s="34" t="str">
        <f t="shared" si="23"/>
        <v>De API</v>
      </c>
      <c r="M40" s="34" t="str">
        <f t="shared" si="23"/>
        <v>Macros</v>
      </c>
      <c r="N40" s="34" t="str">
        <f t="shared" si="23"/>
        <v>Códigos Visuais</v>
      </c>
      <c r="O40" s="34" t="str">
        <f t="shared" si="23"/>
        <v>Bloco de Código</v>
      </c>
      <c r="P40" s="30" t="s">
        <v>299</v>
      </c>
      <c r="Q40" s="30" t="s">
        <v>300</v>
      </c>
      <c r="R40" s="30" t="s">
        <v>301</v>
      </c>
      <c r="S40" s="30" t="s">
        <v>9</v>
      </c>
      <c r="T40" s="30" t="str">
        <f t="shared" si="24"/>
        <v>De API</v>
      </c>
      <c r="U40" s="30" t="str">
        <f t="shared" si="24"/>
        <v>Macros</v>
      </c>
      <c r="V40" s="66" t="str">
        <f t="shared" si="24"/>
        <v>Códigos Visuais</v>
      </c>
      <c r="W40" s="30" t="s">
        <v>237</v>
      </c>
      <c r="X40" s="58" t="str">
        <f t="shared" si="9"/>
        <v>Key-ILUM-40</v>
      </c>
      <c r="Y40" s="67" t="s">
        <v>9</v>
      </c>
      <c r="Z40" s="67" t="s">
        <v>9</v>
      </c>
      <c r="AA40" s="67" t="s">
        <v>9</v>
      </c>
      <c r="AB40" s="67" t="s">
        <v>9</v>
      </c>
      <c r="AC40" s="67" t="s">
        <v>9</v>
      </c>
      <c r="AD40" s="67" t="s">
        <v>9</v>
      </c>
    </row>
  </sheetData>
  <sortState xmlns:xlrd2="http://schemas.microsoft.com/office/spreadsheetml/2017/richdata2" ref="A7:AC929">
    <sortCondition ref="F7:F929"/>
  </sortState>
  <phoneticPr fontId="1" type="noConversion"/>
  <conditionalFormatting sqref="A1:O1 R1:Y1 AC1:AD1 R9:R35">
    <cfRule type="cellIs" dxfId="27" priority="69" operator="equal">
      <formula>"null"</formula>
    </cfRule>
  </conditionalFormatting>
  <conditionalFormatting sqref="E40:F40">
    <cfRule type="duplicateValues" dxfId="26" priority="8"/>
  </conditionalFormatting>
  <conditionalFormatting sqref="F1">
    <cfRule type="duplicateValues" dxfId="25" priority="1505"/>
  </conditionalFormatting>
  <conditionalFormatting sqref="F2:F6">
    <cfRule type="duplicateValues" dxfId="24" priority="2"/>
    <cfRule type="duplicateValues" dxfId="23" priority="3"/>
    <cfRule type="duplicateValues" dxfId="22" priority="4"/>
    <cfRule type="duplicateValues" dxfId="21" priority="5"/>
    <cfRule type="duplicateValues" dxfId="20" priority="6"/>
  </conditionalFormatting>
  <conditionalFormatting sqref="F7:F8">
    <cfRule type="duplicateValues" dxfId="19" priority="1527"/>
  </conditionalFormatting>
  <conditionalFormatting sqref="F9:F35 F41:F1048576">
    <cfRule type="duplicateValues" dxfId="18" priority="1498"/>
  </conditionalFormatting>
  <conditionalFormatting sqref="F31 F33:F35">
    <cfRule type="duplicateValues" dxfId="17" priority="80"/>
  </conditionalFormatting>
  <conditionalFormatting sqref="F32">
    <cfRule type="duplicateValues" dxfId="16" priority="50"/>
  </conditionalFormatting>
  <conditionalFormatting sqref="F36:F39">
    <cfRule type="duplicateValues" dxfId="15" priority="9"/>
  </conditionalFormatting>
  <conditionalFormatting sqref="F41:F1048576 F9:F30">
    <cfRule type="duplicateValues" dxfId="14" priority="262"/>
    <cfRule type="duplicateValues" dxfId="13" priority="264"/>
    <cfRule type="duplicateValues" dxfId="12" priority="1477"/>
  </conditionalFormatting>
  <conditionalFormatting sqref="Y2:Y6 AA2:AA6 AC2:AC6 A2:B40">
    <cfRule type="cellIs" dxfId="11" priority="1" operator="equal">
      <formula>"null"</formula>
    </cfRule>
  </conditionalFormatting>
  <conditionalFormatting sqref="Y9:Y32">
    <cfRule type="containsText" dxfId="10" priority="63" operator="containsText" text="null">
      <formula>NOT(ISERROR(SEARCH("null",Y9)))</formula>
    </cfRule>
  </conditionalFormatting>
  <conditionalFormatting sqref="AA30">
    <cfRule type="duplicateValues" dxfId="9" priority="60"/>
    <cfRule type="containsText" dxfId="8" priority="61" operator="containsText" text="null">
      <formula>NOT(ISERROR(SEARCH("null",AA30)))</formula>
    </cfRule>
    <cfRule type="duplicateValues" dxfId="7" priority="62"/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4"/>
  <sheetViews>
    <sheetView topLeftCell="A2" zoomScale="235" zoomScaleNormal="235" workbookViewId="0">
      <selection activeCell="B2" sqref="B2"/>
    </sheetView>
  </sheetViews>
  <sheetFormatPr defaultColWidth="11.53515625" defaultRowHeight="7.5" customHeight="1" x14ac:dyDescent="0.4"/>
  <cols>
    <col min="1" max="1" width="2.53515625" bestFit="1" customWidth="1"/>
    <col min="2" max="2" width="9.3046875" bestFit="1" customWidth="1"/>
    <col min="3" max="3" width="10.15234375" bestFit="1" customWidth="1"/>
    <col min="4" max="4" width="8.69140625" bestFit="1" customWidth="1"/>
    <col min="5" max="5" width="9.3046875" bestFit="1" customWidth="1"/>
    <col min="6" max="6" width="6" bestFit="1" customWidth="1"/>
    <col min="7" max="7" width="64.84375" customWidth="1"/>
    <col min="8" max="8" width="8.3046875" bestFit="1" customWidth="1"/>
    <col min="9" max="9" width="14.53515625" bestFit="1" customWidth="1"/>
    <col min="10" max="10" width="4.84375" bestFit="1" customWidth="1"/>
    <col min="11" max="11" width="6.3828125" bestFit="1" customWidth="1"/>
    <col min="12" max="12" width="8.3828125" bestFit="1" customWidth="1"/>
    <col min="13" max="13" width="19.3046875" customWidth="1"/>
    <col min="14" max="14" width="8.3828125" bestFit="1" customWidth="1"/>
    <col min="15" max="15" width="12.3046875" customWidth="1"/>
    <col min="16" max="16" width="5.69140625" bestFit="1" customWidth="1"/>
    <col min="17" max="17" width="15.69140625" customWidth="1"/>
    <col min="18" max="18" width="7.3046875" bestFit="1" customWidth="1"/>
    <col min="19" max="19" width="8.3828125" bestFit="1" customWidth="1"/>
  </cols>
  <sheetData>
    <row r="1" spans="1:19" ht="17.25" customHeight="1" x14ac:dyDescent="0.4">
      <c r="A1" s="18" t="s">
        <v>10</v>
      </c>
      <c r="B1" s="19" t="s">
        <v>75</v>
      </c>
      <c r="C1" s="19" t="s">
        <v>76</v>
      </c>
      <c r="D1" s="20" t="s">
        <v>77</v>
      </c>
      <c r="E1" s="20" t="s">
        <v>80</v>
      </c>
      <c r="F1" s="20" t="s">
        <v>77</v>
      </c>
      <c r="G1" s="20" t="s">
        <v>80</v>
      </c>
      <c r="H1" s="49" t="s">
        <v>78</v>
      </c>
      <c r="I1" s="20" t="s">
        <v>80</v>
      </c>
      <c r="J1" s="20" t="s">
        <v>77</v>
      </c>
      <c r="K1" s="20" t="s">
        <v>80</v>
      </c>
      <c r="L1" s="20" t="s">
        <v>77</v>
      </c>
      <c r="M1" s="20" t="s">
        <v>80</v>
      </c>
      <c r="N1" s="20" t="s">
        <v>77</v>
      </c>
      <c r="O1" s="20" t="s">
        <v>80</v>
      </c>
      <c r="P1" s="20" t="s">
        <v>77</v>
      </c>
      <c r="Q1" s="20" t="s">
        <v>80</v>
      </c>
      <c r="R1" s="20" t="s">
        <v>77</v>
      </c>
      <c r="S1" s="20" t="s">
        <v>80</v>
      </c>
    </row>
    <row r="2" spans="1:19" ht="7.5" customHeight="1" x14ac:dyDescent="0.4">
      <c r="A2" s="21">
        <v>2</v>
      </c>
      <c r="B2" s="22" t="s">
        <v>177</v>
      </c>
      <c r="C2" s="33" t="s">
        <v>263</v>
      </c>
      <c r="D2" s="51" t="s">
        <v>9</v>
      </c>
      <c r="E2" s="52" t="s">
        <v>9</v>
      </c>
      <c r="F2" s="23" t="s">
        <v>79</v>
      </c>
      <c r="G2" s="24" t="s">
        <v>267</v>
      </c>
      <c r="H2" s="50" t="s">
        <v>9</v>
      </c>
      <c r="I2" s="25" t="s">
        <v>9</v>
      </c>
      <c r="J2" s="50" t="s">
        <v>9</v>
      </c>
      <c r="K2" s="25" t="s">
        <v>9</v>
      </c>
      <c r="L2" s="50" t="s">
        <v>9</v>
      </c>
      <c r="M2" s="25" t="s">
        <v>9</v>
      </c>
      <c r="N2" s="50" t="s">
        <v>9</v>
      </c>
      <c r="O2" s="25" t="s">
        <v>9</v>
      </c>
      <c r="P2" s="50" t="s">
        <v>9</v>
      </c>
      <c r="Q2" s="25" t="s">
        <v>9</v>
      </c>
      <c r="R2" s="50" t="s">
        <v>9</v>
      </c>
      <c r="S2" s="25" t="s">
        <v>9</v>
      </c>
    </row>
    <row r="3" spans="1:19" ht="7.5" customHeight="1" x14ac:dyDescent="0.4">
      <c r="A3" s="21">
        <v>3</v>
      </c>
      <c r="B3" s="22" t="s">
        <v>211</v>
      </c>
      <c r="C3" s="43" t="s">
        <v>254</v>
      </c>
      <c r="D3" s="51" t="s">
        <v>84</v>
      </c>
      <c r="E3" s="55" t="s">
        <v>177</v>
      </c>
      <c r="F3" s="23" t="s">
        <v>79</v>
      </c>
      <c r="G3" s="24" t="s">
        <v>216</v>
      </c>
      <c r="H3" s="50" t="s">
        <v>79</v>
      </c>
      <c r="I3" s="25" t="s">
        <v>230</v>
      </c>
      <c r="J3" s="50" t="s">
        <v>9</v>
      </c>
      <c r="K3" s="25" t="s">
        <v>9</v>
      </c>
      <c r="L3" s="50" t="s">
        <v>9</v>
      </c>
      <c r="M3" s="25" t="s">
        <v>9</v>
      </c>
      <c r="N3" s="50" t="s">
        <v>205</v>
      </c>
      <c r="O3" s="25" t="s">
        <v>270</v>
      </c>
      <c r="P3" s="50" t="s">
        <v>204</v>
      </c>
      <c r="Q3" s="25" t="s">
        <v>268</v>
      </c>
      <c r="R3" s="50" t="s">
        <v>9</v>
      </c>
      <c r="S3" s="25" t="s">
        <v>9</v>
      </c>
    </row>
    <row r="4" spans="1:19" ht="7.5" customHeight="1" x14ac:dyDescent="0.4">
      <c r="A4" s="21">
        <v>4</v>
      </c>
      <c r="B4" s="22" t="s">
        <v>212</v>
      </c>
      <c r="C4" s="43" t="s">
        <v>254</v>
      </c>
      <c r="D4" s="51" t="s">
        <v>84</v>
      </c>
      <c r="E4" s="55" t="s">
        <v>177</v>
      </c>
      <c r="F4" s="23" t="s">
        <v>79</v>
      </c>
      <c r="G4" s="24" t="s">
        <v>216</v>
      </c>
      <c r="H4" s="50" t="s">
        <v>79</v>
      </c>
      <c r="I4" s="25" t="s">
        <v>231</v>
      </c>
      <c r="J4" s="50" t="s">
        <v>9</v>
      </c>
      <c r="K4" s="25" t="s">
        <v>9</v>
      </c>
      <c r="L4" s="50" t="s">
        <v>9</v>
      </c>
      <c r="M4" s="25" t="s">
        <v>9</v>
      </c>
      <c r="N4" s="50" t="s">
        <v>205</v>
      </c>
      <c r="O4" s="25" t="s">
        <v>270</v>
      </c>
      <c r="P4" s="50" t="s">
        <v>204</v>
      </c>
      <c r="Q4" s="25" t="s">
        <v>268</v>
      </c>
      <c r="R4" s="50" t="s">
        <v>9</v>
      </c>
      <c r="S4" s="25" t="s">
        <v>9</v>
      </c>
    </row>
    <row r="5" spans="1:19" ht="7.5" customHeight="1" x14ac:dyDescent="0.4">
      <c r="A5" s="21">
        <v>5</v>
      </c>
      <c r="B5" s="22" t="s">
        <v>220</v>
      </c>
      <c r="C5" s="43" t="s">
        <v>254</v>
      </c>
      <c r="D5" s="51" t="s">
        <v>213</v>
      </c>
      <c r="E5" s="35" t="s">
        <v>211</v>
      </c>
      <c r="F5" s="23" t="s">
        <v>79</v>
      </c>
      <c r="G5" s="24" t="s">
        <v>214</v>
      </c>
      <c r="H5" s="50" t="s">
        <v>79</v>
      </c>
      <c r="I5" s="25" t="s">
        <v>181</v>
      </c>
      <c r="J5" s="50" t="s">
        <v>9</v>
      </c>
      <c r="K5" s="25" t="s">
        <v>9</v>
      </c>
      <c r="L5" s="50" t="s">
        <v>9</v>
      </c>
      <c r="M5" s="25" t="s">
        <v>9</v>
      </c>
      <c r="N5" s="50" t="s">
        <v>205</v>
      </c>
      <c r="O5" s="25" t="s">
        <v>270</v>
      </c>
      <c r="P5" s="50" t="s">
        <v>204</v>
      </c>
      <c r="Q5" s="25" t="s">
        <v>268</v>
      </c>
      <c r="R5" s="50" t="s">
        <v>9</v>
      </c>
      <c r="S5" s="25" t="s">
        <v>9</v>
      </c>
    </row>
    <row r="6" spans="1:19" ht="7.5" customHeight="1" x14ac:dyDescent="0.4">
      <c r="A6" s="21">
        <v>6</v>
      </c>
      <c r="B6" s="22" t="s">
        <v>221</v>
      </c>
      <c r="C6" s="43" t="s">
        <v>254</v>
      </c>
      <c r="D6" s="51" t="s">
        <v>213</v>
      </c>
      <c r="E6" s="35" t="s">
        <v>212</v>
      </c>
      <c r="F6" s="23" t="s">
        <v>79</v>
      </c>
      <c r="G6" s="24" t="s">
        <v>215</v>
      </c>
      <c r="H6" s="50" t="s">
        <v>79</v>
      </c>
      <c r="I6" s="25" t="s">
        <v>182</v>
      </c>
      <c r="J6" s="50" t="s">
        <v>9</v>
      </c>
      <c r="K6" s="25" t="s">
        <v>9</v>
      </c>
      <c r="L6" s="50" t="s">
        <v>9</v>
      </c>
      <c r="M6" s="25" t="s">
        <v>9</v>
      </c>
      <c r="N6" s="50" t="s">
        <v>205</v>
      </c>
      <c r="O6" s="25" t="s">
        <v>270</v>
      </c>
      <c r="P6" s="50" t="s">
        <v>204</v>
      </c>
      <c r="Q6" s="25" t="s">
        <v>268</v>
      </c>
      <c r="R6" s="50" t="s">
        <v>9</v>
      </c>
      <c r="S6" s="25" t="s">
        <v>9</v>
      </c>
    </row>
    <row r="7" spans="1:19" ht="7.5" customHeight="1" x14ac:dyDescent="0.4">
      <c r="A7" s="21">
        <v>7</v>
      </c>
      <c r="B7" s="48" t="s">
        <v>226</v>
      </c>
      <c r="C7" s="54" t="s">
        <v>94</v>
      </c>
      <c r="D7" s="51" t="s">
        <v>84</v>
      </c>
      <c r="E7" s="55" t="s">
        <v>221</v>
      </c>
      <c r="F7" s="23" t="s">
        <v>79</v>
      </c>
      <c r="G7" s="24" t="s">
        <v>179</v>
      </c>
      <c r="H7" s="50" t="s">
        <v>260</v>
      </c>
      <c r="I7" s="25" t="s">
        <v>178</v>
      </c>
      <c r="J7" s="50" t="s">
        <v>217</v>
      </c>
      <c r="K7" s="25" t="s">
        <v>218</v>
      </c>
      <c r="L7" s="50" t="s">
        <v>261</v>
      </c>
      <c r="M7" s="25" t="s">
        <v>200</v>
      </c>
      <c r="N7" s="50" t="s">
        <v>205</v>
      </c>
      <c r="O7" s="25" t="s">
        <v>271</v>
      </c>
      <c r="P7" s="50" t="s">
        <v>204</v>
      </c>
      <c r="Q7" s="25" t="s">
        <v>269</v>
      </c>
      <c r="R7" s="50" t="s">
        <v>198</v>
      </c>
      <c r="S7" s="25" t="s">
        <v>199</v>
      </c>
    </row>
    <row r="8" spans="1:19" ht="7.5" customHeight="1" x14ac:dyDescent="0.4">
      <c r="A8" s="21">
        <v>8</v>
      </c>
      <c r="B8" s="48" t="s">
        <v>227</v>
      </c>
      <c r="C8" s="54" t="s">
        <v>94</v>
      </c>
      <c r="D8" s="51" t="s">
        <v>84</v>
      </c>
      <c r="E8" s="55" t="s">
        <v>221</v>
      </c>
      <c r="F8" s="23" t="s">
        <v>79</v>
      </c>
      <c r="G8" s="24" t="s">
        <v>179</v>
      </c>
      <c r="H8" s="50" t="s">
        <v>260</v>
      </c>
      <c r="I8" s="25" t="s">
        <v>178</v>
      </c>
      <c r="J8" s="50" t="s">
        <v>217</v>
      </c>
      <c r="K8" s="25" t="s">
        <v>218</v>
      </c>
      <c r="L8" s="50" t="s">
        <v>261</v>
      </c>
      <c r="M8" s="25" t="s">
        <v>200</v>
      </c>
      <c r="N8" s="50" t="s">
        <v>205</v>
      </c>
      <c r="O8" s="25" t="s">
        <v>271</v>
      </c>
      <c r="P8" s="50" t="s">
        <v>204</v>
      </c>
      <c r="Q8" s="25" t="s">
        <v>269</v>
      </c>
      <c r="R8" s="50" t="s">
        <v>198</v>
      </c>
      <c r="S8" s="25" t="s">
        <v>199</v>
      </c>
    </row>
    <row r="9" spans="1:19" ht="7.5" customHeight="1" x14ac:dyDescent="0.4">
      <c r="A9" s="21">
        <v>9</v>
      </c>
      <c r="B9" s="48" t="s">
        <v>228</v>
      </c>
      <c r="C9" s="54" t="s">
        <v>94</v>
      </c>
      <c r="D9" s="51" t="s">
        <v>84</v>
      </c>
      <c r="E9" s="55" t="s">
        <v>221</v>
      </c>
      <c r="F9" s="23" t="s">
        <v>79</v>
      </c>
      <c r="G9" s="24" t="s">
        <v>179</v>
      </c>
      <c r="H9" s="50" t="s">
        <v>260</v>
      </c>
      <c r="I9" s="25" t="s">
        <v>178</v>
      </c>
      <c r="J9" s="50" t="s">
        <v>217</v>
      </c>
      <c r="K9" s="25" t="s">
        <v>218</v>
      </c>
      <c r="L9" s="50" t="s">
        <v>261</v>
      </c>
      <c r="M9" s="25" t="s">
        <v>200</v>
      </c>
      <c r="N9" s="50" t="s">
        <v>205</v>
      </c>
      <c r="O9" s="25" t="s">
        <v>271</v>
      </c>
      <c r="P9" s="50" t="s">
        <v>204</v>
      </c>
      <c r="Q9" s="25" t="s">
        <v>269</v>
      </c>
      <c r="R9" s="50" t="s">
        <v>198</v>
      </c>
      <c r="S9" s="25" t="s">
        <v>199</v>
      </c>
    </row>
    <row r="10" spans="1:19" ht="7.5" customHeight="1" x14ac:dyDescent="0.4">
      <c r="A10" s="21">
        <v>10</v>
      </c>
      <c r="B10" s="48" t="s">
        <v>229</v>
      </c>
      <c r="C10" s="54" t="s">
        <v>94</v>
      </c>
      <c r="D10" s="51" t="s">
        <v>84</v>
      </c>
      <c r="E10" s="55" t="s">
        <v>221</v>
      </c>
      <c r="F10" s="23" t="s">
        <v>79</v>
      </c>
      <c r="G10" s="24" t="s">
        <v>179</v>
      </c>
      <c r="H10" s="50" t="s">
        <v>260</v>
      </c>
      <c r="I10" s="25" t="s">
        <v>178</v>
      </c>
      <c r="J10" s="50" t="s">
        <v>217</v>
      </c>
      <c r="K10" s="25" t="s">
        <v>218</v>
      </c>
      <c r="L10" s="50" t="s">
        <v>261</v>
      </c>
      <c r="M10" s="25" t="s">
        <v>200</v>
      </c>
      <c r="N10" s="50" t="s">
        <v>205</v>
      </c>
      <c r="O10" s="25" t="s">
        <v>271</v>
      </c>
      <c r="P10" s="50" t="s">
        <v>204</v>
      </c>
      <c r="Q10" s="25" t="s">
        <v>269</v>
      </c>
      <c r="R10" s="50" t="s">
        <v>198</v>
      </c>
      <c r="S10" s="25" t="s">
        <v>199</v>
      </c>
    </row>
    <row r="11" spans="1:19" ht="7.5" customHeight="1" x14ac:dyDescent="0.4">
      <c r="A11" s="21">
        <v>11</v>
      </c>
      <c r="B11" s="48" t="s">
        <v>222</v>
      </c>
      <c r="C11" s="54" t="s">
        <v>95</v>
      </c>
      <c r="D11" s="51" t="s">
        <v>84</v>
      </c>
      <c r="E11" s="55" t="s">
        <v>220</v>
      </c>
      <c r="F11" s="23" t="s">
        <v>79</v>
      </c>
      <c r="G11" s="24" t="s">
        <v>180</v>
      </c>
      <c r="H11" s="50" t="s">
        <v>260</v>
      </c>
      <c r="I11" s="25" t="s">
        <v>178</v>
      </c>
      <c r="J11" s="50" t="s">
        <v>217</v>
      </c>
      <c r="K11" s="25" t="s">
        <v>219</v>
      </c>
      <c r="L11" s="50" t="s">
        <v>261</v>
      </c>
      <c r="M11" s="25" t="s">
        <v>200</v>
      </c>
      <c r="N11" s="50" t="s">
        <v>205</v>
      </c>
      <c r="O11" s="25" t="s">
        <v>271</v>
      </c>
      <c r="P11" s="50" t="s">
        <v>204</v>
      </c>
      <c r="Q11" s="25" t="s">
        <v>269</v>
      </c>
      <c r="R11" s="50" t="s">
        <v>198</v>
      </c>
      <c r="S11" s="25" t="s">
        <v>199</v>
      </c>
    </row>
    <row r="12" spans="1:19" ht="7.5" customHeight="1" x14ac:dyDescent="0.4">
      <c r="A12" s="21">
        <v>12</v>
      </c>
      <c r="B12" s="48" t="s">
        <v>223</v>
      </c>
      <c r="C12" s="54" t="s">
        <v>95</v>
      </c>
      <c r="D12" s="51" t="s">
        <v>84</v>
      </c>
      <c r="E12" s="55" t="s">
        <v>220</v>
      </c>
      <c r="F12" s="23" t="s">
        <v>79</v>
      </c>
      <c r="G12" s="24" t="s">
        <v>180</v>
      </c>
      <c r="H12" s="50" t="s">
        <v>260</v>
      </c>
      <c r="I12" s="25" t="s">
        <v>178</v>
      </c>
      <c r="J12" s="50" t="s">
        <v>217</v>
      </c>
      <c r="K12" s="25" t="s">
        <v>219</v>
      </c>
      <c r="L12" s="50" t="s">
        <v>261</v>
      </c>
      <c r="M12" s="25" t="s">
        <v>200</v>
      </c>
      <c r="N12" s="50" t="s">
        <v>205</v>
      </c>
      <c r="O12" s="25" t="s">
        <v>271</v>
      </c>
      <c r="P12" s="50" t="s">
        <v>204</v>
      </c>
      <c r="Q12" s="25" t="s">
        <v>269</v>
      </c>
      <c r="R12" s="50" t="s">
        <v>198</v>
      </c>
      <c r="S12" s="25" t="s">
        <v>199</v>
      </c>
    </row>
    <row r="13" spans="1:19" ht="7.5" customHeight="1" x14ac:dyDescent="0.4">
      <c r="A13" s="21">
        <v>13</v>
      </c>
      <c r="B13" s="48" t="s">
        <v>224</v>
      </c>
      <c r="C13" s="54" t="s">
        <v>95</v>
      </c>
      <c r="D13" s="51" t="s">
        <v>84</v>
      </c>
      <c r="E13" s="55" t="s">
        <v>220</v>
      </c>
      <c r="F13" s="23" t="s">
        <v>79</v>
      </c>
      <c r="G13" s="24" t="s">
        <v>180</v>
      </c>
      <c r="H13" s="50" t="s">
        <v>260</v>
      </c>
      <c r="I13" s="25" t="s">
        <v>178</v>
      </c>
      <c r="J13" s="50" t="s">
        <v>217</v>
      </c>
      <c r="K13" s="25" t="s">
        <v>219</v>
      </c>
      <c r="L13" s="50" t="s">
        <v>261</v>
      </c>
      <c r="M13" s="25" t="s">
        <v>200</v>
      </c>
      <c r="N13" s="50" t="s">
        <v>205</v>
      </c>
      <c r="O13" s="25" t="s">
        <v>271</v>
      </c>
      <c r="P13" s="50" t="s">
        <v>204</v>
      </c>
      <c r="Q13" s="25" t="s">
        <v>269</v>
      </c>
      <c r="R13" s="50" t="s">
        <v>198</v>
      </c>
      <c r="S13" s="25" t="s">
        <v>199</v>
      </c>
    </row>
    <row r="14" spans="1:19" ht="7.5" customHeight="1" x14ac:dyDescent="0.4">
      <c r="A14" s="21">
        <v>14</v>
      </c>
      <c r="B14" s="48" t="s">
        <v>225</v>
      </c>
      <c r="C14" s="54" t="s">
        <v>95</v>
      </c>
      <c r="D14" s="51" t="s">
        <v>84</v>
      </c>
      <c r="E14" s="55" t="s">
        <v>220</v>
      </c>
      <c r="F14" s="23" t="s">
        <v>79</v>
      </c>
      <c r="G14" s="24" t="s">
        <v>180</v>
      </c>
      <c r="H14" s="50" t="s">
        <v>260</v>
      </c>
      <c r="I14" s="25" t="s">
        <v>178</v>
      </c>
      <c r="J14" s="50" t="s">
        <v>217</v>
      </c>
      <c r="K14" s="25" t="s">
        <v>219</v>
      </c>
      <c r="L14" s="50" t="s">
        <v>261</v>
      </c>
      <c r="M14" s="25" t="s">
        <v>200</v>
      </c>
      <c r="N14" s="50" t="s">
        <v>205</v>
      </c>
      <c r="O14" s="25" t="s">
        <v>271</v>
      </c>
      <c r="P14" s="50" t="s">
        <v>204</v>
      </c>
      <c r="Q14" s="25" t="s">
        <v>269</v>
      </c>
      <c r="R14" s="50" t="s">
        <v>198</v>
      </c>
      <c r="S14" s="25" t="s">
        <v>199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7" customWidth="1"/>
    <col min="2" max="2" width="5.84375" style="26" bestFit="1" customWidth="1"/>
    <col min="3" max="3" width="11.3046875" style="26" bestFit="1" customWidth="1"/>
    <col min="4" max="7" width="10.84375" style="26" bestFit="1" customWidth="1"/>
  </cols>
  <sheetData>
    <row r="1" spans="1:7" ht="33" customHeight="1" x14ac:dyDescent="0.4">
      <c r="A1" s="31">
        <v>0</v>
      </c>
      <c r="B1" s="28" t="s">
        <v>81</v>
      </c>
      <c r="C1" s="29" t="s">
        <v>82</v>
      </c>
      <c r="D1" s="29" t="s">
        <v>83</v>
      </c>
      <c r="E1" s="29" t="s">
        <v>83</v>
      </c>
      <c r="F1" s="29" t="s">
        <v>83</v>
      </c>
      <c r="G1" s="29" t="s">
        <v>83</v>
      </c>
    </row>
    <row r="2" spans="1:7" ht="8.25" customHeight="1" x14ac:dyDescent="0.4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2026-09-06T00:21:59Z</dcterms:modified>
  <dc:language>pt-BR</dc:language>
</cp:coreProperties>
</file>