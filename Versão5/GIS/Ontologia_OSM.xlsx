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GIS\"/>
    </mc:Choice>
  </mc:AlternateContent>
  <xr:revisionPtr revIDLastSave="0" documentId="13_ncr:1_{BECDFD59-564D-437A-8CE2-33980DED9F69}" xr6:coauthVersionLast="47" xr6:coauthVersionMax="47" xr10:uidLastSave="{00000000-0000-0000-0000-000000000000}"/>
  <bookViews>
    <workbookView xWindow="-120" yWindow="-120" windowWidth="24240" windowHeight="13290" tabRatio="681" xr2:uid="{EADD6BF3-7ABC-4ACF-B5B1-0F5DE0265229}"/>
  </bookViews>
  <sheets>
    <sheet name="Projeto" sheetId="16" r:id="rId1"/>
    <sheet name="Classes" sheetId="22" r:id="rId2"/>
    <sheet name="Disjunt" sheetId="18" r:id="rId3"/>
    <sheet name="Interop" sheetId="19" r:id="rId4"/>
    <sheet name="FatosIn" sheetId="20" r:id="rId5"/>
  </sheets>
  <definedNames>
    <definedName name="_xlnm._FilterDatabase" localSheetId="4" hidden="1">FatosIn!$I$1:$I$1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" i="16" l="1"/>
  <c r="B26" i="16"/>
  <c r="X24" i="22" l="1"/>
  <c r="X25" i="22"/>
  <c r="X26" i="22"/>
  <c r="X27" i="22"/>
  <c r="X28" i="22"/>
  <c r="V28" i="22"/>
  <c r="U28" i="22"/>
  <c r="T28" i="22"/>
  <c r="O28" i="22"/>
  <c r="N28" i="22"/>
  <c r="M28" i="22"/>
  <c r="L28" i="22"/>
  <c r="V27" i="22"/>
  <c r="U27" i="22"/>
  <c r="T27" i="22"/>
  <c r="O27" i="22"/>
  <c r="N27" i="22"/>
  <c r="M27" i="22"/>
  <c r="L27" i="22"/>
  <c r="V26" i="22"/>
  <c r="U26" i="22"/>
  <c r="T26" i="22"/>
  <c r="O26" i="22"/>
  <c r="N26" i="22"/>
  <c r="M26" i="22"/>
  <c r="L26" i="22"/>
  <c r="V25" i="22"/>
  <c r="U25" i="22"/>
  <c r="T25" i="22"/>
  <c r="O25" i="22"/>
  <c r="N25" i="22"/>
  <c r="M25" i="22"/>
  <c r="L25" i="22"/>
  <c r="V24" i="22"/>
  <c r="U24" i="22"/>
  <c r="T24" i="22"/>
  <c r="O24" i="22"/>
  <c r="N24" i="22"/>
  <c r="M24" i="22"/>
  <c r="L24" i="22"/>
  <c r="X23" i="22"/>
  <c r="V23" i="22"/>
  <c r="U23" i="22"/>
  <c r="T23" i="22"/>
  <c r="O23" i="22"/>
  <c r="N23" i="22"/>
  <c r="M23" i="22"/>
  <c r="L23" i="22"/>
  <c r="X22" i="22"/>
  <c r="V22" i="22"/>
  <c r="U22" i="22"/>
  <c r="T22" i="22"/>
  <c r="O22" i="22"/>
  <c r="N22" i="22"/>
  <c r="M22" i="22"/>
  <c r="L22" i="22"/>
  <c r="X3" i="22"/>
  <c r="X4" i="22"/>
  <c r="X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" i="22"/>
  <c r="V21" i="22"/>
  <c r="U21" i="22"/>
  <c r="T21" i="22"/>
  <c r="O21" i="22"/>
  <c r="N21" i="22"/>
  <c r="M21" i="22"/>
  <c r="L21" i="22"/>
  <c r="V20" i="22"/>
  <c r="U20" i="22"/>
  <c r="T20" i="22"/>
  <c r="O20" i="22"/>
  <c r="N20" i="22"/>
  <c r="M20" i="22"/>
  <c r="L20" i="22"/>
  <c r="V19" i="22"/>
  <c r="U19" i="22"/>
  <c r="T19" i="22"/>
  <c r="O19" i="22"/>
  <c r="N19" i="22"/>
  <c r="M19" i="22"/>
  <c r="L19" i="22"/>
  <c r="V17" i="22"/>
  <c r="U17" i="22"/>
  <c r="T17" i="22"/>
  <c r="O17" i="22"/>
  <c r="N17" i="22"/>
  <c r="M17" i="22"/>
  <c r="L17" i="22"/>
  <c r="V16" i="22"/>
  <c r="U16" i="22"/>
  <c r="T16" i="22"/>
  <c r="O16" i="22"/>
  <c r="N16" i="22"/>
  <c r="M16" i="22"/>
  <c r="L16" i="22"/>
  <c r="V15" i="22"/>
  <c r="U15" i="22"/>
  <c r="T15" i="22"/>
  <c r="O15" i="22"/>
  <c r="N15" i="22"/>
  <c r="M15" i="22"/>
  <c r="L15" i="22"/>
  <c r="V14" i="22"/>
  <c r="U14" i="22"/>
  <c r="T14" i="22"/>
  <c r="O14" i="22"/>
  <c r="N14" i="22"/>
  <c r="M14" i="22"/>
  <c r="L14" i="22"/>
  <c r="V13" i="22"/>
  <c r="U13" i="22"/>
  <c r="T13" i="22"/>
  <c r="O13" i="22"/>
  <c r="N13" i="22"/>
  <c r="M13" i="22"/>
  <c r="L13" i="22"/>
  <c r="V12" i="22"/>
  <c r="U12" i="22"/>
  <c r="T12" i="22"/>
  <c r="O12" i="22"/>
  <c r="N12" i="22"/>
  <c r="M12" i="22"/>
  <c r="L12" i="22"/>
  <c r="V10" i="22"/>
  <c r="U10" i="22"/>
  <c r="T10" i="22"/>
  <c r="O10" i="22"/>
  <c r="N10" i="22"/>
  <c r="M10" i="22"/>
  <c r="L10" i="22"/>
  <c r="V9" i="22"/>
  <c r="U9" i="22"/>
  <c r="T9" i="22"/>
  <c r="O9" i="22"/>
  <c r="N9" i="22"/>
  <c r="M9" i="22"/>
  <c r="L9" i="22"/>
  <c r="V8" i="22"/>
  <c r="U8" i="22"/>
  <c r="T8" i="22"/>
  <c r="O8" i="22"/>
  <c r="N8" i="22"/>
  <c r="M8" i="22"/>
  <c r="L8" i="22"/>
  <c r="V7" i="22"/>
  <c r="U7" i="22"/>
  <c r="T7" i="22"/>
  <c r="O7" i="22"/>
  <c r="N7" i="22"/>
  <c r="M7" i="22"/>
  <c r="L7" i="22"/>
  <c r="V6" i="22"/>
  <c r="U6" i="22"/>
  <c r="T6" i="22"/>
  <c r="O6" i="22"/>
  <c r="N6" i="22"/>
  <c r="M6" i="22"/>
  <c r="L6" i="22"/>
  <c r="V5" i="22"/>
  <c r="U5" i="22"/>
  <c r="T5" i="22"/>
  <c r="O5" i="22"/>
  <c r="N5" i="22"/>
  <c r="M5" i="22"/>
  <c r="L5" i="22"/>
  <c r="V4" i="22"/>
  <c r="U4" i="22"/>
  <c r="T4" i="22"/>
  <c r="O4" i="22"/>
  <c r="N4" i="22"/>
  <c r="M4" i="22"/>
  <c r="L4" i="22"/>
  <c r="V3" i="22"/>
  <c r="U3" i="22"/>
  <c r="T3" i="22"/>
  <c r="O3" i="22"/>
  <c r="N3" i="22"/>
  <c r="M3" i="22"/>
  <c r="L3" i="22"/>
  <c r="V11" i="22"/>
  <c r="U11" i="22"/>
  <c r="T11" i="22"/>
  <c r="O11" i="22"/>
  <c r="N11" i="22"/>
  <c r="M11" i="22"/>
  <c r="L11" i="22"/>
  <c r="V18" i="22"/>
  <c r="U18" i="22"/>
  <c r="T18" i="22"/>
  <c r="O18" i="22"/>
  <c r="N18" i="22"/>
  <c r="M18" i="22"/>
  <c r="L18" i="22"/>
  <c r="V2" i="22"/>
  <c r="U2" i="22"/>
  <c r="T2" i="22"/>
  <c r="O2" i="22"/>
  <c r="N2" i="22"/>
  <c r="M2" i="22"/>
  <c r="L2" i="22"/>
  <c r="B18" i="16" l="1"/>
  <c r="B6" i="16"/>
  <c r="B5" i="16"/>
</calcChain>
</file>

<file path=xl/sharedStrings.xml><?xml version="1.0" encoding="utf-8"?>
<sst xmlns="http://schemas.openxmlformats.org/spreadsheetml/2006/main" count="835" uniqueCount="269">
  <si>
    <t>Organização</t>
  </si>
  <si>
    <t>Valor</t>
  </si>
  <si>
    <t>null</t>
  </si>
  <si>
    <t>Chave</t>
  </si>
  <si>
    <t>Individuo</t>
  </si>
  <si>
    <t>0.Tipo</t>
  </si>
  <si>
    <t>0.Chave</t>
  </si>
  <si>
    <t>0.Valor</t>
  </si>
  <si>
    <t>Idioma</t>
  </si>
  <si>
    <t>OntologiaPrefixo</t>
  </si>
  <si>
    <t>bim:</t>
  </si>
  <si>
    <t>pt</t>
  </si>
  <si>
    <t>OntologiaTema</t>
  </si>
  <si>
    <t>RaizClass</t>
  </si>
  <si>
    <t>BIM</t>
  </si>
  <si>
    <t>RaizProp</t>
  </si>
  <si>
    <t>RaizData</t>
  </si>
  <si>
    <t>URI</t>
  </si>
  <si>
    <t>https://github.com/JLMenegotto/RepoOnto#</t>
  </si>
  <si>
    <t>Autor</t>
  </si>
  <si>
    <t>Prof. José Luis Menegotto DEG/POLI/UFRJ</t>
  </si>
  <si>
    <t>Escola Politécnica da UFRJ</t>
  </si>
  <si>
    <t>-</t>
  </si>
  <si>
    <t>Observações</t>
  </si>
  <si>
    <t>DataHora</t>
  </si>
  <si>
    <t>Algumas traduções podem precisar de revisão - Traducción al español incorporada</t>
  </si>
  <si>
    <t>Prédio</t>
  </si>
  <si>
    <t>Cidade</t>
  </si>
  <si>
    <t>Explicação</t>
  </si>
  <si>
    <t>Explicación</t>
  </si>
  <si>
    <t>es</t>
  </si>
  <si>
    <t>Explanation</t>
  </si>
  <si>
    <t>en</t>
  </si>
  <si>
    <t>00Raiz</t>
  </si>
  <si>
    <t>00Super
Class
2</t>
  </si>
  <si>
    <t>00Super
Class
3</t>
  </si>
  <si>
    <t>00Super
Class
4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</si>
  <si>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</si>
  <si>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</si>
  <si>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</si>
  <si>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</si>
  <si>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</si>
  <si>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</si>
  <si>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</si>
  <si>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4</t>
  </si>
  <si>
    <t>Anotações 
de ajuda
Classe 5</t>
  </si>
  <si>
    <t>000 Tradução Classe 5</t>
  </si>
  <si>
    <t>000 Traducción Classe 5</t>
  </si>
  <si>
    <t>Natureza</t>
  </si>
  <si>
    <t>Especie</t>
  </si>
  <si>
    <t>Tema</t>
  </si>
  <si>
    <t>Disciplina</t>
  </si>
  <si>
    <t>Key</t>
  </si>
  <si>
    <t>CategoriaRvt</t>
  </si>
  <si>
    <t>ClasseIfc</t>
  </si>
  <si>
    <t>ABNT</t>
  </si>
  <si>
    <t>000 Translate Classe 5</t>
  </si>
  <si>
    <t>Interoperabilidade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</si>
  <si>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</si>
  <si>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</si>
  <si>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</si>
  <si>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</si>
  <si>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</si>
  <si>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</si>
  <si>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</si>
  <si>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</si>
  <si>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</si>
  <si>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</si>
  <si>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</si>
  <si>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</si>
  <si>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</si>
  <si>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</si>
  <si>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</si>
  <si>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</si>
  <si>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</si>
  <si>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</si>
  <si>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</si>
  <si>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</si>
  <si>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</si>
  <si>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0-Classe Ifc</t>
  </si>
  <si>
    <t>0-Categoria Equivalente</t>
  </si>
  <si>
    <t>0-CategoriaEquivalente</t>
  </si>
  <si>
    <t>Conceitos</t>
  </si>
  <si>
    <t>Esquemas</t>
  </si>
  <si>
    <t>AtributoIfc</t>
  </si>
  <si>
    <t>ParâmetroRvt</t>
  </si>
  <si>
    <t>Interop</t>
  </si>
  <si>
    <t>OSM</t>
  </si>
  <si>
    <t>Oleoduto</t>
  </si>
  <si>
    <t>00.Class
5</t>
  </si>
  <si>
    <t>Elementos_OSM_Infraestrutura</t>
  </si>
  <si>
    <t>https://openinframap.org</t>
  </si>
  <si>
    <t>Modelo de informação do Open Street Map Infrastruture.</t>
  </si>
  <si>
    <t>Formalizar elementos do projeto BIM em formato OSM</t>
  </si>
  <si>
    <t>Ger.01</t>
  </si>
  <si>
    <t>Energia.Gerador</t>
  </si>
  <si>
    <t>Energia.Usina</t>
  </si>
  <si>
    <t>Energia.Linha</t>
  </si>
  <si>
    <t>Energia.Subestação</t>
  </si>
  <si>
    <t>Energia.Transformador</t>
  </si>
  <si>
    <t>Energia.Interruptor</t>
  </si>
  <si>
    <t>Energia.Compensador</t>
  </si>
  <si>
    <t>Energia.Torre</t>
  </si>
  <si>
    <t>Telecom.Edifício</t>
  </si>
  <si>
    <t>Telecom.Cabo</t>
  </si>
  <si>
    <t>Telecom.Mastro</t>
  </si>
  <si>
    <t>Oleoduto.Parte.de.Tubulação</t>
  </si>
  <si>
    <t>Petróleo.Poço</t>
  </si>
  <si>
    <t>Petróleo.Campo</t>
  </si>
  <si>
    <t>Água.Estação.de.Tratamento</t>
  </si>
  <si>
    <t>Esgoto.Estação.de.Tratamento</t>
  </si>
  <si>
    <t>Água.Elevatória</t>
  </si>
  <si>
    <t>Água.Torre</t>
  </si>
  <si>
    <t>Água.Poço</t>
  </si>
  <si>
    <t>Água.Reservatório</t>
  </si>
  <si>
    <t>Esgoto.Elevatória</t>
  </si>
  <si>
    <t>[ OST_Cable : OST_Conduit  : OST_ConduitCenterLine  : OST_ConduitDrop : OST_ConduitRiseDrop : OST_ConduitRun ]</t>
  </si>
  <si>
    <t>[ IfcCableSegment ]</t>
  </si>
  <si>
    <t>[ OST_PipingSystem : OST_PipeSegments : OST_PipeFitting : OST_PipeCurves : OST_PipeConnections : OST_PipeFittingInsulation ]</t>
  </si>
  <si>
    <t>[ IfcPipeSegment : IfcPipeFitting ]</t>
  </si>
  <si>
    <t>Classe do esquema OSM para infraestrutura. É um Compensador de Potência.</t>
  </si>
  <si>
    <t>Classe do esquema OSM para infraestrutura. É um campo de explotação de petróleo.</t>
  </si>
  <si>
    <t>Classe do esquema OSM para infraestrutura. É um poço de petróleo.</t>
  </si>
  <si>
    <t>Classe do esquema OSM para infraestrutura. É uma estação de tratamento de água.</t>
  </si>
  <si>
    <t>Classe do esquema OSM para infraestrutura. É uma estação de tratamento de esgoto.</t>
  </si>
  <si>
    <t>Classe do esquema OSM para infraestrutura. É uma estação de bombeamento ou elevatória de esgoto.</t>
  </si>
  <si>
    <t>Classe do esquema OSM para infraestrutura. É uma estação de bombeamento ou elevatória de água.</t>
  </si>
  <si>
    <t>Classe do esquema OSM para infraestrutura. É uma torre de água.</t>
  </si>
  <si>
    <t>Classe do esquema OSM para infraestrutura. É um poço de captação de água.</t>
  </si>
  <si>
    <t>Classe do esquema OSM para infraestrutura. É um reservatório de água.</t>
  </si>
  <si>
    <t>Classe do esquema OSM para infraestrutura. É um mastro de linha de transmissão de telecomunicação.</t>
  </si>
  <si>
    <t>Classe do esquema OSM para infraestrutura. É um oleoduto para gases.</t>
  </si>
  <si>
    <t>Classe do esquema OSM para infraestrutura. É uma parte de um oleoduto.</t>
  </si>
  <si>
    <t>Classe do esquema OSM para infraestrutura. É um-Gerador de energia.</t>
  </si>
  <si>
    <t>Classe do esquema OSM para infraestrutura. É uma Usina de energia.</t>
  </si>
  <si>
    <t>Classe do esquema OSM para infraestrutura. É uma Linha de energia.</t>
  </si>
  <si>
    <t>Classe do esquema OSM para infraestrutura. É uma Subestação de energia.</t>
  </si>
  <si>
    <t>Classe do esquema OSM para infraestrutura. É um Transformador de energia.</t>
  </si>
  <si>
    <t>Classe do esquema OSM para infraestrutura. É um Interruptor de energia.</t>
  </si>
  <si>
    <t>Classe do esquema OSM para infraestrutura. É uma torre de energia.</t>
  </si>
  <si>
    <t>Classe do esquema OSM para infraestrutura. É um edifício de telecomunicações.</t>
  </si>
  <si>
    <t>Classe do esquema OSM para infraestrutura. É um cabo para telecomunicações.</t>
  </si>
  <si>
    <t>Clase de esquema OSM para infraestructura. Es un generador de energía.</t>
  </si>
  <si>
    <t>Clase de esquema OSM para infraestructura. Es una central eléctrica.</t>
  </si>
  <si>
    <t>Clase de esquema OSM para infraestructura. Es una línea eléctrica.</t>
  </si>
  <si>
    <t>Clase de esquema OSM para infraestructura. Es una subestación eléctrica.</t>
  </si>
  <si>
    <t>Clase de esquema OSM para infraestructura. Es un transformador de energía.</t>
  </si>
  <si>
    <t>Clase de esquema OSM para infraestructura. Es un interruptor de encendido.</t>
  </si>
  <si>
    <t>Clase de esquema OSM para infraestructura. Es un compensador de potencia.</t>
  </si>
  <si>
    <t>Clase esquemática OSM para infraestructura. Es una torre de energía.</t>
  </si>
  <si>
    <t>Clase esquemática OSM para infraestructura. Es un edificio de telecomunicaciones.</t>
  </si>
  <si>
    <t>Clase esquemática OSM para infraestructura. Es un cable para telecomunicaciones.</t>
  </si>
  <si>
    <t>Clase esquemática OSM para infraestructura. Es un mástil de línea de transmisión de telecomunicaciones.</t>
  </si>
  <si>
    <t>Clase esquemática OSM para infraestructura. Es un gasoducto para gases.</t>
  </si>
  <si>
    <t>Clase de esquema OSM para infraestructura. Forma parte de un oleoducto.</t>
  </si>
  <si>
    <t>Clase de esquema OSM para infraestructuras. Es un campo de explotación petrolífera.</t>
  </si>
  <si>
    <t>Clase de esquema OSM para infraestructuras. Es un pozo petrolífero.</t>
  </si>
  <si>
    <t>Clase esquemática OSM para infraestructuras. Es una planta de tratamiento de agua.</t>
  </si>
  <si>
    <t>Clase esquemática OSM para infraestructuras. Es una estación de bombeo o estación de bombeo de agua.</t>
  </si>
  <si>
    <t>Clase esquemática OSM para infraestructuras. Es una torre de agua.</t>
  </si>
  <si>
    <t>Clase esquemática OSM para infraestructuras. Es un pozo de captación de agua.</t>
  </si>
  <si>
    <t>Clase esquemática OSM para infraestructuras. Es un depósito de agua.</t>
  </si>
  <si>
    <t>Clase de esquema OSM para infraestructuras. Es una planta de tratamiento de aguas residuales.</t>
  </si>
  <si>
    <t>Clase de esquema OSM para infraestructuras. Es una estación de bombeo o bombeo de aguas residuales.</t>
  </si>
  <si>
    <t>OSM schema class for infrastructure. It is a power-generator.</t>
  </si>
  <si>
    <t>OSM schema class for infrastructure. It is a Power Plant.</t>
  </si>
  <si>
    <t>OSM schema class for infrastructure. It is a Power Line.</t>
  </si>
  <si>
    <t>OSM schema class for infrastructure. It is a Power Substation.</t>
  </si>
  <si>
    <t>OSM schema class for infrastructure. It is a Power Transformer.</t>
  </si>
  <si>
    <t>OSM schema class for infrastructure. It is a Power switch.</t>
  </si>
  <si>
    <t>OSM schema class for infrastructure. It is a Power Compensator.</t>
  </si>
  <si>
    <t>OSM schematic class for infrastructure. It is a power tower.</t>
  </si>
  <si>
    <t>OSM schematic class for infrastructure. It is a telecommunications building.</t>
  </si>
  <si>
    <t>OSM schematic class for infrastructure. It is a cable for telecommunications.</t>
  </si>
  <si>
    <t>OSM schematic class for infrastructure. It is a telecommunication transmission line mast.</t>
  </si>
  <si>
    <t>OSM schematic class for infrastructure. It is a pipeline for gases.</t>
  </si>
  <si>
    <t>OSM schema class for infrastructure. It is a part of an oil pipeline.</t>
  </si>
  <si>
    <t>OSM schema class for infrastructure. It is an oil exploitation field.</t>
  </si>
  <si>
    <t>OSM schematic class for infrastructure. It's an oil well.</t>
  </si>
  <si>
    <t>OSM schematic class for infrastructure. It is a water treatment plant.</t>
  </si>
  <si>
    <t>OSM schematic class for infrastructure. It is a pumping station or water pumping station.</t>
  </si>
  <si>
    <t>OSM schematic class for infrastructure. It is a water tower.</t>
  </si>
  <si>
    <t>OSM schematic class for infrastructure. It is a water catchment well.</t>
  </si>
  <si>
    <t>OSM schematic class for infrastructure. It is a water reservoir.</t>
  </si>
  <si>
    <t>OSM schematic class for infrastructure. It is a sewage treatment plant.</t>
  </si>
  <si>
    <t>OSM schematic class for infrastructure. It is a sewage pumping or pumping station.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</si>
  <si>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</si>
  <si>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</si>
  <si>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</si>
  <si>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</si>
  <si>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</si>
  <si>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</si>
  <si>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</si>
  <si>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</si>
  <si>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</si>
  <si>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</si>
  <si>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</si>
  <si>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</si>
  <si>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</si>
  <si>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</si>
  <si>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</si>
  <si>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</si>
  <si>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</si>
  <si>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</si>
  <si>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</si>
  <si>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</si>
  <si>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</si>
  <si>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</si>
  <si>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</si>
  <si>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</si>
  <si>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</si>
  <si>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</si>
  <si>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</si>
  <si>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Norma-Número</t>
  </si>
  <si>
    <t>Norma-Edição</t>
  </si>
  <si>
    <t>Norma-ISBN</t>
  </si>
  <si>
    <t>Norma-Escopo</t>
  </si>
  <si>
    <t>Norma-Referência-01</t>
  </si>
  <si>
    <t>Norma-Referência-02</t>
  </si>
  <si>
    <t>Norma-Referência-03</t>
  </si>
  <si>
    <t>Advertência</t>
  </si>
  <si>
    <t>Aviso</t>
  </si>
  <si>
    <t>Alert</t>
  </si>
  <si>
    <t>Fonte-Brasil-01</t>
  </si>
  <si>
    <t>Fonte-Brasil-02</t>
  </si>
  <si>
    <t>Fonte-Brasil-03</t>
  </si>
  <si>
    <t>Fonte-Brasil-04</t>
  </si>
  <si>
    <t>Fonte-Vegetação-01</t>
  </si>
  <si>
    <t>Fonte-Vegetação-02</t>
  </si>
  <si>
    <t>Fonte-Vegetação-03</t>
  </si>
  <si>
    <t>Fonte-Vegetação-04</t>
  </si>
  <si>
    <t>Fonte-Vegetação-05</t>
  </si>
  <si>
    <t>Fonte-Vegetação-06</t>
  </si>
  <si>
    <t>Fonte-Vegetação-07</t>
  </si>
  <si>
    <t>Fonte-Vegetação-08</t>
  </si>
  <si>
    <t>Fonte-SINAPI</t>
  </si>
  <si>
    <t>Fonte-Brasil-Saúde-01</t>
  </si>
  <si>
    <t>Fonte-Brasil-Saúde-02</t>
  </si>
  <si>
    <t>Fonte-Brasil-Saúde-03</t>
  </si>
  <si>
    <t>Fonte-Brasil-Saúde-04</t>
  </si>
  <si>
    <t>Fonte-NBR-01</t>
  </si>
  <si>
    <t>Fonte-NBR-02</t>
  </si>
  <si>
    <t>Fonte-NBR-03</t>
  </si>
  <si>
    <t>Fonte-NBR-04</t>
  </si>
  <si>
    <t>Fonte-NBR-05</t>
  </si>
  <si>
    <t>Fonte-Bombeiros-01</t>
  </si>
  <si>
    <t>https://brasil.un.org/pt-br/sdgs</t>
  </si>
  <si>
    <t>https://eaesp.fgv.br/centros/centro-estudos-sustentabilidade/projetos/programa-brasileiro-ghg-protocol</t>
  </si>
  <si>
    <t>https://www.gov.br/fazenda/pt-br/acesso-a-informacao/acoes-e-programas/transformacao-ecologica/transformacao-ecologica</t>
  </si>
  <si>
    <t>https://www.gov.br/fazenda/pt-br/orgaos/spe/taxonomia-sustentavel-brasileira/cadernos</t>
  </si>
  <si>
    <t>https://museunacional.ufrj.br/hortobotanico</t>
  </si>
  <si>
    <t>https://www.embrapa.br/florestas/publicacoes</t>
  </si>
  <si>
    <t>https://www.arvoresgigantes.org</t>
  </si>
  <si>
    <t>https://www.scielo.br/j/abb</t>
  </si>
  <si>
    <t>https://www.gov.br/inpa/pt-br/Pesquisa/colecoes/botanica</t>
  </si>
  <si>
    <t>https://botanicasaopaulo.org</t>
  </si>
  <si>
    <t>https://pesquisa.in.gov.br/imprensa</t>
  </si>
  <si>
    <t>https://mapas.florestal.gov.br</t>
  </si>
  <si>
    <t>https://www.caixa.gov.br/site/Paginas/downloads.aspx#categoria_888</t>
  </si>
  <si>
    <t>https://somasus.saude.gov.br/sistema/home</t>
  </si>
  <si>
    <t>https://anvisalegis.datalegis.net</t>
  </si>
  <si>
    <t>RDC 611/2022. Radiologia diagnóstica. Blindagem, proteção radiológica.</t>
  </si>
  <si>
    <t>RDC 222/2018. Gerenciamento de resíduos. Plano de gerenciamento obrigatório.</t>
  </si>
  <si>
    <t>NBR 9050. Acessibilidade. Todos os ambientes de uso público.</t>
  </si>
  <si>
    <t>NBR 7256. Climatização em EAS. Obrigatória para CC, CTI, CME, hemodinâmica.</t>
  </si>
  <si>
    <t>NBR 15575. Desempenho de edificações. Conforto térmico, acústico, lumínico.</t>
  </si>
  <si>
    <t>NBR 13534. Instalações elétricas em EAS. Circuitos, aterramento, emergência.</t>
  </si>
  <si>
    <t>NBR 12188. Gases medicinais. Centrais, redes, pontos de uso.</t>
  </si>
  <si>
    <t>Segurança contra incêndio. Varia por estado, consultar regulamento local.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</si>
</sst>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9"/>
      <color theme="1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b/>
      <sz val="6"/>
      <color rgb="FF000000"/>
      <name val="Arial Nova Cond Light"/>
      <family val="2"/>
    </font>
    <font>
      <b/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sz val="5"/>
      <name val="Arial Nova Cond Light"/>
      <family val="2"/>
    </font>
    <font>
      <i/>
      <sz val="6"/>
      <color theme="1"/>
      <name val="Arial Nova Cond Light"/>
      <family val="2"/>
    </font>
    <font>
      <sz val="8"/>
      <name val="Aptos Narrow"/>
      <family val="2"/>
      <scheme val="minor"/>
    </font>
    <font>
      <sz val="8"/>
      <color theme="1"/>
      <name val="Arial Nova Cond Light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1D1D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2">
    <xf numFmtId="0" fontId="0" fillId="0" borderId="0" xfId="0"/>
    <xf numFmtId="0" fontId="2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22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8" fillId="18" borderId="4" xfId="0" applyFont="1" applyFill="1" applyBorder="1" applyAlignment="1">
      <alignment horizontal="center" vertical="center" wrapText="1"/>
    </xf>
    <xf numFmtId="0" fontId="9" fillId="18" borderId="5" xfId="0" applyFont="1" applyFill="1" applyBorder="1" applyAlignment="1">
      <alignment horizontal="left" vertical="center" wrapText="1"/>
    </xf>
    <xf numFmtId="0" fontId="9" fillId="18" borderId="6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8" fillId="18" borderId="3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19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4" fillId="23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right" vertical="center"/>
    </xf>
    <xf numFmtId="0" fontId="7" fillId="12" borderId="1" xfId="0" applyFont="1" applyFill="1" applyBorder="1" applyAlignment="1">
      <alignment horizontal="left" vertical="center"/>
    </xf>
    <xf numFmtId="0" fontId="2" fillId="13" borderId="2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vertical="center"/>
    </xf>
    <xf numFmtId="0" fontId="5" fillId="16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12" borderId="1" xfId="0" applyFont="1" applyFill="1" applyBorder="1" applyAlignment="1">
      <alignment horizontal="right" vertical="center" wrapText="1"/>
    </xf>
    <xf numFmtId="0" fontId="4" fillId="16" borderId="1" xfId="0" applyFont="1" applyFill="1" applyBorder="1" applyAlignment="1">
      <alignment vertical="center"/>
    </xf>
    <xf numFmtId="0" fontId="7" fillId="24" borderId="1" xfId="0" applyFont="1" applyFill="1" applyBorder="1" applyAlignment="1">
      <alignment horizontal="left" vertical="center"/>
    </xf>
    <xf numFmtId="0" fontId="7" fillId="0" borderId="1" xfId="1" applyFont="1" applyBorder="1" applyAlignment="1">
      <alignment vertical="center"/>
    </xf>
    <xf numFmtId="0" fontId="7" fillId="6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vertical="center"/>
    </xf>
    <xf numFmtId="0" fontId="5" fillId="8" borderId="5" xfId="0" applyFont="1" applyFill="1" applyBorder="1" applyAlignment="1">
      <alignment vertical="center"/>
    </xf>
    <xf numFmtId="0" fontId="7" fillId="21" borderId="5" xfId="0" applyFont="1" applyFill="1" applyBorder="1" applyAlignment="1">
      <alignment horizontal="left" vertical="center"/>
    </xf>
    <xf numFmtId="0" fontId="7" fillId="22" borderId="5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left" vertical="center"/>
    </xf>
    <xf numFmtId="0" fontId="4" fillId="17" borderId="3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6" fillId="1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1" xfId="1" applyFont="1" applyBorder="1" applyAlignment="1">
      <alignment horizontal="left" vertical="center"/>
    </xf>
    <xf numFmtId="0" fontId="7" fillId="0" borderId="1" xfId="1" applyFont="1" applyFill="1" applyBorder="1" applyAlignment="1">
      <alignment vertical="center"/>
    </xf>
    <xf numFmtId="0" fontId="7" fillId="0" borderId="1" xfId="1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25" borderId="1" xfId="0" applyFont="1" applyFill="1" applyBorder="1" applyAlignment="1">
      <alignment vertical="center"/>
    </xf>
    <xf numFmtId="22" fontId="7" fillId="0" borderId="1" xfId="1" applyNumberFormat="1" applyFont="1" applyBorder="1" applyAlignment="1">
      <alignment horizontal="left" vertical="center"/>
    </xf>
    <xf numFmtId="0" fontId="5" fillId="25" borderId="1" xfId="0" applyFont="1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E8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0CDAE2-7952-4369-A5BC-07E9750EC2A5}" name="Tabla4" displayName="Tabla4" ref="A1:U2" totalsRowShown="0">
  <tableColumns count="21">
    <tableColumn id="1" xr3:uid="{583A8325-4A11-4115-9FBF-B18A310CAC78}" name="1"/>
    <tableColumn id="2" xr3:uid="{D38AE385-6C4D-4D8E-9F5F-993423BD402B}" name="Disjunta 1"/>
    <tableColumn id="3" xr3:uid="{B3AE13C5-692D-436F-B47B-48CE26D5F3ED}" name="Disjunta 2"/>
    <tableColumn id="4" xr3:uid="{CDFF4936-9C8A-4161-A6D7-EF859E578043}" name="Disjunta 3"/>
    <tableColumn id="5" xr3:uid="{FCB45EFF-B866-4F9D-A088-09368F6CCAED}" name="Disjunta 4"/>
    <tableColumn id="6" xr3:uid="{6F5CB332-310B-4CC4-9EFF-59264BC85D99}" name="Disjunta 5"/>
    <tableColumn id="7" xr3:uid="{87C14D4B-9E50-44B9-B696-2E709CC119CF}" name="Disjunta 6"/>
    <tableColumn id="8" xr3:uid="{42C65DDE-E925-4894-91B4-F2E4987556D2}" name="Disjunta 7"/>
    <tableColumn id="9" xr3:uid="{F75A0E8F-3EA2-43A9-B668-50CDCB3B448C}" name="Disjunta 8"/>
    <tableColumn id="10" xr3:uid="{C620E7A5-0DA7-48B7-8640-4B226D7AA8C7}" name="Disjunta 9"/>
    <tableColumn id="11" xr3:uid="{0801425D-F9F9-455C-9FA4-9C6C1DECB9AD}" name="Disjunta 10"/>
    <tableColumn id="12" xr3:uid="{A5B01D57-9A88-4CB7-8AC5-E24C489D0031}" name="Disjunta 11"/>
    <tableColumn id="13" xr3:uid="{8894692D-E2E5-4BE8-B681-BB870CA42A67}" name="Disjunta 12"/>
    <tableColumn id="14" xr3:uid="{080D2DE7-8B2C-43CB-BE54-484218BF9954}" name="Disjunta 13"/>
    <tableColumn id="15" xr3:uid="{F25A5529-BEC7-4AD0-9502-9399D2C789E9}" name="Disjunta 14"/>
    <tableColumn id="16" xr3:uid="{BC3AEA00-0DF3-410E-893E-5D3B83E2C611}" name="Disjunta 15"/>
    <tableColumn id="17" xr3:uid="{1E2C0EAA-B27B-4790-B529-9F53A6E5DEEB}" name="Disjunta 16"/>
    <tableColumn id="18" xr3:uid="{E510FEF4-EF55-4A27-AF9A-1C59F07D5BC1}" name="Disjunta 17"/>
    <tableColumn id="19" xr3:uid="{91E4AD36-F86D-42AD-8B7A-3F0633A3109F}" name="Disjunta 18"/>
    <tableColumn id="20" xr3:uid="{E4F0BCBD-BEED-430D-BAB8-0E560471480A}" name="Disjunta 19"/>
    <tableColumn id="21" xr3:uid="{BADAFF57-36EA-446C-9A7C-F9455EE1A227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v.br/fazenda/pt-br/orgaos/spe/taxonomia-sustentavel-brasileira/cadernos" TargetMode="External"/><Relationship Id="rId3" Type="http://schemas.openxmlformats.org/officeDocument/2006/relationships/hyperlink" Target="https://www.gov.br/fazenda/pt-br/acesso-a-informacao/acoes-e-programas/transformacao-ecologica/transformacao-ecologica" TargetMode="External"/><Relationship Id="rId7" Type="http://schemas.openxmlformats.org/officeDocument/2006/relationships/hyperlink" Target="https://anvisalegis.datalegis.net/" TargetMode="External"/><Relationship Id="rId2" Type="http://schemas.openxmlformats.org/officeDocument/2006/relationships/hyperlink" Target="https://brasil.un.org/pt-br/sdgs" TargetMode="External"/><Relationship Id="rId1" Type="http://schemas.openxmlformats.org/officeDocument/2006/relationships/hyperlink" Target="https://openinframap.org/" TargetMode="External"/><Relationship Id="rId6" Type="http://schemas.openxmlformats.org/officeDocument/2006/relationships/hyperlink" Target="https://somasus.saude.gov.br/sistema/home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eaesp.fgv.br/centros/centro-estudos-sustentabilidade/projetos/programa-brasileiro-ghg-protoco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CFCF6-0637-46A8-9CC0-1BF6FB3A6D15}">
  <sheetPr codeName="Planilha14"/>
  <dimension ref="A1:C49"/>
  <sheetViews>
    <sheetView tabSelected="1" zoomScale="220" zoomScaleNormal="220" workbookViewId="0">
      <selection activeCell="B21" sqref="B21"/>
    </sheetView>
  </sheetViews>
  <sheetFormatPr defaultRowHeight="7.5" customHeight="1" x14ac:dyDescent="0.2"/>
  <cols>
    <col min="1" max="1" width="15.1640625" bestFit="1" customWidth="1"/>
    <col min="2" max="2" width="65.33203125" style="27" customWidth="1"/>
    <col min="3" max="3" width="4.1640625" bestFit="1" customWidth="1"/>
  </cols>
  <sheetData>
    <row r="1" spans="1:3" ht="14.25" customHeight="1" x14ac:dyDescent="0.2">
      <c r="A1" s="1" t="s">
        <v>3</v>
      </c>
      <c r="B1" s="1" t="s">
        <v>1</v>
      </c>
      <c r="C1" s="2" t="s">
        <v>8</v>
      </c>
    </row>
    <row r="2" spans="1:3" ht="7.5" customHeight="1" x14ac:dyDescent="0.2">
      <c r="A2" s="3" t="s">
        <v>9</v>
      </c>
      <c r="B2" s="3" t="s">
        <v>10</v>
      </c>
      <c r="C2" s="4" t="s">
        <v>11</v>
      </c>
    </row>
    <row r="3" spans="1:3" ht="7.5" customHeight="1" x14ac:dyDescent="0.2">
      <c r="A3" s="3" t="s">
        <v>12</v>
      </c>
      <c r="B3" s="3" t="s">
        <v>90</v>
      </c>
      <c r="C3" s="4" t="s">
        <v>11</v>
      </c>
    </row>
    <row r="4" spans="1:3" ht="7.5" customHeight="1" x14ac:dyDescent="0.2">
      <c r="A4" s="5" t="s">
        <v>13</v>
      </c>
      <c r="B4" s="5" t="s">
        <v>14</v>
      </c>
      <c r="C4" s="4" t="s">
        <v>11</v>
      </c>
    </row>
    <row r="5" spans="1:3" ht="7.5" customHeight="1" x14ac:dyDescent="0.2">
      <c r="A5" s="5" t="s">
        <v>15</v>
      </c>
      <c r="B5" s="5" t="str">
        <f>_xlfn.CONCAT(B4,"Prop")</f>
        <v>BIMProp</v>
      </c>
      <c r="C5" s="4" t="s">
        <v>11</v>
      </c>
    </row>
    <row r="6" spans="1:3" ht="7.5" customHeight="1" x14ac:dyDescent="0.2">
      <c r="A6" s="5" t="s">
        <v>16</v>
      </c>
      <c r="B6" s="5" t="str">
        <f>_xlfn.CONCAT(B4,"Data")</f>
        <v>BIMData</v>
      </c>
      <c r="C6" s="4" t="s">
        <v>11</v>
      </c>
    </row>
    <row r="7" spans="1:3" ht="7.5" customHeight="1" x14ac:dyDescent="0.2">
      <c r="A7" s="5" t="s">
        <v>17</v>
      </c>
      <c r="B7" s="5" t="s">
        <v>18</v>
      </c>
      <c r="C7" s="4" t="s">
        <v>11</v>
      </c>
    </row>
    <row r="8" spans="1:3" ht="7.5" customHeight="1" x14ac:dyDescent="0.2">
      <c r="A8" s="6" t="s">
        <v>19</v>
      </c>
      <c r="B8" s="6" t="s">
        <v>20</v>
      </c>
      <c r="C8" s="4" t="s">
        <v>11</v>
      </c>
    </row>
    <row r="9" spans="1:3" ht="7.5" customHeight="1" x14ac:dyDescent="0.2">
      <c r="A9" s="5" t="s">
        <v>0</v>
      </c>
      <c r="B9" s="5" t="s">
        <v>21</v>
      </c>
      <c r="C9" s="4" t="s">
        <v>11</v>
      </c>
    </row>
    <row r="10" spans="1:3" ht="7.5" customHeight="1" x14ac:dyDescent="0.2">
      <c r="A10" s="5" t="s">
        <v>213</v>
      </c>
      <c r="B10" s="5" t="s">
        <v>22</v>
      </c>
      <c r="C10" s="4" t="s">
        <v>11</v>
      </c>
    </row>
    <row r="11" spans="1:3" ht="7.5" customHeight="1" x14ac:dyDescent="0.2">
      <c r="A11" s="5" t="s">
        <v>214</v>
      </c>
      <c r="B11" s="5" t="s">
        <v>22</v>
      </c>
      <c r="C11" s="4" t="s">
        <v>11</v>
      </c>
    </row>
    <row r="12" spans="1:3" ht="7.5" customHeight="1" x14ac:dyDescent="0.2">
      <c r="A12" s="5" t="s">
        <v>215</v>
      </c>
      <c r="B12" s="5" t="s">
        <v>22</v>
      </c>
      <c r="C12" s="4" t="s">
        <v>11</v>
      </c>
    </row>
    <row r="13" spans="1:3" ht="7.5" customHeight="1" x14ac:dyDescent="0.2">
      <c r="A13" s="5" t="s">
        <v>216</v>
      </c>
      <c r="B13" s="5" t="s">
        <v>22</v>
      </c>
      <c r="C13" s="4" t="s">
        <v>11</v>
      </c>
    </row>
    <row r="14" spans="1:3" ht="7.5" customHeight="1" x14ac:dyDescent="0.2">
      <c r="A14" s="5" t="s">
        <v>217</v>
      </c>
      <c r="B14" s="5" t="s">
        <v>22</v>
      </c>
      <c r="C14" s="4" t="s">
        <v>11</v>
      </c>
    </row>
    <row r="15" spans="1:3" ht="7.5" customHeight="1" x14ac:dyDescent="0.2">
      <c r="A15" s="5" t="s">
        <v>218</v>
      </c>
      <c r="B15" s="5" t="s">
        <v>22</v>
      </c>
      <c r="C15" s="4" t="s">
        <v>11</v>
      </c>
    </row>
    <row r="16" spans="1:3" ht="7.5" customHeight="1" x14ac:dyDescent="0.2">
      <c r="A16" s="5" t="s">
        <v>219</v>
      </c>
      <c r="B16" s="43" t="s">
        <v>91</v>
      </c>
      <c r="C16" s="4" t="s">
        <v>11</v>
      </c>
    </row>
    <row r="17" spans="1:3" ht="7.5" customHeight="1" x14ac:dyDescent="0.2">
      <c r="A17" s="5" t="s">
        <v>23</v>
      </c>
      <c r="B17" s="5" t="s">
        <v>92</v>
      </c>
      <c r="C17" s="4" t="s">
        <v>11</v>
      </c>
    </row>
    <row r="18" spans="1:3" ht="7.5" customHeight="1" x14ac:dyDescent="0.2">
      <c r="A18" s="5" t="s">
        <v>24</v>
      </c>
      <c r="B18" s="7">
        <f ca="1">NOW()</f>
        <v>46276.435401620372</v>
      </c>
      <c r="C18" s="4" t="s">
        <v>11</v>
      </c>
    </row>
    <row r="19" spans="1:3" ht="7.5" customHeight="1" x14ac:dyDescent="0.2">
      <c r="A19" s="5" t="s">
        <v>220</v>
      </c>
      <c r="B19" s="7" t="s">
        <v>25</v>
      </c>
      <c r="C19" s="4" t="s">
        <v>11</v>
      </c>
    </row>
    <row r="20" spans="1:3" ht="7.5" customHeight="1" x14ac:dyDescent="0.2">
      <c r="A20" s="6" t="s">
        <v>221</v>
      </c>
      <c r="B20" s="5" t="s">
        <v>22</v>
      </c>
      <c r="C20" s="4" t="s">
        <v>11</v>
      </c>
    </row>
    <row r="21" spans="1:3" ht="7.5" customHeight="1" x14ac:dyDescent="0.2">
      <c r="A21" s="6" t="s">
        <v>222</v>
      </c>
      <c r="B21" s="5" t="s">
        <v>22</v>
      </c>
      <c r="C21" s="4" t="s">
        <v>11</v>
      </c>
    </row>
    <row r="22" spans="1:3" ht="7.5" customHeight="1" x14ac:dyDescent="0.2">
      <c r="A22" s="5" t="s">
        <v>26</v>
      </c>
      <c r="B22" s="5" t="s">
        <v>22</v>
      </c>
      <c r="C22" s="4" t="s">
        <v>11</v>
      </c>
    </row>
    <row r="23" spans="1:3" ht="7.5" customHeight="1" x14ac:dyDescent="0.2">
      <c r="A23" s="5" t="s">
        <v>27</v>
      </c>
      <c r="B23" s="5" t="s">
        <v>22</v>
      </c>
      <c r="C23" s="4" t="s">
        <v>11</v>
      </c>
    </row>
    <row r="24" spans="1:3" ht="7.5" customHeight="1" x14ac:dyDescent="0.2">
      <c r="A24" s="5" t="s">
        <v>28</v>
      </c>
      <c r="B24" s="8" t="s">
        <v>93</v>
      </c>
      <c r="C24" s="4" t="s">
        <v>11</v>
      </c>
    </row>
    <row r="25" spans="1:3" ht="7.5" customHeight="1" x14ac:dyDescent="0.2">
      <c r="A25" s="5" t="s">
        <v>29</v>
      </c>
      <c r="B25" s="8" t="str">
        <f>_xlfn.TRANSLATE(B24,"pt","es")</f>
        <v>Formalizar los elementos del proyecto BIM en formato OSM</v>
      </c>
      <c r="C25" s="4" t="s">
        <v>30</v>
      </c>
    </row>
    <row r="26" spans="1:3" ht="7.5" customHeight="1" x14ac:dyDescent="0.2">
      <c r="A26" s="6" t="s">
        <v>31</v>
      </c>
      <c r="B26" s="8" t="str">
        <f>_xlfn.TRANSLATE(B24,"pt","en")</f>
        <v>Formalize BIM project elements in OSM format</v>
      </c>
      <c r="C26" s="4" t="s">
        <v>32</v>
      </c>
    </row>
    <row r="27" spans="1:3" ht="7.5" customHeight="1" x14ac:dyDescent="0.2">
      <c r="A27" s="6" t="s">
        <v>223</v>
      </c>
      <c r="B27" s="65" t="s">
        <v>246</v>
      </c>
      <c r="C27" s="4" t="s">
        <v>11</v>
      </c>
    </row>
    <row r="28" spans="1:3" ht="7.5" customHeight="1" x14ac:dyDescent="0.2">
      <c r="A28" s="6" t="s">
        <v>224</v>
      </c>
      <c r="B28" s="66" t="s">
        <v>247</v>
      </c>
      <c r="C28" s="4" t="s">
        <v>11</v>
      </c>
    </row>
    <row r="29" spans="1:3" ht="7.5" customHeight="1" x14ac:dyDescent="0.2">
      <c r="A29" s="6" t="s">
        <v>225</v>
      </c>
      <c r="B29" s="66" t="s">
        <v>248</v>
      </c>
      <c r="C29" s="4" t="s">
        <v>11</v>
      </c>
    </row>
    <row r="30" spans="1:3" ht="7.5" customHeight="1" x14ac:dyDescent="0.2">
      <c r="A30" s="6" t="s">
        <v>226</v>
      </c>
      <c r="B30" s="67" t="s">
        <v>249</v>
      </c>
      <c r="C30" s="4" t="s">
        <v>11</v>
      </c>
    </row>
    <row r="31" spans="1:3" ht="7.5" customHeight="1" x14ac:dyDescent="0.2">
      <c r="A31" s="6" t="s">
        <v>227</v>
      </c>
      <c r="B31" s="68" t="s">
        <v>250</v>
      </c>
      <c r="C31" s="4" t="s">
        <v>11</v>
      </c>
    </row>
    <row r="32" spans="1:3" ht="7.5" customHeight="1" x14ac:dyDescent="0.2">
      <c r="A32" s="6" t="s">
        <v>228</v>
      </c>
      <c r="B32" s="68" t="s">
        <v>251</v>
      </c>
      <c r="C32" s="4" t="s">
        <v>11</v>
      </c>
    </row>
    <row r="33" spans="1:3" ht="7.5" customHeight="1" x14ac:dyDescent="0.2">
      <c r="A33" s="6" t="s">
        <v>229</v>
      </c>
      <c r="B33" s="68" t="s">
        <v>252</v>
      </c>
      <c r="C33" s="4" t="s">
        <v>11</v>
      </c>
    </row>
    <row r="34" spans="1:3" ht="7.5" customHeight="1" x14ac:dyDescent="0.2">
      <c r="A34" s="6" t="s">
        <v>230</v>
      </c>
      <c r="B34" s="69" t="s">
        <v>253</v>
      </c>
      <c r="C34" s="4" t="s">
        <v>11</v>
      </c>
    </row>
    <row r="35" spans="1:3" ht="7.5" customHeight="1" x14ac:dyDescent="0.2">
      <c r="A35" s="6" t="s">
        <v>231</v>
      </c>
      <c r="B35" s="69" t="s">
        <v>254</v>
      </c>
      <c r="C35" s="4" t="s">
        <v>11</v>
      </c>
    </row>
    <row r="36" spans="1:3" ht="7.5" customHeight="1" x14ac:dyDescent="0.2">
      <c r="A36" s="6" t="s">
        <v>232</v>
      </c>
      <c r="B36" s="68" t="s">
        <v>255</v>
      </c>
      <c r="C36" s="4" t="s">
        <v>11</v>
      </c>
    </row>
    <row r="37" spans="1:3" ht="7.5" customHeight="1" x14ac:dyDescent="0.2">
      <c r="A37" s="6" t="s">
        <v>233</v>
      </c>
      <c r="B37" s="69" t="s">
        <v>256</v>
      </c>
      <c r="C37" s="4" t="s">
        <v>11</v>
      </c>
    </row>
    <row r="38" spans="1:3" ht="7.5" customHeight="1" x14ac:dyDescent="0.2">
      <c r="A38" s="6" t="s">
        <v>234</v>
      </c>
      <c r="B38" s="68" t="s">
        <v>257</v>
      </c>
      <c r="C38" s="4" t="s">
        <v>11</v>
      </c>
    </row>
    <row r="39" spans="1:3" ht="7.5" customHeight="1" x14ac:dyDescent="0.2">
      <c r="A39" s="6" t="s">
        <v>235</v>
      </c>
      <c r="B39" s="70" t="s">
        <v>258</v>
      </c>
      <c r="C39" s="4" t="s">
        <v>11</v>
      </c>
    </row>
    <row r="40" spans="1:3" ht="7.5" customHeight="1" x14ac:dyDescent="0.2">
      <c r="A40" s="6" t="s">
        <v>236</v>
      </c>
      <c r="B40" s="70" t="s">
        <v>259</v>
      </c>
      <c r="C40" s="4" t="s">
        <v>11</v>
      </c>
    </row>
    <row r="41" spans="1:3" ht="7.5" customHeight="1" x14ac:dyDescent="0.2">
      <c r="A41" s="6" t="s">
        <v>237</v>
      </c>
      <c r="B41" s="43" t="s">
        <v>260</v>
      </c>
      <c r="C41" s="4" t="s">
        <v>11</v>
      </c>
    </row>
    <row r="42" spans="1:3" ht="7.5" customHeight="1" x14ac:dyDescent="0.2">
      <c r="A42" s="6" t="s">
        <v>238</v>
      </c>
      <c r="B42" s="71" t="s">
        <v>261</v>
      </c>
      <c r="C42" s="4" t="s">
        <v>11</v>
      </c>
    </row>
    <row r="43" spans="1:3" ht="7.5" customHeight="1" x14ac:dyDescent="0.2">
      <c r="A43" s="6" t="s">
        <v>239</v>
      </c>
      <c r="B43" s="71" t="s">
        <v>262</v>
      </c>
      <c r="C43" s="4" t="s">
        <v>11</v>
      </c>
    </row>
    <row r="44" spans="1:3" ht="7.5" customHeight="1" x14ac:dyDescent="0.2">
      <c r="A44" s="6" t="s">
        <v>240</v>
      </c>
      <c r="B44" s="71" t="s">
        <v>263</v>
      </c>
      <c r="C44" s="4" t="s">
        <v>11</v>
      </c>
    </row>
    <row r="45" spans="1:3" ht="7.5" customHeight="1" x14ac:dyDescent="0.2">
      <c r="A45" s="6" t="s">
        <v>241</v>
      </c>
      <c r="B45" s="71" t="s">
        <v>264</v>
      </c>
      <c r="C45" s="4" t="s">
        <v>11</v>
      </c>
    </row>
    <row r="46" spans="1:3" ht="7.5" customHeight="1" x14ac:dyDescent="0.2">
      <c r="A46" s="6" t="s">
        <v>242</v>
      </c>
      <c r="B46" s="71" t="s">
        <v>265</v>
      </c>
      <c r="C46" s="4" t="s">
        <v>11</v>
      </c>
    </row>
    <row r="47" spans="1:3" ht="7.5" customHeight="1" x14ac:dyDescent="0.2">
      <c r="A47" s="6" t="s">
        <v>243</v>
      </c>
      <c r="B47" s="71" t="s">
        <v>266</v>
      </c>
      <c r="C47" s="4" t="s">
        <v>11</v>
      </c>
    </row>
    <row r="48" spans="1:3" ht="7.5" customHeight="1" x14ac:dyDescent="0.2">
      <c r="A48" s="6" t="s">
        <v>244</v>
      </c>
      <c r="B48" s="71" t="s">
        <v>267</v>
      </c>
      <c r="C48" s="4" t="s">
        <v>11</v>
      </c>
    </row>
    <row r="49" spans="1:3" ht="7.5" customHeight="1" x14ac:dyDescent="0.2">
      <c r="A49" s="6" t="s">
        <v>245</v>
      </c>
      <c r="B49" s="71" t="s">
        <v>268</v>
      </c>
      <c r="C49" s="4" t="s">
        <v>11</v>
      </c>
    </row>
  </sheetData>
  <hyperlinks>
    <hyperlink ref="B16" r:id="rId1" xr:uid="{85F79A7A-4111-4BD8-A3C5-4FD730DA4627}"/>
    <hyperlink ref="B27" r:id="rId2" xr:uid="{73074517-7065-4F0C-A1C9-D2FB2A1175B3}"/>
    <hyperlink ref="B29" r:id="rId3" xr:uid="{211B2FB3-83FA-4432-BDA2-F63EF96E347E}"/>
    <hyperlink ref="B28" r:id="rId4" xr:uid="{639A6B28-05F0-4972-BD69-71CC45F95540}"/>
    <hyperlink ref="B39" r:id="rId5" location="categoria_888" xr:uid="{7543E5E0-E405-4FE7-9D3A-EF2A2C9007A5}"/>
    <hyperlink ref="B40" r:id="rId6" xr:uid="{AABAE240-E4BD-4F5D-966C-4BACF4FCB1EA}"/>
    <hyperlink ref="B41" r:id="rId7" xr:uid="{77DA490E-0B49-4036-AD60-73A14A05379F}"/>
    <hyperlink ref="B30" r:id="rId8" xr:uid="{959C0C8C-923F-4D61-91C7-5346148AD0CC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B10B-C8BF-4318-B9A8-B9240E89A4C8}">
  <dimension ref="A1:AD28"/>
  <sheetViews>
    <sheetView zoomScale="250" zoomScaleNormal="250" workbookViewId="0">
      <pane ySplit="1" topLeftCell="A2" activePane="bottomLeft" state="frozen"/>
      <selection pane="bottomLeft" activeCell="C3" sqref="C3"/>
    </sheetView>
  </sheetViews>
  <sheetFormatPr defaultRowHeight="7.5" customHeight="1" x14ac:dyDescent="0.2"/>
  <cols>
    <col min="1" max="1" width="2.83203125" bestFit="1" customWidth="1"/>
    <col min="2" max="2" width="6.5" customWidth="1"/>
    <col min="3" max="3" width="10.6640625" customWidth="1"/>
    <col min="4" max="4" width="7.33203125" bestFit="1" customWidth="1"/>
    <col min="5" max="5" width="5.5" customWidth="1"/>
    <col min="6" max="6" width="22.1640625" bestFit="1" customWidth="1"/>
    <col min="7" max="11" width="7.83203125" customWidth="1"/>
    <col min="12" max="12" width="12.1640625" bestFit="1" customWidth="1"/>
    <col min="13" max="14" width="8.6640625" bestFit="1" customWidth="1"/>
    <col min="15" max="15" width="23.33203125" bestFit="1" customWidth="1"/>
    <col min="16" max="16" width="51.83203125" bestFit="1" customWidth="1"/>
    <col min="17" max="17" width="58.5" bestFit="1" customWidth="1"/>
    <col min="18" max="18" width="41.83203125" bestFit="1" customWidth="1"/>
    <col min="19" max="19" width="4.5" style="64" customWidth="1"/>
    <col min="20" max="20" width="12.1640625" bestFit="1" customWidth="1"/>
    <col min="21" max="21" width="7.1640625" bestFit="1" customWidth="1"/>
    <col min="22" max="22" width="23.33203125" bestFit="1" customWidth="1"/>
    <col min="23" max="23" width="10" customWidth="1"/>
    <col min="24" max="24" width="8.6640625" bestFit="1" customWidth="1"/>
    <col min="25" max="25" width="64.33203125" customWidth="1"/>
    <col min="26" max="26" width="9" bestFit="1" customWidth="1"/>
    <col min="27" max="27" width="17.33203125" customWidth="1"/>
    <col min="28" max="28" width="7" customWidth="1"/>
    <col min="29" max="29" width="5.33203125" bestFit="1" customWidth="1"/>
    <col min="30" max="30" width="4.5" bestFit="1" customWidth="1"/>
  </cols>
  <sheetData>
    <row r="1" spans="1:30" ht="37.5" customHeight="1" x14ac:dyDescent="0.2">
      <c r="A1" s="40">
        <v>1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89</v>
      </c>
      <c r="G1" s="33" t="s">
        <v>37</v>
      </c>
      <c r="H1" s="33" t="s">
        <v>38</v>
      </c>
      <c r="I1" s="33" t="s">
        <v>39</v>
      </c>
      <c r="J1" s="33" t="s">
        <v>40</v>
      </c>
      <c r="K1" s="33" t="s">
        <v>41</v>
      </c>
      <c r="L1" s="9" t="s">
        <v>42</v>
      </c>
      <c r="M1" s="9" t="s">
        <v>43</v>
      </c>
      <c r="N1" s="9" t="s">
        <v>44</v>
      </c>
      <c r="O1" s="9" t="s">
        <v>45</v>
      </c>
      <c r="P1" s="9" t="s">
        <v>46</v>
      </c>
      <c r="Q1" s="9" t="s">
        <v>47</v>
      </c>
      <c r="R1" s="9" t="s">
        <v>56</v>
      </c>
      <c r="S1" s="63" t="s">
        <v>86</v>
      </c>
      <c r="T1" s="9" t="s">
        <v>48</v>
      </c>
      <c r="U1" s="9" t="s">
        <v>49</v>
      </c>
      <c r="V1" s="9" t="s">
        <v>50</v>
      </c>
      <c r="W1" s="9" t="s">
        <v>51</v>
      </c>
      <c r="X1" s="32" t="s">
        <v>52</v>
      </c>
      <c r="Y1" s="31" t="s">
        <v>53</v>
      </c>
      <c r="Z1" s="31" t="s">
        <v>85</v>
      </c>
      <c r="AA1" s="31" t="s">
        <v>54</v>
      </c>
      <c r="AB1" s="31" t="s">
        <v>84</v>
      </c>
      <c r="AC1" s="9" t="s">
        <v>55</v>
      </c>
      <c r="AD1" s="9" t="s">
        <v>206</v>
      </c>
    </row>
    <row r="2" spans="1:30" ht="7.5" customHeight="1" x14ac:dyDescent="0.2">
      <c r="A2" s="29">
        <v>2</v>
      </c>
      <c r="B2" s="58" t="s">
        <v>82</v>
      </c>
      <c r="C2" s="60" t="s">
        <v>57</v>
      </c>
      <c r="D2" s="58" t="s">
        <v>83</v>
      </c>
      <c r="E2" s="58" t="s">
        <v>87</v>
      </c>
      <c r="F2" s="34" t="s">
        <v>95</v>
      </c>
      <c r="G2" s="30" t="s">
        <v>2</v>
      </c>
      <c r="H2" s="30" t="s">
        <v>2</v>
      </c>
      <c r="I2" s="30" t="s">
        <v>2</v>
      </c>
      <c r="J2" s="30" t="s">
        <v>2</v>
      </c>
      <c r="K2" s="30" t="s">
        <v>2</v>
      </c>
      <c r="L2" s="11" t="str">
        <f t="shared" ref="L2:L22" si="0">CONCATENATE("", C2)</f>
        <v>Interoperabilidade</v>
      </c>
      <c r="M2" s="11" t="str">
        <f t="shared" ref="M2:M22" si="1">CONCATENATE("", D2)</f>
        <v>Esquemas</v>
      </c>
      <c r="N2" s="11" t="str">
        <f t="shared" ref="N2:N22" si="2">CONCATENATE("", E2)</f>
        <v>OSM</v>
      </c>
      <c r="O2" s="11" t="str">
        <f t="shared" ref="O2:O22" si="3">CONCATENATE("", F2)</f>
        <v>Energia.Gerador</v>
      </c>
      <c r="P2" s="35" t="s">
        <v>133</v>
      </c>
      <c r="Q2" s="12" t="s">
        <v>142</v>
      </c>
      <c r="R2" s="12" t="s">
        <v>164</v>
      </c>
      <c r="S2" s="61" t="s">
        <v>2</v>
      </c>
      <c r="T2" s="12" t="str">
        <f t="shared" ref="T2:T22" si="4">SUBSTITUTE(C2, "_", " ")</f>
        <v>Interoperabilidade</v>
      </c>
      <c r="U2" s="12" t="str">
        <f t="shared" ref="U2:U22" si="5">SUBSTITUTE(D2, "_", " ")</f>
        <v>Esquemas</v>
      </c>
      <c r="V2" s="12" t="str">
        <f t="shared" ref="V2:V22" si="6">SUBSTITUTE(F2, "_", " ")</f>
        <v>Energia.Gerador</v>
      </c>
      <c r="W2" s="12" t="s">
        <v>57</v>
      </c>
      <c r="X2" s="28" t="str">
        <f>CONCATENATE("Key-OSMI-",A2)</f>
        <v>Key-OSMI-2</v>
      </c>
      <c r="Y2" s="57" t="s">
        <v>116</v>
      </c>
      <c r="Z2" s="42" t="s">
        <v>2</v>
      </c>
      <c r="AA2" s="57" t="s">
        <v>117</v>
      </c>
      <c r="AB2" s="12" t="s">
        <v>2</v>
      </c>
      <c r="AC2" s="12" t="s">
        <v>2</v>
      </c>
      <c r="AD2" s="12" t="s">
        <v>2</v>
      </c>
    </row>
    <row r="3" spans="1:30" ht="7.5" customHeight="1" x14ac:dyDescent="0.2">
      <c r="A3" s="29">
        <v>3</v>
      </c>
      <c r="B3" s="58" t="s">
        <v>82</v>
      </c>
      <c r="C3" s="60" t="s">
        <v>57</v>
      </c>
      <c r="D3" s="58" t="s">
        <v>83</v>
      </c>
      <c r="E3" s="58" t="s">
        <v>87</v>
      </c>
      <c r="F3" s="34" t="s">
        <v>96</v>
      </c>
      <c r="G3" s="30" t="s">
        <v>2</v>
      </c>
      <c r="H3" s="30" t="s">
        <v>2</v>
      </c>
      <c r="I3" s="30" t="s">
        <v>2</v>
      </c>
      <c r="J3" s="30" t="s">
        <v>2</v>
      </c>
      <c r="K3" s="30" t="s">
        <v>2</v>
      </c>
      <c r="L3" s="11" t="str">
        <f t="shared" si="0"/>
        <v>Interoperabilidade</v>
      </c>
      <c r="M3" s="11" t="str">
        <f t="shared" si="1"/>
        <v>Esquemas</v>
      </c>
      <c r="N3" s="11" t="str">
        <f t="shared" si="2"/>
        <v>OSM</v>
      </c>
      <c r="O3" s="11" t="str">
        <f t="shared" si="3"/>
        <v>Energia.Usina</v>
      </c>
      <c r="P3" s="35" t="s">
        <v>134</v>
      </c>
      <c r="Q3" s="12" t="s">
        <v>143</v>
      </c>
      <c r="R3" s="12" t="s">
        <v>165</v>
      </c>
      <c r="S3" s="61" t="s">
        <v>2</v>
      </c>
      <c r="T3" s="12" t="str">
        <f t="shared" si="4"/>
        <v>Interoperabilidade</v>
      </c>
      <c r="U3" s="12" t="str">
        <f t="shared" si="5"/>
        <v>Esquemas</v>
      </c>
      <c r="V3" s="12" t="str">
        <f t="shared" si="6"/>
        <v>Energia.Usina</v>
      </c>
      <c r="W3" s="12" t="s">
        <v>57</v>
      </c>
      <c r="X3" s="28" t="str">
        <f t="shared" ref="X3:X22" si="7">CONCATENATE("Key-OSMI-",A3)</f>
        <v>Key-OSMI-3</v>
      </c>
      <c r="Y3" s="57" t="s">
        <v>116</v>
      </c>
      <c r="Z3" s="42" t="s">
        <v>2</v>
      </c>
      <c r="AA3" s="57" t="s">
        <v>117</v>
      </c>
      <c r="AB3" s="12" t="s">
        <v>2</v>
      </c>
      <c r="AC3" s="12" t="s">
        <v>2</v>
      </c>
      <c r="AD3" s="12" t="s">
        <v>2</v>
      </c>
    </row>
    <row r="4" spans="1:30" ht="7.5" customHeight="1" x14ac:dyDescent="0.2">
      <c r="A4" s="29">
        <v>4</v>
      </c>
      <c r="B4" s="58" t="s">
        <v>82</v>
      </c>
      <c r="C4" s="60" t="s">
        <v>57</v>
      </c>
      <c r="D4" s="58" t="s">
        <v>83</v>
      </c>
      <c r="E4" s="58" t="s">
        <v>87</v>
      </c>
      <c r="F4" s="34" t="s">
        <v>97</v>
      </c>
      <c r="G4" s="30" t="s">
        <v>2</v>
      </c>
      <c r="H4" s="30" t="s">
        <v>2</v>
      </c>
      <c r="I4" s="30" t="s">
        <v>2</v>
      </c>
      <c r="J4" s="30" t="s">
        <v>2</v>
      </c>
      <c r="K4" s="30" t="s">
        <v>2</v>
      </c>
      <c r="L4" s="11" t="str">
        <f t="shared" si="0"/>
        <v>Interoperabilidade</v>
      </c>
      <c r="M4" s="11" t="str">
        <f t="shared" si="1"/>
        <v>Esquemas</v>
      </c>
      <c r="N4" s="11" t="str">
        <f t="shared" si="2"/>
        <v>OSM</v>
      </c>
      <c r="O4" s="11" t="str">
        <f t="shared" si="3"/>
        <v>Energia.Linha</v>
      </c>
      <c r="P4" s="35" t="s">
        <v>135</v>
      </c>
      <c r="Q4" s="12" t="s">
        <v>144</v>
      </c>
      <c r="R4" s="12" t="s">
        <v>166</v>
      </c>
      <c r="S4" s="61" t="s">
        <v>2</v>
      </c>
      <c r="T4" s="12" t="str">
        <f t="shared" si="4"/>
        <v>Interoperabilidade</v>
      </c>
      <c r="U4" s="12" t="str">
        <f t="shared" si="5"/>
        <v>Esquemas</v>
      </c>
      <c r="V4" s="12" t="str">
        <f t="shared" si="6"/>
        <v>Energia.Linha</v>
      </c>
      <c r="W4" s="12" t="s">
        <v>57</v>
      </c>
      <c r="X4" s="28" t="str">
        <f t="shared" si="7"/>
        <v>Key-OSMI-4</v>
      </c>
      <c r="Y4" s="57" t="s">
        <v>116</v>
      </c>
      <c r="Z4" s="42" t="s">
        <v>2</v>
      </c>
      <c r="AA4" s="57" t="s">
        <v>117</v>
      </c>
      <c r="AB4" s="12" t="s">
        <v>2</v>
      </c>
      <c r="AC4" s="12" t="s">
        <v>2</v>
      </c>
      <c r="AD4" s="12" t="s">
        <v>2</v>
      </c>
    </row>
    <row r="5" spans="1:30" ht="7.5" customHeight="1" x14ac:dyDescent="0.2">
      <c r="A5" s="29">
        <v>5</v>
      </c>
      <c r="B5" s="58" t="s">
        <v>82</v>
      </c>
      <c r="C5" s="60" t="s">
        <v>57</v>
      </c>
      <c r="D5" s="58" t="s">
        <v>83</v>
      </c>
      <c r="E5" s="58" t="s">
        <v>87</v>
      </c>
      <c r="F5" s="34" t="s">
        <v>98</v>
      </c>
      <c r="G5" s="30" t="s">
        <v>2</v>
      </c>
      <c r="H5" s="30" t="s">
        <v>2</v>
      </c>
      <c r="I5" s="30" t="s">
        <v>2</v>
      </c>
      <c r="J5" s="30" t="s">
        <v>2</v>
      </c>
      <c r="K5" s="30" t="s">
        <v>2</v>
      </c>
      <c r="L5" s="11" t="str">
        <f t="shared" si="0"/>
        <v>Interoperabilidade</v>
      </c>
      <c r="M5" s="11" t="str">
        <f t="shared" si="1"/>
        <v>Esquemas</v>
      </c>
      <c r="N5" s="11" t="str">
        <f t="shared" si="2"/>
        <v>OSM</v>
      </c>
      <c r="O5" s="11" t="str">
        <f t="shared" si="3"/>
        <v>Energia.Subestação</v>
      </c>
      <c r="P5" s="35" t="s">
        <v>136</v>
      </c>
      <c r="Q5" s="12" t="s">
        <v>145</v>
      </c>
      <c r="R5" s="12" t="s">
        <v>167</v>
      </c>
      <c r="S5" s="61" t="s">
        <v>2</v>
      </c>
      <c r="T5" s="12" t="str">
        <f t="shared" si="4"/>
        <v>Interoperabilidade</v>
      </c>
      <c r="U5" s="12" t="str">
        <f t="shared" si="5"/>
        <v>Esquemas</v>
      </c>
      <c r="V5" s="12" t="str">
        <f t="shared" si="6"/>
        <v>Energia.Subestação</v>
      </c>
      <c r="W5" s="12" t="s">
        <v>57</v>
      </c>
      <c r="X5" s="28" t="str">
        <f t="shared" si="7"/>
        <v>Key-OSMI-5</v>
      </c>
      <c r="Y5" s="57" t="s">
        <v>116</v>
      </c>
      <c r="Z5" s="42" t="s">
        <v>2</v>
      </c>
      <c r="AA5" s="57" t="s">
        <v>117</v>
      </c>
      <c r="AB5" s="12" t="s">
        <v>2</v>
      </c>
      <c r="AC5" s="12" t="s">
        <v>2</v>
      </c>
      <c r="AD5" s="12" t="s">
        <v>2</v>
      </c>
    </row>
    <row r="6" spans="1:30" ht="7.5" customHeight="1" x14ac:dyDescent="0.2">
      <c r="A6" s="29">
        <v>6</v>
      </c>
      <c r="B6" s="58" t="s">
        <v>82</v>
      </c>
      <c r="C6" s="60" t="s">
        <v>57</v>
      </c>
      <c r="D6" s="58" t="s">
        <v>83</v>
      </c>
      <c r="E6" s="58" t="s">
        <v>87</v>
      </c>
      <c r="F6" s="34" t="s">
        <v>99</v>
      </c>
      <c r="G6" s="30" t="s">
        <v>2</v>
      </c>
      <c r="H6" s="30" t="s">
        <v>2</v>
      </c>
      <c r="I6" s="30" t="s">
        <v>2</v>
      </c>
      <c r="J6" s="30" t="s">
        <v>2</v>
      </c>
      <c r="K6" s="30" t="s">
        <v>2</v>
      </c>
      <c r="L6" s="11" t="str">
        <f t="shared" si="0"/>
        <v>Interoperabilidade</v>
      </c>
      <c r="M6" s="11" t="str">
        <f t="shared" si="1"/>
        <v>Esquemas</v>
      </c>
      <c r="N6" s="11" t="str">
        <f t="shared" si="2"/>
        <v>OSM</v>
      </c>
      <c r="O6" s="11" t="str">
        <f t="shared" si="3"/>
        <v>Energia.Transformador</v>
      </c>
      <c r="P6" s="35" t="s">
        <v>137</v>
      </c>
      <c r="Q6" s="12" t="s">
        <v>146</v>
      </c>
      <c r="R6" s="12" t="s">
        <v>168</v>
      </c>
      <c r="S6" s="61" t="s">
        <v>2</v>
      </c>
      <c r="T6" s="12" t="str">
        <f t="shared" si="4"/>
        <v>Interoperabilidade</v>
      </c>
      <c r="U6" s="12" t="str">
        <f t="shared" si="5"/>
        <v>Esquemas</v>
      </c>
      <c r="V6" s="12" t="str">
        <f t="shared" si="6"/>
        <v>Energia.Transformador</v>
      </c>
      <c r="W6" s="12" t="s">
        <v>57</v>
      </c>
      <c r="X6" s="28" t="str">
        <f t="shared" si="7"/>
        <v>Key-OSMI-6</v>
      </c>
      <c r="Y6" s="57" t="s">
        <v>116</v>
      </c>
      <c r="Z6" s="42" t="s">
        <v>2</v>
      </c>
      <c r="AA6" s="57" t="s">
        <v>117</v>
      </c>
      <c r="AB6" s="12" t="s">
        <v>2</v>
      </c>
      <c r="AC6" s="12" t="s">
        <v>2</v>
      </c>
      <c r="AD6" s="12" t="s">
        <v>2</v>
      </c>
    </row>
    <row r="7" spans="1:30" ht="7.5" customHeight="1" x14ac:dyDescent="0.2">
      <c r="A7" s="29">
        <v>7</v>
      </c>
      <c r="B7" s="58" t="s">
        <v>82</v>
      </c>
      <c r="C7" s="60" t="s">
        <v>57</v>
      </c>
      <c r="D7" s="58" t="s">
        <v>83</v>
      </c>
      <c r="E7" s="58" t="s">
        <v>87</v>
      </c>
      <c r="F7" s="34" t="s">
        <v>100</v>
      </c>
      <c r="G7" s="30" t="s">
        <v>2</v>
      </c>
      <c r="H7" s="30" t="s">
        <v>2</v>
      </c>
      <c r="I7" s="30" t="s">
        <v>2</v>
      </c>
      <c r="J7" s="30" t="s">
        <v>2</v>
      </c>
      <c r="K7" s="30" t="s">
        <v>2</v>
      </c>
      <c r="L7" s="11" t="str">
        <f t="shared" si="0"/>
        <v>Interoperabilidade</v>
      </c>
      <c r="M7" s="11" t="str">
        <f t="shared" si="1"/>
        <v>Esquemas</v>
      </c>
      <c r="N7" s="11" t="str">
        <f t="shared" si="2"/>
        <v>OSM</v>
      </c>
      <c r="O7" s="11" t="str">
        <f t="shared" si="3"/>
        <v>Energia.Interruptor</v>
      </c>
      <c r="P7" s="35" t="s">
        <v>138</v>
      </c>
      <c r="Q7" s="12" t="s">
        <v>147</v>
      </c>
      <c r="R7" s="12" t="s">
        <v>169</v>
      </c>
      <c r="S7" s="61" t="s">
        <v>2</v>
      </c>
      <c r="T7" s="12" t="str">
        <f t="shared" si="4"/>
        <v>Interoperabilidade</v>
      </c>
      <c r="U7" s="12" t="str">
        <f t="shared" si="5"/>
        <v>Esquemas</v>
      </c>
      <c r="V7" s="12" t="str">
        <f t="shared" si="6"/>
        <v>Energia.Interruptor</v>
      </c>
      <c r="W7" s="12" t="s">
        <v>57</v>
      </c>
      <c r="X7" s="28" t="str">
        <f t="shared" si="7"/>
        <v>Key-OSMI-7</v>
      </c>
      <c r="Y7" s="57" t="s">
        <v>116</v>
      </c>
      <c r="Z7" s="42" t="s">
        <v>2</v>
      </c>
      <c r="AA7" s="57" t="s">
        <v>117</v>
      </c>
      <c r="AB7" s="12" t="s">
        <v>2</v>
      </c>
      <c r="AC7" s="12" t="s">
        <v>2</v>
      </c>
      <c r="AD7" s="12" t="s">
        <v>2</v>
      </c>
    </row>
    <row r="8" spans="1:30" ht="7.5" customHeight="1" x14ac:dyDescent="0.2">
      <c r="A8" s="29">
        <v>8</v>
      </c>
      <c r="B8" s="58" t="s">
        <v>82</v>
      </c>
      <c r="C8" s="60" t="s">
        <v>57</v>
      </c>
      <c r="D8" s="58" t="s">
        <v>83</v>
      </c>
      <c r="E8" s="58" t="s">
        <v>87</v>
      </c>
      <c r="F8" s="34" t="s">
        <v>101</v>
      </c>
      <c r="G8" s="30" t="s">
        <v>2</v>
      </c>
      <c r="H8" s="30" t="s">
        <v>2</v>
      </c>
      <c r="I8" s="30" t="s">
        <v>2</v>
      </c>
      <c r="J8" s="30" t="s">
        <v>2</v>
      </c>
      <c r="K8" s="30" t="s">
        <v>2</v>
      </c>
      <c r="L8" s="11" t="str">
        <f t="shared" si="0"/>
        <v>Interoperabilidade</v>
      </c>
      <c r="M8" s="11" t="str">
        <f t="shared" si="1"/>
        <v>Esquemas</v>
      </c>
      <c r="N8" s="11" t="str">
        <f t="shared" si="2"/>
        <v>OSM</v>
      </c>
      <c r="O8" s="11" t="str">
        <f t="shared" si="3"/>
        <v>Energia.Compensador</v>
      </c>
      <c r="P8" s="35" t="s">
        <v>120</v>
      </c>
      <c r="Q8" s="12" t="s">
        <v>148</v>
      </c>
      <c r="R8" s="12" t="s">
        <v>170</v>
      </c>
      <c r="S8" s="61" t="s">
        <v>2</v>
      </c>
      <c r="T8" s="12" t="str">
        <f t="shared" si="4"/>
        <v>Interoperabilidade</v>
      </c>
      <c r="U8" s="12" t="str">
        <f t="shared" si="5"/>
        <v>Esquemas</v>
      </c>
      <c r="V8" s="12" t="str">
        <f t="shared" si="6"/>
        <v>Energia.Compensador</v>
      </c>
      <c r="W8" s="12" t="s">
        <v>57</v>
      </c>
      <c r="X8" s="28" t="str">
        <f t="shared" si="7"/>
        <v>Key-OSMI-8</v>
      </c>
      <c r="Y8" s="57" t="s">
        <v>116</v>
      </c>
      <c r="Z8" s="42" t="s">
        <v>2</v>
      </c>
      <c r="AA8" s="57" t="s">
        <v>117</v>
      </c>
      <c r="AB8" s="12" t="s">
        <v>2</v>
      </c>
      <c r="AC8" s="12" t="s">
        <v>2</v>
      </c>
      <c r="AD8" s="12" t="s">
        <v>2</v>
      </c>
    </row>
    <row r="9" spans="1:30" ht="7.5" customHeight="1" x14ac:dyDescent="0.2">
      <c r="A9" s="29">
        <v>9</v>
      </c>
      <c r="B9" s="58" t="s">
        <v>82</v>
      </c>
      <c r="C9" s="60" t="s">
        <v>57</v>
      </c>
      <c r="D9" s="58" t="s">
        <v>83</v>
      </c>
      <c r="E9" s="58" t="s">
        <v>87</v>
      </c>
      <c r="F9" s="34" t="s">
        <v>102</v>
      </c>
      <c r="G9" s="30" t="s">
        <v>2</v>
      </c>
      <c r="H9" s="30" t="s">
        <v>2</v>
      </c>
      <c r="I9" s="30" t="s">
        <v>2</v>
      </c>
      <c r="J9" s="30" t="s">
        <v>2</v>
      </c>
      <c r="K9" s="30" t="s">
        <v>2</v>
      </c>
      <c r="L9" s="11" t="str">
        <f t="shared" si="0"/>
        <v>Interoperabilidade</v>
      </c>
      <c r="M9" s="11" t="str">
        <f t="shared" si="1"/>
        <v>Esquemas</v>
      </c>
      <c r="N9" s="11" t="str">
        <f t="shared" si="2"/>
        <v>OSM</v>
      </c>
      <c r="O9" s="11" t="str">
        <f t="shared" si="3"/>
        <v>Energia.Torre</v>
      </c>
      <c r="P9" s="35" t="s">
        <v>139</v>
      </c>
      <c r="Q9" s="12" t="s">
        <v>149</v>
      </c>
      <c r="R9" s="12" t="s">
        <v>171</v>
      </c>
      <c r="S9" s="61" t="s">
        <v>2</v>
      </c>
      <c r="T9" s="12" t="str">
        <f t="shared" si="4"/>
        <v>Interoperabilidade</v>
      </c>
      <c r="U9" s="12" t="str">
        <f t="shared" si="5"/>
        <v>Esquemas</v>
      </c>
      <c r="V9" s="12" t="str">
        <f t="shared" si="6"/>
        <v>Energia.Torre</v>
      </c>
      <c r="W9" s="12" t="s">
        <v>57</v>
      </c>
      <c r="X9" s="28" t="str">
        <f t="shared" si="7"/>
        <v>Key-OSMI-9</v>
      </c>
      <c r="Y9" s="57" t="s">
        <v>116</v>
      </c>
      <c r="Z9" s="42" t="s">
        <v>2</v>
      </c>
      <c r="AA9" s="57" t="s">
        <v>117</v>
      </c>
      <c r="AB9" s="12" t="s">
        <v>2</v>
      </c>
      <c r="AC9" s="12" t="s">
        <v>2</v>
      </c>
      <c r="AD9" s="12" t="s">
        <v>2</v>
      </c>
    </row>
    <row r="10" spans="1:30" ht="7.5" customHeight="1" x14ac:dyDescent="0.2">
      <c r="A10" s="29">
        <v>10</v>
      </c>
      <c r="B10" s="58" t="s">
        <v>82</v>
      </c>
      <c r="C10" s="60" t="s">
        <v>57</v>
      </c>
      <c r="D10" s="58" t="s">
        <v>83</v>
      </c>
      <c r="E10" s="58" t="s">
        <v>87</v>
      </c>
      <c r="F10" s="34" t="s">
        <v>103</v>
      </c>
      <c r="G10" s="30" t="s">
        <v>2</v>
      </c>
      <c r="H10" s="30" t="s">
        <v>2</v>
      </c>
      <c r="I10" s="30" t="s">
        <v>2</v>
      </c>
      <c r="J10" s="30" t="s">
        <v>2</v>
      </c>
      <c r="K10" s="30" t="s">
        <v>2</v>
      </c>
      <c r="L10" s="11" t="str">
        <f t="shared" si="0"/>
        <v>Interoperabilidade</v>
      </c>
      <c r="M10" s="11" t="str">
        <f t="shared" si="1"/>
        <v>Esquemas</v>
      </c>
      <c r="N10" s="11" t="str">
        <f t="shared" si="2"/>
        <v>OSM</v>
      </c>
      <c r="O10" s="11" t="str">
        <f t="shared" si="3"/>
        <v>Telecom.Edifício</v>
      </c>
      <c r="P10" s="35" t="s">
        <v>140</v>
      </c>
      <c r="Q10" s="12" t="s">
        <v>150</v>
      </c>
      <c r="R10" s="12" t="s">
        <v>172</v>
      </c>
      <c r="S10" s="61" t="s">
        <v>2</v>
      </c>
      <c r="T10" s="12" t="str">
        <f t="shared" si="4"/>
        <v>Interoperabilidade</v>
      </c>
      <c r="U10" s="12" t="str">
        <f t="shared" si="5"/>
        <v>Esquemas</v>
      </c>
      <c r="V10" s="12" t="str">
        <f t="shared" si="6"/>
        <v>Telecom.Edifício</v>
      </c>
      <c r="W10" s="12" t="s">
        <v>57</v>
      </c>
      <c r="X10" s="28" t="str">
        <f t="shared" si="7"/>
        <v>Key-OSMI-10</v>
      </c>
      <c r="Y10" s="57" t="s">
        <v>116</v>
      </c>
      <c r="Z10" s="12" t="s">
        <v>2</v>
      </c>
      <c r="AA10" s="57" t="s">
        <v>117</v>
      </c>
      <c r="AB10" s="12" t="s">
        <v>2</v>
      </c>
      <c r="AC10" s="12" t="s">
        <v>2</v>
      </c>
      <c r="AD10" s="12" t="s">
        <v>2</v>
      </c>
    </row>
    <row r="11" spans="1:30" ht="7.5" customHeight="1" x14ac:dyDescent="0.2">
      <c r="A11" s="29">
        <v>11</v>
      </c>
      <c r="B11" s="58" t="s">
        <v>82</v>
      </c>
      <c r="C11" s="60" t="s">
        <v>57</v>
      </c>
      <c r="D11" s="58" t="s">
        <v>83</v>
      </c>
      <c r="E11" s="58" t="s">
        <v>87</v>
      </c>
      <c r="F11" s="34" t="s">
        <v>104</v>
      </c>
      <c r="G11" s="30" t="s">
        <v>2</v>
      </c>
      <c r="H11" s="30" t="s">
        <v>2</v>
      </c>
      <c r="I11" s="30" t="s">
        <v>2</v>
      </c>
      <c r="J11" s="30" t="s">
        <v>2</v>
      </c>
      <c r="K11" s="30" t="s">
        <v>2</v>
      </c>
      <c r="L11" s="11" t="str">
        <f t="shared" si="0"/>
        <v>Interoperabilidade</v>
      </c>
      <c r="M11" s="11" t="str">
        <f t="shared" si="1"/>
        <v>Esquemas</v>
      </c>
      <c r="N11" s="11" t="str">
        <f t="shared" si="2"/>
        <v>OSM</v>
      </c>
      <c r="O11" s="11" t="str">
        <f t="shared" si="3"/>
        <v>Telecom.Cabo</v>
      </c>
      <c r="P11" s="35" t="s">
        <v>141</v>
      </c>
      <c r="Q11" s="12" t="s">
        <v>151</v>
      </c>
      <c r="R11" s="12" t="s">
        <v>173</v>
      </c>
      <c r="S11" s="61" t="s">
        <v>2</v>
      </c>
      <c r="T11" s="12" t="str">
        <f t="shared" si="4"/>
        <v>Interoperabilidade</v>
      </c>
      <c r="U11" s="12" t="str">
        <f t="shared" si="5"/>
        <v>Esquemas</v>
      </c>
      <c r="V11" s="12" t="str">
        <f t="shared" si="6"/>
        <v>Telecom.Cabo</v>
      </c>
      <c r="W11" s="12" t="s">
        <v>57</v>
      </c>
      <c r="X11" s="28" t="str">
        <f t="shared" si="7"/>
        <v>Key-OSMI-11</v>
      </c>
      <c r="Y11" s="57" t="s">
        <v>116</v>
      </c>
      <c r="Z11" s="12" t="s">
        <v>2</v>
      </c>
      <c r="AA11" s="57" t="s">
        <v>117</v>
      </c>
      <c r="AB11" s="12" t="s">
        <v>2</v>
      </c>
      <c r="AC11" s="12" t="s">
        <v>2</v>
      </c>
      <c r="AD11" s="12" t="s">
        <v>2</v>
      </c>
    </row>
    <row r="12" spans="1:30" ht="7.5" customHeight="1" x14ac:dyDescent="0.2">
      <c r="A12" s="29">
        <v>12</v>
      </c>
      <c r="B12" s="58" t="s">
        <v>82</v>
      </c>
      <c r="C12" s="60" t="s">
        <v>57</v>
      </c>
      <c r="D12" s="58" t="s">
        <v>83</v>
      </c>
      <c r="E12" s="58" t="s">
        <v>87</v>
      </c>
      <c r="F12" s="34" t="s">
        <v>105</v>
      </c>
      <c r="G12" s="30" t="s">
        <v>2</v>
      </c>
      <c r="H12" s="30" t="s">
        <v>2</v>
      </c>
      <c r="I12" s="30" t="s">
        <v>2</v>
      </c>
      <c r="J12" s="30" t="s">
        <v>2</v>
      </c>
      <c r="K12" s="30" t="s">
        <v>2</v>
      </c>
      <c r="L12" s="11" t="str">
        <f t="shared" si="0"/>
        <v>Interoperabilidade</v>
      </c>
      <c r="M12" s="11" t="str">
        <f t="shared" si="1"/>
        <v>Esquemas</v>
      </c>
      <c r="N12" s="11" t="str">
        <f t="shared" si="2"/>
        <v>OSM</v>
      </c>
      <c r="O12" s="11" t="str">
        <f t="shared" si="3"/>
        <v>Telecom.Mastro</v>
      </c>
      <c r="P12" s="35" t="s">
        <v>130</v>
      </c>
      <c r="Q12" s="12" t="s">
        <v>152</v>
      </c>
      <c r="R12" s="12" t="s">
        <v>174</v>
      </c>
      <c r="S12" s="61" t="s">
        <v>2</v>
      </c>
      <c r="T12" s="12" t="str">
        <f t="shared" si="4"/>
        <v>Interoperabilidade</v>
      </c>
      <c r="U12" s="12" t="str">
        <f t="shared" si="5"/>
        <v>Esquemas</v>
      </c>
      <c r="V12" s="12" t="str">
        <f t="shared" si="6"/>
        <v>Telecom.Mastro</v>
      </c>
      <c r="W12" s="12" t="s">
        <v>57</v>
      </c>
      <c r="X12" s="28" t="str">
        <f t="shared" si="7"/>
        <v>Key-OSMI-12</v>
      </c>
      <c r="Y12" s="57" t="s">
        <v>116</v>
      </c>
      <c r="Z12" s="12" t="s">
        <v>2</v>
      </c>
      <c r="AA12" s="57" t="s">
        <v>117</v>
      </c>
      <c r="AB12" s="12" t="s">
        <v>2</v>
      </c>
      <c r="AC12" s="12" t="s">
        <v>2</v>
      </c>
      <c r="AD12" s="12" t="s">
        <v>2</v>
      </c>
    </row>
    <row r="13" spans="1:30" ht="7.5" customHeight="1" x14ac:dyDescent="0.2">
      <c r="A13" s="29">
        <v>13</v>
      </c>
      <c r="B13" s="58" t="s">
        <v>82</v>
      </c>
      <c r="C13" s="60" t="s">
        <v>57</v>
      </c>
      <c r="D13" s="58" t="s">
        <v>83</v>
      </c>
      <c r="E13" s="58" t="s">
        <v>87</v>
      </c>
      <c r="F13" s="34" t="s">
        <v>88</v>
      </c>
      <c r="G13" s="30" t="s">
        <v>2</v>
      </c>
      <c r="H13" s="30" t="s">
        <v>2</v>
      </c>
      <c r="I13" s="30" t="s">
        <v>2</v>
      </c>
      <c r="J13" s="30" t="s">
        <v>2</v>
      </c>
      <c r="K13" s="30" t="s">
        <v>2</v>
      </c>
      <c r="L13" s="11" t="str">
        <f t="shared" si="0"/>
        <v>Interoperabilidade</v>
      </c>
      <c r="M13" s="11" t="str">
        <f t="shared" si="1"/>
        <v>Esquemas</v>
      </c>
      <c r="N13" s="11" t="str">
        <f t="shared" si="2"/>
        <v>OSM</v>
      </c>
      <c r="O13" s="11" t="str">
        <f t="shared" si="3"/>
        <v>Oleoduto</v>
      </c>
      <c r="P13" s="35" t="s">
        <v>131</v>
      </c>
      <c r="Q13" s="12" t="s">
        <v>153</v>
      </c>
      <c r="R13" s="12" t="s">
        <v>175</v>
      </c>
      <c r="S13" s="61" t="s">
        <v>2</v>
      </c>
      <c r="T13" s="12" t="str">
        <f t="shared" si="4"/>
        <v>Interoperabilidade</v>
      </c>
      <c r="U13" s="12" t="str">
        <f t="shared" si="5"/>
        <v>Esquemas</v>
      </c>
      <c r="V13" s="12" t="str">
        <f t="shared" si="6"/>
        <v>Oleoduto</v>
      </c>
      <c r="W13" s="12" t="s">
        <v>57</v>
      </c>
      <c r="X13" s="28" t="str">
        <f t="shared" si="7"/>
        <v>Key-OSMI-13</v>
      </c>
      <c r="Y13" s="57" t="s">
        <v>118</v>
      </c>
      <c r="Z13" s="42" t="s">
        <v>2</v>
      </c>
      <c r="AA13" s="57" t="s">
        <v>119</v>
      </c>
      <c r="AB13" s="12" t="s">
        <v>2</v>
      </c>
      <c r="AC13" s="12" t="s">
        <v>2</v>
      </c>
      <c r="AD13" s="12" t="s">
        <v>2</v>
      </c>
    </row>
    <row r="14" spans="1:30" ht="7.5" customHeight="1" x14ac:dyDescent="0.2">
      <c r="A14" s="29">
        <v>14</v>
      </c>
      <c r="B14" s="58" t="s">
        <v>82</v>
      </c>
      <c r="C14" s="60" t="s">
        <v>57</v>
      </c>
      <c r="D14" s="58" t="s">
        <v>83</v>
      </c>
      <c r="E14" s="58" t="s">
        <v>87</v>
      </c>
      <c r="F14" s="34" t="s">
        <v>106</v>
      </c>
      <c r="G14" s="30" t="s">
        <v>2</v>
      </c>
      <c r="H14" s="30" t="s">
        <v>2</v>
      </c>
      <c r="I14" s="30" t="s">
        <v>2</v>
      </c>
      <c r="J14" s="30" t="s">
        <v>2</v>
      </c>
      <c r="K14" s="30" t="s">
        <v>2</v>
      </c>
      <c r="L14" s="11" t="str">
        <f t="shared" si="0"/>
        <v>Interoperabilidade</v>
      </c>
      <c r="M14" s="11" t="str">
        <f t="shared" si="1"/>
        <v>Esquemas</v>
      </c>
      <c r="N14" s="11" t="str">
        <f t="shared" si="2"/>
        <v>OSM</v>
      </c>
      <c r="O14" s="11" t="str">
        <f t="shared" si="3"/>
        <v>Oleoduto.Parte.de.Tubulação</v>
      </c>
      <c r="P14" s="35" t="s">
        <v>132</v>
      </c>
      <c r="Q14" s="12" t="s">
        <v>154</v>
      </c>
      <c r="R14" s="12" t="s">
        <v>176</v>
      </c>
      <c r="S14" s="61" t="s">
        <v>2</v>
      </c>
      <c r="T14" s="12" t="str">
        <f t="shared" si="4"/>
        <v>Interoperabilidade</v>
      </c>
      <c r="U14" s="12" t="str">
        <f t="shared" si="5"/>
        <v>Esquemas</v>
      </c>
      <c r="V14" s="12" t="str">
        <f t="shared" si="6"/>
        <v>Oleoduto.Parte.de.Tubulação</v>
      </c>
      <c r="W14" s="12" t="s">
        <v>57</v>
      </c>
      <c r="X14" s="28" t="str">
        <f t="shared" si="7"/>
        <v>Key-OSMI-14</v>
      </c>
      <c r="Y14" s="57" t="s">
        <v>118</v>
      </c>
      <c r="Z14" s="42" t="s">
        <v>2</v>
      </c>
      <c r="AA14" s="57" t="s">
        <v>119</v>
      </c>
      <c r="AB14" s="12" t="s">
        <v>2</v>
      </c>
      <c r="AC14" s="12" t="s">
        <v>2</v>
      </c>
      <c r="AD14" s="12" t="s">
        <v>2</v>
      </c>
    </row>
    <row r="15" spans="1:30" ht="7.5" customHeight="1" x14ac:dyDescent="0.2">
      <c r="A15" s="29">
        <v>15</v>
      </c>
      <c r="B15" s="58" t="s">
        <v>82</v>
      </c>
      <c r="C15" s="60" t="s">
        <v>57</v>
      </c>
      <c r="D15" s="58" t="s">
        <v>83</v>
      </c>
      <c r="E15" s="58" t="s">
        <v>87</v>
      </c>
      <c r="F15" s="34" t="s">
        <v>108</v>
      </c>
      <c r="G15" s="30" t="s">
        <v>2</v>
      </c>
      <c r="H15" s="30" t="s">
        <v>2</v>
      </c>
      <c r="I15" s="30" t="s">
        <v>2</v>
      </c>
      <c r="J15" s="30" t="s">
        <v>2</v>
      </c>
      <c r="K15" s="30" t="s">
        <v>2</v>
      </c>
      <c r="L15" s="11" t="str">
        <f t="shared" si="0"/>
        <v>Interoperabilidade</v>
      </c>
      <c r="M15" s="11" t="str">
        <f t="shared" si="1"/>
        <v>Esquemas</v>
      </c>
      <c r="N15" s="11" t="str">
        <f t="shared" si="2"/>
        <v>OSM</v>
      </c>
      <c r="O15" s="11" t="str">
        <f t="shared" si="3"/>
        <v>Petróleo.Campo</v>
      </c>
      <c r="P15" s="35" t="s">
        <v>121</v>
      </c>
      <c r="Q15" s="12" t="s">
        <v>155</v>
      </c>
      <c r="R15" s="12" t="s">
        <v>177</v>
      </c>
      <c r="S15" s="61" t="s">
        <v>2</v>
      </c>
      <c r="T15" s="12" t="str">
        <f t="shared" si="4"/>
        <v>Interoperabilidade</v>
      </c>
      <c r="U15" s="12" t="str">
        <f t="shared" si="5"/>
        <v>Esquemas</v>
      </c>
      <c r="V15" s="12" t="str">
        <f t="shared" si="6"/>
        <v>Petróleo.Campo</v>
      </c>
      <c r="W15" s="12" t="s">
        <v>57</v>
      </c>
      <c r="X15" s="28" t="str">
        <f t="shared" si="7"/>
        <v>Key-OSMI-15</v>
      </c>
      <c r="Y15" s="57" t="s">
        <v>118</v>
      </c>
      <c r="Z15" s="42" t="s">
        <v>2</v>
      </c>
      <c r="AA15" s="57" t="s">
        <v>119</v>
      </c>
      <c r="AB15" s="12" t="s">
        <v>2</v>
      </c>
      <c r="AC15" s="12" t="s">
        <v>2</v>
      </c>
      <c r="AD15" s="12" t="s">
        <v>2</v>
      </c>
    </row>
    <row r="16" spans="1:30" ht="7.5" customHeight="1" x14ac:dyDescent="0.2">
      <c r="A16" s="29">
        <v>16</v>
      </c>
      <c r="B16" s="58" t="s">
        <v>82</v>
      </c>
      <c r="C16" s="60" t="s">
        <v>57</v>
      </c>
      <c r="D16" s="58" t="s">
        <v>83</v>
      </c>
      <c r="E16" s="58" t="s">
        <v>87</v>
      </c>
      <c r="F16" s="34" t="s">
        <v>107</v>
      </c>
      <c r="G16" s="30" t="s">
        <v>2</v>
      </c>
      <c r="H16" s="30" t="s">
        <v>2</v>
      </c>
      <c r="I16" s="30" t="s">
        <v>2</v>
      </c>
      <c r="J16" s="30" t="s">
        <v>2</v>
      </c>
      <c r="K16" s="30" t="s">
        <v>2</v>
      </c>
      <c r="L16" s="11" t="str">
        <f t="shared" si="0"/>
        <v>Interoperabilidade</v>
      </c>
      <c r="M16" s="11" t="str">
        <f t="shared" si="1"/>
        <v>Esquemas</v>
      </c>
      <c r="N16" s="11" t="str">
        <f t="shared" si="2"/>
        <v>OSM</v>
      </c>
      <c r="O16" s="11" t="str">
        <f t="shared" si="3"/>
        <v>Petróleo.Poço</v>
      </c>
      <c r="P16" s="35" t="s">
        <v>122</v>
      </c>
      <c r="Q16" s="12" t="s">
        <v>156</v>
      </c>
      <c r="R16" s="12" t="s">
        <v>178</v>
      </c>
      <c r="S16" s="61" t="s">
        <v>2</v>
      </c>
      <c r="T16" s="12" t="str">
        <f t="shared" si="4"/>
        <v>Interoperabilidade</v>
      </c>
      <c r="U16" s="12" t="str">
        <f t="shared" si="5"/>
        <v>Esquemas</v>
      </c>
      <c r="V16" s="12" t="str">
        <f t="shared" si="6"/>
        <v>Petróleo.Poço</v>
      </c>
      <c r="W16" s="12" t="s">
        <v>57</v>
      </c>
      <c r="X16" s="28" t="str">
        <f t="shared" si="7"/>
        <v>Key-OSMI-16</v>
      </c>
      <c r="Y16" s="57" t="s">
        <v>118</v>
      </c>
      <c r="Z16" s="42" t="s">
        <v>2</v>
      </c>
      <c r="AA16" s="57" t="s">
        <v>119</v>
      </c>
      <c r="AB16" s="12" t="s">
        <v>2</v>
      </c>
      <c r="AC16" s="12" t="s">
        <v>2</v>
      </c>
      <c r="AD16" s="12" t="s">
        <v>2</v>
      </c>
    </row>
    <row r="17" spans="1:30" ht="7.5" customHeight="1" x14ac:dyDescent="0.2">
      <c r="A17" s="29">
        <v>17</v>
      </c>
      <c r="B17" s="58" t="s">
        <v>82</v>
      </c>
      <c r="C17" s="60" t="s">
        <v>57</v>
      </c>
      <c r="D17" s="58" t="s">
        <v>83</v>
      </c>
      <c r="E17" s="58" t="s">
        <v>87</v>
      </c>
      <c r="F17" s="34" t="s">
        <v>109</v>
      </c>
      <c r="G17" s="30" t="s">
        <v>2</v>
      </c>
      <c r="H17" s="30" t="s">
        <v>2</v>
      </c>
      <c r="I17" s="30" t="s">
        <v>2</v>
      </c>
      <c r="J17" s="30" t="s">
        <v>2</v>
      </c>
      <c r="K17" s="30" t="s">
        <v>2</v>
      </c>
      <c r="L17" s="11" t="str">
        <f t="shared" si="0"/>
        <v>Interoperabilidade</v>
      </c>
      <c r="M17" s="11" t="str">
        <f t="shared" si="1"/>
        <v>Esquemas</v>
      </c>
      <c r="N17" s="11" t="str">
        <f t="shared" si="2"/>
        <v>OSM</v>
      </c>
      <c r="O17" s="11" t="str">
        <f t="shared" si="3"/>
        <v>Água.Estação.de.Tratamento</v>
      </c>
      <c r="P17" s="35" t="s">
        <v>123</v>
      </c>
      <c r="Q17" s="12" t="s">
        <v>157</v>
      </c>
      <c r="R17" s="12" t="s">
        <v>179</v>
      </c>
      <c r="S17" s="61" t="s">
        <v>2</v>
      </c>
      <c r="T17" s="12" t="str">
        <f t="shared" si="4"/>
        <v>Interoperabilidade</v>
      </c>
      <c r="U17" s="12" t="str">
        <f t="shared" si="5"/>
        <v>Esquemas</v>
      </c>
      <c r="V17" s="12" t="str">
        <f t="shared" si="6"/>
        <v>Água.Estação.de.Tratamento</v>
      </c>
      <c r="W17" s="12" t="s">
        <v>57</v>
      </c>
      <c r="X17" s="28" t="str">
        <f t="shared" si="7"/>
        <v>Key-OSMI-17</v>
      </c>
      <c r="Y17" s="57" t="s">
        <v>118</v>
      </c>
      <c r="Z17" s="42" t="s">
        <v>2</v>
      </c>
      <c r="AA17" s="57" t="s">
        <v>119</v>
      </c>
      <c r="AB17" s="12" t="s">
        <v>2</v>
      </c>
      <c r="AC17" s="12" t="s">
        <v>2</v>
      </c>
      <c r="AD17" s="12" t="s">
        <v>2</v>
      </c>
    </row>
    <row r="18" spans="1:30" ht="7.5" customHeight="1" x14ac:dyDescent="0.2">
      <c r="A18" s="29">
        <v>18</v>
      </c>
      <c r="B18" s="58" t="s">
        <v>82</v>
      </c>
      <c r="C18" s="60" t="s">
        <v>57</v>
      </c>
      <c r="D18" s="58" t="s">
        <v>83</v>
      </c>
      <c r="E18" s="58" t="s">
        <v>87</v>
      </c>
      <c r="F18" s="34" t="s">
        <v>111</v>
      </c>
      <c r="G18" s="30" t="s">
        <v>2</v>
      </c>
      <c r="H18" s="30" t="s">
        <v>2</v>
      </c>
      <c r="I18" s="30" t="s">
        <v>2</v>
      </c>
      <c r="J18" s="30" t="s">
        <v>2</v>
      </c>
      <c r="K18" s="30" t="s">
        <v>2</v>
      </c>
      <c r="L18" s="11" t="str">
        <f t="shared" si="0"/>
        <v>Interoperabilidade</v>
      </c>
      <c r="M18" s="11" t="str">
        <f t="shared" si="1"/>
        <v>Esquemas</v>
      </c>
      <c r="N18" s="11" t="str">
        <f t="shared" si="2"/>
        <v>OSM</v>
      </c>
      <c r="O18" s="11" t="str">
        <f t="shared" si="3"/>
        <v>Água.Elevatória</v>
      </c>
      <c r="P18" s="35" t="s">
        <v>126</v>
      </c>
      <c r="Q18" s="12" t="s">
        <v>158</v>
      </c>
      <c r="R18" s="12" t="s">
        <v>180</v>
      </c>
      <c r="S18" s="61" t="s">
        <v>2</v>
      </c>
      <c r="T18" s="12" t="str">
        <f t="shared" si="4"/>
        <v>Interoperabilidade</v>
      </c>
      <c r="U18" s="12" t="str">
        <f t="shared" si="5"/>
        <v>Esquemas</v>
      </c>
      <c r="V18" s="12" t="str">
        <f t="shared" si="6"/>
        <v>Água.Elevatória</v>
      </c>
      <c r="W18" s="12" t="s">
        <v>57</v>
      </c>
      <c r="X18" s="28" t="str">
        <f t="shared" si="7"/>
        <v>Key-OSMI-18</v>
      </c>
      <c r="Y18" s="57" t="s">
        <v>118</v>
      </c>
      <c r="Z18" s="42" t="s">
        <v>2</v>
      </c>
      <c r="AA18" s="57" t="s">
        <v>119</v>
      </c>
      <c r="AB18" s="12" t="s">
        <v>2</v>
      </c>
      <c r="AC18" s="12" t="s">
        <v>2</v>
      </c>
      <c r="AD18" s="12" t="s">
        <v>2</v>
      </c>
    </row>
    <row r="19" spans="1:30" ht="7.5" customHeight="1" x14ac:dyDescent="0.2">
      <c r="A19" s="29">
        <v>19</v>
      </c>
      <c r="B19" s="58" t="s">
        <v>82</v>
      </c>
      <c r="C19" s="60" t="s">
        <v>57</v>
      </c>
      <c r="D19" s="58" t="s">
        <v>83</v>
      </c>
      <c r="E19" s="58" t="s">
        <v>87</v>
      </c>
      <c r="F19" s="34" t="s">
        <v>112</v>
      </c>
      <c r="G19" s="30" t="s">
        <v>2</v>
      </c>
      <c r="H19" s="30" t="s">
        <v>2</v>
      </c>
      <c r="I19" s="30" t="s">
        <v>2</v>
      </c>
      <c r="J19" s="30" t="s">
        <v>2</v>
      </c>
      <c r="K19" s="30" t="s">
        <v>2</v>
      </c>
      <c r="L19" s="11" t="str">
        <f t="shared" si="0"/>
        <v>Interoperabilidade</v>
      </c>
      <c r="M19" s="11" t="str">
        <f t="shared" si="1"/>
        <v>Esquemas</v>
      </c>
      <c r="N19" s="11" t="str">
        <f t="shared" si="2"/>
        <v>OSM</v>
      </c>
      <c r="O19" s="11" t="str">
        <f t="shared" si="3"/>
        <v>Água.Torre</v>
      </c>
      <c r="P19" s="35" t="s">
        <v>127</v>
      </c>
      <c r="Q19" s="12" t="s">
        <v>159</v>
      </c>
      <c r="R19" s="12" t="s">
        <v>181</v>
      </c>
      <c r="S19" s="61" t="s">
        <v>2</v>
      </c>
      <c r="T19" s="12" t="str">
        <f t="shared" si="4"/>
        <v>Interoperabilidade</v>
      </c>
      <c r="U19" s="12" t="str">
        <f t="shared" si="5"/>
        <v>Esquemas</v>
      </c>
      <c r="V19" s="12" t="str">
        <f t="shared" si="6"/>
        <v>Água.Torre</v>
      </c>
      <c r="W19" s="12" t="s">
        <v>57</v>
      </c>
      <c r="X19" s="28" t="str">
        <f t="shared" si="7"/>
        <v>Key-OSMI-19</v>
      </c>
      <c r="Y19" s="57" t="s">
        <v>118</v>
      </c>
      <c r="Z19" s="42" t="s">
        <v>2</v>
      </c>
      <c r="AA19" s="57" t="s">
        <v>119</v>
      </c>
      <c r="AB19" s="12" t="s">
        <v>2</v>
      </c>
      <c r="AC19" s="12" t="s">
        <v>2</v>
      </c>
      <c r="AD19" s="12" t="s">
        <v>2</v>
      </c>
    </row>
    <row r="20" spans="1:30" ht="7.5" customHeight="1" x14ac:dyDescent="0.2">
      <c r="A20" s="29">
        <v>20</v>
      </c>
      <c r="B20" s="58" t="s">
        <v>82</v>
      </c>
      <c r="C20" s="60" t="s">
        <v>57</v>
      </c>
      <c r="D20" s="58" t="s">
        <v>83</v>
      </c>
      <c r="E20" s="58" t="s">
        <v>87</v>
      </c>
      <c r="F20" s="34" t="s">
        <v>113</v>
      </c>
      <c r="G20" s="30" t="s">
        <v>2</v>
      </c>
      <c r="H20" s="30" t="s">
        <v>2</v>
      </c>
      <c r="I20" s="30" t="s">
        <v>2</v>
      </c>
      <c r="J20" s="30" t="s">
        <v>2</v>
      </c>
      <c r="K20" s="30" t="s">
        <v>2</v>
      </c>
      <c r="L20" s="11" t="str">
        <f t="shared" si="0"/>
        <v>Interoperabilidade</v>
      </c>
      <c r="M20" s="11" t="str">
        <f t="shared" si="1"/>
        <v>Esquemas</v>
      </c>
      <c r="N20" s="11" t="str">
        <f t="shared" si="2"/>
        <v>OSM</v>
      </c>
      <c r="O20" s="11" t="str">
        <f t="shared" si="3"/>
        <v>Água.Poço</v>
      </c>
      <c r="P20" s="35" t="s">
        <v>128</v>
      </c>
      <c r="Q20" s="12" t="s">
        <v>160</v>
      </c>
      <c r="R20" s="12" t="s">
        <v>182</v>
      </c>
      <c r="S20" s="61" t="s">
        <v>2</v>
      </c>
      <c r="T20" s="12" t="str">
        <f t="shared" si="4"/>
        <v>Interoperabilidade</v>
      </c>
      <c r="U20" s="12" t="str">
        <f t="shared" si="5"/>
        <v>Esquemas</v>
      </c>
      <c r="V20" s="12" t="str">
        <f t="shared" si="6"/>
        <v>Água.Poço</v>
      </c>
      <c r="W20" s="12" t="s">
        <v>57</v>
      </c>
      <c r="X20" s="28" t="str">
        <f t="shared" si="7"/>
        <v>Key-OSMI-20</v>
      </c>
      <c r="Y20" s="57" t="s">
        <v>118</v>
      </c>
      <c r="Z20" s="42" t="s">
        <v>2</v>
      </c>
      <c r="AA20" s="57" t="s">
        <v>119</v>
      </c>
      <c r="AB20" s="12" t="s">
        <v>2</v>
      </c>
      <c r="AC20" s="12" t="s">
        <v>2</v>
      </c>
      <c r="AD20" s="12" t="s">
        <v>2</v>
      </c>
    </row>
    <row r="21" spans="1:30" ht="7.5" customHeight="1" x14ac:dyDescent="0.2">
      <c r="A21" s="29">
        <v>21</v>
      </c>
      <c r="B21" s="58" t="s">
        <v>82</v>
      </c>
      <c r="C21" s="60" t="s">
        <v>57</v>
      </c>
      <c r="D21" s="58" t="s">
        <v>83</v>
      </c>
      <c r="E21" s="58" t="s">
        <v>87</v>
      </c>
      <c r="F21" s="34" t="s">
        <v>114</v>
      </c>
      <c r="G21" s="30" t="s">
        <v>2</v>
      </c>
      <c r="H21" s="30" t="s">
        <v>2</v>
      </c>
      <c r="I21" s="30" t="s">
        <v>2</v>
      </c>
      <c r="J21" s="30" t="s">
        <v>2</v>
      </c>
      <c r="K21" s="30" t="s">
        <v>2</v>
      </c>
      <c r="L21" s="11" t="str">
        <f t="shared" si="0"/>
        <v>Interoperabilidade</v>
      </c>
      <c r="M21" s="11" t="str">
        <f t="shared" si="1"/>
        <v>Esquemas</v>
      </c>
      <c r="N21" s="11" t="str">
        <f t="shared" si="2"/>
        <v>OSM</v>
      </c>
      <c r="O21" s="11" t="str">
        <f t="shared" si="3"/>
        <v>Água.Reservatório</v>
      </c>
      <c r="P21" s="35" t="s">
        <v>129</v>
      </c>
      <c r="Q21" s="12" t="s">
        <v>161</v>
      </c>
      <c r="R21" s="12" t="s">
        <v>183</v>
      </c>
      <c r="S21" s="61" t="s">
        <v>2</v>
      </c>
      <c r="T21" s="12" t="str">
        <f t="shared" si="4"/>
        <v>Interoperabilidade</v>
      </c>
      <c r="U21" s="12" t="str">
        <f t="shared" si="5"/>
        <v>Esquemas</v>
      </c>
      <c r="V21" s="12" t="str">
        <f t="shared" si="6"/>
        <v>Água.Reservatório</v>
      </c>
      <c r="W21" s="12" t="s">
        <v>57</v>
      </c>
      <c r="X21" s="28" t="str">
        <f t="shared" si="7"/>
        <v>Key-OSMI-21</v>
      </c>
      <c r="Y21" s="57" t="s">
        <v>118</v>
      </c>
      <c r="Z21" s="42" t="s">
        <v>2</v>
      </c>
      <c r="AA21" s="57" t="s">
        <v>119</v>
      </c>
      <c r="AB21" s="12" t="s">
        <v>2</v>
      </c>
      <c r="AC21" s="12" t="s">
        <v>2</v>
      </c>
      <c r="AD21" s="12" t="s">
        <v>2</v>
      </c>
    </row>
    <row r="22" spans="1:30" ht="7.5" customHeight="1" x14ac:dyDescent="0.2">
      <c r="A22" s="29">
        <v>22</v>
      </c>
      <c r="B22" s="58" t="s">
        <v>82</v>
      </c>
      <c r="C22" s="60" t="s">
        <v>57</v>
      </c>
      <c r="D22" s="58" t="s">
        <v>83</v>
      </c>
      <c r="E22" s="58" t="s">
        <v>87</v>
      </c>
      <c r="F22" s="34" t="s">
        <v>110</v>
      </c>
      <c r="G22" s="30" t="s">
        <v>2</v>
      </c>
      <c r="H22" s="30" t="s">
        <v>2</v>
      </c>
      <c r="I22" s="30" t="s">
        <v>2</v>
      </c>
      <c r="J22" s="30" t="s">
        <v>2</v>
      </c>
      <c r="K22" s="30" t="s">
        <v>2</v>
      </c>
      <c r="L22" s="11" t="str">
        <f t="shared" si="0"/>
        <v>Interoperabilidade</v>
      </c>
      <c r="M22" s="11" t="str">
        <f t="shared" si="1"/>
        <v>Esquemas</v>
      </c>
      <c r="N22" s="11" t="str">
        <f t="shared" si="2"/>
        <v>OSM</v>
      </c>
      <c r="O22" s="11" t="str">
        <f t="shared" si="3"/>
        <v>Esgoto.Estação.de.Tratamento</v>
      </c>
      <c r="P22" s="35" t="s">
        <v>124</v>
      </c>
      <c r="Q22" s="12" t="s">
        <v>162</v>
      </c>
      <c r="R22" s="12" t="s">
        <v>184</v>
      </c>
      <c r="S22" s="61" t="s">
        <v>2</v>
      </c>
      <c r="T22" s="12" t="str">
        <f t="shared" si="4"/>
        <v>Interoperabilidade</v>
      </c>
      <c r="U22" s="12" t="str">
        <f t="shared" si="5"/>
        <v>Esquemas</v>
      </c>
      <c r="V22" s="12" t="str">
        <f t="shared" si="6"/>
        <v>Esgoto.Estação.de.Tratamento</v>
      </c>
      <c r="W22" s="12" t="s">
        <v>57</v>
      </c>
      <c r="X22" s="28" t="str">
        <f t="shared" si="7"/>
        <v>Key-OSMI-22</v>
      </c>
      <c r="Y22" s="57" t="s">
        <v>118</v>
      </c>
      <c r="Z22" s="42" t="s">
        <v>2</v>
      </c>
      <c r="AA22" s="57" t="s">
        <v>119</v>
      </c>
      <c r="AB22" s="12" t="s">
        <v>2</v>
      </c>
      <c r="AC22" s="12" t="s">
        <v>2</v>
      </c>
      <c r="AD22" s="12" t="s">
        <v>2</v>
      </c>
    </row>
    <row r="23" spans="1:30" ht="7.5" customHeight="1" x14ac:dyDescent="0.2">
      <c r="A23" s="29">
        <v>23</v>
      </c>
      <c r="B23" s="58" t="s">
        <v>82</v>
      </c>
      <c r="C23" s="60" t="s">
        <v>57</v>
      </c>
      <c r="D23" s="58" t="s">
        <v>83</v>
      </c>
      <c r="E23" s="58" t="s">
        <v>87</v>
      </c>
      <c r="F23" s="34" t="s">
        <v>115</v>
      </c>
      <c r="G23" s="30" t="s">
        <v>2</v>
      </c>
      <c r="H23" s="30" t="s">
        <v>2</v>
      </c>
      <c r="I23" s="30" t="s">
        <v>2</v>
      </c>
      <c r="J23" s="30" t="s">
        <v>2</v>
      </c>
      <c r="K23" s="30" t="s">
        <v>2</v>
      </c>
      <c r="L23" s="11" t="str">
        <f t="shared" ref="L23:M28" si="8">CONCATENATE("", C23)</f>
        <v>Interoperabilidade</v>
      </c>
      <c r="M23" s="11" t="str">
        <f t="shared" ref="M23" si="9">CONCATENATE("", D23)</f>
        <v>Esquemas</v>
      </c>
      <c r="N23" s="11" t="str">
        <f t="shared" ref="N23" si="10">CONCATENATE("", E23)</f>
        <v>OSM</v>
      </c>
      <c r="O23" s="11" t="str">
        <f t="shared" ref="O23" si="11">CONCATENATE("", F23)</f>
        <v>Esgoto.Elevatória</v>
      </c>
      <c r="P23" s="35" t="s">
        <v>125</v>
      </c>
      <c r="Q23" s="12" t="s">
        <v>163</v>
      </c>
      <c r="R23" s="12" t="s">
        <v>185</v>
      </c>
      <c r="S23" s="61" t="s">
        <v>2</v>
      </c>
      <c r="T23" s="12" t="str">
        <f t="shared" ref="T23" si="12">SUBSTITUTE(C23, "_", " ")</f>
        <v>Interoperabilidade</v>
      </c>
      <c r="U23" s="12" t="str">
        <f t="shared" ref="U23" si="13">SUBSTITUTE(D23, "_", " ")</f>
        <v>Esquemas</v>
      </c>
      <c r="V23" s="12" t="str">
        <f t="shared" ref="V23" si="14">SUBSTITUTE(F23, "_", " ")</f>
        <v>Esgoto.Elevatória</v>
      </c>
      <c r="W23" s="12" t="s">
        <v>57</v>
      </c>
      <c r="X23" s="28" t="str">
        <f t="shared" ref="X23" si="15">CONCATENATE("Key-OSMI-",A23)</f>
        <v>Key-OSMI-23</v>
      </c>
      <c r="Y23" s="57" t="s">
        <v>118</v>
      </c>
      <c r="Z23" s="42" t="s">
        <v>2</v>
      </c>
      <c r="AA23" s="57" t="s">
        <v>119</v>
      </c>
      <c r="AB23" s="12" t="s">
        <v>2</v>
      </c>
      <c r="AC23" s="12" t="s">
        <v>2</v>
      </c>
      <c r="AD23" s="12" t="s">
        <v>2</v>
      </c>
    </row>
    <row r="24" spans="1:30" s="62" customFormat="1" ht="6.75" customHeight="1" x14ac:dyDescent="0.2">
      <c r="A24" s="29">
        <v>24</v>
      </c>
      <c r="B24" s="58" t="s">
        <v>207</v>
      </c>
      <c r="C24" s="59" t="s">
        <v>208</v>
      </c>
      <c r="D24" s="59" t="s">
        <v>209</v>
      </c>
      <c r="E24" s="59" t="s">
        <v>210</v>
      </c>
      <c r="F24" s="59" t="s">
        <v>186</v>
      </c>
      <c r="G24" s="30" t="s">
        <v>2</v>
      </c>
      <c r="H24" s="30" t="s">
        <v>2</v>
      </c>
      <c r="I24" s="30" t="s">
        <v>2</v>
      </c>
      <c r="J24" s="30" t="s">
        <v>2</v>
      </c>
      <c r="K24" s="30" t="s">
        <v>2</v>
      </c>
      <c r="L24" s="11" t="str">
        <f t="shared" si="8"/>
        <v>API.Plataforma</v>
      </c>
      <c r="M24" s="11" t="str">
        <f t="shared" si="8"/>
        <v>API.Macros</v>
      </c>
      <c r="N24" s="11" t="str">
        <f t="shared" ref="N24:O28" si="16">(SUBSTITUTE(SUBSTITUTE(CONCATENATE("",E24),"."," ")," De "," de "))</f>
        <v>API Método</v>
      </c>
      <c r="O24" s="11" t="str">
        <f t="shared" si="16"/>
        <v>Função Auxiliar</v>
      </c>
      <c r="P24" s="12" t="s">
        <v>187</v>
      </c>
      <c r="Q24" s="12" t="s">
        <v>188</v>
      </c>
      <c r="R24" s="12" t="s">
        <v>189</v>
      </c>
      <c r="S24" s="61" t="s">
        <v>2</v>
      </c>
      <c r="T24" s="12" t="str">
        <f t="shared" ref="T24:V28" si="17">SUBSTITUTE(C24, ".", " ")</f>
        <v>API Plataforma</v>
      </c>
      <c r="U24" s="12" t="str">
        <f t="shared" si="17"/>
        <v>API Macros</v>
      </c>
      <c r="V24" s="41" t="str">
        <f t="shared" si="17"/>
        <v>API Método</v>
      </c>
      <c r="W24" s="12" t="s">
        <v>57</v>
      </c>
      <c r="X24" s="28" t="str">
        <f t="shared" ref="X24:X28" si="18">CONCATENATE("Key-OSMI-",A24)</f>
        <v>Key-OSMI-24</v>
      </c>
      <c r="Y24" s="42" t="s">
        <v>2</v>
      </c>
      <c r="Z24" s="42" t="s">
        <v>2</v>
      </c>
      <c r="AA24" s="42" t="s">
        <v>2</v>
      </c>
      <c r="AB24" s="42" t="s">
        <v>2</v>
      </c>
      <c r="AC24" s="42" t="s">
        <v>2</v>
      </c>
      <c r="AD24" s="42" t="s">
        <v>2</v>
      </c>
    </row>
    <row r="25" spans="1:30" s="62" customFormat="1" ht="6.75" customHeight="1" x14ac:dyDescent="0.2">
      <c r="A25" s="29">
        <v>25</v>
      </c>
      <c r="B25" s="58" t="s">
        <v>207</v>
      </c>
      <c r="C25" s="59" t="s">
        <v>208</v>
      </c>
      <c r="D25" s="59" t="s">
        <v>209</v>
      </c>
      <c r="E25" s="59" t="s">
        <v>210</v>
      </c>
      <c r="F25" s="59" t="s">
        <v>190</v>
      </c>
      <c r="G25" s="30" t="s">
        <v>2</v>
      </c>
      <c r="H25" s="30" t="s">
        <v>2</v>
      </c>
      <c r="I25" s="30" t="s">
        <v>2</v>
      </c>
      <c r="J25" s="30" t="s">
        <v>2</v>
      </c>
      <c r="K25" s="30" t="s">
        <v>2</v>
      </c>
      <c r="L25" s="11" t="str">
        <f t="shared" si="8"/>
        <v>API.Plataforma</v>
      </c>
      <c r="M25" s="11" t="str">
        <f t="shared" si="8"/>
        <v>API.Macros</v>
      </c>
      <c r="N25" s="11" t="str">
        <f t="shared" si="16"/>
        <v>API Método</v>
      </c>
      <c r="O25" s="11" t="str">
        <f t="shared" si="16"/>
        <v>Função Global</v>
      </c>
      <c r="P25" s="12" t="s">
        <v>191</v>
      </c>
      <c r="Q25" s="12" t="s">
        <v>192</v>
      </c>
      <c r="R25" s="12" t="s">
        <v>193</v>
      </c>
      <c r="S25" s="61" t="s">
        <v>2</v>
      </c>
      <c r="T25" s="12" t="str">
        <f t="shared" si="17"/>
        <v>API Plataforma</v>
      </c>
      <c r="U25" s="12" t="str">
        <f t="shared" si="17"/>
        <v>API Macros</v>
      </c>
      <c r="V25" s="41" t="str">
        <f t="shared" si="17"/>
        <v>API Método</v>
      </c>
      <c r="W25" s="12" t="s">
        <v>57</v>
      </c>
      <c r="X25" s="28" t="str">
        <f t="shared" si="18"/>
        <v>Key-OSMI-25</v>
      </c>
      <c r="Y25" s="42" t="s">
        <v>2</v>
      </c>
      <c r="Z25" s="42" t="s">
        <v>2</v>
      </c>
      <c r="AA25" s="42" t="s">
        <v>2</v>
      </c>
      <c r="AB25" s="42" t="s">
        <v>2</v>
      </c>
      <c r="AC25" s="42" t="s">
        <v>2</v>
      </c>
      <c r="AD25" s="42" t="s">
        <v>2</v>
      </c>
    </row>
    <row r="26" spans="1:30" s="62" customFormat="1" ht="6.75" customHeight="1" x14ac:dyDescent="0.2">
      <c r="A26" s="29">
        <v>26</v>
      </c>
      <c r="B26" s="58" t="s">
        <v>207</v>
      </c>
      <c r="C26" s="59" t="s">
        <v>208</v>
      </c>
      <c r="D26" s="59" t="s">
        <v>209</v>
      </c>
      <c r="E26" s="59" t="s">
        <v>210</v>
      </c>
      <c r="F26" s="59" t="s">
        <v>194</v>
      </c>
      <c r="G26" s="30" t="s">
        <v>2</v>
      </c>
      <c r="H26" s="30" t="s">
        <v>2</v>
      </c>
      <c r="I26" s="30" t="s">
        <v>2</v>
      </c>
      <c r="J26" s="30" t="s">
        <v>2</v>
      </c>
      <c r="K26" s="30" t="s">
        <v>2</v>
      </c>
      <c r="L26" s="11" t="str">
        <f t="shared" si="8"/>
        <v>API.Plataforma</v>
      </c>
      <c r="M26" s="11" t="str">
        <f t="shared" si="8"/>
        <v>API.Macros</v>
      </c>
      <c r="N26" s="11" t="str">
        <f t="shared" si="16"/>
        <v>API Método</v>
      </c>
      <c r="O26" s="11" t="str">
        <f t="shared" si="16"/>
        <v>Função Local</v>
      </c>
      <c r="P26" s="12" t="s">
        <v>195</v>
      </c>
      <c r="Q26" s="12" t="s">
        <v>196</v>
      </c>
      <c r="R26" s="12" t="s">
        <v>197</v>
      </c>
      <c r="S26" s="61" t="s">
        <v>2</v>
      </c>
      <c r="T26" s="12" t="str">
        <f t="shared" si="17"/>
        <v>API Plataforma</v>
      </c>
      <c r="U26" s="12" t="str">
        <f t="shared" si="17"/>
        <v>API Macros</v>
      </c>
      <c r="V26" s="41" t="str">
        <f t="shared" si="17"/>
        <v>API Método</v>
      </c>
      <c r="W26" s="12" t="s">
        <v>57</v>
      </c>
      <c r="X26" s="28" t="str">
        <f t="shared" si="18"/>
        <v>Key-OSMI-26</v>
      </c>
      <c r="Y26" s="42" t="s">
        <v>2</v>
      </c>
      <c r="Z26" s="42" t="s">
        <v>2</v>
      </c>
      <c r="AA26" s="42" t="s">
        <v>2</v>
      </c>
      <c r="AB26" s="42" t="s">
        <v>2</v>
      </c>
      <c r="AC26" s="42" t="s">
        <v>2</v>
      </c>
      <c r="AD26" s="42" t="s">
        <v>2</v>
      </c>
    </row>
    <row r="27" spans="1:30" s="62" customFormat="1" ht="6.75" customHeight="1" x14ac:dyDescent="0.2">
      <c r="A27" s="29">
        <v>27</v>
      </c>
      <c r="B27" s="58" t="s">
        <v>207</v>
      </c>
      <c r="C27" s="59" t="s">
        <v>208</v>
      </c>
      <c r="D27" s="59" t="s">
        <v>209</v>
      </c>
      <c r="E27" s="59" t="s">
        <v>210</v>
      </c>
      <c r="F27" s="59" t="s">
        <v>198</v>
      </c>
      <c r="G27" s="30" t="s">
        <v>2</v>
      </c>
      <c r="H27" s="30" t="s">
        <v>2</v>
      </c>
      <c r="I27" s="30" t="s">
        <v>2</v>
      </c>
      <c r="J27" s="30" t="s">
        <v>2</v>
      </c>
      <c r="K27" s="30" t="s">
        <v>2</v>
      </c>
      <c r="L27" s="11" t="str">
        <f t="shared" si="8"/>
        <v>API.Plataforma</v>
      </c>
      <c r="M27" s="11" t="str">
        <f t="shared" si="8"/>
        <v>API.Macros</v>
      </c>
      <c r="N27" s="11" t="str">
        <f t="shared" si="16"/>
        <v>API Método</v>
      </c>
      <c r="O27" s="11" t="str">
        <f t="shared" si="16"/>
        <v>Função Filtro</v>
      </c>
      <c r="P27" s="12" t="s">
        <v>199</v>
      </c>
      <c r="Q27" s="12" t="s">
        <v>200</v>
      </c>
      <c r="R27" s="12" t="s">
        <v>201</v>
      </c>
      <c r="S27" s="61" t="s">
        <v>2</v>
      </c>
      <c r="T27" s="12" t="str">
        <f t="shared" si="17"/>
        <v>API Plataforma</v>
      </c>
      <c r="U27" s="12" t="str">
        <f t="shared" si="17"/>
        <v>API Macros</v>
      </c>
      <c r="V27" s="41" t="str">
        <f t="shared" si="17"/>
        <v>API Método</v>
      </c>
      <c r="W27" s="12" t="s">
        <v>57</v>
      </c>
      <c r="X27" s="28" t="str">
        <f t="shared" si="18"/>
        <v>Key-OSMI-27</v>
      </c>
      <c r="Y27" s="42" t="s">
        <v>2</v>
      </c>
      <c r="Z27" s="42" t="s">
        <v>2</v>
      </c>
      <c r="AA27" s="42" t="s">
        <v>2</v>
      </c>
      <c r="AB27" s="42" t="s">
        <v>2</v>
      </c>
      <c r="AC27" s="42" t="s">
        <v>2</v>
      </c>
      <c r="AD27" s="42" t="s">
        <v>2</v>
      </c>
    </row>
    <row r="28" spans="1:30" s="62" customFormat="1" ht="6.75" customHeight="1" x14ac:dyDescent="0.2">
      <c r="A28" s="29">
        <v>28</v>
      </c>
      <c r="B28" s="58" t="s">
        <v>207</v>
      </c>
      <c r="C28" s="59" t="s">
        <v>208</v>
      </c>
      <c r="D28" s="59" t="s">
        <v>211</v>
      </c>
      <c r="E28" s="59" t="s">
        <v>212</v>
      </c>
      <c r="F28" s="59" t="s">
        <v>202</v>
      </c>
      <c r="G28" s="30" t="s">
        <v>2</v>
      </c>
      <c r="H28" s="30" t="s">
        <v>2</v>
      </c>
      <c r="I28" s="30" t="s">
        <v>2</v>
      </c>
      <c r="J28" s="30" t="s">
        <v>2</v>
      </c>
      <c r="K28" s="30" t="s">
        <v>2</v>
      </c>
      <c r="L28" s="11" t="str">
        <f t="shared" si="8"/>
        <v>API.Plataforma</v>
      </c>
      <c r="M28" s="11" t="str">
        <f t="shared" si="8"/>
        <v>API.Macros.Visuais</v>
      </c>
      <c r="N28" s="11" t="str">
        <f t="shared" si="16"/>
        <v>API Método Visual</v>
      </c>
      <c r="O28" s="11" t="str">
        <f t="shared" si="16"/>
        <v>Bloco de Código</v>
      </c>
      <c r="P28" s="12" t="s">
        <v>203</v>
      </c>
      <c r="Q28" s="12" t="s">
        <v>204</v>
      </c>
      <c r="R28" s="12" t="s">
        <v>205</v>
      </c>
      <c r="S28" s="61" t="s">
        <v>2</v>
      </c>
      <c r="T28" s="12" t="str">
        <f t="shared" si="17"/>
        <v>API Plataforma</v>
      </c>
      <c r="U28" s="12" t="str">
        <f t="shared" si="17"/>
        <v>API Macros Visuais</v>
      </c>
      <c r="V28" s="41" t="str">
        <f t="shared" si="17"/>
        <v>API Método Visual</v>
      </c>
      <c r="W28" s="12" t="s">
        <v>57</v>
      </c>
      <c r="X28" s="28" t="str">
        <f t="shared" si="18"/>
        <v>Key-OSMI-28</v>
      </c>
      <c r="Y28" s="42" t="s">
        <v>2</v>
      </c>
      <c r="Z28" s="42" t="s">
        <v>2</v>
      </c>
      <c r="AA28" s="42" t="s">
        <v>2</v>
      </c>
      <c r="AB28" s="42" t="s">
        <v>2</v>
      </c>
      <c r="AC28" s="42" t="s">
        <v>2</v>
      </c>
      <c r="AD28" s="42" t="s">
        <v>2</v>
      </c>
    </row>
  </sheetData>
  <conditionalFormatting sqref="A2:B23 A24:A28">
    <cfRule type="cellIs" dxfId="24" priority="4" operator="equal">
      <formula>"null"</formula>
    </cfRule>
  </conditionalFormatting>
  <conditionalFormatting sqref="F1:F23 F29:F1048576">
    <cfRule type="duplicateValues" dxfId="23" priority="8"/>
  </conditionalFormatting>
  <conditionalFormatting sqref="F1:F23">
    <cfRule type="duplicateValues" dxfId="22" priority="87"/>
  </conditionalFormatting>
  <conditionalFormatting sqref="F24:F28">
    <cfRule type="duplicateValues" dxfId="21" priority="1"/>
    <cfRule type="duplicateValues" dxfId="20" priority="2"/>
  </conditionalFormatting>
  <conditionalFormatting sqref="R1">
    <cfRule type="cellIs" dxfId="19" priority="15" operator="equal">
      <formula>"null"</formula>
    </cfRule>
  </conditionalFormatting>
  <conditionalFormatting sqref="AC1:AD1">
    <cfRule type="cellIs" dxfId="18" priority="16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89E0-AD15-4DC4-98AC-F14614FE99CB}">
  <sheetPr codeName="Planilha16"/>
  <dimension ref="A1:U2"/>
  <sheetViews>
    <sheetView zoomScale="205" zoomScaleNormal="205" workbookViewId="0">
      <selection activeCell="D15" sqref="D15"/>
    </sheetView>
  </sheetViews>
  <sheetFormatPr defaultColWidth="13.1640625" defaultRowHeight="8.25" x14ac:dyDescent="0.15"/>
  <cols>
    <col min="1" max="1" width="3.33203125" style="20" customWidth="1"/>
    <col min="2" max="10" width="7.6640625" style="21" customWidth="1"/>
    <col min="11" max="21" width="7.6640625" style="19" customWidth="1"/>
    <col min="22" max="16384" width="13.1640625" style="19"/>
  </cols>
  <sheetData>
    <row r="1" spans="1:21" s="16" customFormat="1" ht="15.6" customHeight="1" x14ac:dyDescent="0.15">
      <c r="A1" s="13" t="s">
        <v>58</v>
      </c>
      <c r="B1" s="14" t="s">
        <v>59</v>
      </c>
      <c r="C1" s="14" t="s">
        <v>60</v>
      </c>
      <c r="D1" s="14" t="s">
        <v>61</v>
      </c>
      <c r="E1" s="14" t="s">
        <v>62</v>
      </c>
      <c r="F1" s="14" t="s">
        <v>63</v>
      </c>
      <c r="G1" s="14" t="s">
        <v>64</v>
      </c>
      <c r="H1" s="14" t="s">
        <v>65</v>
      </c>
      <c r="I1" s="14" t="s">
        <v>66</v>
      </c>
      <c r="J1" s="14" t="s">
        <v>67</v>
      </c>
      <c r="K1" s="14" t="s">
        <v>68</v>
      </c>
      <c r="L1" s="14" t="s">
        <v>69</v>
      </c>
      <c r="M1" s="14" t="s">
        <v>70</v>
      </c>
      <c r="N1" s="14" t="s">
        <v>71</v>
      </c>
      <c r="O1" s="14" t="s">
        <v>72</v>
      </c>
      <c r="P1" s="14" t="s">
        <v>73</v>
      </c>
      <c r="Q1" s="14" t="s">
        <v>74</v>
      </c>
      <c r="R1" s="14" t="s">
        <v>75</v>
      </c>
      <c r="S1" s="14" t="s">
        <v>76</v>
      </c>
      <c r="T1" s="14" t="s">
        <v>77</v>
      </c>
      <c r="U1" s="15" t="s">
        <v>78</v>
      </c>
    </row>
    <row r="2" spans="1:21" s="16" customFormat="1" x14ac:dyDescent="0.15">
      <c r="A2" s="17">
        <v>2</v>
      </c>
      <c r="B2" s="18" t="s">
        <v>2</v>
      </c>
      <c r="C2" s="18" t="s">
        <v>2</v>
      </c>
      <c r="D2" s="18" t="s">
        <v>2</v>
      </c>
      <c r="E2" s="18" t="s">
        <v>2</v>
      </c>
      <c r="F2" s="18" t="s">
        <v>2</v>
      </c>
      <c r="G2" s="18" t="s">
        <v>2</v>
      </c>
      <c r="H2" s="18" t="s">
        <v>2</v>
      </c>
      <c r="I2" s="18" t="s">
        <v>2</v>
      </c>
      <c r="J2" s="18" t="s">
        <v>2</v>
      </c>
      <c r="K2" s="18" t="s">
        <v>2</v>
      </c>
      <c r="L2" s="18" t="s">
        <v>2</v>
      </c>
      <c r="M2" s="18" t="s">
        <v>2</v>
      </c>
      <c r="N2" s="18" t="s">
        <v>2</v>
      </c>
      <c r="O2" s="18" t="s">
        <v>2</v>
      </c>
      <c r="P2" s="18" t="s">
        <v>2</v>
      </c>
      <c r="Q2" s="18" t="s">
        <v>2</v>
      </c>
      <c r="R2" s="18" t="s">
        <v>2</v>
      </c>
      <c r="S2" s="18" t="s">
        <v>2</v>
      </c>
      <c r="T2" s="18" t="s">
        <v>2</v>
      </c>
      <c r="U2" s="18" t="s">
        <v>2</v>
      </c>
    </row>
  </sheetData>
  <conditionalFormatting sqref="A1:XFD1048576">
    <cfRule type="cellIs" dxfId="17" priority="1" operator="equal">
      <formula>"null"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D1F58-E12C-4CFF-B0CB-74B96F67AF9C}">
  <sheetPr codeName="Planilha17"/>
  <dimension ref="A1:G2"/>
  <sheetViews>
    <sheetView zoomScale="205" zoomScaleNormal="205" workbookViewId="0">
      <selection activeCell="E4" sqref="E4"/>
    </sheetView>
  </sheetViews>
  <sheetFormatPr defaultColWidth="10.6640625" defaultRowHeight="12" x14ac:dyDescent="0.2"/>
  <cols>
    <col min="1" max="1" width="1.33203125" style="25" bestFit="1" customWidth="1"/>
    <col min="2" max="2" width="7" style="26" bestFit="1" customWidth="1"/>
    <col min="3" max="3" width="13.33203125" style="26" bestFit="1" customWidth="1"/>
    <col min="4" max="7" width="12.83203125" style="26" bestFit="1" customWidth="1"/>
  </cols>
  <sheetData>
    <row r="1" spans="1:7" ht="33" customHeight="1" x14ac:dyDescent="0.2">
      <c r="A1" s="22">
        <v>0</v>
      </c>
      <c r="B1" s="23" t="s">
        <v>79</v>
      </c>
      <c r="C1" s="24" t="s">
        <v>80</v>
      </c>
      <c r="D1" s="24" t="s">
        <v>81</v>
      </c>
      <c r="E1" s="24" t="s">
        <v>81</v>
      </c>
      <c r="F1" s="24" t="s">
        <v>81</v>
      </c>
      <c r="G1" s="24" t="s">
        <v>81</v>
      </c>
    </row>
    <row r="2" spans="1:7" ht="8.25" customHeight="1" x14ac:dyDescent="0.2">
      <c r="A2" s="10">
        <v>2</v>
      </c>
      <c r="B2" s="12" t="s">
        <v>2</v>
      </c>
      <c r="C2" s="12" t="s">
        <v>2</v>
      </c>
      <c r="D2" s="12" t="s">
        <v>2</v>
      </c>
      <c r="E2" s="12" t="s">
        <v>2</v>
      </c>
      <c r="F2" s="12" t="s">
        <v>2</v>
      </c>
      <c r="G2" s="12" t="s">
        <v>2</v>
      </c>
    </row>
  </sheetData>
  <conditionalFormatting sqref="A1:G1 B3:G1048576">
    <cfRule type="containsText" dxfId="16" priority="5" operator="containsText" text="null">
      <formula>NOT(ISERROR(SEARCH("null",A1)))</formula>
    </cfRule>
  </conditionalFormatting>
  <conditionalFormatting sqref="B2">
    <cfRule type="duplicateValues" dxfId="15" priority="12"/>
    <cfRule type="duplicateValues" dxfId="14" priority="13"/>
  </conditionalFormatting>
  <conditionalFormatting sqref="B3:B1048576 A1:B1">
    <cfRule type="duplicateValues" dxfId="13" priority="6"/>
  </conditionalFormatting>
  <conditionalFormatting sqref="B3:B1048576 B1">
    <cfRule type="duplicateValues" dxfId="12" priority="4"/>
  </conditionalFormatting>
  <conditionalFormatting sqref="B2:G2">
    <cfRule type="containsText" dxfId="11" priority="2" operator="containsText" text="null">
      <formula>NOT(ISERROR(SEARCH("null",B2)))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366C-5F74-4E71-97A7-7194C8A394D8}">
  <dimension ref="A1:W2"/>
  <sheetViews>
    <sheetView zoomScale="310" zoomScaleNormal="310" workbookViewId="0">
      <pane ySplit="1" topLeftCell="A2" activePane="bottomLeft" state="frozen"/>
      <selection pane="bottomLeft" activeCell="E1" sqref="E1"/>
    </sheetView>
  </sheetViews>
  <sheetFormatPr defaultColWidth="9" defaultRowHeight="7.5" customHeight="1" x14ac:dyDescent="0.2"/>
  <cols>
    <col min="1" max="1" width="2.5" style="39" bestFit="1" customWidth="1"/>
    <col min="2" max="2" width="7" style="36" customWidth="1"/>
    <col min="3" max="3" width="8.6640625" style="38" customWidth="1"/>
    <col min="4" max="23" width="4.83203125" style="38" customWidth="1"/>
    <col min="24" max="16384" width="9" style="38"/>
  </cols>
  <sheetData>
    <row r="1" spans="1:23" s="37" customFormat="1" ht="23.25" customHeight="1" thickBot="1" x14ac:dyDescent="0.25">
      <c r="A1" s="52">
        <v>1</v>
      </c>
      <c r="B1" s="53" t="s">
        <v>4</v>
      </c>
      <c r="C1" s="54" t="s">
        <v>5</v>
      </c>
      <c r="D1" s="54" t="s">
        <v>6</v>
      </c>
      <c r="E1" s="55" t="s">
        <v>7</v>
      </c>
      <c r="F1" s="54" t="s">
        <v>6</v>
      </c>
      <c r="G1" s="55" t="s">
        <v>7</v>
      </c>
      <c r="H1" s="54" t="s">
        <v>6</v>
      </c>
      <c r="I1" s="55" t="s">
        <v>7</v>
      </c>
      <c r="J1" s="54" t="s">
        <v>6</v>
      </c>
      <c r="K1" s="55" t="s">
        <v>7</v>
      </c>
      <c r="L1" s="54" t="s">
        <v>6</v>
      </c>
      <c r="M1" s="55" t="s">
        <v>7</v>
      </c>
      <c r="N1" s="54" t="s">
        <v>6</v>
      </c>
      <c r="O1" s="55" t="s">
        <v>7</v>
      </c>
      <c r="P1" s="54" t="s">
        <v>6</v>
      </c>
      <c r="Q1" s="55" t="s">
        <v>7</v>
      </c>
      <c r="R1" s="54" t="s">
        <v>6</v>
      </c>
      <c r="S1" s="55" t="s">
        <v>7</v>
      </c>
      <c r="T1" s="54" t="s">
        <v>6</v>
      </c>
      <c r="U1" s="55" t="s">
        <v>7</v>
      </c>
      <c r="V1" s="54" t="s">
        <v>6</v>
      </c>
      <c r="W1" s="56" t="s">
        <v>7</v>
      </c>
    </row>
    <row r="2" spans="1:23" ht="9" customHeight="1" x14ac:dyDescent="0.2">
      <c r="A2" s="44">
        <v>2</v>
      </c>
      <c r="B2" s="45" t="s">
        <v>94</v>
      </c>
      <c r="C2" s="46" t="s">
        <v>95</v>
      </c>
      <c r="D2" s="47" t="s">
        <v>2</v>
      </c>
      <c r="E2" s="48" t="s">
        <v>2</v>
      </c>
      <c r="F2" s="47" t="s">
        <v>2</v>
      </c>
      <c r="G2" s="48" t="s">
        <v>2</v>
      </c>
      <c r="H2" s="47" t="s">
        <v>2</v>
      </c>
      <c r="I2" s="48" t="s">
        <v>2</v>
      </c>
      <c r="J2" s="47" t="s">
        <v>2</v>
      </c>
      <c r="K2" s="48" t="s">
        <v>2</v>
      </c>
      <c r="L2" s="47" t="s">
        <v>2</v>
      </c>
      <c r="M2" s="48" t="s">
        <v>2</v>
      </c>
      <c r="N2" s="49" t="s">
        <v>2</v>
      </c>
      <c r="O2" s="50" t="s">
        <v>2</v>
      </c>
      <c r="P2" s="49" t="s">
        <v>2</v>
      </c>
      <c r="Q2" s="50" t="s">
        <v>2</v>
      </c>
      <c r="R2" s="49" t="s">
        <v>2</v>
      </c>
      <c r="S2" s="50" t="s">
        <v>2</v>
      </c>
      <c r="T2" s="51" t="s">
        <v>2</v>
      </c>
      <c r="U2" s="50" t="s">
        <v>2</v>
      </c>
      <c r="V2" s="49" t="s">
        <v>2</v>
      </c>
      <c r="W2" s="50" t="s">
        <v>2</v>
      </c>
    </row>
  </sheetData>
  <phoneticPr fontId="12" type="noConversion"/>
  <conditionalFormatting sqref="B1:B1048576">
    <cfRule type="duplicateValues" dxfId="10" priority="75"/>
    <cfRule type="duplicateValues" dxfId="9" priority="76"/>
  </conditionalFormatting>
  <conditionalFormatting sqref="D1">
    <cfRule type="duplicateValues" dxfId="8" priority="11"/>
  </conditionalFormatting>
  <conditionalFormatting sqref="H1 B1">
    <cfRule type="duplicateValues" dxfId="7" priority="71"/>
  </conditionalFormatting>
  <conditionalFormatting sqref="J1">
    <cfRule type="duplicateValues" dxfId="6" priority="63"/>
  </conditionalFormatting>
  <conditionalFormatting sqref="L1">
    <cfRule type="duplicateValues" dxfId="5" priority="12"/>
  </conditionalFormatting>
  <conditionalFormatting sqref="N1">
    <cfRule type="duplicateValues" dxfId="4" priority="70"/>
  </conditionalFormatting>
  <conditionalFormatting sqref="P1">
    <cfRule type="duplicateValues" dxfId="3" priority="69"/>
  </conditionalFormatting>
  <conditionalFormatting sqref="R1">
    <cfRule type="duplicateValues" dxfId="2" priority="68"/>
  </conditionalFormatting>
  <conditionalFormatting sqref="T1">
    <cfRule type="duplicateValues" dxfId="1" priority="67"/>
  </conditionalFormatting>
  <conditionalFormatting sqref="V1">
    <cfRule type="duplicateValues" dxfId="0" priority="66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2026-04-14T18:40:36Z</dcterms:created>
  <dcterms:modified xsi:type="dcterms:W3CDTF">2026-09-11T13:27:06Z</dcterms:modified>
</cp:coreProperties>
</file>