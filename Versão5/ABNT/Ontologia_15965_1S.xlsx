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3AAD302-C87A-458D-AA06-9379C3C0DFDF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O32" i="4"/>
  <c r="N32" i="4"/>
  <c r="M32" i="4"/>
  <c r="L32" i="4"/>
  <c r="O31" i="4"/>
  <c r="N31" i="4"/>
  <c r="M31" i="4"/>
  <c r="L31" i="4"/>
  <c r="O30" i="4"/>
  <c r="N30" i="4"/>
  <c r="M30" i="4"/>
  <c r="L30" i="4"/>
  <c r="O29" i="4"/>
  <c r="N29" i="4"/>
  <c r="M29" i="4"/>
  <c r="L29" i="4"/>
  <c r="O28" i="4"/>
  <c r="N28" i="4"/>
  <c r="M28" i="4"/>
  <c r="L28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9"/>
  <c r="B21" i="9" s="1"/>
  <c r="Q23" i="4"/>
  <c r="Q24" i="4"/>
  <c r="Q25" i="4"/>
  <c r="Q26" i="4"/>
  <c r="Q27" i="4"/>
  <c r="Q28" i="4"/>
  <c r="Q29" i="4"/>
  <c r="Q31" i="4"/>
  <c r="Q32" i="4"/>
  <c r="Q30" i="4"/>
  <c r="Q21" i="4"/>
  <c r="Q22" i="4"/>
  <c r="AA32" i="4"/>
  <c r="AA21" i="4"/>
  <c r="AA31" i="4"/>
  <c r="AA20" i="4"/>
  <c r="Q20" i="4"/>
  <c r="AA26" i="4"/>
  <c r="AA23" i="4"/>
  <c r="AA25" i="4"/>
  <c r="AA27" i="4"/>
  <c r="AA29" i="4"/>
  <c r="AA22" i="4"/>
  <c r="AA24" i="4"/>
  <c r="AA28" i="4"/>
  <c r="AA30" i="4"/>
  <c r="B18" i="9" l="1"/>
  <c r="B6" i="9"/>
  <c r="B5" i="9"/>
</calcChain>
</file>

<file path=xl/sharedStrings.xml><?xml version="1.0" encoding="utf-8"?>
<sst xmlns="http://schemas.openxmlformats.org/spreadsheetml/2006/main" count="7991" uniqueCount="840">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</sst>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75D7255F-4B16-4C61-A12B-6DBA4ACA1970}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38" t="s">
        <v>689</v>
      </c>
    </row>
    <row r="2" spans="1:3" ht="7.9" customHeight="1" x14ac:dyDescent="0.2">
      <c r="A2" s="3" t="s">
        <v>307</v>
      </c>
      <c r="B2" s="3" t="s">
        <v>681</v>
      </c>
      <c r="C2" s="39" t="s">
        <v>690</v>
      </c>
    </row>
    <row r="3" spans="1:3" ht="7.9" customHeight="1" x14ac:dyDescent="0.2">
      <c r="A3" s="3" t="s">
        <v>308</v>
      </c>
      <c r="B3" s="3" t="s">
        <v>305</v>
      </c>
      <c r="C3" s="39" t="s">
        <v>690</v>
      </c>
    </row>
    <row r="4" spans="1:3" ht="7.9" customHeight="1" x14ac:dyDescent="0.2">
      <c r="A4" s="4" t="s">
        <v>5</v>
      </c>
      <c r="B4" s="4" t="s">
        <v>633</v>
      </c>
      <c r="C4" s="39" t="s">
        <v>690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39" t="s">
        <v>690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39" t="s">
        <v>690</v>
      </c>
    </row>
    <row r="7" spans="1:3" ht="7.9" customHeight="1" x14ac:dyDescent="0.2">
      <c r="A7" s="4" t="s">
        <v>8</v>
      </c>
      <c r="B7" s="4" t="s">
        <v>323</v>
      </c>
      <c r="C7" s="39" t="s">
        <v>690</v>
      </c>
    </row>
    <row r="8" spans="1:3" ht="7.9" customHeight="1" x14ac:dyDescent="0.2">
      <c r="A8" s="36" t="s">
        <v>9</v>
      </c>
      <c r="B8" s="36" t="s">
        <v>688</v>
      </c>
      <c r="C8" s="39" t="s">
        <v>690</v>
      </c>
    </row>
    <row r="9" spans="1:3" ht="7.9" customHeight="1" x14ac:dyDescent="0.2">
      <c r="A9" s="4" t="s">
        <v>309</v>
      </c>
      <c r="B9" s="4" t="s">
        <v>310</v>
      </c>
      <c r="C9" s="39" t="s">
        <v>690</v>
      </c>
    </row>
    <row r="10" spans="1:3" ht="7.9" customHeight="1" x14ac:dyDescent="0.2">
      <c r="A10" s="4" t="s">
        <v>311</v>
      </c>
      <c r="B10" s="4" t="s">
        <v>16</v>
      </c>
      <c r="C10" s="39" t="s">
        <v>690</v>
      </c>
    </row>
    <row r="11" spans="1:3" ht="7.9" customHeight="1" x14ac:dyDescent="0.2">
      <c r="A11" s="4" t="s">
        <v>312</v>
      </c>
      <c r="B11" s="4" t="s">
        <v>322</v>
      </c>
      <c r="C11" s="39" t="s">
        <v>690</v>
      </c>
    </row>
    <row r="12" spans="1:3" ht="7.9" customHeight="1" x14ac:dyDescent="0.2">
      <c r="A12" s="4" t="s">
        <v>10</v>
      </c>
      <c r="B12" s="4" t="s">
        <v>17</v>
      </c>
      <c r="C12" s="39" t="s">
        <v>690</v>
      </c>
    </row>
    <row r="13" spans="1:3" ht="7.9" customHeight="1" x14ac:dyDescent="0.2">
      <c r="A13" s="4" t="s">
        <v>313</v>
      </c>
      <c r="B13" s="4" t="s">
        <v>304</v>
      </c>
      <c r="C13" s="39" t="s">
        <v>690</v>
      </c>
    </row>
    <row r="14" spans="1:3" ht="7.9" customHeight="1" x14ac:dyDescent="0.2">
      <c r="A14" s="4" t="s">
        <v>314</v>
      </c>
      <c r="B14" s="4" t="s">
        <v>11</v>
      </c>
      <c r="C14" s="39" t="s">
        <v>690</v>
      </c>
    </row>
    <row r="15" spans="1:3" ht="7.9" customHeight="1" x14ac:dyDescent="0.2">
      <c r="A15" s="4" t="s">
        <v>315</v>
      </c>
      <c r="B15" s="4" t="s">
        <v>11</v>
      </c>
      <c r="C15" s="39" t="s">
        <v>690</v>
      </c>
    </row>
    <row r="16" spans="1:3" ht="7.9" customHeight="1" x14ac:dyDescent="0.2">
      <c r="A16" s="4" t="s">
        <v>316</v>
      </c>
      <c r="B16" s="4" t="s">
        <v>11</v>
      </c>
      <c r="C16" s="39" t="s">
        <v>690</v>
      </c>
    </row>
    <row r="17" spans="1:3" ht="7.9" customHeight="1" x14ac:dyDescent="0.2">
      <c r="A17" s="4" t="s">
        <v>12</v>
      </c>
      <c r="B17" s="4" t="s">
        <v>13</v>
      </c>
      <c r="C17" s="39" t="s">
        <v>690</v>
      </c>
    </row>
    <row r="18" spans="1:3" ht="7.9" customHeight="1" x14ac:dyDescent="0.2">
      <c r="A18" s="4" t="s">
        <v>317</v>
      </c>
      <c r="B18" s="5">
        <f ca="1">NOW()</f>
        <v>46219.568221412039</v>
      </c>
      <c r="C18" s="39" t="s">
        <v>690</v>
      </c>
    </row>
    <row r="19" spans="1:3" ht="7.9" customHeight="1" x14ac:dyDescent="0.2">
      <c r="A19" s="4" t="s">
        <v>699</v>
      </c>
      <c r="B19" s="5" t="s">
        <v>694</v>
      </c>
      <c r="C19" s="39" t="s">
        <v>690</v>
      </c>
    </row>
    <row r="20" spans="1:3" ht="7.9" customHeight="1" x14ac:dyDescent="0.2">
      <c r="A20" s="36" t="s">
        <v>693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691</v>
      </c>
    </row>
    <row r="21" spans="1:3" ht="7.9" customHeight="1" x14ac:dyDescent="0.2">
      <c r="A21" s="36" t="s">
        <v>700</v>
      </c>
      <c r="B21" s="5" t="str">
        <f>_xlfn.TRANSLATE(B20,"pt","en")</f>
        <v>The Standard was prepared by the Special Committee of Studies on Building Information Modeling (BIM) ABNT/CEE-134</v>
      </c>
      <c r="C21" s="39" t="s">
        <v>692</v>
      </c>
    </row>
    <row r="22" spans="1:3" ht="7.9" customHeight="1" x14ac:dyDescent="0.2">
      <c r="A22" s="4" t="s">
        <v>306</v>
      </c>
      <c r="B22" s="4" t="s">
        <v>11</v>
      </c>
      <c r="C22" s="39" t="s">
        <v>690</v>
      </c>
    </row>
    <row r="23" spans="1:3" ht="7.9" customHeight="1" x14ac:dyDescent="0.2">
      <c r="A23" s="4" t="s">
        <v>318</v>
      </c>
      <c r="B23" s="4" t="s">
        <v>11</v>
      </c>
      <c r="C23" s="39" t="s">
        <v>690</v>
      </c>
    </row>
    <row r="24" spans="1:3" ht="7.9" customHeight="1" x14ac:dyDescent="0.2">
      <c r="A24" s="6" t="s">
        <v>324</v>
      </c>
      <c r="B24" s="6" t="s">
        <v>325</v>
      </c>
      <c r="C24" s="39" t="s">
        <v>690</v>
      </c>
    </row>
    <row r="25" spans="1:3" ht="7.9" customHeight="1" x14ac:dyDescent="0.2">
      <c r="A25" s="6" t="s">
        <v>326</v>
      </c>
      <c r="B25" s="6" t="s">
        <v>327</v>
      </c>
      <c r="C25" s="39" t="s">
        <v>691</v>
      </c>
    </row>
    <row r="26" spans="1:3" ht="7.9" customHeight="1" x14ac:dyDescent="0.2">
      <c r="A26" s="36" t="s">
        <v>686</v>
      </c>
      <c r="B26" s="37" t="s">
        <v>687</v>
      </c>
      <c r="C26" s="39" t="s">
        <v>692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32"/>
  <sheetViews>
    <sheetView tabSelected="1" topLeftCell="Q1" zoomScale="250" zoomScaleNormal="250" workbookViewId="0">
      <pane ySplit="1" topLeftCell="A2" activePane="bottomLeft" state="frozen"/>
      <selection pane="bottomLeft" activeCell="V4" sqref="V4"/>
    </sheetView>
  </sheetViews>
  <sheetFormatPr defaultRowHeight="6.75" customHeight="1" x14ac:dyDescent="0.2"/>
  <cols>
    <col min="1" max="1" width="2" bestFit="1" customWidth="1"/>
    <col min="2" max="2" width="5.6640625" style="27" bestFit="1" customWidth="1"/>
    <col min="3" max="3" width="7" style="27" bestFit="1" customWidth="1"/>
    <col min="4" max="4" width="10.1640625" style="27" customWidth="1"/>
    <col min="5" max="5" width="9.6640625" style="27" customWidth="1"/>
    <col min="6" max="6" width="14.6640625" style="27" customWidth="1"/>
    <col min="7" max="11" width="8.5" style="27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5" style="27" bestFit="1" customWidth="1"/>
    <col min="19" max="19" width="7" bestFit="1" customWidth="1"/>
    <col min="20" max="20" width="8.83203125" customWidth="1"/>
    <col min="21" max="21" width="8" customWidth="1"/>
    <col min="22" max="22" width="10" bestFit="1" customWidth="1"/>
    <col min="23" max="23" width="10.33203125" style="27" customWidth="1"/>
    <col min="24" max="24" width="8.1640625" bestFit="1" customWidth="1"/>
    <col min="25" max="25" width="5.6640625" bestFit="1" customWidth="1"/>
    <col min="26" max="26" width="8.1640625" customWidth="1"/>
    <col min="27" max="27" width="79.33203125" bestFit="1" customWidth="1"/>
  </cols>
  <sheetData>
    <row r="1" spans="1:27" ht="26.25" customHeight="1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7" t="s">
        <v>679</v>
      </c>
      <c r="S1" s="17" t="s">
        <v>634</v>
      </c>
      <c r="T1" s="17" t="s">
        <v>654</v>
      </c>
      <c r="U1" s="17" t="s">
        <v>636</v>
      </c>
      <c r="V1" s="17" t="s">
        <v>635</v>
      </c>
      <c r="W1" s="56" t="s">
        <v>655</v>
      </c>
      <c r="X1" s="17" t="s">
        <v>683</v>
      </c>
      <c r="Y1" s="17" t="s">
        <v>684</v>
      </c>
      <c r="Z1" s="17" t="s">
        <v>656</v>
      </c>
      <c r="AA1" s="34" t="s">
        <v>685</v>
      </c>
    </row>
    <row r="2" spans="1:27" s="27" customFormat="1" ht="6.75" customHeight="1" x14ac:dyDescent="0.2">
      <c r="A2" s="46">
        <v>2</v>
      </c>
      <c r="B2" s="47" t="s">
        <v>831</v>
      </c>
      <c r="C2" s="47" t="s">
        <v>706</v>
      </c>
      <c r="D2" s="47" t="s">
        <v>708</v>
      </c>
      <c r="E2" s="48" t="s">
        <v>832</v>
      </c>
      <c r="F2" s="48" t="s">
        <v>707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50" t="str">
        <f t="shared" ref="L2:M6" si="0">CONCATENATE("", C2)</f>
        <v>Gestão</v>
      </c>
      <c r="M2" s="50" t="str">
        <f t="shared" si="0"/>
        <v>Informação</v>
      </c>
      <c r="N2" s="50" t="str">
        <f t="shared" ref="N2:O6" si="1">(SUBSTITUTE(SUBSTITUTE(CONCATENATE("",E2),"."," ")," De "," de "))</f>
        <v>Contêineres</v>
      </c>
      <c r="O2" s="50" t="str">
        <f t="shared" si="1"/>
        <v>Contêiner</v>
      </c>
      <c r="P2" s="35" t="s">
        <v>833</v>
      </c>
      <c r="Q2" s="35" t="s">
        <v>834</v>
      </c>
      <c r="R2" s="35" t="s">
        <v>321</v>
      </c>
      <c r="S2" s="35" t="str">
        <f t="shared" ref="S2:U6" si="2">SUBSTITUTE(C2, ".", " ")</f>
        <v>Gestão</v>
      </c>
      <c r="T2" s="35" t="str">
        <f t="shared" si="2"/>
        <v>Informação</v>
      </c>
      <c r="U2" s="35" t="str">
        <f t="shared" si="2"/>
        <v>Contêineres</v>
      </c>
      <c r="V2" s="35" t="s">
        <v>709</v>
      </c>
      <c r="W2" s="55" t="str">
        <f>CONCATENATE("Key-ABNT-",A2)</f>
        <v>Key-ABNT-2</v>
      </c>
      <c r="X2" s="35" t="s">
        <v>321</v>
      </c>
      <c r="Y2" s="35" t="s">
        <v>321</v>
      </c>
      <c r="Z2" s="35" t="s">
        <v>835</v>
      </c>
      <c r="AA2" s="35" t="str">
        <f t="shared" ref="AA2:AA6" si="3">_xlfn.TRANSLATE(P2,"pt","en")</f>
        <v>Defines an information container in accordance with the NBR 19650-1 standard. Project Definition.</v>
      </c>
    </row>
    <row r="3" spans="1:27" s="27" customFormat="1" ht="6.75" customHeight="1" x14ac:dyDescent="0.2">
      <c r="A3" s="46">
        <v>3</v>
      </c>
      <c r="B3" s="47" t="s">
        <v>831</v>
      </c>
      <c r="C3" s="47" t="s">
        <v>706</v>
      </c>
      <c r="D3" s="47" t="s">
        <v>708</v>
      </c>
      <c r="E3" s="48" t="s">
        <v>832</v>
      </c>
      <c r="F3" s="48" t="s">
        <v>710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50" t="str">
        <f t="shared" si="0"/>
        <v>Gestão</v>
      </c>
      <c r="M3" s="50" t="str">
        <f t="shared" si="0"/>
        <v>Informação</v>
      </c>
      <c r="N3" s="50" t="str">
        <f t="shared" si="1"/>
        <v>Contêineres</v>
      </c>
      <c r="O3" s="50" t="str">
        <f t="shared" si="1"/>
        <v>Requisito Espacial</v>
      </c>
      <c r="P3" s="35" t="s">
        <v>836</v>
      </c>
      <c r="Q3" s="35" t="s">
        <v>834</v>
      </c>
      <c r="R3" s="35" t="s">
        <v>321</v>
      </c>
      <c r="S3" s="35" t="str">
        <f t="shared" si="2"/>
        <v>Gestão</v>
      </c>
      <c r="T3" s="35" t="str">
        <f t="shared" si="2"/>
        <v>Informação</v>
      </c>
      <c r="U3" s="35" t="str">
        <f t="shared" si="2"/>
        <v>Contêineres</v>
      </c>
      <c r="V3" s="35" t="s">
        <v>709</v>
      </c>
      <c r="W3" s="55" t="str">
        <f t="shared" ref="W3:W32" si="4">CONCATENATE("Key-ABNT-",A3)</f>
        <v>Key-ABNT-3</v>
      </c>
      <c r="X3" s="35" t="s">
        <v>321</v>
      </c>
      <c r="Y3" s="35" t="s">
        <v>321</v>
      </c>
      <c r="Z3" s="35" t="s">
        <v>321</v>
      </c>
      <c r="AA3" s="35" t="str">
        <f t="shared" si="3"/>
        <v>Defines an information container in accordance with the NBR 19650-1 standard. Spatial Requirements for the Project.</v>
      </c>
    </row>
    <row r="4" spans="1:27" s="27" customFormat="1" ht="6.75" customHeight="1" x14ac:dyDescent="0.2">
      <c r="A4" s="46">
        <v>4</v>
      </c>
      <c r="B4" s="47" t="s">
        <v>831</v>
      </c>
      <c r="C4" s="47" t="s">
        <v>706</v>
      </c>
      <c r="D4" s="47" t="s">
        <v>708</v>
      </c>
      <c r="E4" s="48" t="s">
        <v>832</v>
      </c>
      <c r="F4" s="48" t="s">
        <v>711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50" t="str">
        <f t="shared" si="0"/>
        <v>Gestão</v>
      </c>
      <c r="M4" s="50" t="str">
        <f t="shared" si="0"/>
        <v>Informação</v>
      </c>
      <c r="N4" s="50" t="str">
        <f t="shared" si="1"/>
        <v>Contêineres</v>
      </c>
      <c r="O4" s="50" t="str">
        <f t="shared" si="1"/>
        <v>Requisito Mobiliário</v>
      </c>
      <c r="P4" s="35" t="s">
        <v>837</v>
      </c>
      <c r="Q4" s="35" t="s">
        <v>834</v>
      </c>
      <c r="R4" s="35" t="s">
        <v>321</v>
      </c>
      <c r="S4" s="35" t="str">
        <f t="shared" si="2"/>
        <v>Gestão</v>
      </c>
      <c r="T4" s="35" t="str">
        <f t="shared" si="2"/>
        <v>Informação</v>
      </c>
      <c r="U4" s="35" t="str">
        <f t="shared" si="2"/>
        <v>Contêineres</v>
      </c>
      <c r="V4" s="35" t="s">
        <v>709</v>
      </c>
      <c r="W4" s="55" t="str">
        <f t="shared" si="4"/>
        <v>Key-ABNT-4</v>
      </c>
      <c r="X4" s="35" t="s">
        <v>321</v>
      </c>
      <c r="Y4" s="35" t="s">
        <v>321</v>
      </c>
      <c r="Z4" s="35" t="s">
        <v>321</v>
      </c>
      <c r="AA4" s="35" t="str">
        <f t="shared" si="3"/>
        <v>Defines an information container in accordance with the NBR 19650-1 standard. Furniture Requirements for the Project.</v>
      </c>
    </row>
    <row r="5" spans="1:27" s="27" customFormat="1" ht="6.75" customHeight="1" x14ac:dyDescent="0.2">
      <c r="A5" s="46">
        <v>5</v>
      </c>
      <c r="B5" s="47" t="s">
        <v>831</v>
      </c>
      <c r="C5" s="47" t="s">
        <v>706</v>
      </c>
      <c r="D5" s="47" t="s">
        <v>708</v>
      </c>
      <c r="E5" s="48" t="s">
        <v>832</v>
      </c>
      <c r="F5" s="48" t="s">
        <v>712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50" t="str">
        <f t="shared" si="0"/>
        <v>Gestão</v>
      </c>
      <c r="M5" s="50" t="str">
        <f t="shared" si="0"/>
        <v>Informação</v>
      </c>
      <c r="N5" s="50" t="str">
        <f t="shared" si="1"/>
        <v>Contêineres</v>
      </c>
      <c r="O5" s="50" t="str">
        <f t="shared" si="1"/>
        <v>Requisito Equipamento</v>
      </c>
      <c r="P5" s="35" t="s">
        <v>838</v>
      </c>
      <c r="Q5" s="35" t="s">
        <v>834</v>
      </c>
      <c r="R5" s="35" t="s">
        <v>321</v>
      </c>
      <c r="S5" s="35" t="str">
        <f t="shared" si="2"/>
        <v>Gestão</v>
      </c>
      <c r="T5" s="35" t="str">
        <f t="shared" si="2"/>
        <v>Informação</v>
      </c>
      <c r="U5" s="35" t="str">
        <f t="shared" si="2"/>
        <v>Contêineres</v>
      </c>
      <c r="V5" s="35" t="s">
        <v>709</v>
      </c>
      <c r="W5" s="55" t="str">
        <f t="shared" si="4"/>
        <v>Key-ABNT-5</v>
      </c>
      <c r="X5" s="35" t="s">
        <v>321</v>
      </c>
      <c r="Y5" s="35" t="s">
        <v>321</v>
      </c>
      <c r="Z5" s="35" t="s">
        <v>321</v>
      </c>
      <c r="AA5" s="35" t="str">
        <f t="shared" si="3"/>
        <v>Defines an information container in accordance with the NBR 19650-1 standard. Equipment Requirements for the Project.</v>
      </c>
    </row>
    <row r="6" spans="1:27" s="27" customFormat="1" ht="6.75" customHeight="1" x14ac:dyDescent="0.2">
      <c r="A6" s="46">
        <v>6</v>
      </c>
      <c r="B6" s="47" t="s">
        <v>831</v>
      </c>
      <c r="C6" s="47" t="s">
        <v>706</v>
      </c>
      <c r="D6" s="47" t="s">
        <v>708</v>
      </c>
      <c r="E6" s="48" t="s">
        <v>832</v>
      </c>
      <c r="F6" s="48" t="s">
        <v>713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50" t="str">
        <f t="shared" si="0"/>
        <v>Gestão</v>
      </c>
      <c r="M6" s="50" t="str">
        <f t="shared" si="0"/>
        <v>Informação</v>
      </c>
      <c r="N6" s="50" t="str">
        <f t="shared" si="1"/>
        <v>Contêineres</v>
      </c>
      <c r="O6" s="50" t="str">
        <f t="shared" si="1"/>
        <v>Requisito Sistemas</v>
      </c>
      <c r="P6" s="35" t="s">
        <v>839</v>
      </c>
      <c r="Q6" s="35" t="s">
        <v>834</v>
      </c>
      <c r="R6" s="35" t="s">
        <v>321</v>
      </c>
      <c r="S6" s="35" t="str">
        <f t="shared" si="2"/>
        <v>Gestão</v>
      </c>
      <c r="T6" s="35" t="str">
        <f t="shared" si="2"/>
        <v>Informação</v>
      </c>
      <c r="U6" s="35" t="str">
        <f t="shared" si="2"/>
        <v>Contêineres</v>
      </c>
      <c r="V6" s="35" t="s">
        <v>709</v>
      </c>
      <c r="W6" s="55" t="str">
        <f t="shared" si="4"/>
        <v>Key-ABNT-6</v>
      </c>
      <c r="X6" s="35" t="s">
        <v>321</v>
      </c>
      <c r="Y6" s="35" t="s">
        <v>321</v>
      </c>
      <c r="Z6" s="35" t="s">
        <v>321</v>
      </c>
      <c r="AA6" s="35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46">
        <v>7</v>
      </c>
      <c r="B7" s="47" t="s">
        <v>831</v>
      </c>
      <c r="C7" s="26" t="s">
        <v>678</v>
      </c>
      <c r="D7" s="26" t="s">
        <v>656</v>
      </c>
      <c r="E7" s="26" t="s">
        <v>773</v>
      </c>
      <c r="F7" s="19" t="s">
        <v>774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50" t="str">
        <f t="shared" ref="L7:N17" si="5">CONCATENATE("", C7)</f>
        <v>Norma</v>
      </c>
      <c r="M7" s="50" t="str">
        <f t="shared" si="5"/>
        <v>ABNT</v>
      </c>
      <c r="N7" s="50" t="str">
        <f t="shared" si="5"/>
        <v>NBR.Parte</v>
      </c>
      <c r="O7" s="50" t="str">
        <f t="shared" ref="O7:O32" si="6">F7</f>
        <v>NBR.0M</v>
      </c>
      <c r="P7" s="50" t="s">
        <v>714</v>
      </c>
      <c r="Q7" s="50" t="s">
        <v>715</v>
      </c>
      <c r="R7" s="35" t="s">
        <v>321</v>
      </c>
      <c r="S7" s="51" t="str">
        <f t="shared" ref="S7:U22" si="7">SUBSTITUTE(C7, "_", " ")</f>
        <v>Norma</v>
      </c>
      <c r="T7" s="51" t="str">
        <f t="shared" si="7"/>
        <v>ABNT</v>
      </c>
      <c r="U7" s="50" t="str">
        <f t="shared" si="7"/>
        <v>NBR.Parte</v>
      </c>
      <c r="V7" s="35" t="s">
        <v>709</v>
      </c>
      <c r="W7" s="55" t="str">
        <f t="shared" si="4"/>
        <v>Key-ABNT-7</v>
      </c>
      <c r="X7" s="35" t="s">
        <v>321</v>
      </c>
      <c r="Y7" s="35" t="s">
        <v>321</v>
      </c>
      <c r="Z7" s="35" t="s">
        <v>716</v>
      </c>
      <c r="AA7" s="52" t="s">
        <v>717</v>
      </c>
    </row>
    <row r="8" spans="1:27" ht="6.75" customHeight="1" x14ac:dyDescent="0.2">
      <c r="A8" s="46">
        <v>8</v>
      </c>
      <c r="B8" s="47" t="s">
        <v>831</v>
      </c>
      <c r="C8" s="26" t="s">
        <v>678</v>
      </c>
      <c r="D8" s="26" t="s">
        <v>656</v>
      </c>
      <c r="E8" s="26" t="s">
        <v>773</v>
      </c>
      <c r="F8" s="19" t="s">
        <v>775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50" t="str">
        <f t="shared" si="5"/>
        <v>Norma</v>
      </c>
      <c r="M8" s="50" t="str">
        <f t="shared" si="5"/>
        <v>ABNT</v>
      </c>
      <c r="N8" s="50" t="str">
        <f t="shared" si="5"/>
        <v>NBR.Parte</v>
      </c>
      <c r="O8" s="50" t="str">
        <f t="shared" si="6"/>
        <v>NBR.0P</v>
      </c>
      <c r="P8" s="50" t="s">
        <v>718</v>
      </c>
      <c r="Q8" s="50" t="s">
        <v>719</v>
      </c>
      <c r="R8" s="35" t="s">
        <v>321</v>
      </c>
      <c r="S8" s="51" t="str">
        <f t="shared" si="7"/>
        <v>Norma</v>
      </c>
      <c r="T8" s="51" t="str">
        <f t="shared" si="7"/>
        <v>ABNT</v>
      </c>
      <c r="U8" s="50" t="str">
        <f t="shared" si="7"/>
        <v>NBR.Parte</v>
      </c>
      <c r="V8" s="35" t="s">
        <v>709</v>
      </c>
      <c r="W8" s="55" t="str">
        <f t="shared" si="4"/>
        <v>Key-ABNT-8</v>
      </c>
      <c r="X8" s="35" t="s">
        <v>321</v>
      </c>
      <c r="Y8" s="35" t="s">
        <v>321</v>
      </c>
      <c r="Z8" s="35" t="s">
        <v>720</v>
      </c>
      <c r="AA8" s="52" t="s">
        <v>721</v>
      </c>
    </row>
    <row r="9" spans="1:27" ht="6.75" customHeight="1" x14ac:dyDescent="0.2">
      <c r="A9" s="46">
        <v>9</v>
      </c>
      <c r="B9" s="47" t="s">
        <v>831</v>
      </c>
      <c r="C9" s="26" t="s">
        <v>678</v>
      </c>
      <c r="D9" s="26" t="s">
        <v>656</v>
      </c>
      <c r="E9" s="26" t="s">
        <v>773</v>
      </c>
      <c r="F9" s="19" t="s">
        <v>776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50" t="str">
        <f t="shared" si="5"/>
        <v>Norma</v>
      </c>
      <c r="M9" s="50" t="str">
        <f t="shared" si="5"/>
        <v>ABNT</v>
      </c>
      <c r="N9" s="50" t="str">
        <f t="shared" si="5"/>
        <v>NBR.Parte</v>
      </c>
      <c r="O9" s="50" t="str">
        <f t="shared" si="6"/>
        <v>NBR.1D</v>
      </c>
      <c r="P9" s="50" t="s">
        <v>722</v>
      </c>
      <c r="Q9" s="50" t="s">
        <v>723</v>
      </c>
      <c r="R9" s="35" t="s">
        <v>321</v>
      </c>
      <c r="S9" s="51" t="str">
        <f t="shared" si="7"/>
        <v>Norma</v>
      </c>
      <c r="T9" s="51" t="str">
        <f t="shared" si="7"/>
        <v>ABNT</v>
      </c>
      <c r="U9" s="50" t="str">
        <f t="shared" si="7"/>
        <v>NBR.Parte</v>
      </c>
      <c r="V9" s="35" t="s">
        <v>709</v>
      </c>
      <c r="W9" s="55" t="str">
        <f t="shared" si="4"/>
        <v>Key-ABNT-9</v>
      </c>
      <c r="X9" s="35" t="s">
        <v>321</v>
      </c>
      <c r="Y9" s="35" t="s">
        <v>321</v>
      </c>
      <c r="Z9" s="35" t="s">
        <v>724</v>
      </c>
      <c r="AA9" s="52" t="s">
        <v>725</v>
      </c>
    </row>
    <row r="10" spans="1:27" ht="6.75" customHeight="1" x14ac:dyDescent="0.2">
      <c r="A10" s="46">
        <v>10</v>
      </c>
      <c r="B10" s="47" t="s">
        <v>831</v>
      </c>
      <c r="C10" s="26" t="s">
        <v>678</v>
      </c>
      <c r="D10" s="26" t="s">
        <v>656</v>
      </c>
      <c r="E10" s="26" t="s">
        <v>773</v>
      </c>
      <c r="F10" s="19" t="s">
        <v>777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50" t="str">
        <f t="shared" si="5"/>
        <v>Norma</v>
      </c>
      <c r="M10" s="50" t="str">
        <f t="shared" si="5"/>
        <v>ABNT</v>
      </c>
      <c r="N10" s="50" t="str">
        <f t="shared" si="5"/>
        <v>NBR.Parte</v>
      </c>
      <c r="O10" s="50" t="str">
        <f t="shared" si="6"/>
        <v>NBR.1F</v>
      </c>
      <c r="P10" s="50" t="s">
        <v>726</v>
      </c>
      <c r="Q10" s="50" t="s">
        <v>727</v>
      </c>
      <c r="R10" s="35" t="s">
        <v>321</v>
      </c>
      <c r="S10" s="51" t="str">
        <f t="shared" si="7"/>
        <v>Norma</v>
      </c>
      <c r="T10" s="51" t="str">
        <f t="shared" si="7"/>
        <v>ABNT</v>
      </c>
      <c r="U10" s="50" t="str">
        <f t="shared" si="7"/>
        <v>NBR.Parte</v>
      </c>
      <c r="V10" s="35" t="s">
        <v>709</v>
      </c>
      <c r="W10" s="55" t="str">
        <f t="shared" si="4"/>
        <v>Key-ABNT-10</v>
      </c>
      <c r="X10" s="35" t="s">
        <v>321</v>
      </c>
      <c r="Y10" s="35" t="s">
        <v>321</v>
      </c>
      <c r="Z10" s="35" t="s">
        <v>728</v>
      </c>
      <c r="AA10" s="52" t="s">
        <v>729</v>
      </c>
    </row>
    <row r="11" spans="1:27" ht="6.75" customHeight="1" x14ac:dyDescent="0.2">
      <c r="A11" s="46">
        <v>11</v>
      </c>
      <c r="B11" s="47" t="s">
        <v>831</v>
      </c>
      <c r="C11" s="26" t="s">
        <v>678</v>
      </c>
      <c r="D11" s="26" t="s">
        <v>656</v>
      </c>
      <c r="E11" s="26" t="s">
        <v>773</v>
      </c>
      <c r="F11" s="19" t="s">
        <v>778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50" t="str">
        <f t="shared" si="5"/>
        <v>Norma</v>
      </c>
      <c r="M11" s="50" t="str">
        <f t="shared" si="5"/>
        <v>ABNT</v>
      </c>
      <c r="N11" s="50" t="str">
        <f t="shared" si="5"/>
        <v>NBR.Parte</v>
      </c>
      <c r="O11" s="50" t="str">
        <f t="shared" si="6"/>
        <v>NBR.1S</v>
      </c>
      <c r="P11" s="50" t="s">
        <v>730</v>
      </c>
      <c r="Q11" s="50" t="s">
        <v>731</v>
      </c>
      <c r="R11" s="35" t="s">
        <v>321</v>
      </c>
      <c r="S11" s="51" t="str">
        <f t="shared" si="7"/>
        <v>Norma</v>
      </c>
      <c r="T11" s="51" t="str">
        <f t="shared" si="7"/>
        <v>ABNT</v>
      </c>
      <c r="U11" s="50" t="str">
        <f t="shared" si="7"/>
        <v>NBR.Parte</v>
      </c>
      <c r="V11" s="35" t="s">
        <v>709</v>
      </c>
      <c r="W11" s="55" t="str">
        <f t="shared" si="4"/>
        <v>Key-ABNT-11</v>
      </c>
      <c r="X11" s="35" t="s">
        <v>321</v>
      </c>
      <c r="Y11" s="35" t="s">
        <v>321</v>
      </c>
      <c r="Z11" s="35" t="s">
        <v>624</v>
      </c>
      <c r="AA11" s="52" t="s">
        <v>732</v>
      </c>
    </row>
    <row r="12" spans="1:27" ht="6.75" customHeight="1" x14ac:dyDescent="0.2">
      <c r="A12" s="46">
        <v>12</v>
      </c>
      <c r="B12" s="47" t="s">
        <v>831</v>
      </c>
      <c r="C12" s="26" t="s">
        <v>678</v>
      </c>
      <c r="D12" s="26" t="s">
        <v>656</v>
      </c>
      <c r="E12" s="26" t="s">
        <v>773</v>
      </c>
      <c r="F12" s="19" t="s">
        <v>779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50" t="str">
        <f t="shared" si="5"/>
        <v>Norma</v>
      </c>
      <c r="M12" s="50" t="str">
        <f t="shared" si="5"/>
        <v>ABNT</v>
      </c>
      <c r="N12" s="50" t="str">
        <f t="shared" si="5"/>
        <v>NBR.Parte</v>
      </c>
      <c r="O12" s="50" t="str">
        <f t="shared" si="6"/>
        <v>NBR.2C</v>
      </c>
      <c r="P12" s="50" t="s">
        <v>733</v>
      </c>
      <c r="Q12" s="50" t="s">
        <v>734</v>
      </c>
      <c r="R12" s="35" t="s">
        <v>321</v>
      </c>
      <c r="S12" s="51" t="str">
        <f t="shared" si="7"/>
        <v>Norma</v>
      </c>
      <c r="T12" s="51" t="str">
        <f t="shared" si="7"/>
        <v>ABNT</v>
      </c>
      <c r="U12" s="50" t="str">
        <f t="shared" si="7"/>
        <v>NBR.Parte</v>
      </c>
      <c r="V12" s="35" t="s">
        <v>709</v>
      </c>
      <c r="W12" s="55" t="str">
        <f t="shared" si="4"/>
        <v>Key-ABNT-12</v>
      </c>
      <c r="X12" s="35" t="s">
        <v>321</v>
      </c>
      <c r="Y12" s="35" t="s">
        <v>321</v>
      </c>
      <c r="Z12" s="35" t="s">
        <v>735</v>
      </c>
      <c r="AA12" s="52" t="s">
        <v>736</v>
      </c>
    </row>
    <row r="13" spans="1:27" ht="6.75" customHeight="1" x14ac:dyDescent="0.2">
      <c r="A13" s="46">
        <v>13</v>
      </c>
      <c r="B13" s="47" t="s">
        <v>831</v>
      </c>
      <c r="C13" s="26" t="s">
        <v>678</v>
      </c>
      <c r="D13" s="26" t="s">
        <v>656</v>
      </c>
      <c r="E13" s="26" t="s">
        <v>773</v>
      </c>
      <c r="F13" s="19" t="s">
        <v>780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50" t="str">
        <f t="shared" si="5"/>
        <v>Norma</v>
      </c>
      <c r="M13" s="50" t="str">
        <f t="shared" si="5"/>
        <v>ABNT</v>
      </c>
      <c r="N13" s="50" t="str">
        <f t="shared" si="5"/>
        <v>NBR.Parte</v>
      </c>
      <c r="O13" s="50" t="str">
        <f t="shared" si="6"/>
        <v>NBR.2N</v>
      </c>
      <c r="P13" s="50" t="s">
        <v>733</v>
      </c>
      <c r="Q13" s="50" t="s">
        <v>734</v>
      </c>
      <c r="R13" s="35" t="s">
        <v>321</v>
      </c>
      <c r="S13" s="51" t="str">
        <f t="shared" si="7"/>
        <v>Norma</v>
      </c>
      <c r="T13" s="51" t="str">
        <f t="shared" si="7"/>
        <v>ABNT</v>
      </c>
      <c r="U13" s="50" t="str">
        <f t="shared" si="7"/>
        <v>NBR.Parte</v>
      </c>
      <c r="V13" s="35" t="s">
        <v>709</v>
      </c>
      <c r="W13" s="55" t="str">
        <f t="shared" si="4"/>
        <v>Key-ABNT-13</v>
      </c>
      <c r="X13" s="35" t="s">
        <v>321</v>
      </c>
      <c r="Y13" s="35" t="s">
        <v>321</v>
      </c>
      <c r="Z13" s="35" t="s">
        <v>737</v>
      </c>
      <c r="AA13" s="52" t="s">
        <v>736</v>
      </c>
    </row>
    <row r="14" spans="1:27" ht="6.75" customHeight="1" x14ac:dyDescent="0.2">
      <c r="A14" s="46">
        <v>14</v>
      </c>
      <c r="B14" s="47" t="s">
        <v>831</v>
      </c>
      <c r="C14" s="26" t="s">
        <v>678</v>
      </c>
      <c r="D14" s="26" t="s">
        <v>656</v>
      </c>
      <c r="E14" s="26" t="s">
        <v>773</v>
      </c>
      <c r="F14" s="19" t="s">
        <v>781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50" t="str">
        <f t="shared" si="5"/>
        <v>Norma</v>
      </c>
      <c r="M14" s="50" t="str">
        <f t="shared" si="5"/>
        <v>ABNT</v>
      </c>
      <c r="N14" s="50" t="str">
        <f t="shared" si="5"/>
        <v>NBR.Parte</v>
      </c>
      <c r="O14" s="50" t="str">
        <f t="shared" si="6"/>
        <v>NBR.2Q</v>
      </c>
      <c r="P14" s="50" t="s">
        <v>733</v>
      </c>
      <c r="Q14" s="50" t="s">
        <v>734</v>
      </c>
      <c r="R14" s="35" t="s">
        <v>321</v>
      </c>
      <c r="S14" s="51" t="str">
        <f t="shared" si="7"/>
        <v>Norma</v>
      </c>
      <c r="T14" s="51" t="str">
        <f t="shared" si="7"/>
        <v>ABNT</v>
      </c>
      <c r="U14" s="50" t="str">
        <f t="shared" si="7"/>
        <v>NBR.Parte</v>
      </c>
      <c r="V14" s="35" t="s">
        <v>709</v>
      </c>
      <c r="W14" s="55" t="str">
        <f t="shared" si="4"/>
        <v>Key-ABNT-14</v>
      </c>
      <c r="X14" s="35" t="s">
        <v>321</v>
      </c>
      <c r="Y14" s="35" t="s">
        <v>321</v>
      </c>
      <c r="Z14" s="35" t="s">
        <v>738</v>
      </c>
      <c r="AA14" s="52" t="s">
        <v>736</v>
      </c>
    </row>
    <row r="15" spans="1:27" ht="6.75" customHeight="1" x14ac:dyDescent="0.2">
      <c r="A15" s="46">
        <v>15</v>
      </c>
      <c r="B15" s="47" t="s">
        <v>831</v>
      </c>
      <c r="C15" s="26" t="s">
        <v>678</v>
      </c>
      <c r="D15" s="26" t="s">
        <v>656</v>
      </c>
      <c r="E15" s="26" t="s">
        <v>773</v>
      </c>
      <c r="F15" s="19" t="s">
        <v>782</v>
      </c>
      <c r="G15" s="29" t="s">
        <v>321</v>
      </c>
      <c r="H15" s="29" t="s">
        <v>321</v>
      </c>
      <c r="I15" s="29" t="s">
        <v>321</v>
      </c>
      <c r="J15" s="29" t="s">
        <v>321</v>
      </c>
      <c r="K15" s="29" t="s">
        <v>321</v>
      </c>
      <c r="L15" s="50" t="str">
        <f t="shared" si="5"/>
        <v>Norma</v>
      </c>
      <c r="M15" s="50" t="str">
        <f t="shared" si="5"/>
        <v>ABNT</v>
      </c>
      <c r="N15" s="50" t="str">
        <f t="shared" si="5"/>
        <v>NBR.Parte</v>
      </c>
      <c r="O15" s="50" t="str">
        <f t="shared" si="6"/>
        <v>NBR.3E</v>
      </c>
      <c r="P15" s="50" t="s">
        <v>739</v>
      </c>
      <c r="Q15" s="50" t="s">
        <v>740</v>
      </c>
      <c r="R15" s="35" t="s">
        <v>321</v>
      </c>
      <c r="S15" s="51" t="str">
        <f t="shared" si="7"/>
        <v>Norma</v>
      </c>
      <c r="T15" s="51" t="str">
        <f t="shared" si="7"/>
        <v>ABNT</v>
      </c>
      <c r="U15" s="50" t="str">
        <f t="shared" si="7"/>
        <v>NBR.Parte</v>
      </c>
      <c r="V15" s="35" t="s">
        <v>709</v>
      </c>
      <c r="W15" s="55" t="str">
        <f t="shared" si="4"/>
        <v>Key-ABNT-15</v>
      </c>
      <c r="X15" s="35" t="s">
        <v>321</v>
      </c>
      <c r="Y15" s="35" t="s">
        <v>321</v>
      </c>
      <c r="Z15" s="35" t="s">
        <v>741</v>
      </c>
      <c r="AA15" s="52" t="s">
        <v>742</v>
      </c>
    </row>
    <row r="16" spans="1:27" ht="6.75" customHeight="1" x14ac:dyDescent="0.2">
      <c r="A16" s="46">
        <v>16</v>
      </c>
      <c r="B16" s="47" t="s">
        <v>831</v>
      </c>
      <c r="C16" s="26" t="s">
        <v>678</v>
      </c>
      <c r="D16" s="26" t="s">
        <v>656</v>
      </c>
      <c r="E16" s="26" t="s">
        <v>773</v>
      </c>
      <c r="F16" s="19" t="s">
        <v>783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50" t="str">
        <f t="shared" si="5"/>
        <v>Norma</v>
      </c>
      <c r="M16" s="50" t="str">
        <f t="shared" si="5"/>
        <v>ABNT</v>
      </c>
      <c r="N16" s="50" t="str">
        <f t="shared" si="5"/>
        <v>NBR.Parte</v>
      </c>
      <c r="O16" s="50" t="str">
        <f t="shared" si="6"/>
        <v>NBR.3R</v>
      </c>
      <c r="P16" s="50" t="s">
        <v>743</v>
      </c>
      <c r="Q16" s="50" t="s">
        <v>744</v>
      </c>
      <c r="R16" s="35" t="s">
        <v>321</v>
      </c>
      <c r="S16" s="51" t="str">
        <f t="shared" si="7"/>
        <v>Norma</v>
      </c>
      <c r="T16" s="51" t="str">
        <f t="shared" si="7"/>
        <v>ABNT</v>
      </c>
      <c r="U16" s="50" t="str">
        <f t="shared" si="7"/>
        <v>NBR.Parte</v>
      </c>
      <c r="V16" s="35" t="s">
        <v>709</v>
      </c>
      <c r="W16" s="55" t="str">
        <f t="shared" si="4"/>
        <v>Key-ABNT-16</v>
      </c>
      <c r="X16" s="35" t="s">
        <v>321</v>
      </c>
      <c r="Y16" s="35" t="s">
        <v>321</v>
      </c>
      <c r="Z16" s="35" t="s">
        <v>745</v>
      </c>
      <c r="AA16" s="52" t="s">
        <v>746</v>
      </c>
    </row>
    <row r="17" spans="1:27" ht="6.75" customHeight="1" x14ac:dyDescent="0.2">
      <c r="A17" s="46">
        <v>17</v>
      </c>
      <c r="B17" s="47" t="s">
        <v>831</v>
      </c>
      <c r="C17" s="26" t="s">
        <v>678</v>
      </c>
      <c r="D17" s="26" t="s">
        <v>656</v>
      </c>
      <c r="E17" s="26" t="s">
        <v>773</v>
      </c>
      <c r="F17" s="19" t="s">
        <v>784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50" t="str">
        <f t="shared" si="5"/>
        <v>Norma</v>
      </c>
      <c r="M17" s="50" t="str">
        <f t="shared" si="5"/>
        <v>ABNT</v>
      </c>
      <c r="N17" s="50" t="str">
        <f t="shared" si="5"/>
        <v>NBR.Parte</v>
      </c>
      <c r="O17" s="50" t="str">
        <f t="shared" si="6"/>
        <v>NBR.4A</v>
      </c>
      <c r="P17" s="50" t="s">
        <v>747</v>
      </c>
      <c r="Q17" s="50" t="s">
        <v>748</v>
      </c>
      <c r="R17" s="35" t="s">
        <v>321</v>
      </c>
      <c r="S17" s="51" t="str">
        <f t="shared" si="7"/>
        <v>Norma</v>
      </c>
      <c r="T17" s="51" t="str">
        <f t="shared" si="7"/>
        <v>ABNT</v>
      </c>
      <c r="U17" s="50" t="str">
        <f t="shared" si="7"/>
        <v>NBR.Parte</v>
      </c>
      <c r="V17" s="35" t="s">
        <v>709</v>
      </c>
      <c r="W17" s="55" t="str">
        <f t="shared" si="4"/>
        <v>Key-ABNT-17</v>
      </c>
      <c r="X17" s="35" t="s">
        <v>321</v>
      </c>
      <c r="Y17" s="35" t="s">
        <v>321</v>
      </c>
      <c r="Z17" s="35" t="s">
        <v>749</v>
      </c>
      <c r="AA17" s="52" t="s">
        <v>750</v>
      </c>
    </row>
    <row r="18" spans="1:27" ht="6.75" customHeight="1" x14ac:dyDescent="0.2">
      <c r="A18" s="46">
        <v>18</v>
      </c>
      <c r="B18" s="47" t="s">
        <v>831</v>
      </c>
      <c r="C18" s="26" t="s">
        <v>678</v>
      </c>
      <c r="D18" s="26" t="s">
        <v>656</v>
      </c>
      <c r="E18" s="26" t="s">
        <v>773</v>
      </c>
      <c r="F18" s="19" t="s">
        <v>785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50" t="str">
        <f t="shared" ref="L18:N32" si="8">CONCATENATE("", C18)</f>
        <v>Norma</v>
      </c>
      <c r="M18" s="50" t="str">
        <f t="shared" si="8"/>
        <v>ABNT</v>
      </c>
      <c r="N18" s="50" t="str">
        <f t="shared" si="8"/>
        <v>NBR.Parte</v>
      </c>
      <c r="O18" s="50" t="str">
        <f t="shared" si="6"/>
        <v>NBR.4U</v>
      </c>
      <c r="P18" s="50" t="s">
        <v>751</v>
      </c>
      <c r="Q18" s="50" t="s">
        <v>752</v>
      </c>
      <c r="R18" s="35" t="s">
        <v>321</v>
      </c>
      <c r="S18" s="51" t="str">
        <f t="shared" si="7"/>
        <v>Norma</v>
      </c>
      <c r="T18" s="51" t="str">
        <f t="shared" si="7"/>
        <v>ABNT</v>
      </c>
      <c r="U18" s="50" t="str">
        <f t="shared" si="7"/>
        <v>NBR.Parte</v>
      </c>
      <c r="V18" s="35" t="s">
        <v>709</v>
      </c>
      <c r="W18" s="55" t="str">
        <f t="shared" si="4"/>
        <v>Key-ABNT-18</v>
      </c>
      <c r="X18" s="35" t="s">
        <v>321</v>
      </c>
      <c r="Y18" s="35" t="s">
        <v>321</v>
      </c>
      <c r="Z18" s="35" t="s">
        <v>753</v>
      </c>
      <c r="AA18" s="52" t="s">
        <v>754</v>
      </c>
    </row>
    <row r="19" spans="1:27" ht="6.75" customHeight="1" x14ac:dyDescent="0.2">
      <c r="A19" s="46">
        <v>19</v>
      </c>
      <c r="B19" s="47" t="s">
        <v>831</v>
      </c>
      <c r="C19" s="26" t="s">
        <v>678</v>
      </c>
      <c r="D19" s="26" t="s">
        <v>656</v>
      </c>
      <c r="E19" s="26" t="s">
        <v>773</v>
      </c>
      <c r="F19" s="19" t="s">
        <v>786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50" t="str">
        <f t="shared" si="8"/>
        <v>Norma</v>
      </c>
      <c r="M19" s="50" t="str">
        <f t="shared" si="8"/>
        <v>ABNT</v>
      </c>
      <c r="N19" s="50" t="str">
        <f t="shared" si="8"/>
        <v>NBR.Parte</v>
      </c>
      <c r="O19" s="50" t="str">
        <f t="shared" si="6"/>
        <v>NBR.5I</v>
      </c>
      <c r="P19" s="50" t="s">
        <v>755</v>
      </c>
      <c r="Q19" s="50" t="s">
        <v>756</v>
      </c>
      <c r="R19" s="35" t="s">
        <v>321</v>
      </c>
      <c r="S19" s="51" t="str">
        <f t="shared" si="7"/>
        <v>Norma</v>
      </c>
      <c r="T19" s="51" t="str">
        <f t="shared" si="7"/>
        <v>ABNT</v>
      </c>
      <c r="U19" s="50" t="str">
        <f t="shared" si="7"/>
        <v>NBR.Parte</v>
      </c>
      <c r="V19" s="35" t="s">
        <v>709</v>
      </c>
      <c r="W19" s="55" t="str">
        <f t="shared" si="4"/>
        <v>Key-ABNT-19</v>
      </c>
      <c r="X19" s="35" t="s">
        <v>321</v>
      </c>
      <c r="Y19" s="35" t="s">
        <v>321</v>
      </c>
      <c r="Z19" s="35" t="s">
        <v>757</v>
      </c>
      <c r="AA19" s="52" t="s">
        <v>758</v>
      </c>
    </row>
    <row r="20" spans="1:27" ht="6.75" customHeight="1" x14ac:dyDescent="0.2">
      <c r="A20" s="46">
        <v>20</v>
      </c>
      <c r="B20" s="47" t="s">
        <v>831</v>
      </c>
      <c r="C20" s="26" t="s">
        <v>787</v>
      </c>
      <c r="D20" s="26" t="s">
        <v>788</v>
      </c>
      <c r="E20" s="26" t="s">
        <v>828</v>
      </c>
      <c r="F20" s="12" t="s">
        <v>815</v>
      </c>
      <c r="G20" s="49" t="s">
        <v>321</v>
      </c>
      <c r="H20" s="49" t="s">
        <v>321</v>
      </c>
      <c r="I20" s="49" t="s">
        <v>321</v>
      </c>
      <c r="J20" s="49" t="s">
        <v>321</v>
      </c>
      <c r="K20" s="49" t="s">
        <v>321</v>
      </c>
      <c r="L20" s="50" t="str">
        <f t="shared" si="8"/>
        <v>NBR.Tema</v>
      </c>
      <c r="M20" s="50" t="str">
        <f t="shared" si="8"/>
        <v>NBR.Subtema</v>
      </c>
      <c r="N20" s="50" t="str">
        <f t="shared" si="8"/>
        <v>NBR.Serviços</v>
      </c>
      <c r="O20" s="50" t="str">
        <f t="shared" si="6"/>
        <v>NBR.S.Transacional</v>
      </c>
      <c r="P20" s="35" t="s">
        <v>791</v>
      </c>
      <c r="Q20" s="35" t="str">
        <f>_xlfn.TRANSLATE(P20,"pt","es")</f>
        <v>Servicios transaccionales</v>
      </c>
      <c r="R20" s="35" t="s">
        <v>321</v>
      </c>
      <c r="S20" s="51" t="str">
        <f t="shared" si="7"/>
        <v>NBR.Tema</v>
      </c>
      <c r="T20" s="51" t="str">
        <f t="shared" si="7"/>
        <v>NBR.Subtema</v>
      </c>
      <c r="U20" s="50" t="str">
        <f t="shared" si="7"/>
        <v>NBR.Serviços</v>
      </c>
      <c r="V20" s="35" t="s">
        <v>709</v>
      </c>
      <c r="W20" s="55" t="str">
        <f t="shared" si="4"/>
        <v>Key-ABNT-20</v>
      </c>
      <c r="X20" s="35" t="s">
        <v>321</v>
      </c>
      <c r="Y20" s="35" t="s">
        <v>321</v>
      </c>
      <c r="Z20" s="51" t="s">
        <v>789</v>
      </c>
      <c r="AA20" s="35" t="str">
        <f>_xlfn.TRANSLATE(P20,"pt","en")</f>
        <v>Transactional services</v>
      </c>
    </row>
    <row r="21" spans="1:27" ht="6.75" customHeight="1" x14ac:dyDescent="0.2">
      <c r="A21" s="46">
        <v>21</v>
      </c>
      <c r="B21" s="47" t="s">
        <v>831</v>
      </c>
      <c r="C21" s="26" t="s">
        <v>787</v>
      </c>
      <c r="D21" s="26" t="s">
        <v>788</v>
      </c>
      <c r="E21" s="26" t="s">
        <v>828</v>
      </c>
      <c r="F21" s="12" t="s">
        <v>816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50" t="str">
        <f t="shared" si="8"/>
        <v>NBR.Tema</v>
      </c>
      <c r="M21" s="50" t="str">
        <f t="shared" si="8"/>
        <v>NBR.Subtema</v>
      </c>
      <c r="N21" s="50" t="str">
        <f t="shared" si="8"/>
        <v>NBR.Serviços</v>
      </c>
      <c r="O21" s="50" t="str">
        <f t="shared" si="6"/>
        <v>NBR.S.Administrativo</v>
      </c>
      <c r="P21" s="50" t="s">
        <v>792</v>
      </c>
      <c r="Q21" s="35" t="str">
        <f t="shared" ref="Q21:Q32" si="9">_xlfn.TRANSLATE(P21,"pt","es")</f>
        <v>Servicios administrativos</v>
      </c>
      <c r="R21" s="35" t="s">
        <v>321</v>
      </c>
      <c r="S21" s="51" t="str">
        <f t="shared" si="7"/>
        <v>NBR.Tema</v>
      </c>
      <c r="T21" s="51" t="str">
        <f t="shared" si="7"/>
        <v>NBR.Subtema</v>
      </c>
      <c r="U21" s="50" t="str">
        <f t="shared" si="7"/>
        <v>NBR.Serviços</v>
      </c>
      <c r="V21" s="35" t="s">
        <v>709</v>
      </c>
      <c r="W21" s="55" t="str">
        <f t="shared" si="4"/>
        <v>Key-ABNT-21</v>
      </c>
      <c r="X21" s="35" t="s">
        <v>321</v>
      </c>
      <c r="Y21" s="35" t="s">
        <v>321</v>
      </c>
      <c r="Z21" s="51" t="s">
        <v>790</v>
      </c>
      <c r="AA21" s="35" t="str">
        <f t="shared" ref="AA21:AA32" si="10">_xlfn.TRANSLATE(P21,"pt","en")</f>
        <v>Administrative services</v>
      </c>
    </row>
    <row r="22" spans="1:27" ht="6.75" customHeight="1" x14ac:dyDescent="0.2">
      <c r="A22" s="46">
        <v>22</v>
      </c>
      <c r="B22" s="47" t="s">
        <v>831</v>
      </c>
      <c r="C22" s="26" t="s">
        <v>787</v>
      </c>
      <c r="D22" s="26" t="s">
        <v>788</v>
      </c>
      <c r="E22" s="26" t="s">
        <v>828</v>
      </c>
      <c r="F22" s="12" t="s">
        <v>817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50" t="str">
        <f t="shared" si="8"/>
        <v>NBR.Tema</v>
      </c>
      <c r="M22" s="50" t="str">
        <f t="shared" si="8"/>
        <v>NBR.Subtema</v>
      </c>
      <c r="N22" s="50" t="str">
        <f t="shared" si="8"/>
        <v>NBR.Serviços</v>
      </c>
      <c r="O22" s="50" t="str">
        <f t="shared" si="6"/>
        <v>NBR.S.Comunicação</v>
      </c>
      <c r="P22" s="50" t="s">
        <v>793</v>
      </c>
      <c r="Q22" s="35" t="str">
        <f t="shared" si="9"/>
        <v>Servicios de comunicación</v>
      </c>
      <c r="R22" s="35" t="s">
        <v>321</v>
      </c>
      <c r="S22" s="51" t="str">
        <f t="shared" si="7"/>
        <v>NBR.Tema</v>
      </c>
      <c r="T22" s="51" t="str">
        <f t="shared" si="7"/>
        <v>NBR.Subtema</v>
      </c>
      <c r="U22" s="50" t="str">
        <f t="shared" si="7"/>
        <v>NBR.Serviços</v>
      </c>
      <c r="V22" s="35" t="s">
        <v>709</v>
      </c>
      <c r="W22" s="55" t="str">
        <f t="shared" si="4"/>
        <v>Key-ABNT-22</v>
      </c>
      <c r="X22" s="35" t="s">
        <v>321</v>
      </c>
      <c r="Y22" s="35" t="s">
        <v>321</v>
      </c>
      <c r="Z22" s="51" t="s">
        <v>804</v>
      </c>
      <c r="AA22" s="35" t="str">
        <f t="shared" si="10"/>
        <v>Communication Services</v>
      </c>
    </row>
    <row r="23" spans="1:27" ht="6.75" customHeight="1" x14ac:dyDescent="0.2">
      <c r="A23" s="46">
        <v>23</v>
      </c>
      <c r="B23" s="47" t="s">
        <v>831</v>
      </c>
      <c r="C23" s="26" t="s">
        <v>787</v>
      </c>
      <c r="D23" s="26" t="s">
        <v>788</v>
      </c>
      <c r="E23" s="26" t="s">
        <v>828</v>
      </c>
      <c r="F23" s="12" t="s">
        <v>818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50" t="str">
        <f t="shared" si="8"/>
        <v>NBR.Tema</v>
      </c>
      <c r="M23" s="50" t="str">
        <f t="shared" si="8"/>
        <v>NBR.Subtema</v>
      </c>
      <c r="N23" s="50" t="str">
        <f t="shared" si="8"/>
        <v>NBR.Serviços</v>
      </c>
      <c r="O23" s="50" t="str">
        <f t="shared" si="6"/>
        <v>NBR.S.Conceituação</v>
      </c>
      <c r="P23" s="50" t="s">
        <v>794</v>
      </c>
      <c r="Q23" s="35" t="str">
        <f t="shared" si="9"/>
        <v>Servicios de Conceptualización</v>
      </c>
      <c r="R23" s="35" t="s">
        <v>321</v>
      </c>
      <c r="S23" s="51" t="str">
        <f t="shared" ref="S23:U32" si="11">SUBSTITUTE(C23, "_", " ")</f>
        <v>NBR.Tema</v>
      </c>
      <c r="T23" s="51" t="str">
        <f t="shared" si="11"/>
        <v>NBR.Subtema</v>
      </c>
      <c r="U23" s="50" t="str">
        <f t="shared" si="11"/>
        <v>NBR.Serviços</v>
      </c>
      <c r="V23" s="35" t="s">
        <v>709</v>
      </c>
      <c r="W23" s="55" t="str">
        <f t="shared" si="4"/>
        <v>Key-ABNT-23</v>
      </c>
      <c r="X23" s="35" t="s">
        <v>321</v>
      </c>
      <c r="Y23" s="35" t="s">
        <v>321</v>
      </c>
      <c r="Z23" s="51" t="s">
        <v>805</v>
      </c>
      <c r="AA23" s="35" t="str">
        <f t="shared" si="10"/>
        <v>Conceptualization Services</v>
      </c>
    </row>
    <row r="24" spans="1:27" ht="6.75" customHeight="1" x14ac:dyDescent="0.2">
      <c r="A24" s="46">
        <v>24</v>
      </c>
      <c r="B24" s="47" t="s">
        <v>831</v>
      </c>
      <c r="C24" s="26" t="s">
        <v>787</v>
      </c>
      <c r="D24" s="26" t="s">
        <v>788</v>
      </c>
      <c r="E24" s="26" t="s">
        <v>828</v>
      </c>
      <c r="F24" s="12" t="s">
        <v>819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50" t="str">
        <f t="shared" si="8"/>
        <v>NBR.Tema</v>
      </c>
      <c r="M24" s="50" t="str">
        <f t="shared" si="8"/>
        <v>NBR.Subtema</v>
      </c>
      <c r="N24" s="50" t="str">
        <f t="shared" si="8"/>
        <v>NBR.Serviços</v>
      </c>
      <c r="O24" s="50" t="str">
        <f t="shared" si="6"/>
        <v>NBR.S.Informação</v>
      </c>
      <c r="P24" s="50" t="s">
        <v>795</v>
      </c>
      <c r="Q24" s="35" t="str">
        <f t="shared" si="9"/>
        <v>Servicios de información</v>
      </c>
      <c r="R24" s="35" t="s">
        <v>321</v>
      </c>
      <c r="S24" s="51" t="str">
        <f t="shared" si="11"/>
        <v>NBR.Tema</v>
      </c>
      <c r="T24" s="51" t="str">
        <f t="shared" si="11"/>
        <v>NBR.Subtema</v>
      </c>
      <c r="U24" s="50" t="str">
        <f t="shared" si="11"/>
        <v>NBR.Serviços</v>
      </c>
      <c r="V24" s="35" t="s">
        <v>709</v>
      </c>
      <c r="W24" s="55" t="str">
        <f t="shared" si="4"/>
        <v>Key-ABNT-24</v>
      </c>
      <c r="X24" s="35" t="s">
        <v>321</v>
      </c>
      <c r="Y24" s="35" t="s">
        <v>321</v>
      </c>
      <c r="Z24" s="51" t="s">
        <v>808</v>
      </c>
      <c r="AA24" s="35" t="str">
        <f t="shared" si="10"/>
        <v>Information services</v>
      </c>
    </row>
    <row r="25" spans="1:27" ht="6.75" customHeight="1" x14ac:dyDescent="0.2">
      <c r="A25" s="46">
        <v>25</v>
      </c>
      <c r="B25" s="47" t="s">
        <v>831</v>
      </c>
      <c r="C25" s="26" t="s">
        <v>787</v>
      </c>
      <c r="D25" s="26" t="s">
        <v>788</v>
      </c>
      <c r="E25" s="26" t="s">
        <v>828</v>
      </c>
      <c r="F25" s="12" t="s">
        <v>820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50" t="str">
        <f t="shared" si="8"/>
        <v>NBR.Tema</v>
      </c>
      <c r="M25" s="50" t="str">
        <f t="shared" si="8"/>
        <v>NBR.Subtema</v>
      </c>
      <c r="N25" s="50" t="str">
        <f t="shared" si="8"/>
        <v>NBR.Serviços</v>
      </c>
      <c r="O25" s="50" t="str">
        <f t="shared" si="6"/>
        <v>NBR.S.Organização</v>
      </c>
      <c r="P25" s="50" t="s">
        <v>796</v>
      </c>
      <c r="Q25" s="35" t="str">
        <f t="shared" si="9"/>
        <v>Servicios de organización</v>
      </c>
      <c r="R25" s="35" t="s">
        <v>321</v>
      </c>
      <c r="S25" s="51" t="str">
        <f t="shared" si="11"/>
        <v>NBR.Tema</v>
      </c>
      <c r="T25" s="51" t="str">
        <f t="shared" si="11"/>
        <v>NBR.Subtema</v>
      </c>
      <c r="U25" s="50" t="str">
        <f t="shared" si="11"/>
        <v>NBR.Serviços</v>
      </c>
      <c r="V25" s="35" t="s">
        <v>709</v>
      </c>
      <c r="W25" s="55" t="str">
        <f t="shared" si="4"/>
        <v>Key-ABNT-25</v>
      </c>
      <c r="X25" s="35" t="s">
        <v>321</v>
      </c>
      <c r="Y25" s="35" t="s">
        <v>321</v>
      </c>
      <c r="Z25" s="51" t="s">
        <v>809</v>
      </c>
      <c r="AA25" s="35" t="str">
        <f t="shared" si="10"/>
        <v>Organization Services</v>
      </c>
    </row>
    <row r="26" spans="1:27" ht="6.75" customHeight="1" x14ac:dyDescent="0.2">
      <c r="A26" s="46">
        <v>26</v>
      </c>
      <c r="B26" s="47" t="s">
        <v>831</v>
      </c>
      <c r="C26" s="26" t="s">
        <v>787</v>
      </c>
      <c r="D26" s="26" t="s">
        <v>788</v>
      </c>
      <c r="E26" s="26" t="s">
        <v>828</v>
      </c>
      <c r="F26" s="12" t="s">
        <v>821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50" t="str">
        <f t="shared" si="8"/>
        <v>NBR.Tema</v>
      </c>
      <c r="M26" s="50" t="str">
        <f t="shared" si="8"/>
        <v>NBR.Subtema</v>
      </c>
      <c r="N26" s="50" t="str">
        <f t="shared" si="8"/>
        <v>NBR.Serviços</v>
      </c>
      <c r="O26" s="50" t="str">
        <f t="shared" si="6"/>
        <v>NBR.S.Projetual</v>
      </c>
      <c r="P26" s="50" t="s">
        <v>797</v>
      </c>
      <c r="Q26" s="35" t="str">
        <f t="shared" si="9"/>
        <v>Servicios de Desarrollo de Proyectos</v>
      </c>
      <c r="R26" s="35" t="s">
        <v>321</v>
      </c>
      <c r="S26" s="51" t="str">
        <f t="shared" si="11"/>
        <v>NBR.Tema</v>
      </c>
      <c r="T26" s="51" t="str">
        <f t="shared" si="11"/>
        <v>NBR.Subtema</v>
      </c>
      <c r="U26" s="50" t="str">
        <f t="shared" si="11"/>
        <v>NBR.Serviços</v>
      </c>
      <c r="V26" s="35" t="s">
        <v>709</v>
      </c>
      <c r="W26" s="55" t="str">
        <f t="shared" si="4"/>
        <v>Key-ABNT-26</v>
      </c>
      <c r="X26" s="35" t="s">
        <v>321</v>
      </c>
      <c r="Y26" s="35" t="s">
        <v>321</v>
      </c>
      <c r="Z26" s="51" t="s">
        <v>806</v>
      </c>
      <c r="AA26" s="35" t="str">
        <f t="shared" si="10"/>
        <v>Project Development Services</v>
      </c>
    </row>
    <row r="27" spans="1:27" ht="6.75" customHeight="1" x14ac:dyDescent="0.2">
      <c r="A27" s="46">
        <v>27</v>
      </c>
      <c r="B27" s="47" t="s">
        <v>831</v>
      </c>
      <c r="C27" s="26" t="s">
        <v>787</v>
      </c>
      <c r="D27" s="26" t="s">
        <v>788</v>
      </c>
      <c r="E27" s="26" t="s">
        <v>828</v>
      </c>
      <c r="F27" s="12" t="s">
        <v>822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50" t="str">
        <f t="shared" si="8"/>
        <v>NBR.Tema</v>
      </c>
      <c r="M27" s="50" t="str">
        <f t="shared" si="8"/>
        <v>NBR.Subtema</v>
      </c>
      <c r="N27" s="50" t="str">
        <f t="shared" si="8"/>
        <v>NBR.Serviços</v>
      </c>
      <c r="O27" s="50" t="str">
        <f t="shared" si="6"/>
        <v>NBR.S.Documental</v>
      </c>
      <c r="P27" s="50" t="s">
        <v>798</v>
      </c>
      <c r="Q27" s="35" t="str">
        <f t="shared" si="9"/>
        <v>Servicios de Documentos</v>
      </c>
      <c r="R27" s="35" t="s">
        <v>321</v>
      </c>
      <c r="S27" s="51" t="str">
        <f t="shared" si="11"/>
        <v>NBR.Tema</v>
      </c>
      <c r="T27" s="51" t="str">
        <f t="shared" si="11"/>
        <v>NBR.Subtema</v>
      </c>
      <c r="U27" s="50" t="str">
        <f t="shared" si="11"/>
        <v>NBR.Serviços</v>
      </c>
      <c r="V27" s="35" t="s">
        <v>709</v>
      </c>
      <c r="W27" s="55" t="str">
        <f t="shared" si="4"/>
        <v>Key-ABNT-27</v>
      </c>
      <c r="X27" s="35" t="s">
        <v>321</v>
      </c>
      <c r="Y27" s="35" t="s">
        <v>321</v>
      </c>
      <c r="Z27" s="51" t="s">
        <v>807</v>
      </c>
      <c r="AA27" s="35" t="str">
        <f t="shared" si="10"/>
        <v>Document Services</v>
      </c>
    </row>
    <row r="28" spans="1:27" ht="6.75" customHeight="1" x14ac:dyDescent="0.2">
      <c r="A28" s="46">
        <v>28</v>
      </c>
      <c r="B28" s="47" t="s">
        <v>831</v>
      </c>
      <c r="C28" s="26" t="s">
        <v>787</v>
      </c>
      <c r="D28" s="26" t="s">
        <v>788</v>
      </c>
      <c r="E28" s="26" t="s">
        <v>828</v>
      </c>
      <c r="F28" s="12" t="s">
        <v>823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50" t="str">
        <f t="shared" si="8"/>
        <v>NBR.Tema</v>
      </c>
      <c r="M28" s="50" t="str">
        <f t="shared" si="8"/>
        <v>NBR.Subtema</v>
      </c>
      <c r="N28" s="50" t="str">
        <f t="shared" si="8"/>
        <v>NBR.Serviços</v>
      </c>
      <c r="O28" s="50" t="str">
        <f t="shared" si="6"/>
        <v>NBR.S.Implementação</v>
      </c>
      <c r="P28" s="50" t="s">
        <v>799</v>
      </c>
      <c r="Q28" s="35" t="str">
        <f t="shared" si="9"/>
        <v>Servicios de Implementación</v>
      </c>
      <c r="R28" s="35" t="s">
        <v>321</v>
      </c>
      <c r="S28" s="51" t="str">
        <f t="shared" si="11"/>
        <v>NBR.Tema</v>
      </c>
      <c r="T28" s="51" t="str">
        <f t="shared" si="11"/>
        <v>NBR.Subtema</v>
      </c>
      <c r="U28" s="50" t="str">
        <f t="shared" si="11"/>
        <v>NBR.Serviços</v>
      </c>
      <c r="V28" s="35" t="s">
        <v>709</v>
      </c>
      <c r="W28" s="55" t="str">
        <f t="shared" si="4"/>
        <v>Key-ABNT-28</v>
      </c>
      <c r="X28" s="35" t="s">
        <v>321</v>
      </c>
      <c r="Y28" s="35" t="s">
        <v>321</v>
      </c>
      <c r="Z28" s="51" t="s">
        <v>810</v>
      </c>
      <c r="AA28" s="35" t="str">
        <f t="shared" si="10"/>
        <v>Implementation Services</v>
      </c>
    </row>
    <row r="29" spans="1:27" ht="6.75" customHeight="1" x14ac:dyDescent="0.2">
      <c r="A29" s="46">
        <v>29</v>
      </c>
      <c r="B29" s="47" t="s">
        <v>831</v>
      </c>
      <c r="C29" s="26" t="s">
        <v>787</v>
      </c>
      <c r="D29" s="26" t="s">
        <v>788</v>
      </c>
      <c r="E29" s="26" t="s">
        <v>828</v>
      </c>
      <c r="F29" s="12" t="s">
        <v>824</v>
      </c>
      <c r="G29" s="29" t="s">
        <v>321</v>
      </c>
      <c r="H29" s="29" t="s">
        <v>321</v>
      </c>
      <c r="I29" s="29" t="s">
        <v>321</v>
      </c>
      <c r="J29" s="29" t="s">
        <v>321</v>
      </c>
      <c r="K29" s="29" t="s">
        <v>321</v>
      </c>
      <c r="L29" s="50" t="str">
        <f t="shared" si="8"/>
        <v>NBR.Tema</v>
      </c>
      <c r="M29" s="50" t="str">
        <f t="shared" si="8"/>
        <v>NBR.Subtema</v>
      </c>
      <c r="N29" s="50" t="str">
        <f t="shared" si="8"/>
        <v>NBR.Serviços</v>
      </c>
      <c r="O29" s="50" t="str">
        <f t="shared" si="6"/>
        <v>NBR.S.Operação.Predial</v>
      </c>
      <c r="P29" s="50" t="s">
        <v>800</v>
      </c>
      <c r="Q29" s="35" t="str">
        <f t="shared" si="9"/>
        <v>Servicios de Operación de Edificios</v>
      </c>
      <c r="R29" s="35" t="s">
        <v>321</v>
      </c>
      <c r="S29" s="51" t="str">
        <f t="shared" si="11"/>
        <v>NBR.Tema</v>
      </c>
      <c r="T29" s="51" t="str">
        <f t="shared" si="11"/>
        <v>NBR.Subtema</v>
      </c>
      <c r="U29" s="50" t="str">
        <f t="shared" si="11"/>
        <v>NBR.Serviços</v>
      </c>
      <c r="V29" s="35" t="s">
        <v>709</v>
      </c>
      <c r="W29" s="55" t="str">
        <f t="shared" si="4"/>
        <v>Key-ABNT-29</v>
      </c>
      <c r="X29" s="35" t="s">
        <v>321</v>
      </c>
      <c r="Y29" s="35" t="s">
        <v>321</v>
      </c>
      <c r="Z29" s="51" t="s">
        <v>811</v>
      </c>
      <c r="AA29" s="35" t="str">
        <f t="shared" si="10"/>
        <v>Building Operation Services</v>
      </c>
    </row>
    <row r="30" spans="1:27" ht="6.75" customHeight="1" x14ac:dyDescent="0.2">
      <c r="A30" s="46">
        <v>30</v>
      </c>
      <c r="B30" s="47" t="s">
        <v>831</v>
      </c>
      <c r="C30" s="26" t="s">
        <v>787</v>
      </c>
      <c r="D30" s="26" t="s">
        <v>788</v>
      </c>
      <c r="E30" s="26" t="s">
        <v>828</v>
      </c>
      <c r="F30" s="12" t="s">
        <v>825</v>
      </c>
      <c r="G30" s="29" t="s">
        <v>321</v>
      </c>
      <c r="H30" s="29" t="s">
        <v>321</v>
      </c>
      <c r="I30" s="29" t="s">
        <v>321</v>
      </c>
      <c r="J30" s="29" t="s">
        <v>321</v>
      </c>
      <c r="K30" s="29" t="s">
        <v>321</v>
      </c>
      <c r="L30" s="50" t="str">
        <f t="shared" si="8"/>
        <v>NBR.Tema</v>
      </c>
      <c r="M30" s="50" t="str">
        <f t="shared" si="8"/>
        <v>NBR.Subtema</v>
      </c>
      <c r="N30" s="50" t="str">
        <f t="shared" si="8"/>
        <v>NBR.Serviços</v>
      </c>
      <c r="O30" s="50" t="str">
        <f t="shared" si="6"/>
        <v>NBR.S.Suporte</v>
      </c>
      <c r="P30" s="50" t="s">
        <v>801</v>
      </c>
      <c r="Q30" s="35" t="str">
        <f t="shared" si="9"/>
        <v>Servicios de apoyo</v>
      </c>
      <c r="R30" s="35" t="s">
        <v>321</v>
      </c>
      <c r="S30" s="51" t="str">
        <f t="shared" si="11"/>
        <v>NBR.Tema</v>
      </c>
      <c r="T30" s="51" t="str">
        <f t="shared" si="11"/>
        <v>NBR.Subtema</v>
      </c>
      <c r="U30" s="50" t="str">
        <f t="shared" si="11"/>
        <v>NBR.Serviços</v>
      </c>
      <c r="V30" s="35" t="s">
        <v>709</v>
      </c>
      <c r="W30" s="55" t="str">
        <f t="shared" si="4"/>
        <v>Key-ABNT-30</v>
      </c>
      <c r="X30" s="35" t="s">
        <v>321</v>
      </c>
      <c r="Y30" s="35" t="s">
        <v>321</v>
      </c>
      <c r="Z30" s="51" t="s">
        <v>812</v>
      </c>
      <c r="AA30" s="35" t="str">
        <f t="shared" si="10"/>
        <v>Support Services</v>
      </c>
    </row>
    <row r="31" spans="1:27" ht="6.75" customHeight="1" x14ac:dyDescent="0.2">
      <c r="A31" s="46">
        <v>31</v>
      </c>
      <c r="B31" s="47" t="s">
        <v>831</v>
      </c>
      <c r="C31" s="26" t="s">
        <v>787</v>
      </c>
      <c r="D31" s="26" t="s">
        <v>788</v>
      </c>
      <c r="E31" s="26" t="s">
        <v>828</v>
      </c>
      <c r="F31" s="12" t="s">
        <v>826</v>
      </c>
      <c r="G31" s="29" t="s">
        <v>321</v>
      </c>
      <c r="H31" s="29" t="s">
        <v>321</v>
      </c>
      <c r="I31" s="29" t="s">
        <v>321</v>
      </c>
      <c r="J31" s="29" t="s">
        <v>321</v>
      </c>
      <c r="K31" s="29" t="s">
        <v>321</v>
      </c>
      <c r="L31" s="50" t="str">
        <f t="shared" si="8"/>
        <v>NBR.Tema</v>
      </c>
      <c r="M31" s="50" t="str">
        <f t="shared" si="8"/>
        <v>NBR.Subtema</v>
      </c>
      <c r="N31" s="50" t="str">
        <f t="shared" si="8"/>
        <v>NBR.Serviços</v>
      </c>
      <c r="O31" s="50" t="str">
        <f t="shared" si="6"/>
        <v>NBR.S.Governo</v>
      </c>
      <c r="P31" s="50" t="s">
        <v>802</v>
      </c>
      <c r="Q31" s="35" t="str">
        <f t="shared" si="9"/>
        <v>Servicios gubernamentales</v>
      </c>
      <c r="R31" s="35" t="s">
        <v>321</v>
      </c>
      <c r="S31" s="51" t="str">
        <f t="shared" si="11"/>
        <v>NBR.Tema</v>
      </c>
      <c r="T31" s="51" t="str">
        <f t="shared" si="11"/>
        <v>NBR.Subtema</v>
      </c>
      <c r="U31" s="50" t="str">
        <f t="shared" si="11"/>
        <v>NBR.Serviços</v>
      </c>
      <c r="V31" s="35" t="s">
        <v>709</v>
      </c>
      <c r="W31" s="55" t="str">
        <f t="shared" si="4"/>
        <v>Key-ABNT-31</v>
      </c>
      <c r="X31" s="35" t="s">
        <v>321</v>
      </c>
      <c r="Y31" s="35" t="s">
        <v>321</v>
      </c>
      <c r="Z31" s="51" t="s">
        <v>813</v>
      </c>
      <c r="AA31" s="35" t="str">
        <f t="shared" si="10"/>
        <v>Government Services</v>
      </c>
    </row>
    <row r="32" spans="1:27" ht="6.75" customHeight="1" x14ac:dyDescent="0.2">
      <c r="A32" s="46">
        <v>32</v>
      </c>
      <c r="B32" s="47" t="s">
        <v>831</v>
      </c>
      <c r="C32" s="26" t="s">
        <v>787</v>
      </c>
      <c r="D32" s="26" t="s">
        <v>788</v>
      </c>
      <c r="E32" s="26" t="s">
        <v>828</v>
      </c>
      <c r="F32" s="12" t="s">
        <v>827</v>
      </c>
      <c r="G32" s="29" t="s">
        <v>321</v>
      </c>
      <c r="H32" s="29" t="s">
        <v>321</v>
      </c>
      <c r="I32" s="29" t="s">
        <v>321</v>
      </c>
      <c r="J32" s="29" t="s">
        <v>321</v>
      </c>
      <c r="K32" s="29" t="s">
        <v>321</v>
      </c>
      <c r="L32" s="50" t="str">
        <f t="shared" si="8"/>
        <v>NBR.Tema</v>
      </c>
      <c r="M32" s="50" t="str">
        <f t="shared" si="8"/>
        <v>NBR.Subtema</v>
      </c>
      <c r="N32" s="50" t="str">
        <f t="shared" si="8"/>
        <v>NBR.Serviços</v>
      </c>
      <c r="O32" s="50" t="str">
        <f t="shared" si="6"/>
        <v>NBR.S.Adicional</v>
      </c>
      <c r="P32" s="50" t="s">
        <v>803</v>
      </c>
      <c r="Q32" s="35" t="str">
        <f t="shared" si="9"/>
        <v>Servicios adicionales</v>
      </c>
      <c r="R32" s="35" t="s">
        <v>321</v>
      </c>
      <c r="S32" s="51" t="str">
        <f t="shared" si="11"/>
        <v>NBR.Tema</v>
      </c>
      <c r="T32" s="51" t="str">
        <f t="shared" si="11"/>
        <v>NBR.Subtema</v>
      </c>
      <c r="U32" s="50" t="str">
        <f t="shared" si="11"/>
        <v>NBR.Serviços</v>
      </c>
      <c r="V32" s="35" t="s">
        <v>709</v>
      </c>
      <c r="W32" s="55" t="str">
        <f t="shared" si="4"/>
        <v>Key-ABNT-32</v>
      </c>
      <c r="X32" s="35" t="s">
        <v>321</v>
      </c>
      <c r="Y32" s="35" t="s">
        <v>321</v>
      </c>
      <c r="Z32" s="51" t="s">
        <v>814</v>
      </c>
      <c r="AA32" s="35" t="str">
        <f t="shared" si="10"/>
        <v>Additional services</v>
      </c>
    </row>
  </sheetData>
  <conditionalFormatting sqref="A2:B32">
    <cfRule type="cellIs" dxfId="23" priority="6" operator="equal">
      <formula>"null"</formula>
    </cfRule>
  </conditionalFormatting>
  <conditionalFormatting sqref="F3:F6">
    <cfRule type="duplicateValues" dxfId="22" priority="1"/>
    <cfRule type="duplicateValues" dxfId="21" priority="2"/>
    <cfRule type="duplicateValues" dxfId="20" priority="3"/>
    <cfRule type="duplicateValues" dxfId="19" priority="4"/>
  </conditionalFormatting>
  <conditionalFormatting sqref="F20">
    <cfRule type="duplicateValues" dxfId="18" priority="25"/>
    <cfRule type="duplicateValues" dxfId="17" priority="26"/>
    <cfRule type="duplicateValues" dxfId="16" priority="27"/>
    <cfRule type="duplicateValues" dxfId="15" priority="28"/>
  </conditionalFormatting>
  <conditionalFormatting sqref="AA1:AA32">
    <cfRule type="cellIs" dxfId="14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2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3">
        <v>1</v>
      </c>
      <c r="B1" s="24" t="s">
        <v>320</v>
      </c>
      <c r="C1" s="24" t="s">
        <v>680</v>
      </c>
    </row>
    <row r="2" spans="1:3" x14ac:dyDescent="0.2">
      <c r="A2" s="14">
        <v>2</v>
      </c>
      <c r="B2" s="25" t="s">
        <v>321</v>
      </c>
      <c r="C2" s="25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zoomScale="175" zoomScaleNormal="175" workbookViewId="0">
      <selection activeCell="M4" sqref="M4"/>
    </sheetView>
  </sheetViews>
  <sheetFormatPr defaultRowHeight="7.5" customHeight="1" x14ac:dyDescent="0.2"/>
  <cols>
    <col min="1" max="1" width="3.6640625" style="2" bestFit="1" customWidth="1"/>
    <col min="2" max="2" width="10.33203125" style="2" bestFit="1" customWidth="1"/>
    <col min="3" max="3" width="13.83203125" style="2" customWidth="1"/>
    <col min="4" max="5" width="8" style="2" customWidth="1"/>
    <col min="6" max="6" width="5" bestFit="1" customWidth="1"/>
    <col min="8" max="8" width="4.33203125" customWidth="1"/>
    <col min="9" max="9" width="5.6640625" customWidth="1"/>
    <col min="10" max="10" width="3.6640625" customWidth="1"/>
    <col min="11" max="11" width="7.6640625" bestFit="1" customWidth="1"/>
    <col min="12" max="12" width="5.5" customWidth="1"/>
    <col min="13" max="13" width="27" customWidth="1"/>
    <col min="14" max="14" width="6.33203125" customWidth="1"/>
    <col min="15" max="15" width="32.5" style="32" bestFit="1" customWidth="1"/>
    <col min="17" max="17" width="3.6640625" bestFit="1" customWidth="1"/>
    <col min="19" max="19" width="3.6640625" bestFit="1" customWidth="1"/>
    <col min="20" max="25" width="3.83203125" customWidth="1"/>
  </cols>
  <sheetData>
    <row r="1" spans="1:25" ht="15" customHeight="1" x14ac:dyDescent="0.2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">
      <c r="A2" s="9">
        <v>2</v>
      </c>
      <c r="B2" s="40" t="s">
        <v>625</v>
      </c>
      <c r="C2" s="11" t="s">
        <v>678</v>
      </c>
      <c r="D2" s="53" t="s">
        <v>321</v>
      </c>
      <c r="E2" s="54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759</v>
      </c>
      <c r="L2" s="41" t="s">
        <v>682</v>
      </c>
      <c r="M2" s="33" t="s">
        <v>760</v>
      </c>
      <c r="N2" s="30" t="s">
        <v>1</v>
      </c>
      <c r="O2" s="42" t="s">
        <v>696</v>
      </c>
      <c r="P2" s="41" t="s">
        <v>697</v>
      </c>
      <c r="Q2" s="33" t="s">
        <v>695</v>
      </c>
      <c r="R2" s="41" t="s">
        <v>698</v>
      </c>
      <c r="S2" s="33" t="s">
        <v>695</v>
      </c>
      <c r="T2" s="43" t="s">
        <v>321</v>
      </c>
      <c r="U2" s="44" t="s">
        <v>321</v>
      </c>
      <c r="V2" s="43" t="s">
        <v>321</v>
      </c>
      <c r="W2" s="44" t="s">
        <v>321</v>
      </c>
      <c r="X2" s="43" t="s">
        <v>321</v>
      </c>
      <c r="Y2" s="44" t="s">
        <v>321</v>
      </c>
    </row>
    <row r="3" spans="1:25" ht="7.5" customHeight="1" x14ac:dyDescent="0.2">
      <c r="A3" s="9">
        <v>3</v>
      </c>
      <c r="B3" s="10" t="s">
        <v>631</v>
      </c>
      <c r="C3" s="11" t="s">
        <v>773</v>
      </c>
      <c r="D3" s="53" t="s">
        <v>761</v>
      </c>
      <c r="E3" s="54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759</v>
      </c>
      <c r="L3" s="41" t="s">
        <v>682</v>
      </c>
      <c r="M3" s="33" t="s">
        <v>830</v>
      </c>
      <c r="N3" s="30" t="s">
        <v>1</v>
      </c>
      <c r="O3" s="31" t="s">
        <v>14</v>
      </c>
      <c r="P3" s="41" t="s">
        <v>697</v>
      </c>
      <c r="Q3" s="33" t="s">
        <v>695</v>
      </c>
      <c r="R3" s="41" t="s">
        <v>698</v>
      </c>
      <c r="S3" s="33" t="s">
        <v>695</v>
      </c>
      <c r="T3" s="43" t="s">
        <v>321</v>
      </c>
      <c r="U3" s="44" t="s">
        <v>321</v>
      </c>
      <c r="V3" s="43" t="s">
        <v>321</v>
      </c>
      <c r="W3" s="44" t="s">
        <v>321</v>
      </c>
      <c r="X3" s="43" t="s">
        <v>321</v>
      </c>
      <c r="Y3" s="44" t="s">
        <v>321</v>
      </c>
    </row>
    <row r="4" spans="1:25" ht="7.5" customHeight="1" x14ac:dyDescent="0.2">
      <c r="A4" s="9">
        <v>4</v>
      </c>
      <c r="B4" s="10" t="s">
        <v>624</v>
      </c>
      <c r="C4" s="12" t="s">
        <v>778</v>
      </c>
      <c r="D4" s="53" t="s">
        <v>761</v>
      </c>
      <c r="E4" s="54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759</v>
      </c>
      <c r="L4" s="41" t="s">
        <v>682</v>
      </c>
      <c r="M4" s="33" t="s">
        <v>829</v>
      </c>
      <c r="N4" s="30" t="s">
        <v>1</v>
      </c>
      <c r="O4" s="31" t="s">
        <v>629</v>
      </c>
      <c r="P4" s="41" t="s">
        <v>697</v>
      </c>
      <c r="Q4" s="33" t="s">
        <v>695</v>
      </c>
      <c r="R4" s="41" t="s">
        <v>698</v>
      </c>
      <c r="S4" s="33" t="s">
        <v>695</v>
      </c>
      <c r="T4" s="43" t="s">
        <v>321</v>
      </c>
      <c r="U4" s="44" t="s">
        <v>321</v>
      </c>
      <c r="V4" s="43" t="s">
        <v>321</v>
      </c>
      <c r="W4" s="44" t="s">
        <v>321</v>
      </c>
      <c r="X4" s="43" t="s">
        <v>321</v>
      </c>
      <c r="Y4" s="44" t="s">
        <v>321</v>
      </c>
    </row>
    <row r="5" spans="1:25" ht="7.5" customHeight="1" x14ac:dyDescent="0.2">
      <c r="A5" s="9">
        <v>5</v>
      </c>
      <c r="B5" s="10" t="s">
        <v>328</v>
      </c>
      <c r="C5" s="12" t="s">
        <v>815</v>
      </c>
      <c r="D5" s="53" t="s">
        <v>761</v>
      </c>
      <c r="E5" s="54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682</v>
      </c>
      <c r="M5" s="33" t="s">
        <v>762</v>
      </c>
      <c r="N5" s="30" t="s">
        <v>1</v>
      </c>
      <c r="O5" s="33" t="s">
        <v>18</v>
      </c>
      <c r="P5" s="41" t="s">
        <v>697</v>
      </c>
      <c r="Q5" s="33" t="s">
        <v>695</v>
      </c>
      <c r="R5" s="41" t="s">
        <v>698</v>
      </c>
      <c r="S5" s="33" t="s">
        <v>695</v>
      </c>
      <c r="T5" s="43" t="s">
        <v>321</v>
      </c>
      <c r="U5" s="44" t="s">
        <v>321</v>
      </c>
      <c r="V5" s="43" t="s">
        <v>321</v>
      </c>
      <c r="W5" s="44" t="s">
        <v>321</v>
      </c>
      <c r="X5" s="43" t="s">
        <v>321</v>
      </c>
      <c r="Y5" s="44" t="s">
        <v>321</v>
      </c>
    </row>
    <row r="6" spans="1:25" ht="7.5" customHeight="1" x14ac:dyDescent="0.2">
      <c r="A6" s="9">
        <v>6</v>
      </c>
      <c r="B6" s="13" t="s">
        <v>329</v>
      </c>
      <c r="C6" s="12" t="s">
        <v>815</v>
      </c>
      <c r="D6" s="53" t="s">
        <v>761</v>
      </c>
      <c r="E6" s="54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682</v>
      </c>
      <c r="M6" s="33" t="s">
        <v>762</v>
      </c>
      <c r="N6" s="30" t="s">
        <v>1</v>
      </c>
      <c r="O6" s="33" t="s">
        <v>19</v>
      </c>
      <c r="P6" s="41" t="s">
        <v>697</v>
      </c>
      <c r="Q6" s="33" t="s">
        <v>695</v>
      </c>
      <c r="R6" s="41" t="s">
        <v>698</v>
      </c>
      <c r="S6" s="33" t="s">
        <v>695</v>
      </c>
      <c r="T6" s="43" t="s">
        <v>321</v>
      </c>
      <c r="U6" s="44" t="s">
        <v>321</v>
      </c>
      <c r="V6" s="43" t="s">
        <v>321</v>
      </c>
      <c r="W6" s="44" t="s">
        <v>321</v>
      </c>
      <c r="X6" s="43" t="s">
        <v>321</v>
      </c>
      <c r="Y6" s="44" t="s">
        <v>321</v>
      </c>
    </row>
    <row r="7" spans="1:25" ht="7.5" customHeight="1" x14ac:dyDescent="0.2">
      <c r="A7" s="9">
        <v>7</v>
      </c>
      <c r="B7" s="13" t="s">
        <v>330</v>
      </c>
      <c r="C7" s="12" t="s">
        <v>815</v>
      </c>
      <c r="D7" s="53" t="s">
        <v>761</v>
      </c>
      <c r="E7" s="54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682</v>
      </c>
      <c r="M7" s="33" t="s">
        <v>762</v>
      </c>
      <c r="N7" s="30" t="s">
        <v>1</v>
      </c>
      <c r="O7" s="33" t="s">
        <v>20</v>
      </c>
      <c r="P7" s="41" t="s">
        <v>697</v>
      </c>
      <c r="Q7" s="33" t="s">
        <v>695</v>
      </c>
      <c r="R7" s="41" t="s">
        <v>698</v>
      </c>
      <c r="S7" s="33" t="s">
        <v>695</v>
      </c>
      <c r="T7" s="43" t="s">
        <v>321</v>
      </c>
      <c r="U7" s="44" t="s">
        <v>321</v>
      </c>
      <c r="V7" s="43" t="s">
        <v>321</v>
      </c>
      <c r="W7" s="44" t="s">
        <v>321</v>
      </c>
      <c r="X7" s="43" t="s">
        <v>321</v>
      </c>
      <c r="Y7" s="44" t="s">
        <v>321</v>
      </c>
    </row>
    <row r="8" spans="1:25" ht="7.5" customHeight="1" x14ac:dyDescent="0.2">
      <c r="A8" s="9">
        <v>8</v>
      </c>
      <c r="B8" s="13" t="s">
        <v>331</v>
      </c>
      <c r="C8" s="12" t="s">
        <v>815</v>
      </c>
      <c r="D8" s="53" t="s">
        <v>761</v>
      </c>
      <c r="E8" s="54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682</v>
      </c>
      <c r="M8" s="33" t="s">
        <v>762</v>
      </c>
      <c r="N8" s="30" t="s">
        <v>1</v>
      </c>
      <c r="O8" s="33" t="s">
        <v>21</v>
      </c>
      <c r="P8" s="41" t="s">
        <v>697</v>
      </c>
      <c r="Q8" s="33" t="s">
        <v>695</v>
      </c>
      <c r="R8" s="41" t="s">
        <v>698</v>
      </c>
      <c r="S8" s="33" t="s">
        <v>695</v>
      </c>
      <c r="T8" s="43" t="s">
        <v>321</v>
      </c>
      <c r="U8" s="44" t="s">
        <v>321</v>
      </c>
      <c r="V8" s="43" t="s">
        <v>321</v>
      </c>
      <c r="W8" s="44" t="s">
        <v>321</v>
      </c>
      <c r="X8" s="43" t="s">
        <v>321</v>
      </c>
      <c r="Y8" s="44" t="s">
        <v>321</v>
      </c>
    </row>
    <row r="9" spans="1:25" ht="7.5" customHeight="1" x14ac:dyDescent="0.2">
      <c r="A9" s="9">
        <v>9</v>
      </c>
      <c r="B9" s="13" t="s">
        <v>332</v>
      </c>
      <c r="C9" s="12" t="s">
        <v>815</v>
      </c>
      <c r="D9" s="53" t="s">
        <v>761</v>
      </c>
      <c r="E9" s="54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682</v>
      </c>
      <c r="M9" s="33" t="s">
        <v>762</v>
      </c>
      <c r="N9" s="30" t="s">
        <v>1</v>
      </c>
      <c r="O9" s="33" t="s">
        <v>22</v>
      </c>
      <c r="P9" s="41" t="s">
        <v>697</v>
      </c>
      <c r="Q9" s="33" t="s">
        <v>695</v>
      </c>
      <c r="R9" s="41" t="s">
        <v>698</v>
      </c>
      <c r="S9" s="33" t="s">
        <v>695</v>
      </c>
      <c r="T9" s="43" t="s">
        <v>321</v>
      </c>
      <c r="U9" s="44" t="s">
        <v>321</v>
      </c>
      <c r="V9" s="43" t="s">
        <v>321</v>
      </c>
      <c r="W9" s="44" t="s">
        <v>321</v>
      </c>
      <c r="X9" s="43" t="s">
        <v>321</v>
      </c>
      <c r="Y9" s="44" t="s">
        <v>321</v>
      </c>
    </row>
    <row r="10" spans="1:25" ht="7.5" customHeight="1" x14ac:dyDescent="0.2">
      <c r="A10" s="9">
        <v>10</v>
      </c>
      <c r="B10" s="13" t="s">
        <v>333</v>
      </c>
      <c r="C10" s="12" t="s">
        <v>815</v>
      </c>
      <c r="D10" s="53" t="s">
        <v>761</v>
      </c>
      <c r="E10" s="54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682</v>
      </c>
      <c r="M10" s="33" t="s">
        <v>762</v>
      </c>
      <c r="N10" s="30" t="s">
        <v>1</v>
      </c>
      <c r="O10" s="33" t="s">
        <v>23</v>
      </c>
      <c r="P10" s="41" t="s">
        <v>697</v>
      </c>
      <c r="Q10" s="33" t="s">
        <v>695</v>
      </c>
      <c r="R10" s="41" t="s">
        <v>698</v>
      </c>
      <c r="S10" s="33" t="s">
        <v>695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43" t="s">
        <v>321</v>
      </c>
      <c r="Y10" s="44" t="s">
        <v>321</v>
      </c>
    </row>
    <row r="11" spans="1:25" ht="7.5" customHeight="1" x14ac:dyDescent="0.2">
      <c r="A11" s="9">
        <v>11</v>
      </c>
      <c r="B11" s="13" t="s">
        <v>334</v>
      </c>
      <c r="C11" s="12" t="s">
        <v>815</v>
      </c>
      <c r="D11" s="53" t="s">
        <v>761</v>
      </c>
      <c r="E11" s="54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682</v>
      </c>
      <c r="M11" s="33" t="s">
        <v>762</v>
      </c>
      <c r="N11" s="30" t="s">
        <v>1</v>
      </c>
      <c r="O11" s="33" t="s">
        <v>24</v>
      </c>
      <c r="P11" s="41" t="s">
        <v>697</v>
      </c>
      <c r="Q11" s="33" t="s">
        <v>695</v>
      </c>
      <c r="R11" s="41" t="s">
        <v>698</v>
      </c>
      <c r="S11" s="33" t="s">
        <v>695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43" t="s">
        <v>321</v>
      </c>
      <c r="Y11" s="44" t="s">
        <v>321</v>
      </c>
    </row>
    <row r="12" spans="1:25" ht="7.5" customHeight="1" x14ac:dyDescent="0.2">
      <c r="A12" s="9">
        <v>12</v>
      </c>
      <c r="B12" s="13" t="s">
        <v>335</v>
      </c>
      <c r="C12" s="12" t="s">
        <v>815</v>
      </c>
      <c r="D12" s="53" t="s">
        <v>761</v>
      </c>
      <c r="E12" s="54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682</v>
      </c>
      <c r="M12" s="33" t="s">
        <v>762</v>
      </c>
      <c r="N12" s="30" t="s">
        <v>1</v>
      </c>
      <c r="O12" s="33" t="s">
        <v>25</v>
      </c>
      <c r="P12" s="41" t="s">
        <v>697</v>
      </c>
      <c r="Q12" s="33" t="s">
        <v>695</v>
      </c>
      <c r="R12" s="41" t="s">
        <v>698</v>
      </c>
      <c r="S12" s="33" t="s">
        <v>695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43" t="s">
        <v>321</v>
      </c>
      <c r="Y12" s="44" t="s">
        <v>321</v>
      </c>
    </row>
    <row r="13" spans="1:25" ht="7.5" customHeight="1" x14ac:dyDescent="0.2">
      <c r="A13" s="9">
        <v>13</v>
      </c>
      <c r="B13" s="13" t="s">
        <v>336</v>
      </c>
      <c r="C13" s="12" t="s">
        <v>815</v>
      </c>
      <c r="D13" s="53" t="s">
        <v>761</v>
      </c>
      <c r="E13" s="54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682</v>
      </c>
      <c r="M13" s="33" t="s">
        <v>762</v>
      </c>
      <c r="N13" s="30" t="s">
        <v>1</v>
      </c>
      <c r="O13" s="33" t="s">
        <v>26</v>
      </c>
      <c r="P13" s="41" t="s">
        <v>697</v>
      </c>
      <c r="Q13" s="33" t="s">
        <v>695</v>
      </c>
      <c r="R13" s="41" t="s">
        <v>698</v>
      </c>
      <c r="S13" s="33" t="s">
        <v>695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43" t="s">
        <v>321</v>
      </c>
      <c r="Y13" s="44" t="s">
        <v>321</v>
      </c>
    </row>
    <row r="14" spans="1:25" ht="7.5" customHeight="1" x14ac:dyDescent="0.2">
      <c r="A14" s="9">
        <v>14</v>
      </c>
      <c r="B14" s="13" t="s">
        <v>337</v>
      </c>
      <c r="C14" s="12" t="s">
        <v>815</v>
      </c>
      <c r="D14" s="53" t="s">
        <v>761</v>
      </c>
      <c r="E14" s="54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682</v>
      </c>
      <c r="M14" s="33" t="s">
        <v>762</v>
      </c>
      <c r="N14" s="30" t="s">
        <v>1</v>
      </c>
      <c r="O14" s="33" t="s">
        <v>27</v>
      </c>
      <c r="P14" s="41" t="s">
        <v>697</v>
      </c>
      <c r="Q14" s="33" t="s">
        <v>695</v>
      </c>
      <c r="R14" s="41" t="s">
        <v>698</v>
      </c>
      <c r="S14" s="33" t="s">
        <v>695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43" t="s">
        <v>321</v>
      </c>
      <c r="Y14" s="44" t="s">
        <v>321</v>
      </c>
    </row>
    <row r="15" spans="1:25" ht="7.5" customHeight="1" x14ac:dyDescent="0.2">
      <c r="A15" s="9">
        <v>15</v>
      </c>
      <c r="B15" s="13" t="s">
        <v>338</v>
      </c>
      <c r="C15" s="12" t="s">
        <v>815</v>
      </c>
      <c r="D15" s="53" t="s">
        <v>761</v>
      </c>
      <c r="E15" s="54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682</v>
      </c>
      <c r="M15" s="33" t="s">
        <v>762</v>
      </c>
      <c r="N15" s="30" t="s">
        <v>1</v>
      </c>
      <c r="O15" s="33" t="s">
        <v>28</v>
      </c>
      <c r="P15" s="41" t="s">
        <v>697</v>
      </c>
      <c r="Q15" s="33" t="s">
        <v>695</v>
      </c>
      <c r="R15" s="41" t="s">
        <v>698</v>
      </c>
      <c r="S15" s="33" t="s">
        <v>695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43" t="s">
        <v>321</v>
      </c>
      <c r="Y15" s="44" t="s">
        <v>321</v>
      </c>
    </row>
    <row r="16" spans="1:25" ht="7.5" customHeight="1" x14ac:dyDescent="0.2">
      <c r="A16" s="9">
        <v>16</v>
      </c>
      <c r="B16" s="13" t="s">
        <v>339</v>
      </c>
      <c r="C16" s="12" t="s">
        <v>815</v>
      </c>
      <c r="D16" s="53" t="s">
        <v>761</v>
      </c>
      <c r="E16" s="54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682</v>
      </c>
      <c r="M16" s="33" t="s">
        <v>762</v>
      </c>
      <c r="N16" s="30" t="s">
        <v>1</v>
      </c>
      <c r="O16" s="33" t="s">
        <v>29</v>
      </c>
      <c r="P16" s="41" t="s">
        <v>697</v>
      </c>
      <c r="Q16" s="33" t="s">
        <v>695</v>
      </c>
      <c r="R16" s="41" t="s">
        <v>698</v>
      </c>
      <c r="S16" s="33" t="s">
        <v>695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43" t="s">
        <v>321</v>
      </c>
      <c r="Y16" s="44" t="s">
        <v>321</v>
      </c>
    </row>
    <row r="17" spans="1:25" ht="7.5" customHeight="1" x14ac:dyDescent="0.2">
      <c r="A17" s="9">
        <v>17</v>
      </c>
      <c r="B17" s="13" t="s">
        <v>340</v>
      </c>
      <c r="C17" s="12" t="s">
        <v>815</v>
      </c>
      <c r="D17" s="53" t="s">
        <v>761</v>
      </c>
      <c r="E17" s="54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682</v>
      </c>
      <c r="M17" s="33" t="s">
        <v>762</v>
      </c>
      <c r="N17" s="30" t="s">
        <v>1</v>
      </c>
      <c r="O17" s="33" t="s">
        <v>30</v>
      </c>
      <c r="P17" s="41" t="s">
        <v>697</v>
      </c>
      <c r="Q17" s="33" t="s">
        <v>695</v>
      </c>
      <c r="R17" s="41" t="s">
        <v>698</v>
      </c>
      <c r="S17" s="33" t="s">
        <v>695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43" t="s">
        <v>321</v>
      </c>
      <c r="Y17" s="44" t="s">
        <v>321</v>
      </c>
    </row>
    <row r="18" spans="1:25" ht="7.5" customHeight="1" x14ac:dyDescent="0.2">
      <c r="A18" s="9">
        <v>18</v>
      </c>
      <c r="B18" s="13" t="s">
        <v>341</v>
      </c>
      <c r="C18" s="12" t="s">
        <v>815</v>
      </c>
      <c r="D18" s="53" t="s">
        <v>761</v>
      </c>
      <c r="E18" s="54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682</v>
      </c>
      <c r="M18" s="33" t="s">
        <v>762</v>
      </c>
      <c r="N18" s="30" t="s">
        <v>1</v>
      </c>
      <c r="O18" s="33" t="s">
        <v>31</v>
      </c>
      <c r="P18" s="41" t="s">
        <v>697</v>
      </c>
      <c r="Q18" s="33" t="s">
        <v>695</v>
      </c>
      <c r="R18" s="41" t="s">
        <v>698</v>
      </c>
      <c r="S18" s="33" t="s">
        <v>695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43" t="s">
        <v>321</v>
      </c>
      <c r="Y18" s="44" t="s">
        <v>321</v>
      </c>
    </row>
    <row r="19" spans="1:25" ht="7.5" customHeight="1" x14ac:dyDescent="0.2">
      <c r="A19" s="9">
        <v>19</v>
      </c>
      <c r="B19" s="13" t="s">
        <v>342</v>
      </c>
      <c r="C19" s="12" t="s">
        <v>815</v>
      </c>
      <c r="D19" s="53" t="s">
        <v>761</v>
      </c>
      <c r="E19" s="54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682</v>
      </c>
      <c r="M19" s="33" t="s">
        <v>762</v>
      </c>
      <c r="N19" s="30" t="s">
        <v>1</v>
      </c>
      <c r="O19" s="33" t="s">
        <v>32</v>
      </c>
      <c r="P19" s="41" t="s">
        <v>697</v>
      </c>
      <c r="Q19" s="33" t="s">
        <v>695</v>
      </c>
      <c r="R19" s="41" t="s">
        <v>698</v>
      </c>
      <c r="S19" s="33" t="s">
        <v>695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43" t="s">
        <v>321</v>
      </c>
      <c r="Y19" s="44" t="s">
        <v>321</v>
      </c>
    </row>
    <row r="20" spans="1:25" ht="7.5" customHeight="1" x14ac:dyDescent="0.2">
      <c r="A20" s="9">
        <v>20</v>
      </c>
      <c r="B20" s="13" t="s">
        <v>343</v>
      </c>
      <c r="C20" s="12" t="s">
        <v>815</v>
      </c>
      <c r="D20" s="53" t="s">
        <v>761</v>
      </c>
      <c r="E20" s="54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682</v>
      </c>
      <c r="M20" s="33" t="s">
        <v>762</v>
      </c>
      <c r="N20" s="30" t="s">
        <v>1</v>
      </c>
      <c r="O20" s="33" t="s">
        <v>33</v>
      </c>
      <c r="P20" s="41" t="s">
        <v>697</v>
      </c>
      <c r="Q20" s="33" t="s">
        <v>695</v>
      </c>
      <c r="R20" s="41" t="s">
        <v>698</v>
      </c>
      <c r="S20" s="33" t="s">
        <v>695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43" t="s">
        <v>321</v>
      </c>
      <c r="Y20" s="44" t="s">
        <v>321</v>
      </c>
    </row>
    <row r="21" spans="1:25" ht="7.5" customHeight="1" x14ac:dyDescent="0.2">
      <c r="A21" s="9">
        <v>21</v>
      </c>
      <c r="B21" s="13" t="s">
        <v>344</v>
      </c>
      <c r="C21" s="12" t="s">
        <v>815</v>
      </c>
      <c r="D21" s="53" t="s">
        <v>761</v>
      </c>
      <c r="E21" s="54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682</v>
      </c>
      <c r="M21" s="33" t="s">
        <v>762</v>
      </c>
      <c r="N21" s="30" t="s">
        <v>1</v>
      </c>
      <c r="O21" s="33" t="s">
        <v>34</v>
      </c>
      <c r="P21" s="41" t="s">
        <v>697</v>
      </c>
      <c r="Q21" s="33" t="s">
        <v>695</v>
      </c>
      <c r="R21" s="41" t="s">
        <v>698</v>
      </c>
      <c r="S21" s="33" t="s">
        <v>695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43" t="s">
        <v>321</v>
      </c>
      <c r="Y21" s="44" t="s">
        <v>321</v>
      </c>
    </row>
    <row r="22" spans="1:25" ht="7.5" customHeight="1" x14ac:dyDescent="0.2">
      <c r="A22" s="9">
        <v>22</v>
      </c>
      <c r="B22" s="13" t="s">
        <v>345</v>
      </c>
      <c r="C22" s="12" t="s">
        <v>815</v>
      </c>
      <c r="D22" s="53" t="s">
        <v>761</v>
      </c>
      <c r="E22" s="54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682</v>
      </c>
      <c r="M22" s="33" t="s">
        <v>762</v>
      </c>
      <c r="N22" s="30" t="s">
        <v>1</v>
      </c>
      <c r="O22" s="33" t="s">
        <v>35</v>
      </c>
      <c r="P22" s="41" t="s">
        <v>697</v>
      </c>
      <c r="Q22" s="33" t="s">
        <v>695</v>
      </c>
      <c r="R22" s="41" t="s">
        <v>698</v>
      </c>
      <c r="S22" s="33" t="s">
        <v>695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43" t="s">
        <v>321</v>
      </c>
      <c r="Y22" s="44" t="s">
        <v>321</v>
      </c>
    </row>
    <row r="23" spans="1:25" ht="7.5" customHeight="1" x14ac:dyDescent="0.2">
      <c r="A23" s="9">
        <v>23</v>
      </c>
      <c r="B23" s="13" t="s">
        <v>346</v>
      </c>
      <c r="C23" s="12" t="s">
        <v>815</v>
      </c>
      <c r="D23" s="53" t="s">
        <v>761</v>
      </c>
      <c r="E23" s="54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682</v>
      </c>
      <c r="M23" s="33" t="s">
        <v>762</v>
      </c>
      <c r="N23" s="30" t="s">
        <v>1</v>
      </c>
      <c r="O23" s="33" t="s">
        <v>36</v>
      </c>
      <c r="P23" s="41" t="s">
        <v>697</v>
      </c>
      <c r="Q23" s="33" t="s">
        <v>695</v>
      </c>
      <c r="R23" s="41" t="s">
        <v>698</v>
      </c>
      <c r="S23" s="33" t="s">
        <v>695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43" t="s">
        <v>321</v>
      </c>
      <c r="Y23" s="44" t="s">
        <v>321</v>
      </c>
    </row>
    <row r="24" spans="1:25" ht="7.5" customHeight="1" x14ac:dyDescent="0.2">
      <c r="A24" s="9">
        <v>24</v>
      </c>
      <c r="B24" s="13" t="s">
        <v>347</v>
      </c>
      <c r="C24" s="12" t="s">
        <v>815</v>
      </c>
      <c r="D24" s="53" t="s">
        <v>761</v>
      </c>
      <c r="E24" s="54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682</v>
      </c>
      <c r="M24" s="33" t="s">
        <v>762</v>
      </c>
      <c r="N24" s="30" t="s">
        <v>1</v>
      </c>
      <c r="O24" s="33" t="s">
        <v>37</v>
      </c>
      <c r="P24" s="41" t="s">
        <v>697</v>
      </c>
      <c r="Q24" s="33" t="s">
        <v>695</v>
      </c>
      <c r="R24" s="41" t="s">
        <v>698</v>
      </c>
      <c r="S24" s="33" t="s">
        <v>695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43" t="s">
        <v>321</v>
      </c>
      <c r="Y24" s="44" t="s">
        <v>321</v>
      </c>
    </row>
    <row r="25" spans="1:25" ht="7.5" customHeight="1" x14ac:dyDescent="0.2">
      <c r="A25" s="9">
        <v>25</v>
      </c>
      <c r="B25" s="13" t="s">
        <v>348</v>
      </c>
      <c r="C25" s="12" t="s">
        <v>815</v>
      </c>
      <c r="D25" s="53" t="s">
        <v>761</v>
      </c>
      <c r="E25" s="54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682</v>
      </c>
      <c r="M25" s="33" t="s">
        <v>762</v>
      </c>
      <c r="N25" s="30" t="s">
        <v>1</v>
      </c>
      <c r="O25" s="33" t="s">
        <v>38</v>
      </c>
      <c r="P25" s="41" t="s">
        <v>697</v>
      </c>
      <c r="Q25" s="33" t="s">
        <v>695</v>
      </c>
      <c r="R25" s="41" t="s">
        <v>698</v>
      </c>
      <c r="S25" s="33" t="s">
        <v>695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43" t="s">
        <v>321</v>
      </c>
      <c r="Y25" s="44" t="s">
        <v>321</v>
      </c>
    </row>
    <row r="26" spans="1:25" ht="7.5" customHeight="1" x14ac:dyDescent="0.2">
      <c r="A26" s="9">
        <v>26</v>
      </c>
      <c r="B26" s="13" t="s">
        <v>349</v>
      </c>
      <c r="C26" s="12" t="s">
        <v>815</v>
      </c>
      <c r="D26" s="53" t="s">
        <v>761</v>
      </c>
      <c r="E26" s="54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682</v>
      </c>
      <c r="M26" s="33" t="s">
        <v>762</v>
      </c>
      <c r="N26" s="30" t="s">
        <v>1</v>
      </c>
      <c r="O26" s="33" t="s">
        <v>39</v>
      </c>
      <c r="P26" s="41" t="s">
        <v>697</v>
      </c>
      <c r="Q26" s="33" t="s">
        <v>695</v>
      </c>
      <c r="R26" s="41" t="s">
        <v>698</v>
      </c>
      <c r="S26" s="33" t="s">
        <v>695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43" t="s">
        <v>321</v>
      </c>
      <c r="Y26" s="44" t="s">
        <v>321</v>
      </c>
    </row>
    <row r="27" spans="1:25" ht="7.5" customHeight="1" x14ac:dyDescent="0.2">
      <c r="A27" s="9">
        <v>27</v>
      </c>
      <c r="B27" s="13" t="s">
        <v>350</v>
      </c>
      <c r="C27" s="12" t="s">
        <v>815</v>
      </c>
      <c r="D27" s="53" t="s">
        <v>761</v>
      </c>
      <c r="E27" s="54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682</v>
      </c>
      <c r="M27" s="33" t="s">
        <v>762</v>
      </c>
      <c r="N27" s="30" t="s">
        <v>1</v>
      </c>
      <c r="O27" s="33" t="s">
        <v>40</v>
      </c>
      <c r="P27" s="41" t="s">
        <v>697</v>
      </c>
      <c r="Q27" s="33" t="s">
        <v>695</v>
      </c>
      <c r="R27" s="41" t="s">
        <v>698</v>
      </c>
      <c r="S27" s="33" t="s">
        <v>695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43" t="s">
        <v>321</v>
      </c>
      <c r="Y27" s="44" t="s">
        <v>321</v>
      </c>
    </row>
    <row r="28" spans="1:25" ht="7.5" customHeight="1" x14ac:dyDescent="0.2">
      <c r="A28" s="9">
        <v>28</v>
      </c>
      <c r="B28" s="13" t="s">
        <v>351</v>
      </c>
      <c r="C28" s="12" t="s">
        <v>815</v>
      </c>
      <c r="D28" s="53" t="s">
        <v>761</v>
      </c>
      <c r="E28" s="54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682</v>
      </c>
      <c r="M28" s="33" t="s">
        <v>762</v>
      </c>
      <c r="N28" s="30" t="s">
        <v>1</v>
      </c>
      <c r="O28" s="33" t="s">
        <v>41</v>
      </c>
      <c r="P28" s="41" t="s">
        <v>697</v>
      </c>
      <c r="Q28" s="33" t="s">
        <v>695</v>
      </c>
      <c r="R28" s="41" t="s">
        <v>698</v>
      </c>
      <c r="S28" s="33" t="s">
        <v>695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43" t="s">
        <v>321</v>
      </c>
      <c r="Y28" s="44" t="s">
        <v>321</v>
      </c>
    </row>
    <row r="29" spans="1:25" ht="7.5" customHeight="1" x14ac:dyDescent="0.2">
      <c r="A29" s="9">
        <v>29</v>
      </c>
      <c r="B29" s="13" t="s">
        <v>352</v>
      </c>
      <c r="C29" s="12" t="s">
        <v>815</v>
      </c>
      <c r="D29" s="53" t="s">
        <v>761</v>
      </c>
      <c r="E29" s="54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682</v>
      </c>
      <c r="M29" s="33" t="s">
        <v>762</v>
      </c>
      <c r="N29" s="30" t="s">
        <v>1</v>
      </c>
      <c r="O29" s="33" t="s">
        <v>42</v>
      </c>
      <c r="P29" s="41" t="s">
        <v>697</v>
      </c>
      <c r="Q29" s="33" t="s">
        <v>695</v>
      </c>
      <c r="R29" s="41" t="s">
        <v>698</v>
      </c>
      <c r="S29" s="33" t="s">
        <v>695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43" t="s">
        <v>321</v>
      </c>
      <c r="Y29" s="44" t="s">
        <v>321</v>
      </c>
    </row>
    <row r="30" spans="1:25" ht="7.5" customHeight="1" x14ac:dyDescent="0.2">
      <c r="A30" s="9">
        <v>30</v>
      </c>
      <c r="B30" s="13" t="s">
        <v>353</v>
      </c>
      <c r="C30" s="12" t="s">
        <v>815</v>
      </c>
      <c r="D30" s="53" t="s">
        <v>761</v>
      </c>
      <c r="E30" s="54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682</v>
      </c>
      <c r="M30" s="33" t="s">
        <v>762</v>
      </c>
      <c r="N30" s="30" t="s">
        <v>1</v>
      </c>
      <c r="O30" s="33" t="s">
        <v>43</v>
      </c>
      <c r="P30" s="41" t="s">
        <v>697</v>
      </c>
      <c r="Q30" s="33" t="s">
        <v>695</v>
      </c>
      <c r="R30" s="41" t="s">
        <v>698</v>
      </c>
      <c r="S30" s="33" t="s">
        <v>695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43" t="s">
        <v>321</v>
      </c>
      <c r="Y30" s="44" t="s">
        <v>321</v>
      </c>
    </row>
    <row r="31" spans="1:25" ht="7.5" customHeight="1" x14ac:dyDescent="0.2">
      <c r="A31" s="9">
        <v>31</v>
      </c>
      <c r="B31" s="13" t="s">
        <v>354</v>
      </c>
      <c r="C31" s="12" t="s">
        <v>815</v>
      </c>
      <c r="D31" s="53" t="s">
        <v>761</v>
      </c>
      <c r="E31" s="54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682</v>
      </c>
      <c r="M31" s="33" t="s">
        <v>762</v>
      </c>
      <c r="N31" s="30" t="s">
        <v>1</v>
      </c>
      <c r="O31" s="33" t="s">
        <v>44</v>
      </c>
      <c r="P31" s="41" t="s">
        <v>697</v>
      </c>
      <c r="Q31" s="33" t="s">
        <v>695</v>
      </c>
      <c r="R31" s="41" t="s">
        <v>698</v>
      </c>
      <c r="S31" s="33" t="s">
        <v>695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43" t="s">
        <v>321</v>
      </c>
      <c r="Y31" s="44" t="s">
        <v>321</v>
      </c>
    </row>
    <row r="32" spans="1:25" ht="7.5" customHeight="1" x14ac:dyDescent="0.2">
      <c r="A32" s="9">
        <v>32</v>
      </c>
      <c r="B32" s="10" t="s">
        <v>355</v>
      </c>
      <c r="C32" s="12" t="s">
        <v>816</v>
      </c>
      <c r="D32" s="53" t="s">
        <v>761</v>
      </c>
      <c r="E32" s="54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682</v>
      </c>
      <c r="M32" s="33" t="s">
        <v>763</v>
      </c>
      <c r="N32" s="30" t="s">
        <v>1</v>
      </c>
      <c r="O32" s="33" t="s">
        <v>45</v>
      </c>
      <c r="P32" s="41" t="s">
        <v>697</v>
      </c>
      <c r="Q32" s="33" t="s">
        <v>695</v>
      </c>
      <c r="R32" s="41" t="s">
        <v>698</v>
      </c>
      <c r="S32" s="33" t="s">
        <v>695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43" t="s">
        <v>321</v>
      </c>
      <c r="Y32" s="44" t="s">
        <v>321</v>
      </c>
    </row>
    <row r="33" spans="1:25" ht="7.5" customHeight="1" x14ac:dyDescent="0.2">
      <c r="A33" s="9">
        <v>33</v>
      </c>
      <c r="B33" s="13" t="s">
        <v>356</v>
      </c>
      <c r="C33" s="12" t="s">
        <v>816</v>
      </c>
      <c r="D33" s="53" t="s">
        <v>761</v>
      </c>
      <c r="E33" s="54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682</v>
      </c>
      <c r="M33" s="33" t="s">
        <v>763</v>
      </c>
      <c r="N33" s="30" t="s">
        <v>1</v>
      </c>
      <c r="O33" s="33" t="s">
        <v>46</v>
      </c>
      <c r="P33" s="41" t="s">
        <v>697</v>
      </c>
      <c r="Q33" s="33" t="s">
        <v>695</v>
      </c>
      <c r="R33" s="41" t="s">
        <v>698</v>
      </c>
      <c r="S33" s="33" t="s">
        <v>695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43" t="s">
        <v>321</v>
      </c>
      <c r="Y33" s="44" t="s">
        <v>321</v>
      </c>
    </row>
    <row r="34" spans="1:25" ht="7.5" customHeight="1" x14ac:dyDescent="0.2">
      <c r="A34" s="9">
        <v>34</v>
      </c>
      <c r="B34" s="13" t="s">
        <v>357</v>
      </c>
      <c r="C34" s="12" t="s">
        <v>816</v>
      </c>
      <c r="D34" s="53" t="s">
        <v>761</v>
      </c>
      <c r="E34" s="54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682</v>
      </c>
      <c r="M34" s="33" t="s">
        <v>763</v>
      </c>
      <c r="N34" s="30" t="s">
        <v>1</v>
      </c>
      <c r="O34" s="33" t="s">
        <v>47</v>
      </c>
      <c r="P34" s="41" t="s">
        <v>697</v>
      </c>
      <c r="Q34" s="33" t="s">
        <v>695</v>
      </c>
      <c r="R34" s="41" t="s">
        <v>698</v>
      </c>
      <c r="S34" s="33" t="s">
        <v>695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43" t="s">
        <v>321</v>
      </c>
      <c r="Y34" s="44" t="s">
        <v>321</v>
      </c>
    </row>
    <row r="35" spans="1:25" ht="7.5" customHeight="1" x14ac:dyDescent="0.2">
      <c r="A35" s="9">
        <v>35</v>
      </c>
      <c r="B35" s="13" t="s">
        <v>358</v>
      </c>
      <c r="C35" s="12" t="s">
        <v>816</v>
      </c>
      <c r="D35" s="53" t="s">
        <v>761</v>
      </c>
      <c r="E35" s="54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682</v>
      </c>
      <c r="M35" s="33" t="s">
        <v>763</v>
      </c>
      <c r="N35" s="30" t="s">
        <v>1</v>
      </c>
      <c r="O35" s="33" t="s">
        <v>48</v>
      </c>
      <c r="P35" s="41" t="s">
        <v>697</v>
      </c>
      <c r="Q35" s="33" t="s">
        <v>695</v>
      </c>
      <c r="R35" s="41" t="s">
        <v>698</v>
      </c>
      <c r="S35" s="33" t="s">
        <v>695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43" t="s">
        <v>321</v>
      </c>
      <c r="Y35" s="44" t="s">
        <v>321</v>
      </c>
    </row>
    <row r="36" spans="1:25" ht="7.5" customHeight="1" x14ac:dyDescent="0.2">
      <c r="A36" s="9">
        <v>36</v>
      </c>
      <c r="B36" s="13" t="s">
        <v>359</v>
      </c>
      <c r="C36" s="12" t="s">
        <v>816</v>
      </c>
      <c r="D36" s="53" t="s">
        <v>761</v>
      </c>
      <c r="E36" s="54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682</v>
      </c>
      <c r="M36" s="33" t="s">
        <v>763</v>
      </c>
      <c r="N36" s="30" t="s">
        <v>1</v>
      </c>
      <c r="O36" s="33" t="s">
        <v>49</v>
      </c>
      <c r="P36" s="41" t="s">
        <v>697</v>
      </c>
      <c r="Q36" s="33" t="s">
        <v>695</v>
      </c>
      <c r="R36" s="41" t="s">
        <v>698</v>
      </c>
      <c r="S36" s="33" t="s">
        <v>695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43" t="s">
        <v>321</v>
      </c>
      <c r="Y36" s="44" t="s">
        <v>321</v>
      </c>
    </row>
    <row r="37" spans="1:25" ht="7.5" customHeight="1" x14ac:dyDescent="0.2">
      <c r="A37" s="9">
        <v>37</v>
      </c>
      <c r="B37" s="13" t="s">
        <v>360</v>
      </c>
      <c r="C37" s="12" t="s">
        <v>816</v>
      </c>
      <c r="D37" s="53" t="s">
        <v>761</v>
      </c>
      <c r="E37" s="54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682</v>
      </c>
      <c r="M37" s="33" t="s">
        <v>763</v>
      </c>
      <c r="N37" s="30" t="s">
        <v>1</v>
      </c>
      <c r="O37" s="33" t="s">
        <v>50</v>
      </c>
      <c r="P37" s="41" t="s">
        <v>697</v>
      </c>
      <c r="Q37" s="33" t="s">
        <v>695</v>
      </c>
      <c r="R37" s="41" t="s">
        <v>698</v>
      </c>
      <c r="S37" s="33" t="s">
        <v>695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43" t="s">
        <v>321</v>
      </c>
      <c r="Y37" s="44" t="s">
        <v>321</v>
      </c>
    </row>
    <row r="38" spans="1:25" ht="7.5" customHeight="1" x14ac:dyDescent="0.2">
      <c r="A38" s="9">
        <v>38</v>
      </c>
      <c r="B38" s="13" t="s">
        <v>361</v>
      </c>
      <c r="C38" s="12" t="s">
        <v>816</v>
      </c>
      <c r="D38" s="53" t="s">
        <v>761</v>
      </c>
      <c r="E38" s="54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682</v>
      </c>
      <c r="M38" s="33" t="s">
        <v>763</v>
      </c>
      <c r="N38" s="30" t="s">
        <v>1</v>
      </c>
      <c r="O38" s="33" t="s">
        <v>51</v>
      </c>
      <c r="P38" s="41" t="s">
        <v>697</v>
      </c>
      <c r="Q38" s="33" t="s">
        <v>695</v>
      </c>
      <c r="R38" s="41" t="s">
        <v>698</v>
      </c>
      <c r="S38" s="33" t="s">
        <v>695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43" t="s">
        <v>321</v>
      </c>
      <c r="Y38" s="44" t="s">
        <v>321</v>
      </c>
    </row>
    <row r="39" spans="1:25" ht="7.5" customHeight="1" x14ac:dyDescent="0.2">
      <c r="A39" s="9">
        <v>39</v>
      </c>
      <c r="B39" s="13" t="s">
        <v>362</v>
      </c>
      <c r="C39" s="12" t="s">
        <v>816</v>
      </c>
      <c r="D39" s="53" t="s">
        <v>761</v>
      </c>
      <c r="E39" s="54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682</v>
      </c>
      <c r="M39" s="33" t="s">
        <v>763</v>
      </c>
      <c r="N39" s="30" t="s">
        <v>1</v>
      </c>
      <c r="O39" s="33" t="s">
        <v>52</v>
      </c>
      <c r="P39" s="41" t="s">
        <v>697</v>
      </c>
      <c r="Q39" s="33" t="s">
        <v>695</v>
      </c>
      <c r="R39" s="41" t="s">
        <v>698</v>
      </c>
      <c r="S39" s="33" t="s">
        <v>695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43" t="s">
        <v>321</v>
      </c>
      <c r="Y39" s="44" t="s">
        <v>321</v>
      </c>
    </row>
    <row r="40" spans="1:25" ht="7.5" customHeight="1" x14ac:dyDescent="0.2">
      <c r="A40" s="9">
        <v>40</v>
      </c>
      <c r="B40" s="13" t="s">
        <v>363</v>
      </c>
      <c r="C40" s="12" t="s">
        <v>816</v>
      </c>
      <c r="D40" s="53" t="s">
        <v>761</v>
      </c>
      <c r="E40" s="54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682</v>
      </c>
      <c r="M40" s="33" t="s">
        <v>763</v>
      </c>
      <c r="N40" s="30" t="s">
        <v>1</v>
      </c>
      <c r="O40" s="33" t="s">
        <v>53</v>
      </c>
      <c r="P40" s="41" t="s">
        <v>697</v>
      </c>
      <c r="Q40" s="33" t="s">
        <v>695</v>
      </c>
      <c r="R40" s="41" t="s">
        <v>698</v>
      </c>
      <c r="S40" s="33" t="s">
        <v>695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43" t="s">
        <v>321</v>
      </c>
      <c r="Y40" s="44" t="s">
        <v>321</v>
      </c>
    </row>
    <row r="41" spans="1:25" ht="7.5" customHeight="1" x14ac:dyDescent="0.2">
      <c r="A41" s="9">
        <v>41</v>
      </c>
      <c r="B41" s="13" t="s">
        <v>364</v>
      </c>
      <c r="C41" s="12" t="s">
        <v>816</v>
      </c>
      <c r="D41" s="53" t="s">
        <v>761</v>
      </c>
      <c r="E41" s="54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682</v>
      </c>
      <c r="M41" s="33" t="s">
        <v>763</v>
      </c>
      <c r="N41" s="30" t="s">
        <v>1</v>
      </c>
      <c r="O41" s="33" t="s">
        <v>54</v>
      </c>
      <c r="P41" s="41" t="s">
        <v>697</v>
      </c>
      <c r="Q41" s="33" t="s">
        <v>695</v>
      </c>
      <c r="R41" s="41" t="s">
        <v>698</v>
      </c>
      <c r="S41" s="33" t="s">
        <v>695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43" t="s">
        <v>321</v>
      </c>
      <c r="Y41" s="44" t="s">
        <v>321</v>
      </c>
    </row>
    <row r="42" spans="1:25" ht="7.5" customHeight="1" x14ac:dyDescent="0.2">
      <c r="A42" s="9">
        <v>42</v>
      </c>
      <c r="B42" s="13" t="s">
        <v>365</v>
      </c>
      <c r="C42" s="12" t="s">
        <v>816</v>
      </c>
      <c r="D42" s="53" t="s">
        <v>761</v>
      </c>
      <c r="E42" s="54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682</v>
      </c>
      <c r="M42" s="33" t="s">
        <v>763</v>
      </c>
      <c r="N42" s="30" t="s">
        <v>1</v>
      </c>
      <c r="O42" s="33" t="s">
        <v>55</v>
      </c>
      <c r="P42" s="41" t="s">
        <v>697</v>
      </c>
      <c r="Q42" s="33" t="s">
        <v>695</v>
      </c>
      <c r="R42" s="41" t="s">
        <v>698</v>
      </c>
      <c r="S42" s="33" t="s">
        <v>695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43" t="s">
        <v>321</v>
      </c>
      <c r="Y42" s="44" t="s">
        <v>321</v>
      </c>
    </row>
    <row r="43" spans="1:25" ht="7.5" customHeight="1" x14ac:dyDescent="0.2">
      <c r="A43" s="9">
        <v>43</v>
      </c>
      <c r="B43" s="13" t="s">
        <v>366</v>
      </c>
      <c r="C43" s="12" t="s">
        <v>816</v>
      </c>
      <c r="D43" s="53" t="s">
        <v>761</v>
      </c>
      <c r="E43" s="54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682</v>
      </c>
      <c r="M43" s="33" t="s">
        <v>763</v>
      </c>
      <c r="N43" s="30" t="s">
        <v>1</v>
      </c>
      <c r="O43" s="33" t="s">
        <v>56</v>
      </c>
      <c r="P43" s="41" t="s">
        <v>697</v>
      </c>
      <c r="Q43" s="33" t="s">
        <v>695</v>
      </c>
      <c r="R43" s="41" t="s">
        <v>698</v>
      </c>
      <c r="S43" s="33" t="s">
        <v>695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43" t="s">
        <v>321</v>
      </c>
      <c r="Y43" s="44" t="s">
        <v>321</v>
      </c>
    </row>
    <row r="44" spans="1:25" ht="7.5" customHeight="1" x14ac:dyDescent="0.2">
      <c r="A44" s="9">
        <v>44</v>
      </c>
      <c r="B44" s="13" t="s">
        <v>367</v>
      </c>
      <c r="C44" s="12" t="s">
        <v>816</v>
      </c>
      <c r="D44" s="53" t="s">
        <v>761</v>
      </c>
      <c r="E44" s="54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682</v>
      </c>
      <c r="M44" s="33" t="s">
        <v>763</v>
      </c>
      <c r="N44" s="30" t="s">
        <v>1</v>
      </c>
      <c r="O44" s="33" t="s">
        <v>57</v>
      </c>
      <c r="P44" s="41" t="s">
        <v>697</v>
      </c>
      <c r="Q44" s="33" t="s">
        <v>695</v>
      </c>
      <c r="R44" s="41" t="s">
        <v>698</v>
      </c>
      <c r="S44" s="33" t="s">
        <v>695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43" t="s">
        <v>321</v>
      </c>
      <c r="Y44" s="44" t="s">
        <v>321</v>
      </c>
    </row>
    <row r="45" spans="1:25" ht="7.5" customHeight="1" x14ac:dyDescent="0.2">
      <c r="A45" s="9">
        <v>45</v>
      </c>
      <c r="B45" s="45" t="s">
        <v>703</v>
      </c>
      <c r="C45" s="12" t="s">
        <v>816</v>
      </c>
      <c r="D45" s="53" t="s">
        <v>761</v>
      </c>
      <c r="E45" s="54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682</v>
      </c>
      <c r="M45" s="33" t="s">
        <v>763</v>
      </c>
      <c r="N45" s="30" t="s">
        <v>1</v>
      </c>
      <c r="O45" s="33" t="s">
        <v>58</v>
      </c>
      <c r="P45" s="41" t="s">
        <v>697</v>
      </c>
      <c r="Q45" s="33" t="s">
        <v>695</v>
      </c>
      <c r="R45" s="41" t="s">
        <v>698</v>
      </c>
      <c r="S45" s="33" t="s">
        <v>695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43" t="s">
        <v>321</v>
      </c>
      <c r="Y45" s="44" t="s">
        <v>321</v>
      </c>
    </row>
    <row r="46" spans="1:25" ht="7.5" customHeight="1" x14ac:dyDescent="0.2">
      <c r="A46" s="9">
        <v>46</v>
      </c>
      <c r="B46" s="13" t="s">
        <v>368</v>
      </c>
      <c r="C46" s="12" t="s">
        <v>816</v>
      </c>
      <c r="D46" s="53" t="s">
        <v>761</v>
      </c>
      <c r="E46" s="54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682</v>
      </c>
      <c r="M46" s="33" t="s">
        <v>763</v>
      </c>
      <c r="N46" s="30" t="s">
        <v>1</v>
      </c>
      <c r="O46" s="33" t="s">
        <v>59</v>
      </c>
      <c r="P46" s="41" t="s">
        <v>697</v>
      </c>
      <c r="Q46" s="33" t="s">
        <v>695</v>
      </c>
      <c r="R46" s="41" t="s">
        <v>698</v>
      </c>
      <c r="S46" s="33" t="s">
        <v>695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43" t="s">
        <v>321</v>
      </c>
      <c r="Y46" s="44" t="s">
        <v>321</v>
      </c>
    </row>
    <row r="47" spans="1:25" ht="7.5" customHeight="1" x14ac:dyDescent="0.2">
      <c r="A47" s="9">
        <v>47</v>
      </c>
      <c r="B47" s="45" t="s">
        <v>704</v>
      </c>
      <c r="C47" s="12" t="s">
        <v>816</v>
      </c>
      <c r="D47" s="53" t="s">
        <v>761</v>
      </c>
      <c r="E47" s="54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682</v>
      </c>
      <c r="M47" s="33" t="s">
        <v>763</v>
      </c>
      <c r="N47" s="30" t="s">
        <v>1</v>
      </c>
      <c r="O47" s="33" t="s">
        <v>15</v>
      </c>
      <c r="P47" s="41" t="s">
        <v>697</v>
      </c>
      <c r="Q47" s="33" t="s">
        <v>695</v>
      </c>
      <c r="R47" s="41" t="s">
        <v>698</v>
      </c>
      <c r="S47" s="33" t="s">
        <v>695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43" t="s">
        <v>321</v>
      </c>
      <c r="Y47" s="44" t="s">
        <v>321</v>
      </c>
    </row>
    <row r="48" spans="1:25" ht="7.5" customHeight="1" x14ac:dyDescent="0.2">
      <c r="A48" s="9">
        <v>48</v>
      </c>
      <c r="B48" s="13" t="s">
        <v>369</v>
      </c>
      <c r="C48" s="12" t="s">
        <v>816</v>
      </c>
      <c r="D48" s="53" t="s">
        <v>761</v>
      </c>
      <c r="E48" s="54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682</v>
      </c>
      <c r="M48" s="33" t="s">
        <v>763</v>
      </c>
      <c r="N48" s="30" t="s">
        <v>1</v>
      </c>
      <c r="O48" s="33" t="s">
        <v>60</v>
      </c>
      <c r="P48" s="41" t="s">
        <v>697</v>
      </c>
      <c r="Q48" s="33" t="s">
        <v>695</v>
      </c>
      <c r="R48" s="41" t="s">
        <v>698</v>
      </c>
      <c r="S48" s="33" t="s">
        <v>695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43" t="s">
        <v>321</v>
      </c>
      <c r="Y48" s="44" t="s">
        <v>321</v>
      </c>
    </row>
    <row r="49" spans="1:25" ht="7.5" customHeight="1" x14ac:dyDescent="0.2">
      <c r="A49" s="9">
        <v>49</v>
      </c>
      <c r="B49" s="13" t="s">
        <v>370</v>
      </c>
      <c r="C49" s="12" t="s">
        <v>816</v>
      </c>
      <c r="D49" s="53" t="s">
        <v>761</v>
      </c>
      <c r="E49" s="54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682</v>
      </c>
      <c r="M49" s="33" t="s">
        <v>763</v>
      </c>
      <c r="N49" s="30" t="s">
        <v>1</v>
      </c>
      <c r="O49" s="33" t="s">
        <v>61</v>
      </c>
      <c r="P49" s="41" t="s">
        <v>697</v>
      </c>
      <c r="Q49" s="33" t="s">
        <v>695</v>
      </c>
      <c r="R49" s="41" t="s">
        <v>698</v>
      </c>
      <c r="S49" s="33" t="s">
        <v>695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43" t="s">
        <v>321</v>
      </c>
      <c r="Y49" s="44" t="s">
        <v>321</v>
      </c>
    </row>
    <row r="50" spans="1:25" ht="7.5" customHeight="1" x14ac:dyDescent="0.2">
      <c r="A50" s="9">
        <v>50</v>
      </c>
      <c r="B50" s="13" t="s">
        <v>371</v>
      </c>
      <c r="C50" s="12" t="s">
        <v>816</v>
      </c>
      <c r="D50" s="53" t="s">
        <v>761</v>
      </c>
      <c r="E50" s="54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682</v>
      </c>
      <c r="M50" s="33" t="s">
        <v>763</v>
      </c>
      <c r="N50" s="30" t="s">
        <v>1</v>
      </c>
      <c r="O50" s="33" t="s">
        <v>62</v>
      </c>
      <c r="P50" s="41" t="s">
        <v>697</v>
      </c>
      <c r="Q50" s="33" t="s">
        <v>695</v>
      </c>
      <c r="R50" s="41" t="s">
        <v>698</v>
      </c>
      <c r="S50" s="33" t="s">
        <v>695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43" t="s">
        <v>321</v>
      </c>
      <c r="Y50" s="44" t="s">
        <v>321</v>
      </c>
    </row>
    <row r="51" spans="1:25" ht="7.5" customHeight="1" x14ac:dyDescent="0.2">
      <c r="A51" s="9">
        <v>51</v>
      </c>
      <c r="B51" s="13" t="s">
        <v>372</v>
      </c>
      <c r="C51" s="12" t="s">
        <v>816</v>
      </c>
      <c r="D51" s="53" t="s">
        <v>761</v>
      </c>
      <c r="E51" s="54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682</v>
      </c>
      <c r="M51" s="33" t="s">
        <v>763</v>
      </c>
      <c r="N51" s="30" t="s">
        <v>1</v>
      </c>
      <c r="O51" s="33" t="s">
        <v>63</v>
      </c>
      <c r="P51" s="41" t="s">
        <v>697</v>
      </c>
      <c r="Q51" s="33" t="s">
        <v>695</v>
      </c>
      <c r="R51" s="41" t="s">
        <v>698</v>
      </c>
      <c r="S51" s="33" t="s">
        <v>695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43" t="s">
        <v>321</v>
      </c>
      <c r="Y51" s="44" t="s">
        <v>321</v>
      </c>
    </row>
    <row r="52" spans="1:25" ht="7.5" customHeight="1" x14ac:dyDescent="0.2">
      <c r="A52" s="9">
        <v>52</v>
      </c>
      <c r="B52" s="13" t="s">
        <v>373</v>
      </c>
      <c r="C52" s="12" t="s">
        <v>816</v>
      </c>
      <c r="D52" s="53" t="s">
        <v>761</v>
      </c>
      <c r="E52" s="54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682</v>
      </c>
      <c r="M52" s="33" t="s">
        <v>763</v>
      </c>
      <c r="N52" s="30" t="s">
        <v>1</v>
      </c>
      <c r="O52" s="33" t="s">
        <v>64</v>
      </c>
      <c r="P52" s="41" t="s">
        <v>697</v>
      </c>
      <c r="Q52" s="33" t="s">
        <v>695</v>
      </c>
      <c r="R52" s="41" t="s">
        <v>698</v>
      </c>
      <c r="S52" s="33" t="s">
        <v>695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43" t="s">
        <v>321</v>
      </c>
      <c r="Y52" s="44" t="s">
        <v>321</v>
      </c>
    </row>
    <row r="53" spans="1:25" ht="7.5" customHeight="1" x14ac:dyDescent="0.2">
      <c r="A53" s="9">
        <v>53</v>
      </c>
      <c r="B53" s="45" t="s">
        <v>702</v>
      </c>
      <c r="C53" s="12" t="s">
        <v>816</v>
      </c>
      <c r="D53" s="53" t="s">
        <v>761</v>
      </c>
      <c r="E53" s="54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682</v>
      </c>
      <c r="M53" s="33" t="s">
        <v>763</v>
      </c>
      <c r="N53" s="30" t="s">
        <v>1</v>
      </c>
      <c r="O53" s="33" t="s">
        <v>65</v>
      </c>
      <c r="P53" s="41" t="s">
        <v>697</v>
      </c>
      <c r="Q53" s="33" t="s">
        <v>695</v>
      </c>
      <c r="R53" s="41" t="s">
        <v>698</v>
      </c>
      <c r="S53" s="33" t="s">
        <v>695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43" t="s">
        <v>321</v>
      </c>
      <c r="Y53" s="44" t="s">
        <v>321</v>
      </c>
    </row>
    <row r="54" spans="1:25" ht="7.5" customHeight="1" x14ac:dyDescent="0.2">
      <c r="A54" s="9">
        <v>54</v>
      </c>
      <c r="B54" s="10" t="s">
        <v>374</v>
      </c>
      <c r="C54" s="12" t="s">
        <v>817</v>
      </c>
      <c r="D54" s="53" t="s">
        <v>761</v>
      </c>
      <c r="E54" s="54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682</v>
      </c>
      <c r="M54" s="33" t="s">
        <v>764</v>
      </c>
      <c r="N54" s="30" t="s">
        <v>1</v>
      </c>
      <c r="O54" s="33" t="s">
        <v>66</v>
      </c>
      <c r="P54" s="41" t="s">
        <v>697</v>
      </c>
      <c r="Q54" s="33" t="s">
        <v>695</v>
      </c>
      <c r="R54" s="41" t="s">
        <v>698</v>
      </c>
      <c r="S54" s="33" t="s">
        <v>695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43" t="s">
        <v>321</v>
      </c>
      <c r="Y54" s="44" t="s">
        <v>321</v>
      </c>
    </row>
    <row r="55" spans="1:25" ht="7.5" customHeight="1" x14ac:dyDescent="0.2">
      <c r="A55" s="9">
        <v>55</v>
      </c>
      <c r="B55" s="13" t="s">
        <v>375</v>
      </c>
      <c r="C55" s="12" t="s">
        <v>817</v>
      </c>
      <c r="D55" s="53" t="s">
        <v>761</v>
      </c>
      <c r="E55" s="54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682</v>
      </c>
      <c r="M55" s="33" t="s">
        <v>764</v>
      </c>
      <c r="N55" s="30" t="s">
        <v>1</v>
      </c>
      <c r="O55" s="33" t="s">
        <v>67</v>
      </c>
      <c r="P55" s="41" t="s">
        <v>697</v>
      </c>
      <c r="Q55" s="33" t="s">
        <v>695</v>
      </c>
      <c r="R55" s="41" t="s">
        <v>698</v>
      </c>
      <c r="S55" s="33" t="s">
        <v>695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43" t="s">
        <v>321</v>
      </c>
      <c r="Y55" s="44" t="s">
        <v>321</v>
      </c>
    </row>
    <row r="56" spans="1:25" ht="7.5" customHeight="1" x14ac:dyDescent="0.2">
      <c r="A56" s="9">
        <v>56</v>
      </c>
      <c r="B56" s="13" t="s">
        <v>376</v>
      </c>
      <c r="C56" s="12" t="s">
        <v>817</v>
      </c>
      <c r="D56" s="53" t="s">
        <v>761</v>
      </c>
      <c r="E56" s="54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682</v>
      </c>
      <c r="M56" s="33" t="s">
        <v>764</v>
      </c>
      <c r="N56" s="30" t="s">
        <v>1</v>
      </c>
      <c r="O56" s="33" t="s">
        <v>68</v>
      </c>
      <c r="P56" s="41" t="s">
        <v>697</v>
      </c>
      <c r="Q56" s="33" t="s">
        <v>695</v>
      </c>
      <c r="R56" s="41" t="s">
        <v>698</v>
      </c>
      <c r="S56" s="33" t="s">
        <v>695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43" t="s">
        <v>321</v>
      </c>
      <c r="Y56" s="44" t="s">
        <v>321</v>
      </c>
    </row>
    <row r="57" spans="1:25" ht="7.5" customHeight="1" x14ac:dyDescent="0.2">
      <c r="A57" s="9">
        <v>57</v>
      </c>
      <c r="B57" s="13" t="s">
        <v>377</v>
      </c>
      <c r="C57" s="12" t="s">
        <v>817</v>
      </c>
      <c r="D57" s="53" t="s">
        <v>761</v>
      </c>
      <c r="E57" s="54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682</v>
      </c>
      <c r="M57" s="33" t="s">
        <v>764</v>
      </c>
      <c r="N57" s="30" t="s">
        <v>1</v>
      </c>
      <c r="O57" s="33" t="s">
        <v>69</v>
      </c>
      <c r="P57" s="41" t="s">
        <v>697</v>
      </c>
      <c r="Q57" s="33" t="s">
        <v>695</v>
      </c>
      <c r="R57" s="41" t="s">
        <v>698</v>
      </c>
      <c r="S57" s="33" t="s">
        <v>695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43" t="s">
        <v>321</v>
      </c>
      <c r="Y57" s="44" t="s">
        <v>321</v>
      </c>
    </row>
    <row r="58" spans="1:25" ht="7.5" customHeight="1" x14ac:dyDescent="0.2">
      <c r="A58" s="9">
        <v>58</v>
      </c>
      <c r="B58" s="13" t="s">
        <v>378</v>
      </c>
      <c r="C58" s="12" t="s">
        <v>817</v>
      </c>
      <c r="D58" s="53" t="s">
        <v>761</v>
      </c>
      <c r="E58" s="54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682</v>
      </c>
      <c r="M58" s="33" t="s">
        <v>764</v>
      </c>
      <c r="N58" s="30" t="s">
        <v>1</v>
      </c>
      <c r="O58" s="33" t="s">
        <v>70</v>
      </c>
      <c r="P58" s="41" t="s">
        <v>697</v>
      </c>
      <c r="Q58" s="33" t="s">
        <v>695</v>
      </c>
      <c r="R58" s="41" t="s">
        <v>698</v>
      </c>
      <c r="S58" s="33" t="s">
        <v>695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43" t="s">
        <v>321</v>
      </c>
      <c r="Y58" s="44" t="s">
        <v>321</v>
      </c>
    </row>
    <row r="59" spans="1:25" ht="7.5" customHeight="1" x14ac:dyDescent="0.2">
      <c r="A59" s="9">
        <v>59</v>
      </c>
      <c r="B59" s="13" t="s">
        <v>379</v>
      </c>
      <c r="C59" s="12" t="s">
        <v>817</v>
      </c>
      <c r="D59" s="53" t="s">
        <v>761</v>
      </c>
      <c r="E59" s="54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682</v>
      </c>
      <c r="M59" s="33" t="s">
        <v>764</v>
      </c>
      <c r="N59" s="30" t="s">
        <v>1</v>
      </c>
      <c r="O59" s="33" t="s">
        <v>71</v>
      </c>
      <c r="P59" s="41" t="s">
        <v>697</v>
      </c>
      <c r="Q59" s="33" t="s">
        <v>695</v>
      </c>
      <c r="R59" s="41" t="s">
        <v>698</v>
      </c>
      <c r="S59" s="33" t="s">
        <v>695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43" t="s">
        <v>321</v>
      </c>
      <c r="Y59" s="44" t="s">
        <v>321</v>
      </c>
    </row>
    <row r="60" spans="1:25" ht="7.5" customHeight="1" x14ac:dyDescent="0.2">
      <c r="A60" s="9">
        <v>60</v>
      </c>
      <c r="B60" s="13" t="s">
        <v>380</v>
      </c>
      <c r="C60" s="12" t="s">
        <v>817</v>
      </c>
      <c r="D60" s="53" t="s">
        <v>761</v>
      </c>
      <c r="E60" s="54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682</v>
      </c>
      <c r="M60" s="33" t="s">
        <v>764</v>
      </c>
      <c r="N60" s="30" t="s">
        <v>1</v>
      </c>
      <c r="O60" s="33" t="s">
        <v>72</v>
      </c>
      <c r="P60" s="41" t="s">
        <v>697</v>
      </c>
      <c r="Q60" s="33" t="s">
        <v>695</v>
      </c>
      <c r="R60" s="41" t="s">
        <v>698</v>
      </c>
      <c r="S60" s="33" t="s">
        <v>695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43" t="s">
        <v>321</v>
      </c>
      <c r="Y60" s="44" t="s">
        <v>321</v>
      </c>
    </row>
    <row r="61" spans="1:25" ht="7.5" customHeight="1" x14ac:dyDescent="0.2">
      <c r="A61" s="9">
        <v>61</v>
      </c>
      <c r="B61" s="13" t="s">
        <v>381</v>
      </c>
      <c r="C61" s="12" t="s">
        <v>817</v>
      </c>
      <c r="D61" s="53" t="s">
        <v>761</v>
      </c>
      <c r="E61" s="54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682</v>
      </c>
      <c r="M61" s="33" t="s">
        <v>764</v>
      </c>
      <c r="N61" s="30" t="s">
        <v>1</v>
      </c>
      <c r="O61" s="33" t="s">
        <v>73</v>
      </c>
      <c r="P61" s="41" t="s">
        <v>697</v>
      </c>
      <c r="Q61" s="33" t="s">
        <v>695</v>
      </c>
      <c r="R61" s="41" t="s">
        <v>698</v>
      </c>
      <c r="S61" s="33" t="s">
        <v>695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43" t="s">
        <v>321</v>
      </c>
      <c r="Y61" s="44" t="s">
        <v>321</v>
      </c>
    </row>
    <row r="62" spans="1:25" ht="7.5" customHeight="1" x14ac:dyDescent="0.2">
      <c r="A62" s="9">
        <v>62</v>
      </c>
      <c r="B62" s="13" t="s">
        <v>382</v>
      </c>
      <c r="C62" s="12" t="s">
        <v>817</v>
      </c>
      <c r="D62" s="53" t="s">
        <v>761</v>
      </c>
      <c r="E62" s="54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682</v>
      </c>
      <c r="M62" s="33" t="s">
        <v>764</v>
      </c>
      <c r="N62" s="30" t="s">
        <v>1</v>
      </c>
      <c r="O62" s="33" t="s">
        <v>74</v>
      </c>
      <c r="P62" s="41" t="s">
        <v>697</v>
      </c>
      <c r="Q62" s="33" t="s">
        <v>695</v>
      </c>
      <c r="R62" s="41" t="s">
        <v>698</v>
      </c>
      <c r="S62" s="33" t="s">
        <v>695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43" t="s">
        <v>321</v>
      </c>
      <c r="Y62" s="44" t="s">
        <v>321</v>
      </c>
    </row>
    <row r="63" spans="1:25" ht="7.5" customHeight="1" x14ac:dyDescent="0.2">
      <c r="A63" s="9">
        <v>63</v>
      </c>
      <c r="B63" s="13" t="s">
        <v>383</v>
      </c>
      <c r="C63" s="12" t="s">
        <v>817</v>
      </c>
      <c r="D63" s="53" t="s">
        <v>761</v>
      </c>
      <c r="E63" s="54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682</v>
      </c>
      <c r="M63" s="33" t="s">
        <v>764</v>
      </c>
      <c r="N63" s="30" t="s">
        <v>1</v>
      </c>
      <c r="O63" s="33" t="s">
        <v>75</v>
      </c>
      <c r="P63" s="41" t="s">
        <v>697</v>
      </c>
      <c r="Q63" s="33" t="s">
        <v>695</v>
      </c>
      <c r="R63" s="41" t="s">
        <v>698</v>
      </c>
      <c r="S63" s="33" t="s">
        <v>695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43" t="s">
        <v>321</v>
      </c>
      <c r="Y63" s="44" t="s">
        <v>321</v>
      </c>
    </row>
    <row r="64" spans="1:25" ht="7.5" customHeight="1" x14ac:dyDescent="0.2">
      <c r="A64" s="9">
        <v>64</v>
      </c>
      <c r="B64" s="13" t="s">
        <v>384</v>
      </c>
      <c r="C64" s="12" t="s">
        <v>817</v>
      </c>
      <c r="D64" s="53" t="s">
        <v>761</v>
      </c>
      <c r="E64" s="54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682</v>
      </c>
      <c r="M64" s="33" t="s">
        <v>764</v>
      </c>
      <c r="N64" s="30" t="s">
        <v>1</v>
      </c>
      <c r="O64" s="33" t="s">
        <v>76</v>
      </c>
      <c r="P64" s="41" t="s">
        <v>697</v>
      </c>
      <c r="Q64" s="33" t="s">
        <v>695</v>
      </c>
      <c r="R64" s="41" t="s">
        <v>698</v>
      </c>
      <c r="S64" s="33" t="s">
        <v>695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43" t="s">
        <v>321</v>
      </c>
      <c r="Y64" s="44" t="s">
        <v>321</v>
      </c>
    </row>
    <row r="65" spans="1:25" ht="7.5" customHeight="1" x14ac:dyDescent="0.2">
      <c r="A65" s="9">
        <v>65</v>
      </c>
      <c r="B65" s="13" t="s">
        <v>385</v>
      </c>
      <c r="C65" s="12" t="s">
        <v>817</v>
      </c>
      <c r="D65" s="53" t="s">
        <v>761</v>
      </c>
      <c r="E65" s="54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682</v>
      </c>
      <c r="M65" s="33" t="s">
        <v>764</v>
      </c>
      <c r="N65" s="30" t="s">
        <v>1</v>
      </c>
      <c r="O65" s="33" t="s">
        <v>77</v>
      </c>
      <c r="P65" s="41" t="s">
        <v>697</v>
      </c>
      <c r="Q65" s="33" t="s">
        <v>695</v>
      </c>
      <c r="R65" s="41" t="s">
        <v>698</v>
      </c>
      <c r="S65" s="33" t="s">
        <v>695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43" t="s">
        <v>321</v>
      </c>
      <c r="Y65" s="44" t="s">
        <v>321</v>
      </c>
    </row>
    <row r="66" spans="1:25" ht="7.5" customHeight="1" x14ac:dyDescent="0.2">
      <c r="A66" s="9">
        <v>66</v>
      </c>
      <c r="B66" s="13" t="s">
        <v>386</v>
      </c>
      <c r="C66" s="12" t="s">
        <v>817</v>
      </c>
      <c r="D66" s="53" t="s">
        <v>761</v>
      </c>
      <c r="E66" s="54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682</v>
      </c>
      <c r="M66" s="33" t="s">
        <v>764</v>
      </c>
      <c r="N66" s="30" t="s">
        <v>1</v>
      </c>
      <c r="O66" s="33" t="s">
        <v>78</v>
      </c>
      <c r="P66" s="41" t="s">
        <v>697</v>
      </c>
      <c r="Q66" s="33" t="s">
        <v>695</v>
      </c>
      <c r="R66" s="41" t="s">
        <v>698</v>
      </c>
      <c r="S66" s="33" t="s">
        <v>695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43" t="s">
        <v>321</v>
      </c>
      <c r="Y66" s="44" t="s">
        <v>321</v>
      </c>
    </row>
    <row r="67" spans="1:25" ht="7.5" customHeight="1" x14ac:dyDescent="0.2">
      <c r="A67" s="9">
        <v>67</v>
      </c>
      <c r="B67" s="13" t="s">
        <v>387</v>
      </c>
      <c r="C67" s="12" t="s">
        <v>817</v>
      </c>
      <c r="D67" s="53" t="s">
        <v>761</v>
      </c>
      <c r="E67" s="54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682</v>
      </c>
      <c r="M67" s="33" t="s">
        <v>764</v>
      </c>
      <c r="N67" s="30" t="s">
        <v>1</v>
      </c>
      <c r="O67" s="33" t="s">
        <v>79</v>
      </c>
      <c r="P67" s="41" t="s">
        <v>697</v>
      </c>
      <c r="Q67" s="33" t="s">
        <v>695</v>
      </c>
      <c r="R67" s="41" t="s">
        <v>698</v>
      </c>
      <c r="S67" s="33" t="s">
        <v>695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43" t="s">
        <v>321</v>
      </c>
      <c r="Y67" s="44" t="s">
        <v>321</v>
      </c>
    </row>
    <row r="68" spans="1:25" ht="7.5" customHeight="1" x14ac:dyDescent="0.2">
      <c r="A68" s="9">
        <v>68</v>
      </c>
      <c r="B68" s="13" t="s">
        <v>388</v>
      </c>
      <c r="C68" s="12" t="s">
        <v>817</v>
      </c>
      <c r="D68" s="53" t="s">
        <v>761</v>
      </c>
      <c r="E68" s="54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682</v>
      </c>
      <c r="M68" s="33" t="s">
        <v>764</v>
      </c>
      <c r="N68" s="30" t="s">
        <v>1</v>
      </c>
      <c r="O68" s="33" t="s">
        <v>80</v>
      </c>
      <c r="P68" s="41" t="s">
        <v>697</v>
      </c>
      <c r="Q68" s="33" t="s">
        <v>695</v>
      </c>
      <c r="R68" s="41" t="s">
        <v>698</v>
      </c>
      <c r="S68" s="33" t="s">
        <v>695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43" t="s">
        <v>321</v>
      </c>
      <c r="Y68" s="44" t="s">
        <v>321</v>
      </c>
    </row>
    <row r="69" spans="1:25" ht="7.5" customHeight="1" x14ac:dyDescent="0.2">
      <c r="A69" s="9">
        <v>69</v>
      </c>
      <c r="B69" s="13" t="s">
        <v>389</v>
      </c>
      <c r="C69" s="12" t="s">
        <v>817</v>
      </c>
      <c r="D69" s="53" t="s">
        <v>761</v>
      </c>
      <c r="E69" s="54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682</v>
      </c>
      <c r="M69" s="33" t="s">
        <v>764</v>
      </c>
      <c r="N69" s="30" t="s">
        <v>1</v>
      </c>
      <c r="O69" s="33" t="s">
        <v>81</v>
      </c>
      <c r="P69" s="41" t="s">
        <v>697</v>
      </c>
      <c r="Q69" s="33" t="s">
        <v>695</v>
      </c>
      <c r="R69" s="41" t="s">
        <v>698</v>
      </c>
      <c r="S69" s="33" t="s">
        <v>695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43" t="s">
        <v>321</v>
      </c>
      <c r="Y69" s="44" t="s">
        <v>321</v>
      </c>
    </row>
    <row r="70" spans="1:25" ht="7.5" customHeight="1" x14ac:dyDescent="0.2">
      <c r="A70" s="9">
        <v>70</v>
      </c>
      <c r="B70" s="13" t="s">
        <v>390</v>
      </c>
      <c r="C70" s="12" t="s">
        <v>817</v>
      </c>
      <c r="D70" s="53" t="s">
        <v>761</v>
      </c>
      <c r="E70" s="54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682</v>
      </c>
      <c r="M70" s="33" t="s">
        <v>764</v>
      </c>
      <c r="N70" s="30" t="s">
        <v>1</v>
      </c>
      <c r="O70" s="33" t="s">
        <v>82</v>
      </c>
      <c r="P70" s="41" t="s">
        <v>697</v>
      </c>
      <c r="Q70" s="33" t="s">
        <v>695</v>
      </c>
      <c r="R70" s="41" t="s">
        <v>698</v>
      </c>
      <c r="S70" s="33" t="s">
        <v>695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43" t="s">
        <v>321</v>
      </c>
      <c r="Y70" s="44" t="s">
        <v>321</v>
      </c>
    </row>
    <row r="71" spans="1:25" ht="7.5" customHeight="1" x14ac:dyDescent="0.2">
      <c r="A71" s="9">
        <v>71</v>
      </c>
      <c r="B71" s="13" t="s">
        <v>391</v>
      </c>
      <c r="C71" s="12" t="s">
        <v>817</v>
      </c>
      <c r="D71" s="53" t="s">
        <v>761</v>
      </c>
      <c r="E71" s="54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682</v>
      </c>
      <c r="M71" s="33" t="s">
        <v>764</v>
      </c>
      <c r="N71" s="30" t="s">
        <v>1</v>
      </c>
      <c r="O71" s="33" t="s">
        <v>83</v>
      </c>
      <c r="P71" s="41" t="s">
        <v>697</v>
      </c>
      <c r="Q71" s="33" t="s">
        <v>695</v>
      </c>
      <c r="R71" s="41" t="s">
        <v>698</v>
      </c>
      <c r="S71" s="33" t="s">
        <v>695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43" t="s">
        <v>321</v>
      </c>
      <c r="Y71" s="44" t="s">
        <v>321</v>
      </c>
    </row>
    <row r="72" spans="1:25" ht="7.5" customHeight="1" x14ac:dyDescent="0.2">
      <c r="A72" s="9">
        <v>72</v>
      </c>
      <c r="B72" s="13" t="s">
        <v>392</v>
      </c>
      <c r="C72" s="12" t="s">
        <v>817</v>
      </c>
      <c r="D72" s="53" t="s">
        <v>761</v>
      </c>
      <c r="E72" s="54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682</v>
      </c>
      <c r="M72" s="33" t="s">
        <v>764</v>
      </c>
      <c r="N72" s="30" t="s">
        <v>1</v>
      </c>
      <c r="O72" s="33" t="s">
        <v>84</v>
      </c>
      <c r="P72" s="41" t="s">
        <v>697</v>
      </c>
      <c r="Q72" s="33" t="s">
        <v>695</v>
      </c>
      <c r="R72" s="41" t="s">
        <v>698</v>
      </c>
      <c r="S72" s="33" t="s">
        <v>695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43" t="s">
        <v>321</v>
      </c>
      <c r="Y72" s="44" t="s">
        <v>321</v>
      </c>
    </row>
    <row r="73" spans="1:25" ht="7.5" customHeight="1" x14ac:dyDescent="0.2">
      <c r="A73" s="9">
        <v>73</v>
      </c>
      <c r="B73" s="13" t="s">
        <v>393</v>
      </c>
      <c r="C73" s="12" t="s">
        <v>817</v>
      </c>
      <c r="D73" s="53" t="s">
        <v>761</v>
      </c>
      <c r="E73" s="54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682</v>
      </c>
      <c r="M73" s="33" t="s">
        <v>764</v>
      </c>
      <c r="N73" s="30" t="s">
        <v>1</v>
      </c>
      <c r="O73" s="33" t="s">
        <v>85</v>
      </c>
      <c r="P73" s="41" t="s">
        <v>697</v>
      </c>
      <c r="Q73" s="33" t="s">
        <v>695</v>
      </c>
      <c r="R73" s="41" t="s">
        <v>698</v>
      </c>
      <c r="S73" s="33" t="s">
        <v>695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43" t="s">
        <v>321</v>
      </c>
      <c r="Y73" s="44" t="s">
        <v>321</v>
      </c>
    </row>
    <row r="74" spans="1:25" ht="7.5" customHeight="1" x14ac:dyDescent="0.2">
      <c r="A74" s="9">
        <v>74</v>
      </c>
      <c r="B74" s="13" t="s">
        <v>394</v>
      </c>
      <c r="C74" s="12" t="s">
        <v>817</v>
      </c>
      <c r="D74" s="53" t="s">
        <v>761</v>
      </c>
      <c r="E74" s="54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682</v>
      </c>
      <c r="M74" s="33" t="s">
        <v>764</v>
      </c>
      <c r="N74" s="30" t="s">
        <v>1</v>
      </c>
      <c r="O74" s="33" t="s">
        <v>86</v>
      </c>
      <c r="P74" s="41" t="s">
        <v>697</v>
      </c>
      <c r="Q74" s="33" t="s">
        <v>695</v>
      </c>
      <c r="R74" s="41" t="s">
        <v>698</v>
      </c>
      <c r="S74" s="33" t="s">
        <v>695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43" t="s">
        <v>321</v>
      </c>
      <c r="Y74" s="44" t="s">
        <v>321</v>
      </c>
    </row>
    <row r="75" spans="1:25" ht="7.5" customHeight="1" x14ac:dyDescent="0.2">
      <c r="A75" s="9">
        <v>75</v>
      </c>
      <c r="B75" s="13" t="s">
        <v>395</v>
      </c>
      <c r="C75" s="12" t="s">
        <v>817</v>
      </c>
      <c r="D75" s="53" t="s">
        <v>761</v>
      </c>
      <c r="E75" s="54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682</v>
      </c>
      <c r="M75" s="33" t="s">
        <v>764</v>
      </c>
      <c r="N75" s="30" t="s">
        <v>1</v>
      </c>
      <c r="O75" s="33" t="s">
        <v>87</v>
      </c>
      <c r="P75" s="41" t="s">
        <v>697</v>
      </c>
      <c r="Q75" s="33" t="s">
        <v>695</v>
      </c>
      <c r="R75" s="41" t="s">
        <v>698</v>
      </c>
      <c r="S75" s="33" t="s">
        <v>695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43" t="s">
        <v>321</v>
      </c>
      <c r="Y75" s="44" t="s">
        <v>321</v>
      </c>
    </row>
    <row r="76" spans="1:25" ht="7.5" customHeight="1" x14ac:dyDescent="0.2">
      <c r="A76" s="9">
        <v>76</v>
      </c>
      <c r="B76" s="10" t="s">
        <v>396</v>
      </c>
      <c r="C76" s="12" t="s">
        <v>818</v>
      </c>
      <c r="D76" s="53" t="s">
        <v>761</v>
      </c>
      <c r="E76" s="54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682</v>
      </c>
      <c r="M76" s="33" t="s">
        <v>765</v>
      </c>
      <c r="N76" s="30" t="s">
        <v>1</v>
      </c>
      <c r="O76" s="33" t="s">
        <v>88</v>
      </c>
      <c r="P76" s="41" t="s">
        <v>697</v>
      </c>
      <c r="Q76" s="33" t="s">
        <v>695</v>
      </c>
      <c r="R76" s="41" t="s">
        <v>698</v>
      </c>
      <c r="S76" s="33" t="s">
        <v>695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43" t="s">
        <v>321</v>
      </c>
      <c r="Y76" s="44" t="s">
        <v>321</v>
      </c>
    </row>
    <row r="77" spans="1:25" ht="7.5" customHeight="1" x14ac:dyDescent="0.2">
      <c r="A77" s="9">
        <v>77</v>
      </c>
      <c r="B77" s="13" t="s">
        <v>397</v>
      </c>
      <c r="C77" s="12" t="s">
        <v>818</v>
      </c>
      <c r="D77" s="53" t="s">
        <v>761</v>
      </c>
      <c r="E77" s="54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682</v>
      </c>
      <c r="M77" s="33" t="s">
        <v>765</v>
      </c>
      <c r="N77" s="30" t="s">
        <v>1</v>
      </c>
      <c r="O77" s="33" t="s">
        <v>89</v>
      </c>
      <c r="P77" s="41" t="s">
        <v>697</v>
      </c>
      <c r="Q77" s="33" t="s">
        <v>695</v>
      </c>
      <c r="R77" s="41" t="s">
        <v>698</v>
      </c>
      <c r="S77" s="33" t="s">
        <v>695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43" t="s">
        <v>321</v>
      </c>
      <c r="Y77" s="44" t="s">
        <v>321</v>
      </c>
    </row>
    <row r="78" spans="1:25" ht="7.5" customHeight="1" x14ac:dyDescent="0.2">
      <c r="A78" s="9">
        <v>78</v>
      </c>
      <c r="B78" s="13" t="s">
        <v>398</v>
      </c>
      <c r="C78" s="12" t="s">
        <v>818</v>
      </c>
      <c r="D78" s="53" t="s">
        <v>761</v>
      </c>
      <c r="E78" s="54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682</v>
      </c>
      <c r="M78" s="33" t="s">
        <v>765</v>
      </c>
      <c r="N78" s="30" t="s">
        <v>1</v>
      </c>
      <c r="O78" s="33" t="s">
        <v>90</v>
      </c>
      <c r="P78" s="41" t="s">
        <v>697</v>
      </c>
      <c r="Q78" s="33" t="s">
        <v>695</v>
      </c>
      <c r="R78" s="41" t="s">
        <v>698</v>
      </c>
      <c r="S78" s="33" t="s">
        <v>695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43" t="s">
        <v>321</v>
      </c>
      <c r="Y78" s="44" t="s">
        <v>321</v>
      </c>
    </row>
    <row r="79" spans="1:25" ht="7.5" customHeight="1" x14ac:dyDescent="0.2">
      <c r="A79" s="9">
        <v>79</v>
      </c>
      <c r="B79" s="13" t="s">
        <v>399</v>
      </c>
      <c r="C79" s="12" t="s">
        <v>818</v>
      </c>
      <c r="D79" s="53" t="s">
        <v>761</v>
      </c>
      <c r="E79" s="54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682</v>
      </c>
      <c r="M79" s="33" t="s">
        <v>765</v>
      </c>
      <c r="N79" s="30" t="s">
        <v>1</v>
      </c>
      <c r="O79" s="33" t="s">
        <v>91</v>
      </c>
      <c r="P79" s="41" t="s">
        <v>697</v>
      </c>
      <c r="Q79" s="33" t="s">
        <v>695</v>
      </c>
      <c r="R79" s="41" t="s">
        <v>698</v>
      </c>
      <c r="S79" s="33" t="s">
        <v>695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43" t="s">
        <v>321</v>
      </c>
      <c r="Y79" s="44" t="s">
        <v>321</v>
      </c>
    </row>
    <row r="80" spans="1:25" ht="7.5" customHeight="1" x14ac:dyDescent="0.2">
      <c r="A80" s="9">
        <v>80</v>
      </c>
      <c r="B80" s="13" t="s">
        <v>400</v>
      </c>
      <c r="C80" s="12" t="s">
        <v>818</v>
      </c>
      <c r="D80" s="53" t="s">
        <v>761</v>
      </c>
      <c r="E80" s="54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682</v>
      </c>
      <c r="M80" s="33" t="s">
        <v>765</v>
      </c>
      <c r="N80" s="30" t="s">
        <v>1</v>
      </c>
      <c r="O80" s="33" t="s">
        <v>92</v>
      </c>
      <c r="P80" s="41" t="s">
        <v>697</v>
      </c>
      <c r="Q80" s="33" t="s">
        <v>695</v>
      </c>
      <c r="R80" s="41" t="s">
        <v>698</v>
      </c>
      <c r="S80" s="33" t="s">
        <v>695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43" t="s">
        <v>321</v>
      </c>
      <c r="Y80" s="44" t="s">
        <v>321</v>
      </c>
    </row>
    <row r="81" spans="1:25" ht="7.5" customHeight="1" x14ac:dyDescent="0.2">
      <c r="A81" s="9">
        <v>81</v>
      </c>
      <c r="B81" s="13" t="s">
        <v>401</v>
      </c>
      <c r="C81" s="12" t="s">
        <v>818</v>
      </c>
      <c r="D81" s="53" t="s">
        <v>761</v>
      </c>
      <c r="E81" s="54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682</v>
      </c>
      <c r="M81" s="33" t="s">
        <v>765</v>
      </c>
      <c r="N81" s="30" t="s">
        <v>1</v>
      </c>
      <c r="O81" s="33" t="s">
        <v>93</v>
      </c>
      <c r="P81" s="41" t="s">
        <v>697</v>
      </c>
      <c r="Q81" s="33" t="s">
        <v>695</v>
      </c>
      <c r="R81" s="41" t="s">
        <v>698</v>
      </c>
      <c r="S81" s="33" t="s">
        <v>695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43" t="s">
        <v>321</v>
      </c>
      <c r="Y81" s="44" t="s">
        <v>321</v>
      </c>
    </row>
    <row r="82" spans="1:25" ht="7.5" customHeight="1" x14ac:dyDescent="0.2">
      <c r="A82" s="9">
        <v>82</v>
      </c>
      <c r="B82" s="13" t="s">
        <v>402</v>
      </c>
      <c r="C82" s="12" t="s">
        <v>818</v>
      </c>
      <c r="D82" s="53" t="s">
        <v>761</v>
      </c>
      <c r="E82" s="54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682</v>
      </c>
      <c r="M82" s="33" t="s">
        <v>765</v>
      </c>
      <c r="N82" s="30" t="s">
        <v>1</v>
      </c>
      <c r="O82" s="33" t="s">
        <v>94</v>
      </c>
      <c r="P82" s="41" t="s">
        <v>697</v>
      </c>
      <c r="Q82" s="33" t="s">
        <v>695</v>
      </c>
      <c r="R82" s="41" t="s">
        <v>698</v>
      </c>
      <c r="S82" s="33" t="s">
        <v>695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43" t="s">
        <v>321</v>
      </c>
      <c r="Y82" s="44" t="s">
        <v>321</v>
      </c>
    </row>
    <row r="83" spans="1:25" ht="7.5" customHeight="1" x14ac:dyDescent="0.2">
      <c r="A83" s="9">
        <v>83</v>
      </c>
      <c r="B83" s="13" t="s">
        <v>403</v>
      </c>
      <c r="C83" s="12" t="s">
        <v>818</v>
      </c>
      <c r="D83" s="53" t="s">
        <v>761</v>
      </c>
      <c r="E83" s="54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682</v>
      </c>
      <c r="M83" s="33" t="s">
        <v>765</v>
      </c>
      <c r="N83" s="30" t="s">
        <v>1</v>
      </c>
      <c r="O83" s="33" t="s">
        <v>95</v>
      </c>
      <c r="P83" s="41" t="s">
        <v>697</v>
      </c>
      <c r="Q83" s="33" t="s">
        <v>695</v>
      </c>
      <c r="R83" s="41" t="s">
        <v>698</v>
      </c>
      <c r="S83" s="33" t="s">
        <v>695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43" t="s">
        <v>321</v>
      </c>
      <c r="Y83" s="44" t="s">
        <v>321</v>
      </c>
    </row>
    <row r="84" spans="1:25" ht="7.5" customHeight="1" x14ac:dyDescent="0.2">
      <c r="A84" s="9">
        <v>84</v>
      </c>
      <c r="B84" s="13" t="s">
        <v>404</v>
      </c>
      <c r="C84" s="12" t="s">
        <v>818</v>
      </c>
      <c r="D84" s="53" t="s">
        <v>761</v>
      </c>
      <c r="E84" s="54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682</v>
      </c>
      <c r="M84" s="33" t="s">
        <v>765</v>
      </c>
      <c r="N84" s="30" t="s">
        <v>1</v>
      </c>
      <c r="O84" s="33" t="s">
        <v>96</v>
      </c>
      <c r="P84" s="41" t="s">
        <v>697</v>
      </c>
      <c r="Q84" s="33" t="s">
        <v>695</v>
      </c>
      <c r="R84" s="41" t="s">
        <v>698</v>
      </c>
      <c r="S84" s="33" t="s">
        <v>695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43" t="s">
        <v>321</v>
      </c>
      <c r="Y84" s="44" t="s">
        <v>321</v>
      </c>
    </row>
    <row r="85" spans="1:25" ht="7.5" customHeight="1" x14ac:dyDescent="0.2">
      <c r="A85" s="9">
        <v>85</v>
      </c>
      <c r="B85" s="13" t="s">
        <v>405</v>
      </c>
      <c r="C85" s="12" t="s">
        <v>818</v>
      </c>
      <c r="D85" s="53" t="s">
        <v>761</v>
      </c>
      <c r="E85" s="54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682</v>
      </c>
      <c r="M85" s="33" t="s">
        <v>765</v>
      </c>
      <c r="N85" s="30" t="s">
        <v>1</v>
      </c>
      <c r="O85" s="33" t="s">
        <v>97</v>
      </c>
      <c r="P85" s="41" t="s">
        <v>697</v>
      </c>
      <c r="Q85" s="33" t="s">
        <v>695</v>
      </c>
      <c r="R85" s="41" t="s">
        <v>698</v>
      </c>
      <c r="S85" s="33" t="s">
        <v>695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43" t="s">
        <v>321</v>
      </c>
      <c r="Y85" s="44" t="s">
        <v>321</v>
      </c>
    </row>
    <row r="86" spans="1:25" ht="7.5" customHeight="1" x14ac:dyDescent="0.2">
      <c r="A86" s="9">
        <v>86</v>
      </c>
      <c r="B86" s="13" t="s">
        <v>406</v>
      </c>
      <c r="C86" s="12" t="s">
        <v>818</v>
      </c>
      <c r="D86" s="53" t="s">
        <v>761</v>
      </c>
      <c r="E86" s="54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682</v>
      </c>
      <c r="M86" s="33" t="s">
        <v>765</v>
      </c>
      <c r="N86" s="30" t="s">
        <v>1</v>
      </c>
      <c r="O86" s="33" t="s">
        <v>98</v>
      </c>
      <c r="P86" s="41" t="s">
        <v>697</v>
      </c>
      <c r="Q86" s="33" t="s">
        <v>695</v>
      </c>
      <c r="R86" s="41" t="s">
        <v>698</v>
      </c>
      <c r="S86" s="33" t="s">
        <v>695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43" t="s">
        <v>321</v>
      </c>
      <c r="Y86" s="44" t="s">
        <v>321</v>
      </c>
    </row>
    <row r="87" spans="1:25" ht="7.5" customHeight="1" x14ac:dyDescent="0.2">
      <c r="A87" s="9">
        <v>87</v>
      </c>
      <c r="B87" s="13" t="s">
        <v>407</v>
      </c>
      <c r="C87" s="12" t="s">
        <v>818</v>
      </c>
      <c r="D87" s="53" t="s">
        <v>761</v>
      </c>
      <c r="E87" s="54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682</v>
      </c>
      <c r="M87" s="33" t="s">
        <v>765</v>
      </c>
      <c r="N87" s="30" t="s">
        <v>1</v>
      </c>
      <c r="O87" s="33" t="s">
        <v>99</v>
      </c>
      <c r="P87" s="41" t="s">
        <v>697</v>
      </c>
      <c r="Q87" s="33" t="s">
        <v>695</v>
      </c>
      <c r="R87" s="41" t="s">
        <v>698</v>
      </c>
      <c r="S87" s="33" t="s">
        <v>695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43" t="s">
        <v>321</v>
      </c>
      <c r="Y87" s="44" t="s">
        <v>321</v>
      </c>
    </row>
    <row r="88" spans="1:25" ht="7.5" customHeight="1" x14ac:dyDescent="0.2">
      <c r="A88" s="9">
        <v>88</v>
      </c>
      <c r="B88" s="13" t="s">
        <v>408</v>
      </c>
      <c r="C88" s="12" t="s">
        <v>818</v>
      </c>
      <c r="D88" s="53" t="s">
        <v>761</v>
      </c>
      <c r="E88" s="54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682</v>
      </c>
      <c r="M88" s="33" t="s">
        <v>765</v>
      </c>
      <c r="N88" s="30" t="s">
        <v>1</v>
      </c>
      <c r="O88" s="33" t="s">
        <v>100</v>
      </c>
      <c r="P88" s="41" t="s">
        <v>697</v>
      </c>
      <c r="Q88" s="33" t="s">
        <v>695</v>
      </c>
      <c r="R88" s="41" t="s">
        <v>698</v>
      </c>
      <c r="S88" s="33" t="s">
        <v>695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43" t="s">
        <v>321</v>
      </c>
      <c r="Y88" s="44" t="s">
        <v>321</v>
      </c>
    </row>
    <row r="89" spans="1:25" ht="7.5" customHeight="1" x14ac:dyDescent="0.2">
      <c r="A89" s="9">
        <v>89</v>
      </c>
      <c r="B89" s="13" t="s">
        <v>409</v>
      </c>
      <c r="C89" s="12" t="s">
        <v>818</v>
      </c>
      <c r="D89" s="53" t="s">
        <v>761</v>
      </c>
      <c r="E89" s="54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682</v>
      </c>
      <c r="M89" s="33" t="s">
        <v>765</v>
      </c>
      <c r="N89" s="30" t="s">
        <v>1</v>
      </c>
      <c r="O89" s="33" t="s">
        <v>101</v>
      </c>
      <c r="P89" s="41" t="s">
        <v>697</v>
      </c>
      <c r="Q89" s="33" t="s">
        <v>695</v>
      </c>
      <c r="R89" s="41" t="s">
        <v>698</v>
      </c>
      <c r="S89" s="33" t="s">
        <v>695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43" t="s">
        <v>321</v>
      </c>
      <c r="Y89" s="44" t="s">
        <v>321</v>
      </c>
    </row>
    <row r="90" spans="1:25" ht="7.5" customHeight="1" x14ac:dyDescent="0.2">
      <c r="A90" s="9">
        <v>90</v>
      </c>
      <c r="B90" s="13" t="s">
        <v>410</v>
      </c>
      <c r="C90" s="12" t="s">
        <v>818</v>
      </c>
      <c r="D90" s="53" t="s">
        <v>761</v>
      </c>
      <c r="E90" s="54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682</v>
      </c>
      <c r="M90" s="33" t="s">
        <v>765</v>
      </c>
      <c r="N90" s="30" t="s">
        <v>1</v>
      </c>
      <c r="O90" s="33" t="s">
        <v>102</v>
      </c>
      <c r="P90" s="41" t="s">
        <v>697</v>
      </c>
      <c r="Q90" s="33" t="s">
        <v>695</v>
      </c>
      <c r="R90" s="41" t="s">
        <v>698</v>
      </c>
      <c r="S90" s="33" t="s">
        <v>695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43" t="s">
        <v>321</v>
      </c>
      <c r="Y90" s="44" t="s">
        <v>321</v>
      </c>
    </row>
    <row r="91" spans="1:25" ht="7.5" customHeight="1" x14ac:dyDescent="0.2">
      <c r="A91" s="9">
        <v>91</v>
      </c>
      <c r="B91" s="13" t="s">
        <v>411</v>
      </c>
      <c r="C91" s="12" t="s">
        <v>818</v>
      </c>
      <c r="D91" s="53" t="s">
        <v>761</v>
      </c>
      <c r="E91" s="54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682</v>
      </c>
      <c r="M91" s="33" t="s">
        <v>765</v>
      </c>
      <c r="N91" s="30" t="s">
        <v>1</v>
      </c>
      <c r="O91" s="33" t="s">
        <v>103</v>
      </c>
      <c r="P91" s="41" t="s">
        <v>697</v>
      </c>
      <c r="Q91" s="33" t="s">
        <v>695</v>
      </c>
      <c r="R91" s="41" t="s">
        <v>698</v>
      </c>
      <c r="S91" s="33" t="s">
        <v>695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43" t="s">
        <v>321</v>
      </c>
      <c r="Y91" s="44" t="s">
        <v>321</v>
      </c>
    </row>
    <row r="92" spans="1:25" ht="7.5" customHeight="1" x14ac:dyDescent="0.2">
      <c r="A92" s="9">
        <v>92</v>
      </c>
      <c r="B92" s="13" t="s">
        <v>412</v>
      </c>
      <c r="C92" s="12" t="s">
        <v>818</v>
      </c>
      <c r="D92" s="53" t="s">
        <v>761</v>
      </c>
      <c r="E92" s="54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682</v>
      </c>
      <c r="M92" s="33" t="s">
        <v>765</v>
      </c>
      <c r="N92" s="30" t="s">
        <v>1</v>
      </c>
      <c r="O92" s="33" t="s">
        <v>104</v>
      </c>
      <c r="P92" s="41" t="s">
        <v>697</v>
      </c>
      <c r="Q92" s="33" t="s">
        <v>695</v>
      </c>
      <c r="R92" s="41" t="s">
        <v>698</v>
      </c>
      <c r="S92" s="33" t="s">
        <v>695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43" t="s">
        <v>321</v>
      </c>
      <c r="Y92" s="44" t="s">
        <v>321</v>
      </c>
    </row>
    <row r="93" spans="1:25" ht="7.5" customHeight="1" x14ac:dyDescent="0.2">
      <c r="A93" s="9">
        <v>93</v>
      </c>
      <c r="B93" s="13" t="s">
        <v>413</v>
      </c>
      <c r="C93" s="12" t="s">
        <v>818</v>
      </c>
      <c r="D93" s="53" t="s">
        <v>761</v>
      </c>
      <c r="E93" s="54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682</v>
      </c>
      <c r="M93" s="33" t="s">
        <v>765</v>
      </c>
      <c r="N93" s="30" t="s">
        <v>1</v>
      </c>
      <c r="O93" s="33" t="s">
        <v>105</v>
      </c>
      <c r="P93" s="41" t="s">
        <v>697</v>
      </c>
      <c r="Q93" s="33" t="s">
        <v>695</v>
      </c>
      <c r="R93" s="41" t="s">
        <v>698</v>
      </c>
      <c r="S93" s="33" t="s">
        <v>695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43" t="s">
        <v>321</v>
      </c>
      <c r="Y93" s="44" t="s">
        <v>321</v>
      </c>
    </row>
    <row r="94" spans="1:25" ht="7.5" customHeight="1" x14ac:dyDescent="0.2">
      <c r="A94" s="9">
        <v>94</v>
      </c>
      <c r="B94" s="13" t="s">
        <v>414</v>
      </c>
      <c r="C94" s="12" t="s">
        <v>818</v>
      </c>
      <c r="D94" s="53" t="s">
        <v>761</v>
      </c>
      <c r="E94" s="54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682</v>
      </c>
      <c r="M94" s="33" t="s">
        <v>765</v>
      </c>
      <c r="N94" s="30" t="s">
        <v>1</v>
      </c>
      <c r="O94" s="33" t="s">
        <v>106</v>
      </c>
      <c r="P94" s="41" t="s">
        <v>697</v>
      </c>
      <c r="Q94" s="33" t="s">
        <v>695</v>
      </c>
      <c r="R94" s="41" t="s">
        <v>698</v>
      </c>
      <c r="S94" s="33" t="s">
        <v>695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43" t="s">
        <v>321</v>
      </c>
      <c r="Y94" s="44" t="s">
        <v>321</v>
      </c>
    </row>
    <row r="95" spans="1:25" ht="7.5" customHeight="1" x14ac:dyDescent="0.2">
      <c r="A95" s="9">
        <v>95</v>
      </c>
      <c r="B95" s="13" t="s">
        <v>415</v>
      </c>
      <c r="C95" s="12" t="s">
        <v>818</v>
      </c>
      <c r="D95" s="53" t="s">
        <v>761</v>
      </c>
      <c r="E95" s="54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682</v>
      </c>
      <c r="M95" s="33" t="s">
        <v>765</v>
      </c>
      <c r="N95" s="30" t="s">
        <v>1</v>
      </c>
      <c r="O95" s="33" t="s">
        <v>107</v>
      </c>
      <c r="P95" s="41" t="s">
        <v>697</v>
      </c>
      <c r="Q95" s="33" t="s">
        <v>695</v>
      </c>
      <c r="R95" s="41" t="s">
        <v>698</v>
      </c>
      <c r="S95" s="33" t="s">
        <v>695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43" t="s">
        <v>321</v>
      </c>
      <c r="Y95" s="44" t="s">
        <v>321</v>
      </c>
    </row>
    <row r="96" spans="1:25" ht="7.5" customHeight="1" x14ac:dyDescent="0.2">
      <c r="A96" s="9">
        <v>96</v>
      </c>
      <c r="B96" s="13" t="s">
        <v>416</v>
      </c>
      <c r="C96" s="12" t="s">
        <v>818</v>
      </c>
      <c r="D96" s="53" t="s">
        <v>761</v>
      </c>
      <c r="E96" s="54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682</v>
      </c>
      <c r="M96" s="33" t="s">
        <v>765</v>
      </c>
      <c r="N96" s="30" t="s">
        <v>1</v>
      </c>
      <c r="O96" s="33" t="s">
        <v>108</v>
      </c>
      <c r="P96" s="41" t="s">
        <v>697</v>
      </c>
      <c r="Q96" s="33" t="s">
        <v>695</v>
      </c>
      <c r="R96" s="41" t="s">
        <v>698</v>
      </c>
      <c r="S96" s="33" t="s">
        <v>695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43" t="s">
        <v>321</v>
      </c>
      <c r="Y96" s="44" t="s">
        <v>321</v>
      </c>
    </row>
    <row r="97" spans="1:25" ht="7.5" customHeight="1" x14ac:dyDescent="0.2">
      <c r="A97" s="9">
        <v>97</v>
      </c>
      <c r="B97" s="13" t="s">
        <v>417</v>
      </c>
      <c r="C97" s="12" t="s">
        <v>818</v>
      </c>
      <c r="D97" s="53" t="s">
        <v>761</v>
      </c>
      <c r="E97" s="54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682</v>
      </c>
      <c r="M97" s="33" t="s">
        <v>765</v>
      </c>
      <c r="N97" s="30" t="s">
        <v>1</v>
      </c>
      <c r="O97" s="33" t="s">
        <v>109</v>
      </c>
      <c r="P97" s="41" t="s">
        <v>697</v>
      </c>
      <c r="Q97" s="33" t="s">
        <v>695</v>
      </c>
      <c r="R97" s="41" t="s">
        <v>698</v>
      </c>
      <c r="S97" s="33" t="s">
        <v>695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43" t="s">
        <v>321</v>
      </c>
      <c r="Y97" s="44" t="s">
        <v>321</v>
      </c>
    </row>
    <row r="98" spans="1:25" ht="7.5" customHeight="1" x14ac:dyDescent="0.2">
      <c r="A98" s="9">
        <v>98</v>
      </c>
      <c r="B98" s="13" t="s">
        <v>418</v>
      </c>
      <c r="C98" s="12" t="s">
        <v>818</v>
      </c>
      <c r="D98" s="53" t="s">
        <v>761</v>
      </c>
      <c r="E98" s="54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682</v>
      </c>
      <c r="M98" s="33" t="s">
        <v>765</v>
      </c>
      <c r="N98" s="30" t="s">
        <v>1</v>
      </c>
      <c r="O98" s="33" t="s">
        <v>110</v>
      </c>
      <c r="P98" s="41" t="s">
        <v>697</v>
      </c>
      <c r="Q98" s="33" t="s">
        <v>695</v>
      </c>
      <c r="R98" s="41" t="s">
        <v>698</v>
      </c>
      <c r="S98" s="33" t="s">
        <v>695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43" t="s">
        <v>321</v>
      </c>
      <c r="Y98" s="44" t="s">
        <v>321</v>
      </c>
    </row>
    <row r="99" spans="1:25" ht="7.5" customHeight="1" x14ac:dyDescent="0.2">
      <c r="A99" s="9">
        <v>99</v>
      </c>
      <c r="B99" s="13" t="s">
        <v>419</v>
      </c>
      <c r="C99" s="12" t="s">
        <v>818</v>
      </c>
      <c r="D99" s="53" t="s">
        <v>761</v>
      </c>
      <c r="E99" s="54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682</v>
      </c>
      <c r="M99" s="33" t="s">
        <v>765</v>
      </c>
      <c r="N99" s="30" t="s">
        <v>1</v>
      </c>
      <c r="O99" s="33" t="s">
        <v>111</v>
      </c>
      <c r="P99" s="41" t="s">
        <v>697</v>
      </c>
      <c r="Q99" s="33" t="s">
        <v>695</v>
      </c>
      <c r="R99" s="41" t="s">
        <v>698</v>
      </c>
      <c r="S99" s="33" t="s">
        <v>695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43" t="s">
        <v>321</v>
      </c>
      <c r="Y99" s="44" t="s">
        <v>321</v>
      </c>
    </row>
    <row r="100" spans="1:25" ht="7.5" customHeight="1" x14ac:dyDescent="0.2">
      <c r="A100" s="9">
        <v>100</v>
      </c>
      <c r="B100" s="13" t="s">
        <v>420</v>
      </c>
      <c r="C100" s="12" t="s">
        <v>818</v>
      </c>
      <c r="D100" s="53" t="s">
        <v>761</v>
      </c>
      <c r="E100" s="54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682</v>
      </c>
      <c r="M100" s="33" t="s">
        <v>765</v>
      </c>
      <c r="N100" s="30" t="s">
        <v>1</v>
      </c>
      <c r="O100" s="33" t="s">
        <v>112</v>
      </c>
      <c r="P100" s="41" t="s">
        <v>697</v>
      </c>
      <c r="Q100" s="33" t="s">
        <v>695</v>
      </c>
      <c r="R100" s="41" t="s">
        <v>698</v>
      </c>
      <c r="S100" s="33" t="s">
        <v>695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43" t="s">
        <v>321</v>
      </c>
      <c r="Y100" s="44" t="s">
        <v>321</v>
      </c>
    </row>
    <row r="101" spans="1:25" ht="7.5" customHeight="1" x14ac:dyDescent="0.2">
      <c r="A101" s="9">
        <v>101</v>
      </c>
      <c r="B101" s="13" t="s">
        <v>421</v>
      </c>
      <c r="C101" s="12" t="s">
        <v>818</v>
      </c>
      <c r="D101" s="53" t="s">
        <v>761</v>
      </c>
      <c r="E101" s="54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682</v>
      </c>
      <c r="M101" s="33" t="s">
        <v>765</v>
      </c>
      <c r="N101" s="30" t="s">
        <v>1</v>
      </c>
      <c r="O101" s="33" t="s">
        <v>113</v>
      </c>
      <c r="P101" s="41" t="s">
        <v>697</v>
      </c>
      <c r="Q101" s="33" t="s">
        <v>695</v>
      </c>
      <c r="R101" s="41" t="s">
        <v>698</v>
      </c>
      <c r="S101" s="33" t="s">
        <v>695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43" t="s">
        <v>321</v>
      </c>
      <c r="Y101" s="44" t="s">
        <v>321</v>
      </c>
    </row>
    <row r="102" spans="1:25" ht="7.5" customHeight="1" x14ac:dyDescent="0.2">
      <c r="A102" s="9">
        <v>102</v>
      </c>
      <c r="B102" s="13" t="s">
        <v>422</v>
      </c>
      <c r="C102" s="12" t="s">
        <v>818</v>
      </c>
      <c r="D102" s="53" t="s">
        <v>761</v>
      </c>
      <c r="E102" s="54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682</v>
      </c>
      <c r="M102" s="33" t="s">
        <v>765</v>
      </c>
      <c r="N102" s="30" t="s">
        <v>1</v>
      </c>
      <c r="O102" s="33" t="s">
        <v>114</v>
      </c>
      <c r="P102" s="41" t="s">
        <v>697</v>
      </c>
      <c r="Q102" s="33" t="s">
        <v>695</v>
      </c>
      <c r="R102" s="41" t="s">
        <v>698</v>
      </c>
      <c r="S102" s="33" t="s">
        <v>695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43" t="s">
        <v>321</v>
      </c>
      <c r="Y102" s="44" t="s">
        <v>321</v>
      </c>
    </row>
    <row r="103" spans="1:25" ht="7.5" customHeight="1" x14ac:dyDescent="0.2">
      <c r="A103" s="9">
        <v>103</v>
      </c>
      <c r="B103" s="13" t="s">
        <v>423</v>
      </c>
      <c r="C103" s="12" t="s">
        <v>819</v>
      </c>
      <c r="D103" s="53" t="s">
        <v>761</v>
      </c>
      <c r="E103" s="54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682</v>
      </c>
      <c r="M103" s="33" t="s">
        <v>766</v>
      </c>
      <c r="N103" s="30" t="s">
        <v>1</v>
      </c>
      <c r="O103" s="33" t="s">
        <v>115</v>
      </c>
      <c r="P103" s="41" t="s">
        <v>697</v>
      </c>
      <c r="Q103" s="33" t="s">
        <v>695</v>
      </c>
      <c r="R103" s="41" t="s">
        <v>698</v>
      </c>
      <c r="S103" s="33" t="s">
        <v>695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43" t="s">
        <v>321</v>
      </c>
      <c r="Y103" s="44" t="s">
        <v>321</v>
      </c>
    </row>
    <row r="104" spans="1:25" ht="7.5" customHeight="1" x14ac:dyDescent="0.2">
      <c r="A104" s="9">
        <v>104</v>
      </c>
      <c r="B104" s="13" t="s">
        <v>424</v>
      </c>
      <c r="C104" s="12" t="s">
        <v>819</v>
      </c>
      <c r="D104" s="53" t="s">
        <v>761</v>
      </c>
      <c r="E104" s="54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682</v>
      </c>
      <c r="M104" s="33" t="s">
        <v>766</v>
      </c>
      <c r="N104" s="30" t="s">
        <v>1</v>
      </c>
      <c r="O104" s="33" t="s">
        <v>116</v>
      </c>
      <c r="P104" s="41" t="s">
        <v>697</v>
      </c>
      <c r="Q104" s="33" t="s">
        <v>695</v>
      </c>
      <c r="R104" s="41" t="s">
        <v>698</v>
      </c>
      <c r="S104" s="33" t="s">
        <v>695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43" t="s">
        <v>321</v>
      </c>
      <c r="Y104" s="44" t="s">
        <v>321</v>
      </c>
    </row>
    <row r="105" spans="1:25" ht="7.5" customHeight="1" x14ac:dyDescent="0.2">
      <c r="A105" s="9">
        <v>105</v>
      </c>
      <c r="B105" s="13" t="s">
        <v>425</v>
      </c>
      <c r="C105" s="12" t="s">
        <v>819</v>
      </c>
      <c r="D105" s="53" t="s">
        <v>761</v>
      </c>
      <c r="E105" s="54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682</v>
      </c>
      <c r="M105" s="33" t="s">
        <v>766</v>
      </c>
      <c r="N105" s="30" t="s">
        <v>1</v>
      </c>
      <c r="O105" s="33" t="s">
        <v>117</v>
      </c>
      <c r="P105" s="41" t="s">
        <v>697</v>
      </c>
      <c r="Q105" s="33" t="s">
        <v>695</v>
      </c>
      <c r="R105" s="41" t="s">
        <v>698</v>
      </c>
      <c r="S105" s="33" t="s">
        <v>695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43" t="s">
        <v>321</v>
      </c>
      <c r="Y105" s="44" t="s">
        <v>321</v>
      </c>
    </row>
    <row r="106" spans="1:25" ht="7.5" customHeight="1" x14ac:dyDescent="0.2">
      <c r="A106" s="9">
        <v>106</v>
      </c>
      <c r="B106" s="13" t="s">
        <v>426</v>
      </c>
      <c r="C106" s="12" t="s">
        <v>819</v>
      </c>
      <c r="D106" s="53" t="s">
        <v>761</v>
      </c>
      <c r="E106" s="54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682</v>
      </c>
      <c r="M106" s="33" t="s">
        <v>766</v>
      </c>
      <c r="N106" s="30" t="s">
        <v>1</v>
      </c>
      <c r="O106" s="33" t="s">
        <v>118</v>
      </c>
      <c r="P106" s="41" t="s">
        <v>697</v>
      </c>
      <c r="Q106" s="33" t="s">
        <v>695</v>
      </c>
      <c r="R106" s="41" t="s">
        <v>698</v>
      </c>
      <c r="S106" s="33" t="s">
        <v>695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43" t="s">
        <v>321</v>
      </c>
      <c r="Y106" s="44" t="s">
        <v>321</v>
      </c>
    </row>
    <row r="107" spans="1:25" ht="7.5" customHeight="1" x14ac:dyDescent="0.2">
      <c r="A107" s="9">
        <v>107</v>
      </c>
      <c r="B107" s="13" t="s">
        <v>427</v>
      </c>
      <c r="C107" s="12" t="s">
        <v>819</v>
      </c>
      <c r="D107" s="53" t="s">
        <v>761</v>
      </c>
      <c r="E107" s="54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682</v>
      </c>
      <c r="M107" s="33" t="s">
        <v>766</v>
      </c>
      <c r="N107" s="30" t="s">
        <v>1</v>
      </c>
      <c r="O107" s="33" t="s">
        <v>119</v>
      </c>
      <c r="P107" s="41" t="s">
        <v>697</v>
      </c>
      <c r="Q107" s="33" t="s">
        <v>695</v>
      </c>
      <c r="R107" s="41" t="s">
        <v>698</v>
      </c>
      <c r="S107" s="33" t="s">
        <v>695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43" t="s">
        <v>321</v>
      </c>
      <c r="Y107" s="44" t="s">
        <v>321</v>
      </c>
    </row>
    <row r="108" spans="1:25" ht="7.5" customHeight="1" x14ac:dyDescent="0.2">
      <c r="A108" s="9">
        <v>108</v>
      </c>
      <c r="B108" s="13" t="s">
        <v>428</v>
      </c>
      <c r="C108" s="12" t="s">
        <v>819</v>
      </c>
      <c r="D108" s="53" t="s">
        <v>761</v>
      </c>
      <c r="E108" s="54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682</v>
      </c>
      <c r="M108" s="33" t="s">
        <v>766</v>
      </c>
      <c r="N108" s="30" t="s">
        <v>1</v>
      </c>
      <c r="O108" s="33" t="s">
        <v>50</v>
      </c>
      <c r="P108" s="41" t="s">
        <v>697</v>
      </c>
      <c r="Q108" s="33" t="s">
        <v>695</v>
      </c>
      <c r="R108" s="41" t="s">
        <v>698</v>
      </c>
      <c r="S108" s="33" t="s">
        <v>695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43" t="s">
        <v>321</v>
      </c>
      <c r="Y108" s="44" t="s">
        <v>321</v>
      </c>
    </row>
    <row r="109" spans="1:25" ht="7.5" customHeight="1" x14ac:dyDescent="0.2">
      <c r="A109" s="9">
        <v>109</v>
      </c>
      <c r="B109" s="13" t="s">
        <v>429</v>
      </c>
      <c r="C109" s="12" t="s">
        <v>819</v>
      </c>
      <c r="D109" s="53" t="s">
        <v>761</v>
      </c>
      <c r="E109" s="54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682</v>
      </c>
      <c r="M109" s="33" t="s">
        <v>766</v>
      </c>
      <c r="N109" s="30" t="s">
        <v>1</v>
      </c>
      <c r="O109" s="33" t="s">
        <v>120</v>
      </c>
      <c r="P109" s="41" t="s">
        <v>697</v>
      </c>
      <c r="Q109" s="33" t="s">
        <v>695</v>
      </c>
      <c r="R109" s="41" t="s">
        <v>698</v>
      </c>
      <c r="S109" s="33" t="s">
        <v>695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43" t="s">
        <v>321</v>
      </c>
      <c r="Y109" s="44" t="s">
        <v>321</v>
      </c>
    </row>
    <row r="110" spans="1:25" ht="7.5" customHeight="1" x14ac:dyDescent="0.2">
      <c r="A110" s="9">
        <v>110</v>
      </c>
      <c r="B110" s="13" t="s">
        <v>430</v>
      </c>
      <c r="C110" s="12" t="s">
        <v>819</v>
      </c>
      <c r="D110" s="53" t="s">
        <v>761</v>
      </c>
      <c r="E110" s="54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682</v>
      </c>
      <c r="M110" s="33" t="s">
        <v>766</v>
      </c>
      <c r="N110" s="30" t="s">
        <v>1</v>
      </c>
      <c r="O110" s="33" t="s">
        <v>121</v>
      </c>
      <c r="P110" s="41" t="s">
        <v>697</v>
      </c>
      <c r="Q110" s="33" t="s">
        <v>695</v>
      </c>
      <c r="R110" s="41" t="s">
        <v>698</v>
      </c>
      <c r="S110" s="33" t="s">
        <v>695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43" t="s">
        <v>321</v>
      </c>
      <c r="Y110" s="44" t="s">
        <v>321</v>
      </c>
    </row>
    <row r="111" spans="1:25" ht="7.5" customHeight="1" x14ac:dyDescent="0.2">
      <c r="A111" s="9">
        <v>111</v>
      </c>
      <c r="B111" s="13" t="s">
        <v>431</v>
      </c>
      <c r="C111" s="12" t="s">
        <v>819</v>
      </c>
      <c r="D111" s="53" t="s">
        <v>761</v>
      </c>
      <c r="E111" s="54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682</v>
      </c>
      <c r="M111" s="33" t="s">
        <v>766</v>
      </c>
      <c r="N111" s="30" t="s">
        <v>1</v>
      </c>
      <c r="O111" s="33" t="s">
        <v>122</v>
      </c>
      <c r="P111" s="41" t="s">
        <v>697</v>
      </c>
      <c r="Q111" s="33" t="s">
        <v>695</v>
      </c>
      <c r="R111" s="41" t="s">
        <v>698</v>
      </c>
      <c r="S111" s="33" t="s">
        <v>695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43" t="s">
        <v>321</v>
      </c>
      <c r="Y111" s="44" t="s">
        <v>321</v>
      </c>
    </row>
    <row r="112" spans="1:25" ht="7.5" customHeight="1" x14ac:dyDescent="0.2">
      <c r="A112" s="9">
        <v>112</v>
      </c>
      <c r="B112" s="13" t="s">
        <v>432</v>
      </c>
      <c r="C112" s="12" t="s">
        <v>819</v>
      </c>
      <c r="D112" s="53" t="s">
        <v>761</v>
      </c>
      <c r="E112" s="54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682</v>
      </c>
      <c r="M112" s="33" t="s">
        <v>766</v>
      </c>
      <c r="N112" s="30" t="s">
        <v>1</v>
      </c>
      <c r="O112" s="33" t="s">
        <v>123</v>
      </c>
      <c r="P112" s="41" t="s">
        <v>697</v>
      </c>
      <c r="Q112" s="33" t="s">
        <v>695</v>
      </c>
      <c r="R112" s="41" t="s">
        <v>698</v>
      </c>
      <c r="S112" s="33" t="s">
        <v>695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43" t="s">
        <v>321</v>
      </c>
      <c r="Y112" s="44" t="s">
        <v>321</v>
      </c>
    </row>
    <row r="113" spans="1:25" ht="7.5" customHeight="1" x14ac:dyDescent="0.2">
      <c r="A113" s="9">
        <v>113</v>
      </c>
      <c r="B113" s="13" t="s">
        <v>433</v>
      </c>
      <c r="C113" s="12" t="s">
        <v>819</v>
      </c>
      <c r="D113" s="53" t="s">
        <v>761</v>
      </c>
      <c r="E113" s="54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682</v>
      </c>
      <c r="M113" s="33" t="s">
        <v>766</v>
      </c>
      <c r="N113" s="30" t="s">
        <v>1</v>
      </c>
      <c r="O113" s="33" t="s">
        <v>124</v>
      </c>
      <c r="P113" s="41" t="s">
        <v>697</v>
      </c>
      <c r="Q113" s="33" t="s">
        <v>695</v>
      </c>
      <c r="R113" s="41" t="s">
        <v>698</v>
      </c>
      <c r="S113" s="33" t="s">
        <v>695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43" t="s">
        <v>321</v>
      </c>
      <c r="Y113" s="44" t="s">
        <v>321</v>
      </c>
    </row>
    <row r="114" spans="1:25" ht="7.5" customHeight="1" x14ac:dyDescent="0.2">
      <c r="A114" s="9">
        <v>114</v>
      </c>
      <c r="B114" s="13" t="s">
        <v>434</v>
      </c>
      <c r="C114" s="12" t="s">
        <v>819</v>
      </c>
      <c r="D114" s="53" t="s">
        <v>761</v>
      </c>
      <c r="E114" s="54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682</v>
      </c>
      <c r="M114" s="33" t="s">
        <v>766</v>
      </c>
      <c r="N114" s="30" t="s">
        <v>1</v>
      </c>
      <c r="O114" s="33" t="s">
        <v>125</v>
      </c>
      <c r="P114" s="41" t="s">
        <v>697</v>
      </c>
      <c r="Q114" s="33" t="s">
        <v>695</v>
      </c>
      <c r="R114" s="41" t="s">
        <v>698</v>
      </c>
      <c r="S114" s="33" t="s">
        <v>695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43" t="s">
        <v>321</v>
      </c>
      <c r="Y114" s="44" t="s">
        <v>321</v>
      </c>
    </row>
    <row r="115" spans="1:25" ht="7.5" customHeight="1" x14ac:dyDescent="0.2">
      <c r="A115" s="9">
        <v>115</v>
      </c>
      <c r="B115" s="13" t="s">
        <v>435</v>
      </c>
      <c r="C115" s="12" t="s">
        <v>819</v>
      </c>
      <c r="D115" s="53" t="s">
        <v>761</v>
      </c>
      <c r="E115" s="54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682</v>
      </c>
      <c r="M115" s="33" t="s">
        <v>766</v>
      </c>
      <c r="N115" s="30" t="s">
        <v>1</v>
      </c>
      <c r="O115" s="33" t="s">
        <v>126</v>
      </c>
      <c r="P115" s="41" t="s">
        <v>697</v>
      </c>
      <c r="Q115" s="33" t="s">
        <v>695</v>
      </c>
      <c r="R115" s="41" t="s">
        <v>698</v>
      </c>
      <c r="S115" s="33" t="s">
        <v>695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43" t="s">
        <v>321</v>
      </c>
      <c r="Y115" s="44" t="s">
        <v>321</v>
      </c>
    </row>
    <row r="116" spans="1:25" ht="7.5" customHeight="1" x14ac:dyDescent="0.2">
      <c r="A116" s="9">
        <v>116</v>
      </c>
      <c r="B116" s="13" t="s">
        <v>436</v>
      </c>
      <c r="C116" s="12" t="s">
        <v>819</v>
      </c>
      <c r="D116" s="53" t="s">
        <v>761</v>
      </c>
      <c r="E116" s="54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682</v>
      </c>
      <c r="M116" s="33" t="s">
        <v>766</v>
      </c>
      <c r="N116" s="30" t="s">
        <v>1</v>
      </c>
      <c r="O116" s="33" t="s">
        <v>127</v>
      </c>
      <c r="P116" s="41" t="s">
        <v>697</v>
      </c>
      <c r="Q116" s="33" t="s">
        <v>695</v>
      </c>
      <c r="R116" s="41" t="s">
        <v>698</v>
      </c>
      <c r="S116" s="33" t="s">
        <v>695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43" t="s">
        <v>321</v>
      </c>
      <c r="Y116" s="44" t="s">
        <v>321</v>
      </c>
    </row>
    <row r="117" spans="1:25" ht="7.5" customHeight="1" x14ac:dyDescent="0.2">
      <c r="A117" s="9">
        <v>117</v>
      </c>
      <c r="B117" s="13" t="s">
        <v>437</v>
      </c>
      <c r="C117" s="12" t="s">
        <v>819</v>
      </c>
      <c r="D117" s="53" t="s">
        <v>761</v>
      </c>
      <c r="E117" s="54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682</v>
      </c>
      <c r="M117" s="33" t="s">
        <v>766</v>
      </c>
      <c r="N117" s="30" t="s">
        <v>1</v>
      </c>
      <c r="O117" s="33" t="s">
        <v>128</v>
      </c>
      <c r="P117" s="41" t="s">
        <v>697</v>
      </c>
      <c r="Q117" s="33" t="s">
        <v>695</v>
      </c>
      <c r="R117" s="41" t="s">
        <v>698</v>
      </c>
      <c r="S117" s="33" t="s">
        <v>695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43" t="s">
        <v>321</v>
      </c>
      <c r="Y117" s="44" t="s">
        <v>321</v>
      </c>
    </row>
    <row r="118" spans="1:25" ht="7.5" customHeight="1" x14ac:dyDescent="0.2">
      <c r="A118" s="9">
        <v>118</v>
      </c>
      <c r="B118" s="13" t="s">
        <v>438</v>
      </c>
      <c r="C118" s="12" t="s">
        <v>819</v>
      </c>
      <c r="D118" s="53" t="s">
        <v>761</v>
      </c>
      <c r="E118" s="54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682</v>
      </c>
      <c r="M118" s="33" t="s">
        <v>766</v>
      </c>
      <c r="N118" s="30" t="s">
        <v>1</v>
      </c>
      <c r="O118" s="33" t="s">
        <v>129</v>
      </c>
      <c r="P118" s="41" t="s">
        <v>697</v>
      </c>
      <c r="Q118" s="33" t="s">
        <v>695</v>
      </c>
      <c r="R118" s="41" t="s">
        <v>698</v>
      </c>
      <c r="S118" s="33" t="s">
        <v>695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43" t="s">
        <v>321</v>
      </c>
      <c r="Y118" s="44" t="s">
        <v>321</v>
      </c>
    </row>
    <row r="119" spans="1:25" ht="7.5" customHeight="1" x14ac:dyDescent="0.2">
      <c r="A119" s="9">
        <v>119</v>
      </c>
      <c r="B119" s="13" t="s">
        <v>439</v>
      </c>
      <c r="C119" s="12" t="s">
        <v>819</v>
      </c>
      <c r="D119" s="53" t="s">
        <v>761</v>
      </c>
      <c r="E119" s="54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682</v>
      </c>
      <c r="M119" s="33" t="s">
        <v>766</v>
      </c>
      <c r="N119" s="30" t="s">
        <v>1</v>
      </c>
      <c r="O119" s="33" t="s">
        <v>27</v>
      </c>
      <c r="P119" s="41" t="s">
        <v>697</v>
      </c>
      <c r="Q119" s="33" t="s">
        <v>695</v>
      </c>
      <c r="R119" s="41" t="s">
        <v>698</v>
      </c>
      <c r="S119" s="33" t="s">
        <v>695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43" t="s">
        <v>321</v>
      </c>
      <c r="Y119" s="44" t="s">
        <v>321</v>
      </c>
    </row>
    <row r="120" spans="1:25" ht="7.5" customHeight="1" x14ac:dyDescent="0.2">
      <c r="A120" s="9">
        <v>120</v>
      </c>
      <c r="B120" s="45" t="s">
        <v>440</v>
      </c>
      <c r="C120" s="12" t="s">
        <v>819</v>
      </c>
      <c r="D120" s="53" t="s">
        <v>761</v>
      </c>
      <c r="E120" s="54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682</v>
      </c>
      <c r="M120" s="33" t="s">
        <v>766</v>
      </c>
      <c r="N120" s="30" t="s">
        <v>1</v>
      </c>
      <c r="O120" s="33" t="s">
        <v>130</v>
      </c>
      <c r="P120" s="41" t="s">
        <v>697</v>
      </c>
      <c r="Q120" s="33" t="s">
        <v>695</v>
      </c>
      <c r="R120" s="41" t="s">
        <v>698</v>
      </c>
      <c r="S120" s="33" t="s">
        <v>695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43" t="s">
        <v>321</v>
      </c>
      <c r="Y120" s="44" t="s">
        <v>321</v>
      </c>
    </row>
    <row r="121" spans="1:25" ht="7.5" customHeight="1" x14ac:dyDescent="0.2">
      <c r="A121" s="9">
        <v>121</v>
      </c>
      <c r="B121" s="45" t="s">
        <v>701</v>
      </c>
      <c r="C121" s="12" t="s">
        <v>819</v>
      </c>
      <c r="D121" s="53" t="s">
        <v>761</v>
      </c>
      <c r="E121" s="54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682</v>
      </c>
      <c r="M121" s="33" t="s">
        <v>766</v>
      </c>
      <c r="N121" s="30" t="s">
        <v>1</v>
      </c>
      <c r="O121" s="33" t="s">
        <v>131</v>
      </c>
      <c r="P121" s="41" t="s">
        <v>697</v>
      </c>
      <c r="Q121" s="33" t="s">
        <v>695</v>
      </c>
      <c r="R121" s="41" t="s">
        <v>698</v>
      </c>
      <c r="S121" s="33" t="s">
        <v>695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43" t="s">
        <v>321</v>
      </c>
      <c r="Y121" s="44" t="s">
        <v>321</v>
      </c>
    </row>
    <row r="122" spans="1:25" ht="7.5" customHeight="1" x14ac:dyDescent="0.2">
      <c r="A122" s="9">
        <v>122</v>
      </c>
      <c r="B122" s="13" t="s">
        <v>441</v>
      </c>
      <c r="C122" s="12" t="s">
        <v>820</v>
      </c>
      <c r="D122" s="53" t="s">
        <v>761</v>
      </c>
      <c r="E122" s="54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682</v>
      </c>
      <c r="M122" s="33" t="s">
        <v>132</v>
      </c>
      <c r="N122" s="30" t="s">
        <v>1</v>
      </c>
      <c r="O122" s="33" t="s">
        <v>132</v>
      </c>
      <c r="P122" s="41" t="s">
        <v>697</v>
      </c>
      <c r="Q122" s="33" t="s">
        <v>695</v>
      </c>
      <c r="R122" s="41" t="s">
        <v>698</v>
      </c>
      <c r="S122" s="33" t="s">
        <v>695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43" t="s">
        <v>321</v>
      </c>
      <c r="Y122" s="44" t="s">
        <v>321</v>
      </c>
    </row>
    <row r="123" spans="1:25" ht="7.5" customHeight="1" x14ac:dyDescent="0.2">
      <c r="A123" s="9">
        <v>123</v>
      </c>
      <c r="B123" s="13" t="s">
        <v>442</v>
      </c>
      <c r="C123" s="12" t="s">
        <v>820</v>
      </c>
      <c r="D123" s="53" t="s">
        <v>761</v>
      </c>
      <c r="E123" s="54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682</v>
      </c>
      <c r="M123" s="33" t="s">
        <v>132</v>
      </c>
      <c r="N123" s="30" t="s">
        <v>1</v>
      </c>
      <c r="O123" s="33" t="s">
        <v>133</v>
      </c>
      <c r="P123" s="41" t="s">
        <v>697</v>
      </c>
      <c r="Q123" s="33" t="s">
        <v>695</v>
      </c>
      <c r="R123" s="41" t="s">
        <v>698</v>
      </c>
      <c r="S123" s="33" t="s">
        <v>695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43" t="s">
        <v>321</v>
      </c>
      <c r="Y123" s="44" t="s">
        <v>321</v>
      </c>
    </row>
    <row r="124" spans="1:25" ht="7.5" customHeight="1" x14ac:dyDescent="0.2">
      <c r="A124" s="9">
        <v>124</v>
      </c>
      <c r="B124" s="13" t="s">
        <v>443</v>
      </c>
      <c r="C124" s="12" t="s">
        <v>820</v>
      </c>
      <c r="D124" s="53" t="s">
        <v>761</v>
      </c>
      <c r="E124" s="54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682</v>
      </c>
      <c r="M124" s="33" t="s">
        <v>132</v>
      </c>
      <c r="N124" s="30" t="s">
        <v>1</v>
      </c>
      <c r="O124" s="33" t="s">
        <v>134</v>
      </c>
      <c r="P124" s="41" t="s">
        <v>697</v>
      </c>
      <c r="Q124" s="33" t="s">
        <v>695</v>
      </c>
      <c r="R124" s="41" t="s">
        <v>698</v>
      </c>
      <c r="S124" s="33" t="s">
        <v>695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43" t="s">
        <v>321</v>
      </c>
      <c r="Y124" s="44" t="s">
        <v>321</v>
      </c>
    </row>
    <row r="125" spans="1:25" ht="7.5" customHeight="1" x14ac:dyDescent="0.2">
      <c r="A125" s="9">
        <v>125</v>
      </c>
      <c r="B125" s="13" t="s">
        <v>444</v>
      </c>
      <c r="C125" s="12" t="s">
        <v>820</v>
      </c>
      <c r="D125" s="53" t="s">
        <v>761</v>
      </c>
      <c r="E125" s="54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682</v>
      </c>
      <c r="M125" s="33" t="s">
        <v>132</v>
      </c>
      <c r="N125" s="30" t="s">
        <v>1</v>
      </c>
      <c r="O125" s="33" t="s">
        <v>135</v>
      </c>
      <c r="P125" s="41" t="s">
        <v>697</v>
      </c>
      <c r="Q125" s="33" t="s">
        <v>695</v>
      </c>
      <c r="R125" s="41" t="s">
        <v>698</v>
      </c>
      <c r="S125" s="33" t="s">
        <v>695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43" t="s">
        <v>321</v>
      </c>
      <c r="Y125" s="44" t="s">
        <v>321</v>
      </c>
    </row>
    <row r="126" spans="1:25" ht="7.5" customHeight="1" x14ac:dyDescent="0.2">
      <c r="A126" s="9">
        <v>126</v>
      </c>
      <c r="B126" s="13" t="s">
        <v>445</v>
      </c>
      <c r="C126" s="12" t="s">
        <v>820</v>
      </c>
      <c r="D126" s="53" t="s">
        <v>761</v>
      </c>
      <c r="E126" s="54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682</v>
      </c>
      <c r="M126" s="33" t="s">
        <v>132</v>
      </c>
      <c r="N126" s="30" t="s">
        <v>1</v>
      </c>
      <c r="O126" s="33" t="s">
        <v>136</v>
      </c>
      <c r="P126" s="41" t="s">
        <v>697</v>
      </c>
      <c r="Q126" s="33" t="s">
        <v>695</v>
      </c>
      <c r="R126" s="41" t="s">
        <v>698</v>
      </c>
      <c r="S126" s="33" t="s">
        <v>695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43" t="s">
        <v>321</v>
      </c>
      <c r="Y126" s="44" t="s">
        <v>321</v>
      </c>
    </row>
    <row r="127" spans="1:25" ht="7.5" customHeight="1" x14ac:dyDescent="0.2">
      <c r="A127" s="9">
        <v>127</v>
      </c>
      <c r="B127" s="13" t="s">
        <v>446</v>
      </c>
      <c r="C127" s="12" t="s">
        <v>820</v>
      </c>
      <c r="D127" s="53" t="s">
        <v>761</v>
      </c>
      <c r="E127" s="54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682</v>
      </c>
      <c r="M127" s="33" t="s">
        <v>132</v>
      </c>
      <c r="N127" s="30" t="s">
        <v>1</v>
      </c>
      <c r="O127" s="33" t="s">
        <v>137</v>
      </c>
      <c r="P127" s="41" t="s">
        <v>697</v>
      </c>
      <c r="Q127" s="33" t="s">
        <v>695</v>
      </c>
      <c r="R127" s="41" t="s">
        <v>698</v>
      </c>
      <c r="S127" s="33" t="s">
        <v>695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43" t="s">
        <v>321</v>
      </c>
      <c r="Y127" s="44" t="s">
        <v>321</v>
      </c>
    </row>
    <row r="128" spans="1:25" ht="7.5" customHeight="1" x14ac:dyDescent="0.2">
      <c r="A128" s="9">
        <v>128</v>
      </c>
      <c r="B128" s="13" t="s">
        <v>447</v>
      </c>
      <c r="C128" s="12" t="s">
        <v>820</v>
      </c>
      <c r="D128" s="53" t="s">
        <v>761</v>
      </c>
      <c r="E128" s="54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682</v>
      </c>
      <c r="M128" s="33" t="s">
        <v>132</v>
      </c>
      <c r="N128" s="30" t="s">
        <v>1</v>
      </c>
      <c r="O128" s="33" t="s">
        <v>138</v>
      </c>
      <c r="P128" s="41" t="s">
        <v>697</v>
      </c>
      <c r="Q128" s="33" t="s">
        <v>695</v>
      </c>
      <c r="R128" s="41" t="s">
        <v>698</v>
      </c>
      <c r="S128" s="33" t="s">
        <v>695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43" t="s">
        <v>321</v>
      </c>
      <c r="Y128" s="44" t="s">
        <v>321</v>
      </c>
    </row>
    <row r="129" spans="1:25" ht="7.5" customHeight="1" x14ac:dyDescent="0.2">
      <c r="A129" s="9">
        <v>129</v>
      </c>
      <c r="B129" s="13" t="s">
        <v>448</v>
      </c>
      <c r="C129" s="12" t="s">
        <v>820</v>
      </c>
      <c r="D129" s="53" t="s">
        <v>761</v>
      </c>
      <c r="E129" s="54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682</v>
      </c>
      <c r="M129" s="33" t="s">
        <v>132</v>
      </c>
      <c r="N129" s="30" t="s">
        <v>1</v>
      </c>
      <c r="O129" s="33" t="s">
        <v>139</v>
      </c>
      <c r="P129" s="41" t="s">
        <v>697</v>
      </c>
      <c r="Q129" s="33" t="s">
        <v>695</v>
      </c>
      <c r="R129" s="41" t="s">
        <v>698</v>
      </c>
      <c r="S129" s="33" t="s">
        <v>695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43" t="s">
        <v>321</v>
      </c>
      <c r="Y129" s="44" t="s">
        <v>321</v>
      </c>
    </row>
    <row r="130" spans="1:25" ht="7.5" customHeight="1" x14ac:dyDescent="0.2">
      <c r="A130" s="9">
        <v>130</v>
      </c>
      <c r="B130" s="13" t="s">
        <v>449</v>
      </c>
      <c r="C130" s="12" t="s">
        <v>820</v>
      </c>
      <c r="D130" s="53" t="s">
        <v>761</v>
      </c>
      <c r="E130" s="54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682</v>
      </c>
      <c r="M130" s="33" t="s">
        <v>132</v>
      </c>
      <c r="N130" s="30" t="s">
        <v>1</v>
      </c>
      <c r="O130" s="33" t="s">
        <v>140</v>
      </c>
      <c r="P130" s="41" t="s">
        <v>697</v>
      </c>
      <c r="Q130" s="33" t="s">
        <v>695</v>
      </c>
      <c r="R130" s="41" t="s">
        <v>698</v>
      </c>
      <c r="S130" s="33" t="s">
        <v>695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43" t="s">
        <v>321</v>
      </c>
      <c r="Y130" s="44" t="s">
        <v>321</v>
      </c>
    </row>
    <row r="131" spans="1:25" ht="7.5" customHeight="1" x14ac:dyDescent="0.2">
      <c r="A131" s="9">
        <v>131</v>
      </c>
      <c r="B131" s="13" t="s">
        <v>450</v>
      </c>
      <c r="C131" s="12" t="s">
        <v>820</v>
      </c>
      <c r="D131" s="53" t="s">
        <v>761</v>
      </c>
      <c r="E131" s="54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682</v>
      </c>
      <c r="M131" s="33" t="s">
        <v>132</v>
      </c>
      <c r="N131" s="30" t="s">
        <v>1</v>
      </c>
      <c r="O131" s="33" t="s">
        <v>141</v>
      </c>
      <c r="P131" s="41" t="s">
        <v>697</v>
      </c>
      <c r="Q131" s="33" t="s">
        <v>695</v>
      </c>
      <c r="R131" s="41" t="s">
        <v>698</v>
      </c>
      <c r="S131" s="33" t="s">
        <v>695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43" t="s">
        <v>321</v>
      </c>
      <c r="Y131" s="44" t="s">
        <v>321</v>
      </c>
    </row>
    <row r="132" spans="1:25" ht="7.5" customHeight="1" x14ac:dyDescent="0.2">
      <c r="A132" s="9">
        <v>132</v>
      </c>
      <c r="B132" s="13" t="s">
        <v>451</v>
      </c>
      <c r="C132" s="12" t="s">
        <v>820</v>
      </c>
      <c r="D132" s="53" t="s">
        <v>761</v>
      </c>
      <c r="E132" s="54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682</v>
      </c>
      <c r="M132" s="33" t="s">
        <v>132</v>
      </c>
      <c r="N132" s="30" t="s">
        <v>1</v>
      </c>
      <c r="O132" s="33" t="s">
        <v>142</v>
      </c>
      <c r="P132" s="41" t="s">
        <v>697</v>
      </c>
      <c r="Q132" s="33" t="s">
        <v>695</v>
      </c>
      <c r="R132" s="41" t="s">
        <v>698</v>
      </c>
      <c r="S132" s="33" t="s">
        <v>695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43" t="s">
        <v>321</v>
      </c>
      <c r="Y132" s="44" t="s">
        <v>321</v>
      </c>
    </row>
    <row r="133" spans="1:25" ht="7.5" customHeight="1" x14ac:dyDescent="0.2">
      <c r="A133" s="9">
        <v>133</v>
      </c>
      <c r="B133" s="13" t="s">
        <v>452</v>
      </c>
      <c r="C133" s="12" t="s">
        <v>821</v>
      </c>
      <c r="D133" s="53" t="s">
        <v>761</v>
      </c>
      <c r="E133" s="54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682</v>
      </c>
      <c r="M133" s="33" t="s">
        <v>132</v>
      </c>
      <c r="N133" s="30" t="s">
        <v>1</v>
      </c>
      <c r="O133" s="33" t="s">
        <v>143</v>
      </c>
      <c r="P133" s="41" t="s">
        <v>697</v>
      </c>
      <c r="Q133" s="33" t="s">
        <v>695</v>
      </c>
      <c r="R133" s="41" t="s">
        <v>698</v>
      </c>
      <c r="S133" s="33" t="s">
        <v>695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43" t="s">
        <v>321</v>
      </c>
      <c r="Y133" s="44" t="s">
        <v>321</v>
      </c>
    </row>
    <row r="134" spans="1:25" ht="7.5" customHeight="1" x14ac:dyDescent="0.2">
      <c r="A134" s="9">
        <v>134</v>
      </c>
      <c r="B134" s="10" t="s">
        <v>453</v>
      </c>
      <c r="C134" s="12" t="s">
        <v>821</v>
      </c>
      <c r="D134" s="53" t="s">
        <v>761</v>
      </c>
      <c r="E134" s="54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682</v>
      </c>
      <c r="M134" s="33" t="s">
        <v>767</v>
      </c>
      <c r="N134" s="30" t="s">
        <v>1</v>
      </c>
      <c r="O134" s="33" t="s">
        <v>144</v>
      </c>
      <c r="P134" s="41" t="s">
        <v>697</v>
      </c>
      <c r="Q134" s="33" t="s">
        <v>695</v>
      </c>
      <c r="R134" s="41" t="s">
        <v>698</v>
      </c>
      <c r="S134" s="33" t="s">
        <v>695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43" t="s">
        <v>321</v>
      </c>
      <c r="Y134" s="44" t="s">
        <v>321</v>
      </c>
    </row>
    <row r="135" spans="1:25" ht="7.5" customHeight="1" x14ac:dyDescent="0.2">
      <c r="A135" s="9">
        <v>135</v>
      </c>
      <c r="B135" s="13" t="s">
        <v>454</v>
      </c>
      <c r="C135" s="12" t="s">
        <v>821</v>
      </c>
      <c r="D135" s="53" t="s">
        <v>761</v>
      </c>
      <c r="E135" s="54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682</v>
      </c>
      <c r="M135" s="33" t="s">
        <v>767</v>
      </c>
      <c r="N135" s="30" t="s">
        <v>1</v>
      </c>
      <c r="O135" s="33" t="s">
        <v>145</v>
      </c>
      <c r="P135" s="41" t="s">
        <v>697</v>
      </c>
      <c r="Q135" s="33" t="s">
        <v>695</v>
      </c>
      <c r="R135" s="41" t="s">
        <v>698</v>
      </c>
      <c r="S135" s="33" t="s">
        <v>695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43" t="s">
        <v>321</v>
      </c>
      <c r="Y135" s="44" t="s">
        <v>321</v>
      </c>
    </row>
    <row r="136" spans="1:25" ht="7.5" customHeight="1" x14ac:dyDescent="0.2">
      <c r="A136" s="9">
        <v>136</v>
      </c>
      <c r="B136" s="13" t="s">
        <v>455</v>
      </c>
      <c r="C136" s="12" t="s">
        <v>821</v>
      </c>
      <c r="D136" s="53" t="s">
        <v>761</v>
      </c>
      <c r="E136" s="54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682</v>
      </c>
      <c r="M136" s="33" t="s">
        <v>767</v>
      </c>
      <c r="N136" s="30" t="s">
        <v>1</v>
      </c>
      <c r="O136" s="33" t="s">
        <v>146</v>
      </c>
      <c r="P136" s="41" t="s">
        <v>697</v>
      </c>
      <c r="Q136" s="33" t="s">
        <v>695</v>
      </c>
      <c r="R136" s="41" t="s">
        <v>698</v>
      </c>
      <c r="S136" s="33" t="s">
        <v>695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43" t="s">
        <v>321</v>
      </c>
      <c r="Y136" s="44" t="s">
        <v>321</v>
      </c>
    </row>
    <row r="137" spans="1:25" ht="7.5" customHeight="1" x14ac:dyDescent="0.2">
      <c r="A137" s="9">
        <v>137</v>
      </c>
      <c r="B137" s="13" t="s">
        <v>456</v>
      </c>
      <c r="C137" s="12" t="s">
        <v>821</v>
      </c>
      <c r="D137" s="53" t="s">
        <v>761</v>
      </c>
      <c r="E137" s="54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682</v>
      </c>
      <c r="M137" s="33" t="s">
        <v>767</v>
      </c>
      <c r="N137" s="30" t="s">
        <v>1</v>
      </c>
      <c r="O137" s="33" t="s">
        <v>147</v>
      </c>
      <c r="P137" s="41" t="s">
        <v>697</v>
      </c>
      <c r="Q137" s="33" t="s">
        <v>695</v>
      </c>
      <c r="R137" s="41" t="s">
        <v>698</v>
      </c>
      <c r="S137" s="33" t="s">
        <v>695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43" t="s">
        <v>321</v>
      </c>
      <c r="Y137" s="44" t="s">
        <v>321</v>
      </c>
    </row>
    <row r="138" spans="1:25" ht="7.5" customHeight="1" x14ac:dyDescent="0.2">
      <c r="A138" s="9">
        <v>138</v>
      </c>
      <c r="B138" s="13" t="s">
        <v>457</v>
      </c>
      <c r="C138" s="12" t="s">
        <v>821</v>
      </c>
      <c r="D138" s="53" t="s">
        <v>761</v>
      </c>
      <c r="E138" s="54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682</v>
      </c>
      <c r="M138" s="33" t="s">
        <v>767</v>
      </c>
      <c r="N138" s="30" t="s">
        <v>1</v>
      </c>
      <c r="O138" s="33" t="s">
        <v>148</v>
      </c>
      <c r="P138" s="41" t="s">
        <v>697</v>
      </c>
      <c r="Q138" s="33" t="s">
        <v>695</v>
      </c>
      <c r="R138" s="41" t="s">
        <v>698</v>
      </c>
      <c r="S138" s="33" t="s">
        <v>695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43" t="s">
        <v>321</v>
      </c>
      <c r="Y138" s="44" t="s">
        <v>321</v>
      </c>
    </row>
    <row r="139" spans="1:25" ht="7.5" customHeight="1" x14ac:dyDescent="0.2">
      <c r="A139" s="9">
        <v>139</v>
      </c>
      <c r="B139" s="13" t="s">
        <v>458</v>
      </c>
      <c r="C139" s="12" t="s">
        <v>821</v>
      </c>
      <c r="D139" s="53" t="s">
        <v>761</v>
      </c>
      <c r="E139" s="54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682</v>
      </c>
      <c r="M139" s="33" t="s">
        <v>767</v>
      </c>
      <c r="N139" s="30" t="s">
        <v>1</v>
      </c>
      <c r="O139" s="33" t="s">
        <v>149</v>
      </c>
      <c r="P139" s="41" t="s">
        <v>697</v>
      </c>
      <c r="Q139" s="33" t="s">
        <v>695</v>
      </c>
      <c r="R139" s="41" t="s">
        <v>698</v>
      </c>
      <c r="S139" s="33" t="s">
        <v>695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43" t="s">
        <v>321</v>
      </c>
      <c r="Y139" s="44" t="s">
        <v>321</v>
      </c>
    </row>
    <row r="140" spans="1:25" ht="7.5" customHeight="1" x14ac:dyDescent="0.2">
      <c r="A140" s="9">
        <v>140</v>
      </c>
      <c r="B140" s="13" t="s">
        <v>459</v>
      </c>
      <c r="C140" s="12" t="s">
        <v>821</v>
      </c>
      <c r="D140" s="53" t="s">
        <v>761</v>
      </c>
      <c r="E140" s="54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682</v>
      </c>
      <c r="M140" s="33" t="s">
        <v>767</v>
      </c>
      <c r="N140" s="30" t="s">
        <v>1</v>
      </c>
      <c r="O140" s="33" t="s">
        <v>150</v>
      </c>
      <c r="P140" s="41" t="s">
        <v>697</v>
      </c>
      <c r="Q140" s="33" t="s">
        <v>695</v>
      </c>
      <c r="R140" s="41" t="s">
        <v>698</v>
      </c>
      <c r="S140" s="33" t="s">
        <v>695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43" t="s">
        <v>321</v>
      </c>
      <c r="Y140" s="44" t="s">
        <v>321</v>
      </c>
    </row>
    <row r="141" spans="1:25" ht="7.5" customHeight="1" x14ac:dyDescent="0.2">
      <c r="A141" s="9">
        <v>141</v>
      </c>
      <c r="B141" s="13" t="s">
        <v>460</v>
      </c>
      <c r="C141" s="12" t="s">
        <v>821</v>
      </c>
      <c r="D141" s="53" t="s">
        <v>761</v>
      </c>
      <c r="E141" s="54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682</v>
      </c>
      <c r="M141" s="33" t="s">
        <v>767</v>
      </c>
      <c r="N141" s="30" t="s">
        <v>1</v>
      </c>
      <c r="O141" s="33" t="s">
        <v>151</v>
      </c>
      <c r="P141" s="41" t="s">
        <v>697</v>
      </c>
      <c r="Q141" s="33" t="s">
        <v>695</v>
      </c>
      <c r="R141" s="41" t="s">
        <v>698</v>
      </c>
      <c r="S141" s="33" t="s">
        <v>695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43" t="s">
        <v>321</v>
      </c>
      <c r="Y141" s="44" t="s">
        <v>321</v>
      </c>
    </row>
    <row r="142" spans="1:25" ht="7.5" customHeight="1" x14ac:dyDescent="0.2">
      <c r="A142" s="9">
        <v>142</v>
      </c>
      <c r="B142" s="13" t="s">
        <v>461</v>
      </c>
      <c r="C142" s="12" t="s">
        <v>821</v>
      </c>
      <c r="D142" s="53" t="s">
        <v>761</v>
      </c>
      <c r="E142" s="54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682</v>
      </c>
      <c r="M142" s="33" t="s">
        <v>767</v>
      </c>
      <c r="N142" s="30" t="s">
        <v>1</v>
      </c>
      <c r="O142" s="33" t="s">
        <v>152</v>
      </c>
      <c r="P142" s="41" t="s">
        <v>697</v>
      </c>
      <c r="Q142" s="33" t="s">
        <v>695</v>
      </c>
      <c r="R142" s="41" t="s">
        <v>698</v>
      </c>
      <c r="S142" s="33" t="s">
        <v>695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43" t="s">
        <v>321</v>
      </c>
      <c r="Y142" s="44" t="s">
        <v>321</v>
      </c>
    </row>
    <row r="143" spans="1:25" ht="7.5" customHeight="1" x14ac:dyDescent="0.2">
      <c r="A143" s="9">
        <v>143</v>
      </c>
      <c r="B143" s="13" t="s">
        <v>462</v>
      </c>
      <c r="C143" s="12" t="s">
        <v>821</v>
      </c>
      <c r="D143" s="53" t="s">
        <v>761</v>
      </c>
      <c r="E143" s="54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682</v>
      </c>
      <c r="M143" s="33" t="s">
        <v>767</v>
      </c>
      <c r="N143" s="30" t="s">
        <v>1</v>
      </c>
      <c r="O143" s="33" t="s">
        <v>153</v>
      </c>
      <c r="P143" s="41" t="s">
        <v>697</v>
      </c>
      <c r="Q143" s="33" t="s">
        <v>695</v>
      </c>
      <c r="R143" s="41" t="s">
        <v>698</v>
      </c>
      <c r="S143" s="33" t="s">
        <v>695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43" t="s">
        <v>321</v>
      </c>
      <c r="Y143" s="44" t="s">
        <v>321</v>
      </c>
    </row>
    <row r="144" spans="1:25" ht="7.5" customHeight="1" x14ac:dyDescent="0.2">
      <c r="A144" s="9">
        <v>144</v>
      </c>
      <c r="B144" s="13" t="s">
        <v>463</v>
      </c>
      <c r="C144" s="12" t="s">
        <v>821</v>
      </c>
      <c r="D144" s="53" t="s">
        <v>761</v>
      </c>
      <c r="E144" s="54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682</v>
      </c>
      <c r="M144" s="33" t="s">
        <v>767</v>
      </c>
      <c r="N144" s="30" t="s">
        <v>1</v>
      </c>
      <c r="O144" s="33" t="s">
        <v>154</v>
      </c>
      <c r="P144" s="41" t="s">
        <v>697</v>
      </c>
      <c r="Q144" s="33" t="s">
        <v>695</v>
      </c>
      <c r="R144" s="41" t="s">
        <v>698</v>
      </c>
      <c r="S144" s="33" t="s">
        <v>695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43" t="s">
        <v>321</v>
      </c>
      <c r="Y144" s="44" t="s">
        <v>321</v>
      </c>
    </row>
    <row r="145" spans="1:25" ht="7.5" customHeight="1" x14ac:dyDescent="0.2">
      <c r="A145" s="9">
        <v>145</v>
      </c>
      <c r="B145" s="13" t="s">
        <v>464</v>
      </c>
      <c r="C145" s="12" t="s">
        <v>821</v>
      </c>
      <c r="D145" s="53" t="s">
        <v>761</v>
      </c>
      <c r="E145" s="54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682</v>
      </c>
      <c r="M145" s="33" t="s">
        <v>767</v>
      </c>
      <c r="N145" s="30" t="s">
        <v>1</v>
      </c>
      <c r="O145" s="33" t="s">
        <v>155</v>
      </c>
      <c r="P145" s="41" t="s">
        <v>697</v>
      </c>
      <c r="Q145" s="33" t="s">
        <v>695</v>
      </c>
      <c r="R145" s="41" t="s">
        <v>698</v>
      </c>
      <c r="S145" s="33" t="s">
        <v>695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43" t="s">
        <v>321</v>
      </c>
      <c r="Y145" s="44" t="s">
        <v>321</v>
      </c>
    </row>
    <row r="146" spans="1:25" ht="7.5" customHeight="1" x14ac:dyDescent="0.2">
      <c r="A146" s="9">
        <v>146</v>
      </c>
      <c r="B146" s="10" t="s">
        <v>465</v>
      </c>
      <c r="C146" s="12" t="s">
        <v>822</v>
      </c>
      <c r="D146" s="53" t="s">
        <v>761</v>
      </c>
      <c r="E146" s="54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682</v>
      </c>
      <c r="M146" s="33" t="s">
        <v>768</v>
      </c>
      <c r="N146" s="30" t="s">
        <v>1</v>
      </c>
      <c r="O146" s="33" t="s">
        <v>156</v>
      </c>
      <c r="P146" s="41" t="s">
        <v>697</v>
      </c>
      <c r="Q146" s="33" t="s">
        <v>695</v>
      </c>
      <c r="R146" s="41" t="s">
        <v>698</v>
      </c>
      <c r="S146" s="33" t="s">
        <v>695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43" t="s">
        <v>321</v>
      </c>
      <c r="Y146" s="44" t="s">
        <v>321</v>
      </c>
    </row>
    <row r="147" spans="1:25" ht="7.5" customHeight="1" x14ac:dyDescent="0.2">
      <c r="A147" s="9">
        <v>147</v>
      </c>
      <c r="B147" s="13" t="s">
        <v>466</v>
      </c>
      <c r="C147" s="12" t="s">
        <v>822</v>
      </c>
      <c r="D147" s="53" t="s">
        <v>761</v>
      </c>
      <c r="E147" s="54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682</v>
      </c>
      <c r="M147" s="33" t="s">
        <v>768</v>
      </c>
      <c r="N147" s="30" t="s">
        <v>1</v>
      </c>
      <c r="O147" s="33" t="s">
        <v>157</v>
      </c>
      <c r="P147" s="41" t="s">
        <v>697</v>
      </c>
      <c r="Q147" s="33" t="s">
        <v>695</v>
      </c>
      <c r="R147" s="41" t="s">
        <v>698</v>
      </c>
      <c r="S147" s="33" t="s">
        <v>695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43" t="s">
        <v>321</v>
      </c>
      <c r="Y147" s="44" t="s">
        <v>321</v>
      </c>
    </row>
    <row r="148" spans="1:25" ht="7.5" customHeight="1" x14ac:dyDescent="0.2">
      <c r="A148" s="9">
        <v>148</v>
      </c>
      <c r="B148" s="13" t="s">
        <v>467</v>
      </c>
      <c r="C148" s="12" t="s">
        <v>822</v>
      </c>
      <c r="D148" s="53" t="s">
        <v>761</v>
      </c>
      <c r="E148" s="54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682</v>
      </c>
      <c r="M148" s="33" t="s">
        <v>768</v>
      </c>
      <c r="N148" s="30" t="s">
        <v>1</v>
      </c>
      <c r="O148" s="33" t="s">
        <v>158</v>
      </c>
      <c r="P148" s="41" t="s">
        <v>697</v>
      </c>
      <c r="Q148" s="33" t="s">
        <v>695</v>
      </c>
      <c r="R148" s="41" t="s">
        <v>698</v>
      </c>
      <c r="S148" s="33" t="s">
        <v>695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43" t="s">
        <v>321</v>
      </c>
      <c r="Y148" s="44" t="s">
        <v>321</v>
      </c>
    </row>
    <row r="149" spans="1:25" ht="7.5" customHeight="1" x14ac:dyDescent="0.2">
      <c r="A149" s="9">
        <v>149</v>
      </c>
      <c r="B149" s="13" t="s">
        <v>468</v>
      </c>
      <c r="C149" s="12" t="s">
        <v>822</v>
      </c>
      <c r="D149" s="53" t="s">
        <v>761</v>
      </c>
      <c r="E149" s="54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682</v>
      </c>
      <c r="M149" s="33" t="s">
        <v>768</v>
      </c>
      <c r="N149" s="30" t="s">
        <v>1</v>
      </c>
      <c r="O149" s="33" t="s">
        <v>159</v>
      </c>
      <c r="P149" s="41" t="s">
        <v>697</v>
      </c>
      <c r="Q149" s="33" t="s">
        <v>695</v>
      </c>
      <c r="R149" s="41" t="s">
        <v>698</v>
      </c>
      <c r="S149" s="33" t="s">
        <v>695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43" t="s">
        <v>321</v>
      </c>
      <c r="Y149" s="44" t="s">
        <v>321</v>
      </c>
    </row>
    <row r="150" spans="1:25" ht="7.5" customHeight="1" x14ac:dyDescent="0.2">
      <c r="A150" s="9">
        <v>150</v>
      </c>
      <c r="B150" s="13" t="s">
        <v>469</v>
      </c>
      <c r="C150" s="12" t="s">
        <v>822</v>
      </c>
      <c r="D150" s="53" t="s">
        <v>761</v>
      </c>
      <c r="E150" s="54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682</v>
      </c>
      <c r="M150" s="33" t="s">
        <v>768</v>
      </c>
      <c r="N150" s="30" t="s">
        <v>1</v>
      </c>
      <c r="O150" s="33" t="s">
        <v>160</v>
      </c>
      <c r="P150" s="41" t="s">
        <v>697</v>
      </c>
      <c r="Q150" s="33" t="s">
        <v>695</v>
      </c>
      <c r="R150" s="41" t="s">
        <v>698</v>
      </c>
      <c r="S150" s="33" t="s">
        <v>695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43" t="s">
        <v>321</v>
      </c>
      <c r="Y150" s="44" t="s">
        <v>321</v>
      </c>
    </row>
    <row r="151" spans="1:25" ht="7.5" customHeight="1" x14ac:dyDescent="0.2">
      <c r="A151" s="9">
        <v>151</v>
      </c>
      <c r="B151" s="13" t="s">
        <v>470</v>
      </c>
      <c r="C151" s="12" t="s">
        <v>822</v>
      </c>
      <c r="D151" s="53" t="s">
        <v>761</v>
      </c>
      <c r="E151" s="54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682</v>
      </c>
      <c r="M151" s="33" t="s">
        <v>768</v>
      </c>
      <c r="N151" s="30" t="s">
        <v>1</v>
      </c>
      <c r="O151" s="33" t="s">
        <v>161</v>
      </c>
      <c r="P151" s="41" t="s">
        <v>697</v>
      </c>
      <c r="Q151" s="33" t="s">
        <v>695</v>
      </c>
      <c r="R151" s="41" t="s">
        <v>698</v>
      </c>
      <c r="S151" s="33" t="s">
        <v>695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43" t="s">
        <v>321</v>
      </c>
      <c r="Y151" s="44" t="s">
        <v>321</v>
      </c>
    </row>
    <row r="152" spans="1:25" ht="7.5" customHeight="1" x14ac:dyDescent="0.2">
      <c r="A152" s="9">
        <v>152</v>
      </c>
      <c r="B152" s="13" t="s">
        <v>471</v>
      </c>
      <c r="C152" s="12" t="s">
        <v>822</v>
      </c>
      <c r="D152" s="53" t="s">
        <v>761</v>
      </c>
      <c r="E152" s="54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682</v>
      </c>
      <c r="M152" s="33" t="s">
        <v>768</v>
      </c>
      <c r="N152" s="30" t="s">
        <v>1</v>
      </c>
      <c r="O152" s="33" t="s">
        <v>162</v>
      </c>
      <c r="P152" s="41" t="s">
        <v>697</v>
      </c>
      <c r="Q152" s="33" t="s">
        <v>695</v>
      </c>
      <c r="R152" s="41" t="s">
        <v>698</v>
      </c>
      <c r="S152" s="33" t="s">
        <v>695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43" t="s">
        <v>321</v>
      </c>
      <c r="Y152" s="44" t="s">
        <v>321</v>
      </c>
    </row>
    <row r="153" spans="1:25" ht="7.5" customHeight="1" x14ac:dyDescent="0.2">
      <c r="A153" s="9">
        <v>153</v>
      </c>
      <c r="B153" s="13" t="s">
        <v>472</v>
      </c>
      <c r="C153" s="12" t="s">
        <v>822</v>
      </c>
      <c r="D153" s="53" t="s">
        <v>761</v>
      </c>
      <c r="E153" s="54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682</v>
      </c>
      <c r="M153" s="33" t="s">
        <v>768</v>
      </c>
      <c r="N153" s="30" t="s">
        <v>1</v>
      </c>
      <c r="O153" s="33" t="s">
        <v>163</v>
      </c>
      <c r="P153" s="41" t="s">
        <v>697</v>
      </c>
      <c r="Q153" s="33" t="s">
        <v>695</v>
      </c>
      <c r="R153" s="41" t="s">
        <v>698</v>
      </c>
      <c r="S153" s="33" t="s">
        <v>695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43" t="s">
        <v>321</v>
      </c>
      <c r="Y153" s="44" t="s">
        <v>321</v>
      </c>
    </row>
    <row r="154" spans="1:25" ht="7.5" customHeight="1" x14ac:dyDescent="0.2">
      <c r="A154" s="9">
        <v>154</v>
      </c>
      <c r="B154" s="13" t="s">
        <v>473</v>
      </c>
      <c r="C154" s="12" t="s">
        <v>822</v>
      </c>
      <c r="D154" s="53" t="s">
        <v>761</v>
      </c>
      <c r="E154" s="54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682</v>
      </c>
      <c r="M154" s="33" t="s">
        <v>768</v>
      </c>
      <c r="N154" s="30" t="s">
        <v>1</v>
      </c>
      <c r="O154" s="33" t="s">
        <v>164</v>
      </c>
      <c r="P154" s="41" t="s">
        <v>697</v>
      </c>
      <c r="Q154" s="33" t="s">
        <v>695</v>
      </c>
      <c r="R154" s="41" t="s">
        <v>698</v>
      </c>
      <c r="S154" s="33" t="s">
        <v>695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43" t="s">
        <v>321</v>
      </c>
      <c r="Y154" s="44" t="s">
        <v>321</v>
      </c>
    </row>
    <row r="155" spans="1:25" ht="7.5" customHeight="1" x14ac:dyDescent="0.2">
      <c r="A155" s="9">
        <v>155</v>
      </c>
      <c r="B155" s="13" t="s">
        <v>474</v>
      </c>
      <c r="C155" s="12" t="s">
        <v>822</v>
      </c>
      <c r="D155" s="53" t="s">
        <v>761</v>
      </c>
      <c r="E155" s="54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682</v>
      </c>
      <c r="M155" s="33" t="s">
        <v>768</v>
      </c>
      <c r="N155" s="30" t="s">
        <v>1</v>
      </c>
      <c r="O155" s="33" t="s">
        <v>165</v>
      </c>
      <c r="P155" s="41" t="s">
        <v>697</v>
      </c>
      <c r="Q155" s="33" t="s">
        <v>695</v>
      </c>
      <c r="R155" s="41" t="s">
        <v>698</v>
      </c>
      <c r="S155" s="33" t="s">
        <v>695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43" t="s">
        <v>321</v>
      </c>
      <c r="Y155" s="44" t="s">
        <v>321</v>
      </c>
    </row>
    <row r="156" spans="1:25" ht="7.5" customHeight="1" x14ac:dyDescent="0.2">
      <c r="A156" s="9">
        <v>156</v>
      </c>
      <c r="B156" s="13" t="s">
        <v>475</v>
      </c>
      <c r="C156" s="12" t="s">
        <v>822</v>
      </c>
      <c r="D156" s="53" t="s">
        <v>761</v>
      </c>
      <c r="E156" s="54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682</v>
      </c>
      <c r="M156" s="33" t="s">
        <v>768</v>
      </c>
      <c r="N156" s="30" t="s">
        <v>1</v>
      </c>
      <c r="O156" s="33" t="s">
        <v>81</v>
      </c>
      <c r="P156" s="41" t="s">
        <v>697</v>
      </c>
      <c r="Q156" s="33" t="s">
        <v>695</v>
      </c>
      <c r="R156" s="41" t="s">
        <v>698</v>
      </c>
      <c r="S156" s="33" t="s">
        <v>695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43" t="s">
        <v>321</v>
      </c>
      <c r="Y156" s="44" t="s">
        <v>321</v>
      </c>
    </row>
    <row r="157" spans="1:25" ht="7.5" customHeight="1" x14ac:dyDescent="0.2">
      <c r="A157" s="9">
        <v>157</v>
      </c>
      <c r="B157" s="13" t="s">
        <v>476</v>
      </c>
      <c r="C157" s="12" t="s">
        <v>822</v>
      </c>
      <c r="D157" s="53" t="s">
        <v>761</v>
      </c>
      <c r="E157" s="54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682</v>
      </c>
      <c r="M157" s="33" t="s">
        <v>768</v>
      </c>
      <c r="N157" s="30" t="s">
        <v>1</v>
      </c>
      <c r="O157" s="33" t="s">
        <v>166</v>
      </c>
      <c r="P157" s="41" t="s">
        <v>697</v>
      </c>
      <c r="Q157" s="33" t="s">
        <v>695</v>
      </c>
      <c r="R157" s="41" t="s">
        <v>698</v>
      </c>
      <c r="S157" s="33" t="s">
        <v>695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43" t="s">
        <v>321</v>
      </c>
      <c r="Y157" s="44" t="s">
        <v>321</v>
      </c>
    </row>
    <row r="158" spans="1:25" ht="7.5" customHeight="1" x14ac:dyDescent="0.2">
      <c r="A158" s="9">
        <v>158</v>
      </c>
      <c r="B158" s="13" t="s">
        <v>477</v>
      </c>
      <c r="C158" s="12" t="s">
        <v>822</v>
      </c>
      <c r="D158" s="53" t="s">
        <v>761</v>
      </c>
      <c r="E158" s="54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682</v>
      </c>
      <c r="M158" s="33" t="s">
        <v>768</v>
      </c>
      <c r="N158" s="30" t="s">
        <v>1</v>
      </c>
      <c r="O158" s="33" t="s">
        <v>167</v>
      </c>
      <c r="P158" s="41" t="s">
        <v>697</v>
      </c>
      <c r="Q158" s="33" t="s">
        <v>695</v>
      </c>
      <c r="R158" s="41" t="s">
        <v>698</v>
      </c>
      <c r="S158" s="33" t="s">
        <v>695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43" t="s">
        <v>321</v>
      </c>
      <c r="Y158" s="44" t="s">
        <v>321</v>
      </c>
    </row>
    <row r="159" spans="1:25" ht="7.5" customHeight="1" x14ac:dyDescent="0.2">
      <c r="A159" s="9">
        <v>159</v>
      </c>
      <c r="B159" s="13" t="s">
        <v>478</v>
      </c>
      <c r="C159" s="12" t="s">
        <v>822</v>
      </c>
      <c r="D159" s="53" t="s">
        <v>761</v>
      </c>
      <c r="E159" s="54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682</v>
      </c>
      <c r="M159" s="33" t="s">
        <v>768</v>
      </c>
      <c r="N159" s="30" t="s">
        <v>1</v>
      </c>
      <c r="O159" s="33" t="s">
        <v>168</v>
      </c>
      <c r="P159" s="41" t="s">
        <v>697</v>
      </c>
      <c r="Q159" s="33" t="s">
        <v>695</v>
      </c>
      <c r="R159" s="41" t="s">
        <v>698</v>
      </c>
      <c r="S159" s="33" t="s">
        <v>695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43" t="s">
        <v>321</v>
      </c>
      <c r="Y159" s="44" t="s">
        <v>321</v>
      </c>
    </row>
    <row r="160" spans="1:25" ht="7.5" customHeight="1" x14ac:dyDescent="0.2">
      <c r="A160" s="9">
        <v>160</v>
      </c>
      <c r="B160" s="13" t="s">
        <v>479</v>
      </c>
      <c r="C160" s="12" t="s">
        <v>822</v>
      </c>
      <c r="D160" s="53" t="s">
        <v>761</v>
      </c>
      <c r="E160" s="54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682</v>
      </c>
      <c r="M160" s="33" t="s">
        <v>768</v>
      </c>
      <c r="N160" s="30" t="s">
        <v>1</v>
      </c>
      <c r="O160" s="33" t="s">
        <v>169</v>
      </c>
      <c r="P160" s="41" t="s">
        <v>697</v>
      </c>
      <c r="Q160" s="33" t="s">
        <v>695</v>
      </c>
      <c r="R160" s="41" t="s">
        <v>698</v>
      </c>
      <c r="S160" s="33" t="s">
        <v>695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43" t="s">
        <v>321</v>
      </c>
      <c r="Y160" s="44" t="s">
        <v>321</v>
      </c>
    </row>
    <row r="161" spans="1:25" ht="7.5" customHeight="1" x14ac:dyDescent="0.2">
      <c r="A161" s="9">
        <v>161</v>
      </c>
      <c r="B161" s="13" t="s">
        <v>480</v>
      </c>
      <c r="C161" s="12" t="s">
        <v>822</v>
      </c>
      <c r="D161" s="53" t="s">
        <v>761</v>
      </c>
      <c r="E161" s="54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682</v>
      </c>
      <c r="M161" s="33" t="s">
        <v>768</v>
      </c>
      <c r="N161" s="30" t="s">
        <v>1</v>
      </c>
      <c r="O161" s="33" t="s">
        <v>170</v>
      </c>
      <c r="P161" s="41" t="s">
        <v>697</v>
      </c>
      <c r="Q161" s="33" t="s">
        <v>695</v>
      </c>
      <c r="R161" s="41" t="s">
        <v>698</v>
      </c>
      <c r="S161" s="33" t="s">
        <v>695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43" t="s">
        <v>321</v>
      </c>
      <c r="Y161" s="44" t="s">
        <v>321</v>
      </c>
    </row>
    <row r="162" spans="1:25" ht="7.5" customHeight="1" x14ac:dyDescent="0.2">
      <c r="A162" s="9">
        <v>162</v>
      </c>
      <c r="B162" s="13" t="s">
        <v>481</v>
      </c>
      <c r="C162" s="12" t="s">
        <v>822</v>
      </c>
      <c r="D162" s="53" t="s">
        <v>761</v>
      </c>
      <c r="E162" s="54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682</v>
      </c>
      <c r="M162" s="33" t="s">
        <v>768</v>
      </c>
      <c r="N162" s="30" t="s">
        <v>1</v>
      </c>
      <c r="O162" s="33" t="s">
        <v>171</v>
      </c>
      <c r="P162" s="41" t="s">
        <v>697</v>
      </c>
      <c r="Q162" s="33" t="s">
        <v>695</v>
      </c>
      <c r="R162" s="41" t="s">
        <v>698</v>
      </c>
      <c r="S162" s="33" t="s">
        <v>695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43" t="s">
        <v>321</v>
      </c>
      <c r="Y162" s="44" t="s">
        <v>321</v>
      </c>
    </row>
    <row r="163" spans="1:25" ht="7.5" customHeight="1" x14ac:dyDescent="0.2">
      <c r="A163" s="9">
        <v>163</v>
      </c>
      <c r="B163" s="13" t="s">
        <v>482</v>
      </c>
      <c r="C163" s="12" t="s">
        <v>822</v>
      </c>
      <c r="D163" s="53" t="s">
        <v>761</v>
      </c>
      <c r="E163" s="54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682</v>
      </c>
      <c r="M163" s="33" t="s">
        <v>768</v>
      </c>
      <c r="N163" s="30" t="s">
        <v>1</v>
      </c>
      <c r="O163" s="33" t="s">
        <v>172</v>
      </c>
      <c r="P163" s="41" t="s">
        <v>697</v>
      </c>
      <c r="Q163" s="33" t="s">
        <v>695</v>
      </c>
      <c r="R163" s="41" t="s">
        <v>698</v>
      </c>
      <c r="S163" s="33" t="s">
        <v>695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43" t="s">
        <v>321</v>
      </c>
      <c r="Y163" s="44" t="s">
        <v>321</v>
      </c>
    </row>
    <row r="164" spans="1:25" ht="7.5" customHeight="1" x14ac:dyDescent="0.2">
      <c r="A164" s="9">
        <v>164</v>
      </c>
      <c r="B164" s="13" t="s">
        <v>483</v>
      </c>
      <c r="C164" s="12" t="s">
        <v>822</v>
      </c>
      <c r="D164" s="53" t="s">
        <v>761</v>
      </c>
      <c r="E164" s="54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682</v>
      </c>
      <c r="M164" s="33" t="s">
        <v>768</v>
      </c>
      <c r="N164" s="30" t="s">
        <v>1</v>
      </c>
      <c r="O164" s="33" t="s">
        <v>173</v>
      </c>
      <c r="P164" s="41" t="s">
        <v>697</v>
      </c>
      <c r="Q164" s="33" t="s">
        <v>695</v>
      </c>
      <c r="R164" s="41" t="s">
        <v>698</v>
      </c>
      <c r="S164" s="33" t="s">
        <v>695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43" t="s">
        <v>321</v>
      </c>
      <c r="Y164" s="44" t="s">
        <v>321</v>
      </c>
    </row>
    <row r="165" spans="1:25" ht="7.5" customHeight="1" x14ac:dyDescent="0.2">
      <c r="A165" s="9">
        <v>165</v>
      </c>
      <c r="B165" s="13" t="s">
        <v>484</v>
      </c>
      <c r="C165" s="12" t="s">
        <v>822</v>
      </c>
      <c r="D165" s="53" t="s">
        <v>761</v>
      </c>
      <c r="E165" s="54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682</v>
      </c>
      <c r="M165" s="33" t="s">
        <v>768</v>
      </c>
      <c r="N165" s="30" t="s">
        <v>1</v>
      </c>
      <c r="O165" s="33" t="s">
        <v>170</v>
      </c>
      <c r="P165" s="41" t="s">
        <v>697</v>
      </c>
      <c r="Q165" s="33" t="s">
        <v>695</v>
      </c>
      <c r="R165" s="41" t="s">
        <v>698</v>
      </c>
      <c r="S165" s="33" t="s">
        <v>695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43" t="s">
        <v>321</v>
      </c>
      <c r="Y165" s="44" t="s">
        <v>321</v>
      </c>
    </row>
    <row r="166" spans="1:25" ht="7.5" customHeight="1" x14ac:dyDescent="0.2">
      <c r="A166" s="9">
        <v>166</v>
      </c>
      <c r="B166" s="13" t="s">
        <v>485</v>
      </c>
      <c r="C166" s="12" t="s">
        <v>822</v>
      </c>
      <c r="D166" s="53" t="s">
        <v>761</v>
      </c>
      <c r="E166" s="54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682</v>
      </c>
      <c r="M166" s="33" t="s">
        <v>768</v>
      </c>
      <c r="N166" s="30" t="s">
        <v>1</v>
      </c>
      <c r="O166" s="33" t="s">
        <v>174</v>
      </c>
      <c r="P166" s="41" t="s">
        <v>697</v>
      </c>
      <c r="Q166" s="33" t="s">
        <v>695</v>
      </c>
      <c r="R166" s="41" t="s">
        <v>698</v>
      </c>
      <c r="S166" s="33" t="s">
        <v>695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43" t="s">
        <v>321</v>
      </c>
      <c r="Y166" s="44" t="s">
        <v>321</v>
      </c>
    </row>
    <row r="167" spans="1:25" ht="7.5" customHeight="1" x14ac:dyDescent="0.2">
      <c r="A167" s="9">
        <v>167</v>
      </c>
      <c r="B167" s="13" t="s">
        <v>486</v>
      </c>
      <c r="C167" s="12" t="s">
        <v>822</v>
      </c>
      <c r="D167" s="53" t="s">
        <v>761</v>
      </c>
      <c r="E167" s="54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682</v>
      </c>
      <c r="M167" s="33" t="s">
        <v>768</v>
      </c>
      <c r="N167" s="30" t="s">
        <v>1</v>
      </c>
      <c r="O167" s="33" t="s">
        <v>175</v>
      </c>
      <c r="P167" s="41" t="s">
        <v>697</v>
      </c>
      <c r="Q167" s="33" t="s">
        <v>695</v>
      </c>
      <c r="R167" s="41" t="s">
        <v>698</v>
      </c>
      <c r="S167" s="33" t="s">
        <v>695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43" t="s">
        <v>321</v>
      </c>
      <c r="Y167" s="44" t="s">
        <v>321</v>
      </c>
    </row>
    <row r="168" spans="1:25" ht="7.5" customHeight="1" x14ac:dyDescent="0.2">
      <c r="A168" s="9">
        <v>168</v>
      </c>
      <c r="B168" s="13" t="s">
        <v>487</v>
      </c>
      <c r="C168" s="12" t="s">
        <v>822</v>
      </c>
      <c r="D168" s="53" t="s">
        <v>761</v>
      </c>
      <c r="E168" s="54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682</v>
      </c>
      <c r="M168" s="33" t="s">
        <v>768</v>
      </c>
      <c r="N168" s="30" t="s">
        <v>1</v>
      </c>
      <c r="O168" s="33" t="s">
        <v>176</v>
      </c>
      <c r="P168" s="41" t="s">
        <v>697</v>
      </c>
      <c r="Q168" s="33" t="s">
        <v>695</v>
      </c>
      <c r="R168" s="41" t="s">
        <v>698</v>
      </c>
      <c r="S168" s="33" t="s">
        <v>695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43" t="s">
        <v>321</v>
      </c>
      <c r="Y168" s="44" t="s">
        <v>321</v>
      </c>
    </row>
    <row r="169" spans="1:25" ht="7.5" customHeight="1" x14ac:dyDescent="0.2">
      <c r="A169" s="9">
        <v>169</v>
      </c>
      <c r="B169" s="13" t="s">
        <v>488</v>
      </c>
      <c r="C169" s="12" t="s">
        <v>822</v>
      </c>
      <c r="D169" s="53" t="s">
        <v>761</v>
      </c>
      <c r="E169" s="54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682</v>
      </c>
      <c r="M169" s="33" t="s">
        <v>768</v>
      </c>
      <c r="N169" s="30" t="s">
        <v>1</v>
      </c>
      <c r="O169" s="33" t="s">
        <v>177</v>
      </c>
      <c r="P169" s="41" t="s">
        <v>697</v>
      </c>
      <c r="Q169" s="33" t="s">
        <v>695</v>
      </c>
      <c r="R169" s="41" t="s">
        <v>698</v>
      </c>
      <c r="S169" s="33" t="s">
        <v>695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43" t="s">
        <v>321</v>
      </c>
      <c r="Y169" s="44" t="s">
        <v>321</v>
      </c>
    </row>
    <row r="170" spans="1:25" ht="7.5" customHeight="1" x14ac:dyDescent="0.2">
      <c r="A170" s="9">
        <v>170</v>
      </c>
      <c r="B170" s="13" t="s">
        <v>489</v>
      </c>
      <c r="C170" s="12" t="s">
        <v>822</v>
      </c>
      <c r="D170" s="53" t="s">
        <v>761</v>
      </c>
      <c r="E170" s="54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682</v>
      </c>
      <c r="M170" s="33" t="s">
        <v>768</v>
      </c>
      <c r="N170" s="30" t="s">
        <v>1</v>
      </c>
      <c r="O170" s="33" t="s">
        <v>178</v>
      </c>
      <c r="P170" s="41" t="s">
        <v>697</v>
      </c>
      <c r="Q170" s="33" t="s">
        <v>695</v>
      </c>
      <c r="R170" s="41" t="s">
        <v>698</v>
      </c>
      <c r="S170" s="33" t="s">
        <v>695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43" t="s">
        <v>321</v>
      </c>
      <c r="Y170" s="44" t="s">
        <v>321</v>
      </c>
    </row>
    <row r="171" spans="1:25" ht="7.5" customHeight="1" x14ac:dyDescent="0.2">
      <c r="A171" s="9">
        <v>171</v>
      </c>
      <c r="B171" s="13" t="s">
        <v>490</v>
      </c>
      <c r="C171" s="12" t="s">
        <v>822</v>
      </c>
      <c r="D171" s="53" t="s">
        <v>761</v>
      </c>
      <c r="E171" s="54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682</v>
      </c>
      <c r="M171" s="33" t="s">
        <v>768</v>
      </c>
      <c r="N171" s="30" t="s">
        <v>1</v>
      </c>
      <c r="O171" s="33" t="s">
        <v>179</v>
      </c>
      <c r="P171" s="41" t="s">
        <v>697</v>
      </c>
      <c r="Q171" s="33" t="s">
        <v>695</v>
      </c>
      <c r="R171" s="41" t="s">
        <v>698</v>
      </c>
      <c r="S171" s="33" t="s">
        <v>695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43" t="s">
        <v>321</v>
      </c>
      <c r="Y171" s="44" t="s">
        <v>321</v>
      </c>
    </row>
    <row r="172" spans="1:25" ht="7.5" customHeight="1" x14ac:dyDescent="0.2">
      <c r="A172" s="9">
        <v>172</v>
      </c>
      <c r="B172" s="13" t="s">
        <v>491</v>
      </c>
      <c r="C172" s="12" t="s">
        <v>822</v>
      </c>
      <c r="D172" s="53" t="s">
        <v>761</v>
      </c>
      <c r="E172" s="54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682</v>
      </c>
      <c r="M172" s="33" t="s">
        <v>768</v>
      </c>
      <c r="N172" s="30" t="s">
        <v>1</v>
      </c>
      <c r="O172" s="33" t="s">
        <v>180</v>
      </c>
      <c r="P172" s="41" t="s">
        <v>697</v>
      </c>
      <c r="Q172" s="33" t="s">
        <v>695</v>
      </c>
      <c r="R172" s="41" t="s">
        <v>698</v>
      </c>
      <c r="S172" s="33" t="s">
        <v>695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43" t="s">
        <v>321</v>
      </c>
      <c r="Y172" s="44" t="s">
        <v>321</v>
      </c>
    </row>
    <row r="173" spans="1:25" ht="7.5" customHeight="1" x14ac:dyDescent="0.2">
      <c r="A173" s="9">
        <v>173</v>
      </c>
      <c r="B173" s="13" t="s">
        <v>492</v>
      </c>
      <c r="C173" s="12" t="s">
        <v>822</v>
      </c>
      <c r="D173" s="53" t="s">
        <v>761</v>
      </c>
      <c r="E173" s="54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682</v>
      </c>
      <c r="M173" s="33" t="s">
        <v>768</v>
      </c>
      <c r="N173" s="30" t="s">
        <v>1</v>
      </c>
      <c r="O173" s="33" t="s">
        <v>181</v>
      </c>
      <c r="P173" s="41" t="s">
        <v>697</v>
      </c>
      <c r="Q173" s="33" t="s">
        <v>695</v>
      </c>
      <c r="R173" s="41" t="s">
        <v>698</v>
      </c>
      <c r="S173" s="33" t="s">
        <v>695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43" t="s">
        <v>321</v>
      </c>
      <c r="Y173" s="44" t="s">
        <v>321</v>
      </c>
    </row>
    <row r="174" spans="1:25" ht="7.5" customHeight="1" x14ac:dyDescent="0.2">
      <c r="A174" s="9">
        <v>174</v>
      </c>
      <c r="B174" s="13" t="s">
        <v>493</v>
      </c>
      <c r="C174" s="12" t="s">
        <v>822</v>
      </c>
      <c r="D174" s="53" t="s">
        <v>761</v>
      </c>
      <c r="E174" s="54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682</v>
      </c>
      <c r="M174" s="33" t="s">
        <v>768</v>
      </c>
      <c r="N174" s="30" t="s">
        <v>1</v>
      </c>
      <c r="O174" s="33" t="s">
        <v>182</v>
      </c>
      <c r="P174" s="41" t="s">
        <v>697</v>
      </c>
      <c r="Q174" s="33" t="s">
        <v>695</v>
      </c>
      <c r="R174" s="41" t="s">
        <v>698</v>
      </c>
      <c r="S174" s="33" t="s">
        <v>695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43" t="s">
        <v>321</v>
      </c>
      <c r="Y174" s="44" t="s">
        <v>321</v>
      </c>
    </row>
    <row r="175" spans="1:25" ht="7.5" customHeight="1" x14ac:dyDescent="0.2">
      <c r="A175" s="9">
        <v>175</v>
      </c>
      <c r="B175" s="13" t="s">
        <v>494</v>
      </c>
      <c r="C175" s="12" t="s">
        <v>822</v>
      </c>
      <c r="D175" s="53" t="s">
        <v>761</v>
      </c>
      <c r="E175" s="54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682</v>
      </c>
      <c r="M175" s="33" t="s">
        <v>768</v>
      </c>
      <c r="N175" s="30" t="s">
        <v>1</v>
      </c>
      <c r="O175" s="33" t="s">
        <v>183</v>
      </c>
      <c r="P175" s="41" t="s">
        <v>697</v>
      </c>
      <c r="Q175" s="33" t="s">
        <v>695</v>
      </c>
      <c r="R175" s="41" t="s">
        <v>698</v>
      </c>
      <c r="S175" s="33" t="s">
        <v>695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43" t="s">
        <v>321</v>
      </c>
      <c r="Y175" s="44" t="s">
        <v>321</v>
      </c>
    </row>
    <row r="176" spans="1:25" ht="7.5" customHeight="1" x14ac:dyDescent="0.2">
      <c r="A176" s="9">
        <v>176</v>
      </c>
      <c r="B176" s="13" t="s">
        <v>495</v>
      </c>
      <c r="C176" s="12" t="s">
        <v>822</v>
      </c>
      <c r="D176" s="53" t="s">
        <v>761</v>
      </c>
      <c r="E176" s="54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682</v>
      </c>
      <c r="M176" s="33" t="s">
        <v>768</v>
      </c>
      <c r="N176" s="30" t="s">
        <v>1</v>
      </c>
      <c r="O176" s="33" t="s">
        <v>139</v>
      </c>
      <c r="P176" s="41" t="s">
        <v>697</v>
      </c>
      <c r="Q176" s="33" t="s">
        <v>695</v>
      </c>
      <c r="R176" s="41" t="s">
        <v>698</v>
      </c>
      <c r="S176" s="33" t="s">
        <v>695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43" t="s">
        <v>321</v>
      </c>
      <c r="Y176" s="44" t="s">
        <v>321</v>
      </c>
    </row>
    <row r="177" spans="1:25" ht="7.5" customHeight="1" x14ac:dyDescent="0.2">
      <c r="A177" s="9">
        <v>177</v>
      </c>
      <c r="B177" s="13" t="s">
        <v>496</v>
      </c>
      <c r="C177" s="12" t="s">
        <v>822</v>
      </c>
      <c r="D177" s="53" t="s">
        <v>761</v>
      </c>
      <c r="E177" s="54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682</v>
      </c>
      <c r="M177" s="33" t="s">
        <v>768</v>
      </c>
      <c r="N177" s="30" t="s">
        <v>1</v>
      </c>
      <c r="O177" s="33" t="s">
        <v>184</v>
      </c>
      <c r="P177" s="41" t="s">
        <v>697</v>
      </c>
      <c r="Q177" s="33" t="s">
        <v>695</v>
      </c>
      <c r="R177" s="41" t="s">
        <v>698</v>
      </c>
      <c r="S177" s="33" t="s">
        <v>695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43" t="s">
        <v>321</v>
      </c>
      <c r="Y177" s="44" t="s">
        <v>321</v>
      </c>
    </row>
    <row r="178" spans="1:25" ht="7.5" customHeight="1" x14ac:dyDescent="0.2">
      <c r="A178" s="9">
        <v>178</v>
      </c>
      <c r="B178" s="13" t="s">
        <v>497</v>
      </c>
      <c r="C178" s="12" t="s">
        <v>822</v>
      </c>
      <c r="D178" s="53" t="s">
        <v>761</v>
      </c>
      <c r="E178" s="54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682</v>
      </c>
      <c r="M178" s="33" t="s">
        <v>768</v>
      </c>
      <c r="N178" s="30" t="s">
        <v>1</v>
      </c>
      <c r="O178" s="33" t="s">
        <v>185</v>
      </c>
      <c r="P178" s="41" t="s">
        <v>697</v>
      </c>
      <c r="Q178" s="33" t="s">
        <v>695</v>
      </c>
      <c r="R178" s="41" t="s">
        <v>698</v>
      </c>
      <c r="S178" s="33" t="s">
        <v>695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43" t="s">
        <v>321</v>
      </c>
      <c r="Y178" s="44" t="s">
        <v>321</v>
      </c>
    </row>
    <row r="179" spans="1:25" ht="7.5" customHeight="1" x14ac:dyDescent="0.2">
      <c r="A179" s="9">
        <v>179</v>
      </c>
      <c r="B179" s="13" t="s">
        <v>498</v>
      </c>
      <c r="C179" s="12" t="s">
        <v>823</v>
      </c>
      <c r="D179" s="53" t="s">
        <v>761</v>
      </c>
      <c r="E179" s="54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682</v>
      </c>
      <c r="M179" s="33" t="s">
        <v>769</v>
      </c>
      <c r="N179" s="30" t="s">
        <v>1</v>
      </c>
      <c r="O179" s="33" t="s">
        <v>186</v>
      </c>
      <c r="P179" s="41" t="s">
        <v>697</v>
      </c>
      <c r="Q179" s="33" t="s">
        <v>695</v>
      </c>
      <c r="R179" s="41" t="s">
        <v>698</v>
      </c>
      <c r="S179" s="33" t="s">
        <v>695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43" t="s">
        <v>321</v>
      </c>
      <c r="Y179" s="44" t="s">
        <v>321</v>
      </c>
    </row>
    <row r="180" spans="1:25" ht="7.5" customHeight="1" x14ac:dyDescent="0.2">
      <c r="A180" s="9">
        <v>180</v>
      </c>
      <c r="B180" s="13" t="s">
        <v>499</v>
      </c>
      <c r="C180" s="12" t="s">
        <v>823</v>
      </c>
      <c r="D180" s="53" t="s">
        <v>761</v>
      </c>
      <c r="E180" s="54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682</v>
      </c>
      <c r="M180" s="33" t="s">
        <v>769</v>
      </c>
      <c r="N180" s="30" t="s">
        <v>1</v>
      </c>
      <c r="O180" s="33" t="s">
        <v>187</v>
      </c>
      <c r="P180" s="41" t="s">
        <v>697</v>
      </c>
      <c r="Q180" s="33" t="s">
        <v>695</v>
      </c>
      <c r="R180" s="41" t="s">
        <v>698</v>
      </c>
      <c r="S180" s="33" t="s">
        <v>695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43" t="s">
        <v>321</v>
      </c>
      <c r="Y180" s="44" t="s">
        <v>321</v>
      </c>
    </row>
    <row r="181" spans="1:25" ht="7.5" customHeight="1" x14ac:dyDescent="0.2">
      <c r="A181" s="9">
        <v>181</v>
      </c>
      <c r="B181" s="13" t="s">
        <v>500</v>
      </c>
      <c r="C181" s="12" t="s">
        <v>823</v>
      </c>
      <c r="D181" s="53" t="s">
        <v>761</v>
      </c>
      <c r="E181" s="54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682</v>
      </c>
      <c r="M181" s="33" t="s">
        <v>769</v>
      </c>
      <c r="N181" s="30" t="s">
        <v>1</v>
      </c>
      <c r="O181" s="33" t="s">
        <v>188</v>
      </c>
      <c r="P181" s="41" t="s">
        <v>697</v>
      </c>
      <c r="Q181" s="33" t="s">
        <v>695</v>
      </c>
      <c r="R181" s="41" t="s">
        <v>698</v>
      </c>
      <c r="S181" s="33" t="s">
        <v>695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43" t="s">
        <v>321</v>
      </c>
      <c r="Y181" s="44" t="s">
        <v>321</v>
      </c>
    </row>
    <row r="182" spans="1:25" ht="7.5" customHeight="1" x14ac:dyDescent="0.2">
      <c r="A182" s="9">
        <v>182</v>
      </c>
      <c r="B182" s="13" t="s">
        <v>501</v>
      </c>
      <c r="C182" s="12" t="s">
        <v>823</v>
      </c>
      <c r="D182" s="53" t="s">
        <v>761</v>
      </c>
      <c r="E182" s="54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682</v>
      </c>
      <c r="M182" s="33" t="s">
        <v>769</v>
      </c>
      <c r="N182" s="30" t="s">
        <v>1</v>
      </c>
      <c r="O182" s="33" t="s">
        <v>189</v>
      </c>
      <c r="P182" s="41" t="s">
        <v>697</v>
      </c>
      <c r="Q182" s="33" t="s">
        <v>695</v>
      </c>
      <c r="R182" s="41" t="s">
        <v>698</v>
      </c>
      <c r="S182" s="33" t="s">
        <v>695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43" t="s">
        <v>321</v>
      </c>
      <c r="Y182" s="44" t="s">
        <v>321</v>
      </c>
    </row>
    <row r="183" spans="1:25" ht="7.5" customHeight="1" x14ac:dyDescent="0.2">
      <c r="A183" s="9">
        <v>183</v>
      </c>
      <c r="B183" s="13" t="s">
        <v>502</v>
      </c>
      <c r="C183" s="12" t="s">
        <v>823</v>
      </c>
      <c r="D183" s="53" t="s">
        <v>761</v>
      </c>
      <c r="E183" s="54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682</v>
      </c>
      <c r="M183" s="33" t="s">
        <v>769</v>
      </c>
      <c r="N183" s="30" t="s">
        <v>1</v>
      </c>
      <c r="O183" s="33" t="s">
        <v>190</v>
      </c>
      <c r="P183" s="41" t="s">
        <v>697</v>
      </c>
      <c r="Q183" s="33" t="s">
        <v>695</v>
      </c>
      <c r="R183" s="41" t="s">
        <v>698</v>
      </c>
      <c r="S183" s="33" t="s">
        <v>695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43" t="s">
        <v>321</v>
      </c>
      <c r="Y183" s="44" t="s">
        <v>321</v>
      </c>
    </row>
    <row r="184" spans="1:25" ht="7.5" customHeight="1" x14ac:dyDescent="0.2">
      <c r="A184" s="9">
        <v>184</v>
      </c>
      <c r="B184" s="13" t="s">
        <v>503</v>
      </c>
      <c r="C184" s="12" t="s">
        <v>823</v>
      </c>
      <c r="D184" s="53" t="s">
        <v>761</v>
      </c>
      <c r="E184" s="54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682</v>
      </c>
      <c r="M184" s="33" t="s">
        <v>769</v>
      </c>
      <c r="N184" s="30" t="s">
        <v>1</v>
      </c>
      <c r="O184" s="33" t="s">
        <v>191</v>
      </c>
      <c r="P184" s="41" t="s">
        <v>697</v>
      </c>
      <c r="Q184" s="33" t="s">
        <v>695</v>
      </c>
      <c r="R184" s="41" t="s">
        <v>698</v>
      </c>
      <c r="S184" s="33" t="s">
        <v>695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43" t="s">
        <v>321</v>
      </c>
      <c r="Y184" s="44" t="s">
        <v>321</v>
      </c>
    </row>
    <row r="185" spans="1:25" ht="7.5" customHeight="1" x14ac:dyDescent="0.2">
      <c r="A185" s="9">
        <v>185</v>
      </c>
      <c r="B185" s="13" t="s">
        <v>504</v>
      </c>
      <c r="C185" s="12" t="s">
        <v>823</v>
      </c>
      <c r="D185" s="53" t="s">
        <v>761</v>
      </c>
      <c r="E185" s="54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682</v>
      </c>
      <c r="M185" s="33" t="s">
        <v>769</v>
      </c>
      <c r="N185" s="30" t="s">
        <v>1</v>
      </c>
      <c r="O185" s="33" t="s">
        <v>192</v>
      </c>
      <c r="P185" s="41" t="s">
        <v>697</v>
      </c>
      <c r="Q185" s="33" t="s">
        <v>695</v>
      </c>
      <c r="R185" s="41" t="s">
        <v>698</v>
      </c>
      <c r="S185" s="33" t="s">
        <v>695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43" t="s">
        <v>321</v>
      </c>
      <c r="Y185" s="44" t="s">
        <v>321</v>
      </c>
    </row>
    <row r="186" spans="1:25" ht="7.5" customHeight="1" x14ac:dyDescent="0.2">
      <c r="A186" s="9">
        <v>186</v>
      </c>
      <c r="B186" s="13" t="s">
        <v>505</v>
      </c>
      <c r="C186" s="12" t="s">
        <v>823</v>
      </c>
      <c r="D186" s="53" t="s">
        <v>761</v>
      </c>
      <c r="E186" s="54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682</v>
      </c>
      <c r="M186" s="33" t="s">
        <v>769</v>
      </c>
      <c r="N186" s="30" t="s">
        <v>1</v>
      </c>
      <c r="O186" s="33" t="s">
        <v>193</v>
      </c>
      <c r="P186" s="41" t="s">
        <v>697</v>
      </c>
      <c r="Q186" s="33" t="s">
        <v>695</v>
      </c>
      <c r="R186" s="41" t="s">
        <v>698</v>
      </c>
      <c r="S186" s="33" t="s">
        <v>695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43" t="s">
        <v>321</v>
      </c>
      <c r="Y186" s="44" t="s">
        <v>321</v>
      </c>
    </row>
    <row r="187" spans="1:25" ht="7.5" customHeight="1" x14ac:dyDescent="0.2">
      <c r="A187" s="9">
        <v>187</v>
      </c>
      <c r="B187" s="13" t="s">
        <v>506</v>
      </c>
      <c r="C187" s="12" t="s">
        <v>823</v>
      </c>
      <c r="D187" s="53" t="s">
        <v>761</v>
      </c>
      <c r="E187" s="54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682</v>
      </c>
      <c r="M187" s="33" t="s">
        <v>769</v>
      </c>
      <c r="N187" s="30" t="s">
        <v>1</v>
      </c>
      <c r="O187" s="33" t="s">
        <v>194</v>
      </c>
      <c r="P187" s="41" t="s">
        <v>697</v>
      </c>
      <c r="Q187" s="33" t="s">
        <v>695</v>
      </c>
      <c r="R187" s="41" t="s">
        <v>698</v>
      </c>
      <c r="S187" s="33" t="s">
        <v>695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43" t="s">
        <v>321</v>
      </c>
      <c r="Y187" s="44" t="s">
        <v>321</v>
      </c>
    </row>
    <row r="188" spans="1:25" ht="7.5" customHeight="1" x14ac:dyDescent="0.2">
      <c r="A188" s="9">
        <v>188</v>
      </c>
      <c r="B188" s="13" t="s">
        <v>507</v>
      </c>
      <c r="C188" s="12" t="s">
        <v>823</v>
      </c>
      <c r="D188" s="53" t="s">
        <v>761</v>
      </c>
      <c r="E188" s="54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682</v>
      </c>
      <c r="M188" s="33" t="s">
        <v>769</v>
      </c>
      <c r="N188" s="30" t="s">
        <v>1</v>
      </c>
      <c r="O188" s="33" t="s">
        <v>195</v>
      </c>
      <c r="P188" s="41" t="s">
        <v>697</v>
      </c>
      <c r="Q188" s="33" t="s">
        <v>695</v>
      </c>
      <c r="R188" s="41" t="s">
        <v>698</v>
      </c>
      <c r="S188" s="33" t="s">
        <v>695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43" t="s">
        <v>321</v>
      </c>
      <c r="Y188" s="44" t="s">
        <v>321</v>
      </c>
    </row>
    <row r="189" spans="1:25" ht="7.5" customHeight="1" x14ac:dyDescent="0.2">
      <c r="A189" s="9">
        <v>189</v>
      </c>
      <c r="B189" s="13" t="s">
        <v>508</v>
      </c>
      <c r="C189" s="12" t="s">
        <v>823</v>
      </c>
      <c r="D189" s="53" t="s">
        <v>761</v>
      </c>
      <c r="E189" s="54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682</v>
      </c>
      <c r="M189" s="33" t="s">
        <v>769</v>
      </c>
      <c r="N189" s="30" t="s">
        <v>1</v>
      </c>
      <c r="O189" s="33" t="s">
        <v>196</v>
      </c>
      <c r="P189" s="41" t="s">
        <v>697</v>
      </c>
      <c r="Q189" s="33" t="s">
        <v>695</v>
      </c>
      <c r="R189" s="41" t="s">
        <v>698</v>
      </c>
      <c r="S189" s="33" t="s">
        <v>695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43" t="s">
        <v>321</v>
      </c>
      <c r="Y189" s="44" t="s">
        <v>321</v>
      </c>
    </row>
    <row r="190" spans="1:25" ht="7.5" customHeight="1" x14ac:dyDescent="0.2">
      <c r="A190" s="9">
        <v>190</v>
      </c>
      <c r="B190" s="13" t="s">
        <v>509</v>
      </c>
      <c r="C190" s="12" t="s">
        <v>823</v>
      </c>
      <c r="D190" s="53" t="s">
        <v>761</v>
      </c>
      <c r="E190" s="54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682</v>
      </c>
      <c r="M190" s="33" t="s">
        <v>769</v>
      </c>
      <c r="N190" s="30" t="s">
        <v>1</v>
      </c>
      <c r="O190" s="33" t="s">
        <v>197</v>
      </c>
      <c r="P190" s="41" t="s">
        <v>697</v>
      </c>
      <c r="Q190" s="33" t="s">
        <v>695</v>
      </c>
      <c r="R190" s="41" t="s">
        <v>698</v>
      </c>
      <c r="S190" s="33" t="s">
        <v>695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43" t="s">
        <v>321</v>
      </c>
      <c r="Y190" s="44" t="s">
        <v>321</v>
      </c>
    </row>
    <row r="191" spans="1:25" ht="7.5" customHeight="1" x14ac:dyDescent="0.2">
      <c r="A191" s="9">
        <v>191</v>
      </c>
      <c r="B191" s="13" t="s">
        <v>510</v>
      </c>
      <c r="C191" s="12" t="s">
        <v>823</v>
      </c>
      <c r="D191" s="53" t="s">
        <v>761</v>
      </c>
      <c r="E191" s="54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682</v>
      </c>
      <c r="M191" s="33" t="s">
        <v>769</v>
      </c>
      <c r="N191" s="30" t="s">
        <v>1</v>
      </c>
      <c r="O191" s="33" t="s">
        <v>198</v>
      </c>
      <c r="P191" s="41" t="s">
        <v>697</v>
      </c>
      <c r="Q191" s="33" t="s">
        <v>695</v>
      </c>
      <c r="R191" s="41" t="s">
        <v>698</v>
      </c>
      <c r="S191" s="33" t="s">
        <v>695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43" t="s">
        <v>321</v>
      </c>
      <c r="Y191" s="44" t="s">
        <v>321</v>
      </c>
    </row>
    <row r="192" spans="1:25" ht="7.5" customHeight="1" x14ac:dyDescent="0.2">
      <c r="A192" s="9">
        <v>192</v>
      </c>
      <c r="B192" s="13" t="s">
        <v>511</v>
      </c>
      <c r="C192" s="12" t="s">
        <v>823</v>
      </c>
      <c r="D192" s="53" t="s">
        <v>761</v>
      </c>
      <c r="E192" s="54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682</v>
      </c>
      <c r="M192" s="33" t="s">
        <v>769</v>
      </c>
      <c r="N192" s="30" t="s">
        <v>1</v>
      </c>
      <c r="O192" s="33" t="s">
        <v>199</v>
      </c>
      <c r="P192" s="41" t="s">
        <v>697</v>
      </c>
      <c r="Q192" s="33" t="s">
        <v>695</v>
      </c>
      <c r="R192" s="41" t="s">
        <v>698</v>
      </c>
      <c r="S192" s="33" t="s">
        <v>695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43" t="s">
        <v>321</v>
      </c>
      <c r="Y192" s="44" t="s">
        <v>321</v>
      </c>
    </row>
    <row r="193" spans="1:25" ht="7.5" customHeight="1" x14ac:dyDescent="0.2">
      <c r="A193" s="9">
        <v>193</v>
      </c>
      <c r="B193" s="13" t="s">
        <v>512</v>
      </c>
      <c r="C193" s="12" t="s">
        <v>823</v>
      </c>
      <c r="D193" s="53" t="s">
        <v>761</v>
      </c>
      <c r="E193" s="54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682</v>
      </c>
      <c r="M193" s="33" t="s">
        <v>769</v>
      </c>
      <c r="N193" s="30" t="s">
        <v>1</v>
      </c>
      <c r="O193" s="33" t="s">
        <v>200</v>
      </c>
      <c r="P193" s="41" t="s">
        <v>697</v>
      </c>
      <c r="Q193" s="33" t="s">
        <v>695</v>
      </c>
      <c r="R193" s="41" t="s">
        <v>698</v>
      </c>
      <c r="S193" s="33" t="s">
        <v>695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43" t="s">
        <v>321</v>
      </c>
      <c r="Y193" s="44" t="s">
        <v>321</v>
      </c>
    </row>
    <row r="194" spans="1:25" ht="7.5" customHeight="1" x14ac:dyDescent="0.2">
      <c r="A194" s="9">
        <v>194</v>
      </c>
      <c r="B194" s="13" t="s">
        <v>513</v>
      </c>
      <c r="C194" s="12" t="s">
        <v>823</v>
      </c>
      <c r="D194" s="53" t="s">
        <v>761</v>
      </c>
      <c r="E194" s="54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682</v>
      </c>
      <c r="M194" s="33" t="s">
        <v>769</v>
      </c>
      <c r="N194" s="30" t="s">
        <v>1</v>
      </c>
      <c r="O194" s="33" t="s">
        <v>201</v>
      </c>
      <c r="P194" s="41" t="s">
        <v>697</v>
      </c>
      <c r="Q194" s="33" t="s">
        <v>695</v>
      </c>
      <c r="R194" s="41" t="s">
        <v>698</v>
      </c>
      <c r="S194" s="33" t="s">
        <v>695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43" t="s">
        <v>321</v>
      </c>
      <c r="Y194" s="44" t="s">
        <v>321</v>
      </c>
    </row>
    <row r="195" spans="1:25" ht="7.5" customHeight="1" x14ac:dyDescent="0.2">
      <c r="A195" s="9">
        <v>195</v>
      </c>
      <c r="B195" s="13" t="s">
        <v>514</v>
      </c>
      <c r="C195" s="12" t="s">
        <v>823</v>
      </c>
      <c r="D195" s="53" t="s">
        <v>761</v>
      </c>
      <c r="E195" s="54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682</v>
      </c>
      <c r="M195" s="33" t="s">
        <v>769</v>
      </c>
      <c r="N195" s="30" t="s">
        <v>1</v>
      </c>
      <c r="O195" s="33" t="s">
        <v>202</v>
      </c>
      <c r="P195" s="41" t="s">
        <v>697</v>
      </c>
      <c r="Q195" s="33" t="s">
        <v>695</v>
      </c>
      <c r="R195" s="41" t="s">
        <v>698</v>
      </c>
      <c r="S195" s="33" t="s">
        <v>695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43" t="s">
        <v>321</v>
      </c>
      <c r="Y195" s="44" t="s">
        <v>321</v>
      </c>
    </row>
    <row r="196" spans="1:25" ht="7.5" customHeight="1" x14ac:dyDescent="0.2">
      <c r="A196" s="9">
        <v>196</v>
      </c>
      <c r="B196" s="13" t="s">
        <v>515</v>
      </c>
      <c r="C196" s="12" t="s">
        <v>823</v>
      </c>
      <c r="D196" s="53" t="s">
        <v>761</v>
      </c>
      <c r="E196" s="54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682</v>
      </c>
      <c r="M196" s="33" t="s">
        <v>769</v>
      </c>
      <c r="N196" s="30" t="s">
        <v>1</v>
      </c>
      <c r="O196" s="33" t="s">
        <v>203</v>
      </c>
      <c r="P196" s="41" t="s">
        <v>697</v>
      </c>
      <c r="Q196" s="33" t="s">
        <v>695</v>
      </c>
      <c r="R196" s="41" t="s">
        <v>698</v>
      </c>
      <c r="S196" s="33" t="s">
        <v>695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43" t="s">
        <v>321</v>
      </c>
      <c r="Y196" s="44" t="s">
        <v>321</v>
      </c>
    </row>
    <row r="197" spans="1:25" ht="7.5" customHeight="1" x14ac:dyDescent="0.2">
      <c r="A197" s="9">
        <v>197</v>
      </c>
      <c r="B197" s="13" t="s">
        <v>516</v>
      </c>
      <c r="C197" s="12" t="s">
        <v>823</v>
      </c>
      <c r="D197" s="53" t="s">
        <v>761</v>
      </c>
      <c r="E197" s="54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682</v>
      </c>
      <c r="M197" s="33" t="s">
        <v>769</v>
      </c>
      <c r="N197" s="30" t="s">
        <v>1</v>
      </c>
      <c r="O197" s="33" t="s">
        <v>204</v>
      </c>
      <c r="P197" s="41" t="s">
        <v>697</v>
      </c>
      <c r="Q197" s="33" t="s">
        <v>695</v>
      </c>
      <c r="R197" s="41" t="s">
        <v>698</v>
      </c>
      <c r="S197" s="33" t="s">
        <v>695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43" t="s">
        <v>321</v>
      </c>
      <c r="Y197" s="44" t="s">
        <v>321</v>
      </c>
    </row>
    <row r="198" spans="1:25" ht="7.5" customHeight="1" x14ac:dyDescent="0.2">
      <c r="A198" s="9">
        <v>198</v>
      </c>
      <c r="B198" s="13" t="s">
        <v>517</v>
      </c>
      <c r="C198" s="12" t="s">
        <v>823</v>
      </c>
      <c r="D198" s="53" t="s">
        <v>761</v>
      </c>
      <c r="E198" s="54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682</v>
      </c>
      <c r="M198" s="33" t="s">
        <v>769</v>
      </c>
      <c r="N198" s="30" t="s">
        <v>1</v>
      </c>
      <c r="O198" s="33" t="s">
        <v>205</v>
      </c>
      <c r="P198" s="41" t="s">
        <v>697</v>
      </c>
      <c r="Q198" s="33" t="s">
        <v>695</v>
      </c>
      <c r="R198" s="41" t="s">
        <v>698</v>
      </c>
      <c r="S198" s="33" t="s">
        <v>695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43" t="s">
        <v>321</v>
      </c>
      <c r="Y198" s="44" t="s">
        <v>321</v>
      </c>
    </row>
    <row r="199" spans="1:25" ht="7.5" customHeight="1" x14ac:dyDescent="0.2">
      <c r="A199" s="9">
        <v>199</v>
      </c>
      <c r="B199" s="13" t="s">
        <v>518</v>
      </c>
      <c r="C199" s="12" t="s">
        <v>823</v>
      </c>
      <c r="D199" s="53" t="s">
        <v>761</v>
      </c>
      <c r="E199" s="54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682</v>
      </c>
      <c r="M199" s="33" t="s">
        <v>769</v>
      </c>
      <c r="N199" s="30" t="s">
        <v>1</v>
      </c>
      <c r="O199" s="33" t="s">
        <v>109</v>
      </c>
      <c r="P199" s="41" t="s">
        <v>697</v>
      </c>
      <c r="Q199" s="33" t="s">
        <v>695</v>
      </c>
      <c r="R199" s="41" t="s">
        <v>698</v>
      </c>
      <c r="S199" s="33" t="s">
        <v>695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43" t="s">
        <v>321</v>
      </c>
      <c r="Y199" s="44" t="s">
        <v>321</v>
      </c>
    </row>
    <row r="200" spans="1:25" ht="7.5" customHeight="1" x14ac:dyDescent="0.2">
      <c r="A200" s="9">
        <v>200</v>
      </c>
      <c r="B200" s="13" t="s">
        <v>519</v>
      </c>
      <c r="C200" s="12" t="s">
        <v>823</v>
      </c>
      <c r="D200" s="53" t="s">
        <v>761</v>
      </c>
      <c r="E200" s="54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682</v>
      </c>
      <c r="M200" s="33" t="s">
        <v>769</v>
      </c>
      <c r="N200" s="30" t="s">
        <v>1</v>
      </c>
      <c r="O200" s="33" t="s">
        <v>206</v>
      </c>
      <c r="P200" s="41" t="s">
        <v>697</v>
      </c>
      <c r="Q200" s="33" t="s">
        <v>695</v>
      </c>
      <c r="R200" s="41" t="s">
        <v>698</v>
      </c>
      <c r="S200" s="33" t="s">
        <v>695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43" t="s">
        <v>321</v>
      </c>
      <c r="Y200" s="44" t="s">
        <v>321</v>
      </c>
    </row>
    <row r="201" spans="1:25" ht="7.5" customHeight="1" x14ac:dyDescent="0.2">
      <c r="A201" s="9">
        <v>201</v>
      </c>
      <c r="B201" s="13" t="s">
        <v>520</v>
      </c>
      <c r="C201" s="12" t="s">
        <v>823</v>
      </c>
      <c r="D201" s="53" t="s">
        <v>761</v>
      </c>
      <c r="E201" s="54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682</v>
      </c>
      <c r="M201" s="33" t="s">
        <v>769</v>
      </c>
      <c r="N201" s="30" t="s">
        <v>1</v>
      </c>
      <c r="O201" s="33" t="s">
        <v>207</v>
      </c>
      <c r="P201" s="41" t="s">
        <v>697</v>
      </c>
      <c r="Q201" s="33" t="s">
        <v>695</v>
      </c>
      <c r="R201" s="41" t="s">
        <v>698</v>
      </c>
      <c r="S201" s="33" t="s">
        <v>695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43" t="s">
        <v>321</v>
      </c>
      <c r="Y201" s="44" t="s">
        <v>321</v>
      </c>
    </row>
    <row r="202" spans="1:25" ht="7.5" customHeight="1" x14ac:dyDescent="0.2">
      <c r="A202" s="9">
        <v>202</v>
      </c>
      <c r="B202" s="13" t="s">
        <v>521</v>
      </c>
      <c r="C202" s="12" t="s">
        <v>823</v>
      </c>
      <c r="D202" s="53" t="s">
        <v>761</v>
      </c>
      <c r="E202" s="54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682</v>
      </c>
      <c r="M202" s="33" t="s">
        <v>769</v>
      </c>
      <c r="N202" s="30" t="s">
        <v>1</v>
      </c>
      <c r="O202" s="33" t="s">
        <v>208</v>
      </c>
      <c r="P202" s="41" t="s">
        <v>697</v>
      </c>
      <c r="Q202" s="33" t="s">
        <v>695</v>
      </c>
      <c r="R202" s="41" t="s">
        <v>698</v>
      </c>
      <c r="S202" s="33" t="s">
        <v>695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43" t="s">
        <v>321</v>
      </c>
      <c r="Y202" s="44" t="s">
        <v>321</v>
      </c>
    </row>
    <row r="203" spans="1:25" ht="7.5" customHeight="1" x14ac:dyDescent="0.2">
      <c r="A203" s="9">
        <v>203</v>
      </c>
      <c r="B203" s="13" t="s">
        <v>522</v>
      </c>
      <c r="C203" s="12" t="s">
        <v>823</v>
      </c>
      <c r="D203" s="53" t="s">
        <v>761</v>
      </c>
      <c r="E203" s="54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682</v>
      </c>
      <c r="M203" s="33" t="s">
        <v>769</v>
      </c>
      <c r="N203" s="30" t="s">
        <v>1</v>
      </c>
      <c r="O203" s="33" t="s">
        <v>209</v>
      </c>
      <c r="P203" s="41" t="s">
        <v>697</v>
      </c>
      <c r="Q203" s="33" t="s">
        <v>695</v>
      </c>
      <c r="R203" s="41" t="s">
        <v>698</v>
      </c>
      <c r="S203" s="33" t="s">
        <v>695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43" t="s">
        <v>321</v>
      </c>
      <c r="Y203" s="44" t="s">
        <v>321</v>
      </c>
    </row>
    <row r="204" spans="1:25" ht="7.5" customHeight="1" x14ac:dyDescent="0.2">
      <c r="A204" s="9">
        <v>204</v>
      </c>
      <c r="B204" s="13" t="s">
        <v>523</v>
      </c>
      <c r="C204" s="12" t="s">
        <v>823</v>
      </c>
      <c r="D204" s="53" t="s">
        <v>761</v>
      </c>
      <c r="E204" s="54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682</v>
      </c>
      <c r="M204" s="33" t="s">
        <v>769</v>
      </c>
      <c r="N204" s="30" t="s">
        <v>1</v>
      </c>
      <c r="O204" s="33" t="s">
        <v>210</v>
      </c>
      <c r="P204" s="41" t="s">
        <v>697</v>
      </c>
      <c r="Q204" s="33" t="s">
        <v>695</v>
      </c>
      <c r="R204" s="41" t="s">
        <v>698</v>
      </c>
      <c r="S204" s="33" t="s">
        <v>695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43" t="s">
        <v>321</v>
      </c>
      <c r="Y204" s="44" t="s">
        <v>321</v>
      </c>
    </row>
    <row r="205" spans="1:25" ht="7.5" customHeight="1" x14ac:dyDescent="0.2">
      <c r="A205" s="9">
        <v>205</v>
      </c>
      <c r="B205" s="13" t="s">
        <v>524</v>
      </c>
      <c r="C205" s="12" t="s">
        <v>823</v>
      </c>
      <c r="D205" s="53" t="s">
        <v>761</v>
      </c>
      <c r="E205" s="54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682</v>
      </c>
      <c r="M205" s="33" t="s">
        <v>769</v>
      </c>
      <c r="N205" s="30" t="s">
        <v>1</v>
      </c>
      <c r="O205" s="33" t="s">
        <v>117</v>
      </c>
      <c r="P205" s="41" t="s">
        <v>697</v>
      </c>
      <c r="Q205" s="33" t="s">
        <v>695</v>
      </c>
      <c r="R205" s="41" t="s">
        <v>698</v>
      </c>
      <c r="S205" s="33" t="s">
        <v>695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43" t="s">
        <v>321</v>
      </c>
      <c r="Y205" s="44" t="s">
        <v>321</v>
      </c>
    </row>
    <row r="206" spans="1:25" ht="7.5" customHeight="1" x14ac:dyDescent="0.2">
      <c r="A206" s="9">
        <v>206</v>
      </c>
      <c r="B206" s="13" t="s">
        <v>525</v>
      </c>
      <c r="C206" s="12" t="s">
        <v>823</v>
      </c>
      <c r="D206" s="53" t="s">
        <v>761</v>
      </c>
      <c r="E206" s="54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682</v>
      </c>
      <c r="M206" s="33" t="s">
        <v>769</v>
      </c>
      <c r="N206" s="30" t="s">
        <v>1</v>
      </c>
      <c r="O206" s="33" t="s">
        <v>180</v>
      </c>
      <c r="P206" s="41" t="s">
        <v>697</v>
      </c>
      <c r="Q206" s="33" t="s">
        <v>695</v>
      </c>
      <c r="R206" s="41" t="s">
        <v>698</v>
      </c>
      <c r="S206" s="33" t="s">
        <v>695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43" t="s">
        <v>321</v>
      </c>
      <c r="Y206" s="44" t="s">
        <v>321</v>
      </c>
    </row>
    <row r="207" spans="1:25" ht="7.5" customHeight="1" x14ac:dyDescent="0.2">
      <c r="A207" s="9">
        <v>207</v>
      </c>
      <c r="B207" s="13" t="s">
        <v>526</v>
      </c>
      <c r="C207" s="12" t="s">
        <v>823</v>
      </c>
      <c r="D207" s="53" t="s">
        <v>761</v>
      </c>
      <c r="E207" s="54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682</v>
      </c>
      <c r="M207" s="33" t="s">
        <v>769</v>
      </c>
      <c r="N207" s="30" t="s">
        <v>1</v>
      </c>
      <c r="O207" s="33" t="s">
        <v>211</v>
      </c>
      <c r="P207" s="41" t="s">
        <v>697</v>
      </c>
      <c r="Q207" s="33" t="s">
        <v>695</v>
      </c>
      <c r="R207" s="41" t="s">
        <v>698</v>
      </c>
      <c r="S207" s="33" t="s">
        <v>695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43" t="s">
        <v>321</v>
      </c>
      <c r="Y207" s="44" t="s">
        <v>321</v>
      </c>
    </row>
    <row r="208" spans="1:25" ht="7.5" customHeight="1" x14ac:dyDescent="0.2">
      <c r="A208" s="9">
        <v>208</v>
      </c>
      <c r="B208" s="13" t="s">
        <v>527</v>
      </c>
      <c r="C208" s="12" t="s">
        <v>823</v>
      </c>
      <c r="D208" s="53" t="s">
        <v>761</v>
      </c>
      <c r="E208" s="54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682</v>
      </c>
      <c r="M208" s="33" t="s">
        <v>769</v>
      </c>
      <c r="N208" s="30" t="s">
        <v>1</v>
      </c>
      <c r="O208" s="33" t="s">
        <v>212</v>
      </c>
      <c r="P208" s="41" t="s">
        <v>697</v>
      </c>
      <c r="Q208" s="33" t="s">
        <v>695</v>
      </c>
      <c r="R208" s="41" t="s">
        <v>698</v>
      </c>
      <c r="S208" s="33" t="s">
        <v>695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43" t="s">
        <v>321</v>
      </c>
      <c r="Y208" s="44" t="s">
        <v>321</v>
      </c>
    </row>
    <row r="209" spans="1:25" ht="7.5" customHeight="1" x14ac:dyDescent="0.2">
      <c r="A209" s="9">
        <v>209</v>
      </c>
      <c r="B209" s="13" t="s">
        <v>528</v>
      </c>
      <c r="C209" s="12" t="s">
        <v>823</v>
      </c>
      <c r="D209" s="53" t="s">
        <v>761</v>
      </c>
      <c r="E209" s="54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682</v>
      </c>
      <c r="M209" s="33" t="s">
        <v>769</v>
      </c>
      <c r="N209" s="30" t="s">
        <v>1</v>
      </c>
      <c r="O209" s="33" t="s">
        <v>213</v>
      </c>
      <c r="P209" s="41" t="s">
        <v>697</v>
      </c>
      <c r="Q209" s="33" t="s">
        <v>695</v>
      </c>
      <c r="R209" s="41" t="s">
        <v>698</v>
      </c>
      <c r="S209" s="33" t="s">
        <v>695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43" t="s">
        <v>321</v>
      </c>
      <c r="Y209" s="44" t="s">
        <v>321</v>
      </c>
    </row>
    <row r="210" spans="1:25" ht="7.5" customHeight="1" x14ac:dyDescent="0.2">
      <c r="A210" s="9">
        <v>210</v>
      </c>
      <c r="B210" s="13" t="s">
        <v>529</v>
      </c>
      <c r="C210" s="12" t="s">
        <v>823</v>
      </c>
      <c r="D210" s="53" t="s">
        <v>761</v>
      </c>
      <c r="E210" s="54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682</v>
      </c>
      <c r="M210" s="33" t="s">
        <v>769</v>
      </c>
      <c r="N210" s="30" t="s">
        <v>1</v>
      </c>
      <c r="O210" s="33" t="s">
        <v>214</v>
      </c>
      <c r="P210" s="41" t="s">
        <v>697</v>
      </c>
      <c r="Q210" s="33" t="s">
        <v>695</v>
      </c>
      <c r="R210" s="41" t="s">
        <v>698</v>
      </c>
      <c r="S210" s="33" t="s">
        <v>695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43" t="s">
        <v>321</v>
      </c>
      <c r="Y210" s="44" t="s">
        <v>321</v>
      </c>
    </row>
    <row r="211" spans="1:25" ht="7.5" customHeight="1" x14ac:dyDescent="0.2">
      <c r="A211" s="9">
        <v>211</v>
      </c>
      <c r="B211" s="13" t="s">
        <v>530</v>
      </c>
      <c r="C211" s="12" t="s">
        <v>823</v>
      </c>
      <c r="D211" s="53" t="s">
        <v>761</v>
      </c>
      <c r="E211" s="54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682</v>
      </c>
      <c r="M211" s="33" t="s">
        <v>769</v>
      </c>
      <c r="N211" s="30" t="s">
        <v>1</v>
      </c>
      <c r="O211" s="33" t="s">
        <v>215</v>
      </c>
      <c r="P211" s="41" t="s">
        <v>697</v>
      </c>
      <c r="Q211" s="33" t="s">
        <v>695</v>
      </c>
      <c r="R211" s="41" t="s">
        <v>698</v>
      </c>
      <c r="S211" s="33" t="s">
        <v>695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43" t="s">
        <v>321</v>
      </c>
      <c r="Y211" s="44" t="s">
        <v>321</v>
      </c>
    </row>
    <row r="212" spans="1:25" ht="7.5" customHeight="1" x14ac:dyDescent="0.2">
      <c r="A212" s="9">
        <v>212</v>
      </c>
      <c r="B212" s="13" t="s">
        <v>531</v>
      </c>
      <c r="C212" s="12" t="s">
        <v>823</v>
      </c>
      <c r="D212" s="53" t="s">
        <v>761</v>
      </c>
      <c r="E212" s="54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682</v>
      </c>
      <c r="M212" s="33" t="s">
        <v>769</v>
      </c>
      <c r="N212" s="30" t="s">
        <v>1</v>
      </c>
      <c r="O212" s="33" t="s">
        <v>216</v>
      </c>
      <c r="P212" s="41" t="s">
        <v>697</v>
      </c>
      <c r="Q212" s="33" t="s">
        <v>695</v>
      </c>
      <c r="R212" s="41" t="s">
        <v>698</v>
      </c>
      <c r="S212" s="33" t="s">
        <v>695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43" t="s">
        <v>321</v>
      </c>
      <c r="Y212" s="44" t="s">
        <v>321</v>
      </c>
    </row>
    <row r="213" spans="1:25" ht="7.5" customHeight="1" x14ac:dyDescent="0.2">
      <c r="A213" s="9">
        <v>213</v>
      </c>
      <c r="B213" s="13" t="s">
        <v>532</v>
      </c>
      <c r="C213" s="12" t="s">
        <v>823</v>
      </c>
      <c r="D213" s="53" t="s">
        <v>761</v>
      </c>
      <c r="E213" s="54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682</v>
      </c>
      <c r="M213" s="33" t="s">
        <v>769</v>
      </c>
      <c r="N213" s="30" t="s">
        <v>1</v>
      </c>
      <c r="O213" s="33" t="s">
        <v>217</v>
      </c>
      <c r="P213" s="41" t="s">
        <v>697</v>
      </c>
      <c r="Q213" s="33" t="s">
        <v>695</v>
      </c>
      <c r="R213" s="41" t="s">
        <v>698</v>
      </c>
      <c r="S213" s="33" t="s">
        <v>695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43" t="s">
        <v>321</v>
      </c>
      <c r="Y213" s="44" t="s">
        <v>321</v>
      </c>
    </row>
    <row r="214" spans="1:25" ht="7.5" customHeight="1" x14ac:dyDescent="0.2">
      <c r="A214" s="9">
        <v>214</v>
      </c>
      <c r="B214" s="13" t="s">
        <v>533</v>
      </c>
      <c r="C214" s="12" t="s">
        <v>823</v>
      </c>
      <c r="D214" s="53" t="s">
        <v>761</v>
      </c>
      <c r="E214" s="54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682</v>
      </c>
      <c r="M214" s="33" t="s">
        <v>769</v>
      </c>
      <c r="N214" s="30" t="s">
        <v>1</v>
      </c>
      <c r="O214" s="33" t="s">
        <v>218</v>
      </c>
      <c r="P214" s="41" t="s">
        <v>697</v>
      </c>
      <c r="Q214" s="33" t="s">
        <v>695</v>
      </c>
      <c r="R214" s="41" t="s">
        <v>698</v>
      </c>
      <c r="S214" s="33" t="s">
        <v>695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43" t="s">
        <v>321</v>
      </c>
      <c r="Y214" s="44" t="s">
        <v>321</v>
      </c>
    </row>
    <row r="215" spans="1:25" ht="7.5" customHeight="1" x14ac:dyDescent="0.2">
      <c r="A215" s="9">
        <v>215</v>
      </c>
      <c r="B215" s="13" t="s">
        <v>534</v>
      </c>
      <c r="C215" s="12" t="s">
        <v>823</v>
      </c>
      <c r="D215" s="53" t="s">
        <v>761</v>
      </c>
      <c r="E215" s="54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682</v>
      </c>
      <c r="M215" s="33" t="s">
        <v>769</v>
      </c>
      <c r="N215" s="30" t="s">
        <v>1</v>
      </c>
      <c r="O215" s="33" t="s">
        <v>219</v>
      </c>
      <c r="P215" s="41" t="s">
        <v>697</v>
      </c>
      <c r="Q215" s="33" t="s">
        <v>695</v>
      </c>
      <c r="R215" s="41" t="s">
        <v>698</v>
      </c>
      <c r="S215" s="33" t="s">
        <v>695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43" t="s">
        <v>321</v>
      </c>
      <c r="Y215" s="44" t="s">
        <v>321</v>
      </c>
    </row>
    <row r="216" spans="1:25" ht="7.5" customHeight="1" x14ac:dyDescent="0.2">
      <c r="A216" s="9">
        <v>216</v>
      </c>
      <c r="B216" s="13" t="s">
        <v>535</v>
      </c>
      <c r="C216" s="12" t="s">
        <v>823</v>
      </c>
      <c r="D216" s="53" t="s">
        <v>761</v>
      </c>
      <c r="E216" s="54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682</v>
      </c>
      <c r="M216" s="33" t="s">
        <v>769</v>
      </c>
      <c r="N216" s="30" t="s">
        <v>1</v>
      </c>
      <c r="O216" s="33" t="s">
        <v>220</v>
      </c>
      <c r="P216" s="41" t="s">
        <v>697</v>
      </c>
      <c r="Q216" s="33" t="s">
        <v>695</v>
      </c>
      <c r="R216" s="41" t="s">
        <v>698</v>
      </c>
      <c r="S216" s="33" t="s">
        <v>695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43" t="s">
        <v>321</v>
      </c>
      <c r="Y216" s="44" t="s">
        <v>321</v>
      </c>
    </row>
    <row r="217" spans="1:25" ht="7.5" customHeight="1" x14ac:dyDescent="0.2">
      <c r="A217" s="9">
        <v>217</v>
      </c>
      <c r="B217" s="13" t="s">
        <v>536</v>
      </c>
      <c r="C217" s="12" t="s">
        <v>823</v>
      </c>
      <c r="D217" s="53" t="s">
        <v>761</v>
      </c>
      <c r="E217" s="54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682</v>
      </c>
      <c r="M217" s="33" t="s">
        <v>769</v>
      </c>
      <c r="N217" s="30" t="s">
        <v>1</v>
      </c>
      <c r="O217" s="33" t="s">
        <v>221</v>
      </c>
      <c r="P217" s="41" t="s">
        <v>697</v>
      </c>
      <c r="Q217" s="33" t="s">
        <v>695</v>
      </c>
      <c r="R217" s="41" t="s">
        <v>698</v>
      </c>
      <c r="S217" s="33" t="s">
        <v>695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43" t="s">
        <v>321</v>
      </c>
      <c r="Y217" s="44" t="s">
        <v>321</v>
      </c>
    </row>
    <row r="218" spans="1:25" ht="7.5" customHeight="1" x14ac:dyDescent="0.2">
      <c r="A218" s="9">
        <v>218</v>
      </c>
      <c r="B218" s="13" t="s">
        <v>537</v>
      </c>
      <c r="C218" s="12" t="s">
        <v>823</v>
      </c>
      <c r="D218" s="53" t="s">
        <v>761</v>
      </c>
      <c r="E218" s="54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682</v>
      </c>
      <c r="M218" s="33" t="s">
        <v>769</v>
      </c>
      <c r="N218" s="30" t="s">
        <v>1</v>
      </c>
      <c r="O218" s="33" t="s">
        <v>222</v>
      </c>
      <c r="P218" s="41" t="s">
        <v>697</v>
      </c>
      <c r="Q218" s="33" t="s">
        <v>695</v>
      </c>
      <c r="R218" s="41" t="s">
        <v>698</v>
      </c>
      <c r="S218" s="33" t="s">
        <v>695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43" t="s">
        <v>321</v>
      </c>
      <c r="Y218" s="44" t="s">
        <v>321</v>
      </c>
    </row>
    <row r="219" spans="1:25" ht="7.5" customHeight="1" x14ac:dyDescent="0.2">
      <c r="A219" s="9">
        <v>219</v>
      </c>
      <c r="B219" s="13" t="s">
        <v>538</v>
      </c>
      <c r="C219" s="12" t="s">
        <v>823</v>
      </c>
      <c r="D219" s="53" t="s">
        <v>761</v>
      </c>
      <c r="E219" s="54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682</v>
      </c>
      <c r="M219" s="33" t="s">
        <v>769</v>
      </c>
      <c r="N219" s="30" t="s">
        <v>1</v>
      </c>
      <c r="O219" s="33" t="s">
        <v>223</v>
      </c>
      <c r="P219" s="41" t="s">
        <v>697</v>
      </c>
      <c r="Q219" s="33" t="s">
        <v>695</v>
      </c>
      <c r="R219" s="41" t="s">
        <v>698</v>
      </c>
      <c r="S219" s="33" t="s">
        <v>695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43" t="s">
        <v>321</v>
      </c>
      <c r="Y219" s="44" t="s">
        <v>321</v>
      </c>
    </row>
    <row r="220" spans="1:25" ht="7.5" customHeight="1" x14ac:dyDescent="0.2">
      <c r="A220" s="9">
        <v>220</v>
      </c>
      <c r="B220" s="13" t="s">
        <v>539</v>
      </c>
      <c r="C220" s="12" t="s">
        <v>823</v>
      </c>
      <c r="D220" s="53" t="s">
        <v>761</v>
      </c>
      <c r="E220" s="54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682</v>
      </c>
      <c r="M220" s="33" t="s">
        <v>769</v>
      </c>
      <c r="N220" s="30" t="s">
        <v>1</v>
      </c>
      <c r="O220" s="33" t="s">
        <v>224</v>
      </c>
      <c r="P220" s="41" t="s">
        <v>697</v>
      </c>
      <c r="Q220" s="33" t="s">
        <v>695</v>
      </c>
      <c r="R220" s="41" t="s">
        <v>698</v>
      </c>
      <c r="S220" s="33" t="s">
        <v>695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43" t="s">
        <v>321</v>
      </c>
      <c r="Y220" s="44" t="s">
        <v>321</v>
      </c>
    </row>
    <row r="221" spans="1:25" ht="7.5" customHeight="1" x14ac:dyDescent="0.2">
      <c r="A221" s="9">
        <v>221</v>
      </c>
      <c r="B221" s="13" t="s">
        <v>540</v>
      </c>
      <c r="C221" s="12" t="s">
        <v>823</v>
      </c>
      <c r="D221" s="53" t="s">
        <v>761</v>
      </c>
      <c r="E221" s="54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682</v>
      </c>
      <c r="M221" s="33" t="s">
        <v>769</v>
      </c>
      <c r="N221" s="30" t="s">
        <v>1</v>
      </c>
      <c r="O221" s="33" t="s">
        <v>225</v>
      </c>
      <c r="P221" s="41" t="s">
        <v>697</v>
      </c>
      <c r="Q221" s="33" t="s">
        <v>695</v>
      </c>
      <c r="R221" s="41" t="s">
        <v>698</v>
      </c>
      <c r="S221" s="33" t="s">
        <v>695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43" t="s">
        <v>321</v>
      </c>
      <c r="Y221" s="44" t="s">
        <v>321</v>
      </c>
    </row>
    <row r="222" spans="1:25" ht="7.5" customHeight="1" x14ac:dyDescent="0.2">
      <c r="A222" s="9">
        <v>222</v>
      </c>
      <c r="B222" s="13" t="s">
        <v>541</v>
      </c>
      <c r="C222" s="12" t="s">
        <v>823</v>
      </c>
      <c r="D222" s="53" t="s">
        <v>761</v>
      </c>
      <c r="E222" s="54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682</v>
      </c>
      <c r="M222" s="33" t="s">
        <v>769</v>
      </c>
      <c r="N222" s="30" t="s">
        <v>1</v>
      </c>
      <c r="O222" s="33" t="s">
        <v>136</v>
      </c>
      <c r="P222" s="41" t="s">
        <v>697</v>
      </c>
      <c r="Q222" s="33" t="s">
        <v>695</v>
      </c>
      <c r="R222" s="41" t="s">
        <v>698</v>
      </c>
      <c r="S222" s="33" t="s">
        <v>695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43" t="s">
        <v>321</v>
      </c>
      <c r="Y222" s="44" t="s">
        <v>321</v>
      </c>
    </row>
    <row r="223" spans="1:25" ht="7.5" customHeight="1" x14ac:dyDescent="0.2">
      <c r="A223" s="9">
        <v>223</v>
      </c>
      <c r="B223" s="13" t="s">
        <v>542</v>
      </c>
      <c r="C223" s="12" t="s">
        <v>823</v>
      </c>
      <c r="D223" s="53" t="s">
        <v>761</v>
      </c>
      <c r="E223" s="54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682</v>
      </c>
      <c r="M223" s="33" t="s">
        <v>769</v>
      </c>
      <c r="N223" s="30" t="s">
        <v>1</v>
      </c>
      <c r="O223" s="33" t="s">
        <v>226</v>
      </c>
      <c r="P223" s="41" t="s">
        <v>697</v>
      </c>
      <c r="Q223" s="33" t="s">
        <v>695</v>
      </c>
      <c r="R223" s="41" t="s">
        <v>698</v>
      </c>
      <c r="S223" s="33" t="s">
        <v>695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43" t="s">
        <v>321</v>
      </c>
      <c r="Y223" s="44" t="s">
        <v>321</v>
      </c>
    </row>
    <row r="224" spans="1:25" ht="7.5" customHeight="1" x14ac:dyDescent="0.2">
      <c r="A224" s="9">
        <v>224</v>
      </c>
      <c r="B224" s="13" t="s">
        <v>543</v>
      </c>
      <c r="C224" s="12" t="s">
        <v>823</v>
      </c>
      <c r="D224" s="53" t="s">
        <v>761</v>
      </c>
      <c r="E224" s="54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682</v>
      </c>
      <c r="M224" s="33" t="s">
        <v>769</v>
      </c>
      <c r="N224" s="30" t="s">
        <v>1</v>
      </c>
      <c r="O224" s="33" t="s">
        <v>227</v>
      </c>
      <c r="P224" s="41" t="s">
        <v>697</v>
      </c>
      <c r="Q224" s="33" t="s">
        <v>695</v>
      </c>
      <c r="R224" s="41" t="s">
        <v>698</v>
      </c>
      <c r="S224" s="33" t="s">
        <v>695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43" t="s">
        <v>321</v>
      </c>
      <c r="Y224" s="44" t="s">
        <v>321</v>
      </c>
    </row>
    <row r="225" spans="1:25" ht="7.5" customHeight="1" x14ac:dyDescent="0.2">
      <c r="A225" s="9">
        <v>225</v>
      </c>
      <c r="B225" s="13" t="s">
        <v>544</v>
      </c>
      <c r="C225" s="12" t="s">
        <v>823</v>
      </c>
      <c r="D225" s="53" t="s">
        <v>761</v>
      </c>
      <c r="E225" s="54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682</v>
      </c>
      <c r="M225" s="33" t="s">
        <v>769</v>
      </c>
      <c r="N225" s="30" t="s">
        <v>1</v>
      </c>
      <c r="O225" s="33" t="s">
        <v>228</v>
      </c>
      <c r="P225" s="41" t="s">
        <v>697</v>
      </c>
      <c r="Q225" s="33" t="s">
        <v>695</v>
      </c>
      <c r="R225" s="41" t="s">
        <v>698</v>
      </c>
      <c r="S225" s="33" t="s">
        <v>695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43" t="s">
        <v>321</v>
      </c>
      <c r="Y225" s="44" t="s">
        <v>321</v>
      </c>
    </row>
    <row r="226" spans="1:25" ht="7.5" customHeight="1" x14ac:dyDescent="0.2">
      <c r="A226" s="9">
        <v>226</v>
      </c>
      <c r="B226" s="13" t="s">
        <v>545</v>
      </c>
      <c r="C226" s="12" t="s">
        <v>823</v>
      </c>
      <c r="D226" s="53" t="s">
        <v>761</v>
      </c>
      <c r="E226" s="54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682</v>
      </c>
      <c r="M226" s="33" t="s">
        <v>769</v>
      </c>
      <c r="N226" s="30" t="s">
        <v>1</v>
      </c>
      <c r="O226" s="33" t="s">
        <v>229</v>
      </c>
      <c r="P226" s="41" t="s">
        <v>697</v>
      </c>
      <c r="Q226" s="33" t="s">
        <v>695</v>
      </c>
      <c r="R226" s="41" t="s">
        <v>698</v>
      </c>
      <c r="S226" s="33" t="s">
        <v>695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43" t="s">
        <v>321</v>
      </c>
      <c r="Y226" s="44" t="s">
        <v>321</v>
      </c>
    </row>
    <row r="227" spans="1:25" ht="7.5" customHeight="1" x14ac:dyDescent="0.2">
      <c r="A227" s="9">
        <v>227</v>
      </c>
      <c r="B227" s="13" t="s">
        <v>546</v>
      </c>
      <c r="C227" s="12" t="s">
        <v>823</v>
      </c>
      <c r="D227" s="53" t="s">
        <v>761</v>
      </c>
      <c r="E227" s="54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682</v>
      </c>
      <c r="M227" s="33" t="s">
        <v>769</v>
      </c>
      <c r="N227" s="30" t="s">
        <v>1</v>
      </c>
      <c r="O227" s="33" t="s">
        <v>230</v>
      </c>
      <c r="P227" s="41" t="s">
        <v>697</v>
      </c>
      <c r="Q227" s="33" t="s">
        <v>695</v>
      </c>
      <c r="R227" s="41" t="s">
        <v>698</v>
      </c>
      <c r="S227" s="33" t="s">
        <v>695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43" t="s">
        <v>321</v>
      </c>
      <c r="Y227" s="44" t="s">
        <v>321</v>
      </c>
    </row>
    <row r="228" spans="1:25" ht="7.5" customHeight="1" x14ac:dyDescent="0.2">
      <c r="A228" s="9">
        <v>228</v>
      </c>
      <c r="B228" s="13" t="s">
        <v>547</v>
      </c>
      <c r="C228" s="12" t="s">
        <v>823</v>
      </c>
      <c r="D228" s="53" t="s">
        <v>761</v>
      </c>
      <c r="E228" s="54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682</v>
      </c>
      <c r="M228" s="33" t="s">
        <v>769</v>
      </c>
      <c r="N228" s="30" t="s">
        <v>1</v>
      </c>
      <c r="O228" s="33" t="s">
        <v>231</v>
      </c>
      <c r="P228" s="41" t="s">
        <v>697</v>
      </c>
      <c r="Q228" s="33" t="s">
        <v>695</v>
      </c>
      <c r="R228" s="41" t="s">
        <v>698</v>
      </c>
      <c r="S228" s="33" t="s">
        <v>695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43" t="s">
        <v>321</v>
      </c>
      <c r="Y228" s="44" t="s">
        <v>321</v>
      </c>
    </row>
    <row r="229" spans="1:25" ht="7.5" customHeight="1" x14ac:dyDescent="0.2">
      <c r="A229" s="9">
        <v>229</v>
      </c>
      <c r="B229" s="13" t="s">
        <v>548</v>
      </c>
      <c r="C229" s="12" t="s">
        <v>823</v>
      </c>
      <c r="D229" s="53" t="s">
        <v>761</v>
      </c>
      <c r="E229" s="54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682</v>
      </c>
      <c r="M229" s="33" t="s">
        <v>769</v>
      </c>
      <c r="N229" s="30" t="s">
        <v>1</v>
      </c>
      <c r="O229" s="33" t="s">
        <v>232</v>
      </c>
      <c r="P229" s="41" t="s">
        <v>697</v>
      </c>
      <c r="Q229" s="33" t="s">
        <v>695</v>
      </c>
      <c r="R229" s="41" t="s">
        <v>698</v>
      </c>
      <c r="S229" s="33" t="s">
        <v>695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43" t="s">
        <v>321</v>
      </c>
      <c r="Y229" s="44" t="s">
        <v>321</v>
      </c>
    </row>
    <row r="230" spans="1:25" ht="7.5" customHeight="1" x14ac:dyDescent="0.2">
      <c r="A230" s="9">
        <v>230</v>
      </c>
      <c r="B230" s="13" t="s">
        <v>549</v>
      </c>
      <c r="C230" s="12" t="s">
        <v>823</v>
      </c>
      <c r="D230" s="53" t="s">
        <v>761</v>
      </c>
      <c r="E230" s="54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682</v>
      </c>
      <c r="M230" s="33" t="s">
        <v>769</v>
      </c>
      <c r="N230" s="30" t="s">
        <v>1</v>
      </c>
      <c r="O230" s="33" t="s">
        <v>233</v>
      </c>
      <c r="P230" s="41" t="s">
        <v>697</v>
      </c>
      <c r="Q230" s="33" t="s">
        <v>695</v>
      </c>
      <c r="R230" s="41" t="s">
        <v>698</v>
      </c>
      <c r="S230" s="33" t="s">
        <v>695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43" t="s">
        <v>321</v>
      </c>
      <c r="Y230" s="44" t="s">
        <v>321</v>
      </c>
    </row>
    <row r="231" spans="1:25" ht="7.5" customHeight="1" x14ac:dyDescent="0.2">
      <c r="A231" s="9">
        <v>231</v>
      </c>
      <c r="B231" s="13" t="s">
        <v>550</v>
      </c>
      <c r="C231" s="12" t="s">
        <v>823</v>
      </c>
      <c r="D231" s="53" t="s">
        <v>761</v>
      </c>
      <c r="E231" s="54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682</v>
      </c>
      <c r="M231" s="33" t="s">
        <v>769</v>
      </c>
      <c r="N231" s="30" t="s">
        <v>1</v>
      </c>
      <c r="O231" s="33" t="s">
        <v>234</v>
      </c>
      <c r="P231" s="41" t="s">
        <v>697</v>
      </c>
      <c r="Q231" s="33" t="s">
        <v>695</v>
      </c>
      <c r="R231" s="41" t="s">
        <v>698</v>
      </c>
      <c r="S231" s="33" t="s">
        <v>695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43" t="s">
        <v>321</v>
      </c>
      <c r="Y231" s="44" t="s">
        <v>321</v>
      </c>
    </row>
    <row r="232" spans="1:25" ht="7.5" customHeight="1" x14ac:dyDescent="0.2">
      <c r="A232" s="9">
        <v>232</v>
      </c>
      <c r="B232" s="13" t="s">
        <v>551</v>
      </c>
      <c r="C232" s="12" t="s">
        <v>823</v>
      </c>
      <c r="D232" s="53" t="s">
        <v>761</v>
      </c>
      <c r="E232" s="54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682</v>
      </c>
      <c r="M232" s="33" t="s">
        <v>769</v>
      </c>
      <c r="N232" s="30" t="s">
        <v>1</v>
      </c>
      <c r="O232" s="33" t="s">
        <v>235</v>
      </c>
      <c r="P232" s="41" t="s">
        <v>697</v>
      </c>
      <c r="Q232" s="33" t="s">
        <v>695</v>
      </c>
      <c r="R232" s="41" t="s">
        <v>698</v>
      </c>
      <c r="S232" s="33" t="s">
        <v>695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43" t="s">
        <v>321</v>
      </c>
      <c r="Y232" s="44" t="s">
        <v>321</v>
      </c>
    </row>
    <row r="233" spans="1:25" ht="7.5" customHeight="1" x14ac:dyDescent="0.2">
      <c r="A233" s="9">
        <v>233</v>
      </c>
      <c r="B233" s="13" t="s">
        <v>552</v>
      </c>
      <c r="C233" s="12" t="s">
        <v>823</v>
      </c>
      <c r="D233" s="53" t="s">
        <v>761</v>
      </c>
      <c r="E233" s="54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682</v>
      </c>
      <c r="M233" s="33" t="s">
        <v>769</v>
      </c>
      <c r="N233" s="30" t="s">
        <v>1</v>
      </c>
      <c r="O233" s="33" t="s">
        <v>236</v>
      </c>
      <c r="P233" s="41" t="s">
        <v>697</v>
      </c>
      <c r="Q233" s="33" t="s">
        <v>695</v>
      </c>
      <c r="R233" s="41" t="s">
        <v>698</v>
      </c>
      <c r="S233" s="33" t="s">
        <v>695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43" t="s">
        <v>321</v>
      </c>
      <c r="Y233" s="44" t="s">
        <v>321</v>
      </c>
    </row>
    <row r="234" spans="1:25" ht="7.5" customHeight="1" x14ac:dyDescent="0.2">
      <c r="A234" s="9">
        <v>234</v>
      </c>
      <c r="B234" s="13" t="s">
        <v>553</v>
      </c>
      <c r="C234" s="12" t="s">
        <v>823</v>
      </c>
      <c r="D234" s="53" t="s">
        <v>761</v>
      </c>
      <c r="E234" s="54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682</v>
      </c>
      <c r="M234" s="33" t="s">
        <v>769</v>
      </c>
      <c r="N234" s="30" t="s">
        <v>1</v>
      </c>
      <c r="O234" s="33" t="s">
        <v>237</v>
      </c>
      <c r="P234" s="41" t="s">
        <v>697</v>
      </c>
      <c r="Q234" s="33" t="s">
        <v>695</v>
      </c>
      <c r="R234" s="41" t="s">
        <v>698</v>
      </c>
      <c r="S234" s="33" t="s">
        <v>695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43" t="s">
        <v>321</v>
      </c>
      <c r="Y234" s="44" t="s">
        <v>321</v>
      </c>
    </row>
    <row r="235" spans="1:25" ht="7.5" customHeight="1" x14ac:dyDescent="0.2">
      <c r="A235" s="9">
        <v>235</v>
      </c>
      <c r="B235" s="13" t="s">
        <v>554</v>
      </c>
      <c r="C235" s="12" t="s">
        <v>823</v>
      </c>
      <c r="D235" s="53" t="s">
        <v>761</v>
      </c>
      <c r="E235" s="54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682</v>
      </c>
      <c r="M235" s="33" t="s">
        <v>769</v>
      </c>
      <c r="N235" s="30" t="s">
        <v>1</v>
      </c>
      <c r="O235" s="33" t="s">
        <v>238</v>
      </c>
      <c r="P235" s="41" t="s">
        <v>697</v>
      </c>
      <c r="Q235" s="33" t="s">
        <v>695</v>
      </c>
      <c r="R235" s="41" t="s">
        <v>698</v>
      </c>
      <c r="S235" s="33" t="s">
        <v>695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43" t="s">
        <v>321</v>
      </c>
      <c r="Y235" s="44" t="s">
        <v>321</v>
      </c>
    </row>
    <row r="236" spans="1:25" ht="7.5" customHeight="1" x14ac:dyDescent="0.2">
      <c r="A236" s="9">
        <v>236</v>
      </c>
      <c r="B236" s="13" t="s">
        <v>555</v>
      </c>
      <c r="C236" s="12" t="s">
        <v>823</v>
      </c>
      <c r="D236" s="53" t="s">
        <v>761</v>
      </c>
      <c r="E236" s="54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682</v>
      </c>
      <c r="M236" s="33" t="s">
        <v>769</v>
      </c>
      <c r="N236" s="30" t="s">
        <v>1</v>
      </c>
      <c r="O236" s="33" t="s">
        <v>239</v>
      </c>
      <c r="P236" s="41" t="s">
        <v>697</v>
      </c>
      <c r="Q236" s="33" t="s">
        <v>695</v>
      </c>
      <c r="R236" s="41" t="s">
        <v>698</v>
      </c>
      <c r="S236" s="33" t="s">
        <v>695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43" t="s">
        <v>321</v>
      </c>
      <c r="Y236" s="44" t="s">
        <v>321</v>
      </c>
    </row>
    <row r="237" spans="1:25" ht="7.5" customHeight="1" x14ac:dyDescent="0.2">
      <c r="A237" s="9">
        <v>237</v>
      </c>
      <c r="B237" s="13" t="s">
        <v>556</v>
      </c>
      <c r="C237" s="12" t="s">
        <v>823</v>
      </c>
      <c r="D237" s="53" t="s">
        <v>761</v>
      </c>
      <c r="E237" s="54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682</v>
      </c>
      <c r="M237" s="33" t="s">
        <v>769</v>
      </c>
      <c r="N237" s="30" t="s">
        <v>1</v>
      </c>
      <c r="O237" s="33" t="s">
        <v>240</v>
      </c>
      <c r="P237" s="41" t="s">
        <v>697</v>
      </c>
      <c r="Q237" s="33" t="s">
        <v>695</v>
      </c>
      <c r="R237" s="41" t="s">
        <v>698</v>
      </c>
      <c r="S237" s="33" t="s">
        <v>695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43" t="s">
        <v>321</v>
      </c>
      <c r="Y237" s="44" t="s">
        <v>321</v>
      </c>
    </row>
    <row r="238" spans="1:25" ht="7.5" customHeight="1" x14ac:dyDescent="0.2">
      <c r="A238" s="9">
        <v>238</v>
      </c>
      <c r="B238" s="45" t="s">
        <v>705</v>
      </c>
      <c r="C238" s="12" t="s">
        <v>823</v>
      </c>
      <c r="D238" s="53" t="s">
        <v>761</v>
      </c>
      <c r="E238" s="54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682</v>
      </c>
      <c r="M238" s="33" t="s">
        <v>769</v>
      </c>
      <c r="N238" s="30" t="s">
        <v>1</v>
      </c>
      <c r="O238" s="33" t="s">
        <v>140</v>
      </c>
      <c r="P238" s="41" t="s">
        <v>697</v>
      </c>
      <c r="Q238" s="33" t="s">
        <v>695</v>
      </c>
      <c r="R238" s="41" t="s">
        <v>698</v>
      </c>
      <c r="S238" s="33" t="s">
        <v>695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43" t="s">
        <v>321</v>
      </c>
      <c r="Y238" s="44" t="s">
        <v>321</v>
      </c>
    </row>
    <row r="239" spans="1:25" ht="7.5" customHeight="1" x14ac:dyDescent="0.2">
      <c r="A239" s="9">
        <v>239</v>
      </c>
      <c r="B239" s="13" t="s">
        <v>557</v>
      </c>
      <c r="C239" s="12" t="s">
        <v>823</v>
      </c>
      <c r="D239" s="53" t="s">
        <v>761</v>
      </c>
      <c r="E239" s="54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682</v>
      </c>
      <c r="M239" s="33" t="s">
        <v>769</v>
      </c>
      <c r="N239" s="30" t="s">
        <v>1</v>
      </c>
      <c r="O239" s="33" t="s">
        <v>241</v>
      </c>
      <c r="P239" s="41" t="s">
        <v>697</v>
      </c>
      <c r="Q239" s="33" t="s">
        <v>695</v>
      </c>
      <c r="R239" s="41" t="s">
        <v>698</v>
      </c>
      <c r="S239" s="33" t="s">
        <v>695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43" t="s">
        <v>321</v>
      </c>
      <c r="Y239" s="44" t="s">
        <v>321</v>
      </c>
    </row>
    <row r="240" spans="1:25" ht="7.5" customHeight="1" x14ac:dyDescent="0.2">
      <c r="A240" s="9">
        <v>240</v>
      </c>
      <c r="B240" s="13" t="s">
        <v>558</v>
      </c>
      <c r="C240" s="12" t="s">
        <v>823</v>
      </c>
      <c r="D240" s="53" t="s">
        <v>761</v>
      </c>
      <c r="E240" s="54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682</v>
      </c>
      <c r="M240" s="33" t="s">
        <v>769</v>
      </c>
      <c r="N240" s="30" t="s">
        <v>1</v>
      </c>
      <c r="O240" s="33" t="s">
        <v>242</v>
      </c>
      <c r="P240" s="41" t="s">
        <v>697</v>
      </c>
      <c r="Q240" s="33" t="s">
        <v>695</v>
      </c>
      <c r="R240" s="41" t="s">
        <v>698</v>
      </c>
      <c r="S240" s="33" t="s">
        <v>695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43" t="s">
        <v>321</v>
      </c>
      <c r="Y240" s="44" t="s">
        <v>321</v>
      </c>
    </row>
    <row r="241" spans="1:25" ht="7.5" customHeight="1" x14ac:dyDescent="0.2">
      <c r="A241" s="9">
        <v>241</v>
      </c>
      <c r="B241" s="13" t="s">
        <v>559</v>
      </c>
      <c r="C241" s="12" t="s">
        <v>823</v>
      </c>
      <c r="D241" s="53" t="s">
        <v>761</v>
      </c>
      <c r="E241" s="54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682</v>
      </c>
      <c r="M241" s="33" t="s">
        <v>769</v>
      </c>
      <c r="N241" s="30" t="s">
        <v>1</v>
      </c>
      <c r="O241" s="33" t="s">
        <v>243</v>
      </c>
      <c r="P241" s="41" t="s">
        <v>697</v>
      </c>
      <c r="Q241" s="33" t="s">
        <v>695</v>
      </c>
      <c r="R241" s="41" t="s">
        <v>698</v>
      </c>
      <c r="S241" s="33" t="s">
        <v>695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43" t="s">
        <v>321</v>
      </c>
      <c r="Y241" s="44" t="s">
        <v>321</v>
      </c>
    </row>
    <row r="242" spans="1:25" ht="7.5" customHeight="1" x14ac:dyDescent="0.2">
      <c r="A242" s="9">
        <v>242</v>
      </c>
      <c r="B242" s="13" t="s">
        <v>560</v>
      </c>
      <c r="C242" s="12" t="s">
        <v>823</v>
      </c>
      <c r="D242" s="53" t="s">
        <v>761</v>
      </c>
      <c r="E242" s="54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682</v>
      </c>
      <c r="M242" s="33" t="s">
        <v>769</v>
      </c>
      <c r="N242" s="30" t="s">
        <v>1</v>
      </c>
      <c r="O242" s="33" t="s">
        <v>244</v>
      </c>
      <c r="P242" s="41" t="s">
        <v>697</v>
      </c>
      <c r="Q242" s="33" t="s">
        <v>695</v>
      </c>
      <c r="R242" s="41" t="s">
        <v>698</v>
      </c>
      <c r="S242" s="33" t="s">
        <v>695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43" t="s">
        <v>321</v>
      </c>
      <c r="Y242" s="44" t="s">
        <v>321</v>
      </c>
    </row>
    <row r="243" spans="1:25" ht="7.5" customHeight="1" x14ac:dyDescent="0.2">
      <c r="A243" s="9">
        <v>243</v>
      </c>
      <c r="B243" s="13" t="s">
        <v>561</v>
      </c>
      <c r="C243" s="12" t="s">
        <v>823</v>
      </c>
      <c r="D243" s="53" t="s">
        <v>761</v>
      </c>
      <c r="E243" s="54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682</v>
      </c>
      <c r="M243" s="33" t="s">
        <v>769</v>
      </c>
      <c r="N243" s="30" t="s">
        <v>1</v>
      </c>
      <c r="O243" s="33" t="s">
        <v>245</v>
      </c>
      <c r="P243" s="41" t="s">
        <v>697</v>
      </c>
      <c r="Q243" s="33" t="s">
        <v>695</v>
      </c>
      <c r="R243" s="41" t="s">
        <v>698</v>
      </c>
      <c r="S243" s="33" t="s">
        <v>695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43" t="s">
        <v>321</v>
      </c>
      <c r="Y243" s="44" t="s">
        <v>321</v>
      </c>
    </row>
    <row r="244" spans="1:25" ht="7.5" customHeight="1" x14ac:dyDescent="0.2">
      <c r="A244" s="9">
        <v>244</v>
      </c>
      <c r="B244" s="13" t="s">
        <v>562</v>
      </c>
      <c r="C244" s="12" t="s">
        <v>823</v>
      </c>
      <c r="D244" s="53" t="s">
        <v>761</v>
      </c>
      <c r="E244" s="54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682</v>
      </c>
      <c r="M244" s="33" t="s">
        <v>769</v>
      </c>
      <c r="N244" s="30" t="s">
        <v>1</v>
      </c>
      <c r="O244" s="33" t="s">
        <v>246</v>
      </c>
      <c r="P244" s="41" t="s">
        <v>697</v>
      </c>
      <c r="Q244" s="33" t="s">
        <v>695</v>
      </c>
      <c r="R244" s="41" t="s">
        <v>698</v>
      </c>
      <c r="S244" s="33" t="s">
        <v>695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43" t="s">
        <v>321</v>
      </c>
      <c r="Y244" s="44" t="s">
        <v>321</v>
      </c>
    </row>
    <row r="245" spans="1:25" ht="7.5" customHeight="1" x14ac:dyDescent="0.2">
      <c r="A245" s="9">
        <v>245</v>
      </c>
      <c r="B245" s="13" t="s">
        <v>563</v>
      </c>
      <c r="C245" s="12" t="s">
        <v>823</v>
      </c>
      <c r="D245" s="53" t="s">
        <v>761</v>
      </c>
      <c r="E245" s="54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682</v>
      </c>
      <c r="M245" s="33" t="s">
        <v>769</v>
      </c>
      <c r="N245" s="30" t="s">
        <v>1</v>
      </c>
      <c r="O245" s="33" t="s">
        <v>138</v>
      </c>
      <c r="P245" s="41" t="s">
        <v>697</v>
      </c>
      <c r="Q245" s="33" t="s">
        <v>695</v>
      </c>
      <c r="R245" s="41" t="s">
        <v>698</v>
      </c>
      <c r="S245" s="33" t="s">
        <v>695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43" t="s">
        <v>321</v>
      </c>
      <c r="Y245" s="44" t="s">
        <v>321</v>
      </c>
    </row>
    <row r="246" spans="1:25" ht="7.5" customHeight="1" x14ac:dyDescent="0.2">
      <c r="A246" s="9">
        <v>246</v>
      </c>
      <c r="B246" s="13" t="s">
        <v>564</v>
      </c>
      <c r="C246" s="12" t="s">
        <v>823</v>
      </c>
      <c r="D246" s="53" t="s">
        <v>761</v>
      </c>
      <c r="E246" s="54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682</v>
      </c>
      <c r="M246" s="33" t="s">
        <v>769</v>
      </c>
      <c r="N246" s="30" t="s">
        <v>1</v>
      </c>
      <c r="O246" s="33" t="s">
        <v>247</v>
      </c>
      <c r="P246" s="41" t="s">
        <v>697</v>
      </c>
      <c r="Q246" s="33" t="s">
        <v>695</v>
      </c>
      <c r="R246" s="41" t="s">
        <v>698</v>
      </c>
      <c r="S246" s="33" t="s">
        <v>695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43" t="s">
        <v>321</v>
      </c>
      <c r="Y246" s="44" t="s">
        <v>321</v>
      </c>
    </row>
    <row r="247" spans="1:25" ht="7.5" customHeight="1" x14ac:dyDescent="0.2">
      <c r="A247" s="9">
        <v>247</v>
      </c>
      <c r="B247" s="13" t="s">
        <v>565</v>
      </c>
      <c r="C247" s="12" t="s">
        <v>824</v>
      </c>
      <c r="D247" s="53" t="s">
        <v>761</v>
      </c>
      <c r="E247" s="54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682</v>
      </c>
      <c r="M247" s="33" t="s">
        <v>770</v>
      </c>
      <c r="N247" s="30" t="s">
        <v>1</v>
      </c>
      <c r="O247" s="33" t="s">
        <v>248</v>
      </c>
      <c r="P247" s="41" t="s">
        <v>697</v>
      </c>
      <c r="Q247" s="33" t="s">
        <v>695</v>
      </c>
      <c r="R247" s="41" t="s">
        <v>698</v>
      </c>
      <c r="S247" s="33" t="s">
        <v>695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43" t="s">
        <v>321</v>
      </c>
      <c r="Y247" s="44" t="s">
        <v>321</v>
      </c>
    </row>
    <row r="248" spans="1:25" ht="7.5" customHeight="1" x14ac:dyDescent="0.2">
      <c r="A248" s="9">
        <v>248</v>
      </c>
      <c r="B248" s="13" t="s">
        <v>566</v>
      </c>
      <c r="C248" s="12" t="s">
        <v>824</v>
      </c>
      <c r="D248" s="53" t="s">
        <v>761</v>
      </c>
      <c r="E248" s="54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682</v>
      </c>
      <c r="M248" s="33" t="s">
        <v>770</v>
      </c>
      <c r="N248" s="30" t="s">
        <v>1</v>
      </c>
      <c r="O248" s="33" t="s">
        <v>249</v>
      </c>
      <c r="P248" s="41" t="s">
        <v>697</v>
      </c>
      <c r="Q248" s="33" t="s">
        <v>695</v>
      </c>
      <c r="R248" s="41" t="s">
        <v>698</v>
      </c>
      <c r="S248" s="33" t="s">
        <v>695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43" t="s">
        <v>321</v>
      </c>
      <c r="Y248" s="44" t="s">
        <v>321</v>
      </c>
    </row>
    <row r="249" spans="1:25" ht="7.5" customHeight="1" x14ac:dyDescent="0.2">
      <c r="A249" s="9">
        <v>249</v>
      </c>
      <c r="B249" s="13" t="s">
        <v>567</v>
      </c>
      <c r="C249" s="12" t="s">
        <v>824</v>
      </c>
      <c r="D249" s="53" t="s">
        <v>761</v>
      </c>
      <c r="E249" s="54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682</v>
      </c>
      <c r="M249" s="33" t="s">
        <v>770</v>
      </c>
      <c r="N249" s="30" t="s">
        <v>1</v>
      </c>
      <c r="O249" s="33" t="s">
        <v>250</v>
      </c>
      <c r="P249" s="41" t="s">
        <v>697</v>
      </c>
      <c r="Q249" s="33" t="s">
        <v>695</v>
      </c>
      <c r="R249" s="41" t="s">
        <v>698</v>
      </c>
      <c r="S249" s="33" t="s">
        <v>695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43" t="s">
        <v>321</v>
      </c>
      <c r="Y249" s="44" t="s">
        <v>321</v>
      </c>
    </row>
    <row r="250" spans="1:25" ht="7.5" customHeight="1" x14ac:dyDescent="0.2">
      <c r="A250" s="9">
        <v>250</v>
      </c>
      <c r="B250" s="13" t="s">
        <v>568</v>
      </c>
      <c r="C250" s="12" t="s">
        <v>824</v>
      </c>
      <c r="D250" s="53" t="s">
        <v>761</v>
      </c>
      <c r="E250" s="54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682</v>
      </c>
      <c r="M250" s="33" t="s">
        <v>770</v>
      </c>
      <c r="N250" s="30" t="s">
        <v>1</v>
      </c>
      <c r="O250" s="33" t="s">
        <v>251</v>
      </c>
      <c r="P250" s="41" t="s">
        <v>697</v>
      </c>
      <c r="Q250" s="33" t="s">
        <v>695</v>
      </c>
      <c r="R250" s="41" t="s">
        <v>698</v>
      </c>
      <c r="S250" s="33" t="s">
        <v>695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43" t="s">
        <v>321</v>
      </c>
      <c r="Y250" s="44" t="s">
        <v>321</v>
      </c>
    </row>
    <row r="251" spans="1:25" ht="7.5" customHeight="1" x14ac:dyDescent="0.2">
      <c r="A251" s="9">
        <v>251</v>
      </c>
      <c r="B251" s="13" t="s">
        <v>569</v>
      </c>
      <c r="C251" s="12" t="s">
        <v>824</v>
      </c>
      <c r="D251" s="53" t="s">
        <v>761</v>
      </c>
      <c r="E251" s="54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682</v>
      </c>
      <c r="M251" s="33" t="s">
        <v>770</v>
      </c>
      <c r="N251" s="30" t="s">
        <v>1</v>
      </c>
      <c r="O251" s="33" t="s">
        <v>252</v>
      </c>
      <c r="P251" s="41" t="s">
        <v>697</v>
      </c>
      <c r="Q251" s="33" t="s">
        <v>695</v>
      </c>
      <c r="R251" s="41" t="s">
        <v>698</v>
      </c>
      <c r="S251" s="33" t="s">
        <v>695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43" t="s">
        <v>321</v>
      </c>
      <c r="Y251" s="44" t="s">
        <v>321</v>
      </c>
    </row>
    <row r="252" spans="1:25" ht="7.5" customHeight="1" x14ac:dyDescent="0.2">
      <c r="A252" s="9">
        <v>252</v>
      </c>
      <c r="B252" s="13" t="s">
        <v>570</v>
      </c>
      <c r="C252" s="12" t="s">
        <v>824</v>
      </c>
      <c r="D252" s="53" t="s">
        <v>761</v>
      </c>
      <c r="E252" s="54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682</v>
      </c>
      <c r="M252" s="33" t="s">
        <v>770</v>
      </c>
      <c r="N252" s="30" t="s">
        <v>1</v>
      </c>
      <c r="O252" s="33" t="s">
        <v>253</v>
      </c>
      <c r="P252" s="41" t="s">
        <v>697</v>
      </c>
      <c r="Q252" s="33" t="s">
        <v>695</v>
      </c>
      <c r="R252" s="41" t="s">
        <v>698</v>
      </c>
      <c r="S252" s="33" t="s">
        <v>695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43" t="s">
        <v>321</v>
      </c>
      <c r="Y252" s="44" t="s">
        <v>321</v>
      </c>
    </row>
    <row r="253" spans="1:25" ht="7.5" customHeight="1" x14ac:dyDescent="0.2">
      <c r="A253" s="9">
        <v>253</v>
      </c>
      <c r="B253" s="13" t="s">
        <v>571</v>
      </c>
      <c r="C253" s="12" t="s">
        <v>824</v>
      </c>
      <c r="D253" s="53" t="s">
        <v>761</v>
      </c>
      <c r="E253" s="54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682</v>
      </c>
      <c r="M253" s="33" t="s">
        <v>770</v>
      </c>
      <c r="N253" s="30" t="s">
        <v>1</v>
      </c>
      <c r="O253" s="33" t="s">
        <v>254</v>
      </c>
      <c r="P253" s="41" t="s">
        <v>697</v>
      </c>
      <c r="Q253" s="33" t="s">
        <v>695</v>
      </c>
      <c r="R253" s="41" t="s">
        <v>698</v>
      </c>
      <c r="S253" s="33" t="s">
        <v>695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43" t="s">
        <v>321</v>
      </c>
      <c r="Y253" s="44" t="s">
        <v>321</v>
      </c>
    </row>
    <row r="254" spans="1:25" ht="7.5" customHeight="1" x14ac:dyDescent="0.2">
      <c r="A254" s="9">
        <v>254</v>
      </c>
      <c r="B254" s="13" t="s">
        <v>572</v>
      </c>
      <c r="C254" s="12" t="s">
        <v>824</v>
      </c>
      <c r="D254" s="53" t="s">
        <v>761</v>
      </c>
      <c r="E254" s="54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682</v>
      </c>
      <c r="M254" s="33" t="s">
        <v>770</v>
      </c>
      <c r="N254" s="30" t="s">
        <v>1</v>
      </c>
      <c r="O254" s="33" t="s">
        <v>255</v>
      </c>
      <c r="P254" s="41" t="s">
        <v>697</v>
      </c>
      <c r="Q254" s="33" t="s">
        <v>695</v>
      </c>
      <c r="R254" s="41" t="s">
        <v>698</v>
      </c>
      <c r="S254" s="33" t="s">
        <v>695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43" t="s">
        <v>321</v>
      </c>
      <c r="Y254" s="44" t="s">
        <v>321</v>
      </c>
    </row>
    <row r="255" spans="1:25" ht="7.5" customHeight="1" x14ac:dyDescent="0.2">
      <c r="A255" s="9">
        <v>255</v>
      </c>
      <c r="B255" s="13" t="s">
        <v>573</v>
      </c>
      <c r="C255" s="12" t="s">
        <v>824</v>
      </c>
      <c r="D255" s="53" t="s">
        <v>761</v>
      </c>
      <c r="E255" s="54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682</v>
      </c>
      <c r="M255" s="33" t="s">
        <v>770</v>
      </c>
      <c r="N255" s="30" t="s">
        <v>1</v>
      </c>
      <c r="O255" s="33" t="s">
        <v>256</v>
      </c>
      <c r="P255" s="41" t="s">
        <v>697</v>
      </c>
      <c r="Q255" s="33" t="s">
        <v>695</v>
      </c>
      <c r="R255" s="41" t="s">
        <v>698</v>
      </c>
      <c r="S255" s="33" t="s">
        <v>695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43" t="s">
        <v>321</v>
      </c>
      <c r="Y255" s="44" t="s">
        <v>321</v>
      </c>
    </row>
    <row r="256" spans="1:25" ht="7.5" customHeight="1" x14ac:dyDescent="0.2">
      <c r="A256" s="9">
        <v>256</v>
      </c>
      <c r="B256" s="13" t="s">
        <v>574</v>
      </c>
      <c r="C256" s="12" t="s">
        <v>824</v>
      </c>
      <c r="D256" s="53" t="s">
        <v>761</v>
      </c>
      <c r="E256" s="54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682</v>
      </c>
      <c r="M256" s="33" t="s">
        <v>770</v>
      </c>
      <c r="N256" s="30" t="s">
        <v>1</v>
      </c>
      <c r="O256" s="33" t="s">
        <v>257</v>
      </c>
      <c r="P256" s="41" t="s">
        <v>697</v>
      </c>
      <c r="Q256" s="33" t="s">
        <v>695</v>
      </c>
      <c r="R256" s="41" t="s">
        <v>698</v>
      </c>
      <c r="S256" s="33" t="s">
        <v>695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43" t="s">
        <v>321</v>
      </c>
      <c r="Y256" s="44" t="s">
        <v>321</v>
      </c>
    </row>
    <row r="257" spans="1:25" ht="7.5" customHeight="1" x14ac:dyDescent="0.2">
      <c r="A257" s="9">
        <v>257</v>
      </c>
      <c r="B257" s="13" t="s">
        <v>575</v>
      </c>
      <c r="C257" s="12" t="s">
        <v>824</v>
      </c>
      <c r="D257" s="53" t="s">
        <v>761</v>
      </c>
      <c r="E257" s="54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682</v>
      </c>
      <c r="M257" s="33" t="s">
        <v>770</v>
      </c>
      <c r="N257" s="30" t="s">
        <v>1</v>
      </c>
      <c r="O257" s="33" t="s">
        <v>258</v>
      </c>
      <c r="P257" s="41" t="s">
        <v>697</v>
      </c>
      <c r="Q257" s="33" t="s">
        <v>695</v>
      </c>
      <c r="R257" s="41" t="s">
        <v>698</v>
      </c>
      <c r="S257" s="33" t="s">
        <v>695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43" t="s">
        <v>321</v>
      </c>
      <c r="Y257" s="44" t="s">
        <v>321</v>
      </c>
    </row>
    <row r="258" spans="1:25" ht="7.5" customHeight="1" x14ac:dyDescent="0.2">
      <c r="A258" s="9">
        <v>258</v>
      </c>
      <c r="B258" s="13" t="s">
        <v>576</v>
      </c>
      <c r="C258" s="12" t="s">
        <v>824</v>
      </c>
      <c r="D258" s="53" t="s">
        <v>761</v>
      </c>
      <c r="E258" s="54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682</v>
      </c>
      <c r="M258" s="33" t="s">
        <v>770</v>
      </c>
      <c r="N258" s="30" t="s">
        <v>1</v>
      </c>
      <c r="O258" s="33" t="s">
        <v>259</v>
      </c>
      <c r="P258" s="41" t="s">
        <v>697</v>
      </c>
      <c r="Q258" s="33" t="s">
        <v>695</v>
      </c>
      <c r="R258" s="41" t="s">
        <v>698</v>
      </c>
      <c r="S258" s="33" t="s">
        <v>695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43" t="s">
        <v>321</v>
      </c>
      <c r="Y258" s="44" t="s">
        <v>321</v>
      </c>
    </row>
    <row r="259" spans="1:25" ht="7.5" customHeight="1" x14ac:dyDescent="0.2">
      <c r="A259" s="9">
        <v>259</v>
      </c>
      <c r="B259" s="13" t="s">
        <v>577</v>
      </c>
      <c r="C259" s="12" t="s">
        <v>824</v>
      </c>
      <c r="D259" s="53" t="s">
        <v>761</v>
      </c>
      <c r="E259" s="54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682</v>
      </c>
      <c r="M259" s="33" t="s">
        <v>770</v>
      </c>
      <c r="N259" s="30" t="s">
        <v>1</v>
      </c>
      <c r="O259" s="33" t="s">
        <v>260</v>
      </c>
      <c r="P259" s="41" t="s">
        <v>697</v>
      </c>
      <c r="Q259" s="33" t="s">
        <v>695</v>
      </c>
      <c r="R259" s="41" t="s">
        <v>698</v>
      </c>
      <c r="S259" s="33" t="s">
        <v>695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43" t="s">
        <v>321</v>
      </c>
      <c r="Y259" s="44" t="s">
        <v>321</v>
      </c>
    </row>
    <row r="260" spans="1:25" ht="7.5" customHeight="1" x14ac:dyDescent="0.2">
      <c r="A260" s="9">
        <v>260</v>
      </c>
      <c r="B260" s="13" t="s">
        <v>578</v>
      </c>
      <c r="C260" s="12" t="s">
        <v>824</v>
      </c>
      <c r="D260" s="53" t="s">
        <v>761</v>
      </c>
      <c r="E260" s="54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682</v>
      </c>
      <c r="M260" s="33" t="s">
        <v>770</v>
      </c>
      <c r="N260" s="30" t="s">
        <v>1</v>
      </c>
      <c r="O260" s="33" t="s">
        <v>261</v>
      </c>
      <c r="P260" s="41" t="s">
        <v>697</v>
      </c>
      <c r="Q260" s="33" t="s">
        <v>695</v>
      </c>
      <c r="R260" s="41" t="s">
        <v>698</v>
      </c>
      <c r="S260" s="33" t="s">
        <v>695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43" t="s">
        <v>321</v>
      </c>
      <c r="Y260" s="44" t="s">
        <v>321</v>
      </c>
    </row>
    <row r="261" spans="1:25" ht="7.5" customHeight="1" x14ac:dyDescent="0.2">
      <c r="A261" s="9">
        <v>261</v>
      </c>
      <c r="B261" s="13" t="s">
        <v>579</v>
      </c>
      <c r="C261" s="12" t="s">
        <v>824</v>
      </c>
      <c r="D261" s="53" t="s">
        <v>761</v>
      </c>
      <c r="E261" s="54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682</v>
      </c>
      <c r="M261" s="33" t="s">
        <v>770</v>
      </c>
      <c r="N261" s="30" t="s">
        <v>1</v>
      </c>
      <c r="O261" s="33" t="s">
        <v>262</v>
      </c>
      <c r="P261" s="41" t="s">
        <v>697</v>
      </c>
      <c r="Q261" s="33" t="s">
        <v>695</v>
      </c>
      <c r="R261" s="41" t="s">
        <v>698</v>
      </c>
      <c r="S261" s="33" t="s">
        <v>695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43" t="s">
        <v>321</v>
      </c>
      <c r="Y261" s="44" t="s">
        <v>321</v>
      </c>
    </row>
    <row r="262" spans="1:25" ht="7.5" customHeight="1" x14ac:dyDescent="0.2">
      <c r="A262" s="9">
        <v>262</v>
      </c>
      <c r="B262" s="13" t="s">
        <v>580</v>
      </c>
      <c r="C262" s="12" t="s">
        <v>825</v>
      </c>
      <c r="D262" s="53" t="s">
        <v>761</v>
      </c>
      <c r="E262" s="54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682</v>
      </c>
      <c r="M262" s="33" t="s">
        <v>283</v>
      </c>
      <c r="N262" s="30" t="s">
        <v>1</v>
      </c>
      <c r="O262" s="33" t="s">
        <v>263</v>
      </c>
      <c r="P262" s="41" t="s">
        <v>697</v>
      </c>
      <c r="Q262" s="33" t="s">
        <v>695</v>
      </c>
      <c r="R262" s="41" t="s">
        <v>698</v>
      </c>
      <c r="S262" s="33" t="s">
        <v>695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43" t="s">
        <v>321</v>
      </c>
      <c r="Y262" s="44" t="s">
        <v>321</v>
      </c>
    </row>
    <row r="263" spans="1:25" ht="7.5" customHeight="1" x14ac:dyDescent="0.2">
      <c r="A263" s="9">
        <v>263</v>
      </c>
      <c r="B263" s="13" t="s">
        <v>581</v>
      </c>
      <c r="C263" s="12" t="s">
        <v>825</v>
      </c>
      <c r="D263" s="53" t="s">
        <v>761</v>
      </c>
      <c r="E263" s="54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682</v>
      </c>
      <c r="M263" s="33" t="s">
        <v>283</v>
      </c>
      <c r="N263" s="30" t="s">
        <v>1</v>
      </c>
      <c r="O263" s="33" t="s">
        <v>264</v>
      </c>
      <c r="P263" s="41" t="s">
        <v>697</v>
      </c>
      <c r="Q263" s="33" t="s">
        <v>695</v>
      </c>
      <c r="R263" s="41" t="s">
        <v>698</v>
      </c>
      <c r="S263" s="33" t="s">
        <v>695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43" t="s">
        <v>321</v>
      </c>
      <c r="Y263" s="44" t="s">
        <v>321</v>
      </c>
    </row>
    <row r="264" spans="1:25" ht="7.5" customHeight="1" x14ac:dyDescent="0.2">
      <c r="A264" s="9">
        <v>264</v>
      </c>
      <c r="B264" s="13" t="s">
        <v>582</v>
      </c>
      <c r="C264" s="12" t="s">
        <v>825</v>
      </c>
      <c r="D264" s="53" t="s">
        <v>761</v>
      </c>
      <c r="E264" s="54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682</v>
      </c>
      <c r="M264" s="33" t="s">
        <v>283</v>
      </c>
      <c r="N264" s="30" t="s">
        <v>1</v>
      </c>
      <c r="O264" s="33" t="s">
        <v>265</v>
      </c>
      <c r="P264" s="41" t="s">
        <v>697</v>
      </c>
      <c r="Q264" s="33" t="s">
        <v>695</v>
      </c>
      <c r="R264" s="41" t="s">
        <v>698</v>
      </c>
      <c r="S264" s="33" t="s">
        <v>695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43" t="s">
        <v>321</v>
      </c>
      <c r="Y264" s="44" t="s">
        <v>321</v>
      </c>
    </row>
    <row r="265" spans="1:25" ht="7.5" customHeight="1" x14ac:dyDescent="0.2">
      <c r="A265" s="9">
        <v>265</v>
      </c>
      <c r="B265" s="13" t="s">
        <v>583</v>
      </c>
      <c r="C265" s="12" t="s">
        <v>825</v>
      </c>
      <c r="D265" s="53" t="s">
        <v>761</v>
      </c>
      <c r="E265" s="54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682</v>
      </c>
      <c r="M265" s="33" t="s">
        <v>283</v>
      </c>
      <c r="N265" s="30" t="s">
        <v>1</v>
      </c>
      <c r="O265" s="33" t="s">
        <v>266</v>
      </c>
      <c r="P265" s="41" t="s">
        <v>697</v>
      </c>
      <c r="Q265" s="33" t="s">
        <v>695</v>
      </c>
      <c r="R265" s="41" t="s">
        <v>698</v>
      </c>
      <c r="S265" s="33" t="s">
        <v>695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43" t="s">
        <v>321</v>
      </c>
      <c r="Y265" s="44" t="s">
        <v>321</v>
      </c>
    </row>
    <row r="266" spans="1:25" ht="7.5" customHeight="1" x14ac:dyDescent="0.2">
      <c r="A266" s="9">
        <v>266</v>
      </c>
      <c r="B266" s="13" t="s">
        <v>584</v>
      </c>
      <c r="C266" s="12" t="s">
        <v>825</v>
      </c>
      <c r="D266" s="53" t="s">
        <v>761</v>
      </c>
      <c r="E266" s="54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682</v>
      </c>
      <c r="M266" s="33" t="s">
        <v>283</v>
      </c>
      <c r="N266" s="30" t="s">
        <v>1</v>
      </c>
      <c r="O266" s="33" t="s">
        <v>267</v>
      </c>
      <c r="P266" s="41" t="s">
        <v>697</v>
      </c>
      <c r="Q266" s="33" t="s">
        <v>695</v>
      </c>
      <c r="R266" s="41" t="s">
        <v>698</v>
      </c>
      <c r="S266" s="33" t="s">
        <v>695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43" t="s">
        <v>321</v>
      </c>
      <c r="Y266" s="44" t="s">
        <v>321</v>
      </c>
    </row>
    <row r="267" spans="1:25" ht="7.5" customHeight="1" x14ac:dyDescent="0.2">
      <c r="A267" s="9">
        <v>267</v>
      </c>
      <c r="B267" s="13" t="s">
        <v>585</v>
      </c>
      <c r="C267" s="12" t="s">
        <v>825</v>
      </c>
      <c r="D267" s="53" t="s">
        <v>761</v>
      </c>
      <c r="E267" s="54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682</v>
      </c>
      <c r="M267" s="33" t="s">
        <v>283</v>
      </c>
      <c r="N267" s="30" t="s">
        <v>1</v>
      </c>
      <c r="O267" s="33" t="s">
        <v>268</v>
      </c>
      <c r="P267" s="41" t="s">
        <v>697</v>
      </c>
      <c r="Q267" s="33" t="s">
        <v>695</v>
      </c>
      <c r="R267" s="41" t="s">
        <v>698</v>
      </c>
      <c r="S267" s="33" t="s">
        <v>695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43" t="s">
        <v>321</v>
      </c>
      <c r="Y267" s="44" t="s">
        <v>321</v>
      </c>
    </row>
    <row r="268" spans="1:25" ht="7.5" customHeight="1" x14ac:dyDescent="0.2">
      <c r="A268" s="9">
        <v>268</v>
      </c>
      <c r="B268" s="13" t="s">
        <v>586</v>
      </c>
      <c r="C268" s="12" t="s">
        <v>825</v>
      </c>
      <c r="D268" s="53" t="s">
        <v>761</v>
      </c>
      <c r="E268" s="54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682</v>
      </c>
      <c r="M268" s="33" t="s">
        <v>283</v>
      </c>
      <c r="N268" s="30" t="s">
        <v>1</v>
      </c>
      <c r="O268" s="33" t="s">
        <v>269</v>
      </c>
      <c r="P268" s="41" t="s">
        <v>697</v>
      </c>
      <c r="Q268" s="33" t="s">
        <v>695</v>
      </c>
      <c r="R268" s="41" t="s">
        <v>698</v>
      </c>
      <c r="S268" s="33" t="s">
        <v>695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43" t="s">
        <v>321</v>
      </c>
      <c r="Y268" s="44" t="s">
        <v>321</v>
      </c>
    </row>
    <row r="269" spans="1:25" ht="7.5" customHeight="1" x14ac:dyDescent="0.2">
      <c r="A269" s="9">
        <v>269</v>
      </c>
      <c r="B269" s="13" t="s">
        <v>587</v>
      </c>
      <c r="C269" s="12" t="s">
        <v>825</v>
      </c>
      <c r="D269" s="53" t="s">
        <v>761</v>
      </c>
      <c r="E269" s="54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682</v>
      </c>
      <c r="M269" s="33" t="s">
        <v>283</v>
      </c>
      <c r="N269" s="30" t="s">
        <v>1</v>
      </c>
      <c r="O269" s="33" t="s">
        <v>118</v>
      </c>
      <c r="P269" s="41" t="s">
        <v>697</v>
      </c>
      <c r="Q269" s="33" t="s">
        <v>695</v>
      </c>
      <c r="R269" s="41" t="s">
        <v>698</v>
      </c>
      <c r="S269" s="33" t="s">
        <v>695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43" t="s">
        <v>321</v>
      </c>
      <c r="Y269" s="44" t="s">
        <v>321</v>
      </c>
    </row>
    <row r="270" spans="1:25" ht="7.5" customHeight="1" x14ac:dyDescent="0.2">
      <c r="A270" s="9">
        <v>270</v>
      </c>
      <c r="B270" s="13" t="s">
        <v>588</v>
      </c>
      <c r="C270" s="12" t="s">
        <v>825</v>
      </c>
      <c r="D270" s="53" t="s">
        <v>761</v>
      </c>
      <c r="E270" s="54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682</v>
      </c>
      <c r="M270" s="33" t="s">
        <v>283</v>
      </c>
      <c r="N270" s="30" t="s">
        <v>1</v>
      </c>
      <c r="O270" s="33" t="s">
        <v>270</v>
      </c>
      <c r="P270" s="41" t="s">
        <v>697</v>
      </c>
      <c r="Q270" s="33" t="s">
        <v>695</v>
      </c>
      <c r="R270" s="41" t="s">
        <v>698</v>
      </c>
      <c r="S270" s="33" t="s">
        <v>695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43" t="s">
        <v>321</v>
      </c>
      <c r="Y270" s="44" t="s">
        <v>321</v>
      </c>
    </row>
    <row r="271" spans="1:25" ht="7.5" customHeight="1" x14ac:dyDescent="0.2">
      <c r="A271" s="9">
        <v>271</v>
      </c>
      <c r="B271" s="13" t="s">
        <v>589</v>
      </c>
      <c r="C271" s="12" t="s">
        <v>825</v>
      </c>
      <c r="D271" s="53" t="s">
        <v>761</v>
      </c>
      <c r="E271" s="54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682</v>
      </c>
      <c r="M271" s="33" t="s">
        <v>283</v>
      </c>
      <c r="N271" s="30" t="s">
        <v>1</v>
      </c>
      <c r="O271" s="33" t="s">
        <v>271</v>
      </c>
      <c r="P271" s="41" t="s">
        <v>697</v>
      </c>
      <c r="Q271" s="33" t="s">
        <v>695</v>
      </c>
      <c r="R271" s="41" t="s">
        <v>698</v>
      </c>
      <c r="S271" s="33" t="s">
        <v>695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43" t="s">
        <v>321</v>
      </c>
      <c r="Y271" s="44" t="s">
        <v>321</v>
      </c>
    </row>
    <row r="272" spans="1:25" ht="7.5" customHeight="1" x14ac:dyDescent="0.2">
      <c r="A272" s="9">
        <v>272</v>
      </c>
      <c r="B272" s="13" t="s">
        <v>590</v>
      </c>
      <c r="C272" s="12" t="s">
        <v>825</v>
      </c>
      <c r="D272" s="53" t="s">
        <v>761</v>
      </c>
      <c r="E272" s="54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682</v>
      </c>
      <c r="M272" s="33" t="s">
        <v>283</v>
      </c>
      <c r="N272" s="30" t="s">
        <v>1</v>
      </c>
      <c r="O272" s="33" t="s">
        <v>272</v>
      </c>
      <c r="P272" s="41" t="s">
        <v>697</v>
      </c>
      <c r="Q272" s="33" t="s">
        <v>695</v>
      </c>
      <c r="R272" s="41" t="s">
        <v>698</v>
      </c>
      <c r="S272" s="33" t="s">
        <v>695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43" t="s">
        <v>321</v>
      </c>
      <c r="Y272" s="44" t="s">
        <v>321</v>
      </c>
    </row>
    <row r="273" spans="1:25" ht="7.5" customHeight="1" x14ac:dyDescent="0.2">
      <c r="A273" s="9">
        <v>273</v>
      </c>
      <c r="B273" s="13" t="s">
        <v>591</v>
      </c>
      <c r="C273" s="12" t="s">
        <v>825</v>
      </c>
      <c r="D273" s="53" t="s">
        <v>761</v>
      </c>
      <c r="E273" s="54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682</v>
      </c>
      <c r="M273" s="33" t="s">
        <v>283</v>
      </c>
      <c r="N273" s="30" t="s">
        <v>1</v>
      </c>
      <c r="O273" s="33" t="s">
        <v>273</v>
      </c>
      <c r="P273" s="41" t="s">
        <v>697</v>
      </c>
      <c r="Q273" s="33" t="s">
        <v>695</v>
      </c>
      <c r="R273" s="41" t="s">
        <v>698</v>
      </c>
      <c r="S273" s="33" t="s">
        <v>695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43" t="s">
        <v>321</v>
      </c>
      <c r="Y273" s="44" t="s">
        <v>321</v>
      </c>
    </row>
    <row r="274" spans="1:25" ht="7.5" customHeight="1" x14ac:dyDescent="0.2">
      <c r="A274" s="9">
        <v>274</v>
      </c>
      <c r="B274" s="13" t="s">
        <v>592</v>
      </c>
      <c r="C274" s="12" t="s">
        <v>825</v>
      </c>
      <c r="D274" s="53" t="s">
        <v>761</v>
      </c>
      <c r="E274" s="54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682</v>
      </c>
      <c r="M274" s="33" t="s">
        <v>283</v>
      </c>
      <c r="N274" s="30" t="s">
        <v>1</v>
      </c>
      <c r="O274" s="33" t="s">
        <v>274</v>
      </c>
      <c r="P274" s="41" t="s">
        <v>697</v>
      </c>
      <c r="Q274" s="33" t="s">
        <v>695</v>
      </c>
      <c r="R274" s="41" t="s">
        <v>698</v>
      </c>
      <c r="S274" s="33" t="s">
        <v>695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43" t="s">
        <v>321</v>
      </c>
      <c r="Y274" s="44" t="s">
        <v>321</v>
      </c>
    </row>
    <row r="275" spans="1:25" ht="7.5" customHeight="1" x14ac:dyDescent="0.2">
      <c r="A275" s="9">
        <v>275</v>
      </c>
      <c r="B275" s="13" t="s">
        <v>593</v>
      </c>
      <c r="C275" s="12" t="s">
        <v>825</v>
      </c>
      <c r="D275" s="53" t="s">
        <v>761</v>
      </c>
      <c r="E275" s="54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682</v>
      </c>
      <c r="M275" s="33" t="s">
        <v>283</v>
      </c>
      <c r="N275" s="30" t="s">
        <v>1</v>
      </c>
      <c r="O275" s="33" t="s">
        <v>275</v>
      </c>
      <c r="P275" s="41" t="s">
        <v>697</v>
      </c>
      <c r="Q275" s="33" t="s">
        <v>695</v>
      </c>
      <c r="R275" s="41" t="s">
        <v>698</v>
      </c>
      <c r="S275" s="33" t="s">
        <v>695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43" t="s">
        <v>321</v>
      </c>
      <c r="Y275" s="44" t="s">
        <v>321</v>
      </c>
    </row>
    <row r="276" spans="1:25" ht="7.5" customHeight="1" x14ac:dyDescent="0.2">
      <c r="A276" s="9">
        <v>276</v>
      </c>
      <c r="B276" s="13" t="s">
        <v>594</v>
      </c>
      <c r="C276" s="12" t="s">
        <v>825</v>
      </c>
      <c r="D276" s="53" t="s">
        <v>761</v>
      </c>
      <c r="E276" s="54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682</v>
      </c>
      <c r="M276" s="33" t="s">
        <v>283</v>
      </c>
      <c r="N276" s="30" t="s">
        <v>1</v>
      </c>
      <c r="O276" s="33" t="s">
        <v>276</v>
      </c>
      <c r="P276" s="41" t="s">
        <v>697</v>
      </c>
      <c r="Q276" s="33" t="s">
        <v>695</v>
      </c>
      <c r="R276" s="41" t="s">
        <v>698</v>
      </c>
      <c r="S276" s="33" t="s">
        <v>695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43" t="s">
        <v>321</v>
      </c>
      <c r="Y276" s="44" t="s">
        <v>321</v>
      </c>
    </row>
    <row r="277" spans="1:25" ht="7.5" customHeight="1" x14ac:dyDescent="0.2">
      <c r="A277" s="9">
        <v>277</v>
      </c>
      <c r="B277" s="13" t="s">
        <v>595</v>
      </c>
      <c r="C277" s="12" t="s">
        <v>825</v>
      </c>
      <c r="D277" s="53" t="s">
        <v>761</v>
      </c>
      <c r="E277" s="54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682</v>
      </c>
      <c r="M277" s="33" t="s">
        <v>283</v>
      </c>
      <c r="N277" s="30" t="s">
        <v>1</v>
      </c>
      <c r="O277" s="33" t="s">
        <v>277</v>
      </c>
      <c r="P277" s="41" t="s">
        <v>697</v>
      </c>
      <c r="Q277" s="33" t="s">
        <v>695</v>
      </c>
      <c r="R277" s="41" t="s">
        <v>698</v>
      </c>
      <c r="S277" s="33" t="s">
        <v>695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43" t="s">
        <v>321</v>
      </c>
      <c r="Y277" s="44" t="s">
        <v>321</v>
      </c>
    </row>
    <row r="278" spans="1:25" ht="7.5" customHeight="1" x14ac:dyDescent="0.2">
      <c r="A278" s="9">
        <v>278</v>
      </c>
      <c r="B278" s="13" t="s">
        <v>596</v>
      </c>
      <c r="C278" s="12" t="s">
        <v>825</v>
      </c>
      <c r="D278" s="53" t="s">
        <v>761</v>
      </c>
      <c r="E278" s="54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682</v>
      </c>
      <c r="M278" s="33" t="s">
        <v>283</v>
      </c>
      <c r="N278" s="30" t="s">
        <v>1</v>
      </c>
      <c r="O278" s="33" t="s">
        <v>278</v>
      </c>
      <c r="P278" s="41" t="s">
        <v>697</v>
      </c>
      <c r="Q278" s="33" t="s">
        <v>695</v>
      </c>
      <c r="R278" s="41" t="s">
        <v>698</v>
      </c>
      <c r="S278" s="33" t="s">
        <v>695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43" t="s">
        <v>321</v>
      </c>
      <c r="Y278" s="44" t="s">
        <v>321</v>
      </c>
    </row>
    <row r="279" spans="1:25" ht="7.5" customHeight="1" x14ac:dyDescent="0.2">
      <c r="A279" s="9">
        <v>279</v>
      </c>
      <c r="B279" s="13" t="s">
        <v>597</v>
      </c>
      <c r="C279" s="12" t="s">
        <v>825</v>
      </c>
      <c r="D279" s="53" t="s">
        <v>761</v>
      </c>
      <c r="E279" s="54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682</v>
      </c>
      <c r="M279" s="33" t="s">
        <v>283</v>
      </c>
      <c r="N279" s="30" t="s">
        <v>1</v>
      </c>
      <c r="O279" s="33" t="s">
        <v>279</v>
      </c>
      <c r="P279" s="41" t="s">
        <v>697</v>
      </c>
      <c r="Q279" s="33" t="s">
        <v>695</v>
      </c>
      <c r="R279" s="41" t="s">
        <v>698</v>
      </c>
      <c r="S279" s="33" t="s">
        <v>695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43" t="s">
        <v>321</v>
      </c>
      <c r="Y279" s="44" t="s">
        <v>321</v>
      </c>
    </row>
    <row r="280" spans="1:25" ht="7.5" customHeight="1" x14ac:dyDescent="0.2">
      <c r="A280" s="9">
        <v>280</v>
      </c>
      <c r="B280" s="13" t="s">
        <v>598</v>
      </c>
      <c r="C280" s="12" t="s">
        <v>825</v>
      </c>
      <c r="D280" s="53" t="s">
        <v>761</v>
      </c>
      <c r="E280" s="54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682</v>
      </c>
      <c r="M280" s="33" t="s">
        <v>283</v>
      </c>
      <c r="N280" s="30" t="s">
        <v>1</v>
      </c>
      <c r="O280" s="33" t="s">
        <v>280</v>
      </c>
      <c r="P280" s="41" t="s">
        <v>697</v>
      </c>
      <c r="Q280" s="33" t="s">
        <v>695</v>
      </c>
      <c r="R280" s="41" t="s">
        <v>698</v>
      </c>
      <c r="S280" s="33" t="s">
        <v>695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43" t="s">
        <v>321</v>
      </c>
      <c r="Y280" s="44" t="s">
        <v>321</v>
      </c>
    </row>
    <row r="281" spans="1:25" ht="7.5" customHeight="1" x14ac:dyDescent="0.2">
      <c r="A281" s="9">
        <v>281</v>
      </c>
      <c r="B281" s="13" t="s">
        <v>599</v>
      </c>
      <c r="C281" s="12" t="s">
        <v>825</v>
      </c>
      <c r="D281" s="53" t="s">
        <v>761</v>
      </c>
      <c r="E281" s="54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682</v>
      </c>
      <c r="M281" s="33" t="s">
        <v>283</v>
      </c>
      <c r="N281" s="30" t="s">
        <v>1</v>
      </c>
      <c r="O281" s="33" t="s">
        <v>281</v>
      </c>
      <c r="P281" s="41" t="s">
        <v>697</v>
      </c>
      <c r="Q281" s="33" t="s">
        <v>695</v>
      </c>
      <c r="R281" s="41" t="s">
        <v>698</v>
      </c>
      <c r="S281" s="33" t="s">
        <v>695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43" t="s">
        <v>321</v>
      </c>
      <c r="Y281" s="44" t="s">
        <v>321</v>
      </c>
    </row>
    <row r="282" spans="1:25" ht="7.5" customHeight="1" x14ac:dyDescent="0.2">
      <c r="A282" s="9">
        <v>282</v>
      </c>
      <c r="B282" s="13" t="s">
        <v>600</v>
      </c>
      <c r="C282" s="12" t="s">
        <v>825</v>
      </c>
      <c r="D282" s="53" t="s">
        <v>761</v>
      </c>
      <c r="E282" s="54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682</v>
      </c>
      <c r="M282" s="33" t="s">
        <v>283</v>
      </c>
      <c r="N282" s="30" t="s">
        <v>1</v>
      </c>
      <c r="O282" s="33" t="s">
        <v>282</v>
      </c>
      <c r="P282" s="41" t="s">
        <v>697</v>
      </c>
      <c r="Q282" s="33" t="s">
        <v>695</v>
      </c>
      <c r="R282" s="41" t="s">
        <v>698</v>
      </c>
      <c r="S282" s="33" t="s">
        <v>695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43" t="s">
        <v>321</v>
      </c>
      <c r="Y282" s="44" t="s">
        <v>321</v>
      </c>
    </row>
    <row r="283" spans="1:25" ht="7.5" customHeight="1" x14ac:dyDescent="0.2">
      <c r="A283" s="9">
        <v>283</v>
      </c>
      <c r="B283" s="13" t="s">
        <v>601</v>
      </c>
      <c r="C283" s="12" t="s">
        <v>825</v>
      </c>
      <c r="D283" s="53" t="s">
        <v>761</v>
      </c>
      <c r="E283" s="54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682</v>
      </c>
      <c r="M283" s="33" t="s">
        <v>283</v>
      </c>
      <c r="N283" s="30" t="s">
        <v>1</v>
      </c>
      <c r="O283" s="33" t="s">
        <v>283</v>
      </c>
      <c r="P283" s="41" t="s">
        <v>697</v>
      </c>
      <c r="Q283" s="33" t="s">
        <v>695</v>
      </c>
      <c r="R283" s="41" t="s">
        <v>698</v>
      </c>
      <c r="S283" s="33" t="s">
        <v>695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43" t="s">
        <v>321</v>
      </c>
      <c r="Y283" s="44" t="s">
        <v>321</v>
      </c>
    </row>
    <row r="284" spans="1:25" ht="7.5" customHeight="1" x14ac:dyDescent="0.2">
      <c r="A284" s="9">
        <v>284</v>
      </c>
      <c r="B284" s="13" t="s">
        <v>602</v>
      </c>
      <c r="C284" s="12" t="s">
        <v>825</v>
      </c>
      <c r="D284" s="53" t="s">
        <v>761</v>
      </c>
      <c r="E284" s="54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682</v>
      </c>
      <c r="M284" s="33" t="s">
        <v>283</v>
      </c>
      <c r="N284" s="30" t="s">
        <v>1</v>
      </c>
      <c r="O284" s="33" t="s">
        <v>284</v>
      </c>
      <c r="P284" s="41" t="s">
        <v>697</v>
      </c>
      <c r="Q284" s="33" t="s">
        <v>695</v>
      </c>
      <c r="R284" s="41" t="s">
        <v>698</v>
      </c>
      <c r="S284" s="33" t="s">
        <v>695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43" t="s">
        <v>321</v>
      </c>
      <c r="Y284" s="44" t="s">
        <v>321</v>
      </c>
    </row>
    <row r="285" spans="1:25" ht="7.5" customHeight="1" x14ac:dyDescent="0.2">
      <c r="A285" s="9">
        <v>285</v>
      </c>
      <c r="B285" s="13" t="s">
        <v>603</v>
      </c>
      <c r="C285" s="12" t="s">
        <v>825</v>
      </c>
      <c r="D285" s="53" t="s">
        <v>761</v>
      </c>
      <c r="E285" s="54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682</v>
      </c>
      <c r="M285" s="33" t="s">
        <v>283</v>
      </c>
      <c r="N285" s="30" t="s">
        <v>1</v>
      </c>
      <c r="O285" s="33" t="s">
        <v>285</v>
      </c>
      <c r="P285" s="41" t="s">
        <v>697</v>
      </c>
      <c r="Q285" s="33" t="s">
        <v>695</v>
      </c>
      <c r="R285" s="41" t="s">
        <v>698</v>
      </c>
      <c r="S285" s="33" t="s">
        <v>695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43" t="s">
        <v>321</v>
      </c>
      <c r="Y285" s="44" t="s">
        <v>321</v>
      </c>
    </row>
    <row r="286" spans="1:25" ht="7.5" customHeight="1" x14ac:dyDescent="0.2">
      <c r="A286" s="9">
        <v>286</v>
      </c>
      <c r="B286" s="13" t="s">
        <v>604</v>
      </c>
      <c r="C286" s="12" t="s">
        <v>825</v>
      </c>
      <c r="D286" s="53" t="s">
        <v>761</v>
      </c>
      <c r="E286" s="54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682</v>
      </c>
      <c r="M286" s="33" t="s">
        <v>283</v>
      </c>
      <c r="N286" s="30" t="s">
        <v>1</v>
      </c>
      <c r="O286" s="33" t="s">
        <v>286</v>
      </c>
      <c r="P286" s="41" t="s">
        <v>697</v>
      </c>
      <c r="Q286" s="33" t="s">
        <v>695</v>
      </c>
      <c r="R286" s="41" t="s">
        <v>698</v>
      </c>
      <c r="S286" s="33" t="s">
        <v>695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43" t="s">
        <v>321</v>
      </c>
      <c r="Y286" s="44" t="s">
        <v>321</v>
      </c>
    </row>
    <row r="287" spans="1:25" ht="7.5" customHeight="1" x14ac:dyDescent="0.2">
      <c r="A287" s="9">
        <v>287</v>
      </c>
      <c r="B287" s="13" t="s">
        <v>605</v>
      </c>
      <c r="C287" s="12" t="s">
        <v>826</v>
      </c>
      <c r="D287" s="53" t="s">
        <v>761</v>
      </c>
      <c r="E287" s="54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682</v>
      </c>
      <c r="M287" s="33" t="s">
        <v>771</v>
      </c>
      <c r="N287" s="30" t="s">
        <v>1</v>
      </c>
      <c r="O287" s="33" t="s">
        <v>287</v>
      </c>
      <c r="P287" s="41" t="s">
        <v>697</v>
      </c>
      <c r="Q287" s="33" t="s">
        <v>695</v>
      </c>
      <c r="R287" s="41" t="s">
        <v>698</v>
      </c>
      <c r="S287" s="33" t="s">
        <v>695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43" t="s">
        <v>321</v>
      </c>
      <c r="Y287" s="44" t="s">
        <v>321</v>
      </c>
    </row>
    <row r="288" spans="1:25" ht="7.5" customHeight="1" x14ac:dyDescent="0.2">
      <c r="A288" s="9">
        <v>288</v>
      </c>
      <c r="B288" s="13" t="s">
        <v>606</v>
      </c>
      <c r="C288" s="12" t="s">
        <v>826</v>
      </c>
      <c r="D288" s="53" t="s">
        <v>761</v>
      </c>
      <c r="E288" s="54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682</v>
      </c>
      <c r="M288" s="33" t="s">
        <v>771</v>
      </c>
      <c r="N288" s="30" t="s">
        <v>1</v>
      </c>
      <c r="O288" s="33" t="s">
        <v>288</v>
      </c>
      <c r="P288" s="41" t="s">
        <v>697</v>
      </c>
      <c r="Q288" s="33" t="s">
        <v>695</v>
      </c>
      <c r="R288" s="41" t="s">
        <v>698</v>
      </c>
      <c r="S288" s="33" t="s">
        <v>695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43" t="s">
        <v>321</v>
      </c>
      <c r="Y288" s="44" t="s">
        <v>321</v>
      </c>
    </row>
    <row r="289" spans="1:25" ht="7.5" customHeight="1" x14ac:dyDescent="0.2">
      <c r="A289" s="9">
        <v>289</v>
      </c>
      <c r="B289" s="13" t="s">
        <v>607</v>
      </c>
      <c r="C289" s="12" t="s">
        <v>826</v>
      </c>
      <c r="D289" s="53" t="s">
        <v>761</v>
      </c>
      <c r="E289" s="54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682</v>
      </c>
      <c r="M289" s="33" t="s">
        <v>771</v>
      </c>
      <c r="N289" s="30" t="s">
        <v>1</v>
      </c>
      <c r="O289" s="33" t="s">
        <v>289</v>
      </c>
      <c r="P289" s="41" t="s">
        <v>697</v>
      </c>
      <c r="Q289" s="33" t="s">
        <v>695</v>
      </c>
      <c r="R289" s="41" t="s">
        <v>698</v>
      </c>
      <c r="S289" s="33" t="s">
        <v>695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43" t="s">
        <v>321</v>
      </c>
      <c r="Y289" s="44" t="s">
        <v>321</v>
      </c>
    </row>
    <row r="290" spans="1:25" ht="7.5" customHeight="1" x14ac:dyDescent="0.2">
      <c r="A290" s="9">
        <v>290</v>
      </c>
      <c r="B290" s="13" t="s">
        <v>608</v>
      </c>
      <c r="C290" s="12" t="s">
        <v>826</v>
      </c>
      <c r="D290" s="53" t="s">
        <v>761</v>
      </c>
      <c r="E290" s="54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682</v>
      </c>
      <c r="M290" s="33" t="s">
        <v>771</v>
      </c>
      <c r="N290" s="30" t="s">
        <v>1</v>
      </c>
      <c r="O290" s="33" t="s">
        <v>236</v>
      </c>
      <c r="P290" s="41" t="s">
        <v>697</v>
      </c>
      <c r="Q290" s="33" t="s">
        <v>695</v>
      </c>
      <c r="R290" s="41" t="s">
        <v>698</v>
      </c>
      <c r="S290" s="33" t="s">
        <v>695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43" t="s">
        <v>321</v>
      </c>
      <c r="Y290" s="44" t="s">
        <v>321</v>
      </c>
    </row>
    <row r="291" spans="1:25" ht="7.5" customHeight="1" x14ac:dyDescent="0.2">
      <c r="A291" s="9">
        <v>291</v>
      </c>
      <c r="B291" s="13" t="s">
        <v>609</v>
      </c>
      <c r="C291" s="12" t="s">
        <v>826</v>
      </c>
      <c r="D291" s="53" t="s">
        <v>761</v>
      </c>
      <c r="E291" s="54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682</v>
      </c>
      <c r="M291" s="33" t="s">
        <v>771</v>
      </c>
      <c r="N291" s="30" t="s">
        <v>1</v>
      </c>
      <c r="O291" s="33" t="s">
        <v>290</v>
      </c>
      <c r="P291" s="41" t="s">
        <v>697</v>
      </c>
      <c r="Q291" s="33" t="s">
        <v>695</v>
      </c>
      <c r="R291" s="41" t="s">
        <v>698</v>
      </c>
      <c r="S291" s="33" t="s">
        <v>695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43" t="s">
        <v>321</v>
      </c>
      <c r="Y291" s="44" t="s">
        <v>321</v>
      </c>
    </row>
    <row r="292" spans="1:25" ht="7.5" customHeight="1" x14ac:dyDescent="0.2">
      <c r="A292" s="9">
        <v>292</v>
      </c>
      <c r="B292" s="13" t="s">
        <v>610</v>
      </c>
      <c r="C292" s="12" t="s">
        <v>826</v>
      </c>
      <c r="D292" s="53" t="s">
        <v>761</v>
      </c>
      <c r="E292" s="54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682</v>
      </c>
      <c r="M292" s="33" t="s">
        <v>771</v>
      </c>
      <c r="N292" s="30" t="s">
        <v>1</v>
      </c>
      <c r="O292" s="33" t="s">
        <v>291</v>
      </c>
      <c r="P292" s="41" t="s">
        <v>697</v>
      </c>
      <c r="Q292" s="33" t="s">
        <v>695</v>
      </c>
      <c r="R292" s="41" t="s">
        <v>698</v>
      </c>
      <c r="S292" s="33" t="s">
        <v>695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43" t="s">
        <v>321</v>
      </c>
      <c r="Y292" s="44" t="s">
        <v>321</v>
      </c>
    </row>
    <row r="293" spans="1:25" ht="7.5" customHeight="1" x14ac:dyDescent="0.2">
      <c r="A293" s="9">
        <v>293</v>
      </c>
      <c r="B293" s="13" t="s">
        <v>611</v>
      </c>
      <c r="C293" s="12" t="s">
        <v>826</v>
      </c>
      <c r="D293" s="53" t="s">
        <v>761</v>
      </c>
      <c r="E293" s="54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682</v>
      </c>
      <c r="M293" s="33" t="s">
        <v>771</v>
      </c>
      <c r="N293" s="30" t="s">
        <v>1</v>
      </c>
      <c r="O293" s="33" t="s">
        <v>292</v>
      </c>
      <c r="P293" s="41" t="s">
        <v>697</v>
      </c>
      <c r="Q293" s="33" t="s">
        <v>695</v>
      </c>
      <c r="R293" s="41" t="s">
        <v>698</v>
      </c>
      <c r="S293" s="33" t="s">
        <v>695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43" t="s">
        <v>321</v>
      </c>
      <c r="Y293" s="44" t="s">
        <v>321</v>
      </c>
    </row>
    <row r="294" spans="1:25" ht="7.5" customHeight="1" x14ac:dyDescent="0.2">
      <c r="A294" s="9">
        <v>294</v>
      </c>
      <c r="B294" s="13" t="s">
        <v>612</v>
      </c>
      <c r="C294" s="12" t="s">
        <v>826</v>
      </c>
      <c r="D294" s="53" t="s">
        <v>761</v>
      </c>
      <c r="E294" s="54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682</v>
      </c>
      <c r="M294" s="33" t="s">
        <v>771</v>
      </c>
      <c r="N294" s="30" t="s">
        <v>1</v>
      </c>
      <c r="O294" s="33" t="s">
        <v>293</v>
      </c>
      <c r="P294" s="41" t="s">
        <v>697</v>
      </c>
      <c r="Q294" s="33" t="s">
        <v>695</v>
      </c>
      <c r="R294" s="41" t="s">
        <v>698</v>
      </c>
      <c r="S294" s="33" t="s">
        <v>695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43" t="s">
        <v>321</v>
      </c>
      <c r="Y294" s="44" t="s">
        <v>321</v>
      </c>
    </row>
    <row r="295" spans="1:25" ht="7.5" customHeight="1" x14ac:dyDescent="0.2">
      <c r="A295" s="9">
        <v>295</v>
      </c>
      <c r="B295" s="13" t="s">
        <v>613</v>
      </c>
      <c r="C295" s="12" t="s">
        <v>826</v>
      </c>
      <c r="D295" s="53" t="s">
        <v>761</v>
      </c>
      <c r="E295" s="54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682</v>
      </c>
      <c r="M295" s="33" t="s">
        <v>771</v>
      </c>
      <c r="N295" s="30" t="s">
        <v>1</v>
      </c>
      <c r="O295" s="33" t="s">
        <v>235</v>
      </c>
      <c r="P295" s="41" t="s">
        <v>697</v>
      </c>
      <c r="Q295" s="33" t="s">
        <v>695</v>
      </c>
      <c r="R295" s="41" t="s">
        <v>698</v>
      </c>
      <c r="S295" s="33" t="s">
        <v>695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43" t="s">
        <v>321</v>
      </c>
      <c r="Y295" s="44" t="s">
        <v>321</v>
      </c>
    </row>
    <row r="296" spans="1:25" ht="7.5" customHeight="1" x14ac:dyDescent="0.2">
      <c r="A296" s="9">
        <v>296</v>
      </c>
      <c r="B296" s="13" t="s">
        <v>614</v>
      </c>
      <c r="C296" s="12" t="s">
        <v>827</v>
      </c>
      <c r="D296" s="53" t="s">
        <v>761</v>
      </c>
      <c r="E296" s="54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682</v>
      </c>
      <c r="M296" s="33" t="s">
        <v>772</v>
      </c>
      <c r="N296" s="30" t="s">
        <v>1</v>
      </c>
      <c r="O296" s="33" t="s">
        <v>294</v>
      </c>
      <c r="P296" s="41" t="s">
        <v>697</v>
      </c>
      <c r="Q296" s="33" t="s">
        <v>695</v>
      </c>
      <c r="R296" s="41" t="s">
        <v>698</v>
      </c>
      <c r="S296" s="33" t="s">
        <v>695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43" t="s">
        <v>321</v>
      </c>
      <c r="Y296" s="44" t="s">
        <v>321</v>
      </c>
    </row>
    <row r="297" spans="1:25" ht="7.5" customHeight="1" x14ac:dyDescent="0.2">
      <c r="A297" s="9">
        <v>297</v>
      </c>
      <c r="B297" s="13" t="s">
        <v>615</v>
      </c>
      <c r="C297" s="12" t="s">
        <v>827</v>
      </c>
      <c r="D297" s="53" t="s">
        <v>761</v>
      </c>
      <c r="E297" s="54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682</v>
      </c>
      <c r="M297" s="33" t="s">
        <v>772</v>
      </c>
      <c r="N297" s="30" t="s">
        <v>1</v>
      </c>
      <c r="O297" s="33" t="s">
        <v>295</v>
      </c>
      <c r="P297" s="41" t="s">
        <v>697</v>
      </c>
      <c r="Q297" s="33" t="s">
        <v>695</v>
      </c>
      <c r="R297" s="41" t="s">
        <v>698</v>
      </c>
      <c r="S297" s="33" t="s">
        <v>695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43" t="s">
        <v>321</v>
      </c>
      <c r="Y297" s="44" t="s">
        <v>321</v>
      </c>
    </row>
    <row r="298" spans="1:25" ht="7.5" customHeight="1" x14ac:dyDescent="0.2">
      <c r="A298" s="9">
        <v>298</v>
      </c>
      <c r="B298" s="13" t="s">
        <v>616</v>
      </c>
      <c r="C298" s="12" t="s">
        <v>827</v>
      </c>
      <c r="D298" s="53" t="s">
        <v>761</v>
      </c>
      <c r="E298" s="54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682</v>
      </c>
      <c r="M298" s="33" t="s">
        <v>772</v>
      </c>
      <c r="N298" s="30" t="s">
        <v>1</v>
      </c>
      <c r="O298" s="33" t="s">
        <v>296</v>
      </c>
      <c r="P298" s="41" t="s">
        <v>697</v>
      </c>
      <c r="Q298" s="33" t="s">
        <v>695</v>
      </c>
      <c r="R298" s="41" t="s">
        <v>698</v>
      </c>
      <c r="S298" s="33" t="s">
        <v>695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43" t="s">
        <v>321</v>
      </c>
      <c r="Y298" s="44" t="s">
        <v>321</v>
      </c>
    </row>
    <row r="299" spans="1:25" ht="7.5" customHeight="1" x14ac:dyDescent="0.2">
      <c r="A299" s="9">
        <v>299</v>
      </c>
      <c r="B299" s="13" t="s">
        <v>617</v>
      </c>
      <c r="C299" s="12" t="s">
        <v>827</v>
      </c>
      <c r="D299" s="53" t="s">
        <v>761</v>
      </c>
      <c r="E299" s="54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682</v>
      </c>
      <c r="M299" s="33" t="s">
        <v>772</v>
      </c>
      <c r="N299" s="30" t="s">
        <v>1</v>
      </c>
      <c r="O299" s="33" t="s">
        <v>297</v>
      </c>
      <c r="P299" s="41" t="s">
        <v>697</v>
      </c>
      <c r="Q299" s="33" t="s">
        <v>695</v>
      </c>
      <c r="R299" s="41" t="s">
        <v>698</v>
      </c>
      <c r="S299" s="33" t="s">
        <v>695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43" t="s">
        <v>321</v>
      </c>
      <c r="Y299" s="44" t="s">
        <v>321</v>
      </c>
    </row>
    <row r="300" spans="1:25" ht="7.5" customHeight="1" x14ac:dyDescent="0.2">
      <c r="A300" s="9">
        <v>300</v>
      </c>
      <c r="B300" s="13" t="s">
        <v>618</v>
      </c>
      <c r="C300" s="12" t="s">
        <v>827</v>
      </c>
      <c r="D300" s="53" t="s">
        <v>761</v>
      </c>
      <c r="E300" s="54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682</v>
      </c>
      <c r="M300" s="33" t="s">
        <v>772</v>
      </c>
      <c r="N300" s="30" t="s">
        <v>1</v>
      </c>
      <c r="O300" s="33" t="s">
        <v>298</v>
      </c>
      <c r="P300" s="41" t="s">
        <v>697</v>
      </c>
      <c r="Q300" s="33" t="s">
        <v>695</v>
      </c>
      <c r="R300" s="41" t="s">
        <v>698</v>
      </c>
      <c r="S300" s="33" t="s">
        <v>695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43" t="s">
        <v>321</v>
      </c>
      <c r="Y300" s="44" t="s">
        <v>321</v>
      </c>
    </row>
    <row r="301" spans="1:25" ht="7.5" customHeight="1" x14ac:dyDescent="0.2">
      <c r="A301" s="9">
        <v>301</v>
      </c>
      <c r="B301" s="13" t="s">
        <v>619</v>
      </c>
      <c r="C301" s="12" t="s">
        <v>827</v>
      </c>
      <c r="D301" s="53" t="s">
        <v>761</v>
      </c>
      <c r="E301" s="54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682</v>
      </c>
      <c r="M301" s="33" t="s">
        <v>772</v>
      </c>
      <c r="N301" s="30" t="s">
        <v>1</v>
      </c>
      <c r="O301" s="33" t="s">
        <v>299</v>
      </c>
      <c r="P301" s="41" t="s">
        <v>697</v>
      </c>
      <c r="Q301" s="33" t="s">
        <v>695</v>
      </c>
      <c r="R301" s="41" t="s">
        <v>698</v>
      </c>
      <c r="S301" s="33" t="s">
        <v>695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43" t="s">
        <v>321</v>
      </c>
      <c r="Y301" s="44" t="s">
        <v>321</v>
      </c>
    </row>
    <row r="302" spans="1:25" ht="7.5" customHeight="1" x14ac:dyDescent="0.2">
      <c r="A302" s="9">
        <v>302</v>
      </c>
      <c r="B302" s="13" t="s">
        <v>620</v>
      </c>
      <c r="C302" s="12" t="s">
        <v>827</v>
      </c>
      <c r="D302" s="53" t="s">
        <v>761</v>
      </c>
      <c r="E302" s="54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682</v>
      </c>
      <c r="M302" s="33" t="s">
        <v>772</v>
      </c>
      <c r="N302" s="30" t="s">
        <v>1</v>
      </c>
      <c r="O302" s="33" t="s">
        <v>300</v>
      </c>
      <c r="P302" s="41" t="s">
        <v>697</v>
      </c>
      <c r="Q302" s="33" t="s">
        <v>695</v>
      </c>
      <c r="R302" s="41" t="s">
        <v>698</v>
      </c>
      <c r="S302" s="33" t="s">
        <v>695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43" t="s">
        <v>321</v>
      </c>
      <c r="Y302" s="44" t="s">
        <v>321</v>
      </c>
    </row>
    <row r="303" spans="1:25" ht="7.5" customHeight="1" x14ac:dyDescent="0.2">
      <c r="A303" s="9">
        <v>303</v>
      </c>
      <c r="B303" s="13" t="s">
        <v>621</v>
      </c>
      <c r="C303" s="12" t="s">
        <v>827</v>
      </c>
      <c r="D303" s="53" t="s">
        <v>761</v>
      </c>
      <c r="E303" s="54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682</v>
      </c>
      <c r="M303" s="33" t="s">
        <v>772</v>
      </c>
      <c r="N303" s="30" t="s">
        <v>1</v>
      </c>
      <c r="O303" s="33" t="s">
        <v>301</v>
      </c>
      <c r="P303" s="41" t="s">
        <v>697</v>
      </c>
      <c r="Q303" s="33" t="s">
        <v>695</v>
      </c>
      <c r="R303" s="41" t="s">
        <v>698</v>
      </c>
      <c r="S303" s="33" t="s">
        <v>695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43" t="s">
        <v>321</v>
      </c>
      <c r="Y303" s="44" t="s">
        <v>321</v>
      </c>
    </row>
    <row r="304" spans="1:25" ht="7.5" customHeight="1" x14ac:dyDescent="0.2">
      <c r="A304" s="9">
        <v>304</v>
      </c>
      <c r="B304" s="13" t="s">
        <v>622</v>
      </c>
      <c r="C304" s="12" t="s">
        <v>827</v>
      </c>
      <c r="D304" s="53" t="s">
        <v>761</v>
      </c>
      <c r="E304" s="54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682</v>
      </c>
      <c r="M304" s="33" t="s">
        <v>772</v>
      </c>
      <c r="N304" s="30" t="s">
        <v>1</v>
      </c>
      <c r="O304" s="33" t="s">
        <v>302</v>
      </c>
      <c r="P304" s="41" t="s">
        <v>697</v>
      </c>
      <c r="Q304" s="33" t="s">
        <v>695</v>
      </c>
      <c r="R304" s="41" t="s">
        <v>698</v>
      </c>
      <c r="S304" s="33" t="s">
        <v>695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43" t="s">
        <v>321</v>
      </c>
      <c r="Y304" s="44" t="s">
        <v>321</v>
      </c>
    </row>
    <row r="305" spans="1:25" ht="7.5" customHeight="1" x14ac:dyDescent="0.2">
      <c r="A305" s="9">
        <v>305</v>
      </c>
      <c r="B305" s="13" t="s">
        <v>623</v>
      </c>
      <c r="C305" s="12" t="s">
        <v>827</v>
      </c>
      <c r="D305" s="53" t="s">
        <v>761</v>
      </c>
      <c r="E305" s="54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682</v>
      </c>
      <c r="M305" s="33" t="s">
        <v>772</v>
      </c>
      <c r="N305" s="30" t="s">
        <v>1</v>
      </c>
      <c r="O305" s="33" t="s">
        <v>303</v>
      </c>
      <c r="P305" s="41" t="s">
        <v>697</v>
      </c>
      <c r="Q305" s="33" t="s">
        <v>695</v>
      </c>
      <c r="R305" s="41" t="s">
        <v>698</v>
      </c>
      <c r="S305" s="33" t="s">
        <v>695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43" t="s">
        <v>321</v>
      </c>
      <c r="Y305" s="44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2026-07-16T16:38:18Z</dcterms:modified>
</cp:coreProperties>
</file>