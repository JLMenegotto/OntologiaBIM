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Construtor_Onto\CSUS\"/>
    </mc:Choice>
  </mc:AlternateContent>
  <xr:revisionPtr revIDLastSave="0" documentId="13_ncr:1_{6C5276DA-8234-4966-A56F-0B864653396C}" xr6:coauthVersionLast="47" xr6:coauthVersionMax="47" xr10:uidLastSave="{00000000-0000-0000-0000-000000000000}"/>
  <bookViews>
    <workbookView xWindow="-103" yWindow="-103" windowWidth="22149" windowHeight="13200" xr2:uid="{6AA21774-678E-47D1-B8DD-6444A2CEB00E}"/>
  </bookViews>
  <sheets>
    <sheet name="Projeto" sheetId="30" r:id="rId1"/>
    <sheet name="Classes" sheetId="24" r:id="rId2"/>
    <sheet name="Disjunt" sheetId="3" r:id="rId3"/>
    <sheet name="Interop" sheetId="26" r:id="rId4"/>
    <sheet name="FatosIn" sheetId="2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24" l="1"/>
  <c r="W3" i="24"/>
  <c r="W4" i="24"/>
  <c r="W5" i="24"/>
  <c r="W6" i="24"/>
  <c r="W7" i="24"/>
  <c r="U6" i="24"/>
  <c r="T6" i="24"/>
  <c r="S6" i="24"/>
  <c r="O6" i="24"/>
  <c r="N6" i="24"/>
  <c r="M6" i="24"/>
  <c r="L6" i="24"/>
  <c r="U5" i="24"/>
  <c r="T5" i="24"/>
  <c r="S5" i="24"/>
  <c r="O5" i="24"/>
  <c r="N5" i="24"/>
  <c r="M5" i="24"/>
  <c r="L5" i="24"/>
  <c r="U4" i="24"/>
  <c r="T4" i="24"/>
  <c r="S4" i="24"/>
  <c r="O4" i="24"/>
  <c r="N4" i="24"/>
  <c r="M4" i="24"/>
  <c r="L4" i="24"/>
  <c r="U3" i="24"/>
  <c r="T3" i="24"/>
  <c r="S3" i="24"/>
  <c r="O3" i="24"/>
  <c r="N3" i="24"/>
  <c r="M3" i="24"/>
  <c r="L3" i="24"/>
  <c r="U2" i="24"/>
  <c r="T2" i="24"/>
  <c r="S2" i="24"/>
  <c r="O2" i="24"/>
  <c r="N2" i="24"/>
  <c r="M2" i="24"/>
  <c r="L2" i="24"/>
  <c r="W8" i="24"/>
  <c r="W9" i="24"/>
  <c r="W10" i="24"/>
  <c r="W11" i="24"/>
  <c r="W12" i="24"/>
  <c r="W13" i="24"/>
  <c r="W14" i="24"/>
  <c r="W15" i="24"/>
  <c r="W16" i="24"/>
  <c r="W17" i="24"/>
  <c r="W18" i="24"/>
  <c r="W19" i="24"/>
  <c r="W20" i="24"/>
  <c r="W21" i="24"/>
  <c r="W22" i="24"/>
  <c r="W23" i="24"/>
  <c r="W24" i="24"/>
  <c r="W25" i="24"/>
  <c r="W26" i="24"/>
  <c r="W27" i="24"/>
  <c r="AA6" i="24"/>
  <c r="AA5" i="24"/>
  <c r="AA4" i="24"/>
  <c r="AA3" i="24"/>
  <c r="AA2" i="24"/>
  <c r="U27" i="24" l="1"/>
  <c r="T27" i="24"/>
  <c r="S27" i="24"/>
  <c r="O27" i="24"/>
  <c r="N27" i="24"/>
  <c r="M27" i="24"/>
  <c r="L27" i="24"/>
  <c r="U26" i="24"/>
  <c r="T26" i="24"/>
  <c r="S26" i="24"/>
  <c r="O26" i="24"/>
  <c r="N26" i="24"/>
  <c r="M26" i="24"/>
  <c r="L26" i="24"/>
  <c r="U25" i="24"/>
  <c r="T25" i="24"/>
  <c r="S25" i="24"/>
  <c r="O25" i="24"/>
  <c r="N25" i="24"/>
  <c r="M25" i="24"/>
  <c r="L25" i="24"/>
  <c r="U24" i="24"/>
  <c r="T24" i="24"/>
  <c r="S24" i="24"/>
  <c r="O24" i="24"/>
  <c r="N24" i="24"/>
  <c r="M24" i="24"/>
  <c r="L24" i="24"/>
  <c r="U23" i="24"/>
  <c r="T23" i="24"/>
  <c r="S23" i="24"/>
  <c r="O23" i="24"/>
  <c r="N23" i="24"/>
  <c r="M23" i="24"/>
  <c r="L23" i="24"/>
  <c r="U22" i="24"/>
  <c r="T22" i="24"/>
  <c r="S22" i="24"/>
  <c r="O22" i="24"/>
  <c r="N22" i="24"/>
  <c r="M22" i="24"/>
  <c r="L22" i="24"/>
  <c r="U21" i="24"/>
  <c r="T21" i="24"/>
  <c r="S21" i="24"/>
  <c r="O21" i="24"/>
  <c r="N21" i="24"/>
  <c r="M21" i="24"/>
  <c r="L21" i="24"/>
  <c r="U20" i="24"/>
  <c r="T20" i="24"/>
  <c r="S20" i="24"/>
  <c r="O20" i="24"/>
  <c r="N20" i="24"/>
  <c r="M20" i="24"/>
  <c r="L20" i="24"/>
  <c r="U19" i="24"/>
  <c r="T19" i="24"/>
  <c r="S19" i="24"/>
  <c r="O19" i="24"/>
  <c r="N19" i="24"/>
  <c r="M19" i="24"/>
  <c r="L19" i="24"/>
  <c r="U18" i="24"/>
  <c r="T18" i="24"/>
  <c r="S18" i="24"/>
  <c r="O18" i="24"/>
  <c r="N18" i="24"/>
  <c r="M18" i="24"/>
  <c r="L18" i="24"/>
  <c r="U17" i="24"/>
  <c r="T17" i="24"/>
  <c r="S17" i="24"/>
  <c r="O17" i="24"/>
  <c r="N17" i="24"/>
  <c r="M17" i="24"/>
  <c r="L17" i="24"/>
  <c r="U16" i="24"/>
  <c r="T16" i="24"/>
  <c r="S16" i="24"/>
  <c r="O16" i="24"/>
  <c r="N16" i="24"/>
  <c r="M16" i="24"/>
  <c r="L16" i="24"/>
  <c r="U15" i="24"/>
  <c r="T15" i="24"/>
  <c r="S15" i="24"/>
  <c r="O15" i="24"/>
  <c r="N15" i="24"/>
  <c r="M15" i="24"/>
  <c r="L15" i="24"/>
  <c r="U14" i="24"/>
  <c r="T14" i="24"/>
  <c r="S14" i="24"/>
  <c r="O14" i="24"/>
  <c r="N14" i="24"/>
  <c r="M14" i="24"/>
  <c r="L14" i="24"/>
  <c r="U13" i="24"/>
  <c r="T13" i="24"/>
  <c r="S13" i="24"/>
  <c r="O13" i="24"/>
  <c r="N13" i="24"/>
  <c r="M13" i="24"/>
  <c r="L13" i="24"/>
  <c r="U12" i="24"/>
  <c r="T12" i="24"/>
  <c r="S12" i="24"/>
  <c r="O12" i="24"/>
  <c r="N12" i="24"/>
  <c r="M12" i="24"/>
  <c r="L12" i="24"/>
  <c r="U11" i="24"/>
  <c r="T11" i="24"/>
  <c r="S11" i="24"/>
  <c r="O11" i="24"/>
  <c r="N11" i="24"/>
  <c r="M11" i="24"/>
  <c r="L11" i="24"/>
  <c r="U10" i="24"/>
  <c r="T10" i="24"/>
  <c r="S10" i="24"/>
  <c r="O10" i="24"/>
  <c r="N10" i="24"/>
  <c r="M10" i="24"/>
  <c r="L10" i="24"/>
  <c r="U9" i="24"/>
  <c r="T9" i="24"/>
  <c r="S9" i="24"/>
  <c r="O9" i="24"/>
  <c r="N9" i="24"/>
  <c r="M9" i="24"/>
  <c r="L9" i="24"/>
  <c r="U8" i="24"/>
  <c r="T8" i="24"/>
  <c r="S8" i="24"/>
  <c r="O8" i="24"/>
  <c r="N8" i="24"/>
  <c r="M8" i="24"/>
  <c r="L8" i="24"/>
  <c r="U7" i="24"/>
  <c r="T7" i="24"/>
  <c r="S7" i="24"/>
  <c r="O7" i="24"/>
  <c r="N7" i="24"/>
  <c r="M7" i="24"/>
  <c r="L7" i="24"/>
  <c r="B26" i="30"/>
  <c r="B22" i="30"/>
  <c r="B23" i="30"/>
  <c r="AA7" i="24"/>
  <c r="AA26" i="24"/>
  <c r="AA23" i="24"/>
  <c r="AA8" i="24"/>
  <c r="AA20" i="24"/>
  <c r="AA10" i="24"/>
  <c r="AA16" i="24"/>
  <c r="AA25" i="24"/>
  <c r="AA24" i="24"/>
  <c r="AA19" i="24"/>
  <c r="AA12" i="24"/>
  <c r="AA18" i="24"/>
  <c r="AA13" i="24"/>
  <c r="AA21" i="24"/>
  <c r="AA17" i="24"/>
  <c r="AA14" i="24"/>
  <c r="AA15" i="24"/>
  <c r="AA9" i="24"/>
  <c r="AA11" i="24"/>
  <c r="AA27" i="24"/>
  <c r="AA22" i="24"/>
  <c r="B18" i="30" l="1"/>
  <c r="B6" i="30"/>
  <c r="B5" i="30"/>
</calcChain>
</file>

<file path=xl/sharedStrings.xml><?xml version="1.0" encoding="utf-8"?>
<sst xmlns="http://schemas.openxmlformats.org/spreadsheetml/2006/main" count="699" uniqueCount="243">
  <si>
    <t>Key</t>
  </si>
  <si>
    <t>null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</si>
  <si>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</si>
  <si>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</si>
  <si>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</si>
  <si>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</si>
  <si>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</si>
  <si>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</si>
  <si>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</si>
  <si>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</si>
  <si>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</si>
  <si>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</si>
  <si>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</si>
  <si>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1</t>
  </si>
  <si>
    <t>SomaSUS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</si>
  <si>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</si>
  <si>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</si>
  <si>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</si>
  <si>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</si>
  <si>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</si>
  <si>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</si>
  <si>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</si>
  <si>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</si>
  <si>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</si>
  <si>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N°</t>
  </si>
  <si>
    <t>BIM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</si>
  <si>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</si>
  <si>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</si>
  <si>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</si>
  <si>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</si>
  <si>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</si>
  <si>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</si>
  <si>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</si>
  <si>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</si>
  <si>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</si>
  <si>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</si>
  <si>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</si>
  <si>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</si>
  <si>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</si>
  <si>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</si>
  <si>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</si>
  <si>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</si>
  <si>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Natureza</t>
  </si>
  <si>
    <t>Especie</t>
  </si>
  <si>
    <t>Tema</t>
  </si>
  <si>
    <t>Disciplina</t>
  </si>
  <si>
    <t>0</t>
  </si>
  <si>
    <t>Chave</t>
  </si>
  <si>
    <t>Valor</t>
  </si>
  <si>
    <t>OntologiaPrefixo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</si>
  <si>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</si>
  <si>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</si>
  <si>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</si>
  <si>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</si>
  <si>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</si>
  <si>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</si>
  <si>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</si>
  <si>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</si>
  <si>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</si>
  <si>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</si>
  <si>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</si>
  <si>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</si>
  <si>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</si>
  <si>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</si>
  <si>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</si>
  <si>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</si>
  <si>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</si>
  <si>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</si>
  <si>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Caderno SomaSUS elaborado pelo Sistema Único de Saúde</t>
  </si>
  <si>
    <t>DataHora</t>
  </si>
  <si>
    <t>Prédio</t>
  </si>
  <si>
    <t>Cidade</t>
  </si>
  <si>
    <t>Explicação</t>
  </si>
  <si>
    <t>Explicación</t>
  </si>
  <si>
    <t xml:space="preserve">Formalizar el Cuaderno SomaSUS elaborado por el Sistema Único de Salud de Brasil. </t>
  </si>
  <si>
    <t>Indivíduo</t>
  </si>
  <si>
    <t>Fato</t>
  </si>
  <si>
    <t>SomaSUS_Volumes</t>
  </si>
  <si>
    <t>VOL.01</t>
  </si>
  <si>
    <t>VOL.02</t>
  </si>
  <si>
    <t>VOL.03</t>
  </si>
  <si>
    <t>VOL.04</t>
  </si>
  <si>
    <t>Volumes do Caderno SUS</t>
  </si>
  <si>
    <t>tema</t>
  </si>
  <si>
    <t>descrição</t>
  </si>
  <si>
    <t>Interop</t>
  </si>
  <si>
    <t>SUS.Area</t>
  </si>
  <si>
    <t>SUS.Unidade.Funcional</t>
  </si>
  <si>
    <t>SUS.Setor</t>
  </si>
  <si>
    <t>SUS.Zoneamento</t>
  </si>
  <si>
    <t>SUS.Equipamento</t>
  </si>
  <si>
    <t>SUS.Dispositivo</t>
  </si>
  <si>
    <t>SUS.Mobília</t>
  </si>
  <si>
    <t>SUS</t>
  </si>
  <si>
    <t>Classe</t>
  </si>
  <si>
    <t>Equivalente a</t>
  </si>
  <si>
    <t>SUS.Volume</t>
  </si>
  <si>
    <t>bim:</t>
  </si>
  <si>
    <t>CategoriaRvt</t>
  </si>
  <si>
    <t>ClasseIfc</t>
  </si>
  <si>
    <t>ABNT</t>
  </si>
  <si>
    <t>Volumes do Caderno SomaSUS. Sistema Único de Saúde do Brasil.</t>
  </si>
  <si>
    <t>Volúmenes del Cuaderno SomaSUS. Sistema Único de Salud de Brasil.</t>
  </si>
  <si>
    <t>Se refere a um ambiente não totalmente enclausurado.</t>
  </si>
  <si>
    <t>Se refiere a un entorno que no está totalmente enclaustrado.</t>
  </si>
  <si>
    <t>SUS.Box</t>
  </si>
  <si>
    <t>Se refere a um ambiente fechado e pequeno, normalmente para atender pacientes.</t>
  </si>
  <si>
    <t>Se refiere a un entorno cerrado y pequeño, generalmente para atender a los pacientes.</t>
  </si>
  <si>
    <t>SUS.Consultório</t>
  </si>
  <si>
    <t>Se refere a um ambiente de tipo consultório médico.</t>
  </si>
  <si>
    <t>Se refiere a un entorno tipo consultorio médico.</t>
  </si>
  <si>
    <t>SUS.Enfermaria</t>
  </si>
  <si>
    <t>Se refere a um ambiente equipado para cumprir funcões de enfermaria.</t>
  </si>
  <si>
    <t>SUS.Laboratório</t>
  </si>
  <si>
    <t>Se refere a um ambiente equipado para cumprir funcões laboratoriais.</t>
  </si>
  <si>
    <t>Se refiere a un entorno equipado para realizar funciones de laboratorio.</t>
  </si>
  <si>
    <t>SUS.Piscina</t>
  </si>
  <si>
    <t>Se refere a um ambiente fechado ou aberto para piscinas de tratamento médico.</t>
  </si>
  <si>
    <t>Se refiere a un entorno cerrado o abierto para piscinas de tratamiento médico.</t>
  </si>
  <si>
    <t>SUS.Posto</t>
  </si>
  <si>
    <t>SUS.Quarto</t>
  </si>
  <si>
    <t>Se refere a um quarto de internação.</t>
  </si>
  <si>
    <t>Se refiere a una sala de hospitalización.</t>
  </si>
  <si>
    <t>SUS.Sala</t>
  </si>
  <si>
    <t>Se refere a uma sala para funcionar como atendimento administrativo ou técnico.</t>
  </si>
  <si>
    <t>Se refiere a una sala para funcionar como servicio administrativo o técnico.</t>
  </si>
  <si>
    <t>Dispositivos médicos usados nos hospitais do Sistema Único de Saúde do Brasil.</t>
  </si>
  <si>
    <t>Mobiliários médicos usados nos hospitais do Sistema Único de Saúde do Brasil.</t>
  </si>
  <si>
    <t>Mobiliario médico utilizado en hospitales del Sistema Único de Salud de Brasil.</t>
  </si>
  <si>
    <t>Informação</t>
  </si>
  <si>
    <t>Contêiner</t>
  </si>
  <si>
    <t>Define un contenedor de información de acuerdo con la norma NBR 19650-1.</t>
  </si>
  <si>
    <t>SUS.Caderno</t>
  </si>
  <si>
    <t>SUS.Ocupação</t>
  </si>
  <si>
    <t>SUS.Ambientes</t>
  </si>
  <si>
    <t>SUS.Funcional</t>
  </si>
  <si>
    <t>SUS.Equipamentos</t>
  </si>
  <si>
    <t>SUS.Assistência.Médica</t>
  </si>
  <si>
    <t>Se refiere a un entorno equipado para cumplir funciones de enfermería.</t>
  </si>
  <si>
    <t>Se refere a um posto de enfermagem associado a uma enfermaria.</t>
  </si>
  <si>
    <t>Se refiere a un puesto de enfermería asociado a una enfermería.</t>
  </si>
  <si>
    <t>Se refere a um zoneamento definido.</t>
  </si>
  <si>
    <t>Se refiere a una zonificación definida.</t>
  </si>
  <si>
    <t xml:space="preserve">São as Unidades funcionais do Sistema Único de Saúde do Brasil. </t>
  </si>
  <si>
    <t>Son las Unidades funcionales del Sistema Único de Salud Brasileño.</t>
  </si>
  <si>
    <t>São os Setores do Sistema Único de Saúde do Brasil.</t>
  </si>
  <si>
    <t>Son los Sectores del Sistema Único de Salud de Brasil.</t>
  </si>
  <si>
    <t>SUS.Instrumento</t>
  </si>
  <si>
    <t>Instrumento médico usados nos hospitais do Sistema Único de Saúde do Brasil.</t>
  </si>
  <si>
    <t>SUS.Mobília.de.Saúde</t>
  </si>
  <si>
    <t>Ropa de cama usada em hospitais do Sistema Único de Saúde do Brasil.</t>
  </si>
  <si>
    <t>Ropa de cama usada en hospitales del Sistema Único de Salud de Brasil.</t>
  </si>
  <si>
    <t>SUS.Alimentação</t>
  </si>
  <si>
    <t>Elementos para alimentação usados em hospitais do Sistema Único de Saúde do Brasil.</t>
  </si>
  <si>
    <t>Elementos para alimentación usados en hospitales del Sistema Único de Salud de Brasil.</t>
  </si>
  <si>
    <t>SUS.Robot</t>
  </si>
  <si>
    <t>Equipamentos médicos robóticos usados nos hospitais do Sistema Único de Saúde do Brasil.</t>
  </si>
  <si>
    <t>Equipo médico robótico utilizado en hospitales del Sistema Único de Salud de Brasil.</t>
  </si>
  <si>
    <t>Equipamentos médicos convencionais usados nos hospitais do Sistema Único de Saúde do Brasil.</t>
  </si>
  <si>
    <t>Equipo médico convencional utilizado en hospitales del Sistema Único de Salud de Brasil.</t>
  </si>
  <si>
    <t>Dispositivo médico utilizados en hospitales del Sistema Único de Salud de Brasil.</t>
  </si>
  <si>
    <t>Instrumento médico utilizados en hospitales del Sistema Único de Salud de Brasil.</t>
  </si>
  <si>
    <t>SUS.Hotelaria</t>
  </si>
  <si>
    <t>SUS.Roupa</t>
  </si>
  <si>
    <t>000 Translate Classe 5</t>
  </si>
  <si>
    <t>Prof. José Luis Menegotto DEG/POLI/UFRJ</t>
  </si>
  <si>
    <t>Explanation</t>
  </si>
  <si>
    <t>Formalizar Caderno SomaSUS elaborado pelo Sistema Único de Saúde do Brasil.</t>
  </si>
  <si>
    <t>Idioma</t>
  </si>
  <si>
    <t>pt</t>
  </si>
  <si>
    <t>es</t>
  </si>
  <si>
    <t>en</t>
  </si>
  <si>
    <t>Caderno SomaSUS elaborado pelo Sistema Único de Saúde do Brasil</t>
  </si>
  <si>
    <t>Aviso</t>
  </si>
  <si>
    <t>categoria.revit</t>
  </si>
  <si>
    <t>classe.ifc</t>
  </si>
  <si>
    <t>Advertência</t>
  </si>
  <si>
    <t>Alert</t>
  </si>
  <si>
    <t>Define um contêiner de informação de acordo à norma NBR 19650-1. Definição do Projeto.</t>
  </si>
  <si>
    <t>[ 5I.10.54.12.16 ]</t>
  </si>
  <si>
    <t>[ OST_Rooms , OST_MEPSpaces ]</t>
  </si>
  <si>
    <t>[ IfcSpace ]</t>
  </si>
  <si>
    <t>[ 4A.43.04 ]</t>
  </si>
  <si>
    <t>[ OST_Areas ]</t>
  </si>
  <si>
    <t>[ OST_MEPZone ]</t>
  </si>
  <si>
    <t>[ IfcZone ]</t>
  </si>
  <si>
    <t>[ 4U.74 ]</t>
  </si>
  <si>
    <t>[ OST_MedicalEquipment ]</t>
  </si>
  <si>
    <t>[ IfcMedicalDevice ]</t>
  </si>
  <si>
    <t>[ 2C.74 ]</t>
  </si>
  <si>
    <t>[ OST_MedicalEquipment , OST_NurseCallDevices ]</t>
  </si>
  <si>
    <t>[ OST_Furniture ]</t>
  </si>
  <si>
    <t>[ IfcFurniture ]</t>
  </si>
  <si>
    <t>Gestão</t>
  </si>
  <si>
    <t>Requisito.Espacial</t>
  </si>
  <si>
    <t>Define um contêiner de informação de acordo à norma NBR 19650-1. Requerimentos Espaciais para o Projeto.</t>
  </si>
  <si>
    <t>Requisito.Mobiliário</t>
  </si>
  <si>
    <t>Define um contêiner de informação de acordo à norma NBR 19650-1. Requerimentos Mobiliários para o Projeto.</t>
  </si>
  <si>
    <t>Requisito.Equipamento</t>
  </si>
  <si>
    <t>Define um contêiner de informação de acordo à norma NBR 19650-1. Requerimentos Equipamentos para o Projeto.</t>
  </si>
  <si>
    <t>Requisito.Sistemas</t>
  </si>
  <si>
    <t>Define um contêiner de informação de acordo à norma NBR 19650-1. Requerimentos de Sistemas Prediais para o Projeto.</t>
  </si>
  <si>
    <t>Hospitalar</t>
  </si>
  <si>
    <t>"[ 5I.10.28 ]"</t>
  </si>
  <si>
    <t>código.abnt</t>
  </si>
  <si>
    <t>"Caderno do SomaSUS"</t>
  </si>
  <si>
    <t>"Volume 1 - Atendimento Ambulatorial e Atendimento Imediato"</t>
  </si>
  <si>
    <t>"Volume 4 - Apoio ao Diagnóstico e à Terapia (Anatomia Patológica, Patologia Clínica, Hemoterapia e Hematologia, Medicina Nuclear)"</t>
  </si>
  <si>
    <t>"Volume 3 - Apoio ao Diagnóstico e à Terapia (Imagenologia)"</t>
  </si>
  <si>
    <t>"Volume 2 - Internação e Apoio ao Diagnóstico e à Terapia (Reabilitação)"</t>
  </si>
  <si>
    <t>Conceito</t>
  </si>
  <si>
    <t>Contêineres</t>
  </si>
  <si>
    <t>Arquitetura</t>
  </si>
  <si>
    <t>[ 5I ]</t>
  </si>
  <si>
    <t>"[ - ]"</t>
  </si>
  <si>
    <t>Fonte1</t>
  </si>
  <si>
    <t>https://brasil.un.org/pt-br/sdgs</t>
  </si>
  <si>
    <t>Fonte2</t>
  </si>
  <si>
    <t>https://eaesp.fgv.br/centros/centro-estudos-sustentabilidade/projetos/programa-brasileiro-ghg-protocol</t>
  </si>
  <si>
    <t>Fonte3</t>
  </si>
  <si>
    <t>https://www.gov.br/fazenda/pt-br/acesso-a-informacao/acoes-e-programas/transformacao-ecologica/transformacao-ecologica</t>
  </si>
  <si>
    <t>FonteVegetação1</t>
  </si>
  <si>
    <t>https://museunacional.ufrj.br/hortobotanico</t>
  </si>
  <si>
    <t>FonteVegetação2</t>
  </si>
  <si>
    <t>https://www.embrapa.br/florestas/publicacoes</t>
  </si>
  <si>
    <t>FonteVegetação3</t>
  </si>
  <si>
    <t>https://www.arvoresgigantes.org</t>
  </si>
  <si>
    <t>FonteVegetação4</t>
  </si>
  <si>
    <t>https://www.scielo.br/j/abb</t>
  </si>
  <si>
    <t>FonteVegetação5</t>
  </si>
  <si>
    <t>https://www.gov.br/inpa/pt-br/Pesquisa/colecoes/botanica</t>
  </si>
  <si>
    <t>FonteVegetação6</t>
  </si>
  <si>
    <t>https://botanicasaopaulo.org</t>
  </si>
  <si>
    <t>FonteVegetação7</t>
  </si>
  <si>
    <t>https://pesquisa.in.gov.br/imprensa</t>
  </si>
  <si>
    <t>FonteVegetação8</t>
  </si>
  <si>
    <t>https://mapas.florestal.gov.br</t>
  </si>
  <si>
    <t>FonteTSB</t>
  </si>
  <si>
    <t>https://www.gov.br/fazenda/pt-br/orgaos/spe/taxonomia-sustentavel-brasileira/cadernos</t>
  </si>
  <si>
    <t>FonteSINAPI</t>
  </si>
  <si>
    <t>https://www.caixa.gov.br/site/Paginas/downloads.aspx#categoria_888</t>
  </si>
  <si>
    <t>FonteSomaSUS</t>
  </si>
  <si>
    <t>https://somasus.saude.gov.br/sistema/home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</si>
</sst>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 Nova Cond Light"/>
      <family val="2"/>
    </font>
    <font>
      <b/>
      <sz val="6"/>
      <name val="Arial Nova Cond Light"/>
      <family val="2"/>
    </font>
    <font>
      <sz val="11"/>
      <color theme="1"/>
      <name val="Arial Nova Cond Light"/>
      <family val="2"/>
    </font>
    <font>
      <sz val="6"/>
      <color theme="1"/>
      <name val="Arial Nova Cond Light"/>
      <family val="2"/>
    </font>
    <font>
      <sz val="6"/>
      <name val="Arial Nova Cond Light"/>
      <family val="2"/>
    </font>
    <font>
      <i/>
      <sz val="6"/>
      <name val="Arial Nova Cond Light"/>
      <family val="2"/>
    </font>
    <font>
      <b/>
      <i/>
      <sz val="6"/>
      <name val="Arial Nova Cond Light"/>
      <family val="2"/>
    </font>
    <font>
      <b/>
      <sz val="6"/>
      <color theme="1"/>
      <name val="Arial Nova Cond Light"/>
      <family val="2"/>
    </font>
    <font>
      <b/>
      <sz val="6"/>
      <color rgb="FF000000"/>
      <name val="Arial Nova Cond Light"/>
      <family val="2"/>
    </font>
    <font>
      <b/>
      <sz val="5"/>
      <color rgb="FF000000"/>
      <name val="Arial Nova Cond Light"/>
      <family val="2"/>
    </font>
    <font>
      <u/>
      <sz val="11"/>
      <color theme="10"/>
      <name val="Calibri"/>
      <family val="2"/>
      <scheme val="minor"/>
    </font>
    <font>
      <sz val="8"/>
      <color theme="1"/>
      <name val="Arial Nova Cond"/>
      <family val="2"/>
    </font>
  </fonts>
  <fills count="2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FF"/>
        <bgColor theme="0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rgb="FFFFDE75"/>
        <bgColor rgb="FFFEF2CB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79998168889431442"/>
        <bgColor rgb="FFFFFFCC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5" tint="0.39997558519241921"/>
        <bgColor rgb="FFF6C6AD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64">
    <xf numFmtId="0" fontId="0" fillId="0" borderId="0" xfId="0"/>
    <xf numFmtId="0" fontId="4" fillId="0" borderId="0" xfId="0" applyFont="1"/>
    <xf numFmtId="0" fontId="6" fillId="3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9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22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1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3" fillId="4" borderId="3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left" vertical="center"/>
    </xf>
    <xf numFmtId="0" fontId="11" fillId="1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left" vertical="center"/>
    </xf>
    <xf numFmtId="0" fontId="2" fillId="19" borderId="1" xfId="0" applyFont="1" applyFill="1" applyBorder="1" applyAlignment="1">
      <alignment horizontal="left" vertical="center"/>
    </xf>
    <xf numFmtId="0" fontId="2" fillId="19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vertical="center"/>
    </xf>
    <xf numFmtId="0" fontId="2" fillId="21" borderId="1" xfId="0" applyFont="1" applyFill="1" applyBorder="1" applyAlignment="1">
      <alignment horizontal="left" vertical="center"/>
    </xf>
    <xf numFmtId="0" fontId="2" fillId="21" borderId="1" xfId="0" applyFont="1" applyFill="1" applyBorder="1" applyAlignment="1">
      <alignment horizontal="left" vertical="center" wrapText="1"/>
    </xf>
    <xf numFmtId="0" fontId="5" fillId="21" borderId="1" xfId="0" applyFont="1" applyFill="1" applyBorder="1" applyAlignment="1">
      <alignment horizontal="left" vertical="center"/>
    </xf>
    <xf numFmtId="0" fontId="6" fillId="22" borderId="3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vertical="center"/>
    </xf>
    <xf numFmtId="0" fontId="5" fillId="21" borderId="3" xfId="0" applyFont="1" applyFill="1" applyBorder="1" applyAlignment="1">
      <alignment vertical="center" wrapText="1"/>
    </xf>
    <xf numFmtId="0" fontId="5" fillId="21" borderId="1" xfId="0" applyFont="1" applyFill="1" applyBorder="1" applyAlignment="1">
      <alignment vertical="center" wrapText="1"/>
    </xf>
    <xf numFmtId="0" fontId="6" fillId="22" borderId="1" xfId="0" applyFont="1" applyFill="1" applyBorder="1" applyAlignment="1">
      <alignment vertical="center"/>
    </xf>
    <xf numFmtId="0" fontId="10" fillId="4" borderId="2" xfId="0" applyFont="1" applyFill="1" applyBorder="1" applyAlignment="1">
      <alignment vertical="center" wrapText="1"/>
    </xf>
    <xf numFmtId="0" fontId="2" fillId="20" borderId="1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6" fillId="23" borderId="1" xfId="0" applyFont="1" applyFill="1" applyBorder="1"/>
    <xf numFmtId="0" fontId="5" fillId="0" borderId="0" xfId="0" applyFont="1"/>
    <xf numFmtId="0" fontId="6" fillId="0" borderId="1" xfId="1" applyFont="1" applyBorder="1" applyAlignment="1">
      <alignment horizontal="left" vertical="center"/>
    </xf>
    <xf numFmtId="0" fontId="6" fillId="0" borderId="1" xfId="1" applyFont="1" applyFill="1" applyBorder="1" applyAlignment="1">
      <alignment vertical="center"/>
    </xf>
    <xf numFmtId="0" fontId="6" fillId="0" borderId="1" xfId="0" applyFont="1" applyBorder="1"/>
    <xf numFmtId="0" fontId="6" fillId="0" borderId="1" xfId="1" applyFont="1" applyBorder="1" applyAlignment="1">
      <alignment vertical="center" wrapText="1"/>
    </xf>
    <xf numFmtId="22" fontId="6" fillId="0" borderId="1" xfId="1" applyNumberFormat="1" applyFont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24"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6" Type="http://schemas.openxmlformats.org/officeDocument/2006/relationships/hyperlink" Target="https://somasus.saude.gov.br/sistema/home" TargetMode="External"/><Relationship Id="rId5" Type="http://schemas.openxmlformats.org/officeDocument/2006/relationships/hyperlink" Target="https://www.caixa.gov.br/site/Paginas/downloads.aspx" TargetMode="External"/><Relationship Id="rId4" Type="http://schemas.openxmlformats.org/officeDocument/2006/relationships/hyperlink" Target="https://www.gov.br/fazenda/pt-br/orgaos/spe/taxonomia-sustentavel-brasileira/caderno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93FB0-44DC-47E8-B3E0-611685D282EA}">
  <sheetPr codeName="Planilha1"/>
  <dimension ref="A1:C40"/>
  <sheetViews>
    <sheetView tabSelected="1" zoomScale="220" zoomScaleNormal="220" workbookViewId="0">
      <pane ySplit="1" topLeftCell="A25" activePane="bottomLeft" state="frozen"/>
      <selection pane="bottomLeft" activeCell="B41" sqref="B41"/>
    </sheetView>
  </sheetViews>
  <sheetFormatPr defaultRowHeight="10.4" customHeight="1" x14ac:dyDescent="0.4"/>
  <cols>
    <col min="1" max="1" width="8.3828125" customWidth="1"/>
    <col min="2" max="2" width="48.84375" bestFit="1" customWidth="1"/>
    <col min="3" max="3" width="3.3828125" bestFit="1" customWidth="1"/>
  </cols>
  <sheetData>
    <row r="1" spans="1:3" ht="21.65" customHeight="1" x14ac:dyDescent="0.4">
      <c r="A1" s="13" t="s">
        <v>47</v>
      </c>
      <c r="B1" s="13" t="s">
        <v>48</v>
      </c>
      <c r="C1" s="35" t="s">
        <v>168</v>
      </c>
    </row>
    <row r="2" spans="1:3" ht="7.95" customHeight="1" x14ac:dyDescent="0.4">
      <c r="A2" s="14" t="s">
        <v>49</v>
      </c>
      <c r="B2" s="14" t="s">
        <v>97</v>
      </c>
      <c r="C2" s="36" t="s">
        <v>169</v>
      </c>
    </row>
    <row r="3" spans="1:3" ht="7.95" customHeight="1" x14ac:dyDescent="0.4">
      <c r="A3" s="14" t="s">
        <v>50</v>
      </c>
      <c r="B3" s="15" t="s">
        <v>77</v>
      </c>
      <c r="C3" s="36" t="s">
        <v>169</v>
      </c>
    </row>
    <row r="4" spans="1:3" ht="7.95" customHeight="1" x14ac:dyDescent="0.4">
      <c r="A4" s="14" t="s">
        <v>51</v>
      </c>
      <c r="B4" s="14" t="s">
        <v>25</v>
      </c>
      <c r="C4" s="36" t="s">
        <v>169</v>
      </c>
    </row>
    <row r="5" spans="1:3" ht="7.95" customHeight="1" x14ac:dyDescent="0.4">
      <c r="A5" s="14" t="s">
        <v>52</v>
      </c>
      <c r="B5" s="14" t="str">
        <f>_xlfn.CONCAT(B4,"Prop")</f>
        <v>BIMProp</v>
      </c>
      <c r="C5" s="36" t="s">
        <v>169</v>
      </c>
    </row>
    <row r="6" spans="1:3" ht="7.95" customHeight="1" x14ac:dyDescent="0.4">
      <c r="A6" s="14" t="s">
        <v>53</v>
      </c>
      <c r="B6" s="14" t="str">
        <f>_xlfn.CONCAT(B4,"Data")</f>
        <v>BIMData</v>
      </c>
      <c r="C6" s="36" t="s">
        <v>169</v>
      </c>
    </row>
    <row r="7" spans="1:3" ht="7.95" customHeight="1" x14ac:dyDescent="0.4">
      <c r="A7" s="14" t="s">
        <v>54</v>
      </c>
      <c r="B7" s="14" t="s">
        <v>55</v>
      </c>
      <c r="C7" s="36" t="s">
        <v>169</v>
      </c>
    </row>
    <row r="8" spans="1:3" ht="7.95" customHeight="1" x14ac:dyDescent="0.4">
      <c r="A8" s="14" t="s">
        <v>56</v>
      </c>
      <c r="B8" s="14" t="s">
        <v>165</v>
      </c>
      <c r="C8" s="36" t="s">
        <v>169</v>
      </c>
    </row>
    <row r="9" spans="1:3" ht="7.95" customHeight="1" x14ac:dyDescent="0.4">
      <c r="A9" s="14" t="s">
        <v>57</v>
      </c>
      <c r="B9" s="14" t="s">
        <v>58</v>
      </c>
      <c r="C9" s="36" t="s">
        <v>169</v>
      </c>
    </row>
    <row r="10" spans="1:3" ht="7.95" customHeight="1" x14ac:dyDescent="0.4">
      <c r="A10" s="14" t="s">
        <v>59</v>
      </c>
      <c r="B10" s="14" t="s">
        <v>60</v>
      </c>
      <c r="C10" s="36" t="s">
        <v>169</v>
      </c>
    </row>
    <row r="11" spans="1:3" ht="7.95" customHeight="1" x14ac:dyDescent="0.4">
      <c r="A11" s="14" t="s">
        <v>61</v>
      </c>
      <c r="B11" s="14" t="s">
        <v>60</v>
      </c>
      <c r="C11" s="36" t="s">
        <v>169</v>
      </c>
    </row>
    <row r="12" spans="1:3" ht="7.95" customHeight="1" x14ac:dyDescent="0.4">
      <c r="A12" s="14" t="s">
        <v>62</v>
      </c>
      <c r="B12" s="14" t="s">
        <v>60</v>
      </c>
      <c r="C12" s="36" t="s">
        <v>169</v>
      </c>
    </row>
    <row r="13" spans="1:3" ht="7.95" customHeight="1" x14ac:dyDescent="0.4">
      <c r="A13" s="14" t="s">
        <v>63</v>
      </c>
      <c r="B13" s="16" t="s">
        <v>82</v>
      </c>
      <c r="C13" s="36" t="s">
        <v>169</v>
      </c>
    </row>
    <row r="14" spans="1:3" ht="7.95" customHeight="1" x14ac:dyDescent="0.4">
      <c r="A14" s="14" t="s">
        <v>64</v>
      </c>
      <c r="B14" s="14" t="s">
        <v>60</v>
      </c>
      <c r="C14" s="36" t="s">
        <v>169</v>
      </c>
    </row>
    <row r="15" spans="1:3" ht="7.95" customHeight="1" x14ac:dyDescent="0.4">
      <c r="A15" s="14" t="s">
        <v>65</v>
      </c>
      <c r="B15" s="14" t="s">
        <v>60</v>
      </c>
      <c r="C15" s="36" t="s">
        <v>169</v>
      </c>
    </row>
    <row r="16" spans="1:3" ht="7.95" customHeight="1" x14ac:dyDescent="0.4">
      <c r="A16" s="14" t="s">
        <v>66</v>
      </c>
      <c r="B16" s="14" t="s">
        <v>60</v>
      </c>
      <c r="C16" s="36" t="s">
        <v>169</v>
      </c>
    </row>
    <row r="17" spans="1:3" ht="7.95" customHeight="1" x14ac:dyDescent="0.4">
      <c r="A17" s="14" t="s">
        <v>67</v>
      </c>
      <c r="B17" s="15" t="s">
        <v>68</v>
      </c>
      <c r="C17" s="36" t="s">
        <v>169</v>
      </c>
    </row>
    <row r="18" spans="1:3" ht="7.95" customHeight="1" x14ac:dyDescent="0.4">
      <c r="A18" s="14" t="s">
        <v>69</v>
      </c>
      <c r="B18" s="17">
        <f ca="1">NOW()</f>
        <v>46233.491116319441</v>
      </c>
      <c r="C18" s="36" t="s">
        <v>169</v>
      </c>
    </row>
    <row r="19" spans="1:3" ht="7.95" customHeight="1" x14ac:dyDescent="0.4">
      <c r="A19" s="14" t="s">
        <v>70</v>
      </c>
      <c r="B19" s="14" t="s">
        <v>60</v>
      </c>
      <c r="C19" s="36" t="s">
        <v>169</v>
      </c>
    </row>
    <row r="20" spans="1:3" ht="7.95" customHeight="1" x14ac:dyDescent="0.4">
      <c r="A20" s="14" t="s">
        <v>71</v>
      </c>
      <c r="B20" s="14" t="s">
        <v>60</v>
      </c>
      <c r="C20" s="36" t="s">
        <v>169</v>
      </c>
    </row>
    <row r="21" spans="1:3" ht="7.95" customHeight="1" x14ac:dyDescent="0.4">
      <c r="A21" s="16" t="s">
        <v>176</v>
      </c>
      <c r="B21" s="15" t="s">
        <v>172</v>
      </c>
      <c r="C21" s="36" t="s">
        <v>169</v>
      </c>
    </row>
    <row r="22" spans="1:3" ht="7.95" customHeight="1" x14ac:dyDescent="0.4">
      <c r="A22" s="14" t="s">
        <v>173</v>
      </c>
      <c r="B22" s="17" t="str">
        <f>_xlfn.TRANSLATE(B21,"pt","es")</f>
        <v>Cuaderno SomaSUS preparado por el Sistema Unificado de Salud de Brasil</v>
      </c>
      <c r="C22" s="36" t="s">
        <v>170</v>
      </c>
    </row>
    <row r="23" spans="1:3" ht="7.95" customHeight="1" x14ac:dyDescent="0.4">
      <c r="A23" s="14" t="s">
        <v>177</v>
      </c>
      <c r="B23" s="17" t="str">
        <f>_xlfn.TRANSLATE(B22,"pt","en")</f>
        <v>Cuaderno SomaSUS prepared by the Unified Health System of Brazil</v>
      </c>
      <c r="C23" s="36" t="s">
        <v>171</v>
      </c>
    </row>
    <row r="24" spans="1:3" ht="7.95" customHeight="1" x14ac:dyDescent="0.4">
      <c r="A24" s="16" t="s">
        <v>72</v>
      </c>
      <c r="B24" s="18" t="s">
        <v>167</v>
      </c>
      <c r="C24" s="36" t="s">
        <v>169</v>
      </c>
    </row>
    <row r="25" spans="1:3" ht="7.95" customHeight="1" x14ac:dyDescent="0.4">
      <c r="A25" s="16" t="s">
        <v>73</v>
      </c>
      <c r="B25" s="18" t="s">
        <v>74</v>
      </c>
      <c r="C25" s="36" t="s">
        <v>170</v>
      </c>
    </row>
    <row r="26" spans="1:3" ht="7.95" customHeight="1" x14ac:dyDescent="0.4">
      <c r="A26" s="16" t="s">
        <v>166</v>
      </c>
      <c r="B26" s="18" t="str">
        <f>_xlfn.TRANSLATE(B24,"pt","en")</f>
        <v>Formalize the SomaSUS Notebook prepared by the Unified Health System of Brazil.</v>
      </c>
      <c r="C26" s="36" t="s">
        <v>171</v>
      </c>
    </row>
    <row r="27" spans="1:3" ht="8.25" customHeight="1" x14ac:dyDescent="0.4">
      <c r="A27" s="14" t="s">
        <v>215</v>
      </c>
      <c r="B27" s="59" t="s">
        <v>216</v>
      </c>
      <c r="C27" s="36" t="s">
        <v>169</v>
      </c>
    </row>
    <row r="28" spans="1:3" ht="8.25" customHeight="1" x14ac:dyDescent="0.4">
      <c r="A28" s="14" t="s">
        <v>217</v>
      </c>
      <c r="B28" s="60" t="s">
        <v>218</v>
      </c>
      <c r="C28" s="36" t="s">
        <v>169</v>
      </c>
    </row>
    <row r="29" spans="1:3" ht="8.25" customHeight="1" x14ac:dyDescent="0.4">
      <c r="A29" s="14" t="s">
        <v>219</v>
      </c>
      <c r="B29" s="60" t="s">
        <v>220</v>
      </c>
      <c r="C29" s="36" t="s">
        <v>169</v>
      </c>
    </row>
    <row r="30" spans="1:3" s="56" customFormat="1" ht="8.25" customHeight="1" x14ac:dyDescent="0.2">
      <c r="A30" s="14" t="s">
        <v>221</v>
      </c>
      <c r="B30" s="61" t="s">
        <v>222</v>
      </c>
      <c r="C30" s="36" t="s">
        <v>169</v>
      </c>
    </row>
    <row r="31" spans="1:3" s="56" customFormat="1" ht="8.25" customHeight="1" x14ac:dyDescent="0.2">
      <c r="A31" s="14" t="s">
        <v>223</v>
      </c>
      <c r="B31" s="61" t="s">
        <v>224</v>
      </c>
      <c r="C31" s="36" t="s">
        <v>169</v>
      </c>
    </row>
    <row r="32" spans="1:3" s="56" customFormat="1" ht="8.25" customHeight="1" x14ac:dyDescent="0.2">
      <c r="A32" s="14" t="s">
        <v>225</v>
      </c>
      <c r="B32" s="61" t="s">
        <v>226</v>
      </c>
      <c r="C32" s="36" t="s">
        <v>169</v>
      </c>
    </row>
    <row r="33" spans="1:3" s="56" customFormat="1" ht="8.25" customHeight="1" x14ac:dyDescent="0.2">
      <c r="A33" s="14" t="s">
        <v>227</v>
      </c>
      <c r="B33" s="57" t="s">
        <v>228</v>
      </c>
      <c r="C33" s="36" t="s">
        <v>169</v>
      </c>
    </row>
    <row r="34" spans="1:3" s="56" customFormat="1" ht="8.25" customHeight="1" x14ac:dyDescent="0.2">
      <c r="A34" s="14" t="s">
        <v>229</v>
      </c>
      <c r="B34" s="57" t="s">
        <v>230</v>
      </c>
      <c r="C34" s="36" t="s">
        <v>169</v>
      </c>
    </row>
    <row r="35" spans="1:3" s="56" customFormat="1" ht="8.25" customHeight="1" x14ac:dyDescent="0.2">
      <c r="A35" s="14" t="s">
        <v>231</v>
      </c>
      <c r="B35" s="61" t="s">
        <v>232</v>
      </c>
      <c r="C35" s="36" t="s">
        <v>169</v>
      </c>
    </row>
    <row r="36" spans="1:3" s="56" customFormat="1" ht="8.25" customHeight="1" x14ac:dyDescent="0.2">
      <c r="A36" s="14" t="s">
        <v>233</v>
      </c>
      <c r="B36" s="57" t="s">
        <v>234</v>
      </c>
      <c r="C36" s="36" t="s">
        <v>169</v>
      </c>
    </row>
    <row r="37" spans="1:3" s="56" customFormat="1" ht="8.25" customHeight="1" x14ac:dyDescent="0.2">
      <c r="A37" s="14" t="s">
        <v>235</v>
      </c>
      <c r="B37" s="61" t="s">
        <v>236</v>
      </c>
      <c r="C37" s="36" t="s">
        <v>169</v>
      </c>
    </row>
    <row r="38" spans="1:3" ht="10" customHeight="1" x14ac:dyDescent="0.4">
      <c r="A38" s="16" t="s">
        <v>237</v>
      </c>
      <c r="B38" s="62" t="s">
        <v>238</v>
      </c>
      <c r="C38" s="36" t="s">
        <v>169</v>
      </c>
    </row>
    <row r="39" spans="1:3" s="58" customFormat="1" ht="9.65" customHeight="1" x14ac:dyDescent="0.2">
      <c r="A39" s="14" t="s">
        <v>239</v>
      </c>
      <c r="B39" s="63" t="s">
        <v>240</v>
      </c>
      <c r="C39" s="36" t="s">
        <v>169</v>
      </c>
    </row>
    <row r="40" spans="1:3" s="58" customFormat="1" ht="9.65" customHeight="1" x14ac:dyDescent="0.2">
      <c r="A40" s="14" t="s">
        <v>241</v>
      </c>
      <c r="B40" s="63" t="s">
        <v>242</v>
      </c>
      <c r="C40" s="36" t="s">
        <v>169</v>
      </c>
    </row>
  </sheetData>
  <hyperlinks>
    <hyperlink ref="B27" r:id="rId1" xr:uid="{5459870A-EA88-4D94-AECD-FB25ABC9E3FC}"/>
    <hyperlink ref="B29" r:id="rId2" xr:uid="{517B939F-01A7-4003-85A6-6C122E4F286F}"/>
    <hyperlink ref="B28" r:id="rId3" xr:uid="{79B7ECCC-039C-4CB2-AB5A-86C571F94E9E}"/>
    <hyperlink ref="B38" r:id="rId4" xr:uid="{601C1702-E1F4-4441-A0A3-884453A34A55}"/>
    <hyperlink ref="B39" r:id="rId5" location="categoria_888" xr:uid="{980343AA-51B7-4173-B919-F6A27B8E831B}"/>
    <hyperlink ref="B40" r:id="rId6" xr:uid="{D7BD13C7-FFD2-43AB-8F15-8A3AFF357A49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1939-68E5-4BC3-8236-D740835F34B0}">
  <sheetPr codeName="Planilha2"/>
  <dimension ref="A1:AA27"/>
  <sheetViews>
    <sheetView zoomScale="235" zoomScaleNormal="235" workbookViewId="0">
      <pane ySplit="1" topLeftCell="A2" activePane="bottomLeft" state="frozen"/>
      <selection pane="bottomLeft" activeCell="B4" sqref="B4"/>
    </sheetView>
  </sheetViews>
  <sheetFormatPr defaultColWidth="8.84375" defaultRowHeight="7.95" customHeight="1" x14ac:dyDescent="0.35"/>
  <cols>
    <col min="1" max="1" width="2.15234375" style="1" customWidth="1"/>
    <col min="2" max="2" width="4.3828125" style="8" customWidth="1"/>
    <col min="3" max="3" width="5.53515625" style="1" customWidth="1"/>
    <col min="4" max="4" width="10.15234375" style="1" customWidth="1"/>
    <col min="5" max="5" width="9.15234375" style="1" customWidth="1"/>
    <col min="6" max="6" width="11.15234375" style="1" customWidth="1"/>
    <col min="7" max="11" width="6.84375" style="1" customWidth="1"/>
    <col min="12" max="12" width="5" style="8" bestFit="1" customWidth="1"/>
    <col min="13" max="13" width="11.15234375" style="8" customWidth="1"/>
    <col min="14" max="14" width="9.3046875" style="8" customWidth="1"/>
    <col min="15" max="15" width="10.84375" style="8" customWidth="1"/>
    <col min="16" max="16" width="37.69140625" style="1" bestFit="1" customWidth="1"/>
    <col min="17" max="17" width="38.69140625" style="1" customWidth="1"/>
    <col min="18" max="18" width="4.15234375" style="1" customWidth="1"/>
    <col min="19" max="19" width="11.69140625" style="1" customWidth="1"/>
    <col min="20" max="20" width="8.3828125" style="1" customWidth="1"/>
    <col min="21" max="21" width="9.84375" style="1" customWidth="1"/>
    <col min="22" max="22" width="8.84375" style="1" customWidth="1"/>
    <col min="23" max="23" width="6.3828125" style="1" bestFit="1" customWidth="1"/>
    <col min="24" max="24" width="21.3046875" style="1" customWidth="1"/>
    <col min="25" max="25" width="8.84375" style="1" customWidth="1"/>
    <col min="26" max="26" width="9.3828125" style="1" customWidth="1"/>
    <col min="27" max="27" width="49.69140625" style="1" bestFit="1" customWidth="1"/>
    <col min="28" max="16384" width="8.84375" style="1"/>
  </cols>
  <sheetData>
    <row r="1" spans="1:27" s="3" customFormat="1" ht="39" customHeight="1" x14ac:dyDescent="0.4">
      <c r="A1" s="26" t="s">
        <v>46</v>
      </c>
      <c r="B1" s="27" t="s">
        <v>26</v>
      </c>
      <c r="C1" s="27" t="s">
        <v>27</v>
      </c>
      <c r="D1" s="27" t="s">
        <v>28</v>
      </c>
      <c r="E1" s="27" t="s">
        <v>29</v>
      </c>
      <c r="F1" s="27" t="s">
        <v>30</v>
      </c>
      <c r="G1" s="34" t="s">
        <v>31</v>
      </c>
      <c r="H1" s="34" t="s">
        <v>32</v>
      </c>
      <c r="I1" s="34" t="s">
        <v>33</v>
      </c>
      <c r="J1" s="34" t="s">
        <v>34</v>
      </c>
      <c r="K1" s="34" t="s">
        <v>35</v>
      </c>
      <c r="L1" s="28" t="s">
        <v>36</v>
      </c>
      <c r="M1" s="28" t="s">
        <v>37</v>
      </c>
      <c r="N1" s="28" t="s">
        <v>38</v>
      </c>
      <c r="O1" s="28" t="s">
        <v>39</v>
      </c>
      <c r="P1" s="28" t="s">
        <v>40</v>
      </c>
      <c r="Q1" s="28" t="s">
        <v>41</v>
      </c>
      <c r="R1" s="29" t="s">
        <v>85</v>
      </c>
      <c r="S1" s="28" t="s">
        <v>42</v>
      </c>
      <c r="T1" s="28" t="s">
        <v>43</v>
      </c>
      <c r="U1" s="28" t="s">
        <v>44</v>
      </c>
      <c r="V1" s="28" t="s">
        <v>45</v>
      </c>
      <c r="W1" s="54" t="s">
        <v>0</v>
      </c>
      <c r="X1" s="28" t="s">
        <v>98</v>
      </c>
      <c r="Y1" s="28" t="s">
        <v>99</v>
      </c>
      <c r="Z1" s="28" t="s">
        <v>100</v>
      </c>
      <c r="AA1" s="39" t="s">
        <v>164</v>
      </c>
    </row>
    <row r="2" spans="1:27" customFormat="1" ht="6" customHeight="1" x14ac:dyDescent="0.4">
      <c r="A2" s="40">
        <v>2</v>
      </c>
      <c r="B2" s="46" t="s">
        <v>210</v>
      </c>
      <c r="C2" s="46" t="s">
        <v>193</v>
      </c>
      <c r="D2" s="46" t="s">
        <v>129</v>
      </c>
      <c r="E2" s="47" t="s">
        <v>211</v>
      </c>
      <c r="F2" s="47" t="s">
        <v>130</v>
      </c>
      <c r="G2" s="41" t="s">
        <v>1</v>
      </c>
      <c r="H2" s="41" t="s">
        <v>1</v>
      </c>
      <c r="I2" s="41" t="s">
        <v>1</v>
      </c>
      <c r="J2" s="41" t="s">
        <v>1</v>
      </c>
      <c r="K2" s="41" t="s">
        <v>1</v>
      </c>
      <c r="L2" s="42" t="str">
        <f t="shared" ref="L2:M6" si="0">CONCATENATE("", C2)</f>
        <v>Gestão</v>
      </c>
      <c r="M2" s="42" t="str">
        <f t="shared" si="0"/>
        <v>Informação</v>
      </c>
      <c r="N2" s="42" t="str">
        <f t="shared" ref="N2:O6" si="1">(SUBSTITUTE(SUBSTITUTE(CONCATENATE("",E2),"."," ")," De "," de "))</f>
        <v>Contêineres</v>
      </c>
      <c r="O2" s="42" t="str">
        <f t="shared" si="1"/>
        <v>Contêiner</v>
      </c>
      <c r="P2" s="43" t="s">
        <v>178</v>
      </c>
      <c r="Q2" s="43" t="s">
        <v>131</v>
      </c>
      <c r="R2" s="45" t="s">
        <v>1</v>
      </c>
      <c r="S2" s="45" t="str">
        <f t="shared" ref="S2:U6" si="2">SUBSTITUTE(C2, ".", " ")</f>
        <v>Gestão</v>
      </c>
      <c r="T2" s="45" t="str">
        <f t="shared" si="2"/>
        <v>Informação</v>
      </c>
      <c r="U2" s="45" t="str">
        <f t="shared" si="2"/>
        <v>Contêineres</v>
      </c>
      <c r="V2" s="43" t="s">
        <v>212</v>
      </c>
      <c r="W2" s="55" t="str">
        <f t="shared" ref="W2:W27" si="3">CONCATENATE("Key-SUS-",A2)</f>
        <v>Key-SUS-2</v>
      </c>
      <c r="X2" s="43" t="s">
        <v>1</v>
      </c>
      <c r="Y2" s="43" t="s">
        <v>1</v>
      </c>
      <c r="Z2" s="44" t="s">
        <v>213</v>
      </c>
      <c r="AA2" s="43" t="str">
        <f t="shared" ref="AA2:AA6" si="4">_xlfn.TRANSLATE(P2,"pt","en")</f>
        <v>Defines an information container in accordance with the NBR 19650-1 standard. Project Definition.</v>
      </c>
    </row>
    <row r="3" spans="1:27" customFormat="1" ht="6" customHeight="1" x14ac:dyDescent="0.4">
      <c r="A3" s="40">
        <v>3</v>
      </c>
      <c r="B3" s="46" t="s">
        <v>210</v>
      </c>
      <c r="C3" s="46" t="s">
        <v>193</v>
      </c>
      <c r="D3" s="46" t="s">
        <v>129</v>
      </c>
      <c r="E3" s="47" t="s">
        <v>211</v>
      </c>
      <c r="F3" s="47" t="s">
        <v>194</v>
      </c>
      <c r="G3" s="41" t="s">
        <v>1</v>
      </c>
      <c r="H3" s="41" t="s">
        <v>1</v>
      </c>
      <c r="I3" s="41" t="s">
        <v>1</v>
      </c>
      <c r="J3" s="41" t="s">
        <v>1</v>
      </c>
      <c r="K3" s="41" t="s">
        <v>1</v>
      </c>
      <c r="L3" s="42" t="str">
        <f t="shared" si="0"/>
        <v>Gestão</v>
      </c>
      <c r="M3" s="42" t="str">
        <f t="shared" si="0"/>
        <v>Informação</v>
      </c>
      <c r="N3" s="42" t="str">
        <f t="shared" si="1"/>
        <v>Contêineres</v>
      </c>
      <c r="O3" s="42" t="str">
        <f t="shared" si="1"/>
        <v>Requisito Espacial</v>
      </c>
      <c r="P3" s="43" t="s">
        <v>195</v>
      </c>
      <c r="Q3" s="43" t="s">
        <v>131</v>
      </c>
      <c r="R3" s="45" t="s">
        <v>1</v>
      </c>
      <c r="S3" s="45" t="str">
        <f t="shared" si="2"/>
        <v>Gestão</v>
      </c>
      <c r="T3" s="45" t="str">
        <f t="shared" si="2"/>
        <v>Informação</v>
      </c>
      <c r="U3" s="45" t="str">
        <f t="shared" si="2"/>
        <v>Contêineres</v>
      </c>
      <c r="V3" s="43" t="s">
        <v>212</v>
      </c>
      <c r="W3" s="55" t="str">
        <f t="shared" si="3"/>
        <v>Key-SUS-3</v>
      </c>
      <c r="X3" s="43" t="s">
        <v>1</v>
      </c>
      <c r="Y3" s="45" t="s">
        <v>1</v>
      </c>
      <c r="Z3" s="44" t="s">
        <v>1</v>
      </c>
      <c r="AA3" s="43" t="str">
        <f t="shared" si="4"/>
        <v>Defines an information container in accordance with the NBR 19650-1 standard. Spatial Requirements for the Project.</v>
      </c>
    </row>
    <row r="4" spans="1:27" customFormat="1" ht="6" customHeight="1" x14ac:dyDescent="0.4">
      <c r="A4" s="40">
        <v>4</v>
      </c>
      <c r="B4" s="46" t="s">
        <v>210</v>
      </c>
      <c r="C4" s="46" t="s">
        <v>193</v>
      </c>
      <c r="D4" s="46" t="s">
        <v>129</v>
      </c>
      <c r="E4" s="47" t="s">
        <v>211</v>
      </c>
      <c r="F4" s="47" t="s">
        <v>196</v>
      </c>
      <c r="G4" s="41" t="s">
        <v>1</v>
      </c>
      <c r="H4" s="41" t="s">
        <v>1</v>
      </c>
      <c r="I4" s="41" t="s">
        <v>1</v>
      </c>
      <c r="J4" s="41" t="s">
        <v>1</v>
      </c>
      <c r="K4" s="41" t="s">
        <v>1</v>
      </c>
      <c r="L4" s="42" t="str">
        <f t="shared" si="0"/>
        <v>Gestão</v>
      </c>
      <c r="M4" s="42" t="str">
        <f t="shared" si="0"/>
        <v>Informação</v>
      </c>
      <c r="N4" s="42" t="str">
        <f t="shared" si="1"/>
        <v>Contêineres</v>
      </c>
      <c r="O4" s="42" t="str">
        <f t="shared" si="1"/>
        <v>Requisito Mobiliário</v>
      </c>
      <c r="P4" s="43" t="s">
        <v>197</v>
      </c>
      <c r="Q4" s="43" t="s">
        <v>131</v>
      </c>
      <c r="R4" s="45" t="s">
        <v>1</v>
      </c>
      <c r="S4" s="45" t="str">
        <f t="shared" si="2"/>
        <v>Gestão</v>
      </c>
      <c r="T4" s="45" t="str">
        <f t="shared" si="2"/>
        <v>Informação</v>
      </c>
      <c r="U4" s="45" t="str">
        <f t="shared" si="2"/>
        <v>Contêineres</v>
      </c>
      <c r="V4" s="43" t="s">
        <v>212</v>
      </c>
      <c r="W4" s="55" t="str">
        <f t="shared" si="3"/>
        <v>Key-SUS-4</v>
      </c>
      <c r="X4" s="43" t="s">
        <v>1</v>
      </c>
      <c r="Y4" s="45" t="s">
        <v>1</v>
      </c>
      <c r="Z4" s="44" t="s">
        <v>1</v>
      </c>
      <c r="AA4" s="43" t="str">
        <f t="shared" si="4"/>
        <v>Defines an information container in accordance with the NBR 19650-1 standard. Furniture Requirements for the Project.</v>
      </c>
    </row>
    <row r="5" spans="1:27" customFormat="1" ht="6" customHeight="1" x14ac:dyDescent="0.4">
      <c r="A5" s="40">
        <v>5</v>
      </c>
      <c r="B5" s="46" t="s">
        <v>210</v>
      </c>
      <c r="C5" s="46" t="s">
        <v>193</v>
      </c>
      <c r="D5" s="46" t="s">
        <v>129</v>
      </c>
      <c r="E5" s="47" t="s">
        <v>211</v>
      </c>
      <c r="F5" s="47" t="s">
        <v>198</v>
      </c>
      <c r="G5" s="41" t="s">
        <v>1</v>
      </c>
      <c r="H5" s="41" t="s">
        <v>1</v>
      </c>
      <c r="I5" s="41" t="s">
        <v>1</v>
      </c>
      <c r="J5" s="41" t="s">
        <v>1</v>
      </c>
      <c r="K5" s="41" t="s">
        <v>1</v>
      </c>
      <c r="L5" s="42" t="str">
        <f t="shared" si="0"/>
        <v>Gestão</v>
      </c>
      <c r="M5" s="42" t="str">
        <f t="shared" si="0"/>
        <v>Informação</v>
      </c>
      <c r="N5" s="42" t="str">
        <f t="shared" si="1"/>
        <v>Contêineres</v>
      </c>
      <c r="O5" s="42" t="str">
        <f t="shared" si="1"/>
        <v>Requisito Equipamento</v>
      </c>
      <c r="P5" s="43" t="s">
        <v>199</v>
      </c>
      <c r="Q5" s="43" t="s">
        <v>131</v>
      </c>
      <c r="R5" s="45" t="s">
        <v>1</v>
      </c>
      <c r="S5" s="45" t="str">
        <f t="shared" si="2"/>
        <v>Gestão</v>
      </c>
      <c r="T5" s="45" t="str">
        <f t="shared" si="2"/>
        <v>Informação</v>
      </c>
      <c r="U5" s="45" t="str">
        <f t="shared" si="2"/>
        <v>Contêineres</v>
      </c>
      <c r="V5" s="43" t="s">
        <v>212</v>
      </c>
      <c r="W5" s="55" t="str">
        <f t="shared" si="3"/>
        <v>Key-SUS-5</v>
      </c>
      <c r="X5" s="43" t="s">
        <v>1</v>
      </c>
      <c r="Y5" s="45" t="s">
        <v>1</v>
      </c>
      <c r="Z5" s="44" t="s">
        <v>1</v>
      </c>
      <c r="AA5" s="43" t="str">
        <f t="shared" si="4"/>
        <v>Defines an information container in accordance with the NBR 19650-1 standard. Equipment Requirements for the Project.</v>
      </c>
    </row>
    <row r="6" spans="1:27" customFormat="1" ht="6" customHeight="1" x14ac:dyDescent="0.4">
      <c r="A6" s="40">
        <v>6</v>
      </c>
      <c r="B6" s="46" t="s">
        <v>210</v>
      </c>
      <c r="C6" s="46" t="s">
        <v>193</v>
      </c>
      <c r="D6" s="46" t="s">
        <v>129</v>
      </c>
      <c r="E6" s="47" t="s">
        <v>211</v>
      </c>
      <c r="F6" s="47" t="s">
        <v>200</v>
      </c>
      <c r="G6" s="41" t="s">
        <v>1</v>
      </c>
      <c r="H6" s="41" t="s">
        <v>1</v>
      </c>
      <c r="I6" s="41" t="s">
        <v>1</v>
      </c>
      <c r="J6" s="41" t="s">
        <v>1</v>
      </c>
      <c r="K6" s="41" t="s">
        <v>1</v>
      </c>
      <c r="L6" s="42" t="str">
        <f t="shared" si="0"/>
        <v>Gestão</v>
      </c>
      <c r="M6" s="42" t="str">
        <f t="shared" si="0"/>
        <v>Informação</v>
      </c>
      <c r="N6" s="42" t="str">
        <f t="shared" si="1"/>
        <v>Contêineres</v>
      </c>
      <c r="O6" s="42" t="str">
        <f t="shared" si="1"/>
        <v>Requisito Sistemas</v>
      </c>
      <c r="P6" s="43" t="s">
        <v>201</v>
      </c>
      <c r="Q6" s="43" t="s">
        <v>131</v>
      </c>
      <c r="R6" s="45" t="s">
        <v>1</v>
      </c>
      <c r="S6" s="45" t="str">
        <f t="shared" si="2"/>
        <v>Gestão</v>
      </c>
      <c r="T6" s="45" t="str">
        <f t="shared" si="2"/>
        <v>Informação</v>
      </c>
      <c r="U6" s="45" t="str">
        <f t="shared" si="2"/>
        <v>Contêineres</v>
      </c>
      <c r="V6" s="43" t="s">
        <v>212</v>
      </c>
      <c r="W6" s="55" t="str">
        <f t="shared" si="3"/>
        <v>Key-SUS-6</v>
      </c>
      <c r="X6" s="43" t="s">
        <v>1</v>
      </c>
      <c r="Y6" s="45" t="s">
        <v>1</v>
      </c>
      <c r="Z6" s="44" t="s">
        <v>1</v>
      </c>
      <c r="AA6" s="43" t="str">
        <f t="shared" si="4"/>
        <v>Defines an information container in accordance with the NBR 19650-1 standard. Building Systems Requirements for the Project.</v>
      </c>
    </row>
    <row r="7" spans="1:27" ht="6" customHeight="1" x14ac:dyDescent="0.35">
      <c r="A7" s="40">
        <v>7</v>
      </c>
      <c r="B7" s="46" t="s">
        <v>210</v>
      </c>
      <c r="C7" s="47" t="s">
        <v>93</v>
      </c>
      <c r="D7" s="48" t="s">
        <v>132</v>
      </c>
      <c r="E7" s="48" t="s">
        <v>14</v>
      </c>
      <c r="F7" s="49" t="s">
        <v>96</v>
      </c>
      <c r="G7" s="41" t="s">
        <v>1</v>
      </c>
      <c r="H7" s="41" t="s">
        <v>1</v>
      </c>
      <c r="I7" s="41" t="s">
        <v>1</v>
      </c>
      <c r="J7" s="41" t="s">
        <v>1</v>
      </c>
      <c r="K7" s="41" t="s">
        <v>1</v>
      </c>
      <c r="L7" s="42" t="str">
        <f t="shared" ref="L7:N26" si="5">CONCATENATE("", C7)</f>
        <v>SUS</v>
      </c>
      <c r="M7" s="42" t="str">
        <f t="shared" si="5"/>
        <v>SUS.Caderno</v>
      </c>
      <c r="N7" s="42" t="str">
        <f t="shared" si="5"/>
        <v>SomaSUS</v>
      </c>
      <c r="O7" s="42" t="str">
        <f t="shared" ref="O7:O27" si="6">F7</f>
        <v>SUS.Volume</v>
      </c>
      <c r="P7" s="42" t="s">
        <v>101</v>
      </c>
      <c r="Q7" s="42" t="s">
        <v>102</v>
      </c>
      <c r="R7" s="45" t="s">
        <v>1</v>
      </c>
      <c r="S7" s="42" t="str">
        <f t="shared" ref="S7:U26" si="7">SUBSTITUTE(D7, "_", " ")</f>
        <v>SUS.Caderno</v>
      </c>
      <c r="T7" s="42" t="str">
        <f t="shared" si="7"/>
        <v>SomaSUS</v>
      </c>
      <c r="U7" s="42" t="str">
        <f t="shared" si="7"/>
        <v>SUS.Volume</v>
      </c>
      <c r="V7" s="43" t="s">
        <v>202</v>
      </c>
      <c r="W7" s="55" t="str">
        <f t="shared" si="3"/>
        <v>Key-SUS-7</v>
      </c>
      <c r="X7" s="43" t="s">
        <v>1</v>
      </c>
      <c r="Y7" s="43" t="s">
        <v>1</v>
      </c>
      <c r="Z7" s="44" t="s">
        <v>179</v>
      </c>
      <c r="AA7" s="43" t="str">
        <f t="shared" ref="AA7:AA27" si="8">_xlfn.TRANSLATE(P7,"pt","en")</f>
        <v>Volumes of the SomaSUS Notebook. Unified Health System of Brazil.</v>
      </c>
    </row>
    <row r="8" spans="1:27" ht="6" customHeight="1" x14ac:dyDescent="0.35">
      <c r="A8" s="40">
        <v>8</v>
      </c>
      <c r="B8" s="46" t="s">
        <v>210</v>
      </c>
      <c r="C8" s="47" t="s">
        <v>93</v>
      </c>
      <c r="D8" s="50" t="s">
        <v>133</v>
      </c>
      <c r="E8" s="50" t="s">
        <v>134</v>
      </c>
      <c r="F8" s="51" t="s">
        <v>86</v>
      </c>
      <c r="G8" s="41" t="s">
        <v>1</v>
      </c>
      <c r="H8" s="41" t="s">
        <v>1</v>
      </c>
      <c r="I8" s="41" t="s">
        <v>1</v>
      </c>
      <c r="J8" s="41" t="s">
        <v>1</v>
      </c>
      <c r="K8" s="41" t="s">
        <v>1</v>
      </c>
      <c r="L8" s="42" t="str">
        <f t="shared" si="5"/>
        <v>SUS</v>
      </c>
      <c r="M8" s="42" t="str">
        <f t="shared" si="5"/>
        <v>SUS.Ocupação</v>
      </c>
      <c r="N8" s="42" t="str">
        <f t="shared" si="5"/>
        <v>SUS.Ambientes</v>
      </c>
      <c r="O8" s="42" t="str">
        <f t="shared" si="6"/>
        <v>SUS.Area</v>
      </c>
      <c r="P8" s="42" t="s">
        <v>103</v>
      </c>
      <c r="Q8" s="42" t="s">
        <v>104</v>
      </c>
      <c r="R8" s="45" t="s">
        <v>1</v>
      </c>
      <c r="S8" s="42" t="str">
        <f t="shared" si="7"/>
        <v>SUS.Ocupação</v>
      </c>
      <c r="T8" s="42" t="str">
        <f t="shared" si="7"/>
        <v>SUS.Ambientes</v>
      </c>
      <c r="U8" s="42" t="str">
        <f t="shared" si="7"/>
        <v>SUS.Area</v>
      </c>
      <c r="V8" s="43" t="s">
        <v>202</v>
      </c>
      <c r="W8" s="55" t="str">
        <f t="shared" si="3"/>
        <v>Key-SUS-8</v>
      </c>
      <c r="X8" s="43" t="s">
        <v>180</v>
      </c>
      <c r="Y8" s="43" t="s">
        <v>181</v>
      </c>
      <c r="Z8" s="44" t="s">
        <v>182</v>
      </c>
      <c r="AA8" s="43" t="str">
        <f t="shared" si="8"/>
        <v>It refers to an environment that is not totally cloistered.</v>
      </c>
    </row>
    <row r="9" spans="1:27" ht="6" customHeight="1" x14ac:dyDescent="0.35">
      <c r="A9" s="40">
        <v>9</v>
      </c>
      <c r="B9" s="46" t="s">
        <v>210</v>
      </c>
      <c r="C9" s="47" t="s">
        <v>93</v>
      </c>
      <c r="D9" s="50" t="s">
        <v>133</v>
      </c>
      <c r="E9" s="50" t="s">
        <v>134</v>
      </c>
      <c r="F9" s="51" t="s">
        <v>105</v>
      </c>
      <c r="G9" s="41" t="s">
        <v>1</v>
      </c>
      <c r="H9" s="41" t="s">
        <v>1</v>
      </c>
      <c r="I9" s="41" t="s">
        <v>1</v>
      </c>
      <c r="J9" s="41" t="s">
        <v>1</v>
      </c>
      <c r="K9" s="41" t="s">
        <v>1</v>
      </c>
      <c r="L9" s="42" t="str">
        <f t="shared" si="5"/>
        <v>SUS</v>
      </c>
      <c r="M9" s="42" t="str">
        <f t="shared" si="5"/>
        <v>SUS.Ocupação</v>
      </c>
      <c r="N9" s="42" t="str">
        <f t="shared" si="5"/>
        <v>SUS.Ambientes</v>
      </c>
      <c r="O9" s="42" t="str">
        <f t="shared" si="6"/>
        <v>SUS.Box</v>
      </c>
      <c r="P9" s="42" t="s">
        <v>106</v>
      </c>
      <c r="Q9" s="42" t="s">
        <v>107</v>
      </c>
      <c r="R9" s="45" t="s">
        <v>1</v>
      </c>
      <c r="S9" s="42" t="str">
        <f t="shared" si="7"/>
        <v>SUS.Ocupação</v>
      </c>
      <c r="T9" s="42" t="str">
        <f t="shared" si="7"/>
        <v>SUS.Ambientes</v>
      </c>
      <c r="U9" s="42" t="str">
        <f t="shared" si="7"/>
        <v>SUS.Box</v>
      </c>
      <c r="V9" s="43" t="s">
        <v>202</v>
      </c>
      <c r="W9" s="55" t="str">
        <f t="shared" si="3"/>
        <v>Key-SUS-9</v>
      </c>
      <c r="X9" s="43" t="s">
        <v>183</v>
      </c>
      <c r="Y9" s="43" t="s">
        <v>181</v>
      </c>
      <c r="Z9" s="44" t="s">
        <v>182</v>
      </c>
      <c r="AA9" s="43" t="str">
        <f t="shared" si="8"/>
        <v>It refers to a closed and small environment, usually to serve patients.</v>
      </c>
    </row>
    <row r="10" spans="1:27" ht="6" customHeight="1" x14ac:dyDescent="0.35">
      <c r="A10" s="40">
        <v>10</v>
      </c>
      <c r="B10" s="46" t="s">
        <v>210</v>
      </c>
      <c r="C10" s="47" t="s">
        <v>93</v>
      </c>
      <c r="D10" s="50" t="s">
        <v>133</v>
      </c>
      <c r="E10" s="50" t="s">
        <v>134</v>
      </c>
      <c r="F10" s="51" t="s">
        <v>108</v>
      </c>
      <c r="G10" s="41" t="s">
        <v>1</v>
      </c>
      <c r="H10" s="41" t="s">
        <v>1</v>
      </c>
      <c r="I10" s="41" t="s">
        <v>1</v>
      </c>
      <c r="J10" s="41" t="s">
        <v>1</v>
      </c>
      <c r="K10" s="41" t="s">
        <v>1</v>
      </c>
      <c r="L10" s="42" t="str">
        <f t="shared" si="5"/>
        <v>SUS</v>
      </c>
      <c r="M10" s="42" t="str">
        <f t="shared" si="5"/>
        <v>SUS.Ocupação</v>
      </c>
      <c r="N10" s="42" t="str">
        <f t="shared" si="5"/>
        <v>SUS.Ambientes</v>
      </c>
      <c r="O10" s="42" t="str">
        <f t="shared" si="6"/>
        <v>SUS.Consultório</v>
      </c>
      <c r="P10" s="42" t="s">
        <v>109</v>
      </c>
      <c r="Q10" s="42" t="s">
        <v>110</v>
      </c>
      <c r="R10" s="45" t="s">
        <v>1</v>
      </c>
      <c r="S10" s="42" t="str">
        <f t="shared" si="7"/>
        <v>SUS.Ocupação</v>
      </c>
      <c r="T10" s="42" t="str">
        <f t="shared" si="7"/>
        <v>SUS.Ambientes</v>
      </c>
      <c r="U10" s="42" t="str">
        <f t="shared" si="7"/>
        <v>SUS.Consultório</v>
      </c>
      <c r="V10" s="43" t="s">
        <v>202</v>
      </c>
      <c r="W10" s="55" t="str">
        <f t="shared" si="3"/>
        <v>Key-SUS-10</v>
      </c>
      <c r="X10" s="43" t="s">
        <v>183</v>
      </c>
      <c r="Y10" s="43" t="s">
        <v>181</v>
      </c>
      <c r="Z10" s="44" t="s">
        <v>182</v>
      </c>
      <c r="AA10" s="43" t="str">
        <f t="shared" si="8"/>
        <v>It refers to a doctor's office-type environment.</v>
      </c>
    </row>
    <row r="11" spans="1:27" ht="6" customHeight="1" x14ac:dyDescent="0.35">
      <c r="A11" s="40">
        <v>11</v>
      </c>
      <c r="B11" s="46" t="s">
        <v>210</v>
      </c>
      <c r="C11" s="47" t="s">
        <v>93</v>
      </c>
      <c r="D11" s="50" t="s">
        <v>133</v>
      </c>
      <c r="E11" s="50" t="s">
        <v>134</v>
      </c>
      <c r="F11" s="51" t="s">
        <v>111</v>
      </c>
      <c r="G11" s="41" t="s">
        <v>1</v>
      </c>
      <c r="H11" s="41" t="s">
        <v>1</v>
      </c>
      <c r="I11" s="41" t="s">
        <v>1</v>
      </c>
      <c r="J11" s="41" t="s">
        <v>1</v>
      </c>
      <c r="K11" s="41" t="s">
        <v>1</v>
      </c>
      <c r="L11" s="42" t="str">
        <f t="shared" si="5"/>
        <v>SUS</v>
      </c>
      <c r="M11" s="42" t="str">
        <f t="shared" si="5"/>
        <v>SUS.Ocupação</v>
      </c>
      <c r="N11" s="42" t="str">
        <f t="shared" si="5"/>
        <v>SUS.Ambientes</v>
      </c>
      <c r="O11" s="42" t="str">
        <f t="shared" si="6"/>
        <v>SUS.Enfermaria</v>
      </c>
      <c r="P11" s="42" t="s">
        <v>112</v>
      </c>
      <c r="Q11" s="42" t="s">
        <v>138</v>
      </c>
      <c r="R11" s="45" t="s">
        <v>1</v>
      </c>
      <c r="S11" s="42" t="str">
        <f t="shared" si="7"/>
        <v>SUS.Ocupação</v>
      </c>
      <c r="T11" s="42" t="str">
        <f t="shared" si="7"/>
        <v>SUS.Ambientes</v>
      </c>
      <c r="U11" s="42" t="str">
        <f t="shared" si="7"/>
        <v>SUS.Enfermaria</v>
      </c>
      <c r="V11" s="43" t="s">
        <v>202</v>
      </c>
      <c r="W11" s="55" t="str">
        <f t="shared" si="3"/>
        <v>Key-SUS-11</v>
      </c>
      <c r="X11" s="43" t="s">
        <v>183</v>
      </c>
      <c r="Y11" s="43" t="s">
        <v>181</v>
      </c>
      <c r="Z11" s="44" t="s">
        <v>182</v>
      </c>
      <c r="AA11" s="43" t="str">
        <f t="shared" si="8"/>
        <v>It refers to an environment equipped to fulfill ward functions.</v>
      </c>
    </row>
    <row r="12" spans="1:27" ht="6" customHeight="1" x14ac:dyDescent="0.35">
      <c r="A12" s="40">
        <v>12</v>
      </c>
      <c r="B12" s="46" t="s">
        <v>210</v>
      </c>
      <c r="C12" s="47" t="s">
        <v>93</v>
      </c>
      <c r="D12" s="50" t="s">
        <v>133</v>
      </c>
      <c r="E12" s="50" t="s">
        <v>134</v>
      </c>
      <c r="F12" s="51" t="s">
        <v>113</v>
      </c>
      <c r="G12" s="41" t="s">
        <v>1</v>
      </c>
      <c r="H12" s="41" t="s">
        <v>1</v>
      </c>
      <c r="I12" s="41" t="s">
        <v>1</v>
      </c>
      <c r="J12" s="41" t="s">
        <v>1</v>
      </c>
      <c r="K12" s="41" t="s">
        <v>1</v>
      </c>
      <c r="L12" s="42" t="str">
        <f t="shared" si="5"/>
        <v>SUS</v>
      </c>
      <c r="M12" s="42" t="str">
        <f t="shared" si="5"/>
        <v>SUS.Ocupação</v>
      </c>
      <c r="N12" s="42" t="str">
        <f t="shared" si="5"/>
        <v>SUS.Ambientes</v>
      </c>
      <c r="O12" s="42" t="str">
        <f t="shared" si="6"/>
        <v>SUS.Laboratório</v>
      </c>
      <c r="P12" s="42" t="s">
        <v>114</v>
      </c>
      <c r="Q12" s="42" t="s">
        <v>115</v>
      </c>
      <c r="R12" s="45" t="s">
        <v>1</v>
      </c>
      <c r="S12" s="42" t="str">
        <f t="shared" si="7"/>
        <v>SUS.Ocupação</v>
      </c>
      <c r="T12" s="42" t="str">
        <f t="shared" si="7"/>
        <v>SUS.Ambientes</v>
      </c>
      <c r="U12" s="42" t="str">
        <f t="shared" si="7"/>
        <v>SUS.Laboratório</v>
      </c>
      <c r="V12" s="43" t="s">
        <v>202</v>
      </c>
      <c r="W12" s="55" t="str">
        <f t="shared" si="3"/>
        <v>Key-SUS-12</v>
      </c>
      <c r="X12" s="43" t="s">
        <v>180</v>
      </c>
      <c r="Y12" s="43" t="s">
        <v>181</v>
      </c>
      <c r="Z12" s="44" t="s">
        <v>182</v>
      </c>
      <c r="AA12" s="43" t="str">
        <f t="shared" si="8"/>
        <v>It refers to an environment equipped to perform laboratory functions.</v>
      </c>
    </row>
    <row r="13" spans="1:27" ht="6" customHeight="1" x14ac:dyDescent="0.35">
      <c r="A13" s="40">
        <v>13</v>
      </c>
      <c r="B13" s="46" t="s">
        <v>210</v>
      </c>
      <c r="C13" s="47" t="s">
        <v>93</v>
      </c>
      <c r="D13" s="50" t="s">
        <v>133</v>
      </c>
      <c r="E13" s="50" t="s">
        <v>134</v>
      </c>
      <c r="F13" s="51" t="s">
        <v>116</v>
      </c>
      <c r="G13" s="41" t="s">
        <v>1</v>
      </c>
      <c r="H13" s="41" t="s">
        <v>1</v>
      </c>
      <c r="I13" s="41" t="s">
        <v>1</v>
      </c>
      <c r="J13" s="41" t="s">
        <v>1</v>
      </c>
      <c r="K13" s="41" t="s">
        <v>1</v>
      </c>
      <c r="L13" s="42" t="str">
        <f t="shared" si="5"/>
        <v>SUS</v>
      </c>
      <c r="M13" s="42" t="str">
        <f t="shared" si="5"/>
        <v>SUS.Ocupação</v>
      </c>
      <c r="N13" s="42" t="str">
        <f t="shared" si="5"/>
        <v>SUS.Ambientes</v>
      </c>
      <c r="O13" s="42" t="str">
        <f t="shared" si="6"/>
        <v>SUS.Piscina</v>
      </c>
      <c r="P13" s="42" t="s">
        <v>117</v>
      </c>
      <c r="Q13" s="42" t="s">
        <v>118</v>
      </c>
      <c r="R13" s="45" t="s">
        <v>1</v>
      </c>
      <c r="S13" s="42" t="str">
        <f t="shared" si="7"/>
        <v>SUS.Ocupação</v>
      </c>
      <c r="T13" s="42" t="str">
        <f t="shared" si="7"/>
        <v>SUS.Ambientes</v>
      </c>
      <c r="U13" s="42" t="str">
        <f t="shared" si="7"/>
        <v>SUS.Piscina</v>
      </c>
      <c r="V13" s="43" t="s">
        <v>202</v>
      </c>
      <c r="W13" s="55" t="str">
        <f t="shared" si="3"/>
        <v>Key-SUS-13</v>
      </c>
      <c r="X13" s="43" t="s">
        <v>183</v>
      </c>
      <c r="Y13" s="43" t="s">
        <v>181</v>
      </c>
      <c r="Z13" s="44" t="s">
        <v>182</v>
      </c>
      <c r="AA13" s="43" t="str">
        <f t="shared" si="8"/>
        <v>It refers to a closed or open environment for medical treatment pools.</v>
      </c>
    </row>
    <row r="14" spans="1:27" ht="6" customHeight="1" x14ac:dyDescent="0.35">
      <c r="A14" s="40">
        <v>14</v>
      </c>
      <c r="B14" s="46" t="s">
        <v>210</v>
      </c>
      <c r="C14" s="47" t="s">
        <v>93</v>
      </c>
      <c r="D14" s="50" t="s">
        <v>133</v>
      </c>
      <c r="E14" s="50" t="s">
        <v>134</v>
      </c>
      <c r="F14" s="51" t="s">
        <v>119</v>
      </c>
      <c r="G14" s="41" t="s">
        <v>1</v>
      </c>
      <c r="H14" s="41" t="s">
        <v>1</v>
      </c>
      <c r="I14" s="41" t="s">
        <v>1</v>
      </c>
      <c r="J14" s="41" t="s">
        <v>1</v>
      </c>
      <c r="K14" s="41" t="s">
        <v>1</v>
      </c>
      <c r="L14" s="42" t="str">
        <f t="shared" si="5"/>
        <v>SUS</v>
      </c>
      <c r="M14" s="42" t="str">
        <f t="shared" si="5"/>
        <v>SUS.Ocupação</v>
      </c>
      <c r="N14" s="42" t="str">
        <f t="shared" si="5"/>
        <v>SUS.Ambientes</v>
      </c>
      <c r="O14" s="42" t="str">
        <f t="shared" si="6"/>
        <v>SUS.Posto</v>
      </c>
      <c r="P14" s="42" t="s">
        <v>139</v>
      </c>
      <c r="Q14" s="42" t="s">
        <v>140</v>
      </c>
      <c r="R14" s="45" t="s">
        <v>1</v>
      </c>
      <c r="S14" s="42" t="str">
        <f t="shared" si="7"/>
        <v>SUS.Ocupação</v>
      </c>
      <c r="T14" s="42" t="str">
        <f t="shared" si="7"/>
        <v>SUS.Ambientes</v>
      </c>
      <c r="U14" s="42" t="str">
        <f t="shared" si="7"/>
        <v>SUS.Posto</v>
      </c>
      <c r="V14" s="43" t="s">
        <v>202</v>
      </c>
      <c r="W14" s="55" t="str">
        <f t="shared" si="3"/>
        <v>Key-SUS-14</v>
      </c>
      <c r="X14" s="43" t="s">
        <v>183</v>
      </c>
      <c r="Y14" s="43" t="s">
        <v>181</v>
      </c>
      <c r="Z14" s="44" t="s">
        <v>182</v>
      </c>
      <c r="AA14" s="43" t="str">
        <f t="shared" si="8"/>
        <v>It refers to a nursing station associated with an infirmary.</v>
      </c>
    </row>
    <row r="15" spans="1:27" ht="6" customHeight="1" x14ac:dyDescent="0.35">
      <c r="A15" s="40">
        <v>15</v>
      </c>
      <c r="B15" s="46" t="s">
        <v>210</v>
      </c>
      <c r="C15" s="47" t="s">
        <v>93</v>
      </c>
      <c r="D15" s="50" t="s">
        <v>133</v>
      </c>
      <c r="E15" s="50" t="s">
        <v>134</v>
      </c>
      <c r="F15" s="51" t="s">
        <v>120</v>
      </c>
      <c r="G15" s="41" t="s">
        <v>1</v>
      </c>
      <c r="H15" s="41" t="s">
        <v>1</v>
      </c>
      <c r="I15" s="41" t="s">
        <v>1</v>
      </c>
      <c r="J15" s="41" t="s">
        <v>1</v>
      </c>
      <c r="K15" s="41" t="s">
        <v>1</v>
      </c>
      <c r="L15" s="42" t="str">
        <f t="shared" si="5"/>
        <v>SUS</v>
      </c>
      <c r="M15" s="42" t="str">
        <f t="shared" si="5"/>
        <v>SUS.Ocupação</v>
      </c>
      <c r="N15" s="42" t="str">
        <f t="shared" si="5"/>
        <v>SUS.Ambientes</v>
      </c>
      <c r="O15" s="42" t="str">
        <f t="shared" si="6"/>
        <v>SUS.Quarto</v>
      </c>
      <c r="P15" s="42" t="s">
        <v>121</v>
      </c>
      <c r="Q15" s="42" t="s">
        <v>122</v>
      </c>
      <c r="R15" s="45" t="s">
        <v>1</v>
      </c>
      <c r="S15" s="42" t="str">
        <f t="shared" si="7"/>
        <v>SUS.Ocupação</v>
      </c>
      <c r="T15" s="42" t="str">
        <f t="shared" si="7"/>
        <v>SUS.Ambientes</v>
      </c>
      <c r="U15" s="42" t="str">
        <f t="shared" si="7"/>
        <v>SUS.Quarto</v>
      </c>
      <c r="V15" s="43" t="s">
        <v>202</v>
      </c>
      <c r="W15" s="55" t="str">
        <f t="shared" si="3"/>
        <v>Key-SUS-15</v>
      </c>
      <c r="X15" s="43" t="s">
        <v>183</v>
      </c>
      <c r="Y15" s="43" t="s">
        <v>181</v>
      </c>
      <c r="Z15" s="44" t="s">
        <v>182</v>
      </c>
      <c r="AA15" s="43" t="str">
        <f t="shared" si="8"/>
        <v>It refers to a hospitalization room.</v>
      </c>
    </row>
    <row r="16" spans="1:27" ht="6" customHeight="1" x14ac:dyDescent="0.35">
      <c r="A16" s="40">
        <v>16</v>
      </c>
      <c r="B16" s="46" t="s">
        <v>210</v>
      </c>
      <c r="C16" s="47" t="s">
        <v>93</v>
      </c>
      <c r="D16" s="50" t="s">
        <v>133</v>
      </c>
      <c r="E16" s="50" t="s">
        <v>134</v>
      </c>
      <c r="F16" s="52" t="s">
        <v>123</v>
      </c>
      <c r="G16" s="41" t="s">
        <v>1</v>
      </c>
      <c r="H16" s="41" t="s">
        <v>1</v>
      </c>
      <c r="I16" s="41" t="s">
        <v>1</v>
      </c>
      <c r="J16" s="41" t="s">
        <v>1</v>
      </c>
      <c r="K16" s="41" t="s">
        <v>1</v>
      </c>
      <c r="L16" s="42" t="str">
        <f t="shared" si="5"/>
        <v>SUS</v>
      </c>
      <c r="M16" s="42" t="str">
        <f t="shared" si="5"/>
        <v>SUS.Ocupação</v>
      </c>
      <c r="N16" s="42" t="str">
        <f t="shared" si="5"/>
        <v>SUS.Ambientes</v>
      </c>
      <c r="O16" s="42" t="str">
        <f t="shared" si="6"/>
        <v>SUS.Sala</v>
      </c>
      <c r="P16" s="42" t="s">
        <v>124</v>
      </c>
      <c r="Q16" s="42" t="s">
        <v>125</v>
      </c>
      <c r="R16" s="45" t="s">
        <v>1</v>
      </c>
      <c r="S16" s="42" t="str">
        <f t="shared" si="7"/>
        <v>SUS.Ocupação</v>
      </c>
      <c r="T16" s="42" t="str">
        <f t="shared" si="7"/>
        <v>SUS.Ambientes</v>
      </c>
      <c r="U16" s="42" t="str">
        <f t="shared" si="7"/>
        <v>SUS.Sala</v>
      </c>
      <c r="V16" s="43" t="s">
        <v>202</v>
      </c>
      <c r="W16" s="55" t="str">
        <f t="shared" si="3"/>
        <v>Key-SUS-16</v>
      </c>
      <c r="X16" s="43" t="s">
        <v>183</v>
      </c>
      <c r="Y16" s="43" t="s">
        <v>181</v>
      </c>
      <c r="Z16" s="44" t="s">
        <v>182</v>
      </c>
      <c r="AA16" s="43" t="str">
        <f t="shared" si="8"/>
        <v>It refers to a room to function as administrative or technical service.</v>
      </c>
    </row>
    <row r="17" spans="1:27" ht="6" customHeight="1" x14ac:dyDescent="0.35">
      <c r="A17" s="40">
        <v>17</v>
      </c>
      <c r="B17" s="46" t="s">
        <v>210</v>
      </c>
      <c r="C17" s="47" t="s">
        <v>93</v>
      </c>
      <c r="D17" s="50" t="s">
        <v>133</v>
      </c>
      <c r="E17" s="50" t="s">
        <v>135</v>
      </c>
      <c r="F17" s="53" t="s">
        <v>89</v>
      </c>
      <c r="G17" s="41" t="s">
        <v>1</v>
      </c>
      <c r="H17" s="41" t="s">
        <v>1</v>
      </c>
      <c r="I17" s="41" t="s">
        <v>1</v>
      </c>
      <c r="J17" s="41" t="s">
        <v>1</v>
      </c>
      <c r="K17" s="41" t="s">
        <v>1</v>
      </c>
      <c r="L17" s="42" t="str">
        <f t="shared" si="5"/>
        <v>SUS</v>
      </c>
      <c r="M17" s="42" t="str">
        <f t="shared" si="5"/>
        <v>SUS.Ocupação</v>
      </c>
      <c r="N17" s="42" t="str">
        <f t="shared" si="5"/>
        <v>SUS.Funcional</v>
      </c>
      <c r="O17" s="42" t="str">
        <f t="shared" si="6"/>
        <v>SUS.Zoneamento</v>
      </c>
      <c r="P17" s="42" t="s">
        <v>141</v>
      </c>
      <c r="Q17" s="42" t="s">
        <v>142</v>
      </c>
      <c r="R17" s="45" t="s">
        <v>1</v>
      </c>
      <c r="S17" s="42" t="str">
        <f t="shared" si="7"/>
        <v>SUS.Ocupação</v>
      </c>
      <c r="T17" s="42" t="str">
        <f t="shared" si="7"/>
        <v>SUS.Funcional</v>
      </c>
      <c r="U17" s="42" t="str">
        <f t="shared" si="7"/>
        <v>SUS.Zoneamento</v>
      </c>
      <c r="V17" s="43" t="s">
        <v>202</v>
      </c>
      <c r="W17" s="55" t="str">
        <f t="shared" si="3"/>
        <v>Key-SUS-17</v>
      </c>
      <c r="X17" s="43" t="s">
        <v>184</v>
      </c>
      <c r="Y17" s="43" t="s">
        <v>185</v>
      </c>
      <c r="Z17" s="44" t="s">
        <v>182</v>
      </c>
      <c r="AA17" s="43" t="str">
        <f t="shared" si="8"/>
        <v>It refers to a defined zoning.</v>
      </c>
    </row>
    <row r="18" spans="1:27" ht="6" customHeight="1" x14ac:dyDescent="0.35">
      <c r="A18" s="40">
        <v>18</v>
      </c>
      <c r="B18" s="46" t="s">
        <v>210</v>
      </c>
      <c r="C18" s="47" t="s">
        <v>93</v>
      </c>
      <c r="D18" s="50" t="s">
        <v>133</v>
      </c>
      <c r="E18" s="50" t="s">
        <v>135</v>
      </c>
      <c r="F18" s="53" t="s">
        <v>87</v>
      </c>
      <c r="G18" s="41" t="s">
        <v>1</v>
      </c>
      <c r="H18" s="41" t="s">
        <v>1</v>
      </c>
      <c r="I18" s="41" t="s">
        <v>1</v>
      </c>
      <c r="J18" s="41" t="s">
        <v>1</v>
      </c>
      <c r="K18" s="41" t="s">
        <v>1</v>
      </c>
      <c r="L18" s="42" t="str">
        <f t="shared" si="5"/>
        <v>SUS</v>
      </c>
      <c r="M18" s="42" t="str">
        <f t="shared" si="5"/>
        <v>SUS.Ocupação</v>
      </c>
      <c r="N18" s="42" t="str">
        <f t="shared" si="5"/>
        <v>SUS.Funcional</v>
      </c>
      <c r="O18" s="42" t="str">
        <f t="shared" si="6"/>
        <v>SUS.Unidade.Funcional</v>
      </c>
      <c r="P18" s="42" t="s">
        <v>143</v>
      </c>
      <c r="Q18" s="42" t="s">
        <v>144</v>
      </c>
      <c r="R18" s="45" t="s">
        <v>1</v>
      </c>
      <c r="S18" s="42" t="str">
        <f t="shared" si="7"/>
        <v>SUS.Ocupação</v>
      </c>
      <c r="T18" s="42" t="str">
        <f t="shared" si="7"/>
        <v>SUS.Funcional</v>
      </c>
      <c r="U18" s="42" t="str">
        <f t="shared" si="7"/>
        <v>SUS.Unidade.Funcional</v>
      </c>
      <c r="V18" s="43" t="s">
        <v>202</v>
      </c>
      <c r="W18" s="55" t="str">
        <f t="shared" si="3"/>
        <v>Key-SUS-18</v>
      </c>
      <c r="X18" s="43" t="s">
        <v>1</v>
      </c>
      <c r="Y18" s="43" t="s">
        <v>1</v>
      </c>
      <c r="Z18" s="44" t="s">
        <v>186</v>
      </c>
      <c r="AA18" s="43" t="str">
        <f t="shared" si="8"/>
        <v>They are the functional units of the Unified Health System of Brazil.</v>
      </c>
    </row>
    <row r="19" spans="1:27" ht="6" customHeight="1" x14ac:dyDescent="0.35">
      <c r="A19" s="40">
        <v>19</v>
      </c>
      <c r="B19" s="46" t="s">
        <v>210</v>
      </c>
      <c r="C19" s="47" t="s">
        <v>93</v>
      </c>
      <c r="D19" s="50" t="s">
        <v>133</v>
      </c>
      <c r="E19" s="50" t="s">
        <v>135</v>
      </c>
      <c r="F19" s="53" t="s">
        <v>88</v>
      </c>
      <c r="G19" s="41" t="s">
        <v>1</v>
      </c>
      <c r="H19" s="41" t="s">
        <v>1</v>
      </c>
      <c r="I19" s="41" t="s">
        <v>1</v>
      </c>
      <c r="J19" s="41" t="s">
        <v>1</v>
      </c>
      <c r="K19" s="41" t="s">
        <v>1</v>
      </c>
      <c r="L19" s="42" t="str">
        <f t="shared" si="5"/>
        <v>SUS</v>
      </c>
      <c r="M19" s="42" t="str">
        <f t="shared" si="5"/>
        <v>SUS.Ocupação</v>
      </c>
      <c r="N19" s="42" t="str">
        <f t="shared" si="5"/>
        <v>SUS.Funcional</v>
      </c>
      <c r="O19" s="42" t="str">
        <f t="shared" si="6"/>
        <v>SUS.Setor</v>
      </c>
      <c r="P19" s="42" t="s">
        <v>145</v>
      </c>
      <c r="Q19" s="42" t="s">
        <v>146</v>
      </c>
      <c r="R19" s="45" t="s">
        <v>1</v>
      </c>
      <c r="S19" s="42" t="str">
        <f t="shared" si="7"/>
        <v>SUS.Ocupação</v>
      </c>
      <c r="T19" s="42" t="str">
        <f t="shared" si="7"/>
        <v>SUS.Funcional</v>
      </c>
      <c r="U19" s="42" t="str">
        <f t="shared" si="7"/>
        <v>SUS.Setor</v>
      </c>
      <c r="V19" s="43" t="s">
        <v>202</v>
      </c>
      <c r="W19" s="55" t="str">
        <f t="shared" si="3"/>
        <v>Key-SUS-19</v>
      </c>
      <c r="X19" s="43" t="s">
        <v>1</v>
      </c>
      <c r="Y19" s="43" t="s">
        <v>1</v>
      </c>
      <c r="Z19" s="44" t="s">
        <v>186</v>
      </c>
      <c r="AA19" s="43" t="str">
        <f t="shared" si="8"/>
        <v>They are the Sectors of the Unified Health System of Brazil.</v>
      </c>
    </row>
    <row r="20" spans="1:27" ht="6" customHeight="1" x14ac:dyDescent="0.35">
      <c r="A20" s="40">
        <v>20</v>
      </c>
      <c r="B20" s="46" t="s">
        <v>210</v>
      </c>
      <c r="C20" s="47" t="s">
        <v>93</v>
      </c>
      <c r="D20" s="50" t="s">
        <v>137</v>
      </c>
      <c r="E20" s="50" t="s">
        <v>136</v>
      </c>
      <c r="F20" s="53" t="s">
        <v>155</v>
      </c>
      <c r="G20" s="41" t="s">
        <v>1</v>
      </c>
      <c r="H20" s="41" t="s">
        <v>1</v>
      </c>
      <c r="I20" s="41" t="s">
        <v>1</v>
      </c>
      <c r="J20" s="41" t="s">
        <v>1</v>
      </c>
      <c r="K20" s="41" t="s">
        <v>1</v>
      </c>
      <c r="L20" s="42" t="str">
        <f t="shared" si="5"/>
        <v>SUS</v>
      </c>
      <c r="M20" s="42" t="str">
        <f t="shared" si="5"/>
        <v>SUS.Assistência.Médica</v>
      </c>
      <c r="N20" s="42" t="str">
        <f t="shared" si="5"/>
        <v>SUS.Equipamentos</v>
      </c>
      <c r="O20" s="42" t="str">
        <f t="shared" si="6"/>
        <v>SUS.Robot</v>
      </c>
      <c r="P20" s="42" t="s">
        <v>156</v>
      </c>
      <c r="Q20" s="42" t="s">
        <v>157</v>
      </c>
      <c r="R20" s="45" t="s">
        <v>1</v>
      </c>
      <c r="S20" s="42" t="str">
        <f t="shared" si="7"/>
        <v>SUS.Assistência.Médica</v>
      </c>
      <c r="T20" s="42" t="str">
        <f t="shared" si="7"/>
        <v>SUS.Equipamentos</v>
      </c>
      <c r="U20" s="42" t="str">
        <f t="shared" si="7"/>
        <v>SUS.Robot</v>
      </c>
      <c r="V20" s="43" t="s">
        <v>202</v>
      </c>
      <c r="W20" s="55" t="str">
        <f t="shared" si="3"/>
        <v>Key-SUS-20</v>
      </c>
      <c r="X20" s="43" t="s">
        <v>187</v>
      </c>
      <c r="Y20" s="43" t="s">
        <v>188</v>
      </c>
      <c r="Z20" s="44" t="s">
        <v>189</v>
      </c>
      <c r="AA20" s="43" t="str">
        <f t="shared" si="8"/>
        <v>Robotic medical equipment used in hospitals of the Unified Health System of Brazil.</v>
      </c>
    </row>
    <row r="21" spans="1:27" ht="6" customHeight="1" x14ac:dyDescent="0.35">
      <c r="A21" s="40">
        <v>21</v>
      </c>
      <c r="B21" s="46" t="s">
        <v>210</v>
      </c>
      <c r="C21" s="47" t="s">
        <v>93</v>
      </c>
      <c r="D21" s="50" t="s">
        <v>137</v>
      </c>
      <c r="E21" s="50" t="s">
        <v>136</v>
      </c>
      <c r="F21" s="53" t="s">
        <v>90</v>
      </c>
      <c r="G21" s="41" t="s">
        <v>1</v>
      </c>
      <c r="H21" s="41" t="s">
        <v>1</v>
      </c>
      <c r="I21" s="41" t="s">
        <v>1</v>
      </c>
      <c r="J21" s="41" t="s">
        <v>1</v>
      </c>
      <c r="K21" s="41" t="s">
        <v>1</v>
      </c>
      <c r="L21" s="42" t="str">
        <f t="shared" si="5"/>
        <v>SUS</v>
      </c>
      <c r="M21" s="42" t="str">
        <f t="shared" si="5"/>
        <v>SUS.Assistência.Médica</v>
      </c>
      <c r="N21" s="42" t="str">
        <f t="shared" si="5"/>
        <v>SUS.Equipamentos</v>
      </c>
      <c r="O21" s="42" t="str">
        <f t="shared" si="6"/>
        <v>SUS.Equipamento</v>
      </c>
      <c r="P21" s="42" t="s">
        <v>158</v>
      </c>
      <c r="Q21" s="42" t="s">
        <v>159</v>
      </c>
      <c r="R21" s="45" t="s">
        <v>1</v>
      </c>
      <c r="S21" s="42" t="str">
        <f t="shared" si="7"/>
        <v>SUS.Assistência.Médica</v>
      </c>
      <c r="T21" s="42" t="str">
        <f t="shared" si="7"/>
        <v>SUS.Equipamentos</v>
      </c>
      <c r="U21" s="42" t="str">
        <f t="shared" si="7"/>
        <v>SUS.Equipamento</v>
      </c>
      <c r="V21" s="43" t="s">
        <v>202</v>
      </c>
      <c r="W21" s="55" t="str">
        <f t="shared" si="3"/>
        <v>Key-SUS-21</v>
      </c>
      <c r="X21" s="43" t="s">
        <v>187</v>
      </c>
      <c r="Y21" s="43" t="s">
        <v>188</v>
      </c>
      <c r="Z21" s="44" t="s">
        <v>189</v>
      </c>
      <c r="AA21" s="43" t="str">
        <f t="shared" si="8"/>
        <v>Conventional medical equipment used in hospitals of the Brazilian Unified Health System.</v>
      </c>
    </row>
    <row r="22" spans="1:27" ht="6" customHeight="1" x14ac:dyDescent="0.35">
      <c r="A22" s="40">
        <v>22</v>
      </c>
      <c r="B22" s="46" t="s">
        <v>210</v>
      </c>
      <c r="C22" s="47" t="s">
        <v>93</v>
      </c>
      <c r="D22" s="50" t="s">
        <v>137</v>
      </c>
      <c r="E22" s="50" t="s">
        <v>136</v>
      </c>
      <c r="F22" s="53" t="s">
        <v>91</v>
      </c>
      <c r="G22" s="41" t="s">
        <v>1</v>
      </c>
      <c r="H22" s="41" t="s">
        <v>1</v>
      </c>
      <c r="I22" s="41" t="s">
        <v>1</v>
      </c>
      <c r="J22" s="41" t="s">
        <v>1</v>
      </c>
      <c r="K22" s="41" t="s">
        <v>1</v>
      </c>
      <c r="L22" s="42" t="str">
        <f t="shared" si="5"/>
        <v>SUS</v>
      </c>
      <c r="M22" s="42" t="str">
        <f t="shared" si="5"/>
        <v>SUS.Assistência.Médica</v>
      </c>
      <c r="N22" s="42" t="str">
        <f t="shared" si="5"/>
        <v>SUS.Equipamentos</v>
      </c>
      <c r="O22" s="42" t="str">
        <f t="shared" si="6"/>
        <v>SUS.Dispositivo</v>
      </c>
      <c r="P22" s="42" t="s">
        <v>126</v>
      </c>
      <c r="Q22" s="42" t="s">
        <v>160</v>
      </c>
      <c r="R22" s="45" t="s">
        <v>1</v>
      </c>
      <c r="S22" s="42" t="str">
        <f t="shared" si="7"/>
        <v>SUS.Assistência.Médica</v>
      </c>
      <c r="T22" s="42" t="str">
        <f t="shared" si="7"/>
        <v>SUS.Equipamentos</v>
      </c>
      <c r="U22" s="42" t="str">
        <f t="shared" si="7"/>
        <v>SUS.Dispositivo</v>
      </c>
      <c r="V22" s="43" t="s">
        <v>202</v>
      </c>
      <c r="W22" s="55" t="str">
        <f t="shared" si="3"/>
        <v>Key-SUS-22</v>
      </c>
      <c r="X22" s="43" t="s">
        <v>190</v>
      </c>
      <c r="Y22" s="43" t="s">
        <v>188</v>
      </c>
      <c r="Z22" s="44" t="s">
        <v>189</v>
      </c>
      <c r="AA22" s="43" t="str">
        <f t="shared" si="8"/>
        <v>Medical devices used in hospitals of the Brazilian Unified Health System.</v>
      </c>
    </row>
    <row r="23" spans="1:27" ht="6" customHeight="1" x14ac:dyDescent="0.35">
      <c r="A23" s="40">
        <v>23</v>
      </c>
      <c r="B23" s="46" t="s">
        <v>210</v>
      </c>
      <c r="C23" s="47" t="s">
        <v>93</v>
      </c>
      <c r="D23" s="50" t="s">
        <v>137</v>
      </c>
      <c r="E23" s="50" t="s">
        <v>136</v>
      </c>
      <c r="F23" s="53" t="s">
        <v>147</v>
      </c>
      <c r="G23" s="41" t="s">
        <v>1</v>
      </c>
      <c r="H23" s="41" t="s">
        <v>1</v>
      </c>
      <c r="I23" s="41" t="s">
        <v>1</v>
      </c>
      <c r="J23" s="41" t="s">
        <v>1</v>
      </c>
      <c r="K23" s="41" t="s">
        <v>1</v>
      </c>
      <c r="L23" s="42" t="str">
        <f t="shared" si="5"/>
        <v>SUS</v>
      </c>
      <c r="M23" s="42" t="str">
        <f t="shared" si="5"/>
        <v>SUS.Assistência.Médica</v>
      </c>
      <c r="N23" s="42" t="str">
        <f t="shared" si="5"/>
        <v>SUS.Equipamentos</v>
      </c>
      <c r="O23" s="42" t="str">
        <f t="shared" si="6"/>
        <v>SUS.Instrumento</v>
      </c>
      <c r="P23" s="42" t="s">
        <v>148</v>
      </c>
      <c r="Q23" s="42" t="s">
        <v>161</v>
      </c>
      <c r="R23" s="45" t="s">
        <v>1</v>
      </c>
      <c r="S23" s="42" t="str">
        <f t="shared" si="7"/>
        <v>SUS.Assistência.Médica</v>
      </c>
      <c r="T23" s="42" t="str">
        <f t="shared" si="7"/>
        <v>SUS.Equipamentos</v>
      </c>
      <c r="U23" s="42" t="str">
        <f t="shared" si="7"/>
        <v>SUS.Instrumento</v>
      </c>
      <c r="V23" s="43" t="s">
        <v>202</v>
      </c>
      <c r="W23" s="55" t="str">
        <f t="shared" si="3"/>
        <v>Key-SUS-23</v>
      </c>
      <c r="X23" s="43" t="s">
        <v>187</v>
      </c>
      <c r="Y23" s="43" t="s">
        <v>188</v>
      </c>
      <c r="Z23" s="44" t="s">
        <v>189</v>
      </c>
      <c r="AA23" s="43" t="str">
        <f t="shared" si="8"/>
        <v>Medical instrument used in hospitals of the Unified Health System of Brazil.</v>
      </c>
    </row>
    <row r="24" spans="1:27" customFormat="1" ht="6" customHeight="1" x14ac:dyDescent="0.4">
      <c r="A24" s="40">
        <v>24</v>
      </c>
      <c r="B24" s="46" t="s">
        <v>210</v>
      </c>
      <c r="C24" s="47" t="s">
        <v>93</v>
      </c>
      <c r="D24" s="50" t="s">
        <v>137</v>
      </c>
      <c r="E24" s="50" t="s">
        <v>136</v>
      </c>
      <c r="F24" s="53" t="s">
        <v>149</v>
      </c>
      <c r="G24" s="41" t="s">
        <v>1</v>
      </c>
      <c r="H24" s="41" t="s">
        <v>1</v>
      </c>
      <c r="I24" s="41" t="s">
        <v>1</v>
      </c>
      <c r="J24" s="41" t="s">
        <v>1</v>
      </c>
      <c r="K24" s="41" t="s">
        <v>1</v>
      </c>
      <c r="L24" s="42" t="str">
        <f t="shared" si="5"/>
        <v>SUS</v>
      </c>
      <c r="M24" s="42" t="str">
        <f t="shared" si="5"/>
        <v>SUS.Assistência.Médica</v>
      </c>
      <c r="N24" s="42" t="str">
        <f t="shared" si="5"/>
        <v>SUS.Equipamentos</v>
      </c>
      <c r="O24" s="42" t="str">
        <f t="shared" si="6"/>
        <v>SUS.Mobília.de.Saúde</v>
      </c>
      <c r="P24" s="42" t="s">
        <v>127</v>
      </c>
      <c r="Q24" s="42" t="s">
        <v>128</v>
      </c>
      <c r="R24" s="45" t="s">
        <v>1</v>
      </c>
      <c r="S24" s="42" t="str">
        <f t="shared" si="7"/>
        <v>SUS.Assistência.Médica</v>
      </c>
      <c r="T24" s="42" t="str">
        <f t="shared" si="7"/>
        <v>SUS.Equipamentos</v>
      </c>
      <c r="U24" s="42" t="str">
        <f t="shared" si="7"/>
        <v>SUS.Mobília.de.Saúde</v>
      </c>
      <c r="V24" s="43" t="s">
        <v>202</v>
      </c>
      <c r="W24" s="55" t="str">
        <f t="shared" si="3"/>
        <v>Key-SUS-24</v>
      </c>
      <c r="X24" s="43" t="s">
        <v>191</v>
      </c>
      <c r="Y24" s="43" t="s">
        <v>192</v>
      </c>
      <c r="Z24" s="44" t="s">
        <v>189</v>
      </c>
      <c r="AA24" s="43" t="str">
        <f t="shared" si="8"/>
        <v>Medical furniture used in hospitals of the Unified Health System of Brazil.</v>
      </c>
    </row>
    <row r="25" spans="1:27" customFormat="1" ht="6" customHeight="1" x14ac:dyDescent="0.4">
      <c r="A25" s="40">
        <v>25</v>
      </c>
      <c r="B25" s="46" t="s">
        <v>210</v>
      </c>
      <c r="C25" s="47" t="s">
        <v>93</v>
      </c>
      <c r="D25" s="50" t="s">
        <v>137</v>
      </c>
      <c r="E25" s="50" t="s">
        <v>162</v>
      </c>
      <c r="F25" s="53" t="s">
        <v>92</v>
      </c>
      <c r="G25" s="41" t="s">
        <v>1</v>
      </c>
      <c r="H25" s="41" t="s">
        <v>1</v>
      </c>
      <c r="I25" s="41" t="s">
        <v>1</v>
      </c>
      <c r="J25" s="41" t="s">
        <v>1</v>
      </c>
      <c r="K25" s="41" t="s">
        <v>1</v>
      </c>
      <c r="L25" s="42" t="str">
        <f t="shared" si="5"/>
        <v>SUS</v>
      </c>
      <c r="M25" s="42" t="str">
        <f t="shared" si="5"/>
        <v>SUS.Assistência.Médica</v>
      </c>
      <c r="N25" s="42" t="str">
        <f t="shared" si="5"/>
        <v>SUS.Hotelaria</v>
      </c>
      <c r="O25" s="42" t="str">
        <f t="shared" si="6"/>
        <v>SUS.Mobília</v>
      </c>
      <c r="P25" s="42" t="s">
        <v>127</v>
      </c>
      <c r="Q25" s="42" t="s">
        <v>128</v>
      </c>
      <c r="R25" s="45" t="s">
        <v>1</v>
      </c>
      <c r="S25" s="42" t="str">
        <f t="shared" si="7"/>
        <v>SUS.Assistência.Médica</v>
      </c>
      <c r="T25" s="42" t="str">
        <f t="shared" si="7"/>
        <v>SUS.Hotelaria</v>
      </c>
      <c r="U25" s="42" t="str">
        <f t="shared" si="7"/>
        <v>SUS.Mobília</v>
      </c>
      <c r="V25" s="43" t="s">
        <v>202</v>
      </c>
      <c r="W25" s="55" t="str">
        <f t="shared" si="3"/>
        <v>Key-SUS-25</v>
      </c>
      <c r="X25" s="43" t="s">
        <v>191</v>
      </c>
      <c r="Y25" s="43" t="s">
        <v>192</v>
      </c>
      <c r="Z25" s="44" t="s">
        <v>189</v>
      </c>
      <c r="AA25" s="43" t="str">
        <f t="shared" si="8"/>
        <v>Medical furniture used in hospitals of the Unified Health System of Brazil.</v>
      </c>
    </row>
    <row r="26" spans="1:27" customFormat="1" ht="6" customHeight="1" x14ac:dyDescent="0.4">
      <c r="A26" s="40">
        <v>26</v>
      </c>
      <c r="B26" s="46" t="s">
        <v>210</v>
      </c>
      <c r="C26" s="47" t="s">
        <v>93</v>
      </c>
      <c r="D26" s="50" t="s">
        <v>137</v>
      </c>
      <c r="E26" s="50" t="s">
        <v>162</v>
      </c>
      <c r="F26" s="53" t="s">
        <v>163</v>
      </c>
      <c r="G26" s="41" t="s">
        <v>1</v>
      </c>
      <c r="H26" s="41" t="s">
        <v>1</v>
      </c>
      <c r="I26" s="41" t="s">
        <v>1</v>
      </c>
      <c r="J26" s="41" t="s">
        <v>1</v>
      </c>
      <c r="K26" s="41" t="s">
        <v>1</v>
      </c>
      <c r="L26" s="42" t="str">
        <f t="shared" si="5"/>
        <v>SUS</v>
      </c>
      <c r="M26" s="42" t="str">
        <f t="shared" si="5"/>
        <v>SUS.Assistência.Médica</v>
      </c>
      <c r="N26" s="42" t="str">
        <f t="shared" si="5"/>
        <v>SUS.Hotelaria</v>
      </c>
      <c r="O26" s="42" t="str">
        <f t="shared" si="6"/>
        <v>SUS.Roupa</v>
      </c>
      <c r="P26" s="42" t="s">
        <v>150</v>
      </c>
      <c r="Q26" s="42" t="s">
        <v>151</v>
      </c>
      <c r="R26" s="45" t="s">
        <v>1</v>
      </c>
      <c r="S26" s="42" t="str">
        <f t="shared" si="7"/>
        <v>SUS.Assistência.Médica</v>
      </c>
      <c r="T26" s="42" t="str">
        <f t="shared" si="7"/>
        <v>SUS.Hotelaria</v>
      </c>
      <c r="U26" s="42" t="str">
        <f t="shared" si="7"/>
        <v>SUS.Roupa</v>
      </c>
      <c r="V26" s="43" t="s">
        <v>202</v>
      </c>
      <c r="W26" s="55" t="str">
        <f t="shared" si="3"/>
        <v>Key-SUS-26</v>
      </c>
      <c r="X26" s="43" t="s">
        <v>191</v>
      </c>
      <c r="Y26" s="43" t="s">
        <v>192</v>
      </c>
      <c r="Z26" s="44" t="s">
        <v>189</v>
      </c>
      <c r="AA26" s="43" t="str">
        <f t="shared" si="8"/>
        <v>Bed robe used in hospitals of the Unified Health System of Brazil.</v>
      </c>
    </row>
    <row r="27" spans="1:27" customFormat="1" ht="6" customHeight="1" x14ac:dyDescent="0.4">
      <c r="A27" s="40">
        <v>27</v>
      </c>
      <c r="B27" s="46" t="s">
        <v>210</v>
      </c>
      <c r="C27" s="47" t="s">
        <v>93</v>
      </c>
      <c r="D27" s="50" t="s">
        <v>137</v>
      </c>
      <c r="E27" s="50" t="s">
        <v>162</v>
      </c>
      <c r="F27" s="53" t="s">
        <v>152</v>
      </c>
      <c r="G27" s="41" t="s">
        <v>1</v>
      </c>
      <c r="H27" s="41" t="s">
        <v>1</v>
      </c>
      <c r="I27" s="41" t="s">
        <v>1</v>
      </c>
      <c r="J27" s="41" t="s">
        <v>1</v>
      </c>
      <c r="K27" s="41" t="s">
        <v>1</v>
      </c>
      <c r="L27" s="42" t="str">
        <f t="shared" ref="L27:N27" si="9">CONCATENATE("", C27)</f>
        <v>SUS</v>
      </c>
      <c r="M27" s="42" t="str">
        <f t="shared" si="9"/>
        <v>SUS.Assistência.Médica</v>
      </c>
      <c r="N27" s="42" t="str">
        <f t="shared" si="9"/>
        <v>SUS.Hotelaria</v>
      </c>
      <c r="O27" s="42" t="str">
        <f t="shared" si="6"/>
        <v>SUS.Alimentação</v>
      </c>
      <c r="P27" s="42" t="s">
        <v>153</v>
      </c>
      <c r="Q27" s="42" t="s">
        <v>154</v>
      </c>
      <c r="R27" s="45" t="s">
        <v>1</v>
      </c>
      <c r="S27" s="42" t="str">
        <f t="shared" ref="S27:U27" si="10">SUBSTITUTE(D27, "_", " ")</f>
        <v>SUS.Assistência.Médica</v>
      </c>
      <c r="T27" s="42" t="str">
        <f t="shared" si="10"/>
        <v>SUS.Hotelaria</v>
      </c>
      <c r="U27" s="42" t="str">
        <f t="shared" si="10"/>
        <v>SUS.Alimentação</v>
      </c>
      <c r="V27" s="43" t="s">
        <v>202</v>
      </c>
      <c r="W27" s="55" t="str">
        <f t="shared" si="3"/>
        <v>Key-SUS-27</v>
      </c>
      <c r="X27" s="43" t="s">
        <v>191</v>
      </c>
      <c r="Y27" s="43" t="s">
        <v>192</v>
      </c>
      <c r="Z27" s="44" t="s">
        <v>189</v>
      </c>
      <c r="AA27" s="43" t="str">
        <f t="shared" si="8"/>
        <v>Elements for feeding used in hospitals of the Unified Health System of Brazil.</v>
      </c>
    </row>
  </sheetData>
  <phoneticPr fontId="1" type="noConversion"/>
  <conditionalFormatting sqref="A2:B27">
    <cfRule type="cellIs" dxfId="23" priority="6" operator="equal">
      <formula>"null"</formula>
    </cfRule>
  </conditionalFormatting>
  <conditionalFormatting sqref="D7:F27 L7:Q27">
    <cfRule type="cellIs" dxfId="22" priority="22" operator="equal">
      <formula>"null"</formula>
    </cfRule>
  </conditionalFormatting>
  <conditionalFormatting sqref="F3:F6">
    <cfRule type="duplicateValues" dxfId="21" priority="1"/>
    <cfRule type="duplicateValues" dxfId="20" priority="2"/>
    <cfRule type="duplicateValues" dxfId="19" priority="3"/>
    <cfRule type="duplicateValues" dxfId="18" priority="4"/>
  </conditionalFormatting>
  <conditionalFormatting sqref="F7:F23">
    <cfRule type="duplicateValues" dxfId="17" priority="28"/>
  </conditionalFormatting>
  <conditionalFormatting sqref="F24:F27">
    <cfRule type="duplicateValues" dxfId="16" priority="21"/>
    <cfRule type="duplicateValues" dxfId="15" priority="23"/>
    <cfRule type="duplicateValues" dxfId="14" priority="24"/>
    <cfRule type="duplicateValues" dxfId="13" priority="25"/>
    <cfRule type="duplicateValues" dxfId="12" priority="26"/>
    <cfRule type="duplicateValues" dxfId="11" priority="27"/>
  </conditionalFormatting>
  <conditionalFormatting sqref="Z7:XFD7 S7:V27 X8:XFD17 Z18:XFD19 X20:XFD27">
    <cfRule type="cellIs" dxfId="10" priority="19" operator="equal">
      <formula>"null"</formula>
    </cfRule>
  </conditionalFormatting>
  <conditionalFormatting sqref="AA1:AA6">
    <cfRule type="cellIs" dxfId="9" priority="5" operator="equal">
      <formula>"null"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A1:W1 A28:XFD1048576 AB1:XFD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D1C2-A59C-4020-8FC9-E5402FE7B33F}">
  <sheetPr codeName="Planilha3"/>
  <dimension ref="A1:U2"/>
  <sheetViews>
    <sheetView zoomScale="220" zoomScaleNormal="220" workbookViewId="0"/>
  </sheetViews>
  <sheetFormatPr defaultColWidth="5.3828125" defaultRowHeight="7.95" customHeight="1" x14ac:dyDescent="0.2"/>
  <cols>
    <col min="1" max="1" width="2.53515625" style="6" bestFit="1" customWidth="1"/>
    <col min="2" max="4" width="6" style="7" customWidth="1"/>
    <col min="5" max="10" width="4.69140625" style="7" bestFit="1" customWidth="1"/>
    <col min="11" max="11" width="4.69140625" style="5" bestFit="1" customWidth="1"/>
    <col min="12" max="12" width="4.3828125" style="5" bestFit="1" customWidth="1"/>
    <col min="13" max="20" width="4.69140625" style="5" bestFit="1" customWidth="1"/>
    <col min="21" max="21" width="4" style="5" bestFit="1" customWidth="1"/>
    <col min="22" max="16384" width="5.3828125" style="5"/>
  </cols>
  <sheetData>
    <row r="1" spans="1:21" s="4" customFormat="1" ht="26.25" customHeight="1" x14ac:dyDescent="0.2">
      <c r="A1" s="30" t="s">
        <v>13</v>
      </c>
      <c r="B1" s="31" t="s">
        <v>15</v>
      </c>
      <c r="C1" s="31" t="s">
        <v>16</v>
      </c>
      <c r="D1" s="31" t="s">
        <v>17</v>
      </c>
      <c r="E1" s="31" t="s">
        <v>18</v>
      </c>
      <c r="F1" s="31" t="s">
        <v>19</v>
      </c>
      <c r="G1" s="31" t="s">
        <v>20</v>
      </c>
      <c r="H1" s="31" t="s">
        <v>21</v>
      </c>
      <c r="I1" s="31" t="s">
        <v>22</v>
      </c>
      <c r="J1" s="31" t="s">
        <v>23</v>
      </c>
      <c r="K1" s="31" t="s">
        <v>2</v>
      </c>
      <c r="L1" s="31" t="s">
        <v>3</v>
      </c>
      <c r="M1" s="31" t="s">
        <v>4</v>
      </c>
      <c r="N1" s="31" t="s">
        <v>5</v>
      </c>
      <c r="O1" s="31" t="s">
        <v>6</v>
      </c>
      <c r="P1" s="31" t="s">
        <v>7</v>
      </c>
      <c r="Q1" s="31" t="s">
        <v>8</v>
      </c>
      <c r="R1" s="31" t="s">
        <v>9</v>
      </c>
      <c r="S1" s="31" t="s">
        <v>10</v>
      </c>
      <c r="T1" s="31" t="s">
        <v>11</v>
      </c>
      <c r="U1" s="31" t="s">
        <v>12</v>
      </c>
    </row>
    <row r="2" spans="1:21" ht="9.75" customHeight="1" x14ac:dyDescent="0.2">
      <c r="A2" s="30">
        <v>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</row>
  </sheetData>
  <phoneticPr fontId="1" type="noConversion"/>
  <conditionalFormatting sqref="A1:XFD1048576">
    <cfRule type="cellIs" dxfId="8" priority="1" operator="equal">
      <formula>"null"</formula>
    </cfRule>
  </conditionalFormatting>
  <pageMargins left="0.7" right="0.7" top="0.75" bottom="0.75" header="0.3" footer="0.3"/>
  <pageSetup paperSize="9" orientation="portrait" r:id="rId1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6A8C-1CEB-46D6-A1F4-67CE8A835CC9}">
  <sheetPr codeName="Planilha4"/>
  <dimension ref="A1:C2"/>
  <sheetViews>
    <sheetView zoomScale="265" zoomScaleNormal="265" workbookViewId="0">
      <selection activeCell="B1" sqref="B1:C1"/>
    </sheetView>
  </sheetViews>
  <sheetFormatPr defaultRowHeight="14.6" x14ac:dyDescent="0.4"/>
  <cols>
    <col min="1" max="1" width="3.3046875" customWidth="1"/>
    <col min="2" max="2" width="16.3046875" customWidth="1"/>
    <col min="3" max="3" width="19.3828125" customWidth="1"/>
  </cols>
  <sheetData>
    <row r="1" spans="1:3" x14ac:dyDescent="0.4">
      <c r="A1" s="9">
        <v>1</v>
      </c>
      <c r="B1" s="10" t="s">
        <v>94</v>
      </c>
      <c r="C1" s="10" t="s">
        <v>95</v>
      </c>
    </row>
    <row r="2" spans="1:3" x14ac:dyDescent="0.4">
      <c r="A2" s="11">
        <v>2</v>
      </c>
      <c r="B2" s="12" t="s">
        <v>1</v>
      </c>
      <c r="C2" s="12" t="s">
        <v>1</v>
      </c>
    </row>
  </sheetData>
  <conditionalFormatting sqref="A1:A2">
    <cfRule type="cellIs" dxfId="7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128A-C40E-43D6-A351-FFD2E9954DB9}">
  <sheetPr codeName="Planilha5"/>
  <dimension ref="A1:O5"/>
  <sheetViews>
    <sheetView zoomScale="325" zoomScaleNormal="325" workbookViewId="0">
      <pane ySplit="1" topLeftCell="A2" activePane="bottomLeft" state="frozen"/>
      <selection pane="bottomLeft" activeCell="M10" sqref="M10"/>
    </sheetView>
  </sheetViews>
  <sheetFormatPr defaultRowHeight="7.5" customHeight="1" x14ac:dyDescent="0.4"/>
  <cols>
    <col min="1" max="1" width="2.53515625" bestFit="1" customWidth="1"/>
    <col min="2" max="2" width="7.3046875" bestFit="1" customWidth="1"/>
    <col min="3" max="3" width="7.3828125" bestFit="1" customWidth="1"/>
    <col min="4" max="4" width="4.3046875" style="33" bestFit="1" customWidth="1"/>
    <col min="5" max="5" width="13.84375" style="33" bestFit="1" customWidth="1"/>
    <col min="6" max="6" width="6" style="22" bestFit="1" customWidth="1"/>
    <col min="7" max="7" width="72.69140625" style="22" bestFit="1" customWidth="1"/>
    <col min="8" max="8" width="8.3828125" style="33" bestFit="1" customWidth="1"/>
    <col min="9" max="9" width="4.84375" style="33" bestFit="1" customWidth="1"/>
    <col min="10" max="10" width="5.69140625" style="33" bestFit="1" customWidth="1"/>
    <col min="11" max="11" width="4.84375" style="33" bestFit="1" customWidth="1"/>
    <col min="12" max="12" width="7.3046875" style="33" bestFit="1" customWidth="1"/>
    <col min="13" max="13" width="7.53515625" style="33" bestFit="1" customWidth="1"/>
    <col min="14" max="14" width="4.3046875" style="33" bestFit="1" customWidth="1"/>
    <col min="15" max="15" width="4.84375" style="33" bestFit="1" customWidth="1"/>
  </cols>
  <sheetData>
    <row r="1" spans="1:15" ht="18" customHeight="1" x14ac:dyDescent="0.4">
      <c r="A1" s="19" t="s">
        <v>24</v>
      </c>
      <c r="B1" s="20" t="s">
        <v>75</v>
      </c>
      <c r="C1" s="20" t="s">
        <v>75</v>
      </c>
      <c r="D1" s="20" t="s">
        <v>76</v>
      </c>
      <c r="E1" s="20" t="s">
        <v>48</v>
      </c>
      <c r="F1" s="21" t="s">
        <v>76</v>
      </c>
      <c r="G1" s="21" t="s">
        <v>48</v>
      </c>
      <c r="H1" s="20" t="s">
        <v>76</v>
      </c>
      <c r="I1" s="20" t="s">
        <v>48</v>
      </c>
      <c r="J1" s="20" t="s">
        <v>76</v>
      </c>
      <c r="K1" s="20" t="s">
        <v>48</v>
      </c>
      <c r="L1" s="20" t="s">
        <v>76</v>
      </c>
      <c r="M1" s="20" t="s">
        <v>48</v>
      </c>
      <c r="N1" s="20" t="s">
        <v>76</v>
      </c>
      <c r="O1" s="20" t="s">
        <v>48</v>
      </c>
    </row>
    <row r="2" spans="1:15" ht="7.5" customHeight="1" x14ac:dyDescent="0.4">
      <c r="A2" s="23">
        <v>2</v>
      </c>
      <c r="B2" s="24" t="s">
        <v>78</v>
      </c>
      <c r="C2" s="25" t="s">
        <v>96</v>
      </c>
      <c r="D2" s="37" t="s">
        <v>83</v>
      </c>
      <c r="E2" s="32" t="s">
        <v>205</v>
      </c>
      <c r="F2" s="37" t="s">
        <v>84</v>
      </c>
      <c r="G2" s="38" t="s">
        <v>206</v>
      </c>
      <c r="H2" s="37" t="s">
        <v>174</v>
      </c>
      <c r="I2" s="32" t="s">
        <v>214</v>
      </c>
      <c r="J2" s="37" t="s">
        <v>175</v>
      </c>
      <c r="K2" s="32" t="s">
        <v>214</v>
      </c>
      <c r="L2" s="37" t="s">
        <v>204</v>
      </c>
      <c r="M2" s="32" t="s">
        <v>203</v>
      </c>
      <c r="N2" s="37" t="s">
        <v>1</v>
      </c>
      <c r="O2" s="32" t="s">
        <v>1</v>
      </c>
    </row>
    <row r="3" spans="1:15" ht="7.5" customHeight="1" x14ac:dyDescent="0.4">
      <c r="A3" s="23">
        <v>3</v>
      </c>
      <c r="B3" s="24" t="s">
        <v>79</v>
      </c>
      <c r="C3" s="25" t="s">
        <v>96</v>
      </c>
      <c r="D3" s="37" t="s">
        <v>83</v>
      </c>
      <c r="E3" s="32" t="s">
        <v>205</v>
      </c>
      <c r="F3" s="37" t="s">
        <v>84</v>
      </c>
      <c r="G3" s="38" t="s">
        <v>209</v>
      </c>
      <c r="H3" s="37" t="s">
        <v>174</v>
      </c>
      <c r="I3" s="32" t="s">
        <v>214</v>
      </c>
      <c r="J3" s="37" t="s">
        <v>175</v>
      </c>
      <c r="K3" s="32" t="s">
        <v>214</v>
      </c>
      <c r="L3" s="37" t="s">
        <v>204</v>
      </c>
      <c r="M3" s="32" t="s">
        <v>203</v>
      </c>
      <c r="N3" s="37" t="s">
        <v>1</v>
      </c>
      <c r="O3" s="32" t="s">
        <v>1</v>
      </c>
    </row>
    <row r="4" spans="1:15" ht="7.5" customHeight="1" x14ac:dyDescent="0.4">
      <c r="A4" s="23">
        <v>4</v>
      </c>
      <c r="B4" s="24" t="s">
        <v>80</v>
      </c>
      <c r="C4" s="25" t="s">
        <v>96</v>
      </c>
      <c r="D4" s="37" t="s">
        <v>83</v>
      </c>
      <c r="E4" s="32" t="s">
        <v>205</v>
      </c>
      <c r="F4" s="37" t="s">
        <v>84</v>
      </c>
      <c r="G4" s="38" t="s">
        <v>208</v>
      </c>
      <c r="H4" s="37" t="s">
        <v>174</v>
      </c>
      <c r="I4" s="32" t="s">
        <v>214</v>
      </c>
      <c r="J4" s="37" t="s">
        <v>175</v>
      </c>
      <c r="K4" s="32" t="s">
        <v>214</v>
      </c>
      <c r="L4" s="37" t="s">
        <v>204</v>
      </c>
      <c r="M4" s="32" t="s">
        <v>203</v>
      </c>
      <c r="N4" s="37" t="s">
        <v>1</v>
      </c>
      <c r="O4" s="32" t="s">
        <v>1</v>
      </c>
    </row>
    <row r="5" spans="1:15" ht="7.5" customHeight="1" x14ac:dyDescent="0.4">
      <c r="A5" s="23">
        <v>5</v>
      </c>
      <c r="B5" s="24" t="s">
        <v>81</v>
      </c>
      <c r="C5" s="25" t="s">
        <v>96</v>
      </c>
      <c r="D5" s="37" t="s">
        <v>83</v>
      </c>
      <c r="E5" s="32" t="s">
        <v>205</v>
      </c>
      <c r="F5" s="37" t="s">
        <v>84</v>
      </c>
      <c r="G5" s="38" t="s">
        <v>207</v>
      </c>
      <c r="H5" s="37" t="s">
        <v>174</v>
      </c>
      <c r="I5" s="32" t="s">
        <v>214</v>
      </c>
      <c r="J5" s="37" t="s">
        <v>175</v>
      </c>
      <c r="K5" s="32" t="s">
        <v>214</v>
      </c>
      <c r="L5" s="37" t="s">
        <v>204</v>
      </c>
      <c r="M5" s="32" t="s">
        <v>203</v>
      </c>
      <c r="N5" s="37" t="s">
        <v>1</v>
      </c>
      <c r="O5" s="32" t="s">
        <v>1</v>
      </c>
    </row>
  </sheetData>
  <conditionalFormatting sqref="A1:XFD1048576">
    <cfRule type="cellIs" dxfId="6" priority="1" operator="equal">
      <formula>"null"</formula>
    </cfRule>
  </conditionalFormatting>
  <conditionalFormatting sqref="D1">
    <cfRule type="cellIs" dxfId="5" priority="10" operator="equal">
      <formula>"null"</formula>
    </cfRule>
  </conditionalFormatting>
  <conditionalFormatting sqref="F1">
    <cfRule type="cellIs" dxfId="4" priority="6" operator="equal">
      <formula>"null"</formula>
    </cfRule>
  </conditionalFormatting>
  <conditionalFormatting sqref="H1">
    <cfRule type="cellIs" dxfId="3" priority="5" operator="equal">
      <formula>"null"</formula>
    </cfRule>
  </conditionalFormatting>
  <conditionalFormatting sqref="J1">
    <cfRule type="cellIs" dxfId="2" priority="4" operator="equal">
      <formula>"null"</formula>
    </cfRule>
  </conditionalFormatting>
  <conditionalFormatting sqref="L1">
    <cfRule type="cellIs" dxfId="1" priority="3" operator="equal">
      <formula>"null"</formula>
    </cfRule>
  </conditionalFormatting>
  <conditionalFormatting sqref="N1">
    <cfRule type="cellIs" dxfId="0" priority="2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DA16A-FA7F-4C2B-A774-AE96AE54DD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2023-10-05T15:04:02Z</dcterms:created>
  <dcterms:modified xsi:type="dcterms:W3CDTF">2026-07-30T14:49:39Z</dcterms:modified>
</cp:coreProperties>
</file>