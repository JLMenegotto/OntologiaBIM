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EST\"/>
    </mc:Choice>
  </mc:AlternateContent>
  <xr:revisionPtr revIDLastSave="0" documentId="13_ncr:1_{1EFB9F4C-215F-4B7B-8426-2F5366EC6103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Interop" sheetId="16" r:id="rId4"/>
    <sheet name="FatosIn" sheetId="28" r:id="rId5"/>
  </sheets>
  <definedNames>
    <definedName name="_xlnm._FilterDatabase" localSheetId="1" hidden="1">Classes!$A$1:$AA$1</definedName>
    <definedName name="_xlnm._FilterDatabase" localSheetId="3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1" i="30"/>
  <c r="W22" i="30"/>
  <c r="W23" i="30"/>
  <c r="W24" i="30"/>
  <c r="W25" i="30"/>
  <c r="W26" i="30"/>
  <c r="W27" i="30"/>
  <c r="W28" i="30"/>
  <c r="W29" i="30"/>
  <c r="W30" i="30"/>
  <c r="W31" i="30"/>
  <c r="W32" i="30"/>
  <c r="W33" i="30"/>
  <c r="W34" i="30"/>
  <c r="W35" i="30"/>
  <c r="W36" i="30"/>
  <c r="W37" i="30"/>
  <c r="W38" i="30"/>
  <c r="W39" i="30"/>
  <c r="W40" i="30"/>
  <c r="W41" i="30"/>
  <c r="W42" i="30"/>
  <c r="W43" i="30"/>
  <c r="W44" i="30"/>
  <c r="W45" i="30"/>
  <c r="W46" i="30"/>
  <c r="W47" i="30"/>
  <c r="W48" i="30"/>
  <c r="W49" i="30"/>
  <c r="W50" i="30"/>
  <c r="W51" i="30"/>
  <c r="W2" i="30" l="1"/>
  <c r="S3" i="30"/>
  <c r="T3" i="30"/>
  <c r="U3" i="30"/>
  <c r="S4" i="30"/>
  <c r="T4" i="30"/>
  <c r="U4" i="30"/>
  <c r="S5" i="30"/>
  <c r="T5" i="30"/>
  <c r="U5" i="30"/>
  <c r="S6" i="30"/>
  <c r="T6" i="30"/>
  <c r="U6" i="30"/>
  <c r="S7" i="30"/>
  <c r="T7" i="30"/>
  <c r="U7" i="30"/>
  <c r="S8" i="30"/>
  <c r="T8" i="30"/>
  <c r="U8" i="30"/>
  <c r="S9" i="30"/>
  <c r="T9" i="30"/>
  <c r="U9" i="30"/>
  <c r="S10" i="30"/>
  <c r="T10" i="30"/>
  <c r="U10" i="30"/>
  <c r="S11" i="30"/>
  <c r="T11" i="30"/>
  <c r="U11" i="30"/>
  <c r="S12" i="30"/>
  <c r="T12" i="30"/>
  <c r="U12" i="30"/>
  <c r="S13" i="30"/>
  <c r="T13" i="30"/>
  <c r="U13" i="30"/>
  <c r="S14" i="30"/>
  <c r="T14" i="30"/>
  <c r="U14" i="30"/>
  <c r="S15" i="30"/>
  <c r="T15" i="30"/>
  <c r="U15" i="30"/>
  <c r="S16" i="30"/>
  <c r="T16" i="30"/>
  <c r="U16" i="30"/>
  <c r="S17" i="30"/>
  <c r="T17" i="30"/>
  <c r="U17" i="30"/>
  <c r="S18" i="30"/>
  <c r="T18" i="30"/>
  <c r="U18" i="30"/>
  <c r="S19" i="30"/>
  <c r="T19" i="30"/>
  <c r="U19" i="30"/>
  <c r="S20" i="30"/>
  <c r="T20" i="30"/>
  <c r="U20" i="30"/>
  <c r="S21" i="30"/>
  <c r="T21" i="30"/>
  <c r="U21" i="30"/>
  <c r="S22" i="30"/>
  <c r="T22" i="30"/>
  <c r="U22" i="30"/>
  <c r="S23" i="30"/>
  <c r="T23" i="30"/>
  <c r="U23" i="30"/>
  <c r="S24" i="30"/>
  <c r="T24" i="30"/>
  <c r="U24" i="30"/>
  <c r="S25" i="30"/>
  <c r="T25" i="30"/>
  <c r="U25" i="30"/>
  <c r="S26" i="30"/>
  <c r="T26" i="30"/>
  <c r="U26" i="30"/>
  <c r="S27" i="30"/>
  <c r="T27" i="30"/>
  <c r="U27" i="30"/>
  <c r="S28" i="30"/>
  <c r="T28" i="30"/>
  <c r="U28" i="30"/>
  <c r="S29" i="30"/>
  <c r="T29" i="30"/>
  <c r="U29" i="30"/>
  <c r="S30" i="30"/>
  <c r="T30" i="30"/>
  <c r="U30" i="30"/>
  <c r="S31" i="30"/>
  <c r="T31" i="30"/>
  <c r="U31" i="30"/>
  <c r="S32" i="30"/>
  <c r="T32" i="30"/>
  <c r="U32" i="30"/>
  <c r="S33" i="30"/>
  <c r="T33" i="30"/>
  <c r="U33" i="30"/>
  <c r="S34" i="30"/>
  <c r="T34" i="30"/>
  <c r="U34" i="30"/>
  <c r="S35" i="30"/>
  <c r="T35" i="30"/>
  <c r="U35" i="30"/>
  <c r="S36" i="30"/>
  <c r="T36" i="30"/>
  <c r="U36" i="30"/>
  <c r="S37" i="30"/>
  <c r="T37" i="30"/>
  <c r="U37" i="30"/>
  <c r="S38" i="30"/>
  <c r="T38" i="30"/>
  <c r="U38" i="30"/>
  <c r="S39" i="30"/>
  <c r="T39" i="30"/>
  <c r="U39" i="30"/>
  <c r="S40" i="30"/>
  <c r="T40" i="30"/>
  <c r="U40" i="30"/>
  <c r="S41" i="30"/>
  <c r="T41" i="30"/>
  <c r="U41" i="30"/>
  <c r="S42" i="30"/>
  <c r="T42" i="30"/>
  <c r="U42" i="30"/>
  <c r="S43" i="30"/>
  <c r="T43" i="30"/>
  <c r="U43" i="30"/>
  <c r="S44" i="30"/>
  <c r="T44" i="30"/>
  <c r="U44" i="30"/>
  <c r="S45" i="30"/>
  <c r="T45" i="30"/>
  <c r="U45" i="30"/>
  <c r="S46" i="30"/>
  <c r="T46" i="30"/>
  <c r="U46" i="30"/>
  <c r="S47" i="30"/>
  <c r="T47" i="30"/>
  <c r="U47" i="30"/>
  <c r="S48" i="30"/>
  <c r="T48" i="30"/>
  <c r="U48" i="30"/>
  <c r="S49" i="30"/>
  <c r="T49" i="30"/>
  <c r="U49" i="30"/>
  <c r="S50" i="30"/>
  <c r="T50" i="30"/>
  <c r="U50" i="30"/>
  <c r="S51" i="30"/>
  <c r="T51" i="30"/>
  <c r="U51" i="30"/>
  <c r="L3" i="30"/>
  <c r="M3" i="30"/>
  <c r="N3" i="30"/>
  <c r="O3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O2" i="30" l="1"/>
  <c r="N2" i="30"/>
  <c r="M2" i="30"/>
  <c r="L2" i="30"/>
  <c r="U2" i="30"/>
  <c r="T2" i="30"/>
  <c r="S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<sst xmlns="http://schemas.openxmlformats.org/spreadsheetml/2006/main" count="1079" uniqueCount="381">
  <si>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</si>
  <si>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</si>
  <si>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</si>
  <si>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</si>
  <si>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</si>
  <si>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</si>
  <si>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</si>
  <si>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</si>
  <si>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</si>
  <si>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</si>
  <si>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</si>
  <si>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</si>
  <si>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</si>
  <si>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</si>
  <si>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</si>
  <si>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</si>
  <si>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</si>
  <si>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</si>
  <si>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</si>
  <si>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</si>
  <si>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</si>
  <si>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</si>
  <si>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</si>
  <si>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</si>
  <si>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</si>
  <si>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</si>
  <si>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</si>
  <si>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</si>
  <si>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</si>
  <si>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</si>
  <si>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</si>
  <si>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</si>
  <si>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</si>
  <si>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</si>
  <si>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</si>
  <si>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</si>
  <si>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</si>
  <si>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</si>
  <si>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</si>
  <si>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</si>
  <si>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</si>
  <si>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</si>
  <si>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</si>
  <si>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</si>
  <si>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</si>
  <si>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</si>
  <si>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</si>
  <si>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</si>
  <si>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</si>
  <si>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</si>
  <si>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</si>
  <si>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</si>
  <si>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</si>
  <si>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</si>
  <si>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</si>
  <si>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</si>
  <si>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</si>
  <si>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</si>
  <si>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</si>
  <si>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</si>
  <si>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</si>
  <si>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</si>
  <si>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</si>
  <si>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</si>
  <si>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</si>
  <si>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</si>
  <si>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</si>
  <si>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</si>
  <si>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</si>
  <si>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</si>
  <si>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</si>
  <si>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</si>
  <si>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</si>
  <si>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</si>
  <si>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</si>
  <si>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</si>
  <si>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</si>
  <si>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</si>
  <si>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</si>
  <si>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</si>
  <si>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</si>
  <si>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</si>
  <si>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</si>
  <si>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</si>
  <si>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</si>
  <si>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</si>
  <si>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</si>
  <si>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</si>
  <si>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</si>
  <si>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</si>
  <si>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</si>
  <si>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</si>
  <si>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</si>
  <si>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</si>
  <si>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</si>
  <si>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</si>
  <si>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</si>
  <si>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</si>
  <si>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</si>
  <si>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</si>
  <si>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</si>
  <si>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</si>
  <si>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</si>
  <si>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</si>
  <si>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</si>
  <si>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</si>
  <si>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</si>
  <si>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</si>
  <si>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</si>
  <si>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</si>
  <si>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</si>
  <si>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</si>
  <si>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</si>
  <si>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</si>
  <si>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</si>
  <si>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</si>
  <si>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</si>
  <si>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</si>
  <si>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</si>
  <si>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</si>
  <si>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</si>
  <si>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</si>
  <si>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</si>
  <si>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</si>
  <si>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</si>
  <si>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</si>
  <si>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</si>
  <si>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</si>
  <si>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</si>
  <si>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</si>
  <si>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</si>
  <si>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</si>
  <si>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</si>
  <si>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</si>
  <si>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</si>
  <si>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</si>
  <si>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</si>
  <si>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</si>
  <si>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</si>
  <si>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</si>
  <si>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</si>
  <si>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</si>
  <si>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ClasseIFC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</si>
  <si>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</si>
  <si>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</si>
  <si>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</si>
  <si>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</si>
  <si>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</si>
  <si>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</si>
  <si>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</si>
  <si>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</si>
  <si>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</si>
  <si>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</si>
  <si>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</si>
  <si>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</si>
  <si>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</si>
  <si>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</si>
  <si>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</si>
  <si>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</si>
  <si>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</si>
  <si>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</si>
  <si>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</si>
  <si>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</si>
  <si>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</si>
  <si>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</si>
  <si>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</si>
  <si>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</si>
  <si>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</si>
  <si>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</si>
  <si>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</si>
  <si>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</si>
  <si>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</si>
  <si>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</si>
  <si>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</si>
  <si>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</si>
  <si>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</si>
  <si>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</si>
  <si>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</si>
  <si>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</si>
  <si>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</si>
  <si>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</si>
  <si>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</si>
  <si>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Elementos.Altimétricos</t>
  </si>
  <si>
    <t>Elementos.Paisagísticos</t>
  </si>
  <si>
    <t>[ OST_Parking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</si>
  <si>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</si>
  <si>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</si>
  <si>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</si>
  <si>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</si>
  <si>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</si>
  <si>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</si>
  <si>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</si>
  <si>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</si>
  <si>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</si>
  <si>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</si>
  <si>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</si>
  <si>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</si>
  <si>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</si>
  <si>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</si>
  <si>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</si>
  <si>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</si>
  <si>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</si>
  <si>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</si>
  <si>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</si>
  <si>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</si>
  <si>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</si>
  <si>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</si>
  <si>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</si>
  <si>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</si>
  <si>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</si>
  <si>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</si>
  <si>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</si>
  <si>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</si>
  <si>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</si>
  <si>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</si>
  <si>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[ -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</si>
  <si>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</si>
  <si>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</si>
  <si>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</si>
  <si>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</si>
  <si>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</si>
  <si>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</si>
  <si>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</si>
  <si>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</si>
  <si>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</si>
  <si>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</si>
  <si>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</si>
  <si>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</si>
  <si>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</si>
  <si>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</si>
  <si>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</si>
  <si>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</si>
  <si>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</si>
  <si>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</si>
  <si>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</si>
  <si>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</si>
  <si>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</si>
  <si>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</si>
  <si>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</si>
  <si>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</si>
  <si>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</si>
  <si>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</si>
  <si>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</si>
  <si>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</si>
  <si>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</si>
  <si>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</si>
  <si>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</si>
  <si>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</si>
  <si>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</si>
  <si>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</si>
  <si>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</si>
  <si>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</si>
  <si>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</si>
  <si>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</si>
  <si>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</si>
  <si>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</si>
  <si>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</si>
  <si>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</si>
  <si>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</si>
  <si>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</si>
  <si>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</si>
  <si>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</si>
  <si>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</si>
  <si>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</si>
  <si>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</si>
  <si>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</si>
  <si>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</si>
  <si>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</si>
  <si>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</si>
  <si>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</si>
  <si>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</si>
  <si>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</si>
  <si>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</si>
  <si>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</si>
  <si>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</si>
  <si>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</si>
  <si>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</si>
  <si>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</si>
  <si>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</si>
  <si>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</si>
  <si>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</si>
  <si>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</si>
  <si>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</si>
  <si>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nome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</si>
  <si>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</si>
  <si>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</si>
  <si>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</si>
  <si>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</si>
  <si>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</si>
  <si>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</si>
  <si>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</si>
  <si>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</si>
  <si>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</si>
  <si>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</si>
  <si>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</si>
  <si>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</si>
  <si>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</si>
  <si>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</si>
  <si>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</si>
  <si>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</si>
  <si>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</si>
  <si>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</si>
  <si>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</si>
  <si>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</si>
  <si>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</si>
  <si>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</si>
  <si>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</si>
  <si>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</si>
  <si>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</si>
  <si>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</si>
  <si>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</si>
  <si>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</si>
  <si>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</si>
  <si>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</si>
  <si>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</si>
  <si>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</si>
  <si>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</si>
  <si>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</si>
  <si>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</si>
  <si>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</si>
  <si>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</si>
  <si>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</si>
  <si>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</si>
  <si>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</si>
  <si>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</si>
  <si>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</si>
  <si>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</si>
  <si>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</si>
  <si>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</si>
  <si>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</si>
  <si>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</si>
  <si>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</si>
  <si>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</si>
  <si>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</si>
  <si>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</si>
  <si>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</si>
  <si>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</si>
  <si>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</si>
  <si>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</si>
  <si>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</si>
  <si>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</si>
  <si>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</si>
  <si>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</si>
  <si>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</si>
  <si>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</si>
  <si>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</si>
  <si>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</si>
  <si>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</si>
  <si>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</si>
  <si>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</si>
  <si>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</si>
  <si>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</si>
  <si>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</si>
  <si>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</si>
  <si>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</si>
  <si>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</si>
  <si>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</si>
  <si>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</si>
  <si>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</si>
  <si>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</si>
  <si>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</si>
  <si>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</si>
  <si>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</si>
  <si>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</si>
  <si>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</si>
  <si>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</si>
  <si>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</si>
  <si>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</si>
  <si>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</si>
  <si>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</si>
  <si>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</si>
  <si>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</si>
  <si>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Projeto_A</t>
  </si>
  <si>
    <t>"CTN_PRJ_A"</t>
  </si>
  <si>
    <t>Conceitos</t>
  </si>
  <si>
    <t>GeoTécnicos</t>
  </si>
  <si>
    <t>[ IfcSpatialStructureElement : IfcSite ]</t>
  </si>
  <si>
    <t>[ OST_ToposolidFinish1 : OST_ToposolidFinish2 ]</t>
  </si>
  <si>
    <t>[ OST_ToposolidSecondaryContours :  OST_SecondaryTopographyContours  ]</t>
  </si>
  <si>
    <t>[ OST_ToposolidContours : OST_TopographyContours ]</t>
  </si>
  <si>
    <t>"Conjunto de Informação Geotécnica do projeto 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</si>
</sst>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14" borderId="4" xfId="0" applyFont="1" applyFill="1" applyBorder="1" applyAlignment="1">
      <alignment vertical="center"/>
    </xf>
    <xf numFmtId="0" fontId="14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7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right" vertical="center"/>
    </xf>
    <xf numFmtId="0" fontId="8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13" fillId="3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2" fillId="22" borderId="4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 wrapText="1"/>
    </xf>
    <xf numFmtId="0" fontId="12" fillId="0" borderId="0" xfId="0" applyFont="1"/>
  </cellXfs>
  <cellStyles count="1">
    <cellStyle name="Normal" xfId="0" builtinId="0"/>
  </cellStyles>
  <dxfs count="63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5234375" defaultRowHeight="7" customHeight="1" x14ac:dyDescent="0.4"/>
  <cols>
    <col min="1" max="1" width="9.3046875" style="23" customWidth="1"/>
    <col min="2" max="2" width="39.15234375" style="23" bestFit="1" customWidth="1"/>
    <col min="3" max="3" width="3.3828125" style="38" bestFit="1" customWidth="1"/>
    <col min="4" max="16384" width="9.15234375" style="23"/>
  </cols>
  <sheetData>
    <row r="1" spans="1:3" ht="16.95" customHeight="1" x14ac:dyDescent="0.4">
      <c r="A1" s="10" t="s">
        <v>43</v>
      </c>
      <c r="B1" s="10" t="s">
        <v>44</v>
      </c>
      <c r="C1" s="36" t="s">
        <v>86</v>
      </c>
    </row>
    <row r="2" spans="1:3" ht="7" customHeight="1" x14ac:dyDescent="0.4">
      <c r="A2" s="11" t="s">
        <v>45</v>
      </c>
      <c r="B2" s="11" t="s">
        <v>46</v>
      </c>
      <c r="C2" s="37" t="s">
        <v>87</v>
      </c>
    </row>
    <row r="3" spans="1:3" ht="7" customHeight="1" x14ac:dyDescent="0.4">
      <c r="A3" s="11" t="s">
        <v>47</v>
      </c>
      <c r="B3" s="11" t="s">
        <v>141</v>
      </c>
      <c r="C3" s="37" t="s">
        <v>87</v>
      </c>
    </row>
    <row r="4" spans="1:3" ht="7" customHeight="1" x14ac:dyDescent="0.4">
      <c r="A4" s="12" t="s">
        <v>48</v>
      </c>
      <c r="B4" s="12" t="s">
        <v>32</v>
      </c>
      <c r="C4" s="37" t="s">
        <v>87</v>
      </c>
    </row>
    <row r="5" spans="1:3" ht="7" customHeight="1" x14ac:dyDescent="0.4">
      <c r="A5" s="12" t="s">
        <v>49</v>
      </c>
      <c r="B5" s="12" t="str">
        <f>_xlfn.CONCAT(B4,"Prop")</f>
        <v>BIMProp</v>
      </c>
      <c r="C5" s="37" t="s">
        <v>87</v>
      </c>
    </row>
    <row r="6" spans="1:3" ht="7" customHeight="1" x14ac:dyDescent="0.4">
      <c r="A6" s="12" t="s">
        <v>50</v>
      </c>
      <c r="B6" s="12" t="str">
        <f>_xlfn.CONCAT(B4,"Data")</f>
        <v>BIMData</v>
      </c>
      <c r="C6" s="37" t="s">
        <v>87</v>
      </c>
    </row>
    <row r="7" spans="1:3" ht="7" customHeight="1" x14ac:dyDescent="0.4">
      <c r="A7" s="12" t="s">
        <v>51</v>
      </c>
      <c r="B7" s="12" t="s">
        <v>52</v>
      </c>
      <c r="C7" s="37" t="s">
        <v>87</v>
      </c>
    </row>
    <row r="8" spans="1:3" customFormat="1" ht="7" customHeight="1" x14ac:dyDescent="0.4">
      <c r="A8" s="12" t="s">
        <v>53</v>
      </c>
      <c r="B8" s="12" t="s">
        <v>85</v>
      </c>
      <c r="C8" s="37" t="s">
        <v>87</v>
      </c>
    </row>
    <row r="9" spans="1:3" ht="7" customHeight="1" x14ac:dyDescent="0.4">
      <c r="A9" s="12" t="s">
        <v>54</v>
      </c>
      <c r="B9" s="12" t="s">
        <v>55</v>
      </c>
      <c r="C9" s="37" t="s">
        <v>87</v>
      </c>
    </row>
    <row r="10" spans="1:3" ht="7" customHeight="1" x14ac:dyDescent="0.4">
      <c r="A10" s="12" t="s">
        <v>56</v>
      </c>
      <c r="B10" s="12" t="s">
        <v>57</v>
      </c>
      <c r="C10" s="37" t="s">
        <v>87</v>
      </c>
    </row>
    <row r="11" spans="1:3" ht="7" customHeight="1" x14ac:dyDescent="0.4">
      <c r="A11" s="12" t="s">
        <v>58</v>
      </c>
      <c r="B11" s="12" t="s">
        <v>57</v>
      </c>
      <c r="C11" s="37" t="s">
        <v>87</v>
      </c>
    </row>
    <row r="12" spans="1:3" ht="7" customHeight="1" x14ac:dyDescent="0.4">
      <c r="A12" s="12" t="s">
        <v>59</v>
      </c>
      <c r="B12" s="12" t="s">
        <v>57</v>
      </c>
      <c r="C12" s="37" t="s">
        <v>87</v>
      </c>
    </row>
    <row r="13" spans="1:3" ht="7" customHeight="1" x14ac:dyDescent="0.4">
      <c r="A13" s="12" t="s">
        <v>60</v>
      </c>
      <c r="B13" s="12" t="s">
        <v>57</v>
      </c>
      <c r="C13" s="37" t="s">
        <v>87</v>
      </c>
    </row>
    <row r="14" spans="1:3" ht="7" customHeight="1" x14ac:dyDescent="0.4">
      <c r="A14" s="12" t="s">
        <v>61</v>
      </c>
      <c r="B14" s="12" t="s">
        <v>57</v>
      </c>
      <c r="C14" s="37" t="s">
        <v>87</v>
      </c>
    </row>
    <row r="15" spans="1:3" ht="7" customHeight="1" x14ac:dyDescent="0.4">
      <c r="A15" s="12" t="s">
        <v>62</v>
      </c>
      <c r="B15" s="12" t="s">
        <v>57</v>
      </c>
      <c r="C15" s="37" t="s">
        <v>87</v>
      </c>
    </row>
    <row r="16" spans="1:3" ht="7" customHeight="1" x14ac:dyDescent="0.4">
      <c r="A16" s="12" t="s">
        <v>63</v>
      </c>
      <c r="B16" s="12" t="s">
        <v>57</v>
      </c>
      <c r="C16" s="37" t="s">
        <v>87</v>
      </c>
    </row>
    <row r="17" spans="1:3" ht="7" customHeight="1" x14ac:dyDescent="0.4">
      <c r="A17" s="12" t="s">
        <v>64</v>
      </c>
      <c r="B17" s="12" t="s">
        <v>284</v>
      </c>
      <c r="C17" s="37" t="s">
        <v>87</v>
      </c>
    </row>
    <row r="18" spans="1:3" ht="7" customHeight="1" x14ac:dyDescent="0.4">
      <c r="A18" s="12" t="s">
        <v>65</v>
      </c>
      <c r="B18" s="25">
        <f ca="1">NOW()</f>
        <v>46249.396070023147</v>
      </c>
      <c r="C18" s="37" t="s">
        <v>87</v>
      </c>
    </row>
    <row r="19" spans="1:3" ht="7" customHeight="1" x14ac:dyDescent="0.4">
      <c r="A19" s="12" t="s">
        <v>93</v>
      </c>
      <c r="B19" s="24" t="s">
        <v>91</v>
      </c>
      <c r="C19" s="37" t="s">
        <v>87</v>
      </c>
    </row>
    <row r="20" spans="1:3" ht="7" customHeight="1" x14ac:dyDescent="0.4">
      <c r="A20" s="12" t="s">
        <v>90</v>
      </c>
      <c r="B20" s="24" t="str">
        <f>_xlfn.TRANSLATE(B19,"pt","es")</f>
        <v>Traducciones integradas al español e inglés - Las traducciones deben revisarse constantemente</v>
      </c>
      <c r="C20" s="37" t="s">
        <v>88</v>
      </c>
    </row>
    <row r="21" spans="1:3" ht="7" customHeight="1" x14ac:dyDescent="0.4">
      <c r="A21" s="12" t="s">
        <v>92</v>
      </c>
      <c r="B21" s="24" t="str">
        <f>_xlfn.TRANSLATE(B19,"pt","en")</f>
        <v>Built-in Spanish and English Translations - Translations must be constantly reviewed</v>
      </c>
      <c r="C21" s="37" t="s">
        <v>89</v>
      </c>
    </row>
    <row r="22" spans="1:3" ht="7" customHeight="1" x14ac:dyDescent="0.4">
      <c r="A22" s="12" t="s">
        <v>66</v>
      </c>
      <c r="B22" s="12" t="s">
        <v>57</v>
      </c>
      <c r="C22" s="37" t="s">
        <v>87</v>
      </c>
    </row>
    <row r="23" spans="1:3" ht="7" customHeight="1" x14ac:dyDescent="0.4">
      <c r="A23" s="12" t="s">
        <v>67</v>
      </c>
      <c r="B23" s="12" t="s">
        <v>57</v>
      </c>
      <c r="C23" s="37" t="s">
        <v>87</v>
      </c>
    </row>
    <row r="24" spans="1:3" ht="7" customHeight="1" x14ac:dyDescent="0.4">
      <c r="A24" s="12" t="s">
        <v>68</v>
      </c>
      <c r="B24" s="13" t="s">
        <v>285</v>
      </c>
      <c r="C24" s="37" t="s">
        <v>87</v>
      </c>
    </row>
    <row r="25" spans="1:3" ht="7" customHeight="1" x14ac:dyDescent="0.4">
      <c r="A25" s="12" t="s">
        <v>69</v>
      </c>
      <c r="B25" s="13" t="s">
        <v>286</v>
      </c>
      <c r="C25" s="37" t="s">
        <v>88</v>
      </c>
    </row>
    <row r="26" spans="1:3" customFormat="1" ht="7" customHeight="1" x14ac:dyDescent="0.4">
      <c r="A26" s="12" t="s">
        <v>84</v>
      </c>
      <c r="B26" s="13" t="str">
        <f>_xlfn.TRANSLATE(B24,"pt","en")</f>
        <v>Formalize GeoTechnical project elements.</v>
      </c>
      <c r="C26" s="37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A51"/>
  <sheetViews>
    <sheetView tabSelected="1" zoomScale="220" zoomScaleNormal="220" workbookViewId="0">
      <pane ySplit="1" topLeftCell="A2" activePane="bottomLeft" state="frozen"/>
      <selection pane="bottomLeft"/>
    </sheetView>
  </sheetViews>
  <sheetFormatPr defaultColWidth="9.15234375" defaultRowHeight="6" customHeight="1" x14ac:dyDescent="0.4"/>
  <cols>
    <col min="1" max="1" width="1.4609375" bestFit="1" customWidth="1"/>
    <col min="2" max="2" width="4.23046875" bestFit="1" customWidth="1"/>
    <col min="3" max="3" width="5.3828125" bestFit="1" customWidth="1"/>
    <col min="4" max="4" width="10.765625" bestFit="1" customWidth="1"/>
    <col min="5" max="5" width="7.4609375" bestFit="1" customWidth="1"/>
    <col min="6" max="6" width="12.4609375" bestFit="1" customWidth="1"/>
    <col min="7" max="11" width="5.07421875" style="61" bestFit="1" customWidth="1"/>
    <col min="12" max="12" width="5.3828125" bestFit="1" customWidth="1"/>
    <col min="13" max="13" width="10.765625" bestFit="1" customWidth="1"/>
    <col min="14" max="14" width="7.53515625" bestFit="1" customWidth="1"/>
    <col min="15" max="15" width="12.53515625" bestFit="1" customWidth="1"/>
    <col min="16" max="16" width="62.61328125" bestFit="1" customWidth="1"/>
    <col min="17" max="17" width="61.15234375" bestFit="1" customWidth="1"/>
    <col min="18" max="18" width="3" bestFit="1" customWidth="1"/>
    <col min="19" max="19" width="5.3828125" bestFit="1" customWidth="1"/>
    <col min="20" max="20" width="10.765625" bestFit="1" customWidth="1"/>
    <col min="21" max="21" width="7.4609375" bestFit="1" customWidth="1"/>
    <col min="22" max="22" width="4.921875" bestFit="1" customWidth="1"/>
    <col min="23" max="23" width="5.3046875" bestFit="1" customWidth="1"/>
    <col min="24" max="24" width="31.07421875" bestFit="1" customWidth="1"/>
    <col min="25" max="25" width="19.3828125" bestFit="1" customWidth="1"/>
    <col min="26" max="26" width="6.23046875" bestFit="1" customWidth="1"/>
    <col min="27" max="27" width="51.3828125" bestFit="1" customWidth="1"/>
  </cols>
  <sheetData>
    <row r="1" spans="1:27" ht="36.65" customHeight="1" x14ac:dyDescent="0.4">
      <c r="A1" s="22">
        <v>1</v>
      </c>
      <c r="B1" s="51" t="s">
        <v>41</v>
      </c>
      <c r="C1" s="51" t="s">
        <v>39</v>
      </c>
      <c r="D1" s="51" t="s">
        <v>40</v>
      </c>
      <c r="E1" s="51" t="s">
        <v>38</v>
      </c>
      <c r="F1" s="51" t="s">
        <v>81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29" t="s">
        <v>5</v>
      </c>
      <c r="M1" s="29" t="s">
        <v>6</v>
      </c>
      <c r="N1" s="29" t="s">
        <v>76</v>
      </c>
      <c r="O1" s="29" t="s">
        <v>7</v>
      </c>
      <c r="P1" s="29" t="s">
        <v>36</v>
      </c>
      <c r="Q1" s="29" t="s">
        <v>42</v>
      </c>
      <c r="R1" s="29" t="s">
        <v>77</v>
      </c>
      <c r="S1" s="29" t="s">
        <v>33</v>
      </c>
      <c r="T1" s="29" t="s">
        <v>37</v>
      </c>
      <c r="U1" s="29" t="s">
        <v>35</v>
      </c>
      <c r="V1" s="29" t="s">
        <v>34</v>
      </c>
      <c r="W1" s="51" t="s">
        <v>8</v>
      </c>
      <c r="X1" s="53" t="s">
        <v>79</v>
      </c>
      <c r="Y1" s="53" t="s">
        <v>142</v>
      </c>
      <c r="Z1" s="53" t="s">
        <v>82</v>
      </c>
      <c r="AA1" s="54" t="s">
        <v>83</v>
      </c>
    </row>
    <row r="2" spans="1:27" ht="6" customHeight="1" x14ac:dyDescent="0.4">
      <c r="A2" s="50">
        <v>2</v>
      </c>
      <c r="B2" s="55" t="s">
        <v>374</v>
      </c>
      <c r="C2" s="59" t="s">
        <v>375</v>
      </c>
      <c r="D2" s="55" t="s">
        <v>239</v>
      </c>
      <c r="E2" s="55" t="s">
        <v>127</v>
      </c>
      <c r="F2" s="56" t="s">
        <v>218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57" t="str">
        <f t="shared" ref="L2" si="0">CONCATENATE("", C2)</f>
        <v>GeoTécnicos</v>
      </c>
      <c r="M2" s="57" t="str">
        <f t="shared" ref="M2" si="1">CONCATENATE("", D2)</f>
        <v>Elementos.de.Solo</v>
      </c>
      <c r="N2" s="57" t="str">
        <f t="shared" ref="N2" si="2">(SUBSTITUTE(SUBSTITUTE(CONCATENATE("",E2),"."," ")," De "," de "))</f>
        <v>Compactação</v>
      </c>
      <c r="O2" s="57" t="str">
        <f t="shared" ref="O2" si="3">(SUBSTITUTE(SUBSTITUTE(CONCATENATE("",F2),"."," ")," De "," de "))</f>
        <v>Solo Reforçado</v>
      </c>
      <c r="P2" s="21" t="s">
        <v>128</v>
      </c>
      <c r="Q2" s="35" t="s">
        <v>129</v>
      </c>
      <c r="R2" s="21" t="s">
        <v>9</v>
      </c>
      <c r="S2" s="21" t="str">
        <f t="shared" ref="S2:U2" si="4">SUBSTITUTE(C2, "_", " ")</f>
        <v>GeoTécnicos</v>
      </c>
      <c r="T2" s="21" t="str">
        <f t="shared" si="4"/>
        <v>Elementos.de.Solo</v>
      </c>
      <c r="U2" s="21" t="str">
        <f t="shared" si="4"/>
        <v>Compactação</v>
      </c>
      <c r="V2" s="21" t="s">
        <v>141</v>
      </c>
      <c r="W2" s="58" t="str">
        <f t="shared" ref="W2:W51" si="5">CONCATENATE("Key-GEO-",A2)</f>
        <v>Key-GEO-2</v>
      </c>
      <c r="X2" s="60" t="s">
        <v>215</v>
      </c>
      <c r="Y2" s="60" t="s">
        <v>271</v>
      </c>
      <c r="Z2" s="21" t="s">
        <v>277</v>
      </c>
      <c r="AA2" s="21" t="s">
        <v>287</v>
      </c>
    </row>
    <row r="3" spans="1:27" ht="6.65" customHeight="1" x14ac:dyDescent="0.4">
      <c r="A3" s="50">
        <v>3</v>
      </c>
      <c r="B3" s="55" t="s">
        <v>374</v>
      </c>
      <c r="C3" s="59" t="s">
        <v>375</v>
      </c>
      <c r="D3" s="55" t="s">
        <v>239</v>
      </c>
      <c r="E3" s="55" t="s">
        <v>127</v>
      </c>
      <c r="F3" s="56" t="s">
        <v>234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57" t="str">
        <f t="shared" ref="L3:L51" si="6">CONCATENATE("", C3)</f>
        <v>GeoTécnicos</v>
      </c>
      <c r="M3" s="57" t="str">
        <f t="shared" ref="M3:M51" si="7">CONCATENATE("", D3)</f>
        <v>Elementos.de.Solo</v>
      </c>
      <c r="N3" s="57" t="str">
        <f t="shared" ref="N3:N51" si="8">(SUBSTITUTE(SUBSTITUTE(CONCATENATE("",E3),"."," ")," De "," de "))</f>
        <v>Compactação</v>
      </c>
      <c r="O3" s="57" t="str">
        <f t="shared" ref="O3:O51" si="9">(SUBSTITUTE(SUBSTITUTE(CONCATENATE("",F3),"."," ")," De "," de "))</f>
        <v>Solo Reforçado Dinamicamente</v>
      </c>
      <c r="P3" s="21" t="s">
        <v>130</v>
      </c>
      <c r="Q3" s="35" t="s">
        <v>334</v>
      </c>
      <c r="R3" s="21" t="s">
        <v>9</v>
      </c>
      <c r="S3" s="21" t="str">
        <f t="shared" ref="S3:S51" si="10">SUBSTITUTE(C3, "_", " ")</f>
        <v>GeoTécnicos</v>
      </c>
      <c r="T3" s="21" t="str">
        <f t="shared" ref="T3:T51" si="11">SUBSTITUTE(D3, "_", " ")</f>
        <v>Elementos.de.Solo</v>
      </c>
      <c r="U3" s="21" t="str">
        <f t="shared" ref="U3:U51" si="12">SUBSTITUTE(E3, "_", " ")</f>
        <v>Compactação</v>
      </c>
      <c r="V3" s="21" t="s">
        <v>141</v>
      </c>
      <c r="W3" s="58" t="str">
        <f t="shared" si="5"/>
        <v>Key-GEO-3</v>
      </c>
      <c r="X3" s="60" t="s">
        <v>215</v>
      </c>
      <c r="Y3" s="60" t="s">
        <v>270</v>
      </c>
      <c r="Z3" s="21" t="s">
        <v>277</v>
      </c>
      <c r="AA3" s="21" t="s">
        <v>288</v>
      </c>
    </row>
    <row r="4" spans="1:27" ht="6.65" customHeight="1" x14ac:dyDescent="0.4">
      <c r="A4" s="50">
        <v>4</v>
      </c>
      <c r="B4" s="55" t="s">
        <v>374</v>
      </c>
      <c r="C4" s="59" t="s">
        <v>375</v>
      </c>
      <c r="D4" s="55" t="s">
        <v>239</v>
      </c>
      <c r="E4" s="55" t="s">
        <v>127</v>
      </c>
      <c r="F4" s="56" t="s">
        <v>235</v>
      </c>
      <c r="G4" s="6" t="s">
        <v>9</v>
      </c>
      <c r="H4" s="6" t="s">
        <v>9</v>
      </c>
      <c r="I4" s="6" t="s">
        <v>9</v>
      </c>
      <c r="J4" s="6" t="s">
        <v>9</v>
      </c>
      <c r="K4" s="6" t="s">
        <v>9</v>
      </c>
      <c r="L4" s="57" t="str">
        <f t="shared" si="6"/>
        <v>GeoTécnicos</v>
      </c>
      <c r="M4" s="57" t="str">
        <f t="shared" si="7"/>
        <v>Elementos.de.Solo</v>
      </c>
      <c r="N4" s="57" t="str">
        <f t="shared" si="8"/>
        <v>Compactação</v>
      </c>
      <c r="O4" s="57" t="str">
        <f t="shared" si="9"/>
        <v>Solo Reforçado Groute</v>
      </c>
      <c r="P4" s="21" t="s">
        <v>131</v>
      </c>
      <c r="Q4" s="35" t="s">
        <v>335</v>
      </c>
      <c r="R4" s="21" t="s">
        <v>9</v>
      </c>
      <c r="S4" s="21" t="str">
        <f t="shared" si="10"/>
        <v>GeoTécnicos</v>
      </c>
      <c r="T4" s="21" t="str">
        <f t="shared" si="11"/>
        <v>Elementos.de.Solo</v>
      </c>
      <c r="U4" s="21" t="str">
        <f t="shared" si="12"/>
        <v>Compactação</v>
      </c>
      <c r="V4" s="21" t="s">
        <v>141</v>
      </c>
      <c r="W4" s="58" t="str">
        <f t="shared" si="5"/>
        <v>Key-GEO-4</v>
      </c>
      <c r="X4" s="60" t="s">
        <v>215</v>
      </c>
      <c r="Y4" s="60" t="s">
        <v>269</v>
      </c>
      <c r="Z4" s="21" t="s">
        <v>277</v>
      </c>
      <c r="AA4" s="21" t="s">
        <v>289</v>
      </c>
    </row>
    <row r="5" spans="1:27" ht="6.65" customHeight="1" x14ac:dyDescent="0.4">
      <c r="A5" s="50">
        <v>5</v>
      </c>
      <c r="B5" s="55" t="s">
        <v>374</v>
      </c>
      <c r="C5" s="59" t="s">
        <v>375</v>
      </c>
      <c r="D5" s="55" t="s">
        <v>239</v>
      </c>
      <c r="E5" s="55" t="s">
        <v>127</v>
      </c>
      <c r="F5" s="56" t="s">
        <v>219</v>
      </c>
      <c r="G5" s="6" t="s">
        <v>9</v>
      </c>
      <c r="H5" s="6" t="s">
        <v>9</v>
      </c>
      <c r="I5" s="6" t="s">
        <v>9</v>
      </c>
      <c r="J5" s="6" t="s">
        <v>9</v>
      </c>
      <c r="K5" s="6" t="s">
        <v>9</v>
      </c>
      <c r="L5" s="57" t="str">
        <f t="shared" si="6"/>
        <v>GeoTécnicos</v>
      </c>
      <c r="M5" s="57" t="str">
        <f t="shared" si="7"/>
        <v>Elementos.de.Solo</v>
      </c>
      <c r="N5" s="57" t="str">
        <f t="shared" si="8"/>
        <v>Compactação</v>
      </c>
      <c r="O5" s="57" t="str">
        <f t="shared" si="9"/>
        <v>Solo Reforçado Substituído</v>
      </c>
      <c r="P5" s="21" t="s">
        <v>132</v>
      </c>
      <c r="Q5" s="35" t="s">
        <v>336</v>
      </c>
      <c r="R5" s="21" t="s">
        <v>9</v>
      </c>
      <c r="S5" s="21" t="str">
        <f t="shared" si="10"/>
        <v>GeoTécnicos</v>
      </c>
      <c r="T5" s="21" t="str">
        <f t="shared" si="11"/>
        <v>Elementos.de.Solo</v>
      </c>
      <c r="U5" s="21" t="str">
        <f t="shared" si="12"/>
        <v>Compactação</v>
      </c>
      <c r="V5" s="21" t="s">
        <v>141</v>
      </c>
      <c r="W5" s="58" t="str">
        <f t="shared" si="5"/>
        <v>Key-GEO-5</v>
      </c>
      <c r="X5" s="60" t="s">
        <v>215</v>
      </c>
      <c r="Y5" s="60" t="s">
        <v>268</v>
      </c>
      <c r="Z5" s="21" t="s">
        <v>277</v>
      </c>
      <c r="AA5" s="21" t="s">
        <v>290</v>
      </c>
    </row>
    <row r="6" spans="1:27" ht="6.65" customHeight="1" x14ac:dyDescent="0.4">
      <c r="A6" s="50">
        <v>6</v>
      </c>
      <c r="B6" s="55" t="s">
        <v>374</v>
      </c>
      <c r="C6" s="59" t="s">
        <v>375</v>
      </c>
      <c r="D6" s="55" t="s">
        <v>239</v>
      </c>
      <c r="E6" s="55" t="s">
        <v>127</v>
      </c>
      <c r="F6" s="56" t="s">
        <v>236</v>
      </c>
      <c r="G6" s="6" t="s">
        <v>9</v>
      </c>
      <c r="H6" s="6" t="s">
        <v>9</v>
      </c>
      <c r="I6" s="6" t="s">
        <v>9</v>
      </c>
      <c r="J6" s="6" t="s">
        <v>9</v>
      </c>
      <c r="K6" s="6" t="s">
        <v>9</v>
      </c>
      <c r="L6" s="57" t="str">
        <f t="shared" si="6"/>
        <v>GeoTécnicos</v>
      </c>
      <c r="M6" s="57" t="str">
        <f t="shared" si="7"/>
        <v>Elementos.de.Solo</v>
      </c>
      <c r="N6" s="57" t="str">
        <f t="shared" si="8"/>
        <v>Compactação</v>
      </c>
      <c r="O6" s="57" t="str">
        <f t="shared" si="9"/>
        <v>Solo Reforçado Rolado</v>
      </c>
      <c r="P6" s="21" t="s">
        <v>133</v>
      </c>
      <c r="Q6" s="35" t="s">
        <v>337</v>
      </c>
      <c r="R6" s="21" t="s">
        <v>9</v>
      </c>
      <c r="S6" s="21" t="str">
        <f t="shared" si="10"/>
        <v>GeoTécnicos</v>
      </c>
      <c r="T6" s="21" t="str">
        <f t="shared" si="11"/>
        <v>Elementos.de.Solo</v>
      </c>
      <c r="U6" s="21" t="str">
        <f t="shared" si="12"/>
        <v>Compactação</v>
      </c>
      <c r="V6" s="21" t="s">
        <v>141</v>
      </c>
      <c r="W6" s="58" t="str">
        <f t="shared" si="5"/>
        <v>Key-GEO-6</v>
      </c>
      <c r="X6" s="60" t="s">
        <v>215</v>
      </c>
      <c r="Y6" s="60" t="s">
        <v>267</v>
      </c>
      <c r="Z6" s="21" t="s">
        <v>277</v>
      </c>
      <c r="AA6" s="21" t="s">
        <v>291</v>
      </c>
    </row>
    <row r="7" spans="1:27" ht="6.65" customHeight="1" x14ac:dyDescent="0.4">
      <c r="A7" s="50">
        <v>7</v>
      </c>
      <c r="B7" s="55" t="s">
        <v>374</v>
      </c>
      <c r="C7" s="59" t="s">
        <v>375</v>
      </c>
      <c r="D7" s="55" t="s">
        <v>239</v>
      </c>
      <c r="E7" s="55" t="s">
        <v>127</v>
      </c>
      <c r="F7" s="56" t="s">
        <v>237</v>
      </c>
      <c r="G7" s="6" t="s">
        <v>9</v>
      </c>
      <c r="H7" s="6" t="s">
        <v>9</v>
      </c>
      <c r="I7" s="6" t="s">
        <v>9</v>
      </c>
      <c r="J7" s="6" t="s">
        <v>9</v>
      </c>
      <c r="K7" s="6" t="s">
        <v>9</v>
      </c>
      <c r="L7" s="57" t="str">
        <f t="shared" si="6"/>
        <v>GeoTécnicos</v>
      </c>
      <c r="M7" s="57" t="str">
        <f t="shared" si="7"/>
        <v>Elementos.de.Solo</v>
      </c>
      <c r="N7" s="57" t="str">
        <f t="shared" si="8"/>
        <v>Compactação</v>
      </c>
      <c r="O7" s="57" t="str">
        <f t="shared" si="9"/>
        <v>Solo Reforçado PréCarregado</v>
      </c>
      <c r="P7" s="21" t="s">
        <v>371</v>
      </c>
      <c r="Q7" s="35" t="s">
        <v>338</v>
      </c>
      <c r="R7" s="21" t="s">
        <v>9</v>
      </c>
      <c r="S7" s="21" t="str">
        <f t="shared" si="10"/>
        <v>GeoTécnicos</v>
      </c>
      <c r="T7" s="21" t="str">
        <f t="shared" si="11"/>
        <v>Elementos.de.Solo</v>
      </c>
      <c r="U7" s="21" t="str">
        <f t="shared" si="12"/>
        <v>Compactação</v>
      </c>
      <c r="V7" s="21" t="s">
        <v>141</v>
      </c>
      <c r="W7" s="58" t="str">
        <f t="shared" si="5"/>
        <v>Key-GEO-7</v>
      </c>
      <c r="X7" s="60" t="s">
        <v>215</v>
      </c>
      <c r="Y7" s="60" t="s">
        <v>266</v>
      </c>
      <c r="Z7" s="21" t="s">
        <v>277</v>
      </c>
      <c r="AA7" s="21" t="s">
        <v>292</v>
      </c>
    </row>
    <row r="8" spans="1:27" ht="6.65" customHeight="1" x14ac:dyDescent="0.4">
      <c r="A8" s="50">
        <v>8</v>
      </c>
      <c r="B8" s="55" t="s">
        <v>374</v>
      </c>
      <c r="C8" s="59" t="s">
        <v>375</v>
      </c>
      <c r="D8" s="55" t="s">
        <v>239</v>
      </c>
      <c r="E8" s="55" t="s">
        <v>127</v>
      </c>
      <c r="F8" s="56" t="s">
        <v>238</v>
      </c>
      <c r="G8" s="6" t="s">
        <v>9</v>
      </c>
      <c r="H8" s="6" t="s">
        <v>9</v>
      </c>
      <c r="I8" s="6" t="s">
        <v>9</v>
      </c>
      <c r="J8" s="6" t="s">
        <v>9</v>
      </c>
      <c r="K8" s="6" t="s">
        <v>9</v>
      </c>
      <c r="L8" s="57" t="str">
        <f t="shared" si="6"/>
        <v>GeoTécnicos</v>
      </c>
      <c r="M8" s="57" t="str">
        <f t="shared" si="7"/>
        <v>Elementos.de.Solo</v>
      </c>
      <c r="N8" s="57" t="str">
        <f t="shared" si="8"/>
        <v>Compactação</v>
      </c>
      <c r="O8" s="57" t="str">
        <f t="shared" si="9"/>
        <v>Solo Reforçado Drenado</v>
      </c>
      <c r="P8" s="21" t="s">
        <v>370</v>
      </c>
      <c r="Q8" s="35" t="s">
        <v>369</v>
      </c>
      <c r="R8" s="21" t="s">
        <v>9</v>
      </c>
      <c r="S8" s="21" t="str">
        <f t="shared" si="10"/>
        <v>GeoTécnicos</v>
      </c>
      <c r="T8" s="21" t="str">
        <f t="shared" si="11"/>
        <v>Elementos.de.Solo</v>
      </c>
      <c r="U8" s="21" t="str">
        <f t="shared" si="12"/>
        <v>Compactação</v>
      </c>
      <c r="V8" s="21" t="s">
        <v>141</v>
      </c>
      <c r="W8" s="58" t="str">
        <f t="shared" si="5"/>
        <v>Key-GEO-8</v>
      </c>
      <c r="X8" s="60" t="s">
        <v>215</v>
      </c>
      <c r="Y8" s="60" t="s">
        <v>265</v>
      </c>
      <c r="Z8" s="21" t="s">
        <v>277</v>
      </c>
      <c r="AA8" s="21" t="s">
        <v>293</v>
      </c>
    </row>
    <row r="9" spans="1:27" ht="6.65" customHeight="1" x14ac:dyDescent="0.4">
      <c r="A9" s="50">
        <v>9</v>
      </c>
      <c r="B9" s="55" t="s">
        <v>374</v>
      </c>
      <c r="C9" s="59" t="s">
        <v>375</v>
      </c>
      <c r="D9" s="55" t="s">
        <v>239</v>
      </c>
      <c r="E9" s="55" t="s">
        <v>282</v>
      </c>
      <c r="F9" s="56" t="s">
        <v>220</v>
      </c>
      <c r="G9" s="6" t="s">
        <v>9</v>
      </c>
      <c r="H9" s="6" t="s">
        <v>9</v>
      </c>
      <c r="I9" s="6" t="s">
        <v>9</v>
      </c>
      <c r="J9" s="6" t="s">
        <v>9</v>
      </c>
      <c r="K9" s="6" t="s">
        <v>9</v>
      </c>
      <c r="L9" s="57" t="str">
        <f t="shared" si="6"/>
        <v>GeoTécnicos</v>
      </c>
      <c r="M9" s="57" t="str">
        <f t="shared" si="7"/>
        <v>Elementos.de.Solo</v>
      </c>
      <c r="N9" s="57" t="str">
        <f t="shared" si="8"/>
        <v>Escavações</v>
      </c>
      <c r="O9" s="57" t="str">
        <f t="shared" si="9"/>
        <v>Escavação</v>
      </c>
      <c r="P9" s="21" t="s">
        <v>97</v>
      </c>
      <c r="Q9" s="35" t="s">
        <v>339</v>
      </c>
      <c r="R9" s="21" t="s">
        <v>9</v>
      </c>
      <c r="S9" s="21" t="str">
        <f t="shared" si="10"/>
        <v>GeoTécnicos</v>
      </c>
      <c r="T9" s="21" t="str">
        <f t="shared" si="11"/>
        <v>Elementos.de.Solo</v>
      </c>
      <c r="U9" s="21" t="str">
        <f t="shared" si="12"/>
        <v>Escavações</v>
      </c>
      <c r="V9" s="21" t="s">
        <v>141</v>
      </c>
      <c r="W9" s="58" t="str">
        <f t="shared" si="5"/>
        <v>Key-GEO-9</v>
      </c>
      <c r="X9" s="60" t="s">
        <v>215</v>
      </c>
      <c r="Y9" s="60" t="s">
        <v>255</v>
      </c>
      <c r="Z9" s="21" t="s">
        <v>277</v>
      </c>
      <c r="AA9" s="21" t="s">
        <v>294</v>
      </c>
    </row>
    <row r="10" spans="1:27" ht="6.65" customHeight="1" x14ac:dyDescent="0.4">
      <c r="A10" s="50">
        <v>10</v>
      </c>
      <c r="B10" s="55" t="s">
        <v>374</v>
      </c>
      <c r="C10" s="59" t="s">
        <v>375</v>
      </c>
      <c r="D10" s="55" t="s">
        <v>239</v>
      </c>
      <c r="E10" s="55" t="s">
        <v>282</v>
      </c>
      <c r="F10" s="56" t="s">
        <v>221</v>
      </c>
      <c r="G10" s="6" t="s">
        <v>9</v>
      </c>
      <c r="H10" s="6" t="s">
        <v>9</v>
      </c>
      <c r="I10" s="6" t="s">
        <v>9</v>
      </c>
      <c r="J10" s="6" t="s">
        <v>9</v>
      </c>
      <c r="K10" s="6" t="s">
        <v>9</v>
      </c>
      <c r="L10" s="57" t="str">
        <f t="shared" si="6"/>
        <v>GeoTécnicos</v>
      </c>
      <c r="M10" s="57" t="str">
        <f t="shared" si="7"/>
        <v>Elementos.de.Solo</v>
      </c>
      <c r="N10" s="57" t="str">
        <f t="shared" si="8"/>
        <v>Escavações</v>
      </c>
      <c r="O10" s="57" t="str">
        <f t="shared" si="9"/>
        <v>Escavação Base</v>
      </c>
      <c r="P10" s="21" t="s">
        <v>98</v>
      </c>
      <c r="Q10" s="35" t="s">
        <v>340</v>
      </c>
      <c r="R10" s="21" t="s">
        <v>9</v>
      </c>
      <c r="S10" s="21" t="str">
        <f t="shared" si="10"/>
        <v>GeoTécnicos</v>
      </c>
      <c r="T10" s="21" t="str">
        <f t="shared" si="11"/>
        <v>Elementos.de.Solo</v>
      </c>
      <c r="U10" s="21" t="str">
        <f t="shared" si="12"/>
        <v>Escavações</v>
      </c>
      <c r="V10" s="21" t="s">
        <v>141</v>
      </c>
      <c r="W10" s="58" t="str">
        <f t="shared" si="5"/>
        <v>Key-GEO-10</v>
      </c>
      <c r="X10" s="60" t="s">
        <v>215</v>
      </c>
      <c r="Y10" s="60" t="s">
        <v>254</v>
      </c>
      <c r="Z10" s="21" t="s">
        <v>277</v>
      </c>
      <c r="AA10" s="21" t="s">
        <v>295</v>
      </c>
    </row>
    <row r="11" spans="1:27" ht="6.65" customHeight="1" x14ac:dyDescent="0.4">
      <c r="A11" s="50">
        <v>11</v>
      </c>
      <c r="B11" s="55" t="s">
        <v>374</v>
      </c>
      <c r="C11" s="59" t="s">
        <v>375</v>
      </c>
      <c r="D11" s="55" t="s">
        <v>239</v>
      </c>
      <c r="E11" s="55" t="s">
        <v>282</v>
      </c>
      <c r="F11" s="56" t="s">
        <v>222</v>
      </c>
      <c r="G11" s="6" t="s">
        <v>9</v>
      </c>
      <c r="H11" s="6" t="s">
        <v>9</v>
      </c>
      <c r="I11" s="6" t="s">
        <v>9</v>
      </c>
      <c r="J11" s="6" t="s">
        <v>9</v>
      </c>
      <c r="K11" s="6" t="s">
        <v>9</v>
      </c>
      <c r="L11" s="57" t="str">
        <f t="shared" si="6"/>
        <v>GeoTécnicos</v>
      </c>
      <c r="M11" s="57" t="str">
        <f t="shared" si="7"/>
        <v>Elementos.de.Solo</v>
      </c>
      <c r="N11" s="57" t="str">
        <f t="shared" si="8"/>
        <v>Escavações</v>
      </c>
      <c r="O11" s="57" t="str">
        <f t="shared" si="9"/>
        <v>Escavação Corte</v>
      </c>
      <c r="P11" s="21" t="s">
        <v>99</v>
      </c>
      <c r="Q11" s="35" t="s">
        <v>341</v>
      </c>
      <c r="R11" s="21" t="s">
        <v>9</v>
      </c>
      <c r="S11" s="21" t="str">
        <f t="shared" si="10"/>
        <v>GeoTécnicos</v>
      </c>
      <c r="T11" s="21" t="str">
        <f t="shared" si="11"/>
        <v>Elementos.de.Solo</v>
      </c>
      <c r="U11" s="21" t="str">
        <f t="shared" si="12"/>
        <v>Escavações</v>
      </c>
      <c r="V11" s="21" t="s">
        <v>141</v>
      </c>
      <c r="W11" s="58" t="str">
        <f t="shared" si="5"/>
        <v>Key-GEO-11</v>
      </c>
      <c r="X11" s="60" t="s">
        <v>215</v>
      </c>
      <c r="Y11" s="60" t="s">
        <v>253</v>
      </c>
      <c r="Z11" s="21" t="s">
        <v>277</v>
      </c>
      <c r="AA11" s="21" t="s">
        <v>296</v>
      </c>
    </row>
    <row r="12" spans="1:27" ht="6.65" customHeight="1" x14ac:dyDescent="0.4">
      <c r="A12" s="50">
        <v>12</v>
      </c>
      <c r="B12" s="55" t="s">
        <v>374</v>
      </c>
      <c r="C12" s="59" t="s">
        <v>375</v>
      </c>
      <c r="D12" s="55" t="s">
        <v>239</v>
      </c>
      <c r="E12" s="55" t="s">
        <v>282</v>
      </c>
      <c r="F12" s="56" t="s">
        <v>223</v>
      </c>
      <c r="G12" s="6" t="s">
        <v>9</v>
      </c>
      <c r="H12" s="6" t="s">
        <v>9</v>
      </c>
      <c r="I12" s="6" t="s">
        <v>9</v>
      </c>
      <c r="J12" s="6" t="s">
        <v>9</v>
      </c>
      <c r="K12" s="6" t="s">
        <v>9</v>
      </c>
      <c r="L12" s="57" t="str">
        <f t="shared" si="6"/>
        <v>GeoTécnicos</v>
      </c>
      <c r="M12" s="57" t="str">
        <f t="shared" si="7"/>
        <v>Elementos.de.Solo</v>
      </c>
      <c r="N12" s="57" t="str">
        <f t="shared" si="8"/>
        <v>Escavações</v>
      </c>
      <c r="O12" s="57" t="str">
        <f t="shared" si="9"/>
        <v>Escavação Dragagem</v>
      </c>
      <c r="P12" s="21" t="s">
        <v>100</v>
      </c>
      <c r="Q12" s="35" t="s">
        <v>342</v>
      </c>
      <c r="R12" s="21" t="s">
        <v>9</v>
      </c>
      <c r="S12" s="21" t="str">
        <f t="shared" si="10"/>
        <v>GeoTécnicos</v>
      </c>
      <c r="T12" s="21" t="str">
        <f t="shared" si="11"/>
        <v>Elementos.de.Solo</v>
      </c>
      <c r="U12" s="21" t="str">
        <f t="shared" si="12"/>
        <v>Escavações</v>
      </c>
      <c r="V12" s="21" t="s">
        <v>141</v>
      </c>
      <c r="W12" s="58" t="str">
        <f t="shared" si="5"/>
        <v>Key-GEO-12</v>
      </c>
      <c r="X12" s="60" t="s">
        <v>215</v>
      </c>
      <c r="Y12" s="60" t="s">
        <v>252</v>
      </c>
      <c r="Z12" s="21" t="s">
        <v>277</v>
      </c>
      <c r="AA12" s="21" t="s">
        <v>297</v>
      </c>
    </row>
    <row r="13" spans="1:27" ht="6.65" customHeight="1" x14ac:dyDescent="0.4">
      <c r="A13" s="50">
        <v>13</v>
      </c>
      <c r="B13" s="55" t="s">
        <v>374</v>
      </c>
      <c r="C13" s="59" t="s">
        <v>375</v>
      </c>
      <c r="D13" s="55" t="s">
        <v>239</v>
      </c>
      <c r="E13" s="55" t="s">
        <v>282</v>
      </c>
      <c r="F13" s="56" t="s">
        <v>228</v>
      </c>
      <c r="G13" s="6" t="s">
        <v>9</v>
      </c>
      <c r="H13" s="6" t="s">
        <v>9</v>
      </c>
      <c r="I13" s="6" t="s">
        <v>9</v>
      </c>
      <c r="J13" s="6" t="s">
        <v>9</v>
      </c>
      <c r="K13" s="6" t="s">
        <v>9</v>
      </c>
      <c r="L13" s="57" t="str">
        <f t="shared" si="6"/>
        <v>GeoTécnicos</v>
      </c>
      <c r="M13" s="57" t="str">
        <f t="shared" si="7"/>
        <v>Elementos.de.Solo</v>
      </c>
      <c r="N13" s="57" t="str">
        <f t="shared" si="8"/>
        <v>Escavações</v>
      </c>
      <c r="O13" s="57" t="str">
        <f t="shared" si="9"/>
        <v>Escavação Terreno</v>
      </c>
      <c r="P13" s="21" t="s">
        <v>101</v>
      </c>
      <c r="Q13" s="35" t="s">
        <v>102</v>
      </c>
      <c r="R13" s="21" t="s">
        <v>9</v>
      </c>
      <c r="S13" s="21" t="str">
        <f t="shared" si="10"/>
        <v>GeoTécnicos</v>
      </c>
      <c r="T13" s="21" t="str">
        <f t="shared" si="11"/>
        <v>Elementos.de.Solo</v>
      </c>
      <c r="U13" s="21" t="str">
        <f t="shared" si="12"/>
        <v>Escavações</v>
      </c>
      <c r="V13" s="21" t="s">
        <v>141</v>
      </c>
      <c r="W13" s="58" t="str">
        <f t="shared" si="5"/>
        <v>Key-GEO-13</v>
      </c>
      <c r="X13" s="60" t="s">
        <v>215</v>
      </c>
      <c r="Y13" s="60" t="s">
        <v>251</v>
      </c>
      <c r="Z13" s="21" t="s">
        <v>277</v>
      </c>
      <c r="AA13" s="21" t="s">
        <v>298</v>
      </c>
    </row>
    <row r="14" spans="1:27" ht="6.65" customHeight="1" x14ac:dyDescent="0.4">
      <c r="A14" s="50">
        <v>14</v>
      </c>
      <c r="B14" s="55" t="s">
        <v>374</v>
      </c>
      <c r="C14" s="59" t="s">
        <v>375</v>
      </c>
      <c r="D14" s="55" t="s">
        <v>239</v>
      </c>
      <c r="E14" s="55" t="s">
        <v>282</v>
      </c>
      <c r="F14" s="56" t="s">
        <v>227</v>
      </c>
      <c r="G14" s="6" t="s">
        <v>9</v>
      </c>
      <c r="H14" s="6" t="s">
        <v>9</v>
      </c>
      <c r="I14" s="6" t="s">
        <v>9</v>
      </c>
      <c r="J14" s="6" t="s">
        <v>9</v>
      </c>
      <c r="K14" s="6" t="s">
        <v>9</v>
      </c>
      <c r="L14" s="57" t="str">
        <f t="shared" si="6"/>
        <v>GeoTécnicos</v>
      </c>
      <c r="M14" s="57" t="str">
        <f t="shared" si="7"/>
        <v>Elementos.de.Solo</v>
      </c>
      <c r="N14" s="57" t="str">
        <f t="shared" si="8"/>
        <v>Escavações</v>
      </c>
      <c r="O14" s="57" t="str">
        <f t="shared" si="9"/>
        <v>Escavação SobreEscavação</v>
      </c>
      <c r="P14" s="21" t="s">
        <v>103</v>
      </c>
      <c r="Q14" s="35" t="s">
        <v>343</v>
      </c>
      <c r="R14" s="21" t="s">
        <v>9</v>
      </c>
      <c r="S14" s="21" t="str">
        <f t="shared" si="10"/>
        <v>GeoTécnicos</v>
      </c>
      <c r="T14" s="21" t="str">
        <f t="shared" si="11"/>
        <v>Elementos.de.Solo</v>
      </c>
      <c r="U14" s="21" t="str">
        <f t="shared" si="12"/>
        <v>Escavações</v>
      </c>
      <c r="V14" s="21" t="s">
        <v>141</v>
      </c>
      <c r="W14" s="58" t="str">
        <f t="shared" si="5"/>
        <v>Key-GEO-14</v>
      </c>
      <c r="X14" s="60" t="s">
        <v>215</v>
      </c>
      <c r="Y14" s="60" t="s">
        <v>250</v>
      </c>
      <c r="Z14" s="21" t="s">
        <v>277</v>
      </c>
      <c r="AA14" s="21" t="s">
        <v>299</v>
      </c>
    </row>
    <row r="15" spans="1:27" ht="6.65" customHeight="1" x14ac:dyDescent="0.4">
      <c r="A15" s="50">
        <v>15</v>
      </c>
      <c r="B15" s="55" t="s">
        <v>374</v>
      </c>
      <c r="C15" s="59" t="s">
        <v>375</v>
      </c>
      <c r="D15" s="55" t="s">
        <v>239</v>
      </c>
      <c r="E15" s="55" t="s">
        <v>282</v>
      </c>
      <c r="F15" s="56" t="s">
        <v>224</v>
      </c>
      <c r="G15" s="6" t="s">
        <v>9</v>
      </c>
      <c r="H15" s="6" t="s">
        <v>9</v>
      </c>
      <c r="I15" s="6" t="s">
        <v>9</v>
      </c>
      <c r="J15" s="6" t="s">
        <v>9</v>
      </c>
      <c r="K15" s="6" t="s">
        <v>9</v>
      </c>
      <c r="L15" s="57" t="str">
        <f t="shared" si="6"/>
        <v>GeoTécnicos</v>
      </c>
      <c r="M15" s="57" t="str">
        <f t="shared" si="7"/>
        <v>Elementos.de.Solo</v>
      </c>
      <c r="N15" s="57" t="str">
        <f t="shared" si="8"/>
        <v>Escavações</v>
      </c>
      <c r="O15" s="57" t="str">
        <f t="shared" si="9"/>
        <v>Escavação Fresagem</v>
      </c>
      <c r="P15" s="21" t="s">
        <v>104</v>
      </c>
      <c r="Q15" s="35" t="s">
        <v>344</v>
      </c>
      <c r="R15" s="21" t="s">
        <v>9</v>
      </c>
      <c r="S15" s="21" t="str">
        <f t="shared" si="10"/>
        <v>GeoTécnicos</v>
      </c>
      <c r="T15" s="21" t="str">
        <f t="shared" si="11"/>
        <v>Elementos.de.Solo</v>
      </c>
      <c r="U15" s="21" t="str">
        <f t="shared" si="12"/>
        <v>Escavações</v>
      </c>
      <c r="V15" s="21" t="s">
        <v>141</v>
      </c>
      <c r="W15" s="58" t="str">
        <f t="shared" si="5"/>
        <v>Key-GEO-15</v>
      </c>
      <c r="X15" s="60" t="s">
        <v>215</v>
      </c>
      <c r="Y15" s="60" t="s">
        <v>249</v>
      </c>
      <c r="Z15" s="21" t="s">
        <v>277</v>
      </c>
      <c r="AA15" s="21" t="s">
        <v>300</v>
      </c>
    </row>
    <row r="16" spans="1:27" ht="6.65" customHeight="1" x14ac:dyDescent="0.4">
      <c r="A16" s="50">
        <v>16</v>
      </c>
      <c r="B16" s="55" t="s">
        <v>374</v>
      </c>
      <c r="C16" s="59" t="s">
        <v>375</v>
      </c>
      <c r="D16" s="55" t="s">
        <v>239</v>
      </c>
      <c r="E16" s="55" t="s">
        <v>282</v>
      </c>
      <c r="F16" s="56" t="s">
        <v>245</v>
      </c>
      <c r="G16" s="6" t="s">
        <v>9</v>
      </c>
      <c r="H16" s="6" t="s">
        <v>9</v>
      </c>
      <c r="I16" s="6" t="s">
        <v>9</v>
      </c>
      <c r="J16" s="6" t="s">
        <v>9</v>
      </c>
      <c r="K16" s="6" t="s">
        <v>9</v>
      </c>
      <c r="L16" s="57" t="str">
        <f t="shared" si="6"/>
        <v>GeoTécnicos</v>
      </c>
      <c r="M16" s="57" t="str">
        <f t="shared" si="7"/>
        <v>Elementos.de.Solo</v>
      </c>
      <c r="N16" s="57" t="str">
        <f t="shared" si="8"/>
        <v>Escavações</v>
      </c>
      <c r="O16" s="57" t="str">
        <f t="shared" si="9"/>
        <v>Escavação Banqueta</v>
      </c>
      <c r="P16" s="21" t="s">
        <v>105</v>
      </c>
      <c r="Q16" s="35" t="s">
        <v>345</v>
      </c>
      <c r="R16" s="21" t="s">
        <v>9</v>
      </c>
      <c r="S16" s="21" t="str">
        <f t="shared" si="10"/>
        <v>GeoTécnicos</v>
      </c>
      <c r="T16" s="21" t="str">
        <f t="shared" si="11"/>
        <v>Elementos.de.Solo</v>
      </c>
      <c r="U16" s="21" t="str">
        <f t="shared" si="12"/>
        <v>Escavações</v>
      </c>
      <c r="V16" s="21" t="s">
        <v>141</v>
      </c>
      <c r="W16" s="58" t="str">
        <f t="shared" si="5"/>
        <v>Key-GEO-16</v>
      </c>
      <c r="X16" s="60" t="s">
        <v>215</v>
      </c>
      <c r="Y16" s="60" t="s">
        <v>248</v>
      </c>
      <c r="Z16" s="21" t="s">
        <v>277</v>
      </c>
      <c r="AA16" s="21" t="s">
        <v>301</v>
      </c>
    </row>
    <row r="17" spans="1:27" ht="6.65" customHeight="1" x14ac:dyDescent="0.4">
      <c r="A17" s="50">
        <v>17</v>
      </c>
      <c r="B17" s="55" t="s">
        <v>374</v>
      </c>
      <c r="C17" s="59" t="s">
        <v>375</v>
      </c>
      <c r="D17" s="55" t="s">
        <v>239</v>
      </c>
      <c r="E17" s="55" t="s">
        <v>282</v>
      </c>
      <c r="F17" s="56" t="s">
        <v>225</v>
      </c>
      <c r="G17" s="6" t="s">
        <v>9</v>
      </c>
      <c r="H17" s="6" t="s">
        <v>9</v>
      </c>
      <c r="I17" s="6" t="s">
        <v>9</v>
      </c>
      <c r="J17" s="6" t="s">
        <v>9</v>
      </c>
      <c r="K17" s="6" t="s">
        <v>9</v>
      </c>
      <c r="L17" s="57" t="str">
        <f t="shared" si="6"/>
        <v>GeoTécnicos</v>
      </c>
      <c r="M17" s="57" t="str">
        <f t="shared" si="7"/>
        <v>Elementos.de.Solo</v>
      </c>
      <c r="N17" s="57" t="str">
        <f t="shared" si="8"/>
        <v>Escavações</v>
      </c>
      <c r="O17" s="57" t="str">
        <f t="shared" si="9"/>
        <v>Escavação Remoção</v>
      </c>
      <c r="P17" s="21" t="s">
        <v>106</v>
      </c>
      <c r="Q17" s="35" t="s">
        <v>346</v>
      </c>
      <c r="R17" s="21" t="s">
        <v>9</v>
      </c>
      <c r="S17" s="21" t="str">
        <f t="shared" si="10"/>
        <v>GeoTécnicos</v>
      </c>
      <c r="T17" s="21" t="str">
        <f t="shared" si="11"/>
        <v>Elementos.de.Solo</v>
      </c>
      <c r="U17" s="21" t="str">
        <f t="shared" si="12"/>
        <v>Escavações</v>
      </c>
      <c r="V17" s="21" t="s">
        <v>141</v>
      </c>
      <c r="W17" s="58" t="str">
        <f t="shared" si="5"/>
        <v>Key-GEO-17</v>
      </c>
      <c r="X17" s="60" t="s">
        <v>215</v>
      </c>
      <c r="Y17" s="60" t="s">
        <v>247</v>
      </c>
      <c r="Z17" s="21" t="s">
        <v>277</v>
      </c>
      <c r="AA17" s="21" t="s">
        <v>302</v>
      </c>
    </row>
    <row r="18" spans="1:27" ht="6.65" customHeight="1" x14ac:dyDescent="0.4">
      <c r="A18" s="50">
        <v>18</v>
      </c>
      <c r="B18" s="55" t="s">
        <v>374</v>
      </c>
      <c r="C18" s="59" t="s">
        <v>375</v>
      </c>
      <c r="D18" s="55" t="s">
        <v>239</v>
      </c>
      <c r="E18" s="55" t="s">
        <v>282</v>
      </c>
      <c r="F18" s="56" t="s">
        <v>226</v>
      </c>
      <c r="G18" s="6" t="s">
        <v>9</v>
      </c>
      <c r="H18" s="6" t="s">
        <v>9</v>
      </c>
      <c r="I18" s="6" t="s">
        <v>9</v>
      </c>
      <c r="J18" s="6" t="s">
        <v>9</v>
      </c>
      <c r="K18" s="6" t="s">
        <v>9</v>
      </c>
      <c r="L18" s="57" t="str">
        <f t="shared" si="6"/>
        <v>GeoTécnicos</v>
      </c>
      <c r="M18" s="57" t="str">
        <f t="shared" si="7"/>
        <v>Elementos.de.Solo</v>
      </c>
      <c r="N18" s="57" t="str">
        <f t="shared" si="8"/>
        <v>Escavações</v>
      </c>
      <c r="O18" s="57" t="str">
        <f t="shared" si="9"/>
        <v>Escavação Trincheira</v>
      </c>
      <c r="P18" s="21" t="s">
        <v>107</v>
      </c>
      <c r="Q18" s="35" t="s">
        <v>347</v>
      </c>
      <c r="R18" s="21" t="s">
        <v>9</v>
      </c>
      <c r="S18" s="21" t="str">
        <f t="shared" si="10"/>
        <v>GeoTécnicos</v>
      </c>
      <c r="T18" s="21" t="str">
        <f t="shared" si="11"/>
        <v>Elementos.de.Solo</v>
      </c>
      <c r="U18" s="21" t="str">
        <f t="shared" si="12"/>
        <v>Escavações</v>
      </c>
      <c r="V18" s="21" t="s">
        <v>141</v>
      </c>
      <c r="W18" s="58" t="str">
        <f t="shared" si="5"/>
        <v>Key-GEO-18</v>
      </c>
      <c r="X18" s="60" t="s">
        <v>215</v>
      </c>
      <c r="Y18" s="60" t="s">
        <v>246</v>
      </c>
      <c r="Z18" s="21" t="s">
        <v>277</v>
      </c>
      <c r="AA18" s="21" t="s">
        <v>303</v>
      </c>
    </row>
    <row r="19" spans="1:27" ht="6.65" customHeight="1" x14ac:dyDescent="0.4">
      <c r="A19" s="50">
        <v>19</v>
      </c>
      <c r="B19" s="55" t="s">
        <v>374</v>
      </c>
      <c r="C19" s="59" t="s">
        <v>375</v>
      </c>
      <c r="D19" s="55" t="s">
        <v>239</v>
      </c>
      <c r="E19" s="55" t="s">
        <v>240</v>
      </c>
      <c r="F19" s="56" t="s">
        <v>241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57" t="str">
        <f t="shared" si="6"/>
        <v>GeoTécnicos</v>
      </c>
      <c r="M19" s="57" t="str">
        <f t="shared" si="7"/>
        <v>Elementos.de.Solo</v>
      </c>
      <c r="N19" s="57" t="str">
        <f t="shared" si="8"/>
        <v>Terraplenagens</v>
      </c>
      <c r="O19" s="57" t="str">
        <f t="shared" si="9"/>
        <v>Terrapleno</v>
      </c>
      <c r="P19" s="21" t="s">
        <v>108</v>
      </c>
      <c r="Q19" s="35" t="s">
        <v>348</v>
      </c>
      <c r="R19" s="21" t="s">
        <v>9</v>
      </c>
      <c r="S19" s="21" t="str">
        <f t="shared" si="10"/>
        <v>GeoTécnicos</v>
      </c>
      <c r="T19" s="21" t="str">
        <f t="shared" si="11"/>
        <v>Elementos.de.Solo</v>
      </c>
      <c r="U19" s="21" t="str">
        <f t="shared" si="12"/>
        <v>Terraplenagens</v>
      </c>
      <c r="V19" s="21" t="s">
        <v>141</v>
      </c>
      <c r="W19" s="58" t="str">
        <f t="shared" si="5"/>
        <v>Key-GEO-19</v>
      </c>
      <c r="X19" s="60" t="s">
        <v>215</v>
      </c>
      <c r="Y19" s="60" t="s">
        <v>264</v>
      </c>
      <c r="Z19" s="21" t="s">
        <v>278</v>
      </c>
      <c r="AA19" s="21" t="s">
        <v>109</v>
      </c>
    </row>
    <row r="20" spans="1:27" ht="6.65" customHeight="1" x14ac:dyDescent="0.4">
      <c r="A20" s="50">
        <v>20</v>
      </c>
      <c r="B20" s="55" t="s">
        <v>374</v>
      </c>
      <c r="C20" s="59" t="s">
        <v>375</v>
      </c>
      <c r="D20" s="55" t="s">
        <v>239</v>
      </c>
      <c r="E20" s="55" t="s">
        <v>240</v>
      </c>
      <c r="F20" s="56" t="s">
        <v>242</v>
      </c>
      <c r="G20" s="6" t="s">
        <v>9</v>
      </c>
      <c r="H20" s="6" t="s">
        <v>9</v>
      </c>
      <c r="I20" s="6" t="s">
        <v>9</v>
      </c>
      <c r="J20" s="6" t="s">
        <v>9</v>
      </c>
      <c r="K20" s="6" t="s">
        <v>9</v>
      </c>
      <c r="L20" s="57" t="str">
        <f t="shared" si="6"/>
        <v>GeoTécnicos</v>
      </c>
      <c r="M20" s="57" t="str">
        <f t="shared" si="7"/>
        <v>Elementos.de.Solo</v>
      </c>
      <c r="N20" s="57" t="str">
        <f t="shared" si="8"/>
        <v>Terraplenagens</v>
      </c>
      <c r="O20" s="57" t="str">
        <f t="shared" si="9"/>
        <v>Aterro Terrapleno</v>
      </c>
      <c r="P20" s="21" t="s">
        <v>110</v>
      </c>
      <c r="Q20" s="35" t="s">
        <v>349</v>
      </c>
      <c r="R20" s="21" t="s">
        <v>9</v>
      </c>
      <c r="S20" s="21" t="str">
        <f t="shared" si="10"/>
        <v>GeoTécnicos</v>
      </c>
      <c r="T20" s="21" t="str">
        <f t="shared" si="11"/>
        <v>Elementos.de.Solo</v>
      </c>
      <c r="U20" s="21" t="str">
        <f t="shared" si="12"/>
        <v>Terraplenagens</v>
      </c>
      <c r="V20" s="21" t="s">
        <v>141</v>
      </c>
      <c r="W20" s="58" t="str">
        <f t="shared" si="5"/>
        <v>Key-GEO-20</v>
      </c>
      <c r="X20" s="60" t="s">
        <v>215</v>
      </c>
      <c r="Y20" s="60" t="s">
        <v>263</v>
      </c>
      <c r="Z20" s="21" t="s">
        <v>278</v>
      </c>
      <c r="AA20" s="21" t="s">
        <v>304</v>
      </c>
    </row>
    <row r="21" spans="1:27" ht="6.65" customHeight="1" x14ac:dyDescent="0.4">
      <c r="A21" s="50">
        <v>21</v>
      </c>
      <c r="B21" s="55" t="s">
        <v>374</v>
      </c>
      <c r="C21" s="59" t="s">
        <v>375</v>
      </c>
      <c r="D21" s="55" t="s">
        <v>239</v>
      </c>
      <c r="E21" s="55" t="s">
        <v>240</v>
      </c>
      <c r="F21" s="56" t="s">
        <v>243</v>
      </c>
      <c r="G21" s="6" t="s">
        <v>9</v>
      </c>
      <c r="H21" s="6" t="s">
        <v>9</v>
      </c>
      <c r="I21" s="6" t="s">
        <v>9</v>
      </c>
      <c r="J21" s="6" t="s">
        <v>9</v>
      </c>
      <c r="K21" s="6" t="s">
        <v>9</v>
      </c>
      <c r="L21" s="57" t="str">
        <f t="shared" si="6"/>
        <v>GeoTécnicos</v>
      </c>
      <c r="M21" s="57" t="str">
        <f t="shared" si="7"/>
        <v>Elementos.de.Solo</v>
      </c>
      <c r="N21" s="57" t="str">
        <f t="shared" si="8"/>
        <v>Terraplenagens</v>
      </c>
      <c r="O21" s="57" t="str">
        <f t="shared" si="9"/>
        <v>Aterro Reenchimento</v>
      </c>
      <c r="P21" s="21" t="s">
        <v>111</v>
      </c>
      <c r="Q21" s="35" t="s">
        <v>350</v>
      </c>
      <c r="R21" s="21" t="s">
        <v>9</v>
      </c>
      <c r="S21" s="21" t="str">
        <f t="shared" si="10"/>
        <v>GeoTécnicos</v>
      </c>
      <c r="T21" s="21" t="str">
        <f t="shared" si="11"/>
        <v>Elementos.de.Solo</v>
      </c>
      <c r="U21" s="21" t="str">
        <f t="shared" si="12"/>
        <v>Terraplenagens</v>
      </c>
      <c r="V21" s="21" t="s">
        <v>141</v>
      </c>
      <c r="W21" s="58" t="str">
        <f t="shared" si="5"/>
        <v>Key-GEO-21</v>
      </c>
      <c r="X21" s="60" t="s">
        <v>215</v>
      </c>
      <c r="Y21" s="60" t="s">
        <v>262</v>
      </c>
      <c r="Z21" s="21" t="s">
        <v>278</v>
      </c>
      <c r="AA21" s="21" t="s">
        <v>305</v>
      </c>
    </row>
    <row r="22" spans="1:27" ht="6.65" customHeight="1" x14ac:dyDescent="0.4">
      <c r="A22" s="50">
        <v>22</v>
      </c>
      <c r="B22" s="55" t="s">
        <v>374</v>
      </c>
      <c r="C22" s="59" t="s">
        <v>375</v>
      </c>
      <c r="D22" s="55" t="s">
        <v>239</v>
      </c>
      <c r="E22" s="55" t="s">
        <v>240</v>
      </c>
      <c r="F22" s="56" t="s">
        <v>229</v>
      </c>
      <c r="G22" s="6" t="s">
        <v>9</v>
      </c>
      <c r="H22" s="6" t="s">
        <v>9</v>
      </c>
      <c r="I22" s="6" t="s">
        <v>9</v>
      </c>
      <c r="J22" s="6" t="s">
        <v>9</v>
      </c>
      <c r="K22" s="6" t="s">
        <v>9</v>
      </c>
      <c r="L22" s="57" t="str">
        <f t="shared" si="6"/>
        <v>GeoTécnicos</v>
      </c>
      <c r="M22" s="57" t="str">
        <f t="shared" si="7"/>
        <v>Elementos.de.Solo</v>
      </c>
      <c r="N22" s="57" t="str">
        <f t="shared" si="8"/>
        <v>Terraplenagens</v>
      </c>
      <c r="O22" s="57" t="str">
        <f t="shared" si="9"/>
        <v>Aterro Contrapeso</v>
      </c>
      <c r="P22" s="21" t="s">
        <v>112</v>
      </c>
      <c r="Q22" s="35" t="s">
        <v>351</v>
      </c>
      <c r="R22" s="21" t="s">
        <v>9</v>
      </c>
      <c r="S22" s="21" t="str">
        <f t="shared" si="10"/>
        <v>GeoTécnicos</v>
      </c>
      <c r="T22" s="21" t="str">
        <f t="shared" si="11"/>
        <v>Elementos.de.Solo</v>
      </c>
      <c r="U22" s="21" t="str">
        <f t="shared" si="12"/>
        <v>Terraplenagens</v>
      </c>
      <c r="V22" s="21" t="s">
        <v>141</v>
      </c>
      <c r="W22" s="58" t="str">
        <f t="shared" si="5"/>
        <v>Key-GEO-22</v>
      </c>
      <c r="X22" s="60" t="s">
        <v>215</v>
      </c>
      <c r="Y22" s="60" t="s">
        <v>261</v>
      </c>
      <c r="Z22" s="21" t="s">
        <v>278</v>
      </c>
      <c r="AA22" s="21" t="s">
        <v>306</v>
      </c>
    </row>
    <row r="23" spans="1:27" ht="6.65" customHeight="1" x14ac:dyDescent="0.4">
      <c r="A23" s="50">
        <v>23</v>
      </c>
      <c r="B23" s="55" t="s">
        <v>374</v>
      </c>
      <c r="C23" s="59" t="s">
        <v>375</v>
      </c>
      <c r="D23" s="55" t="s">
        <v>239</v>
      </c>
      <c r="E23" s="55" t="s">
        <v>240</v>
      </c>
      <c r="F23" s="56" t="s">
        <v>230</v>
      </c>
      <c r="G23" s="6" t="s">
        <v>9</v>
      </c>
      <c r="H23" s="6" t="s">
        <v>9</v>
      </c>
      <c r="I23" s="6" t="s">
        <v>9</v>
      </c>
      <c r="J23" s="6" t="s">
        <v>9</v>
      </c>
      <c r="K23" s="6" t="s">
        <v>9</v>
      </c>
      <c r="L23" s="57" t="str">
        <f t="shared" si="6"/>
        <v>GeoTécnicos</v>
      </c>
      <c r="M23" s="57" t="str">
        <f t="shared" si="7"/>
        <v>Elementos.de.Solo</v>
      </c>
      <c r="N23" s="57" t="str">
        <f t="shared" si="8"/>
        <v>Terraplenagens</v>
      </c>
      <c r="O23" s="57" t="str">
        <f t="shared" si="9"/>
        <v>Aterro Preenchimento</v>
      </c>
      <c r="P23" s="21" t="s">
        <v>113</v>
      </c>
      <c r="Q23" s="35" t="s">
        <v>352</v>
      </c>
      <c r="R23" s="21" t="s">
        <v>9</v>
      </c>
      <c r="S23" s="21" t="str">
        <f t="shared" si="10"/>
        <v>GeoTécnicos</v>
      </c>
      <c r="T23" s="21" t="str">
        <f t="shared" si="11"/>
        <v>Elementos.de.Solo</v>
      </c>
      <c r="U23" s="21" t="str">
        <f t="shared" si="12"/>
        <v>Terraplenagens</v>
      </c>
      <c r="V23" s="21" t="s">
        <v>141</v>
      </c>
      <c r="W23" s="58" t="str">
        <f t="shared" si="5"/>
        <v>Key-GEO-23</v>
      </c>
      <c r="X23" s="60" t="s">
        <v>215</v>
      </c>
      <c r="Y23" s="60" t="s">
        <v>260</v>
      </c>
      <c r="Z23" s="21" t="s">
        <v>278</v>
      </c>
      <c r="AA23" s="21" t="s">
        <v>307</v>
      </c>
    </row>
    <row r="24" spans="1:27" ht="6.65" customHeight="1" x14ac:dyDescent="0.4">
      <c r="A24" s="50">
        <v>24</v>
      </c>
      <c r="B24" s="55" t="s">
        <v>374</v>
      </c>
      <c r="C24" s="59" t="s">
        <v>375</v>
      </c>
      <c r="D24" s="55" t="s">
        <v>239</v>
      </c>
      <c r="E24" s="55" t="s">
        <v>240</v>
      </c>
      <c r="F24" s="56" t="s">
        <v>231</v>
      </c>
      <c r="G24" s="6" t="s">
        <v>9</v>
      </c>
      <c r="H24" s="6" t="s">
        <v>9</v>
      </c>
      <c r="I24" s="6" t="s">
        <v>9</v>
      </c>
      <c r="J24" s="6" t="s">
        <v>9</v>
      </c>
      <c r="K24" s="6" t="s">
        <v>9</v>
      </c>
      <c r="L24" s="57" t="str">
        <f t="shared" si="6"/>
        <v>GeoTécnicos</v>
      </c>
      <c r="M24" s="57" t="str">
        <f t="shared" si="7"/>
        <v>Elementos.de.Solo</v>
      </c>
      <c r="N24" s="57" t="str">
        <f t="shared" si="8"/>
        <v>Terraplenagens</v>
      </c>
      <c r="O24" s="57" t="str">
        <f t="shared" si="9"/>
        <v>Aterro Inclinado</v>
      </c>
      <c r="P24" s="21" t="s">
        <v>114</v>
      </c>
      <c r="Q24" s="35" t="s">
        <v>353</v>
      </c>
      <c r="R24" s="21" t="s">
        <v>9</v>
      </c>
      <c r="S24" s="21" t="str">
        <f t="shared" si="10"/>
        <v>GeoTécnicos</v>
      </c>
      <c r="T24" s="21" t="str">
        <f t="shared" si="11"/>
        <v>Elementos.de.Solo</v>
      </c>
      <c r="U24" s="21" t="str">
        <f t="shared" si="12"/>
        <v>Terraplenagens</v>
      </c>
      <c r="V24" s="21" t="s">
        <v>141</v>
      </c>
      <c r="W24" s="58" t="str">
        <f t="shared" si="5"/>
        <v>Key-GEO-24</v>
      </c>
      <c r="X24" s="60" t="s">
        <v>215</v>
      </c>
      <c r="Y24" s="60" t="s">
        <v>259</v>
      </c>
      <c r="Z24" s="21" t="s">
        <v>278</v>
      </c>
      <c r="AA24" s="21" t="s">
        <v>308</v>
      </c>
    </row>
    <row r="25" spans="1:27" ht="6.65" customHeight="1" x14ac:dyDescent="0.4">
      <c r="A25" s="50">
        <v>25</v>
      </c>
      <c r="B25" s="55" t="s">
        <v>374</v>
      </c>
      <c r="C25" s="59" t="s">
        <v>375</v>
      </c>
      <c r="D25" s="55" t="s">
        <v>239</v>
      </c>
      <c r="E25" s="55" t="s">
        <v>240</v>
      </c>
      <c r="F25" s="56" t="s">
        <v>244</v>
      </c>
      <c r="G25" s="6" t="s">
        <v>9</v>
      </c>
      <c r="H25" s="6" t="s">
        <v>9</v>
      </c>
      <c r="I25" s="6" t="s">
        <v>9</v>
      </c>
      <c r="J25" s="6" t="s">
        <v>9</v>
      </c>
      <c r="K25" s="6" t="s">
        <v>9</v>
      </c>
      <c r="L25" s="57" t="str">
        <f t="shared" si="6"/>
        <v>GeoTécnicos</v>
      </c>
      <c r="M25" s="57" t="str">
        <f t="shared" si="7"/>
        <v>Elementos.de.Solo</v>
      </c>
      <c r="N25" s="57" t="str">
        <f t="shared" si="8"/>
        <v>Terraplenagens</v>
      </c>
      <c r="O25" s="57" t="str">
        <f t="shared" si="9"/>
        <v>Aterro Subterrâneo</v>
      </c>
      <c r="P25" s="21" t="s">
        <v>115</v>
      </c>
      <c r="Q25" s="35" t="s">
        <v>354</v>
      </c>
      <c r="R25" s="21" t="s">
        <v>9</v>
      </c>
      <c r="S25" s="21" t="str">
        <f t="shared" si="10"/>
        <v>GeoTécnicos</v>
      </c>
      <c r="T25" s="21" t="str">
        <f t="shared" si="11"/>
        <v>Elementos.de.Solo</v>
      </c>
      <c r="U25" s="21" t="str">
        <f t="shared" si="12"/>
        <v>Terraplenagens</v>
      </c>
      <c r="V25" s="21" t="s">
        <v>141</v>
      </c>
      <c r="W25" s="58" t="str">
        <f t="shared" si="5"/>
        <v>Key-GEO-25</v>
      </c>
      <c r="X25" s="60" t="s">
        <v>215</v>
      </c>
      <c r="Y25" s="60" t="s">
        <v>258</v>
      </c>
      <c r="Z25" s="21" t="s">
        <v>278</v>
      </c>
      <c r="AA25" s="21" t="s">
        <v>309</v>
      </c>
    </row>
    <row r="26" spans="1:27" ht="6.65" customHeight="1" x14ac:dyDescent="0.4">
      <c r="A26" s="50">
        <v>26</v>
      </c>
      <c r="B26" s="55" t="s">
        <v>374</v>
      </c>
      <c r="C26" s="59" t="s">
        <v>375</v>
      </c>
      <c r="D26" s="55" t="s">
        <v>239</v>
      </c>
      <c r="E26" s="55" t="s">
        <v>240</v>
      </c>
      <c r="F26" s="56" t="s">
        <v>232</v>
      </c>
      <c r="G26" s="6" t="s">
        <v>9</v>
      </c>
      <c r="H26" s="6" t="s">
        <v>9</v>
      </c>
      <c r="I26" s="6" t="s">
        <v>9</v>
      </c>
      <c r="J26" s="6" t="s">
        <v>9</v>
      </c>
      <c r="K26" s="6" t="s">
        <v>9</v>
      </c>
      <c r="L26" s="57" t="str">
        <f t="shared" si="6"/>
        <v>GeoTécnicos</v>
      </c>
      <c r="M26" s="57" t="str">
        <f t="shared" si="7"/>
        <v>Elementos.de.Solo</v>
      </c>
      <c r="N26" s="57" t="str">
        <f t="shared" si="8"/>
        <v>Terraplenagens</v>
      </c>
      <c r="O26" s="57" t="str">
        <f t="shared" si="9"/>
        <v>Aterro Camada</v>
      </c>
      <c r="P26" s="21" t="s">
        <v>116</v>
      </c>
      <c r="Q26" s="35" t="s">
        <v>355</v>
      </c>
      <c r="R26" s="21" t="s">
        <v>9</v>
      </c>
      <c r="S26" s="21" t="str">
        <f t="shared" si="10"/>
        <v>GeoTécnicos</v>
      </c>
      <c r="T26" s="21" t="str">
        <f t="shared" si="11"/>
        <v>Elementos.de.Solo</v>
      </c>
      <c r="U26" s="21" t="str">
        <f t="shared" si="12"/>
        <v>Terraplenagens</v>
      </c>
      <c r="V26" s="21" t="s">
        <v>141</v>
      </c>
      <c r="W26" s="58" t="str">
        <f t="shared" si="5"/>
        <v>Key-GEO-26</v>
      </c>
      <c r="X26" s="60" t="s">
        <v>215</v>
      </c>
      <c r="Y26" s="60" t="s">
        <v>257</v>
      </c>
      <c r="Z26" s="21" t="s">
        <v>278</v>
      </c>
      <c r="AA26" s="21" t="s">
        <v>310</v>
      </c>
    </row>
    <row r="27" spans="1:27" ht="6.65" customHeight="1" x14ac:dyDescent="0.4">
      <c r="A27" s="50">
        <v>27</v>
      </c>
      <c r="B27" s="55" t="s">
        <v>374</v>
      </c>
      <c r="C27" s="59" t="s">
        <v>375</v>
      </c>
      <c r="D27" s="55" t="s">
        <v>239</v>
      </c>
      <c r="E27" s="55" t="s">
        <v>240</v>
      </c>
      <c r="F27" s="56" t="s">
        <v>233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9</v>
      </c>
      <c r="L27" s="57" t="str">
        <f t="shared" si="6"/>
        <v>GeoTécnicos</v>
      </c>
      <c r="M27" s="57" t="str">
        <f t="shared" si="7"/>
        <v>Elementos.de.Solo</v>
      </c>
      <c r="N27" s="57" t="str">
        <f t="shared" si="8"/>
        <v>Terraplenagens</v>
      </c>
      <c r="O27" s="57" t="str">
        <f t="shared" si="9"/>
        <v>Aterro Transição</v>
      </c>
      <c r="P27" s="21" t="s">
        <v>117</v>
      </c>
      <c r="Q27" s="35" t="s">
        <v>356</v>
      </c>
      <c r="R27" s="21" t="s">
        <v>9</v>
      </c>
      <c r="S27" s="21" t="str">
        <f t="shared" si="10"/>
        <v>GeoTécnicos</v>
      </c>
      <c r="T27" s="21" t="str">
        <f t="shared" si="11"/>
        <v>Elementos.de.Solo</v>
      </c>
      <c r="U27" s="21" t="str">
        <f t="shared" si="12"/>
        <v>Terraplenagens</v>
      </c>
      <c r="V27" s="21" t="s">
        <v>141</v>
      </c>
      <c r="W27" s="58" t="str">
        <f t="shared" si="5"/>
        <v>Key-GEO-27</v>
      </c>
      <c r="X27" s="60" t="s">
        <v>215</v>
      </c>
      <c r="Y27" s="60" t="s">
        <v>256</v>
      </c>
      <c r="Z27" s="21" t="s">
        <v>278</v>
      </c>
      <c r="AA27" s="21" t="s">
        <v>311</v>
      </c>
    </row>
    <row r="28" spans="1:27" ht="6.65" customHeight="1" x14ac:dyDescent="0.4">
      <c r="A28" s="50">
        <v>28</v>
      </c>
      <c r="B28" s="55" t="s">
        <v>374</v>
      </c>
      <c r="C28" s="59" t="s">
        <v>375</v>
      </c>
      <c r="D28" s="55" t="s">
        <v>272</v>
      </c>
      <c r="E28" s="44" t="s">
        <v>204</v>
      </c>
      <c r="F28" s="44" t="s">
        <v>149</v>
      </c>
      <c r="G28" s="6" t="s">
        <v>9</v>
      </c>
      <c r="H28" s="6" t="s">
        <v>9</v>
      </c>
      <c r="I28" s="6" t="s">
        <v>9</v>
      </c>
      <c r="J28" s="6" t="s">
        <v>9</v>
      </c>
      <c r="K28" s="6" t="s">
        <v>9</v>
      </c>
      <c r="L28" s="57" t="str">
        <f t="shared" si="6"/>
        <v>GeoTécnicos</v>
      </c>
      <c r="M28" s="57" t="str">
        <f t="shared" si="7"/>
        <v>Elementos.de.Topografia</v>
      </c>
      <c r="N28" s="57" t="str">
        <f t="shared" si="8"/>
        <v>Pontos do Modelo</v>
      </c>
      <c r="O28" s="57" t="str">
        <f t="shared" si="9"/>
        <v>Ponto Interno</v>
      </c>
      <c r="P28" s="35" t="s">
        <v>150</v>
      </c>
      <c r="Q28" s="35" t="s">
        <v>357</v>
      </c>
      <c r="R28" s="21" t="s">
        <v>9</v>
      </c>
      <c r="S28" s="21" t="str">
        <f t="shared" si="10"/>
        <v>GeoTécnicos</v>
      </c>
      <c r="T28" s="21" t="str">
        <f t="shared" si="11"/>
        <v>Elementos.de.Topografia</v>
      </c>
      <c r="U28" s="21" t="str">
        <f t="shared" si="12"/>
        <v>Pontos.do.Modelo</v>
      </c>
      <c r="V28" s="21" t="s">
        <v>141</v>
      </c>
      <c r="W28" s="58" t="str">
        <f t="shared" si="5"/>
        <v>Key-GEO-28</v>
      </c>
      <c r="X28" s="21" t="s">
        <v>175</v>
      </c>
      <c r="Y28" s="21" t="s">
        <v>172</v>
      </c>
      <c r="Z28" s="21" t="s">
        <v>143</v>
      </c>
      <c r="AA28" s="21" t="s">
        <v>312</v>
      </c>
    </row>
    <row r="29" spans="1:27" ht="6.65" customHeight="1" x14ac:dyDescent="0.4">
      <c r="A29" s="50">
        <v>29</v>
      </c>
      <c r="B29" s="55" t="s">
        <v>374</v>
      </c>
      <c r="C29" s="59" t="s">
        <v>375</v>
      </c>
      <c r="D29" s="55" t="s">
        <v>272</v>
      </c>
      <c r="E29" s="44" t="s">
        <v>204</v>
      </c>
      <c r="F29" s="44" t="s">
        <v>151</v>
      </c>
      <c r="G29" s="6" t="s">
        <v>9</v>
      </c>
      <c r="H29" s="6" t="s">
        <v>9</v>
      </c>
      <c r="I29" s="6" t="s">
        <v>9</v>
      </c>
      <c r="J29" s="6" t="s">
        <v>9</v>
      </c>
      <c r="K29" s="6" t="s">
        <v>9</v>
      </c>
      <c r="L29" s="57" t="str">
        <f t="shared" si="6"/>
        <v>GeoTécnicos</v>
      </c>
      <c r="M29" s="57" t="str">
        <f t="shared" si="7"/>
        <v>Elementos.de.Topografia</v>
      </c>
      <c r="N29" s="57" t="str">
        <f t="shared" si="8"/>
        <v>Pontos do Modelo</v>
      </c>
      <c r="O29" s="57" t="str">
        <f t="shared" si="9"/>
        <v>Ponto Perimetral</v>
      </c>
      <c r="P29" s="35" t="s">
        <v>152</v>
      </c>
      <c r="Q29" s="35" t="s">
        <v>358</v>
      </c>
      <c r="R29" s="21" t="s">
        <v>9</v>
      </c>
      <c r="S29" s="21" t="str">
        <f t="shared" si="10"/>
        <v>GeoTécnicos</v>
      </c>
      <c r="T29" s="21" t="str">
        <f t="shared" si="11"/>
        <v>Elementos.de.Topografia</v>
      </c>
      <c r="U29" s="21" t="str">
        <f t="shared" si="12"/>
        <v>Pontos.do.Modelo</v>
      </c>
      <c r="V29" s="21" t="s">
        <v>141</v>
      </c>
      <c r="W29" s="58" t="str">
        <f t="shared" si="5"/>
        <v>Key-GEO-29</v>
      </c>
      <c r="X29" s="21" t="s">
        <v>179</v>
      </c>
      <c r="Y29" s="21" t="s">
        <v>172</v>
      </c>
      <c r="Z29" s="21" t="s">
        <v>143</v>
      </c>
      <c r="AA29" s="21" t="s">
        <v>313</v>
      </c>
    </row>
    <row r="30" spans="1:27" ht="6.65" customHeight="1" x14ac:dyDescent="0.4">
      <c r="A30" s="50">
        <v>30</v>
      </c>
      <c r="B30" s="55" t="s">
        <v>374</v>
      </c>
      <c r="C30" s="59" t="s">
        <v>375</v>
      </c>
      <c r="D30" s="55" t="s">
        <v>272</v>
      </c>
      <c r="E30" s="44" t="s">
        <v>204</v>
      </c>
      <c r="F30" s="44" t="s">
        <v>211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57" t="str">
        <f t="shared" si="6"/>
        <v>GeoTécnicos</v>
      </c>
      <c r="M30" s="57" t="str">
        <f t="shared" si="7"/>
        <v>Elementos.de.Topografia</v>
      </c>
      <c r="N30" s="57" t="str">
        <f t="shared" si="8"/>
        <v>Pontos do Modelo</v>
      </c>
      <c r="O30" s="57" t="str">
        <f t="shared" si="9"/>
        <v>Ponto Região</v>
      </c>
      <c r="P30" s="21" t="s">
        <v>138</v>
      </c>
      <c r="Q30" s="35" t="s">
        <v>139</v>
      </c>
      <c r="R30" s="21" t="s">
        <v>9</v>
      </c>
      <c r="S30" s="21" t="str">
        <f t="shared" si="10"/>
        <v>GeoTécnicos</v>
      </c>
      <c r="T30" s="21" t="str">
        <f t="shared" si="11"/>
        <v>Elementos.de.Topografia</v>
      </c>
      <c r="U30" s="21" t="str">
        <f t="shared" si="12"/>
        <v>Pontos.do.Modelo</v>
      </c>
      <c r="V30" s="21" t="s">
        <v>141</v>
      </c>
      <c r="W30" s="58" t="str">
        <f t="shared" si="5"/>
        <v>Key-GEO-30</v>
      </c>
      <c r="X30" s="21" t="s">
        <v>206</v>
      </c>
      <c r="Y30" s="21" t="s">
        <v>376</v>
      </c>
      <c r="Z30" s="21" t="s">
        <v>143</v>
      </c>
      <c r="AA30" s="21" t="s">
        <v>314</v>
      </c>
    </row>
    <row r="31" spans="1:27" ht="6.65" customHeight="1" x14ac:dyDescent="0.4">
      <c r="A31" s="50">
        <v>31</v>
      </c>
      <c r="B31" s="55" t="s">
        <v>374</v>
      </c>
      <c r="C31" s="59" t="s">
        <v>375</v>
      </c>
      <c r="D31" s="55" t="s">
        <v>272</v>
      </c>
      <c r="E31" s="44" t="s">
        <v>204</v>
      </c>
      <c r="F31" s="44" t="s">
        <v>212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57" t="str">
        <f t="shared" si="6"/>
        <v>GeoTécnicos</v>
      </c>
      <c r="M31" s="57" t="str">
        <f t="shared" si="7"/>
        <v>Elementos.de.Topografia</v>
      </c>
      <c r="N31" s="57" t="str">
        <f t="shared" si="8"/>
        <v>Pontos do Modelo</v>
      </c>
      <c r="O31" s="57" t="str">
        <f t="shared" si="9"/>
        <v>Ponto Superfície</v>
      </c>
      <c r="P31" s="21" t="s">
        <v>140</v>
      </c>
      <c r="Q31" s="35" t="s">
        <v>359</v>
      </c>
      <c r="R31" s="21" t="s">
        <v>9</v>
      </c>
      <c r="S31" s="21" t="str">
        <f t="shared" si="10"/>
        <v>GeoTécnicos</v>
      </c>
      <c r="T31" s="21" t="str">
        <f t="shared" si="11"/>
        <v>Elementos.de.Topografia</v>
      </c>
      <c r="U31" s="21" t="str">
        <f t="shared" si="12"/>
        <v>Pontos.do.Modelo</v>
      </c>
      <c r="V31" s="21" t="s">
        <v>141</v>
      </c>
      <c r="W31" s="58" t="str">
        <f t="shared" si="5"/>
        <v>Key-GEO-31</v>
      </c>
      <c r="X31" s="21" t="s">
        <v>207</v>
      </c>
      <c r="Y31" s="21" t="s">
        <v>376</v>
      </c>
      <c r="Z31" s="21" t="s">
        <v>143</v>
      </c>
      <c r="AA31" s="21" t="s">
        <v>315</v>
      </c>
    </row>
    <row r="32" spans="1:27" ht="6.65" customHeight="1" x14ac:dyDescent="0.4">
      <c r="A32" s="50">
        <v>32</v>
      </c>
      <c r="B32" s="55" t="s">
        <v>374</v>
      </c>
      <c r="C32" s="59" t="s">
        <v>375</v>
      </c>
      <c r="D32" s="55" t="s">
        <v>272</v>
      </c>
      <c r="E32" s="55" t="s">
        <v>171</v>
      </c>
      <c r="F32" s="44" t="s">
        <v>216</v>
      </c>
      <c r="G32" s="6" t="s">
        <v>9</v>
      </c>
      <c r="H32" s="6" t="s">
        <v>9</v>
      </c>
      <c r="I32" s="6" t="s">
        <v>9</v>
      </c>
      <c r="J32" s="6" t="s">
        <v>9</v>
      </c>
      <c r="K32" s="6" t="s">
        <v>9</v>
      </c>
      <c r="L32" s="57" t="str">
        <f t="shared" si="6"/>
        <v>GeoTécnicos</v>
      </c>
      <c r="M32" s="57" t="str">
        <f t="shared" si="7"/>
        <v>Elementos.de.Topografia</v>
      </c>
      <c r="N32" s="57" t="str">
        <f t="shared" si="8"/>
        <v>Sondagens</v>
      </c>
      <c r="O32" s="57" t="str">
        <f t="shared" si="9"/>
        <v>Ponto Sondagem</v>
      </c>
      <c r="P32" s="21" t="s">
        <v>95</v>
      </c>
      <c r="Q32" s="35" t="s">
        <v>96</v>
      </c>
      <c r="R32" s="21" t="s">
        <v>9</v>
      </c>
      <c r="S32" s="21" t="str">
        <f t="shared" si="10"/>
        <v>GeoTécnicos</v>
      </c>
      <c r="T32" s="21" t="str">
        <f t="shared" si="11"/>
        <v>Elementos.de.Topografia</v>
      </c>
      <c r="U32" s="21" t="str">
        <f t="shared" si="12"/>
        <v>Sondagens</v>
      </c>
      <c r="V32" s="21" t="s">
        <v>141</v>
      </c>
      <c r="W32" s="58" t="str">
        <f t="shared" si="5"/>
        <v>Key-GEO-32</v>
      </c>
      <c r="X32" s="21" t="s">
        <v>215</v>
      </c>
      <c r="Y32" s="60" t="s">
        <v>213</v>
      </c>
      <c r="Z32" s="21" t="s">
        <v>143</v>
      </c>
      <c r="AA32" s="21" t="s">
        <v>316</v>
      </c>
    </row>
    <row r="33" spans="1:27" ht="6.65" customHeight="1" x14ac:dyDescent="0.4">
      <c r="A33" s="50">
        <v>33</v>
      </c>
      <c r="B33" s="55" t="s">
        <v>374</v>
      </c>
      <c r="C33" s="59" t="s">
        <v>375</v>
      </c>
      <c r="D33" s="55" t="s">
        <v>272</v>
      </c>
      <c r="E33" s="55" t="s">
        <v>171</v>
      </c>
      <c r="F33" s="44" t="s">
        <v>217</v>
      </c>
      <c r="G33" s="6" t="s">
        <v>9</v>
      </c>
      <c r="H33" s="6" t="s">
        <v>9</v>
      </c>
      <c r="I33" s="6" t="s">
        <v>9</v>
      </c>
      <c r="J33" s="6" t="s">
        <v>9</v>
      </c>
      <c r="K33" s="6" t="s">
        <v>9</v>
      </c>
      <c r="L33" s="57" t="str">
        <f t="shared" si="6"/>
        <v>GeoTécnicos</v>
      </c>
      <c r="M33" s="57" t="str">
        <f t="shared" si="7"/>
        <v>Elementos.de.Topografia</v>
      </c>
      <c r="N33" s="57" t="str">
        <f t="shared" si="8"/>
        <v>Sondagens</v>
      </c>
      <c r="O33" s="57" t="str">
        <f t="shared" si="9"/>
        <v>Ponto Sondagem Definido</v>
      </c>
      <c r="P33" s="21" t="s">
        <v>120</v>
      </c>
      <c r="Q33" s="35" t="s">
        <v>121</v>
      </c>
      <c r="R33" s="21" t="s">
        <v>9</v>
      </c>
      <c r="S33" s="21" t="str">
        <f t="shared" si="10"/>
        <v>GeoTécnicos</v>
      </c>
      <c r="T33" s="21" t="str">
        <f t="shared" si="11"/>
        <v>Elementos.de.Topografia</v>
      </c>
      <c r="U33" s="21" t="str">
        <f t="shared" si="12"/>
        <v>Sondagens</v>
      </c>
      <c r="V33" s="21" t="s">
        <v>141</v>
      </c>
      <c r="W33" s="58" t="str">
        <f t="shared" si="5"/>
        <v>Key-GEO-33</v>
      </c>
      <c r="X33" s="21" t="s">
        <v>215</v>
      </c>
      <c r="Y33" s="60" t="s">
        <v>214</v>
      </c>
      <c r="Z33" s="21" t="s">
        <v>143</v>
      </c>
      <c r="AA33" s="21" t="s">
        <v>317</v>
      </c>
    </row>
    <row r="34" spans="1:27" ht="6.65" customHeight="1" x14ac:dyDescent="0.4">
      <c r="A34" s="50">
        <v>34</v>
      </c>
      <c r="B34" s="55" t="s">
        <v>374</v>
      </c>
      <c r="C34" s="59" t="s">
        <v>375</v>
      </c>
      <c r="D34" s="55" t="s">
        <v>272</v>
      </c>
      <c r="E34" s="44" t="s">
        <v>94</v>
      </c>
      <c r="F34" s="44" t="s">
        <v>195</v>
      </c>
      <c r="G34" s="6" t="s">
        <v>9</v>
      </c>
      <c r="H34" s="6" t="s">
        <v>9</v>
      </c>
      <c r="I34" s="6" t="s">
        <v>9</v>
      </c>
      <c r="J34" s="6" t="s">
        <v>9</v>
      </c>
      <c r="K34" s="6" t="s">
        <v>9</v>
      </c>
      <c r="L34" s="57" t="str">
        <f t="shared" si="6"/>
        <v>GeoTécnicos</v>
      </c>
      <c r="M34" s="57" t="str">
        <f t="shared" si="7"/>
        <v>Elementos.de.Topografia</v>
      </c>
      <c r="N34" s="57" t="str">
        <f t="shared" si="8"/>
        <v>Topografia</v>
      </c>
      <c r="O34" s="57" t="str">
        <f t="shared" si="9"/>
        <v>Topografia Sólida</v>
      </c>
      <c r="P34" s="35" t="s">
        <v>153</v>
      </c>
      <c r="Q34" s="35" t="s">
        <v>360</v>
      </c>
      <c r="R34" s="21" t="s">
        <v>9</v>
      </c>
      <c r="S34" s="21" t="str">
        <f t="shared" si="10"/>
        <v>GeoTécnicos</v>
      </c>
      <c r="T34" s="21" t="str">
        <f t="shared" si="11"/>
        <v>Elementos.de.Topografia</v>
      </c>
      <c r="U34" s="21" t="str">
        <f t="shared" si="12"/>
        <v>Topografia</v>
      </c>
      <c r="V34" s="21" t="s">
        <v>141</v>
      </c>
      <c r="W34" s="58" t="str">
        <f t="shared" si="5"/>
        <v>Key-GEO-34</v>
      </c>
      <c r="X34" s="21" t="s">
        <v>176</v>
      </c>
      <c r="Y34" s="21" t="s">
        <v>173</v>
      </c>
      <c r="Z34" s="21" t="s">
        <v>143</v>
      </c>
      <c r="AA34" s="21" t="s">
        <v>318</v>
      </c>
    </row>
    <row r="35" spans="1:27" ht="6.65" customHeight="1" x14ac:dyDescent="0.4">
      <c r="A35" s="50">
        <v>35</v>
      </c>
      <c r="B35" s="55" t="s">
        <v>374</v>
      </c>
      <c r="C35" s="59" t="s">
        <v>375</v>
      </c>
      <c r="D35" s="55" t="s">
        <v>272</v>
      </c>
      <c r="E35" s="44" t="s">
        <v>94</v>
      </c>
      <c r="F35" s="44" t="s">
        <v>196</v>
      </c>
      <c r="G35" s="6" t="s">
        <v>9</v>
      </c>
      <c r="H35" s="6" t="s">
        <v>9</v>
      </c>
      <c r="I35" s="6" t="s">
        <v>9</v>
      </c>
      <c r="J35" s="6" t="s">
        <v>9</v>
      </c>
      <c r="K35" s="6" t="s">
        <v>9</v>
      </c>
      <c r="L35" s="57" t="str">
        <f t="shared" si="6"/>
        <v>GeoTécnicos</v>
      </c>
      <c r="M35" s="57" t="str">
        <f t="shared" si="7"/>
        <v>Elementos.de.Topografia</v>
      </c>
      <c r="N35" s="57" t="str">
        <f t="shared" si="8"/>
        <v>Topografia</v>
      </c>
      <c r="O35" s="57" t="str">
        <f t="shared" si="9"/>
        <v>Topografia Malha</v>
      </c>
      <c r="P35" s="35" t="s">
        <v>154</v>
      </c>
      <c r="Q35" s="35" t="s">
        <v>361</v>
      </c>
      <c r="R35" s="21" t="s">
        <v>9</v>
      </c>
      <c r="S35" s="21" t="str">
        <f t="shared" si="10"/>
        <v>GeoTécnicos</v>
      </c>
      <c r="T35" s="21" t="str">
        <f t="shared" si="11"/>
        <v>Elementos.de.Topografia</v>
      </c>
      <c r="U35" s="21" t="str">
        <f t="shared" si="12"/>
        <v>Topografia</v>
      </c>
      <c r="V35" s="21" t="s">
        <v>141</v>
      </c>
      <c r="W35" s="58" t="str">
        <f t="shared" si="5"/>
        <v>Key-GEO-35</v>
      </c>
      <c r="X35" s="21" t="s">
        <v>178</v>
      </c>
      <c r="Y35" s="21" t="s">
        <v>173</v>
      </c>
      <c r="Z35" s="21" t="s">
        <v>143</v>
      </c>
      <c r="AA35" s="21" t="s">
        <v>319</v>
      </c>
    </row>
    <row r="36" spans="1:27" ht="6.65" customHeight="1" x14ac:dyDescent="0.4">
      <c r="A36" s="50">
        <v>36</v>
      </c>
      <c r="B36" s="55" t="s">
        <v>374</v>
      </c>
      <c r="C36" s="59" t="s">
        <v>375</v>
      </c>
      <c r="D36" s="55" t="s">
        <v>272</v>
      </c>
      <c r="E36" s="44" t="s">
        <v>94</v>
      </c>
      <c r="F36" s="44" t="s">
        <v>197</v>
      </c>
      <c r="G36" s="6" t="s">
        <v>9</v>
      </c>
      <c r="H36" s="6" t="s">
        <v>9</v>
      </c>
      <c r="I36" s="6" t="s">
        <v>9</v>
      </c>
      <c r="J36" s="6" t="s">
        <v>9</v>
      </c>
      <c r="K36" s="6" t="s">
        <v>9</v>
      </c>
      <c r="L36" s="57" t="str">
        <f t="shared" si="6"/>
        <v>GeoTécnicos</v>
      </c>
      <c r="M36" s="57" t="str">
        <f t="shared" si="7"/>
        <v>Elementos.de.Topografia</v>
      </c>
      <c r="N36" s="57" t="str">
        <f t="shared" si="8"/>
        <v>Topografia</v>
      </c>
      <c r="O36" s="57" t="str">
        <f t="shared" si="9"/>
        <v>Topografia Sólida Núcleo</v>
      </c>
      <c r="P36" s="35" t="s">
        <v>155</v>
      </c>
      <c r="Q36" s="35" t="s">
        <v>362</v>
      </c>
      <c r="R36" s="21" t="s">
        <v>9</v>
      </c>
      <c r="S36" s="21" t="str">
        <f t="shared" si="10"/>
        <v>GeoTécnicos</v>
      </c>
      <c r="T36" s="21" t="str">
        <f t="shared" si="11"/>
        <v>Elementos.de.Topografia</v>
      </c>
      <c r="U36" s="21" t="str">
        <f t="shared" si="12"/>
        <v>Topografia</v>
      </c>
      <c r="V36" s="21" t="s">
        <v>141</v>
      </c>
      <c r="W36" s="58" t="str">
        <f t="shared" si="5"/>
        <v>Key-GEO-36</v>
      </c>
      <c r="X36" s="21" t="s">
        <v>147</v>
      </c>
      <c r="Y36" s="21" t="s">
        <v>190</v>
      </c>
      <c r="Z36" s="21" t="s">
        <v>143</v>
      </c>
      <c r="AA36" s="21" t="s">
        <v>320</v>
      </c>
    </row>
    <row r="37" spans="1:27" ht="6.65" customHeight="1" x14ac:dyDescent="0.4">
      <c r="A37" s="50">
        <v>37</v>
      </c>
      <c r="B37" s="55" t="s">
        <v>374</v>
      </c>
      <c r="C37" s="59" t="s">
        <v>375</v>
      </c>
      <c r="D37" s="55" t="s">
        <v>272</v>
      </c>
      <c r="E37" s="44" t="s">
        <v>94</v>
      </c>
      <c r="F37" s="44" t="s">
        <v>198</v>
      </c>
      <c r="G37" s="6" t="s">
        <v>9</v>
      </c>
      <c r="H37" s="6" t="s">
        <v>9</v>
      </c>
      <c r="I37" s="6" t="s">
        <v>9</v>
      </c>
      <c r="J37" s="6" t="s">
        <v>9</v>
      </c>
      <c r="K37" s="6" t="s">
        <v>9</v>
      </c>
      <c r="L37" s="57" t="str">
        <f t="shared" si="6"/>
        <v>GeoTécnicos</v>
      </c>
      <c r="M37" s="57" t="str">
        <f t="shared" si="7"/>
        <v>Elementos.de.Topografia</v>
      </c>
      <c r="N37" s="57" t="str">
        <f t="shared" si="8"/>
        <v>Topografia</v>
      </c>
      <c r="O37" s="57" t="str">
        <f t="shared" si="9"/>
        <v>Topografia Sólida Substrato</v>
      </c>
      <c r="P37" s="35" t="s">
        <v>156</v>
      </c>
      <c r="Q37" s="35" t="s">
        <v>157</v>
      </c>
      <c r="R37" s="21" t="s">
        <v>9</v>
      </c>
      <c r="S37" s="21" t="str">
        <f t="shared" si="10"/>
        <v>GeoTécnicos</v>
      </c>
      <c r="T37" s="21" t="str">
        <f t="shared" si="11"/>
        <v>Elementos.de.Topografia</v>
      </c>
      <c r="U37" s="21" t="str">
        <f t="shared" si="12"/>
        <v>Topografia</v>
      </c>
      <c r="V37" s="21" t="s">
        <v>141</v>
      </c>
      <c r="W37" s="58" t="str">
        <f t="shared" si="5"/>
        <v>Key-GEO-37</v>
      </c>
      <c r="X37" s="21" t="s">
        <v>180</v>
      </c>
      <c r="Y37" s="21" t="s">
        <v>190</v>
      </c>
      <c r="Z37" s="21" t="s">
        <v>143</v>
      </c>
      <c r="AA37" s="21" t="s">
        <v>321</v>
      </c>
    </row>
    <row r="38" spans="1:27" ht="6.65" customHeight="1" x14ac:dyDescent="0.4">
      <c r="A38" s="50">
        <v>38</v>
      </c>
      <c r="B38" s="55" t="s">
        <v>374</v>
      </c>
      <c r="C38" s="59" t="s">
        <v>375</v>
      </c>
      <c r="D38" s="55" t="s">
        <v>272</v>
      </c>
      <c r="E38" s="44" t="s">
        <v>94</v>
      </c>
      <c r="F38" s="44" t="s">
        <v>200</v>
      </c>
      <c r="G38" s="6" t="s">
        <v>9</v>
      </c>
      <c r="H38" s="6" t="s">
        <v>9</v>
      </c>
      <c r="I38" s="6" t="s">
        <v>9</v>
      </c>
      <c r="J38" s="6" t="s">
        <v>9</v>
      </c>
      <c r="K38" s="6" t="s">
        <v>9</v>
      </c>
      <c r="L38" s="57" t="str">
        <f t="shared" si="6"/>
        <v>GeoTécnicos</v>
      </c>
      <c r="M38" s="57" t="str">
        <f t="shared" si="7"/>
        <v>Elementos.de.Topografia</v>
      </c>
      <c r="N38" s="57" t="str">
        <f t="shared" si="8"/>
        <v>Topografia</v>
      </c>
      <c r="O38" s="57" t="str">
        <f t="shared" si="9"/>
        <v>Topografia Sólida Membrana</v>
      </c>
      <c r="P38" s="35" t="s">
        <v>158</v>
      </c>
      <c r="Q38" s="35" t="s">
        <v>159</v>
      </c>
      <c r="R38" s="21" t="s">
        <v>9</v>
      </c>
      <c r="S38" s="21" t="str">
        <f t="shared" si="10"/>
        <v>GeoTécnicos</v>
      </c>
      <c r="T38" s="21" t="str">
        <f t="shared" si="11"/>
        <v>Elementos.de.Topografia</v>
      </c>
      <c r="U38" s="21" t="str">
        <f t="shared" si="12"/>
        <v>Topografia</v>
      </c>
      <c r="V38" s="21" t="s">
        <v>141</v>
      </c>
      <c r="W38" s="58" t="str">
        <f t="shared" si="5"/>
        <v>Key-GEO-38</v>
      </c>
      <c r="X38" s="21" t="s">
        <v>177</v>
      </c>
      <c r="Y38" s="21" t="s">
        <v>190</v>
      </c>
      <c r="Z38" s="21" t="s">
        <v>143</v>
      </c>
      <c r="AA38" s="21" t="s">
        <v>322</v>
      </c>
    </row>
    <row r="39" spans="1:27" ht="6.65" customHeight="1" x14ac:dyDescent="0.4">
      <c r="A39" s="50">
        <v>39</v>
      </c>
      <c r="B39" s="55" t="s">
        <v>374</v>
      </c>
      <c r="C39" s="59" t="s">
        <v>375</v>
      </c>
      <c r="D39" s="55" t="s">
        <v>272</v>
      </c>
      <c r="E39" s="44" t="s">
        <v>94</v>
      </c>
      <c r="F39" s="44" t="s">
        <v>199</v>
      </c>
      <c r="G39" s="6" t="s">
        <v>9</v>
      </c>
      <c r="H39" s="6" t="s">
        <v>9</v>
      </c>
      <c r="I39" s="6" t="s">
        <v>9</v>
      </c>
      <c r="J39" s="6" t="s">
        <v>9</v>
      </c>
      <c r="K39" s="6" t="s">
        <v>9</v>
      </c>
      <c r="L39" s="57" t="str">
        <f t="shared" si="6"/>
        <v>GeoTécnicos</v>
      </c>
      <c r="M39" s="57" t="str">
        <f t="shared" si="7"/>
        <v>Elementos.de.Topografia</v>
      </c>
      <c r="N39" s="57" t="str">
        <f t="shared" si="8"/>
        <v>Topografia</v>
      </c>
      <c r="O39" s="57" t="str">
        <f t="shared" si="9"/>
        <v>Topografia Sólida Isolamento</v>
      </c>
      <c r="P39" s="35" t="s">
        <v>160</v>
      </c>
      <c r="Q39" s="35" t="s">
        <v>161</v>
      </c>
      <c r="R39" s="21" t="s">
        <v>9</v>
      </c>
      <c r="S39" s="21" t="str">
        <f t="shared" si="10"/>
        <v>GeoTécnicos</v>
      </c>
      <c r="T39" s="21" t="str">
        <f t="shared" si="11"/>
        <v>Elementos.de.Topografia</v>
      </c>
      <c r="U39" s="21" t="str">
        <f t="shared" si="12"/>
        <v>Topografia</v>
      </c>
      <c r="V39" s="21" t="s">
        <v>141</v>
      </c>
      <c r="W39" s="58" t="str">
        <f t="shared" si="5"/>
        <v>Key-GEO-39</v>
      </c>
      <c r="X39" s="21" t="s">
        <v>181</v>
      </c>
      <c r="Y39" s="21" t="s">
        <v>190</v>
      </c>
      <c r="Z39" s="21" t="s">
        <v>143</v>
      </c>
      <c r="AA39" s="21" t="s">
        <v>323</v>
      </c>
    </row>
    <row r="40" spans="1:27" ht="6.65" customHeight="1" x14ac:dyDescent="0.4">
      <c r="A40" s="50">
        <v>40</v>
      </c>
      <c r="B40" s="55" t="s">
        <v>374</v>
      </c>
      <c r="C40" s="59" t="s">
        <v>375</v>
      </c>
      <c r="D40" s="55" t="s">
        <v>272</v>
      </c>
      <c r="E40" s="44" t="s">
        <v>94</v>
      </c>
      <c r="F40" s="44" t="s">
        <v>203</v>
      </c>
      <c r="G40" s="6" t="s">
        <v>9</v>
      </c>
      <c r="H40" s="6" t="s">
        <v>9</v>
      </c>
      <c r="I40" s="6" t="s">
        <v>9</v>
      </c>
      <c r="J40" s="6" t="s">
        <v>9</v>
      </c>
      <c r="K40" s="6" t="s">
        <v>9</v>
      </c>
      <c r="L40" s="57" t="str">
        <f t="shared" si="6"/>
        <v>GeoTécnicos</v>
      </c>
      <c r="M40" s="57" t="str">
        <f t="shared" si="7"/>
        <v>Elementos.de.Topografia</v>
      </c>
      <c r="N40" s="57" t="str">
        <f t="shared" si="8"/>
        <v>Topografia</v>
      </c>
      <c r="O40" s="57" t="str">
        <f t="shared" si="9"/>
        <v>Topografia Sólida Superfície</v>
      </c>
      <c r="P40" s="35" t="s">
        <v>162</v>
      </c>
      <c r="Q40" s="35" t="s">
        <v>163</v>
      </c>
      <c r="R40" s="21" t="s">
        <v>9</v>
      </c>
      <c r="S40" s="21" t="str">
        <f t="shared" si="10"/>
        <v>GeoTécnicos</v>
      </c>
      <c r="T40" s="21" t="str">
        <f t="shared" si="11"/>
        <v>Elementos.de.Topografia</v>
      </c>
      <c r="U40" s="21" t="str">
        <f t="shared" si="12"/>
        <v>Topografia</v>
      </c>
      <c r="V40" s="21" t="s">
        <v>141</v>
      </c>
      <c r="W40" s="58" t="str">
        <f t="shared" si="5"/>
        <v>Key-GEO-40</v>
      </c>
      <c r="X40" s="21" t="s">
        <v>377</v>
      </c>
      <c r="Y40" s="21" t="s">
        <v>190</v>
      </c>
      <c r="Z40" s="21" t="s">
        <v>143</v>
      </c>
      <c r="AA40" s="21" t="s">
        <v>324</v>
      </c>
    </row>
    <row r="41" spans="1:27" ht="6.65" customHeight="1" x14ac:dyDescent="0.4">
      <c r="A41" s="50">
        <v>41</v>
      </c>
      <c r="B41" s="55" t="s">
        <v>374</v>
      </c>
      <c r="C41" s="59" t="s">
        <v>375</v>
      </c>
      <c r="D41" s="55" t="s">
        <v>272</v>
      </c>
      <c r="E41" s="44" t="s">
        <v>94</v>
      </c>
      <c r="F41" s="44" t="s">
        <v>201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9</v>
      </c>
      <c r="L41" s="57" t="str">
        <f t="shared" si="6"/>
        <v>GeoTécnicos</v>
      </c>
      <c r="M41" s="57" t="str">
        <f t="shared" si="7"/>
        <v>Elementos.de.Topografia</v>
      </c>
      <c r="N41" s="57" t="str">
        <f t="shared" si="8"/>
        <v>Topografia</v>
      </c>
      <c r="O41" s="57" t="str">
        <f t="shared" si="9"/>
        <v>Topografia Sólida Agua</v>
      </c>
      <c r="P41" s="35" t="s">
        <v>191</v>
      </c>
      <c r="Q41" s="35" t="s">
        <v>192</v>
      </c>
      <c r="R41" s="21" t="s">
        <v>9</v>
      </c>
      <c r="S41" s="21" t="str">
        <f t="shared" si="10"/>
        <v>GeoTécnicos</v>
      </c>
      <c r="T41" s="21" t="str">
        <f t="shared" si="11"/>
        <v>Elementos.de.Topografia</v>
      </c>
      <c r="U41" s="21" t="str">
        <f t="shared" si="12"/>
        <v>Topografia</v>
      </c>
      <c r="V41" s="21" t="s">
        <v>141</v>
      </c>
      <c r="W41" s="58" t="str">
        <f t="shared" si="5"/>
        <v>Key-GEO-41</v>
      </c>
      <c r="X41" s="21" t="s">
        <v>377</v>
      </c>
      <c r="Y41" s="21" t="s">
        <v>193</v>
      </c>
      <c r="Z41" s="21" t="s">
        <v>143</v>
      </c>
      <c r="AA41" s="21" t="s">
        <v>325</v>
      </c>
    </row>
    <row r="42" spans="1:27" ht="6.65" customHeight="1" x14ac:dyDescent="0.4">
      <c r="A42" s="50">
        <v>42</v>
      </c>
      <c r="B42" s="55" t="s">
        <v>374</v>
      </c>
      <c r="C42" s="59" t="s">
        <v>375</v>
      </c>
      <c r="D42" s="55" t="s">
        <v>272</v>
      </c>
      <c r="E42" s="44" t="s">
        <v>94</v>
      </c>
      <c r="F42" s="44" t="s">
        <v>202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9</v>
      </c>
      <c r="L42" s="57" t="str">
        <f t="shared" si="6"/>
        <v>GeoTécnicos</v>
      </c>
      <c r="M42" s="57" t="str">
        <f t="shared" si="7"/>
        <v>Elementos.de.Topografia</v>
      </c>
      <c r="N42" s="57" t="str">
        <f t="shared" si="8"/>
        <v>Topografia</v>
      </c>
      <c r="O42" s="57" t="str">
        <f t="shared" si="9"/>
        <v>Topografia Sólida Vazio</v>
      </c>
      <c r="P42" s="21" t="s">
        <v>126</v>
      </c>
      <c r="Q42" s="35" t="s">
        <v>363</v>
      </c>
      <c r="R42" s="21" t="s">
        <v>9</v>
      </c>
      <c r="S42" s="21" t="str">
        <f t="shared" si="10"/>
        <v>GeoTécnicos</v>
      </c>
      <c r="T42" s="21" t="str">
        <f t="shared" si="11"/>
        <v>Elementos.de.Topografia</v>
      </c>
      <c r="U42" s="21" t="str">
        <f t="shared" si="12"/>
        <v>Topografia</v>
      </c>
      <c r="V42" s="21" t="s">
        <v>141</v>
      </c>
      <c r="W42" s="58" t="str">
        <f t="shared" si="5"/>
        <v>Key-GEO-42</v>
      </c>
      <c r="X42" s="60" t="s">
        <v>148</v>
      </c>
      <c r="Y42" s="60" t="s">
        <v>194</v>
      </c>
      <c r="Z42" s="21" t="s">
        <v>143</v>
      </c>
      <c r="AA42" s="21" t="s">
        <v>326</v>
      </c>
    </row>
    <row r="43" spans="1:27" ht="6.65" customHeight="1" x14ac:dyDescent="0.4">
      <c r="A43" s="50">
        <v>43</v>
      </c>
      <c r="B43" s="55" t="s">
        <v>374</v>
      </c>
      <c r="C43" s="59" t="s">
        <v>375</v>
      </c>
      <c r="D43" s="55" t="s">
        <v>182</v>
      </c>
      <c r="E43" s="44" t="s">
        <v>164</v>
      </c>
      <c r="F43" s="44" t="s">
        <v>185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9</v>
      </c>
      <c r="L43" s="57" t="str">
        <f t="shared" si="6"/>
        <v>GeoTécnicos</v>
      </c>
      <c r="M43" s="57" t="str">
        <f t="shared" si="7"/>
        <v>Elementos.Altimétricos</v>
      </c>
      <c r="N43" s="57" t="str">
        <f t="shared" si="8"/>
        <v>Curvas de Nível</v>
      </c>
      <c r="O43" s="57" t="str">
        <f t="shared" si="9"/>
        <v>Curva de 10</v>
      </c>
      <c r="P43" s="35" t="s">
        <v>165</v>
      </c>
      <c r="Q43" s="35" t="s">
        <v>166</v>
      </c>
      <c r="R43" s="21" t="s">
        <v>9</v>
      </c>
      <c r="S43" s="21" t="str">
        <f t="shared" si="10"/>
        <v>GeoTécnicos</v>
      </c>
      <c r="T43" s="21" t="str">
        <f t="shared" si="11"/>
        <v>Elementos.Altimétricos</v>
      </c>
      <c r="U43" s="21" t="str">
        <f t="shared" si="12"/>
        <v>Curvas.de.Nível</v>
      </c>
      <c r="V43" s="21" t="s">
        <v>141</v>
      </c>
      <c r="W43" s="58" t="str">
        <f t="shared" si="5"/>
        <v>Key-GEO-43</v>
      </c>
      <c r="X43" s="21" t="s">
        <v>378</v>
      </c>
      <c r="Y43" s="21" t="s">
        <v>174</v>
      </c>
      <c r="Z43" s="21" t="s">
        <v>143</v>
      </c>
      <c r="AA43" s="21" t="s">
        <v>327</v>
      </c>
    </row>
    <row r="44" spans="1:27" ht="6.65" customHeight="1" x14ac:dyDescent="0.4">
      <c r="A44" s="50">
        <v>44</v>
      </c>
      <c r="B44" s="55" t="s">
        <v>374</v>
      </c>
      <c r="C44" s="59" t="s">
        <v>375</v>
      </c>
      <c r="D44" s="55" t="s">
        <v>182</v>
      </c>
      <c r="E44" s="44" t="s">
        <v>164</v>
      </c>
      <c r="F44" s="44" t="s">
        <v>186</v>
      </c>
      <c r="G44" s="6" t="s">
        <v>9</v>
      </c>
      <c r="H44" s="6" t="s">
        <v>9</v>
      </c>
      <c r="I44" s="6" t="s">
        <v>9</v>
      </c>
      <c r="J44" s="6" t="s">
        <v>9</v>
      </c>
      <c r="K44" s="6" t="s">
        <v>9</v>
      </c>
      <c r="L44" s="57" t="str">
        <f t="shared" si="6"/>
        <v>GeoTécnicos</v>
      </c>
      <c r="M44" s="57" t="str">
        <f t="shared" si="7"/>
        <v>Elementos.Altimétricos</v>
      </c>
      <c r="N44" s="57" t="str">
        <f t="shared" si="8"/>
        <v>Curvas de Nível</v>
      </c>
      <c r="O44" s="57" t="str">
        <f t="shared" si="9"/>
        <v>Curva de 05</v>
      </c>
      <c r="P44" s="35" t="s">
        <v>167</v>
      </c>
      <c r="Q44" s="35" t="s">
        <v>168</v>
      </c>
      <c r="R44" s="21" t="s">
        <v>9</v>
      </c>
      <c r="S44" s="21" t="str">
        <f t="shared" si="10"/>
        <v>GeoTécnicos</v>
      </c>
      <c r="T44" s="21" t="str">
        <f t="shared" si="11"/>
        <v>Elementos.Altimétricos</v>
      </c>
      <c r="U44" s="21" t="str">
        <f t="shared" si="12"/>
        <v>Curvas.de.Nível</v>
      </c>
      <c r="V44" s="21" t="s">
        <v>141</v>
      </c>
      <c r="W44" s="58" t="str">
        <f t="shared" si="5"/>
        <v>Key-GEO-44</v>
      </c>
      <c r="X44" s="21" t="s">
        <v>378</v>
      </c>
      <c r="Y44" s="21" t="s">
        <v>174</v>
      </c>
      <c r="Z44" s="21" t="s">
        <v>143</v>
      </c>
      <c r="AA44" s="21" t="s">
        <v>328</v>
      </c>
    </row>
    <row r="45" spans="1:27" ht="6.65" customHeight="1" x14ac:dyDescent="0.4">
      <c r="A45" s="50">
        <v>45</v>
      </c>
      <c r="B45" s="55" t="s">
        <v>374</v>
      </c>
      <c r="C45" s="59" t="s">
        <v>375</v>
      </c>
      <c r="D45" s="55" t="s">
        <v>182</v>
      </c>
      <c r="E45" s="44" t="s">
        <v>164</v>
      </c>
      <c r="F45" s="44" t="s">
        <v>187</v>
      </c>
      <c r="G45" s="6" t="s">
        <v>9</v>
      </c>
      <c r="H45" s="6" t="s">
        <v>9</v>
      </c>
      <c r="I45" s="6" t="s">
        <v>9</v>
      </c>
      <c r="J45" s="6" t="s">
        <v>9</v>
      </c>
      <c r="K45" s="6" t="s">
        <v>9</v>
      </c>
      <c r="L45" s="57" t="str">
        <f t="shared" si="6"/>
        <v>GeoTécnicos</v>
      </c>
      <c r="M45" s="57" t="str">
        <f t="shared" si="7"/>
        <v>Elementos.Altimétricos</v>
      </c>
      <c r="N45" s="57" t="str">
        <f t="shared" si="8"/>
        <v>Curvas de Nível</v>
      </c>
      <c r="O45" s="57" t="str">
        <f t="shared" si="9"/>
        <v>Curva de 01</v>
      </c>
      <c r="P45" s="35" t="s">
        <v>169</v>
      </c>
      <c r="Q45" s="35" t="s">
        <v>170</v>
      </c>
      <c r="R45" s="21" t="s">
        <v>9</v>
      </c>
      <c r="S45" s="21" t="str">
        <f t="shared" si="10"/>
        <v>GeoTécnicos</v>
      </c>
      <c r="T45" s="21" t="str">
        <f t="shared" si="11"/>
        <v>Elementos.Altimétricos</v>
      </c>
      <c r="U45" s="21" t="str">
        <f t="shared" si="12"/>
        <v>Curvas.de.Nível</v>
      </c>
      <c r="V45" s="21" t="s">
        <v>141</v>
      </c>
      <c r="W45" s="58" t="str">
        <f t="shared" si="5"/>
        <v>Key-GEO-45</v>
      </c>
      <c r="X45" s="21" t="s">
        <v>379</v>
      </c>
      <c r="Y45" s="21" t="s">
        <v>174</v>
      </c>
      <c r="Z45" s="21" t="s">
        <v>143</v>
      </c>
      <c r="AA45" s="21" t="s">
        <v>329</v>
      </c>
    </row>
    <row r="46" spans="1:27" ht="6.65" customHeight="1" x14ac:dyDescent="0.4">
      <c r="A46" s="50">
        <v>46</v>
      </c>
      <c r="B46" s="55" t="s">
        <v>374</v>
      </c>
      <c r="C46" s="59" t="s">
        <v>375</v>
      </c>
      <c r="D46" s="55" t="s">
        <v>273</v>
      </c>
      <c r="E46" s="55" t="s">
        <v>274</v>
      </c>
      <c r="F46" s="55" t="s">
        <v>209</v>
      </c>
      <c r="G46" s="6" t="s">
        <v>9</v>
      </c>
      <c r="H46" s="6" t="s">
        <v>9</v>
      </c>
      <c r="I46" s="6" t="s">
        <v>9</v>
      </c>
      <c r="J46" s="6" t="s">
        <v>9</v>
      </c>
      <c r="K46" s="6" t="s">
        <v>9</v>
      </c>
      <c r="L46" s="57" t="str">
        <f t="shared" si="6"/>
        <v>GeoTécnicos</v>
      </c>
      <c r="M46" s="57" t="str">
        <f t="shared" si="7"/>
        <v>Elementos.de.Loteamentos</v>
      </c>
      <c r="N46" s="57" t="str">
        <f t="shared" si="8"/>
        <v>Loteamento</v>
      </c>
      <c r="O46" s="57" t="str">
        <f t="shared" si="9"/>
        <v>Divisa</v>
      </c>
      <c r="P46" s="21" t="s">
        <v>135</v>
      </c>
      <c r="Q46" s="35" t="s">
        <v>364</v>
      </c>
      <c r="R46" s="21" t="s">
        <v>9</v>
      </c>
      <c r="S46" s="21" t="str">
        <f t="shared" si="10"/>
        <v>GeoTécnicos</v>
      </c>
      <c r="T46" s="21" t="str">
        <f t="shared" si="11"/>
        <v>Elementos.de.Loteamentos</v>
      </c>
      <c r="U46" s="21" t="str">
        <f t="shared" si="12"/>
        <v>Loteamento</v>
      </c>
      <c r="V46" s="21" t="s">
        <v>141</v>
      </c>
      <c r="W46" s="58" t="str">
        <f t="shared" si="5"/>
        <v>Key-GEO-46</v>
      </c>
      <c r="X46" s="21" t="s">
        <v>205</v>
      </c>
      <c r="Y46" s="21" t="s">
        <v>376</v>
      </c>
      <c r="Z46" s="21" t="s">
        <v>143</v>
      </c>
      <c r="AA46" s="21" t="s">
        <v>136</v>
      </c>
    </row>
    <row r="47" spans="1:27" ht="6.65" customHeight="1" x14ac:dyDescent="0.4">
      <c r="A47" s="50">
        <v>47</v>
      </c>
      <c r="B47" s="55" t="s">
        <v>374</v>
      </c>
      <c r="C47" s="59" t="s">
        <v>375</v>
      </c>
      <c r="D47" s="55" t="s">
        <v>273</v>
      </c>
      <c r="E47" s="55" t="s">
        <v>274</v>
      </c>
      <c r="F47" s="55" t="s">
        <v>210</v>
      </c>
      <c r="G47" s="6" t="s">
        <v>9</v>
      </c>
      <c r="H47" s="6" t="s">
        <v>9</v>
      </c>
      <c r="I47" s="6" t="s">
        <v>9</v>
      </c>
      <c r="J47" s="6" t="s">
        <v>9</v>
      </c>
      <c r="K47" s="6" t="s">
        <v>9</v>
      </c>
      <c r="L47" s="57" t="str">
        <f t="shared" si="6"/>
        <v>GeoTécnicos</v>
      </c>
      <c r="M47" s="57" t="str">
        <f t="shared" si="7"/>
        <v>Elementos.de.Loteamentos</v>
      </c>
      <c r="N47" s="57" t="str">
        <f t="shared" si="8"/>
        <v>Loteamento</v>
      </c>
      <c r="O47" s="57" t="str">
        <f t="shared" si="9"/>
        <v>Divisa Segmento</v>
      </c>
      <c r="P47" s="21" t="s">
        <v>137</v>
      </c>
      <c r="Q47" s="35" t="s">
        <v>365</v>
      </c>
      <c r="R47" s="21" t="s">
        <v>9</v>
      </c>
      <c r="S47" s="21" t="str">
        <f t="shared" si="10"/>
        <v>GeoTécnicos</v>
      </c>
      <c r="T47" s="21" t="str">
        <f t="shared" si="11"/>
        <v>Elementos.de.Loteamentos</v>
      </c>
      <c r="U47" s="21" t="str">
        <f t="shared" si="12"/>
        <v>Loteamento</v>
      </c>
      <c r="V47" s="21" t="s">
        <v>141</v>
      </c>
      <c r="W47" s="58" t="str">
        <f t="shared" si="5"/>
        <v>Key-GEO-47</v>
      </c>
      <c r="X47" s="43" t="s">
        <v>208</v>
      </c>
      <c r="Y47" s="21" t="s">
        <v>376</v>
      </c>
      <c r="Z47" s="21" t="s">
        <v>143</v>
      </c>
      <c r="AA47" s="21" t="s">
        <v>330</v>
      </c>
    </row>
    <row r="48" spans="1:27" ht="6.65" customHeight="1" x14ac:dyDescent="0.4">
      <c r="A48" s="50">
        <v>48</v>
      </c>
      <c r="B48" s="55" t="s">
        <v>374</v>
      </c>
      <c r="C48" s="59" t="s">
        <v>375</v>
      </c>
      <c r="D48" s="55" t="s">
        <v>183</v>
      </c>
      <c r="E48" s="55" t="s">
        <v>118</v>
      </c>
      <c r="F48" s="56" t="s">
        <v>275</v>
      </c>
      <c r="G48" s="6" t="s">
        <v>9</v>
      </c>
      <c r="H48" s="6" t="s">
        <v>9</v>
      </c>
      <c r="I48" s="6" t="s">
        <v>9</v>
      </c>
      <c r="J48" s="6" t="s">
        <v>9</v>
      </c>
      <c r="K48" s="6" t="s">
        <v>9</v>
      </c>
      <c r="L48" s="57" t="str">
        <f t="shared" si="6"/>
        <v>GeoTécnicos</v>
      </c>
      <c r="M48" s="57" t="str">
        <f t="shared" si="7"/>
        <v>Elementos.Paisagísticos</v>
      </c>
      <c r="N48" s="57" t="str">
        <f t="shared" si="8"/>
        <v>Paisagismo</v>
      </c>
      <c r="O48" s="57" t="str">
        <f t="shared" si="9"/>
        <v>Paisagístico</v>
      </c>
      <c r="P48" s="21" t="s">
        <v>119</v>
      </c>
      <c r="Q48" s="35" t="s">
        <v>366</v>
      </c>
      <c r="R48" s="21" t="s">
        <v>9</v>
      </c>
      <c r="S48" s="21" t="str">
        <f t="shared" si="10"/>
        <v>GeoTécnicos</v>
      </c>
      <c r="T48" s="21" t="str">
        <f t="shared" si="11"/>
        <v>Elementos.Paisagísticos</v>
      </c>
      <c r="U48" s="21" t="str">
        <f t="shared" si="12"/>
        <v>Paisagismo</v>
      </c>
      <c r="V48" s="21" t="s">
        <v>141</v>
      </c>
      <c r="W48" s="58" t="str">
        <f t="shared" si="5"/>
        <v>Key-GEO-48</v>
      </c>
      <c r="X48" s="60" t="s">
        <v>144</v>
      </c>
      <c r="Y48" s="60" t="s">
        <v>172</v>
      </c>
      <c r="Z48" s="21" t="s">
        <v>280</v>
      </c>
      <c r="AA48" s="21" t="s">
        <v>331</v>
      </c>
    </row>
    <row r="49" spans="1:27" ht="6.65" customHeight="1" x14ac:dyDescent="0.4">
      <c r="A49" s="50">
        <v>49</v>
      </c>
      <c r="B49" s="55" t="s">
        <v>374</v>
      </c>
      <c r="C49" s="59" t="s">
        <v>375</v>
      </c>
      <c r="D49" s="55" t="s">
        <v>183</v>
      </c>
      <c r="E49" s="55" t="s">
        <v>118</v>
      </c>
      <c r="F49" s="56" t="s">
        <v>281</v>
      </c>
      <c r="G49" s="6" t="s">
        <v>9</v>
      </c>
      <c r="H49" s="6" t="s">
        <v>9</v>
      </c>
      <c r="I49" s="6" t="s">
        <v>9</v>
      </c>
      <c r="J49" s="6" t="s">
        <v>9</v>
      </c>
      <c r="K49" s="6" t="s">
        <v>9</v>
      </c>
      <c r="L49" s="57" t="str">
        <f t="shared" si="6"/>
        <v>GeoTécnicos</v>
      </c>
      <c r="M49" s="57" t="str">
        <f t="shared" si="7"/>
        <v>Elementos.Paisagísticos</v>
      </c>
      <c r="N49" s="57" t="str">
        <f t="shared" si="8"/>
        <v>Paisagismo</v>
      </c>
      <c r="O49" s="57" t="str">
        <f t="shared" si="9"/>
        <v>Pavimentação</v>
      </c>
      <c r="P49" s="21" t="s">
        <v>122</v>
      </c>
      <c r="Q49" s="35" t="s">
        <v>123</v>
      </c>
      <c r="R49" s="21" t="s">
        <v>9</v>
      </c>
      <c r="S49" s="21" t="str">
        <f t="shared" si="10"/>
        <v>GeoTécnicos</v>
      </c>
      <c r="T49" s="21" t="str">
        <f t="shared" si="11"/>
        <v>Elementos.Paisagísticos</v>
      </c>
      <c r="U49" s="21" t="str">
        <f t="shared" si="12"/>
        <v>Paisagismo</v>
      </c>
      <c r="V49" s="21" t="s">
        <v>141</v>
      </c>
      <c r="W49" s="58" t="str">
        <f t="shared" si="5"/>
        <v>Key-GEO-49</v>
      </c>
      <c r="X49" s="60" t="s">
        <v>215</v>
      </c>
      <c r="Y49" s="60" t="s">
        <v>188</v>
      </c>
      <c r="Z49" s="21" t="s">
        <v>280</v>
      </c>
      <c r="AA49" s="21" t="s">
        <v>332</v>
      </c>
    </row>
    <row r="50" spans="1:27" ht="6.65" customHeight="1" x14ac:dyDescent="0.4">
      <c r="A50" s="50">
        <v>50</v>
      </c>
      <c r="B50" s="55" t="s">
        <v>374</v>
      </c>
      <c r="C50" s="59" t="s">
        <v>375</v>
      </c>
      <c r="D50" s="55" t="s">
        <v>183</v>
      </c>
      <c r="E50" s="55" t="s">
        <v>118</v>
      </c>
      <c r="F50" s="55" t="s">
        <v>80</v>
      </c>
      <c r="G50" s="6" t="s">
        <v>9</v>
      </c>
      <c r="H50" s="6" t="s">
        <v>9</v>
      </c>
      <c r="I50" s="6" t="s">
        <v>9</v>
      </c>
      <c r="J50" s="6" t="s">
        <v>9</v>
      </c>
      <c r="K50" s="6" t="s">
        <v>9</v>
      </c>
      <c r="L50" s="57" t="str">
        <f t="shared" si="6"/>
        <v>GeoTécnicos</v>
      </c>
      <c r="M50" s="57" t="str">
        <f t="shared" si="7"/>
        <v>Elementos.Paisagísticos</v>
      </c>
      <c r="N50" s="57" t="str">
        <f t="shared" si="8"/>
        <v>Paisagismo</v>
      </c>
      <c r="O50" s="57" t="str">
        <f t="shared" si="9"/>
        <v>Estacionamento</v>
      </c>
      <c r="P50" s="21" t="s">
        <v>134</v>
      </c>
      <c r="Q50" s="35" t="s">
        <v>367</v>
      </c>
      <c r="R50" s="21" t="s">
        <v>9</v>
      </c>
      <c r="S50" s="21" t="str">
        <f t="shared" si="10"/>
        <v>GeoTécnicos</v>
      </c>
      <c r="T50" s="21" t="str">
        <f t="shared" si="11"/>
        <v>Elementos.Paisagísticos</v>
      </c>
      <c r="U50" s="21" t="str">
        <f t="shared" si="12"/>
        <v>Paisagismo</v>
      </c>
      <c r="V50" s="21" t="s">
        <v>141</v>
      </c>
      <c r="W50" s="58" t="str">
        <f t="shared" si="5"/>
        <v>Key-GEO-50</v>
      </c>
      <c r="X50" s="21" t="s">
        <v>184</v>
      </c>
      <c r="Y50" s="60" t="s">
        <v>276</v>
      </c>
      <c r="Z50" s="21" t="s">
        <v>280</v>
      </c>
      <c r="AA50" s="21" t="s">
        <v>333</v>
      </c>
    </row>
    <row r="51" spans="1:27" ht="6.65" customHeight="1" x14ac:dyDescent="0.4">
      <c r="A51" s="50">
        <v>51</v>
      </c>
      <c r="B51" s="55" t="s">
        <v>374</v>
      </c>
      <c r="C51" s="59" t="s">
        <v>375</v>
      </c>
      <c r="D51" s="55" t="s">
        <v>183</v>
      </c>
      <c r="E51" s="55" t="s">
        <v>118</v>
      </c>
      <c r="F51" s="56" t="s">
        <v>146</v>
      </c>
      <c r="G51" s="6" t="s">
        <v>9</v>
      </c>
      <c r="H51" s="6" t="s">
        <v>9</v>
      </c>
      <c r="I51" s="6" t="s">
        <v>9</v>
      </c>
      <c r="J51" s="6" t="s">
        <v>9</v>
      </c>
      <c r="K51" s="6" t="s">
        <v>9</v>
      </c>
      <c r="L51" s="57" t="str">
        <f t="shared" si="6"/>
        <v>GeoTécnicos</v>
      </c>
      <c r="M51" s="57" t="str">
        <f t="shared" si="7"/>
        <v>Elementos.Paisagísticos</v>
      </c>
      <c r="N51" s="57" t="str">
        <f t="shared" si="8"/>
        <v>Paisagismo</v>
      </c>
      <c r="O51" s="57" t="str">
        <f t="shared" si="9"/>
        <v>Vegetação</v>
      </c>
      <c r="P51" s="21" t="s">
        <v>124</v>
      </c>
      <c r="Q51" s="35" t="s">
        <v>368</v>
      </c>
      <c r="R51" s="21" t="s">
        <v>9</v>
      </c>
      <c r="S51" s="21" t="str">
        <f t="shared" si="10"/>
        <v>GeoTécnicos</v>
      </c>
      <c r="T51" s="21" t="str">
        <f t="shared" si="11"/>
        <v>Elementos.Paisagísticos</v>
      </c>
      <c r="U51" s="21" t="str">
        <f t="shared" si="12"/>
        <v>Paisagismo</v>
      </c>
      <c r="V51" s="21" t="s">
        <v>141</v>
      </c>
      <c r="W51" s="58" t="str">
        <f t="shared" si="5"/>
        <v>Key-GEO-51</v>
      </c>
      <c r="X51" s="60" t="s">
        <v>145</v>
      </c>
      <c r="Y51" s="60" t="s">
        <v>189</v>
      </c>
      <c r="Z51" s="21" t="s">
        <v>279</v>
      </c>
      <c r="AA51" s="21" t="s">
        <v>125</v>
      </c>
    </row>
  </sheetData>
  <sortState xmlns:xlrd2="http://schemas.microsoft.com/office/spreadsheetml/2017/richdata2" ref="A2:AA804">
    <sortCondition ref="E1:E804"/>
  </sortState>
  <phoneticPr fontId="1" type="noConversion"/>
  <conditionalFormatting sqref="A2:B51 AA2:AA51">
    <cfRule type="cellIs" dxfId="62" priority="6" operator="equal">
      <formula>"null"</formula>
    </cfRule>
  </conditionalFormatting>
  <conditionalFormatting sqref="A52:W1048576 A1:W1 C2:E2 P2 AB2:XFD2 D3:E8 C3:C51 D9:D27 Z52:XFD1048576">
    <cfRule type="cellIs" dxfId="61" priority="252" operator="equal">
      <formula>"null"</formula>
    </cfRule>
  </conditionalFormatting>
  <conditionalFormatting sqref="F1:F1048576">
    <cfRule type="duplicateValues" dxfId="60" priority="52"/>
  </conditionalFormatting>
  <conditionalFormatting sqref="F2:F27">
    <cfRule type="cellIs" dxfId="59" priority="58" operator="equal">
      <formula>"null"</formula>
    </cfRule>
    <cfRule type="duplicateValues" dxfId="58" priority="1040"/>
  </conditionalFormatting>
  <conditionalFormatting sqref="F28:F45 Q2:Q51 P28:P29 AB28:XFD29 P34:P41 AB34:XFD41 P43:P45 AB43:XFD45">
    <cfRule type="cellIs" dxfId="57" priority="119" operator="equal">
      <formula>"null"</formula>
    </cfRule>
  </conditionalFormatting>
  <conditionalFormatting sqref="F28:F45">
    <cfRule type="duplicateValues" dxfId="56" priority="1019"/>
    <cfRule type="duplicateValues" dxfId="55" priority="1022"/>
    <cfRule type="duplicateValues" dxfId="54" priority="1021"/>
  </conditionalFormatting>
  <conditionalFormatting sqref="F46:F47">
    <cfRule type="duplicateValues" dxfId="53" priority="989"/>
  </conditionalFormatting>
  <conditionalFormatting sqref="F48:F51">
    <cfRule type="duplicateValues" dxfId="52" priority="1025"/>
  </conditionalFormatting>
  <conditionalFormatting sqref="F52:F1048576 F1">
    <cfRule type="duplicateValues" dxfId="51" priority="253"/>
  </conditionalFormatting>
  <conditionalFormatting sqref="F52:F1048576">
    <cfRule type="duplicateValues" dxfId="50" priority="782"/>
    <cfRule type="duplicateValues" dxfId="49" priority="769"/>
    <cfRule type="duplicateValues" dxfId="48" priority="762"/>
    <cfRule type="duplicateValues" dxfId="47" priority="754"/>
    <cfRule type="duplicateValues" dxfId="46" priority="245"/>
  </conditionalFormatting>
  <conditionalFormatting sqref="W52:W1048576 W1">
    <cfRule type="duplicateValues" dxfId="45" priority="581"/>
  </conditionalFormatting>
  <conditionalFormatting sqref="X50">
    <cfRule type="duplicateValues" dxfId="44" priority="48"/>
    <cfRule type="duplicateValues" dxfId="43" priority="49"/>
    <cfRule type="duplicateValues" dxfId="42" priority="50"/>
    <cfRule type="duplicateValues" dxfId="41" priority="51"/>
  </conditionalFormatting>
  <conditionalFormatting sqref="Y2">
    <cfRule type="duplicateValues" dxfId="40" priority="83"/>
    <cfRule type="cellIs" dxfId="39" priority="82" operator="equal">
      <formula>"null"</formula>
    </cfRule>
  </conditionalFormatting>
  <conditionalFormatting sqref="Y3">
    <cfRule type="duplicateValues" dxfId="38" priority="78"/>
    <cfRule type="duplicateValues" dxfId="37" priority="79"/>
    <cfRule type="duplicateValues" dxfId="36" priority="80"/>
    <cfRule type="duplicateValues" dxfId="35" priority="81"/>
  </conditionalFormatting>
  <conditionalFormatting sqref="Y3:Y8 Y17:Y27 Y10:Y14">
    <cfRule type="duplicateValues" dxfId="34" priority="1037"/>
  </conditionalFormatting>
  <conditionalFormatting sqref="Y4:Y8 Y19:Y27 Y10:Y14">
    <cfRule type="duplicateValues" dxfId="33" priority="1034"/>
  </conditionalFormatting>
  <conditionalFormatting sqref="Y4:Y8 Y19:Y27">
    <cfRule type="duplicateValues" dxfId="32" priority="85"/>
  </conditionalFormatting>
  <conditionalFormatting sqref="Y9">
    <cfRule type="duplicateValues" dxfId="31" priority="42"/>
    <cfRule type="duplicateValues" dxfId="30" priority="41"/>
    <cfRule type="duplicateValues" dxfId="29" priority="40"/>
    <cfRule type="duplicateValues" dxfId="28" priority="39"/>
    <cfRule type="duplicateValues" dxfId="27" priority="38"/>
  </conditionalFormatting>
  <conditionalFormatting sqref="Y10:Y14">
    <cfRule type="duplicateValues" dxfId="26" priority="36"/>
    <cfRule type="duplicateValues" dxfId="25" priority="37"/>
    <cfRule type="duplicateValues" dxfId="24" priority="35"/>
    <cfRule type="duplicateValues" dxfId="23" priority="34"/>
  </conditionalFormatting>
  <conditionalFormatting sqref="Y15:Y16"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3"/>
    <cfRule type="duplicateValues" dxfId="15" priority="32"/>
  </conditionalFormatting>
  <conditionalFormatting sqref="Y17:Y18">
    <cfRule type="duplicateValues" dxfId="14" priority="46"/>
    <cfRule type="duplicateValues" dxfId="13" priority="47"/>
    <cfRule type="duplicateValues" dxfId="12" priority="45"/>
    <cfRule type="duplicateValues" dxfId="11" priority="44"/>
    <cfRule type="duplicateValues" dxfId="10" priority="43"/>
  </conditionalFormatting>
  <conditionalFormatting sqref="Y19:Y27">
    <cfRule type="duplicateValues" dxfId="9" priority="84"/>
  </conditionalFormatting>
  <conditionalFormatting sqref="Z1:XFD1">
    <cfRule type="cellIs" dxfId="8" priority="238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8" customWidth="1"/>
    <col min="2" max="10" width="6.53515625" style="9" customWidth="1"/>
    <col min="11" max="21" width="6.53515625" style="7" customWidth="1"/>
    <col min="22" max="16384" width="11.15234375" style="7"/>
  </cols>
  <sheetData>
    <row r="1" spans="1:21" s="3" customFormat="1" x14ac:dyDescent="0.2">
      <c r="A1" s="1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4" t="s">
        <v>31</v>
      </c>
    </row>
    <row r="2" spans="1:21" s="3" customFormat="1" ht="10.5" customHeight="1" x14ac:dyDescent="0.2">
      <c r="A2" s="5">
        <v>2</v>
      </c>
      <c r="B2" s="6" t="s">
        <v>9</v>
      </c>
      <c r="C2" s="6" t="s">
        <v>9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  <c r="S2" s="6" t="s">
        <v>9</v>
      </c>
      <c r="T2" s="6" t="s">
        <v>9</v>
      </c>
      <c r="U2" s="6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5234375" defaultRowHeight="8.25" customHeight="1" x14ac:dyDescent="0.4"/>
  <cols>
    <col min="1" max="1" width="3.3046875" style="15" customWidth="1"/>
    <col min="2" max="2" width="7.53515625" style="14" customWidth="1"/>
    <col min="3" max="3" width="11.3046875" style="14" bestFit="1" customWidth="1"/>
    <col min="4" max="7" width="10.84375" style="14" bestFit="1" customWidth="1"/>
  </cols>
  <sheetData>
    <row r="1" spans="1:7" ht="28.2" customHeight="1" x14ac:dyDescent="0.4">
      <c r="A1" s="19">
        <v>0</v>
      </c>
      <c r="B1" s="16" t="s">
        <v>73</v>
      </c>
      <c r="C1" s="17" t="s">
        <v>74</v>
      </c>
      <c r="D1" s="17" t="s">
        <v>75</v>
      </c>
      <c r="E1" s="17" t="s">
        <v>75</v>
      </c>
      <c r="F1" s="17" t="s">
        <v>75</v>
      </c>
      <c r="G1" s="17" t="s">
        <v>75</v>
      </c>
    </row>
    <row r="2" spans="1:7" ht="8.25" customHeight="1" x14ac:dyDescent="0.4">
      <c r="A2" s="20">
        <v>2</v>
      </c>
      <c r="B2" s="18" t="s">
        <v>9</v>
      </c>
      <c r="C2" s="18" t="s">
        <v>9</v>
      </c>
      <c r="D2" s="18" t="s">
        <v>9</v>
      </c>
      <c r="E2" s="18" t="s">
        <v>9</v>
      </c>
      <c r="F2" s="18" t="s">
        <v>9</v>
      </c>
      <c r="G2" s="18" t="s">
        <v>9</v>
      </c>
    </row>
  </sheetData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3:B1048576 A1:B1">
    <cfRule type="duplicateValues" dxfId="5" priority="6"/>
  </conditionalFormatting>
  <conditionalFormatting sqref="B3:B1048576 B1">
    <cfRule type="duplicateValues" dxfId="4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O2"/>
  <sheetViews>
    <sheetView zoomScale="235" zoomScaleNormal="235" workbookViewId="0">
      <pane ySplit="1" topLeftCell="A2" activePane="bottomLeft" state="frozen"/>
      <selection pane="bottomLeft" activeCell="I2" sqref="I2"/>
    </sheetView>
  </sheetViews>
  <sheetFormatPr defaultColWidth="9.3046875" defaultRowHeight="7.2" customHeight="1" x14ac:dyDescent="0.4"/>
  <cols>
    <col min="1" max="1" width="2.53515625" style="33" bestFit="1" customWidth="1"/>
    <col min="2" max="2" width="7.3046875" style="32" bestFit="1" customWidth="1"/>
    <col min="3" max="3" width="6" style="32" bestFit="1" customWidth="1"/>
    <col min="4" max="4" width="4.3046875" style="32" bestFit="1" customWidth="1"/>
    <col min="5" max="5" width="4.84375" style="32" bestFit="1" customWidth="1"/>
    <col min="6" max="6" width="4.3046875" style="34" bestFit="1" customWidth="1"/>
    <col min="7" max="7" width="8.53515625" style="34" bestFit="1" customWidth="1"/>
    <col min="8" max="8" width="6" style="34" bestFit="1" customWidth="1"/>
    <col min="9" max="9" width="28" style="34" bestFit="1" customWidth="1"/>
    <col min="10" max="10" width="4.3046875" style="34" bestFit="1" customWidth="1"/>
    <col min="11" max="11" width="4.84375" style="34" bestFit="1" customWidth="1"/>
    <col min="12" max="12" width="4.3046875" style="34" bestFit="1" customWidth="1"/>
    <col min="13" max="13" width="4.84375" style="34" bestFit="1" customWidth="1"/>
    <col min="14" max="14" width="4.3046875" style="34" bestFit="1" customWidth="1"/>
    <col min="15" max="15" width="4.84375" style="33" bestFit="1" customWidth="1"/>
    <col min="16" max="16384" width="9.3046875" style="32"/>
  </cols>
  <sheetData>
    <row r="1" spans="1:15" s="28" customFormat="1" ht="24" customHeight="1" x14ac:dyDescent="0.4">
      <c r="A1" s="26" t="s">
        <v>10</v>
      </c>
      <c r="B1" s="27" t="s">
        <v>70</v>
      </c>
      <c r="C1" s="27" t="s">
        <v>71</v>
      </c>
      <c r="D1" s="42" t="s">
        <v>72</v>
      </c>
      <c r="E1" s="42" t="s">
        <v>44</v>
      </c>
      <c r="F1" s="27" t="s">
        <v>72</v>
      </c>
      <c r="G1" s="27"/>
      <c r="H1" s="27" t="s">
        <v>72</v>
      </c>
      <c r="I1" s="27" t="s">
        <v>44</v>
      </c>
      <c r="J1" s="27" t="s">
        <v>72</v>
      </c>
      <c r="K1" s="27" t="s">
        <v>44</v>
      </c>
      <c r="L1" s="27" t="s">
        <v>72</v>
      </c>
      <c r="M1" s="27" t="s">
        <v>44</v>
      </c>
      <c r="N1" s="27" t="s">
        <v>72</v>
      </c>
      <c r="O1" s="26" t="s">
        <v>44</v>
      </c>
    </row>
    <row r="2" spans="1:15" customFormat="1" ht="8.25" customHeight="1" x14ac:dyDescent="0.4">
      <c r="A2" s="31">
        <v>1</v>
      </c>
      <c r="B2" s="45" t="s">
        <v>372</v>
      </c>
      <c r="C2" s="59" t="s">
        <v>375</v>
      </c>
      <c r="D2" s="41" t="s">
        <v>9</v>
      </c>
      <c r="E2" s="47" t="s">
        <v>9</v>
      </c>
      <c r="F2" s="39" t="s">
        <v>283</v>
      </c>
      <c r="G2" s="48" t="s">
        <v>373</v>
      </c>
      <c r="H2" s="46" t="s">
        <v>78</v>
      </c>
      <c r="I2" s="40" t="s">
        <v>380</v>
      </c>
      <c r="J2" s="49" t="s">
        <v>9</v>
      </c>
      <c r="K2" s="30" t="s">
        <v>9</v>
      </c>
      <c r="L2" s="49" t="s">
        <v>9</v>
      </c>
      <c r="M2" s="30" t="s">
        <v>9</v>
      </c>
      <c r="N2" s="49" t="s">
        <v>9</v>
      </c>
      <c r="O2" s="30" t="s">
        <v>9</v>
      </c>
    </row>
  </sheetData>
  <phoneticPr fontId="1" type="noConversion"/>
  <conditionalFormatting sqref="A1:XFD1 A2:B2 A3:XFD1048576 D2:XFD2">
    <cfRule type="cellIs" dxfId="3" priority="7" operator="equal">
      <formula>"null"</formula>
    </cfRule>
  </conditionalFormatting>
  <conditionalFormatting sqref="B1:B1048576">
    <cfRule type="duplicateValues" dxfId="2" priority="2"/>
    <cfRule type="duplicateValues" dxfId="1" priority="1020"/>
  </conditionalFormatting>
  <conditionalFormatting sqref="C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2026-08-15T12:30:23Z</dcterms:modified>
  <dc:language>pt-BR</dc:language>
</cp:coreProperties>
</file>