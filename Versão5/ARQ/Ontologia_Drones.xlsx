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39F48C74-B462-4BCF-87F3-CB6CD902F029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39" l="1"/>
  <c r="V3" i="39"/>
  <c r="V4" i="39"/>
  <c r="V5" i="39"/>
  <c r="V6" i="39"/>
  <c r="V7" i="39"/>
  <c r="V8" i="39"/>
  <c r="V9" i="39"/>
  <c r="V10" i="39"/>
  <c r="V11" i="39"/>
  <c r="V12" i="39"/>
  <c r="V13" i="39"/>
  <c r="V14" i="39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T2" i="39"/>
  <c r="U2" i="39"/>
  <c r="V2" i="39"/>
  <c r="X3" i="39"/>
  <c r="X4" i="39"/>
  <c r="X5" i="39"/>
  <c r="X6" i="39"/>
  <c r="X7" i="39"/>
  <c r="X8" i="39"/>
  <c r="X9" i="39"/>
  <c r="X10" i="39"/>
  <c r="X11" i="39"/>
  <c r="X12" i="39"/>
  <c r="X13" i="39"/>
  <c r="X14" i="39"/>
  <c r="O2" i="39"/>
  <c r="N2" i="39"/>
  <c r="M2" i="39"/>
  <c r="L2" i="39"/>
  <c r="B24" i="31" l="1"/>
  <c r="B23" i="31" l="1"/>
  <c r="B18" i="31" l="1"/>
  <c r="B6" i="31" l="1"/>
  <c r="B5" i="31"/>
</calcChain>
</file>

<file path=xl/sharedStrings.xml><?xml version="1.0" encoding="utf-8"?>
<sst xmlns="http://schemas.openxmlformats.org/spreadsheetml/2006/main" count="1157" uniqueCount="231">
  <si>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</si>
  <si>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</si>
  <si>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</si>
  <si>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</si>
  <si>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</si>
  <si>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</si>
  <si>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</si>
  <si>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</si>
  <si>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</si>
  <si>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</si>
  <si>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</si>
  <si>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</si>
  <si>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</si>
  <si>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</si>
  <si>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</si>
  <si>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</si>
  <si>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</si>
  <si>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</si>
  <si>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</si>
  <si>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</si>
  <si>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</si>
  <si>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</si>
  <si>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</si>
  <si>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</si>
  <si>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</si>
  <si>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</si>
  <si>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</si>
  <si>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</si>
  <si>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</si>
  <si>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</si>
  <si>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</si>
  <si>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</si>
  <si>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</si>
  <si>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</si>
  <si>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</si>
  <si>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</si>
  <si>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</si>
  <si>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</si>
  <si>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</si>
  <si>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</si>
  <si>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</si>
  <si>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</si>
  <si>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</si>
  <si>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</si>
  <si>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</si>
  <si>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</si>
  <si>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</si>
  <si>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</si>
  <si>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</si>
  <si>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</si>
  <si>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</si>
  <si>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</si>
  <si>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</si>
  <si>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</si>
  <si>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</si>
  <si>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</si>
  <si>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</si>
  <si>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</si>
  <si>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</si>
  <si>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</si>
  <si>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</si>
  <si>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</si>
  <si>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</si>
  <si>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</si>
  <si>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</si>
  <si>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</si>
  <si>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</si>
  <si>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</si>
  <si>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</si>
  <si>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</si>
  <si>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</si>
  <si>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</si>
  <si>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</si>
  <si>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</si>
  <si>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</si>
  <si>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</si>
  <si>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</si>
  <si>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</si>
  <si>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</si>
  <si>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</si>
  <si>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</si>
  <si>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</si>
  <si>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</si>
  <si>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</si>
  <si>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</si>
  <si>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</si>
  <si>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</si>
  <si>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</si>
  <si>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</si>
  <si>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</si>
  <si>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</si>
  <si>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</si>
  <si>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</si>
  <si>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</si>
  <si>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</si>
  <si>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</si>
  <si>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</si>
  <si>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</si>
  <si>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</si>
  <si>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</si>
  <si>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</si>
  <si>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</si>
  <si>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</si>
  <si>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</si>
  <si>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</si>
  <si>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</si>
  <si>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</si>
  <si>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</si>
  <si>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</si>
  <si>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</si>
  <si>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</si>
  <si>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</si>
  <si>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</si>
  <si>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</si>
  <si>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</si>
  <si>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</si>
  <si>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</si>
  <si>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</si>
  <si>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</si>
  <si>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</si>
  <si>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</si>
  <si>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</si>
  <si>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</si>
  <si>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</si>
  <si>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</si>
  <si>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</si>
  <si>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</si>
  <si>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</si>
  <si>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</si>
  <si>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</si>
  <si>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</si>
  <si>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</si>
  <si>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</si>
  <si>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</si>
  <si>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</si>
  <si>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</si>
  <si>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</si>
  <si>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</si>
  <si>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</si>
  <si>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</si>
  <si>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</si>
  <si>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</si>
  <si>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</si>
  <si>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</si>
  <si>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</si>
  <si>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</si>
  <si>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</si>
  <si>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</si>
  <si>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</si>
  <si>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</si>
  <si>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</si>
  <si>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</si>
  <si>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</si>
  <si>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</si>
  <si>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</si>
  <si>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</si>
  <si>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</si>
  <si>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</si>
  <si>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</si>
  <si>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</si>
  <si>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</si>
  <si>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</si>
  <si>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</si>
  <si>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</si>
  <si>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</si>
  <si>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</si>
  <si>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</si>
  <si>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</si>
  <si>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</si>
  <si>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</si>
  <si>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</si>
  <si>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</si>
  <si>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</si>
  <si>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</si>
  <si>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</si>
  <si>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</si>
  <si>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</si>
  <si>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</si>
  <si>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</si>
  <si>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</si>
  <si>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</si>
  <si>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</si>
  <si>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</si>
  <si>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</si>
  <si>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</si>
  <si>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</si>
  <si>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</si>
  <si>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</si>
  <si>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</si>
  <si>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</si>
  <si>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</si>
  <si>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</si>
  <si>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</si>
  <si>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</si>
  <si>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</si>
  <si>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</si>
  <si>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</si>
  <si>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</si>
  <si>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</si>
  <si>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</si>
  <si>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</si>
  <si>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</si>
  <si>
    <t>A calendar date for an event that happened or will happen.</t>
  </si>
  <si>
    <t>It is a standard drone-type aircraft or UAS.</t>
  </si>
  <si>
    <t>It is a drone-type aircraft or UAS with a built-in LIDAR (Light Detection and Ranging) device.</t>
  </si>
  <si>
    <t>Autonomous flight plan.</t>
  </si>
  <si>
    <t>Autonomous flight carried out with a drone.</t>
  </si>
  <si>
    <t>Manual flight carried out with drone.</t>
  </si>
  <si>
    <t>Inspection carried out in the field.</t>
  </si>
  <si>
    <t>Photographic Image Bank corresponding to a Maintenance Flight performed.</t>
  </si>
  <si>
    <t>Photographic image corresponding to a WayPoint.</t>
  </si>
  <si>
    <t>Video recorded during a flight.</t>
  </si>
  <si>
    <t>Drone flight planned to take conservation actions of building systems.</t>
  </si>
  <si>
    <t>Drone flight planned to take corrective actions for pathologies.</t>
  </si>
  <si>
    <t>Planned drone flight to predict future maintenance or pathologies.</t>
  </si>
  <si>
    <t>Es una aeronave estándar de tipo dron o UAS.</t>
  </si>
  <si>
    <t>Es una aeronave tipo dron o UAS con un dispositivo LIDAR (Detección y Alcance de Luz) incorporado.</t>
  </si>
  <si>
    <t>Plan de vuelo autónomo.</t>
  </si>
  <si>
    <t>Vuelo autónomo realizado con un dron.</t>
  </si>
  <si>
    <t>El vuelo manual se realiza con dron.</t>
  </si>
  <si>
    <t>Inspección realizada en el terreno.</t>
  </si>
  <si>
    <t>Banco de Imágenes Fotográficas correspondiente a un vuelo de mantenimiento realizado.</t>
  </si>
  <si>
    <t>Imagen fotográfica correspondiente a un WayPoint.</t>
  </si>
  <si>
    <t>Vídeo grabado durante un vuelo.</t>
  </si>
  <si>
    <t>El vuelo con drones planeó realizar acciones de conservación de los sistemas del edificio.</t>
  </si>
  <si>
    <t>El vuelo de drones planeó tomar medidas correctivas para patologías.</t>
  </si>
  <si>
    <t>Vuelo planificado con dron para predecir el mantenimiento futuro o patologías.</t>
  </si>
  <si>
    <t>[ - ]</t>
  </si>
  <si>
    <t>Parâmetro Rvt</t>
  </si>
  <si>
    <t>Código ABNT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</si>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</sst>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95</v>
      </c>
    </row>
    <row r="2" spans="1:3" ht="9" customHeight="1" x14ac:dyDescent="0.15">
      <c r="A2" s="2" t="s">
        <v>14</v>
      </c>
      <c r="B2" s="2" t="s">
        <v>74</v>
      </c>
      <c r="C2" s="27" t="s">
        <v>96</v>
      </c>
    </row>
    <row r="3" spans="1:3" ht="9" customHeight="1" x14ac:dyDescent="0.15">
      <c r="A3" s="2" t="s">
        <v>15</v>
      </c>
      <c r="B3" s="3" t="s">
        <v>86</v>
      </c>
      <c r="C3" s="27" t="s">
        <v>96</v>
      </c>
    </row>
    <row r="4" spans="1:3" ht="9" customHeight="1" x14ac:dyDescent="0.15">
      <c r="A4" s="2" t="s">
        <v>7</v>
      </c>
      <c r="B4" s="2" t="s">
        <v>16</v>
      </c>
      <c r="C4" s="27" t="s">
        <v>96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96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96</v>
      </c>
    </row>
    <row r="7" spans="1:3" ht="9" customHeight="1" x14ac:dyDescent="0.15">
      <c r="A7" s="2" t="s">
        <v>4</v>
      </c>
      <c r="B7" s="2" t="s">
        <v>27</v>
      </c>
      <c r="C7" s="27" t="s">
        <v>96</v>
      </c>
    </row>
    <row r="8" spans="1:3" s="25" customFormat="1" ht="8.25" customHeight="1" x14ac:dyDescent="0.25">
      <c r="A8" s="2" t="s">
        <v>5</v>
      </c>
      <c r="B8" s="2" t="s">
        <v>93</v>
      </c>
      <c r="C8" s="27" t="s">
        <v>96</v>
      </c>
    </row>
    <row r="9" spans="1:3" ht="9" customHeight="1" x14ac:dyDescent="0.15">
      <c r="A9" s="2" t="s">
        <v>17</v>
      </c>
      <c r="B9" s="2" t="s">
        <v>18</v>
      </c>
      <c r="C9" s="27" t="s">
        <v>96</v>
      </c>
    </row>
    <row r="10" spans="1:3" ht="9" customHeight="1" x14ac:dyDescent="0.15">
      <c r="A10" s="2" t="s">
        <v>19</v>
      </c>
      <c r="B10" s="2" t="s">
        <v>12</v>
      </c>
      <c r="C10" s="27" t="s">
        <v>96</v>
      </c>
    </row>
    <row r="11" spans="1:3" ht="9" customHeight="1" x14ac:dyDescent="0.15">
      <c r="A11" s="2" t="s">
        <v>0</v>
      </c>
      <c r="B11" s="2" t="s">
        <v>12</v>
      </c>
      <c r="C11" s="27" t="s">
        <v>96</v>
      </c>
    </row>
    <row r="12" spans="1:3" ht="9" customHeight="1" x14ac:dyDescent="0.15">
      <c r="A12" s="2" t="s">
        <v>1</v>
      </c>
      <c r="B12" s="2" t="s">
        <v>12</v>
      </c>
      <c r="C12" s="27" t="s">
        <v>96</v>
      </c>
    </row>
    <row r="13" spans="1:3" ht="9" customHeight="1" x14ac:dyDescent="0.15">
      <c r="A13" s="2" t="s">
        <v>20</v>
      </c>
      <c r="B13" s="2" t="s">
        <v>12</v>
      </c>
      <c r="C13" s="27" t="s">
        <v>96</v>
      </c>
    </row>
    <row r="14" spans="1:3" ht="9" customHeight="1" x14ac:dyDescent="0.15">
      <c r="A14" s="2" t="s">
        <v>21</v>
      </c>
      <c r="B14" s="2" t="s">
        <v>12</v>
      </c>
      <c r="C14" s="27" t="s">
        <v>96</v>
      </c>
    </row>
    <row r="15" spans="1:3" ht="9" customHeight="1" x14ac:dyDescent="0.15">
      <c r="A15" s="2" t="s">
        <v>22</v>
      </c>
      <c r="B15" s="2" t="s">
        <v>12</v>
      </c>
      <c r="C15" s="27" t="s">
        <v>96</v>
      </c>
    </row>
    <row r="16" spans="1:3" ht="9" customHeight="1" x14ac:dyDescent="0.15">
      <c r="A16" s="2" t="s">
        <v>23</v>
      </c>
      <c r="B16" s="2" t="s">
        <v>12</v>
      </c>
      <c r="C16" s="27" t="s">
        <v>96</v>
      </c>
    </row>
    <row r="17" spans="1:3" ht="9" customHeight="1" x14ac:dyDescent="0.15">
      <c r="A17" s="2" t="s">
        <v>10</v>
      </c>
      <c r="B17" s="4" t="s">
        <v>87</v>
      </c>
      <c r="C17" s="27" t="s">
        <v>96</v>
      </c>
    </row>
    <row r="18" spans="1:3" ht="9" customHeight="1" x14ac:dyDescent="0.15">
      <c r="A18" s="2" t="s">
        <v>24</v>
      </c>
      <c r="B18" s="5">
        <f ca="1">NOW()</f>
        <v>46253.628990972225</v>
      </c>
      <c r="C18" s="27" t="s">
        <v>96</v>
      </c>
    </row>
    <row r="19" spans="1:3" ht="9" customHeight="1" x14ac:dyDescent="0.15">
      <c r="A19" s="2" t="s">
        <v>25</v>
      </c>
      <c r="B19" s="2" t="s">
        <v>12</v>
      </c>
      <c r="C19" s="27" t="s">
        <v>96</v>
      </c>
    </row>
    <row r="20" spans="1:3" ht="9" customHeight="1" x14ac:dyDescent="0.15">
      <c r="A20" s="2" t="s">
        <v>26</v>
      </c>
      <c r="B20" s="2" t="s">
        <v>12</v>
      </c>
      <c r="C20" s="27" t="s">
        <v>96</v>
      </c>
    </row>
    <row r="21" spans="1:3" ht="9" customHeight="1" x14ac:dyDescent="0.15">
      <c r="A21" s="2" t="s">
        <v>11</v>
      </c>
      <c r="B21" s="2" t="s">
        <v>12</v>
      </c>
      <c r="C21" s="27" t="s">
        <v>96</v>
      </c>
    </row>
    <row r="22" spans="1:3" ht="10.5" customHeight="1" x14ac:dyDescent="0.15">
      <c r="A22" s="4" t="s">
        <v>28</v>
      </c>
      <c r="B22" s="6" t="s">
        <v>88</v>
      </c>
      <c r="C22" s="27" t="s">
        <v>96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97</v>
      </c>
    </row>
    <row r="24" spans="1:3" s="25" customFormat="1" ht="9.75" customHeight="1" x14ac:dyDescent="0.25">
      <c r="A24" s="4" t="s">
        <v>94</v>
      </c>
      <c r="B24" s="6" t="str">
        <f>_xlfn.TRANSLATE(B22,"pt","en")</f>
        <v>Formalize data for drone flights.</v>
      </c>
      <c r="C24" s="27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C14"/>
  <sheetViews>
    <sheetView tabSelected="1" zoomScale="235" zoomScaleNormal="235" workbookViewId="0">
      <pane ySplit="1" topLeftCell="A2" activePane="bottomLeft" state="frozen"/>
      <selection pane="bottomLeft" activeCell="R10" sqref="R10"/>
    </sheetView>
  </sheetViews>
  <sheetFormatPr defaultColWidth="9.140625" defaultRowHeight="8.4499999999999993" customHeight="1" x14ac:dyDescent="0.25"/>
  <cols>
    <col min="1" max="1" width="2.42578125" bestFit="1" customWidth="1"/>
    <col min="2" max="2" width="6.28515625" style="31" bestFit="1" customWidth="1"/>
    <col min="3" max="3" width="9" style="31" bestFit="1" customWidth="1"/>
    <col min="4" max="4" width="7.7109375" style="31" bestFit="1" customWidth="1"/>
    <col min="5" max="5" width="7.140625" style="31" bestFit="1" customWidth="1"/>
    <col min="6" max="11" width="10.140625" style="31" bestFit="1" customWidth="1"/>
    <col min="12" max="12" width="9" style="31" bestFit="1" customWidth="1"/>
    <col min="13" max="13" width="7.7109375" style="31" bestFit="1" customWidth="1"/>
    <col min="14" max="14" width="7.140625" style="31" bestFit="1" customWidth="1"/>
    <col min="15" max="15" width="10.140625" style="31" bestFit="1" customWidth="1"/>
    <col min="16" max="16" width="55.42578125" style="31" bestFit="1" customWidth="1"/>
    <col min="17" max="17" width="46" style="31" customWidth="1"/>
    <col min="18" max="18" width="41.85546875" style="31" customWidth="1"/>
    <col min="19" max="19" width="4.28515625" style="31" bestFit="1" customWidth="1"/>
    <col min="20" max="20" width="9" style="31" bestFit="1" customWidth="1"/>
    <col min="21" max="21" width="7.7109375" style="31" bestFit="1" customWidth="1"/>
    <col min="22" max="22" width="7.140625" style="31" bestFit="1" customWidth="1"/>
    <col min="23" max="23" width="11.140625" style="31" bestFit="1" customWidth="1"/>
    <col min="24" max="24" width="7.28515625" style="31" bestFit="1" customWidth="1"/>
    <col min="25" max="25" width="9" style="31" customWidth="1"/>
    <col min="26" max="26" width="8.28515625" style="31" customWidth="1"/>
    <col min="27" max="27" width="7.42578125" style="31" bestFit="1" customWidth="1"/>
    <col min="28" max="28" width="9.5703125" style="31" bestFit="1" customWidth="1"/>
    <col min="29" max="29" width="9.85546875" style="31" bestFit="1" customWidth="1"/>
    <col min="30" max="16384" width="9.140625" style="31"/>
  </cols>
  <sheetData>
    <row r="1" spans="1:29" ht="40.15" customHeight="1" x14ac:dyDescent="0.25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23" t="s">
        <v>92</v>
      </c>
      <c r="S1" s="19" t="s">
        <v>71</v>
      </c>
      <c r="T1" s="19" t="s">
        <v>31</v>
      </c>
      <c r="U1" s="19" t="s">
        <v>72</v>
      </c>
      <c r="V1" s="19" t="s">
        <v>33</v>
      </c>
      <c r="W1" s="19" t="s">
        <v>32</v>
      </c>
      <c r="X1" s="29" t="s">
        <v>54</v>
      </c>
      <c r="Y1" s="19" t="s">
        <v>90</v>
      </c>
      <c r="Z1" s="19" t="s">
        <v>228</v>
      </c>
      <c r="AA1" s="19" t="s">
        <v>91</v>
      </c>
      <c r="AB1" s="19" t="s">
        <v>230</v>
      </c>
      <c r="AC1" s="19" t="s">
        <v>229</v>
      </c>
    </row>
    <row r="2" spans="1:29" customFormat="1" ht="6" customHeight="1" x14ac:dyDescent="0.25">
      <c r="A2" s="35">
        <v>2</v>
      </c>
      <c r="B2" s="57" t="s">
        <v>190</v>
      </c>
      <c r="C2" s="58" t="s">
        <v>197</v>
      </c>
      <c r="D2" s="58" t="s">
        <v>191</v>
      </c>
      <c r="E2" s="59" t="s">
        <v>192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193</v>
      </c>
      <c r="Q2" s="62" t="s">
        <v>194</v>
      </c>
      <c r="R2" s="24" t="s">
        <v>202</v>
      </c>
      <c r="S2" s="24" t="s">
        <v>9</v>
      </c>
      <c r="T2" s="24" t="str">
        <f t="shared" ref="T2:V14" si="2">SUBSTITUTE(C2, ".", " ")</f>
        <v>De Tempo</v>
      </c>
      <c r="U2" s="24" t="str">
        <f t="shared" si="2"/>
        <v>Eventos</v>
      </c>
      <c r="V2" s="24" t="str">
        <f t="shared" si="2"/>
        <v>Calendários</v>
      </c>
      <c r="W2" s="34" t="s">
        <v>89</v>
      </c>
      <c r="X2" s="30" t="str">
        <f>CONCATENATE("Key-UAS-",A2)</f>
        <v>Key-UAS-2</v>
      </c>
      <c r="Y2" s="24" t="s">
        <v>9</v>
      </c>
      <c r="Z2" s="24" t="s">
        <v>227</v>
      </c>
      <c r="AA2" s="24" t="s">
        <v>9</v>
      </c>
      <c r="AB2" s="24" t="s">
        <v>227</v>
      </c>
      <c r="AC2" s="24" t="s">
        <v>9</v>
      </c>
    </row>
    <row r="3" spans="1:29" ht="6.75" customHeight="1" x14ac:dyDescent="0.25">
      <c r="A3" s="35">
        <v>3</v>
      </c>
      <c r="B3" s="57" t="s">
        <v>190</v>
      </c>
      <c r="C3" s="63" t="s">
        <v>196</v>
      </c>
      <c r="D3" s="63" t="s">
        <v>75</v>
      </c>
      <c r="E3" s="63" t="s">
        <v>104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105</v>
      </c>
      <c r="Q3" s="24" t="s">
        <v>215</v>
      </c>
      <c r="R3" s="24" t="s">
        <v>203</v>
      </c>
      <c r="S3" s="24" t="s">
        <v>9</v>
      </c>
      <c r="T3" s="24" t="str">
        <f t="shared" si="2"/>
        <v>De Operação</v>
      </c>
      <c r="U3" s="24" t="str">
        <f t="shared" si="2"/>
        <v>Manutenção</v>
      </c>
      <c r="V3" s="24" t="str">
        <f t="shared" si="2"/>
        <v>Vistorias</v>
      </c>
      <c r="W3" s="34" t="s">
        <v>89</v>
      </c>
      <c r="X3" s="30" t="str">
        <f t="shared" ref="X3:X14" si="3">CONCATENATE("Key-UAS-",A3)</f>
        <v>Key-UAS-3</v>
      </c>
      <c r="Y3" s="24" t="s">
        <v>101</v>
      </c>
      <c r="Z3" s="24" t="s">
        <v>227</v>
      </c>
      <c r="AA3" s="24" t="s">
        <v>102</v>
      </c>
      <c r="AB3" s="24" t="s">
        <v>227</v>
      </c>
      <c r="AC3" s="24" t="s">
        <v>100</v>
      </c>
    </row>
    <row r="4" spans="1:29" ht="6.75" customHeight="1" x14ac:dyDescent="0.25">
      <c r="A4" s="35">
        <v>4</v>
      </c>
      <c r="B4" s="57" t="s">
        <v>190</v>
      </c>
      <c r="C4" s="63" t="s">
        <v>196</v>
      </c>
      <c r="D4" s="63" t="s">
        <v>75</v>
      </c>
      <c r="E4" s="63" t="s">
        <v>104</v>
      </c>
      <c r="F4" s="63" t="s">
        <v>103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181</v>
      </c>
      <c r="Q4" s="24" t="s">
        <v>216</v>
      </c>
      <c r="R4" s="24" t="s">
        <v>204</v>
      </c>
      <c r="S4" s="24" t="s">
        <v>9</v>
      </c>
      <c r="T4" s="24" t="str">
        <f t="shared" si="2"/>
        <v>De Operação</v>
      </c>
      <c r="U4" s="24" t="str">
        <f t="shared" si="2"/>
        <v>Manutenção</v>
      </c>
      <c r="V4" s="24" t="str">
        <f t="shared" si="2"/>
        <v>Vistorias</v>
      </c>
      <c r="W4" s="34" t="s">
        <v>89</v>
      </c>
      <c r="X4" s="30" t="str">
        <f t="shared" si="3"/>
        <v>Key-UAS-4</v>
      </c>
      <c r="Y4" s="24" t="s">
        <v>101</v>
      </c>
      <c r="Z4" s="24" t="s">
        <v>227</v>
      </c>
      <c r="AA4" s="24" t="s">
        <v>102</v>
      </c>
      <c r="AB4" s="24" t="s">
        <v>227</v>
      </c>
      <c r="AC4" s="24" t="s">
        <v>100</v>
      </c>
    </row>
    <row r="5" spans="1:29" ht="6.75" customHeight="1" x14ac:dyDescent="0.25">
      <c r="A5" s="35">
        <v>5</v>
      </c>
      <c r="B5" s="57" t="s">
        <v>190</v>
      </c>
      <c r="C5" s="63" t="s">
        <v>196</v>
      </c>
      <c r="D5" s="63" t="s">
        <v>75</v>
      </c>
      <c r="E5" s="63" t="s">
        <v>104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">
        <v>217</v>
      </c>
      <c r="R5" s="24" t="s">
        <v>205</v>
      </c>
      <c r="S5" s="24" t="s">
        <v>9</v>
      </c>
      <c r="T5" s="24" t="str">
        <f t="shared" si="2"/>
        <v>De Operação</v>
      </c>
      <c r="U5" s="24" t="str">
        <f t="shared" si="2"/>
        <v>Manutenção</v>
      </c>
      <c r="V5" s="24" t="str">
        <f t="shared" si="2"/>
        <v>Vistorias</v>
      </c>
      <c r="W5" s="34" t="s">
        <v>89</v>
      </c>
      <c r="X5" s="30" t="str">
        <f t="shared" si="3"/>
        <v>Key-UAS-5</v>
      </c>
      <c r="Y5" s="24" t="s">
        <v>9</v>
      </c>
      <c r="Z5" s="24" t="s">
        <v>227</v>
      </c>
      <c r="AA5" s="24" t="s">
        <v>9</v>
      </c>
      <c r="AB5" s="24" t="s">
        <v>227</v>
      </c>
      <c r="AC5" s="24" t="s">
        <v>9</v>
      </c>
    </row>
    <row r="6" spans="1:29" ht="6.75" customHeight="1" x14ac:dyDescent="0.25">
      <c r="A6" s="35">
        <v>6</v>
      </c>
      <c r="B6" s="57" t="s">
        <v>190</v>
      </c>
      <c r="C6" s="63" t="s">
        <v>196</v>
      </c>
      <c r="D6" s="63" t="s">
        <v>75</v>
      </c>
      <c r="E6" s="63" t="s">
        <v>104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">
        <v>218</v>
      </c>
      <c r="R6" s="24" t="s">
        <v>206</v>
      </c>
      <c r="S6" s="24" t="s">
        <v>9</v>
      </c>
      <c r="T6" s="24" t="str">
        <f t="shared" si="2"/>
        <v>De Operação</v>
      </c>
      <c r="U6" s="24" t="str">
        <f t="shared" si="2"/>
        <v>Manutenção</v>
      </c>
      <c r="V6" s="24" t="str">
        <f t="shared" si="2"/>
        <v>Vistorias</v>
      </c>
      <c r="W6" s="34" t="s">
        <v>89</v>
      </c>
      <c r="X6" s="30" t="str">
        <f t="shared" si="3"/>
        <v>Key-UAS-6</v>
      </c>
      <c r="Y6" s="24" t="s">
        <v>9</v>
      </c>
      <c r="Z6" s="24" t="s">
        <v>227</v>
      </c>
      <c r="AA6" s="24" t="s">
        <v>9</v>
      </c>
      <c r="AB6" s="24" t="s">
        <v>227</v>
      </c>
      <c r="AC6" s="24" t="s">
        <v>9</v>
      </c>
    </row>
    <row r="7" spans="1:29" ht="6.75" customHeight="1" x14ac:dyDescent="0.25">
      <c r="A7" s="35">
        <v>7</v>
      </c>
      <c r="B7" s="57" t="s">
        <v>190</v>
      </c>
      <c r="C7" s="63" t="s">
        <v>196</v>
      </c>
      <c r="D7" s="63" t="s">
        <v>75</v>
      </c>
      <c r="E7" s="63" t="s">
        <v>104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">
        <v>219</v>
      </c>
      <c r="R7" s="24" t="s">
        <v>207</v>
      </c>
      <c r="S7" s="24" t="s">
        <v>9</v>
      </c>
      <c r="T7" s="24" t="str">
        <f t="shared" si="2"/>
        <v>De Operação</v>
      </c>
      <c r="U7" s="24" t="str">
        <f t="shared" si="2"/>
        <v>Manutenção</v>
      </c>
      <c r="V7" s="24" t="str">
        <f t="shared" si="2"/>
        <v>Vistorias</v>
      </c>
      <c r="W7" s="34" t="s">
        <v>89</v>
      </c>
      <c r="X7" s="30" t="str">
        <f t="shared" si="3"/>
        <v>Key-UAS-7</v>
      </c>
      <c r="Y7" s="24" t="s">
        <v>9</v>
      </c>
      <c r="Z7" s="24" t="s">
        <v>227</v>
      </c>
      <c r="AA7" s="24" t="s">
        <v>9</v>
      </c>
      <c r="AB7" s="24" t="s">
        <v>227</v>
      </c>
      <c r="AC7" s="24" t="s">
        <v>9</v>
      </c>
    </row>
    <row r="8" spans="1:29" ht="6.75" customHeight="1" x14ac:dyDescent="0.25">
      <c r="A8" s="35">
        <v>8</v>
      </c>
      <c r="B8" s="57" t="s">
        <v>190</v>
      </c>
      <c r="C8" s="63" t="s">
        <v>196</v>
      </c>
      <c r="D8" s="63" t="s">
        <v>75</v>
      </c>
      <c r="E8" s="63" t="s">
        <v>104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">
        <v>220</v>
      </c>
      <c r="R8" s="24" t="s">
        <v>208</v>
      </c>
      <c r="S8" s="24" t="s">
        <v>9</v>
      </c>
      <c r="T8" s="24" t="str">
        <f t="shared" si="2"/>
        <v>De Operação</v>
      </c>
      <c r="U8" s="24" t="str">
        <f t="shared" si="2"/>
        <v>Manutenção</v>
      </c>
      <c r="V8" s="24" t="str">
        <f t="shared" si="2"/>
        <v>Vistorias</v>
      </c>
      <c r="W8" s="34" t="s">
        <v>89</v>
      </c>
      <c r="X8" s="30" t="str">
        <f t="shared" si="3"/>
        <v>Key-UAS-8</v>
      </c>
      <c r="Y8" s="24" t="s">
        <v>9</v>
      </c>
      <c r="Z8" s="24" t="s">
        <v>227</v>
      </c>
      <c r="AA8" s="24" t="s">
        <v>9</v>
      </c>
      <c r="AB8" s="24" t="s">
        <v>227</v>
      </c>
      <c r="AC8" s="24" t="s">
        <v>9</v>
      </c>
    </row>
    <row r="9" spans="1:29" ht="6.75" customHeight="1" x14ac:dyDescent="0.25">
      <c r="A9" s="35">
        <v>9</v>
      </c>
      <c r="B9" s="57" t="s">
        <v>190</v>
      </c>
      <c r="C9" s="63" t="s">
        <v>196</v>
      </c>
      <c r="D9" s="63" t="s">
        <v>75</v>
      </c>
      <c r="E9" s="63" t="s">
        <v>176</v>
      </c>
      <c r="F9" s="63" t="s">
        <v>175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177</v>
      </c>
      <c r="Q9" s="24" t="s">
        <v>221</v>
      </c>
      <c r="R9" s="24" t="s">
        <v>209</v>
      </c>
      <c r="S9" s="24" t="s">
        <v>9</v>
      </c>
      <c r="T9" s="24" t="str">
        <f t="shared" si="2"/>
        <v>De Operação</v>
      </c>
      <c r="U9" s="24" t="str">
        <f t="shared" si="2"/>
        <v>Manutenção</v>
      </c>
      <c r="V9" s="24" t="str">
        <f t="shared" si="2"/>
        <v>Imagens</v>
      </c>
      <c r="W9" s="34" t="s">
        <v>89</v>
      </c>
      <c r="X9" s="30" t="str">
        <f t="shared" si="3"/>
        <v>Key-UAS-9</v>
      </c>
      <c r="Y9" s="24" t="s">
        <v>9</v>
      </c>
      <c r="Z9" s="24" t="s">
        <v>227</v>
      </c>
      <c r="AA9" s="24" t="s">
        <v>9</v>
      </c>
      <c r="AB9" s="24" t="s">
        <v>227</v>
      </c>
      <c r="AC9" s="24" t="s">
        <v>178</v>
      </c>
    </row>
    <row r="10" spans="1:29" ht="6.75" customHeight="1" x14ac:dyDescent="0.25">
      <c r="A10" s="35">
        <v>10</v>
      </c>
      <c r="B10" s="57" t="s">
        <v>190</v>
      </c>
      <c r="C10" s="63" t="s">
        <v>196</v>
      </c>
      <c r="D10" s="63" t="s">
        <v>75</v>
      </c>
      <c r="E10" s="63" t="s">
        <v>176</v>
      </c>
      <c r="F10" s="63" t="s">
        <v>154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155</v>
      </c>
      <c r="Q10" s="24" t="s">
        <v>222</v>
      </c>
      <c r="R10" s="24" t="s">
        <v>210</v>
      </c>
      <c r="S10" s="24" t="s">
        <v>9</v>
      </c>
      <c r="T10" s="24" t="str">
        <f t="shared" si="2"/>
        <v>De Operação</v>
      </c>
      <c r="U10" s="24" t="str">
        <f t="shared" si="2"/>
        <v>Manutenção</v>
      </c>
      <c r="V10" s="24" t="str">
        <f t="shared" si="2"/>
        <v>Imagens</v>
      </c>
      <c r="W10" s="34" t="s">
        <v>89</v>
      </c>
      <c r="X10" s="30" t="str">
        <f t="shared" si="3"/>
        <v>Key-UAS-10</v>
      </c>
      <c r="Y10" s="24" t="s">
        <v>9</v>
      </c>
      <c r="Z10" s="24" t="s">
        <v>227</v>
      </c>
      <c r="AA10" s="24" t="s">
        <v>9</v>
      </c>
      <c r="AB10" s="24" t="s">
        <v>227</v>
      </c>
      <c r="AC10" s="24" t="s">
        <v>156</v>
      </c>
    </row>
    <row r="11" spans="1:29" ht="6.75" customHeight="1" x14ac:dyDescent="0.25">
      <c r="A11" s="35">
        <v>11</v>
      </c>
      <c r="B11" s="57" t="s">
        <v>190</v>
      </c>
      <c r="C11" s="63" t="s">
        <v>196</v>
      </c>
      <c r="D11" s="63" t="s">
        <v>75</v>
      </c>
      <c r="E11" s="63" t="s">
        <v>176</v>
      </c>
      <c r="F11" s="63" t="s">
        <v>182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180</v>
      </c>
      <c r="Q11" s="24" t="s">
        <v>223</v>
      </c>
      <c r="R11" s="24" t="s">
        <v>211</v>
      </c>
      <c r="S11" s="24" t="s">
        <v>9</v>
      </c>
      <c r="T11" s="24" t="str">
        <f t="shared" si="2"/>
        <v>De Operação</v>
      </c>
      <c r="U11" s="24" t="str">
        <f t="shared" si="2"/>
        <v>Manutenção</v>
      </c>
      <c r="V11" s="24" t="str">
        <f t="shared" si="2"/>
        <v>Imagens</v>
      </c>
      <c r="W11" s="34" t="s">
        <v>89</v>
      </c>
      <c r="X11" s="30" t="str">
        <f t="shared" si="3"/>
        <v>Key-UAS-11</v>
      </c>
      <c r="Y11" s="24" t="s">
        <v>9</v>
      </c>
      <c r="Z11" s="24" t="s">
        <v>227</v>
      </c>
      <c r="AA11" s="24" t="s">
        <v>9</v>
      </c>
      <c r="AB11" s="24" t="s">
        <v>227</v>
      </c>
      <c r="AC11" s="24" t="s">
        <v>178</v>
      </c>
    </row>
    <row r="12" spans="1:29" ht="6.75" customHeight="1" x14ac:dyDescent="0.25">
      <c r="A12" s="35">
        <v>12</v>
      </c>
      <c r="B12" s="57" t="s">
        <v>99</v>
      </c>
      <c r="C12" s="64" t="s">
        <v>106</v>
      </c>
      <c r="D12" s="64" t="s">
        <v>201</v>
      </c>
      <c r="E12" s="64" t="s">
        <v>198</v>
      </c>
      <c r="F12" s="63" t="s">
        <v>185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187</v>
      </c>
      <c r="Q12" s="24" t="s">
        <v>224</v>
      </c>
      <c r="R12" s="24" t="s">
        <v>212</v>
      </c>
      <c r="S12" s="24" t="s">
        <v>9</v>
      </c>
      <c r="T12" s="24" t="str">
        <f t="shared" si="2"/>
        <v>De Manutenção</v>
      </c>
      <c r="U12" s="24" t="str">
        <f t="shared" si="2"/>
        <v>Diagnósticas</v>
      </c>
      <c r="V12" s="24" t="str">
        <f t="shared" si="2"/>
        <v>Preventivas</v>
      </c>
      <c r="W12" s="34" t="s">
        <v>89</v>
      </c>
      <c r="X12" s="30" t="str">
        <f t="shared" si="3"/>
        <v>Key-UAS-12</v>
      </c>
      <c r="Y12" s="24" t="s">
        <v>9</v>
      </c>
      <c r="Z12" s="24" t="s">
        <v>227</v>
      </c>
      <c r="AA12" s="24" t="s">
        <v>9</v>
      </c>
      <c r="AB12" s="24" t="s">
        <v>227</v>
      </c>
      <c r="AC12" s="24" t="s">
        <v>9</v>
      </c>
    </row>
    <row r="13" spans="1:29" ht="6.75" customHeight="1" x14ac:dyDescent="0.25">
      <c r="A13" s="35">
        <v>13</v>
      </c>
      <c r="B13" s="57" t="s">
        <v>99</v>
      </c>
      <c r="C13" s="64" t="s">
        <v>106</v>
      </c>
      <c r="D13" s="64" t="s">
        <v>201</v>
      </c>
      <c r="E13" s="64" t="s">
        <v>199</v>
      </c>
      <c r="F13" s="63" t="s">
        <v>184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186</v>
      </c>
      <c r="Q13" s="24" t="s">
        <v>225</v>
      </c>
      <c r="R13" s="24" t="s">
        <v>213</v>
      </c>
      <c r="S13" s="24" t="s">
        <v>9</v>
      </c>
      <c r="T13" s="24" t="str">
        <f t="shared" si="2"/>
        <v>De Manutenção</v>
      </c>
      <c r="U13" s="24" t="str">
        <f t="shared" si="2"/>
        <v>Diagnósticas</v>
      </c>
      <c r="V13" s="24" t="str">
        <f t="shared" si="2"/>
        <v>Corretivas</v>
      </c>
      <c r="W13" s="34" t="s">
        <v>89</v>
      </c>
      <c r="X13" s="30" t="str">
        <f t="shared" si="3"/>
        <v>Key-UAS-13</v>
      </c>
      <c r="Y13" s="24" t="s">
        <v>9</v>
      </c>
      <c r="Z13" s="24" t="s">
        <v>227</v>
      </c>
      <c r="AA13" s="24" t="s">
        <v>9</v>
      </c>
      <c r="AB13" s="24" t="s">
        <v>227</v>
      </c>
      <c r="AC13" s="24" t="s">
        <v>9</v>
      </c>
    </row>
    <row r="14" spans="1:29" ht="6.75" customHeight="1" x14ac:dyDescent="0.25">
      <c r="A14" s="35">
        <v>14</v>
      </c>
      <c r="B14" s="57" t="s">
        <v>99</v>
      </c>
      <c r="C14" s="64" t="s">
        <v>106</v>
      </c>
      <c r="D14" s="64" t="s">
        <v>201</v>
      </c>
      <c r="E14" s="64" t="s">
        <v>200</v>
      </c>
      <c r="F14" s="63" t="s">
        <v>183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189</v>
      </c>
      <c r="Q14" s="24" t="s">
        <v>226</v>
      </c>
      <c r="R14" s="24" t="s">
        <v>214</v>
      </c>
      <c r="S14" s="24" t="s">
        <v>9</v>
      </c>
      <c r="T14" s="24" t="str">
        <f t="shared" si="2"/>
        <v>De Manutenção</v>
      </c>
      <c r="U14" s="24" t="str">
        <f t="shared" si="2"/>
        <v>Diagnósticas</v>
      </c>
      <c r="V14" s="24" t="str">
        <f t="shared" si="2"/>
        <v>Preditivas</v>
      </c>
      <c r="W14" s="34" t="s">
        <v>89</v>
      </c>
      <c r="X14" s="30" t="str">
        <f t="shared" si="3"/>
        <v>Key-UAS-14</v>
      </c>
      <c r="Y14" s="24" t="s">
        <v>9</v>
      </c>
      <c r="Z14" s="24" t="s">
        <v>227</v>
      </c>
      <c r="AA14" s="24" t="s">
        <v>9</v>
      </c>
      <c r="AB14" s="24" t="s">
        <v>227</v>
      </c>
      <c r="AC14" s="24" t="s">
        <v>9</v>
      </c>
    </row>
  </sheetData>
  <conditionalFormatting sqref="F1">
    <cfRule type="duplicateValues" dxfId="13" priority="40"/>
    <cfRule type="duplicateValues" dxfId="12" priority="41"/>
    <cfRule type="duplicateValues" dxfId="11" priority="42"/>
    <cfRule type="duplicateValues" dxfId="10" priority="43"/>
    <cfRule type="duplicateValues" dxfId="9" priority="44"/>
  </conditionalFormatting>
  <conditionalFormatting sqref="F2">
    <cfRule type="duplicateValues" dxfId="8" priority="5"/>
    <cfRule type="duplicateValues" dxfId="7" priority="6"/>
  </conditionalFormatting>
  <conditionalFormatting sqref="F3:F7 F1">
    <cfRule type="duplicateValues" dxfId="6" priority="186"/>
  </conditionalFormatting>
  <conditionalFormatting sqref="F3:F1048576 F1">
    <cfRule type="duplicateValues" dxfId="5" priority="15"/>
  </conditionalFormatting>
  <conditionalFormatting sqref="F12:F1048576 F1 F3:F7">
    <cfRule type="duplicateValues" dxfId="4" priority="37"/>
  </conditionalFormatting>
  <conditionalFormatting sqref="G1:O1">
    <cfRule type="cellIs" dxfId="3" priority="39" operator="equal">
      <formula>"null"</formula>
    </cfRule>
  </conditionalFormatting>
  <conditionalFormatting sqref="A2:B14">
    <cfRule type="cellIs" dxfId="2" priority="3" operator="equal">
      <formula>"null"</formula>
    </cfRule>
  </conditionalFormatting>
  <conditionalFormatting sqref="R1:R14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0" zoomScale="235" zoomScaleNormal="235" workbookViewId="0">
      <selection activeCell="C2" sqref="C2"/>
    </sheetView>
  </sheetViews>
  <sheetFormatPr defaultRowHeight="6.75" customHeight="1" x14ac:dyDescent="0.25"/>
  <cols>
    <col min="1" max="1" width="2.5703125" bestFit="1" customWidth="1"/>
    <col min="2" max="2" width="8.570312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36" t="s">
        <v>107</v>
      </c>
      <c r="B1" s="37" t="s">
        <v>108</v>
      </c>
      <c r="C1" s="37" t="s">
        <v>13</v>
      </c>
      <c r="D1" s="38" t="s">
        <v>109</v>
      </c>
      <c r="E1" s="37" t="s">
        <v>2</v>
      </c>
      <c r="F1" s="38" t="s">
        <v>109</v>
      </c>
      <c r="G1" s="38" t="s">
        <v>2</v>
      </c>
      <c r="H1" s="39" t="s">
        <v>109</v>
      </c>
      <c r="I1" s="37" t="s">
        <v>2</v>
      </c>
      <c r="J1" s="38" t="s">
        <v>109</v>
      </c>
      <c r="K1" s="38" t="s">
        <v>2</v>
      </c>
      <c r="L1" s="37" t="s">
        <v>109</v>
      </c>
      <c r="M1" s="37" t="s">
        <v>2</v>
      </c>
      <c r="N1" s="37" t="s">
        <v>109</v>
      </c>
      <c r="O1" s="37" t="s">
        <v>2</v>
      </c>
      <c r="P1" s="38" t="s">
        <v>109</v>
      </c>
      <c r="Q1" s="38" t="s">
        <v>2</v>
      </c>
      <c r="R1" s="38" t="s">
        <v>109</v>
      </c>
      <c r="S1" s="38" t="s">
        <v>2</v>
      </c>
      <c r="T1" s="37" t="s">
        <v>109</v>
      </c>
      <c r="U1" s="37" t="s">
        <v>2</v>
      </c>
      <c r="V1" s="40" t="s">
        <v>109</v>
      </c>
      <c r="W1" s="41" t="s">
        <v>110</v>
      </c>
      <c r="X1" s="42" t="s">
        <v>109</v>
      </c>
      <c r="Y1" s="41" t="s">
        <v>110</v>
      </c>
      <c r="Z1" s="42" t="s">
        <v>109</v>
      </c>
      <c r="AA1" s="41" t="s">
        <v>110</v>
      </c>
    </row>
    <row r="2" spans="1:27" ht="6.75" customHeight="1" x14ac:dyDescent="0.25">
      <c r="A2" s="43">
        <v>2</v>
      </c>
      <c r="B2" s="44" t="s">
        <v>126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127</v>
      </c>
      <c r="O2" s="52" t="s">
        <v>128</v>
      </c>
      <c r="P2" s="51" t="s">
        <v>113</v>
      </c>
      <c r="Q2" s="52" t="s">
        <v>129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117</v>
      </c>
      <c r="W2" s="55" t="s">
        <v>130</v>
      </c>
      <c r="X2" s="48" t="s">
        <v>118</v>
      </c>
      <c r="Y2" s="52" t="s">
        <v>131</v>
      </c>
      <c r="Z2" s="48" t="s">
        <v>119</v>
      </c>
      <c r="AA2" s="52" t="s">
        <v>132</v>
      </c>
    </row>
    <row r="3" spans="1:27" ht="6.75" customHeight="1" x14ac:dyDescent="0.25">
      <c r="A3" s="43">
        <v>3</v>
      </c>
      <c r="B3" s="44" t="s">
        <v>149</v>
      </c>
      <c r="C3" s="45" t="s">
        <v>198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111</v>
      </c>
      <c r="M3" s="49" t="s">
        <v>112</v>
      </c>
      <c r="N3" s="48" t="s">
        <v>9</v>
      </c>
      <c r="O3" s="50" t="s">
        <v>9</v>
      </c>
      <c r="P3" s="51" t="s">
        <v>113</v>
      </c>
      <c r="Q3" s="52" t="s">
        <v>195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119</v>
      </c>
      <c r="AA3" s="52" t="s">
        <v>153</v>
      </c>
    </row>
    <row r="4" spans="1:27" ht="6.75" customHeight="1" x14ac:dyDescent="0.25">
      <c r="A4" s="43">
        <v>4</v>
      </c>
      <c r="B4" s="44" t="s">
        <v>150</v>
      </c>
      <c r="C4" s="45" t="s">
        <v>198</v>
      </c>
      <c r="D4" s="46" t="s">
        <v>114</v>
      </c>
      <c r="E4" s="54" t="s">
        <v>115</v>
      </c>
      <c r="F4" s="46" t="s">
        <v>9</v>
      </c>
      <c r="G4" s="47" t="s">
        <v>9</v>
      </c>
      <c r="H4" s="46" t="s">
        <v>116</v>
      </c>
      <c r="I4" s="54" t="s">
        <v>149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113</v>
      </c>
      <c r="Q4" s="52" t="s">
        <v>195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119</v>
      </c>
      <c r="AA4" s="52" t="s">
        <v>153</v>
      </c>
    </row>
    <row r="5" spans="1:27" ht="6.75" customHeight="1" x14ac:dyDescent="0.25">
      <c r="A5" s="43">
        <v>5</v>
      </c>
      <c r="B5" s="44" t="s">
        <v>151</v>
      </c>
      <c r="C5" s="45" t="s">
        <v>198</v>
      </c>
      <c r="D5" s="46" t="s">
        <v>114</v>
      </c>
      <c r="E5" s="54" t="s">
        <v>120</v>
      </c>
      <c r="F5" s="46" t="s">
        <v>9</v>
      </c>
      <c r="G5" s="47" t="s">
        <v>9</v>
      </c>
      <c r="H5" s="46" t="s">
        <v>116</v>
      </c>
      <c r="I5" s="54" t="s">
        <v>149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113</v>
      </c>
      <c r="Q5" s="52" t="s">
        <v>195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119</v>
      </c>
      <c r="AA5" s="52" t="s">
        <v>153</v>
      </c>
    </row>
    <row r="6" spans="1:27" ht="6.75" customHeight="1" x14ac:dyDescent="0.25">
      <c r="A6" s="43">
        <v>6</v>
      </c>
      <c r="B6" s="44" t="s">
        <v>121</v>
      </c>
      <c r="C6" s="45" t="s">
        <v>175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116</v>
      </c>
      <c r="I6" s="54" t="s">
        <v>149</v>
      </c>
      <c r="J6" s="46" t="s">
        <v>9</v>
      </c>
      <c r="K6" s="47" t="s">
        <v>9</v>
      </c>
      <c r="L6" s="48" t="s">
        <v>111</v>
      </c>
      <c r="M6" s="49" t="s">
        <v>122</v>
      </c>
      <c r="N6" s="51" t="s">
        <v>9</v>
      </c>
      <c r="O6" s="52" t="s">
        <v>9</v>
      </c>
      <c r="P6" s="51" t="s">
        <v>113</v>
      </c>
      <c r="Q6" s="52" t="s">
        <v>123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119</v>
      </c>
      <c r="AA6" s="52" t="s">
        <v>153</v>
      </c>
    </row>
    <row r="7" spans="1:27" ht="6.75" customHeight="1" x14ac:dyDescent="0.25">
      <c r="A7" s="43">
        <v>7</v>
      </c>
      <c r="B7" s="44" t="s">
        <v>124</v>
      </c>
      <c r="C7" s="45" t="s">
        <v>175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116</v>
      </c>
      <c r="I7" s="54" t="s">
        <v>149</v>
      </c>
      <c r="J7" s="46" t="s">
        <v>9</v>
      </c>
      <c r="K7" s="47" t="s">
        <v>9</v>
      </c>
      <c r="L7" s="48" t="s">
        <v>111</v>
      </c>
      <c r="M7" s="49" t="s">
        <v>125</v>
      </c>
      <c r="N7" s="51" t="s">
        <v>9</v>
      </c>
      <c r="O7" s="52" t="s">
        <v>9</v>
      </c>
      <c r="P7" s="51" t="s">
        <v>113</v>
      </c>
      <c r="Q7" s="52" t="s">
        <v>123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119</v>
      </c>
      <c r="AA7" s="52" t="s">
        <v>153</v>
      </c>
    </row>
    <row r="8" spans="1:27" ht="6.75" customHeight="1" x14ac:dyDescent="0.25">
      <c r="A8" s="43">
        <v>8</v>
      </c>
      <c r="B8" s="44" t="s">
        <v>157</v>
      </c>
      <c r="C8" s="45" t="s">
        <v>154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116</v>
      </c>
      <c r="I8" s="54" t="s">
        <v>121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113</v>
      </c>
      <c r="Q8" s="52" t="s">
        <v>174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119</v>
      </c>
      <c r="AA8" s="52" t="s">
        <v>179</v>
      </c>
    </row>
    <row r="9" spans="1:27" ht="6.75" customHeight="1" x14ac:dyDescent="0.25">
      <c r="A9" s="43">
        <v>9</v>
      </c>
      <c r="B9" s="44" t="s">
        <v>158</v>
      </c>
      <c r="C9" s="45" t="s">
        <v>154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116</v>
      </c>
      <c r="I9" s="54" t="s">
        <v>121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113</v>
      </c>
      <c r="Q9" s="52" t="s">
        <v>174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119</v>
      </c>
      <c r="AA9" s="52" t="s">
        <v>179</v>
      </c>
    </row>
    <row r="10" spans="1:27" ht="6.75" customHeight="1" x14ac:dyDescent="0.25">
      <c r="A10" s="43">
        <v>10</v>
      </c>
      <c r="B10" s="44" t="s">
        <v>159</v>
      </c>
      <c r="C10" s="45" t="s">
        <v>154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116</v>
      </c>
      <c r="I10" s="54" t="s">
        <v>121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113</v>
      </c>
      <c r="Q10" s="52" t="s">
        <v>174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119</v>
      </c>
      <c r="AA10" s="52" t="s">
        <v>179</v>
      </c>
    </row>
    <row r="11" spans="1:27" ht="6.75" customHeight="1" x14ac:dyDescent="0.25">
      <c r="A11" s="43">
        <v>11</v>
      </c>
      <c r="B11" s="44" t="s">
        <v>160</v>
      </c>
      <c r="C11" s="45" t="s">
        <v>154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116</v>
      </c>
      <c r="I11" s="54" t="s">
        <v>121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113</v>
      </c>
      <c r="Q11" s="52" t="s">
        <v>174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119</v>
      </c>
      <c r="AA11" s="52" t="s">
        <v>179</v>
      </c>
    </row>
    <row r="12" spans="1:27" ht="6.75" customHeight="1" x14ac:dyDescent="0.25">
      <c r="A12" s="43">
        <v>12</v>
      </c>
      <c r="B12" s="44" t="s">
        <v>161</v>
      </c>
      <c r="C12" s="45" t="s">
        <v>154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116</v>
      </c>
      <c r="I12" s="54" t="s">
        <v>121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113</v>
      </c>
      <c r="Q12" s="52" t="s">
        <v>174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119</v>
      </c>
      <c r="AA12" s="52" t="s">
        <v>179</v>
      </c>
    </row>
    <row r="13" spans="1:27" ht="6.75" customHeight="1" x14ac:dyDescent="0.25">
      <c r="A13" s="43">
        <v>13</v>
      </c>
      <c r="B13" s="44" t="s">
        <v>162</v>
      </c>
      <c r="C13" s="45" t="s">
        <v>154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116</v>
      </c>
      <c r="I13" s="54" t="s">
        <v>121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113</v>
      </c>
      <c r="Q13" s="52" t="s">
        <v>174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119</v>
      </c>
      <c r="AA13" s="52" t="s">
        <v>179</v>
      </c>
    </row>
    <row r="14" spans="1:27" ht="6.75" customHeight="1" x14ac:dyDescent="0.25">
      <c r="A14" s="43">
        <v>14</v>
      </c>
      <c r="B14" s="44" t="s">
        <v>163</v>
      </c>
      <c r="C14" s="45" t="s">
        <v>154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116</v>
      </c>
      <c r="I14" s="54" t="s">
        <v>121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113</v>
      </c>
      <c r="Q14" s="52" t="s">
        <v>174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119</v>
      </c>
      <c r="AA14" s="52" t="s">
        <v>179</v>
      </c>
    </row>
    <row r="15" spans="1:27" ht="6.75" customHeight="1" x14ac:dyDescent="0.25">
      <c r="A15" s="43">
        <v>15</v>
      </c>
      <c r="B15" s="44" t="s">
        <v>164</v>
      </c>
      <c r="C15" s="45" t="s">
        <v>154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116</v>
      </c>
      <c r="I15" s="54" t="s">
        <v>121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113</v>
      </c>
      <c r="Q15" s="52" t="s">
        <v>174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119</v>
      </c>
      <c r="AA15" s="52" t="s">
        <v>179</v>
      </c>
    </row>
    <row r="16" spans="1:27" ht="6.75" customHeight="1" x14ac:dyDescent="0.25">
      <c r="A16" s="43">
        <v>16</v>
      </c>
      <c r="B16" s="44" t="s">
        <v>165</v>
      </c>
      <c r="C16" s="45" t="s">
        <v>154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116</v>
      </c>
      <c r="I16" s="54" t="s">
        <v>124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113</v>
      </c>
      <c r="Q16" s="52" t="s">
        <v>173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119</v>
      </c>
      <c r="AA16" s="52" t="s">
        <v>179</v>
      </c>
    </row>
    <row r="17" spans="1:27" ht="6.75" customHeight="1" x14ac:dyDescent="0.25">
      <c r="A17" s="43">
        <v>17</v>
      </c>
      <c r="B17" s="44" t="s">
        <v>166</v>
      </c>
      <c r="C17" s="45" t="s">
        <v>154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116</v>
      </c>
      <c r="I17" s="54" t="s">
        <v>124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113</v>
      </c>
      <c r="Q17" s="52" t="s">
        <v>173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119</v>
      </c>
      <c r="AA17" s="52" t="s">
        <v>179</v>
      </c>
    </row>
    <row r="18" spans="1:27" ht="6.75" customHeight="1" x14ac:dyDescent="0.25">
      <c r="A18" s="43">
        <v>18</v>
      </c>
      <c r="B18" s="44" t="s">
        <v>167</v>
      </c>
      <c r="C18" s="45" t="s">
        <v>154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116</v>
      </c>
      <c r="I18" s="54" t="s">
        <v>124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113</v>
      </c>
      <c r="Q18" s="52" t="s">
        <v>173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119</v>
      </c>
      <c r="AA18" s="52" t="s">
        <v>179</v>
      </c>
    </row>
    <row r="19" spans="1:27" ht="6.75" customHeight="1" x14ac:dyDescent="0.25">
      <c r="A19" s="43">
        <v>19</v>
      </c>
      <c r="B19" s="44" t="s">
        <v>168</v>
      </c>
      <c r="C19" s="45" t="s">
        <v>154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116</v>
      </c>
      <c r="I19" s="54" t="s">
        <v>124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113</v>
      </c>
      <c r="Q19" s="52" t="s">
        <v>173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119</v>
      </c>
      <c r="AA19" s="52" t="s">
        <v>179</v>
      </c>
    </row>
    <row r="20" spans="1:27" ht="6.75" customHeight="1" x14ac:dyDescent="0.25">
      <c r="A20" s="43">
        <v>20</v>
      </c>
      <c r="B20" s="44" t="s">
        <v>169</v>
      </c>
      <c r="C20" s="45" t="s">
        <v>154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116</v>
      </c>
      <c r="I20" s="54" t="s">
        <v>124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113</v>
      </c>
      <c r="Q20" s="52" t="s">
        <v>173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119</v>
      </c>
      <c r="AA20" s="52" t="s">
        <v>179</v>
      </c>
    </row>
    <row r="21" spans="1:27" ht="6.75" customHeight="1" x14ac:dyDescent="0.25">
      <c r="A21" s="43">
        <v>21</v>
      </c>
      <c r="B21" s="44" t="s">
        <v>170</v>
      </c>
      <c r="C21" s="45" t="s">
        <v>154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116</v>
      </c>
      <c r="I21" s="54" t="s">
        <v>124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113</v>
      </c>
      <c r="Q21" s="52" t="s">
        <v>173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119</v>
      </c>
      <c r="AA21" s="52" t="s">
        <v>179</v>
      </c>
    </row>
    <row r="22" spans="1:27" ht="6.75" customHeight="1" x14ac:dyDescent="0.25">
      <c r="A22" s="43">
        <v>22</v>
      </c>
      <c r="B22" s="44" t="s">
        <v>171</v>
      </c>
      <c r="C22" s="45" t="s">
        <v>154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116</v>
      </c>
      <c r="I22" s="54" t="s">
        <v>124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113</v>
      </c>
      <c r="Q22" s="52" t="s">
        <v>173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119</v>
      </c>
      <c r="AA22" s="52" t="s">
        <v>179</v>
      </c>
    </row>
    <row r="23" spans="1:27" ht="6.75" customHeight="1" x14ac:dyDescent="0.25">
      <c r="A23" s="43">
        <v>23</v>
      </c>
      <c r="B23" s="44" t="s">
        <v>172</v>
      </c>
      <c r="C23" s="45" t="s">
        <v>154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116</v>
      </c>
      <c r="I23" s="54" t="s">
        <v>124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113</v>
      </c>
      <c r="Q23" s="52" t="s">
        <v>173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119</v>
      </c>
      <c r="AA23" s="52" t="s">
        <v>179</v>
      </c>
    </row>
    <row r="24" spans="1:27" ht="6.75" customHeight="1" x14ac:dyDescent="0.25">
      <c r="A24" s="43">
        <v>24</v>
      </c>
      <c r="B24" s="44" t="s">
        <v>133</v>
      </c>
      <c r="C24" s="45" t="s">
        <v>84</v>
      </c>
      <c r="D24" s="46" t="s">
        <v>134</v>
      </c>
      <c r="E24" s="54" t="s">
        <v>126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113</v>
      </c>
      <c r="Q24" s="52" t="s">
        <v>135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119</v>
      </c>
      <c r="AA24" s="52" t="s">
        <v>188</v>
      </c>
    </row>
    <row r="25" spans="1:27" ht="6.75" customHeight="1" x14ac:dyDescent="0.25">
      <c r="A25" s="43">
        <v>25</v>
      </c>
      <c r="B25" s="44" t="s">
        <v>136</v>
      </c>
      <c r="C25" s="45" t="s">
        <v>84</v>
      </c>
      <c r="D25" s="46" t="s">
        <v>134</v>
      </c>
      <c r="E25" s="54" t="s">
        <v>126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113</v>
      </c>
      <c r="Q25" s="52" t="s">
        <v>135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119</v>
      </c>
      <c r="AA25" s="52" t="s">
        <v>188</v>
      </c>
    </row>
    <row r="26" spans="1:27" ht="6.75" customHeight="1" x14ac:dyDescent="0.25">
      <c r="A26" s="43">
        <v>26</v>
      </c>
      <c r="B26" s="44" t="s">
        <v>115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116</v>
      </c>
      <c r="I26" s="54" t="s">
        <v>150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113</v>
      </c>
      <c r="Q26" s="52" t="s">
        <v>137</v>
      </c>
      <c r="R26" s="48" t="s">
        <v>9</v>
      </c>
      <c r="S26" s="50" t="s">
        <v>9</v>
      </c>
      <c r="T26" s="48" t="s">
        <v>138</v>
      </c>
      <c r="U26" s="56" t="s">
        <v>139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119</v>
      </c>
      <c r="AA26" s="52" t="s">
        <v>152</v>
      </c>
    </row>
    <row r="27" spans="1:27" ht="6.75" customHeight="1" x14ac:dyDescent="0.25">
      <c r="A27" s="43">
        <v>27</v>
      </c>
      <c r="B27" s="44" t="s">
        <v>120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116</v>
      </c>
      <c r="I27" s="54" t="s">
        <v>151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113</v>
      </c>
      <c r="Q27" s="52" t="s">
        <v>137</v>
      </c>
      <c r="R27" s="48" t="s">
        <v>9</v>
      </c>
      <c r="S27" s="50" t="s">
        <v>9</v>
      </c>
      <c r="T27" s="48" t="s">
        <v>138</v>
      </c>
      <c r="U27" s="56" t="s">
        <v>140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119</v>
      </c>
      <c r="AA27" s="52" t="s">
        <v>152</v>
      </c>
    </row>
    <row r="28" spans="1:27" ht="6.75" customHeight="1" x14ac:dyDescent="0.25">
      <c r="A28" s="43">
        <v>28</v>
      </c>
      <c r="B28" s="44" t="s">
        <v>141</v>
      </c>
      <c r="C28" s="45" t="s">
        <v>185</v>
      </c>
      <c r="D28" s="46" t="s">
        <v>142</v>
      </c>
      <c r="E28" s="54" t="s">
        <v>126</v>
      </c>
      <c r="F28" s="46" t="s">
        <v>143</v>
      </c>
      <c r="G28" s="54" t="s">
        <v>133</v>
      </c>
      <c r="H28" s="46" t="s">
        <v>116</v>
      </c>
      <c r="I28" s="47" t="s">
        <v>121</v>
      </c>
      <c r="J28" s="46" t="s">
        <v>114</v>
      </c>
      <c r="K28" s="47" t="s">
        <v>115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113</v>
      </c>
      <c r="Q28" s="52" t="s">
        <v>144</v>
      </c>
      <c r="R28" s="51" t="s">
        <v>145</v>
      </c>
      <c r="S28" s="52" t="s">
        <v>146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25">
      <c r="A29" s="43">
        <v>29</v>
      </c>
      <c r="B29" s="44" t="s">
        <v>147</v>
      </c>
      <c r="C29" s="45" t="s">
        <v>185</v>
      </c>
      <c r="D29" s="46" t="s">
        <v>142</v>
      </c>
      <c r="E29" s="54" t="s">
        <v>126</v>
      </c>
      <c r="F29" s="46" t="s">
        <v>143</v>
      </c>
      <c r="G29" s="54" t="s">
        <v>136</v>
      </c>
      <c r="H29" s="46" t="s">
        <v>116</v>
      </c>
      <c r="I29" s="47" t="s">
        <v>124</v>
      </c>
      <c r="J29" s="46" t="s">
        <v>114</v>
      </c>
      <c r="K29" s="47" t="s">
        <v>120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113</v>
      </c>
      <c r="Q29" s="52" t="s">
        <v>144</v>
      </c>
      <c r="R29" s="51" t="s">
        <v>145</v>
      </c>
      <c r="S29" s="52" t="s">
        <v>148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2026-08-19T18:05:56Z</dcterms:modified>
</cp:coreProperties>
</file>