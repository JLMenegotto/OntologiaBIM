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strutor_Onto\GEOT\"/>
    </mc:Choice>
  </mc:AlternateContent>
  <xr:revisionPtr revIDLastSave="0" documentId="13_ncr:1_{387DE0A7-84EB-4C23-B03C-153F0430814B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30" r:id="rId2"/>
    <sheet name="Disjunt" sheetId="3" r:id="rId3"/>
    <sheet name="FatosIn" sheetId="28" r:id="rId4"/>
    <sheet name="Interop" sheetId="16" r:id="rId5"/>
  </sheets>
  <definedNames>
    <definedName name="_xlnm._FilterDatabase" localSheetId="1" hidden="1">Classes!$A$1:$AA$1</definedName>
    <definedName name="_xlnm._FilterDatabase" localSheetId="4" hidden="1">Interop!$B$1:$B$2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0" l="1"/>
  <c r="W3" i="30"/>
  <c r="W4" i="30"/>
  <c r="W5" i="30"/>
  <c r="W6" i="30"/>
  <c r="U6" i="30"/>
  <c r="T6" i="30"/>
  <c r="S6" i="30"/>
  <c r="O6" i="30"/>
  <c r="N6" i="30"/>
  <c r="M6" i="30"/>
  <c r="L6" i="30"/>
  <c r="U5" i="30"/>
  <c r="T5" i="30"/>
  <c r="S5" i="30"/>
  <c r="O5" i="30"/>
  <c r="N5" i="30"/>
  <c r="M5" i="30"/>
  <c r="L5" i="30"/>
  <c r="U4" i="30"/>
  <c r="T4" i="30"/>
  <c r="S4" i="30"/>
  <c r="O4" i="30"/>
  <c r="N4" i="30"/>
  <c r="M4" i="30"/>
  <c r="L4" i="30"/>
  <c r="U3" i="30"/>
  <c r="T3" i="30"/>
  <c r="S3" i="30"/>
  <c r="O3" i="30"/>
  <c r="N3" i="30"/>
  <c r="M3" i="30"/>
  <c r="L3" i="30"/>
  <c r="U2" i="30"/>
  <c r="T2" i="30"/>
  <c r="S2" i="30"/>
  <c r="O2" i="30"/>
  <c r="N2" i="30"/>
  <c r="M2" i="30"/>
  <c r="L2" i="30"/>
  <c r="AA6" i="30"/>
  <c r="AA5" i="30"/>
  <c r="AA4" i="30"/>
  <c r="AA3" i="30"/>
  <c r="AA2" i="30"/>
  <c r="W8" i="30" l="1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0" i="30"/>
  <c r="W41" i="30"/>
  <c r="W42" i="30"/>
  <c r="W43" i="30"/>
  <c r="W44" i="30"/>
  <c r="W45" i="30"/>
  <c r="W46" i="30"/>
  <c r="W47" i="30"/>
  <c r="W48" i="30"/>
  <c r="W49" i="30"/>
  <c r="W50" i="30"/>
  <c r="W51" i="30"/>
  <c r="W52" i="30"/>
  <c r="W53" i="30"/>
  <c r="W54" i="30"/>
  <c r="W55" i="30"/>
  <c r="W56" i="30"/>
  <c r="W7" i="30" l="1"/>
  <c r="S8" i="30"/>
  <c r="T8" i="30"/>
  <c r="U8" i="30"/>
  <c r="S9" i="30"/>
  <c r="T9" i="30"/>
  <c r="U9" i="30"/>
  <c r="S10" i="30"/>
  <c r="T10" i="30"/>
  <c r="U10" i="30"/>
  <c r="S11" i="30"/>
  <c r="T11" i="30"/>
  <c r="U11" i="30"/>
  <c r="S12" i="30"/>
  <c r="T12" i="30"/>
  <c r="U12" i="30"/>
  <c r="S13" i="30"/>
  <c r="T13" i="30"/>
  <c r="U13" i="30"/>
  <c r="S14" i="30"/>
  <c r="T14" i="30"/>
  <c r="U14" i="30"/>
  <c r="S15" i="30"/>
  <c r="T15" i="30"/>
  <c r="U15" i="30"/>
  <c r="S16" i="30"/>
  <c r="T16" i="30"/>
  <c r="U16" i="30"/>
  <c r="S17" i="30"/>
  <c r="T17" i="30"/>
  <c r="U17" i="30"/>
  <c r="S18" i="30"/>
  <c r="T18" i="30"/>
  <c r="U18" i="30"/>
  <c r="S19" i="30"/>
  <c r="T19" i="30"/>
  <c r="U19" i="30"/>
  <c r="S20" i="30"/>
  <c r="T20" i="30"/>
  <c r="U20" i="30"/>
  <c r="S21" i="30"/>
  <c r="T21" i="30"/>
  <c r="U21" i="30"/>
  <c r="S22" i="30"/>
  <c r="T22" i="30"/>
  <c r="U22" i="30"/>
  <c r="S23" i="30"/>
  <c r="T23" i="30"/>
  <c r="U23" i="30"/>
  <c r="S24" i="30"/>
  <c r="T24" i="30"/>
  <c r="U24" i="30"/>
  <c r="S25" i="30"/>
  <c r="T25" i="30"/>
  <c r="U25" i="30"/>
  <c r="S26" i="30"/>
  <c r="T26" i="30"/>
  <c r="U26" i="30"/>
  <c r="S27" i="30"/>
  <c r="T27" i="30"/>
  <c r="U27" i="30"/>
  <c r="S28" i="30"/>
  <c r="T28" i="30"/>
  <c r="U28" i="30"/>
  <c r="S29" i="30"/>
  <c r="T29" i="30"/>
  <c r="U29" i="30"/>
  <c r="S30" i="30"/>
  <c r="T30" i="30"/>
  <c r="U30" i="30"/>
  <c r="S31" i="30"/>
  <c r="T31" i="30"/>
  <c r="U31" i="30"/>
  <c r="S32" i="30"/>
  <c r="T32" i="30"/>
  <c r="U32" i="30"/>
  <c r="S33" i="30"/>
  <c r="T33" i="30"/>
  <c r="U33" i="30"/>
  <c r="S34" i="30"/>
  <c r="T34" i="30"/>
  <c r="U34" i="30"/>
  <c r="S35" i="30"/>
  <c r="T35" i="30"/>
  <c r="U35" i="30"/>
  <c r="S36" i="30"/>
  <c r="T36" i="30"/>
  <c r="U36" i="30"/>
  <c r="S37" i="30"/>
  <c r="T37" i="30"/>
  <c r="U37" i="30"/>
  <c r="S38" i="30"/>
  <c r="T38" i="30"/>
  <c r="U38" i="30"/>
  <c r="S39" i="30"/>
  <c r="T39" i="30"/>
  <c r="U39" i="30"/>
  <c r="S40" i="30"/>
  <c r="T40" i="30"/>
  <c r="U40" i="30"/>
  <c r="S41" i="30"/>
  <c r="T41" i="30"/>
  <c r="U41" i="30"/>
  <c r="S42" i="30"/>
  <c r="T42" i="30"/>
  <c r="U42" i="30"/>
  <c r="S43" i="30"/>
  <c r="T43" i="30"/>
  <c r="U43" i="30"/>
  <c r="S44" i="30"/>
  <c r="T44" i="30"/>
  <c r="U44" i="30"/>
  <c r="S45" i="30"/>
  <c r="T45" i="30"/>
  <c r="U45" i="30"/>
  <c r="S46" i="30"/>
  <c r="T46" i="30"/>
  <c r="U46" i="30"/>
  <c r="S47" i="30"/>
  <c r="T47" i="30"/>
  <c r="U47" i="30"/>
  <c r="S48" i="30"/>
  <c r="T48" i="30"/>
  <c r="U48" i="30"/>
  <c r="S49" i="30"/>
  <c r="T49" i="30"/>
  <c r="U49" i="30"/>
  <c r="S50" i="30"/>
  <c r="T50" i="30"/>
  <c r="U50" i="30"/>
  <c r="S51" i="30"/>
  <c r="T51" i="30"/>
  <c r="U51" i="30"/>
  <c r="S52" i="30"/>
  <c r="T52" i="30"/>
  <c r="U52" i="30"/>
  <c r="S53" i="30"/>
  <c r="T53" i="30"/>
  <c r="U53" i="30"/>
  <c r="S54" i="30"/>
  <c r="T54" i="30"/>
  <c r="U54" i="30"/>
  <c r="S55" i="30"/>
  <c r="T55" i="30"/>
  <c r="U55" i="30"/>
  <c r="S56" i="30"/>
  <c r="T56" i="30"/>
  <c r="U56" i="30"/>
  <c r="L8" i="30"/>
  <c r="M8" i="30"/>
  <c r="N8" i="30"/>
  <c r="O8" i="30"/>
  <c r="L9" i="30"/>
  <c r="M9" i="30"/>
  <c r="N9" i="30"/>
  <c r="O9" i="30"/>
  <c r="L10" i="30"/>
  <c r="M10" i="30"/>
  <c r="N10" i="30"/>
  <c r="O10" i="30"/>
  <c r="L11" i="30"/>
  <c r="M11" i="30"/>
  <c r="N11" i="30"/>
  <c r="O11" i="30"/>
  <c r="L12" i="30"/>
  <c r="M12" i="30"/>
  <c r="N12" i="30"/>
  <c r="O12" i="30"/>
  <c r="L13" i="30"/>
  <c r="M13" i="30"/>
  <c r="N13" i="30"/>
  <c r="O13" i="30"/>
  <c r="L14" i="30"/>
  <c r="M14" i="30"/>
  <c r="N14" i="30"/>
  <c r="O14" i="30"/>
  <c r="L15" i="30"/>
  <c r="M15" i="30"/>
  <c r="N15" i="30"/>
  <c r="O15" i="30"/>
  <c r="L16" i="30"/>
  <c r="M16" i="30"/>
  <c r="N16" i="30"/>
  <c r="O16" i="30"/>
  <c r="L17" i="30"/>
  <c r="M17" i="30"/>
  <c r="N17" i="30"/>
  <c r="O17" i="30"/>
  <c r="L18" i="30"/>
  <c r="M18" i="30"/>
  <c r="N18" i="30"/>
  <c r="O18" i="30"/>
  <c r="L19" i="30"/>
  <c r="M19" i="30"/>
  <c r="N19" i="30"/>
  <c r="O19" i="30"/>
  <c r="L20" i="30"/>
  <c r="M20" i="30"/>
  <c r="N20" i="30"/>
  <c r="O20" i="30"/>
  <c r="L21" i="30"/>
  <c r="M21" i="30"/>
  <c r="N21" i="30"/>
  <c r="O21" i="30"/>
  <c r="L22" i="30"/>
  <c r="M22" i="30"/>
  <c r="N22" i="30"/>
  <c r="O22" i="30"/>
  <c r="L23" i="30"/>
  <c r="M23" i="30"/>
  <c r="N23" i="30"/>
  <c r="O23" i="30"/>
  <c r="L24" i="30"/>
  <c r="M24" i="30"/>
  <c r="N24" i="30"/>
  <c r="O24" i="30"/>
  <c r="L25" i="30"/>
  <c r="M25" i="30"/>
  <c r="N25" i="30"/>
  <c r="O25" i="30"/>
  <c r="L26" i="30"/>
  <c r="M26" i="30"/>
  <c r="N26" i="30"/>
  <c r="O26" i="30"/>
  <c r="L27" i="30"/>
  <c r="M27" i="30"/>
  <c r="N27" i="30"/>
  <c r="O27" i="30"/>
  <c r="L28" i="30"/>
  <c r="M28" i="30"/>
  <c r="N28" i="30"/>
  <c r="O28" i="30"/>
  <c r="L29" i="30"/>
  <c r="M29" i="30"/>
  <c r="N29" i="30"/>
  <c r="O29" i="30"/>
  <c r="L30" i="30"/>
  <c r="M30" i="30"/>
  <c r="N30" i="30"/>
  <c r="O30" i="30"/>
  <c r="L31" i="30"/>
  <c r="M31" i="30"/>
  <c r="N31" i="30"/>
  <c r="O31" i="30"/>
  <c r="L32" i="30"/>
  <c r="M32" i="30"/>
  <c r="N32" i="30"/>
  <c r="O32" i="30"/>
  <c r="L33" i="30"/>
  <c r="M33" i="30"/>
  <c r="N33" i="30"/>
  <c r="O33" i="30"/>
  <c r="L34" i="30"/>
  <c r="M34" i="30"/>
  <c r="N34" i="30"/>
  <c r="O34" i="30"/>
  <c r="L35" i="30"/>
  <c r="M35" i="30"/>
  <c r="N35" i="30"/>
  <c r="O35" i="30"/>
  <c r="L36" i="30"/>
  <c r="M36" i="30"/>
  <c r="N36" i="30"/>
  <c r="O36" i="30"/>
  <c r="L37" i="30"/>
  <c r="M37" i="30"/>
  <c r="N37" i="30"/>
  <c r="O37" i="30"/>
  <c r="L38" i="30"/>
  <c r="M38" i="30"/>
  <c r="N38" i="30"/>
  <c r="O38" i="30"/>
  <c r="L39" i="30"/>
  <c r="M39" i="30"/>
  <c r="N39" i="30"/>
  <c r="O39" i="30"/>
  <c r="L40" i="30"/>
  <c r="M40" i="30"/>
  <c r="N40" i="30"/>
  <c r="O40" i="30"/>
  <c r="L41" i="30"/>
  <c r="M41" i="30"/>
  <c r="N41" i="30"/>
  <c r="O41" i="30"/>
  <c r="L42" i="30"/>
  <c r="M42" i="30"/>
  <c r="N42" i="30"/>
  <c r="O42" i="30"/>
  <c r="L43" i="30"/>
  <c r="M43" i="30"/>
  <c r="N43" i="30"/>
  <c r="O43" i="30"/>
  <c r="L44" i="30"/>
  <c r="M44" i="30"/>
  <c r="N44" i="30"/>
  <c r="O44" i="30"/>
  <c r="L45" i="30"/>
  <c r="M45" i="30"/>
  <c r="N45" i="30"/>
  <c r="O45" i="30"/>
  <c r="L46" i="30"/>
  <c r="M46" i="30"/>
  <c r="N46" i="30"/>
  <c r="O46" i="30"/>
  <c r="L47" i="30"/>
  <c r="M47" i="30"/>
  <c r="N47" i="30"/>
  <c r="O47" i="30"/>
  <c r="L48" i="30"/>
  <c r="M48" i="30"/>
  <c r="N48" i="30"/>
  <c r="O48" i="30"/>
  <c r="L49" i="30"/>
  <c r="M49" i="30"/>
  <c r="N49" i="30"/>
  <c r="O49" i="30"/>
  <c r="L50" i="30"/>
  <c r="M50" i="30"/>
  <c r="N50" i="30"/>
  <c r="O50" i="30"/>
  <c r="L51" i="30"/>
  <c r="M51" i="30"/>
  <c r="N51" i="30"/>
  <c r="O51" i="30"/>
  <c r="L52" i="30"/>
  <c r="M52" i="30"/>
  <c r="N52" i="30"/>
  <c r="O52" i="30"/>
  <c r="L53" i="30"/>
  <c r="M53" i="30"/>
  <c r="N53" i="30"/>
  <c r="O53" i="30"/>
  <c r="L54" i="30"/>
  <c r="M54" i="30"/>
  <c r="N54" i="30"/>
  <c r="O54" i="30"/>
  <c r="L55" i="30"/>
  <c r="M55" i="30"/>
  <c r="N55" i="30"/>
  <c r="O55" i="30"/>
  <c r="L56" i="30"/>
  <c r="M56" i="30"/>
  <c r="N56" i="30"/>
  <c r="O56" i="30"/>
  <c r="O7" i="30" l="1"/>
  <c r="N7" i="30"/>
  <c r="M7" i="30"/>
  <c r="L7" i="30"/>
  <c r="U7" i="30"/>
  <c r="T7" i="30"/>
  <c r="S7" i="30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<sst xmlns="http://schemas.openxmlformats.org/spreadsheetml/2006/main" count="1184" uniqueCount="396">
  <si>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</si>
  <si>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</si>
  <si>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</si>
  <si>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</si>
  <si>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</si>
  <si>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</si>
  <si>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</si>
  <si>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</si>
  <si>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</si>
  <si>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</si>
  <si>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</si>
  <si>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</si>
  <si>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</si>
  <si>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</si>
  <si>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</si>
  <si>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</si>
  <si>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</si>
  <si>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</si>
  <si>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</si>
  <si>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</si>
  <si>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</si>
  <si>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</si>
  <si>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</si>
  <si>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</si>
  <si>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</si>
  <si>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</si>
  <si>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</si>
  <si>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</si>
  <si>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</si>
  <si>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</si>
  <si>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</si>
  <si>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</si>
  <si>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</si>
  <si>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</si>
  <si>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</si>
  <si>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</si>
  <si>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</si>
  <si>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</si>
  <si>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</si>
  <si>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</si>
  <si>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</si>
  <si>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</si>
  <si>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</si>
  <si>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</si>
  <si>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</si>
  <si>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</si>
  <si>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</si>
  <si>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</si>
  <si>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</si>
  <si>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</si>
  <si>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</si>
  <si>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</si>
  <si>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</si>
  <si>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</si>
  <si>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</si>
  <si>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</si>
  <si>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</si>
  <si>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</si>
  <si>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</si>
  <si>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</si>
  <si>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</si>
  <si>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</si>
  <si>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</si>
  <si>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</si>
  <si>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</si>
  <si>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</si>
  <si>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</si>
  <si>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</si>
  <si>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</si>
  <si>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</si>
  <si>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</si>
  <si>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</si>
  <si>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</si>
  <si>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0-Classe Ifc</t>
  </si>
  <si>
    <t>0-Categoria Equivalente</t>
  </si>
  <si>
    <t>0-CategoriaEquivalente</t>
  </si>
  <si>
    <t>Anotações 
de ajuda
Classe 4</t>
  </si>
  <si>
    <t>Interop.</t>
  </si>
  <si>
    <t>Informação</t>
  </si>
  <si>
    <t>Contêiner</t>
  </si>
  <si>
    <t>descrição</t>
  </si>
  <si>
    <t>CategoriaRvt</t>
  </si>
  <si>
    <t>Estacionamento</t>
  </si>
  <si>
    <t>00Super
Class
5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</si>
  <si>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</si>
  <si>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</si>
  <si>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</si>
  <si>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</si>
  <si>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</si>
  <si>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</si>
  <si>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</si>
  <si>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</si>
  <si>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Aviso</t>
  </si>
  <si>
    <t xml:space="preserve">Traduções ao espanhol e ao inglês incorporadas - As traduções devem ser constantemente revisadas </t>
  </si>
  <si>
    <t>Alert</t>
  </si>
  <si>
    <t>Advertência</t>
  </si>
  <si>
    <t>Topografia</t>
  </si>
  <si>
    <t>Representação do conceito de um modelo geológico e geotécnico linear.</t>
  </si>
  <si>
    <t>Representación del concepto de modelo geológico y geotécnico lineal.</t>
  </si>
  <si>
    <t>O vazio resultante da modificação do terreno existente ou da estrutura da estrada por escavação.</t>
  </si>
  <si>
    <t>Escavação para caves de edifícios, encontros de pontes ou estruturas semelhantes, quer parcialmente.</t>
  </si>
  <si>
    <t>Escavação onde solo ou rocha abaixo do solo superficial é cortado na profundidade necessária.</t>
  </si>
  <si>
    <t>Escavação subaquática para recuperar material ou para criar uma maior profundidade de água.</t>
  </si>
  <si>
    <t>Tipo geral de escavação quando o tipo mais preciso não é especificado.</t>
  </si>
  <si>
    <t>Tipo general de excavación cuando no se especifica el tipo más preciso.</t>
  </si>
  <si>
    <t>Escavação que vai além da profundidade necessária para a construção, para substituir o material.</t>
  </si>
  <si>
    <t>Remoção de material caduco do topo do pavimento para ser substituído por novo material.</t>
  </si>
  <si>
    <t>Remoção da parte mais suave da encosta da estrada, realizada em passos, durante a ampliação de uma estrada.</t>
  </si>
  <si>
    <t>Escavação onde a camada superficial de solo contendo material orgânico é removida.</t>
  </si>
  <si>
    <t>Escavação cujo comprimento excede muito a profundidade e largura.</t>
  </si>
  <si>
    <t>Tipo de elemento construído criado por atividades de terraplenagem para construir subleito.</t>
  </si>
  <si>
    <t>Type of built element created by earthmoving activities to construct subgrade.</t>
  </si>
  <si>
    <t>Tipo de elemento de terraplenagem criado por atividades de terraplenagem para construir subleito.</t>
  </si>
  <si>
    <t>Preenchimento atrás de paredes de contenção ou de outras estruturas, como cais, atrás dos suportes.</t>
  </si>
  <si>
    <t>Aterros construídos ao lado da estrutura rodoviária principal para reduzir a ocupação da estrada.</t>
  </si>
  <si>
    <t>Tipo predominantemente longitudinal de elemento de terraplenagem, sem nenhum outro tipo específico.</t>
  </si>
  <si>
    <t>Side inclinação (massa) que preenche a estrutura da rodovia ou o preenchimento da inclinação.</t>
  </si>
  <si>
    <t>Elemento de terra que da sustentação a estrutura abaixo do pavimento e acima do solo natural.</t>
  </si>
  <si>
    <t>Parte superior do solo, natural ou construído, que suporta as cargas transmitidas pela estrutura.</t>
  </si>
  <si>
    <t>Seção de subleito para garantir a consistência da rigidez e evitar recalques irregulares.</t>
  </si>
  <si>
    <t>Paisagismo</t>
  </si>
  <si>
    <t>É a generalização de todos os elementos dentro de uma paisagem geográfica.</t>
  </si>
  <si>
    <t>Ponto de sondagem no solo.</t>
  </si>
  <si>
    <t>Punto de sondeo en tierra.</t>
  </si>
  <si>
    <t>Elemento do terreno.</t>
  </si>
  <si>
    <t>Elemento de terreno.</t>
  </si>
  <si>
    <t>Vida vegetal ou cobertura vegetal (de uma área).</t>
  </si>
  <si>
    <t>Plant life or vegetation cover (of an area).</t>
  </si>
  <si>
    <t>Representação do conceito discreto de um elemento geológico preenchido de ar, incluindo cavernas.</t>
  </si>
  <si>
    <t>Compactação</t>
  </si>
  <si>
    <t>Solo reforçado ou estabilizado por algum método mecânico ou químico.</t>
  </si>
  <si>
    <t>Suelo reforzado o estabilizado por algún método mecánico o químico.</t>
  </si>
  <si>
    <t>O método de uso de máquina de compactação dinâmica geralmente com martelo de queda a altura.</t>
  </si>
  <si>
    <t>Método de injeção de pasta curável em rachaduras ou poros de uma fundação geotécnica para melhora.</t>
  </si>
  <si>
    <t>Cave o solo macio numa determinada faixa abaixo do solo da fundação e então preencha a área.</t>
  </si>
  <si>
    <t>Tipo de método de compactação que adota máquinas de rolamento.</t>
  </si>
  <si>
    <t>Elementos de estacionamento.</t>
  </si>
  <si>
    <t>Divisa do lote no terreno.</t>
  </si>
  <si>
    <t>Boundary of the lot on the land.</t>
  </si>
  <si>
    <t>Divisa do lote no terreno: segmentos.</t>
  </si>
  <si>
    <t>Região do lote.</t>
  </si>
  <si>
    <t>Región del lote.</t>
  </si>
  <si>
    <t>Superfície do lote.</t>
  </si>
  <si>
    <t>GeoTécnico</t>
  </si>
  <si>
    <t>ClasseIFC</t>
  </si>
  <si>
    <t>[ 3E ]</t>
  </si>
  <si>
    <t>[ OST_Entourage ]</t>
  </si>
  <si>
    <t>[ OST_Planting ]</t>
  </si>
  <si>
    <t>Vegetação</t>
  </si>
  <si>
    <t>[ OST_ToposolidStructure ]</t>
  </si>
  <si>
    <t>[ OST_ToposolidOpening ]</t>
  </si>
  <si>
    <t>Ponto.Interno</t>
  </si>
  <si>
    <t>Pontos cotados altimétricos posicionados no interior do terreno.</t>
  </si>
  <si>
    <t>Ponto.Perimetral</t>
  </si>
  <si>
    <t>Pontos cotados altimétricos posicionados na perimetral do terreno.</t>
  </si>
  <si>
    <t>Sólido tridimensional do terreno. Modelos de Revit acima de 2024 utilizam modelos de terreno sólido, embora ainda mantenha o esquema de malha de terreno.</t>
  </si>
  <si>
    <t>Maha tridimensional do terreno. Modelos de Revit anteriores a 2024 utilizam modelos de terreno de superfície.</t>
  </si>
  <si>
    <t>Sólido tridimensional do terreno: camada núcleo.</t>
  </si>
  <si>
    <t>Sólido tridimensional do terreno: camada substrato.</t>
  </si>
  <si>
    <t>Sólido tridimensional del terreno: capa de sustrato.</t>
  </si>
  <si>
    <t>Sólido tridimensional do terreno: camada membrana.</t>
  </si>
  <si>
    <t>Sólido tridimensional del terreno: capa de membrana.</t>
  </si>
  <si>
    <t>Sólido tridimensional do terreno: camada isolamento.</t>
  </si>
  <si>
    <t>Terreno sólido tridimensional: capa de aislamiento.</t>
  </si>
  <si>
    <t>Sólido tridimensional do terreno: camada superficial.</t>
  </si>
  <si>
    <t>Sólido tridimensional del terreno: capa superficial.</t>
  </si>
  <si>
    <t>Curvas.de.Nível</t>
  </si>
  <si>
    <t>Curva de nível mestras de 10 metros.</t>
  </si>
  <si>
    <t>Curva de nivel de 10 metros.</t>
  </si>
  <si>
    <t>Curva de nível mestras de 5 metros.</t>
  </si>
  <si>
    <t>Curva de nivel de 5 metros.</t>
  </si>
  <si>
    <t>Curva de nível de 1 metro.</t>
  </si>
  <si>
    <t>Curva de nivel de 1 metro.</t>
  </si>
  <si>
    <t>Sondagens</t>
  </si>
  <si>
    <t>[ IfcGeographicElement ]</t>
  </si>
  <si>
    <t>[ IfcGeomodel ]</t>
  </si>
  <si>
    <t>[ IfcGeoslice ]</t>
  </si>
  <si>
    <t>[ OST_SitePoint ]</t>
  </si>
  <si>
    <t>[ OST_Toposolid ]</t>
  </si>
  <si>
    <t>[ OST_ToposolidMembrane ]</t>
  </si>
  <si>
    <t>[ OST_Topography ]</t>
  </si>
  <si>
    <t>[ OST_SitePointBoundary ]</t>
  </si>
  <si>
    <t>[ OST_ToposolidSubstrate ]</t>
  </si>
  <si>
    <t>[ OST_ToposolidInsulation ]</t>
  </si>
  <si>
    <t>[ OST_ToposolidFinish1 , OST_ToposolidFinish2 ]</t>
  </si>
  <si>
    <t>Elementos.Altimétricos</t>
  </si>
  <si>
    <t>Elementos.Paisagísticos</t>
  </si>
  <si>
    <t>[ OST_Parking ]</t>
  </si>
  <si>
    <t>[ OST_ToposolidSecondaryContours ,  OST_SecondaryTopographyContours  ]</t>
  </si>
  <si>
    <t>[ OST_ToposolidContours , OST_TopographyContours ]</t>
  </si>
  <si>
    <t>Curva.de.10</t>
  </si>
  <si>
    <t>Curva.de.05</t>
  </si>
  <si>
    <t>Curva.de.01</t>
  </si>
  <si>
    <t>[ IfcGeographicElementTERRAIN ]</t>
  </si>
  <si>
    <t>[ IfcGeographicElementVEGETATION ]</t>
  </si>
  <si>
    <t>[ IfcGeotechnicalStratumSOLID ]</t>
  </si>
  <si>
    <t>Sólido tridimensional do terreno: camada superficial de água.</t>
  </si>
  <si>
    <t>Sólido tridimensional del terreno: capa superficial de agua.</t>
  </si>
  <si>
    <t>[ IfcGeotechnicalStratumWATER ]</t>
  </si>
  <si>
    <t>[ IfcGeotechnicalStratumVOID ]</t>
  </si>
  <si>
    <t>Topografia.Sólida</t>
  </si>
  <si>
    <t>Topografia.Malha</t>
  </si>
  <si>
    <t>Topografia.Sólida.Núcleo</t>
  </si>
  <si>
    <t>Topografia.Sólida.Substrato</t>
  </si>
  <si>
    <t>Topografia.Sólida.Isolamento</t>
  </si>
  <si>
    <t>Topografia.Sólida.Membrana</t>
  </si>
  <si>
    <t>Topografia.Sólida.Agua</t>
  </si>
  <si>
    <t>Topografia.Sólida.Vazio</t>
  </si>
  <si>
    <t>Topografia.Sólida.Superfície</t>
  </si>
  <si>
    <t>Pontos.do.Modelo</t>
  </si>
  <si>
    <t>[ OST_SiteProperty ]</t>
  </si>
  <si>
    <t>[ OST_SiteRegion ]</t>
  </si>
  <si>
    <t>[ OST_SiteSurface ]</t>
  </si>
  <si>
    <t>[ OST_SitePropertyLineSegment ]</t>
  </si>
  <si>
    <t>[ IfcSpatialStructureElement , IfcSite ]</t>
  </si>
  <si>
    <t>Divisa</t>
  </si>
  <si>
    <t>Divisa.Segmento</t>
  </si>
  <si>
    <t>Ponto.Região</t>
  </si>
  <si>
    <t>Ponto.Superfície</t>
  </si>
  <si>
    <t>[ IfcBorehole ]</t>
  </si>
  <si>
    <t>[ IfcGeographicElementSOIL_BORING_POINT ]</t>
  </si>
  <si>
    <t>[ - ]</t>
  </si>
  <si>
    <t>Ponto.Sondagem</t>
  </si>
  <si>
    <t>Ponto.Sondagem.Definido</t>
  </si>
  <si>
    <t>Solo.Reforçado</t>
  </si>
  <si>
    <t>Solo.Reforçado.Substituído</t>
  </si>
  <si>
    <t>Escavação</t>
  </si>
  <si>
    <t>Escavação.Base</t>
  </si>
  <si>
    <t>Escavação.Corte</t>
  </si>
  <si>
    <t>Escavação.Dragagem</t>
  </si>
  <si>
    <t>Escavação.Fresagem</t>
  </si>
  <si>
    <t>Escavação.Remoção</t>
  </si>
  <si>
    <t>Escavação.Trincheira</t>
  </si>
  <si>
    <t>Escavação.SobreEscavação</t>
  </si>
  <si>
    <t>Escavação.Terreno</t>
  </si>
  <si>
    <t>Aterro.Contrapeso</t>
  </si>
  <si>
    <t>Aterro.Preenchimento</t>
  </si>
  <si>
    <t>Aterro.Inclinado</t>
  </si>
  <si>
    <t>Aterro.Camada</t>
  </si>
  <si>
    <t>Aterro.Transição</t>
  </si>
  <si>
    <t>Solo.Reforçado.Dinamicamente</t>
  </si>
  <si>
    <t>Solo.Reforçado.Groute</t>
  </si>
  <si>
    <t>Solo.Reforçado.Rolado</t>
  </si>
  <si>
    <t>Solo.Reforçado.PréCarregado</t>
  </si>
  <si>
    <t>Solo.Reforçado.Drenado</t>
  </si>
  <si>
    <t>Elementos.de.Solo</t>
  </si>
  <si>
    <t>Terraplenagens</t>
  </si>
  <si>
    <t>Terrapleno</t>
  </si>
  <si>
    <t>Aterro.Terrapleno</t>
  </si>
  <si>
    <t>Aterro.Reenchimento</t>
  </si>
  <si>
    <t>Aterro.Subterrâneo</t>
  </si>
  <si>
    <t>Escavação.Banqueta</t>
  </si>
  <si>
    <t>[ IfcEarthworksCutTRENCH</t>
  </si>
  <si>
    <t>[ IfcEarthworksCutTOPSOILREMOVAL ]</t>
  </si>
  <si>
    <t>[ IfcEarthworksCutSTEPEXCAVATION ]</t>
  </si>
  <si>
    <t>[ IfcEarthworksCutPAVEMENTMILLING ]</t>
  </si>
  <si>
    <t>[ IfcEarthworksCutOVEREXCAVATION ]</t>
  </si>
  <si>
    <t>[ IfcEarthworksCutEXCAVATION ]</t>
  </si>
  <si>
    <t>[ IfcEarthworksCutDREDGING ]</t>
  </si>
  <si>
    <t>[ IfcEarthworksCutCUT ]</t>
  </si>
  <si>
    <t>[ IfcEarthworksCutBASE_EXCAVATION ]</t>
  </si>
  <si>
    <t>[ IfcEarthworksCut ]</t>
  </si>
  <si>
    <t>[ IfcEarthworksFillTRANSITIONSECTION ]</t>
  </si>
  <si>
    <t>[ IfcEarthworksFillSUBGRADEBED ]</t>
  </si>
  <si>
    <t>[ IfcEarthworksFillSUBGRADE ]</t>
  </si>
  <si>
    <t>[ IfcEarthworksFillSLOPEFILL ]</t>
  </si>
  <si>
    <t>[ IfcEarthworksFillEMBANKMENT ]</t>
  </si>
  <si>
    <t>[ IfcEarthworksFillCOUNTERWEIGHT ]</t>
  </si>
  <si>
    <t>[ IfcEarthworksFillBACKFILL ]</t>
  </si>
  <si>
    <t>[ IfcEarthworksFill ]</t>
  </si>
  <si>
    <t>[ IfcEarthworksElement ]</t>
  </si>
  <si>
    <t>[ IfcReinforcedSoilVERTICALLYDRAINED ]</t>
  </si>
  <si>
    <t>[ IfcReinforcedSoilSURCHARGEPRELOADED ]</t>
  </si>
  <si>
    <t>[ IfcReinforcedSoilROLLERCOMPACTED ]</t>
  </si>
  <si>
    <t>[ IfcReinforcedSoilREPLACED ]</t>
  </si>
  <si>
    <t>[ IfcReinforcedSoilGROUTED ]</t>
  </si>
  <si>
    <t>[ IfcReinforcedSoilDYNAMICALLYCOMPACTED ]</t>
  </si>
  <si>
    <t>[ IfcReinforcedSoil ]</t>
  </si>
  <si>
    <t>Elementos.de.Topografia</t>
  </si>
  <si>
    <t>Elementos.de.Loteamentos</t>
  </si>
  <si>
    <t>Loteamento</t>
  </si>
  <si>
    <t>Paisagístico</t>
  </si>
  <si>
    <t>[ IfcSpatialStructureElement ]</t>
  </si>
  <si>
    <t>[ 3E.02.02.02 ]</t>
  </si>
  <si>
    <t>[ 3E.02.02.08 ]</t>
  </si>
  <si>
    <t>[ 3E.02.12 ]</t>
  </si>
  <si>
    <t>[ 3E.08.02 ]</t>
  </si>
  <si>
    <t>Pavimentação</t>
  </si>
  <si>
    <t>Escavações</t>
  </si>
  <si>
    <t>nome</t>
  </si>
  <si>
    <t>Ontologia para descrever elementos de projeto GeoTécnico.</t>
  </si>
  <si>
    <t xml:space="preserve">Formalizar elementos de projeto GeoTécnico. </t>
  </si>
  <si>
    <t xml:space="preserve">Formalizar elementos de proyecto GeoTécnico. </t>
  </si>
  <si>
    <t>Soil reinforced or stabilized by some mechanical or chemical method.</t>
  </si>
  <si>
    <t>The use method of dynamic compaction machine usually with drop hammer to height.</t>
  </si>
  <si>
    <t>Method of injecting curable paste into cracks or pores of a geotechnical foundation for improvement.</t>
  </si>
  <si>
    <t>Dig the soft soil in a certain strip below the foundation soil and then fill in the area.</t>
  </si>
  <si>
    <t>Type of compaction method which adopts rolling machines.</t>
  </si>
  <si>
    <t>A method that applies a charge to the foundation to discharge water from the pores, and it is consolidated to it.</t>
  </si>
  <si>
    <t>Method to set vertical drainage measures on the foundation, so that the water from the sun's pores.</t>
  </si>
  <si>
    <t>The void resulting from the modification of the existing terrain or road structure by excavation.</t>
  </si>
  <si>
    <t>Excavation for basements of buildings, bridge abutments or similar structures, either partially.</t>
  </si>
  <si>
    <t>Excavation where soil or rock below topsoil is cut to the required depth.</t>
  </si>
  <si>
    <t>Underwater excavation to recover material or to create a greater depth of water.</t>
  </si>
  <si>
    <t>General type of digging when the most accurate type is not specified.</t>
  </si>
  <si>
    <t>Excavation that goes beyond the depth required for construction, to replace the material.</t>
  </si>
  <si>
    <t>Removal of outdated material from the top of the pavement to be replaced by new material.</t>
  </si>
  <si>
    <t>Removal of the softest part of the road slope, carried out in steps, during the widening of a road.</t>
  </si>
  <si>
    <t>Excavation where the topsoil containing organic material is removed.</t>
  </si>
  <si>
    <t>Excavation whose length far exceeds depth and width.</t>
  </si>
  <si>
    <t>Type of earthmoving element created by earthmoving activities to construct subgrade.</t>
  </si>
  <si>
    <t>Fill behind retaining walls or other structures, such as piers, behind supports.</t>
  </si>
  <si>
    <t>Embankments built next to the main road structure to reduce road occupation.</t>
  </si>
  <si>
    <t>Predominantly longitudinal type of earthmoving element, with no other specific type.</t>
  </si>
  <si>
    <t>Side slope (mass) that fills the highway structure or the infill of the slope.</t>
  </si>
  <si>
    <t>Earth element that supports the structure below the pavement and above the natural soil.</t>
  </si>
  <si>
    <t>Upper part of the soil, natural or built, that supports the loads transmitted by the structure.</t>
  </si>
  <si>
    <t>Subgrade section to ensure consistency of stiffness and prevent uneven settlement.</t>
  </si>
  <si>
    <t>Elevation points positioned inside the land.</t>
  </si>
  <si>
    <t>Altimetric elevation points positioned on the perimeter of the land.</t>
  </si>
  <si>
    <t>Region of the lot.</t>
  </si>
  <si>
    <t>Plot surface.</t>
  </si>
  <si>
    <t>Representation of the concept of a linear geological and geotechnical model.</t>
  </si>
  <si>
    <t>Ground sounding point.</t>
  </si>
  <si>
    <t>Three-dimensional terrain solid. Revit models above 2024 use solid terrain models, while still maintaining the terrain mesh scheme.</t>
  </si>
  <si>
    <t>Three-dimensional terrain maha. Revit models prior to 2024 use surface terrain models.</t>
  </si>
  <si>
    <t>Three-dimensional terrain solid: core layer.</t>
  </si>
  <si>
    <t>Three-dimensional solid of the terrain: substrate layer.</t>
  </si>
  <si>
    <t>Three-dimensional solid of the terrain: membrane layer.</t>
  </si>
  <si>
    <t>Three-dimensional solid terrain: insulation layer.</t>
  </si>
  <si>
    <t>Three-dimensional solid of the terrain: surface layer.</t>
  </si>
  <si>
    <t>Three-dimensional solid of the terrain: surface layer of water.</t>
  </si>
  <si>
    <t>Depiction of the discrete concept of an air-filled geological feature, including caves.</t>
  </si>
  <si>
    <t>10-meter level curve.</t>
  </si>
  <si>
    <t>5 meter level curve.</t>
  </si>
  <si>
    <t>Level curve of 1 meter.</t>
  </si>
  <si>
    <t>Boundary of the lot on the land: segments.</t>
  </si>
  <si>
    <t>It is the generalization of all elements within a geographical landscape.</t>
  </si>
  <si>
    <t>Terrain element.</t>
  </si>
  <si>
    <t>Parking elements.</t>
  </si>
  <si>
    <t>El método de compactación dinámica suele ser con martillo de caída a la altura.</t>
  </si>
  <si>
    <t>Método de inyectar pasta curable en grietas o poros de una base geotécnica para su mejora.</t>
  </si>
  <si>
    <t>Excava la tierra blanda en una franja determinada por debajo de la tierra de cimentación y luego rellena la zona.</t>
  </si>
  <si>
    <t>Tipo de método de compactación que adopta máquinas de laminación.</t>
  </si>
  <si>
    <t>Un método que aplica una carga a los cimientos para expulsar el agua por los poros, y que se consolida en ella.</t>
  </si>
  <si>
    <t>El vacío resultante de la modificación del terreno existente o la estructura vial mediante excavaciones.</t>
  </si>
  <si>
    <t>Excavación para sótanos de edificios, estribos de puentes o estructuras similares, ya sea parcialmente.</t>
  </si>
  <si>
    <t>Excavación donde se corta tierra o roca bajo la capa superficial del suelo hasta la profundidad requerida.</t>
  </si>
  <si>
    <t>Excavación submarina para recuperar material o para crear una mayor profundidad de agua.</t>
  </si>
  <si>
    <t>Excavaciones que van más allá de la profundidad necesaria para la construcción, para reemplazar el material.</t>
  </si>
  <si>
    <t>Retirada de material obsoleto de la parte superior del pavimento para ser reemplazado por material nuevo.</t>
  </si>
  <si>
    <t>La eliminación de la parte más blanda de la pendiente de la carretera, realizada por escalones, durante el ensanchamiento de una carretera.</t>
  </si>
  <si>
    <t>Excavación en la que se retira la capa superficial del suelo que contiene material orgánico.</t>
  </si>
  <si>
    <t>Excavaciones cuya longitud supera con creces la profundidad y la anchura.</t>
  </si>
  <si>
    <t>Tipo de elemento construido creado por actividades de movimiento de tierras para construir subsuelo.</t>
  </si>
  <si>
    <t>Tipo de elemento de movimiento de tierras creado por actividades de movimiento de tierras para construir subsuelo.</t>
  </si>
  <si>
    <t>Rellena detrás de muros de contención u otras estructuras, como pilares, detrás de soportes.</t>
  </si>
  <si>
    <t>Se construyeron terraplenes junto a la estructura principal de la carretera para reducir la ocupación de las carreteras.</t>
  </si>
  <si>
    <t>Es un tipo predominantemente longitudinal de elemento de movimiento de tierras, sin otro tipo específico.</t>
  </si>
  <si>
    <t>Pendiente lateral (masa) que llena la estructura de la carretera o el relleno de la pendiente.</t>
  </si>
  <si>
    <t>Elemento tierra que sostiene la estructura bajo el pavimento y por encima del suelo natural.</t>
  </si>
  <si>
    <t>La parte superior del suelo, natural o edificada, que soporta las cargas transmitidas por la estructura.</t>
  </si>
  <si>
    <t>Sección de subsuelo para asegurar la consistencia de la rigidez y evitar asentamientos desiguales.</t>
  </si>
  <si>
    <t>Puntos de elevación situados dentro del terreno.</t>
  </si>
  <si>
    <t>Puntos de elevación altimétricos situados en el perímetro del terreno.</t>
  </si>
  <si>
    <t>Superficie de la trama.</t>
  </si>
  <si>
    <t>Terreno sólido en tres dimensiones. Los modelos de Revit anteriores a 2024 usan modelos de terreno sólido, manteniendo el esquema de malla de terreno.</t>
  </si>
  <si>
    <t>Terreno tridimensional, maha. Los modelos de Revit anteriores a 2024 usan modelos de terreno superficial.</t>
  </si>
  <si>
    <t>Terreno sólido tridimensional: capa central.</t>
  </si>
  <si>
    <t>Representación del concepto discreto de una formación geológica llena de aire, incluyendo cuevas.</t>
  </si>
  <si>
    <t>Límite del terreno en el terreno.</t>
  </si>
  <si>
    <t>Límite del lote en el terreno: segmentos.</t>
  </si>
  <si>
    <t>Es la generalización de todos los elementos dentro de un paisaje geográfico.</t>
  </si>
  <si>
    <t>Elementos de aparcamiento.</t>
  </si>
  <si>
    <t>Vegetación o cobertura vegetal (de una zona).</t>
  </si>
  <si>
    <t>Método de compactación por drenaje.</t>
  </si>
  <si>
    <t>Método de compactação por drenagem vertical.</t>
  </si>
  <si>
    <t>Método que aplica carga à fundação para descarregar água dos poros.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</si>
  <si>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</si>
  <si>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</si>
  <si>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</si>
  <si>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</si>
  <si>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</si>
  <si>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</si>
  <si>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</si>
  <si>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</si>
  <si>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</si>
  <si>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</si>
  <si>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Contêineres</t>
  </si>
  <si>
    <t>Define un contenedor de información de acuerdo con la norma NBR 19650-1.</t>
  </si>
  <si>
    <t>[ 5I ]</t>
  </si>
  <si>
    <t>Projeto_A</t>
  </si>
  <si>
    <t>"Conjunto de Informação do projeto A"</t>
  </si>
  <si>
    <t>"CTN_PRJ_A"</t>
  </si>
  <si>
    <t>Conceitos</t>
  </si>
  <si>
    <t>GeoTécnicos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</si>
</sst>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sz val="5"/>
      <color rgb="FF000000"/>
      <name val="Arial Nova Cond Light"/>
      <family val="2"/>
    </font>
    <font>
      <b/>
      <sz val="11"/>
      <color theme="1"/>
      <name val="Aptos Narrow"/>
      <family val="2"/>
      <scheme val="minor"/>
    </font>
    <font>
      <sz val="6"/>
      <color theme="1"/>
      <name val="Arial Nova Cond"/>
      <family val="2"/>
    </font>
    <font>
      <i/>
      <sz val="5"/>
      <name val="Arial Nova Cond Light"/>
      <family val="2"/>
    </font>
    <font>
      <i/>
      <sz val="11"/>
      <color rgb="FF000000"/>
      <name val="Aptos Narrow"/>
      <family val="2"/>
      <charset val="1"/>
    </font>
    <font>
      <b/>
      <sz val="5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D9F2D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2" borderId="4" xfId="0" applyFont="1" applyFill="1" applyBorder="1" applyAlignment="1">
      <alignment horizontal="left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2" fontId="6" fillId="0" borderId="4" xfId="0" applyNumberFormat="1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3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14" borderId="4" xfId="0" applyFont="1" applyFill="1" applyBorder="1" applyAlignment="1">
      <alignment vertical="center"/>
    </xf>
    <xf numFmtId="0" fontId="14" fillId="1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11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4" fillId="17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0" fontId="4" fillId="14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/>
    </xf>
    <xf numFmtId="0" fontId="2" fillId="20" borderId="4" xfId="0" applyFont="1" applyFill="1" applyBorder="1" applyAlignment="1">
      <alignment vertical="center"/>
    </xf>
    <xf numFmtId="0" fontId="6" fillId="21" borderId="4" xfId="0" applyFont="1" applyFill="1" applyBorder="1" applyAlignment="1">
      <alignment horizontal="left" vertical="center" wrapText="1"/>
    </xf>
    <xf numFmtId="0" fontId="4" fillId="22" borderId="4" xfId="0" applyFont="1" applyFill="1" applyBorder="1" applyAlignment="1">
      <alignment vertical="center"/>
    </xf>
    <xf numFmtId="0" fontId="4" fillId="19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vertical="center"/>
    </xf>
    <xf numFmtId="0" fontId="6" fillId="11" borderId="4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0" fontId="2" fillId="16" borderId="4" xfId="0" applyFont="1" applyFill="1" applyBorder="1" applyAlignment="1">
      <alignment vertical="center"/>
    </xf>
    <xf numFmtId="0" fontId="2" fillId="23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14" borderId="4" xfId="0" applyFont="1" applyFill="1" applyBorder="1" applyAlignment="1">
      <alignment vertical="center" wrapText="1"/>
    </xf>
    <xf numFmtId="0" fontId="12" fillId="0" borderId="0" xfId="0" applyFont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  <color rgb="FFE49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dimension ref="A1:C26"/>
  <sheetViews>
    <sheetView zoomScale="205" zoomScaleNormal="205" workbookViewId="0">
      <pane ySplit="1" topLeftCell="A2" activePane="bottomLeft" state="frozen"/>
      <selection pane="bottomLeft" activeCell="D8" sqref="D8"/>
    </sheetView>
  </sheetViews>
  <sheetFormatPr defaultColWidth="9.15234375" defaultRowHeight="7" customHeight="1" x14ac:dyDescent="0.4"/>
  <cols>
    <col min="1" max="1" width="9.3046875" style="24" customWidth="1"/>
    <col min="2" max="2" width="39.15234375" style="24" bestFit="1" customWidth="1"/>
    <col min="3" max="3" width="3.3828125" style="39" bestFit="1" customWidth="1"/>
    <col min="4" max="16384" width="9.15234375" style="24"/>
  </cols>
  <sheetData>
    <row r="1" spans="1:3" ht="16.95" customHeight="1" x14ac:dyDescent="0.4">
      <c r="A1" s="11" t="s">
        <v>43</v>
      </c>
      <c r="B1" s="11" t="s">
        <v>44</v>
      </c>
      <c r="C1" s="37" t="s">
        <v>88</v>
      </c>
    </row>
    <row r="2" spans="1:3" ht="7" customHeight="1" x14ac:dyDescent="0.4">
      <c r="A2" s="12" t="s">
        <v>45</v>
      </c>
      <c r="B2" s="12" t="s">
        <v>46</v>
      </c>
      <c r="C2" s="38" t="s">
        <v>89</v>
      </c>
    </row>
    <row r="3" spans="1:3" ht="7" customHeight="1" x14ac:dyDescent="0.4">
      <c r="A3" s="12" t="s">
        <v>47</v>
      </c>
      <c r="B3" s="12" t="s">
        <v>143</v>
      </c>
      <c r="C3" s="38" t="s">
        <v>89</v>
      </c>
    </row>
    <row r="4" spans="1:3" ht="7" customHeight="1" x14ac:dyDescent="0.4">
      <c r="A4" s="13" t="s">
        <v>48</v>
      </c>
      <c r="B4" s="13" t="s">
        <v>32</v>
      </c>
      <c r="C4" s="38" t="s">
        <v>89</v>
      </c>
    </row>
    <row r="5" spans="1:3" ht="7" customHeight="1" x14ac:dyDescent="0.4">
      <c r="A5" s="13" t="s">
        <v>49</v>
      </c>
      <c r="B5" s="13" t="str">
        <f>_xlfn.CONCAT(B4,"Prop")</f>
        <v>BIMProp</v>
      </c>
      <c r="C5" s="38" t="s">
        <v>89</v>
      </c>
    </row>
    <row r="6" spans="1:3" ht="7" customHeight="1" x14ac:dyDescent="0.4">
      <c r="A6" s="13" t="s">
        <v>50</v>
      </c>
      <c r="B6" s="13" t="str">
        <f>_xlfn.CONCAT(B4,"Data")</f>
        <v>BIMData</v>
      </c>
      <c r="C6" s="38" t="s">
        <v>89</v>
      </c>
    </row>
    <row r="7" spans="1:3" ht="7" customHeight="1" x14ac:dyDescent="0.4">
      <c r="A7" s="13" t="s">
        <v>51</v>
      </c>
      <c r="B7" s="13" t="s">
        <v>52</v>
      </c>
      <c r="C7" s="38" t="s">
        <v>89</v>
      </c>
    </row>
    <row r="8" spans="1:3" customFormat="1" ht="7" customHeight="1" x14ac:dyDescent="0.4">
      <c r="A8" s="13" t="s">
        <v>53</v>
      </c>
      <c r="B8" s="13" t="s">
        <v>87</v>
      </c>
      <c r="C8" s="38" t="s">
        <v>89</v>
      </c>
    </row>
    <row r="9" spans="1:3" ht="7" customHeight="1" x14ac:dyDescent="0.4">
      <c r="A9" s="13" t="s">
        <v>54</v>
      </c>
      <c r="B9" s="13" t="s">
        <v>55</v>
      </c>
      <c r="C9" s="38" t="s">
        <v>89</v>
      </c>
    </row>
    <row r="10" spans="1:3" ht="7" customHeight="1" x14ac:dyDescent="0.4">
      <c r="A10" s="13" t="s">
        <v>56</v>
      </c>
      <c r="B10" s="13" t="s">
        <v>57</v>
      </c>
      <c r="C10" s="38" t="s">
        <v>89</v>
      </c>
    </row>
    <row r="11" spans="1:3" ht="7" customHeight="1" x14ac:dyDescent="0.4">
      <c r="A11" s="13" t="s">
        <v>58</v>
      </c>
      <c r="B11" s="13" t="s">
        <v>57</v>
      </c>
      <c r="C11" s="38" t="s">
        <v>89</v>
      </c>
    </row>
    <row r="12" spans="1:3" ht="7" customHeight="1" x14ac:dyDescent="0.4">
      <c r="A12" s="13" t="s">
        <v>59</v>
      </c>
      <c r="B12" s="13" t="s">
        <v>57</v>
      </c>
      <c r="C12" s="38" t="s">
        <v>89</v>
      </c>
    </row>
    <row r="13" spans="1:3" ht="7" customHeight="1" x14ac:dyDescent="0.4">
      <c r="A13" s="13" t="s">
        <v>60</v>
      </c>
      <c r="B13" s="13" t="s">
        <v>57</v>
      </c>
      <c r="C13" s="38" t="s">
        <v>89</v>
      </c>
    </row>
    <row r="14" spans="1:3" ht="7" customHeight="1" x14ac:dyDescent="0.4">
      <c r="A14" s="13" t="s">
        <v>61</v>
      </c>
      <c r="B14" s="13" t="s">
        <v>57</v>
      </c>
      <c r="C14" s="38" t="s">
        <v>89</v>
      </c>
    </row>
    <row r="15" spans="1:3" ht="7" customHeight="1" x14ac:dyDescent="0.4">
      <c r="A15" s="13" t="s">
        <v>62</v>
      </c>
      <c r="B15" s="13" t="s">
        <v>57</v>
      </c>
      <c r="C15" s="38" t="s">
        <v>89</v>
      </c>
    </row>
    <row r="16" spans="1:3" ht="7" customHeight="1" x14ac:dyDescent="0.4">
      <c r="A16" s="13" t="s">
        <v>63</v>
      </c>
      <c r="B16" s="13" t="s">
        <v>57</v>
      </c>
      <c r="C16" s="38" t="s">
        <v>89</v>
      </c>
    </row>
    <row r="17" spans="1:3" ht="7" customHeight="1" x14ac:dyDescent="0.4">
      <c r="A17" s="13" t="s">
        <v>64</v>
      </c>
      <c r="B17" s="13" t="s">
        <v>290</v>
      </c>
      <c r="C17" s="38" t="s">
        <v>89</v>
      </c>
    </row>
    <row r="18" spans="1:3" ht="7" customHeight="1" x14ac:dyDescent="0.4">
      <c r="A18" s="13" t="s">
        <v>65</v>
      </c>
      <c r="B18" s="26">
        <f ca="1">NOW()</f>
        <v>46243.522339699077</v>
      </c>
      <c r="C18" s="38" t="s">
        <v>89</v>
      </c>
    </row>
    <row r="19" spans="1:3" ht="7" customHeight="1" x14ac:dyDescent="0.4">
      <c r="A19" s="13" t="s">
        <v>95</v>
      </c>
      <c r="B19" s="25" t="s">
        <v>93</v>
      </c>
      <c r="C19" s="38" t="s">
        <v>89</v>
      </c>
    </row>
    <row r="20" spans="1:3" ht="7" customHeight="1" x14ac:dyDescent="0.4">
      <c r="A20" s="13" t="s">
        <v>92</v>
      </c>
      <c r="B20" s="25" t="str">
        <f>_xlfn.TRANSLATE(B19,"pt","es")</f>
        <v>Traducciones integradas al español e inglés - Las traducciones deben revisarse constantemente</v>
      </c>
      <c r="C20" s="38" t="s">
        <v>90</v>
      </c>
    </row>
    <row r="21" spans="1:3" ht="7" customHeight="1" x14ac:dyDescent="0.4">
      <c r="A21" s="13" t="s">
        <v>94</v>
      </c>
      <c r="B21" s="25" t="str">
        <f>_xlfn.TRANSLATE(B19,"pt","en")</f>
        <v>Built-in Spanish and English Translations - Translations must be constantly reviewed</v>
      </c>
      <c r="C21" s="38" t="s">
        <v>91</v>
      </c>
    </row>
    <row r="22" spans="1:3" ht="7" customHeight="1" x14ac:dyDescent="0.4">
      <c r="A22" s="13" t="s">
        <v>66</v>
      </c>
      <c r="B22" s="13" t="s">
        <v>57</v>
      </c>
      <c r="C22" s="38" t="s">
        <v>89</v>
      </c>
    </row>
    <row r="23" spans="1:3" ht="7" customHeight="1" x14ac:dyDescent="0.4">
      <c r="A23" s="13" t="s">
        <v>67</v>
      </c>
      <c r="B23" s="13" t="s">
        <v>57</v>
      </c>
      <c r="C23" s="38" t="s">
        <v>89</v>
      </c>
    </row>
    <row r="24" spans="1:3" ht="7" customHeight="1" x14ac:dyDescent="0.4">
      <c r="A24" s="13" t="s">
        <v>68</v>
      </c>
      <c r="B24" s="14" t="s">
        <v>291</v>
      </c>
      <c r="C24" s="38" t="s">
        <v>89</v>
      </c>
    </row>
    <row r="25" spans="1:3" ht="7" customHeight="1" x14ac:dyDescent="0.4">
      <c r="A25" s="13" t="s">
        <v>69</v>
      </c>
      <c r="B25" s="14" t="s">
        <v>292</v>
      </c>
      <c r="C25" s="38" t="s">
        <v>90</v>
      </c>
    </row>
    <row r="26" spans="1:3" customFormat="1" ht="7" customHeight="1" x14ac:dyDescent="0.4">
      <c r="A26" s="13" t="s">
        <v>86</v>
      </c>
      <c r="B26" s="14" t="str">
        <f>_xlfn.TRANSLATE(B24,"pt","en")</f>
        <v>Formalize GeoTechnical project elements.</v>
      </c>
      <c r="C26" s="38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6445-53D9-475A-B2C6-D376FC6516D5}">
  <dimension ref="A1:AA56"/>
  <sheetViews>
    <sheetView tabSelected="1" zoomScale="220" zoomScaleNormal="220" workbookViewId="0">
      <pane ySplit="1" topLeftCell="A41" activePane="bottomLeft" state="frozen"/>
      <selection pane="bottomLeft" activeCell="C7" sqref="C7:C56"/>
    </sheetView>
  </sheetViews>
  <sheetFormatPr defaultColWidth="9.15234375" defaultRowHeight="6" customHeight="1" x14ac:dyDescent="0.4"/>
  <cols>
    <col min="1" max="1" width="2.69140625" bestFit="1" customWidth="1"/>
    <col min="2" max="2" width="5.69140625" bestFit="1" customWidth="1"/>
    <col min="3" max="3" width="7.15234375" bestFit="1" customWidth="1"/>
    <col min="4" max="4" width="14.84375" bestFit="1" customWidth="1"/>
    <col min="5" max="5" width="10.84375" bestFit="1" customWidth="1"/>
    <col min="6" max="6" width="16.3828125" bestFit="1" customWidth="1"/>
    <col min="7" max="11" width="8" style="63" bestFit="1" customWidth="1"/>
    <col min="12" max="12" width="7.15234375" bestFit="1" customWidth="1"/>
    <col min="13" max="13" width="14.84375" bestFit="1" customWidth="1"/>
    <col min="14" max="14" width="10.84375" bestFit="1" customWidth="1"/>
    <col min="15" max="15" width="17.3828125" bestFit="1" customWidth="1"/>
    <col min="16" max="16" width="84.53515625" bestFit="1" customWidth="1"/>
    <col min="17" max="17" width="82" bestFit="1" customWidth="1"/>
    <col min="18" max="18" width="3.53515625" bestFit="1" customWidth="1"/>
    <col min="19" max="19" width="7.15234375" bestFit="1" customWidth="1"/>
    <col min="20" max="20" width="14.84375" bestFit="1" customWidth="1"/>
    <col min="21" max="21" width="10.84375" bestFit="1" customWidth="1"/>
    <col min="22" max="22" width="8.53515625" bestFit="1" customWidth="1"/>
    <col min="23" max="23" width="8.69140625" bestFit="1" customWidth="1"/>
    <col min="24" max="24" width="43.3828125" bestFit="1" customWidth="1"/>
    <col min="25" max="25" width="20.3828125" bestFit="1" customWidth="1"/>
    <col min="26" max="26" width="9" bestFit="1" customWidth="1"/>
    <col min="27" max="27" width="68.84375" bestFit="1" customWidth="1"/>
  </cols>
  <sheetData>
    <row r="1" spans="1:27" ht="36.65" customHeight="1" x14ac:dyDescent="0.4">
      <c r="A1" s="23">
        <v>1</v>
      </c>
      <c r="B1" s="53" t="s">
        <v>41</v>
      </c>
      <c r="C1" s="53" t="s">
        <v>39</v>
      </c>
      <c r="D1" s="53" t="s">
        <v>40</v>
      </c>
      <c r="E1" s="53" t="s">
        <v>38</v>
      </c>
      <c r="F1" s="53" t="s">
        <v>83</v>
      </c>
      <c r="G1" s="54" t="s">
        <v>0</v>
      </c>
      <c r="H1" s="54" t="s">
        <v>1</v>
      </c>
      <c r="I1" s="54" t="s">
        <v>2</v>
      </c>
      <c r="J1" s="54" t="s">
        <v>3</v>
      </c>
      <c r="K1" s="54" t="s">
        <v>4</v>
      </c>
      <c r="L1" s="30" t="s">
        <v>5</v>
      </c>
      <c r="M1" s="30" t="s">
        <v>6</v>
      </c>
      <c r="N1" s="30" t="s">
        <v>76</v>
      </c>
      <c r="O1" s="30" t="s">
        <v>7</v>
      </c>
      <c r="P1" s="30" t="s">
        <v>36</v>
      </c>
      <c r="Q1" s="30" t="s">
        <v>42</v>
      </c>
      <c r="R1" s="30" t="s">
        <v>77</v>
      </c>
      <c r="S1" s="30" t="s">
        <v>33</v>
      </c>
      <c r="T1" s="30" t="s">
        <v>37</v>
      </c>
      <c r="U1" s="30" t="s">
        <v>35</v>
      </c>
      <c r="V1" s="30" t="s">
        <v>34</v>
      </c>
      <c r="W1" s="53" t="s">
        <v>8</v>
      </c>
      <c r="X1" s="55" t="s">
        <v>81</v>
      </c>
      <c r="Y1" s="55" t="s">
        <v>144</v>
      </c>
      <c r="Z1" s="55" t="s">
        <v>84</v>
      </c>
      <c r="AA1" s="56" t="s">
        <v>85</v>
      </c>
    </row>
    <row r="2" spans="1:27" ht="6" customHeight="1" x14ac:dyDescent="0.4">
      <c r="A2" s="52">
        <v>2</v>
      </c>
      <c r="B2" s="57" t="s">
        <v>394</v>
      </c>
      <c r="C2" s="57" t="s">
        <v>379</v>
      </c>
      <c r="D2" s="57" t="s">
        <v>78</v>
      </c>
      <c r="E2" s="58" t="s">
        <v>388</v>
      </c>
      <c r="F2" s="58" t="s">
        <v>79</v>
      </c>
      <c r="G2" s="6" t="s">
        <v>9</v>
      </c>
      <c r="H2" s="6" t="s">
        <v>9</v>
      </c>
      <c r="I2" s="6" t="s">
        <v>9</v>
      </c>
      <c r="J2" s="6" t="s">
        <v>9</v>
      </c>
      <c r="K2" s="6" t="s">
        <v>9</v>
      </c>
      <c r="L2" s="59" t="str">
        <f t="shared" ref="L2:M6" si="0">CONCATENATE("", C2)</f>
        <v>Gestão</v>
      </c>
      <c r="M2" s="59" t="str">
        <f t="shared" si="0"/>
        <v>Informação</v>
      </c>
      <c r="N2" s="59" t="str">
        <f t="shared" ref="N2:O6" si="1">(SUBSTITUTE(SUBSTITUTE(CONCATENATE("",E2),"."," ")," De "," de "))</f>
        <v>Contêineres</v>
      </c>
      <c r="O2" s="59" t="str">
        <f t="shared" si="1"/>
        <v>Contêiner</v>
      </c>
      <c r="P2" s="22" t="s">
        <v>378</v>
      </c>
      <c r="Q2" s="22" t="s">
        <v>389</v>
      </c>
      <c r="R2" s="22" t="s">
        <v>9</v>
      </c>
      <c r="S2" s="22" t="str">
        <f t="shared" ref="S2:U6" si="2">SUBSTITUTE(C2, ".", " ")</f>
        <v>Gestão</v>
      </c>
      <c r="T2" s="22" t="str">
        <f t="shared" si="2"/>
        <v>Informação</v>
      </c>
      <c r="U2" s="22" t="str">
        <f t="shared" si="2"/>
        <v>Contêineres</v>
      </c>
      <c r="V2" s="22" t="s">
        <v>143</v>
      </c>
      <c r="W2" s="60" t="str">
        <f t="shared" ref="W2:W6" si="3">CONCATENATE("Key-GEO-",A2)</f>
        <v>Key-GEO-2</v>
      </c>
      <c r="X2" s="22" t="s">
        <v>9</v>
      </c>
      <c r="Y2" s="22" t="s">
        <v>9</v>
      </c>
      <c r="Z2" s="22" t="s">
        <v>390</v>
      </c>
      <c r="AA2" s="22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52">
        <v>3</v>
      </c>
      <c r="B3" s="57" t="s">
        <v>394</v>
      </c>
      <c r="C3" s="57" t="s">
        <v>379</v>
      </c>
      <c r="D3" s="57" t="s">
        <v>78</v>
      </c>
      <c r="E3" s="58" t="s">
        <v>388</v>
      </c>
      <c r="F3" s="58" t="s">
        <v>380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59" t="str">
        <f t="shared" si="0"/>
        <v>Gestão</v>
      </c>
      <c r="M3" s="59" t="str">
        <f t="shared" si="0"/>
        <v>Informação</v>
      </c>
      <c r="N3" s="59" t="str">
        <f t="shared" si="1"/>
        <v>Contêineres</v>
      </c>
      <c r="O3" s="59" t="str">
        <f t="shared" si="1"/>
        <v>Requisito Espacial</v>
      </c>
      <c r="P3" s="22" t="s">
        <v>381</v>
      </c>
      <c r="Q3" s="22" t="s">
        <v>389</v>
      </c>
      <c r="R3" s="22" t="s">
        <v>9</v>
      </c>
      <c r="S3" s="22" t="str">
        <f t="shared" si="2"/>
        <v>Gestão</v>
      </c>
      <c r="T3" s="22" t="str">
        <f t="shared" si="2"/>
        <v>Informação</v>
      </c>
      <c r="U3" s="22" t="str">
        <f t="shared" si="2"/>
        <v>Contêineres</v>
      </c>
      <c r="V3" s="22" t="s">
        <v>143</v>
      </c>
      <c r="W3" s="60" t="str">
        <f t="shared" si="3"/>
        <v>Key-GEO-3</v>
      </c>
      <c r="X3" s="22" t="s">
        <v>9</v>
      </c>
      <c r="Y3" s="22" t="s">
        <v>9</v>
      </c>
      <c r="Z3" s="22" t="s">
        <v>9</v>
      </c>
      <c r="AA3" s="22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52">
        <v>4</v>
      </c>
      <c r="B4" s="57" t="s">
        <v>394</v>
      </c>
      <c r="C4" s="57" t="s">
        <v>379</v>
      </c>
      <c r="D4" s="57" t="s">
        <v>78</v>
      </c>
      <c r="E4" s="58" t="s">
        <v>388</v>
      </c>
      <c r="F4" s="58" t="s">
        <v>382</v>
      </c>
      <c r="G4" s="6" t="s">
        <v>9</v>
      </c>
      <c r="H4" s="6" t="s">
        <v>9</v>
      </c>
      <c r="I4" s="6" t="s">
        <v>9</v>
      </c>
      <c r="J4" s="6" t="s">
        <v>9</v>
      </c>
      <c r="K4" s="6" t="s">
        <v>9</v>
      </c>
      <c r="L4" s="59" t="str">
        <f t="shared" si="0"/>
        <v>Gestão</v>
      </c>
      <c r="M4" s="59" t="str">
        <f t="shared" si="0"/>
        <v>Informação</v>
      </c>
      <c r="N4" s="59" t="str">
        <f t="shared" si="1"/>
        <v>Contêineres</v>
      </c>
      <c r="O4" s="59" t="str">
        <f t="shared" si="1"/>
        <v>Requisito Mobiliário</v>
      </c>
      <c r="P4" s="22" t="s">
        <v>383</v>
      </c>
      <c r="Q4" s="22" t="s">
        <v>389</v>
      </c>
      <c r="R4" s="22" t="s">
        <v>9</v>
      </c>
      <c r="S4" s="22" t="str">
        <f t="shared" si="2"/>
        <v>Gestão</v>
      </c>
      <c r="T4" s="22" t="str">
        <f t="shared" si="2"/>
        <v>Informação</v>
      </c>
      <c r="U4" s="22" t="str">
        <f t="shared" si="2"/>
        <v>Contêineres</v>
      </c>
      <c r="V4" s="22" t="s">
        <v>143</v>
      </c>
      <c r="W4" s="60" t="str">
        <f t="shared" si="3"/>
        <v>Key-GEO-4</v>
      </c>
      <c r="X4" s="22" t="s">
        <v>9</v>
      </c>
      <c r="Y4" s="22" t="s">
        <v>9</v>
      </c>
      <c r="Z4" s="22" t="s">
        <v>9</v>
      </c>
      <c r="AA4" s="22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52">
        <v>5</v>
      </c>
      <c r="B5" s="57" t="s">
        <v>394</v>
      </c>
      <c r="C5" s="57" t="s">
        <v>379</v>
      </c>
      <c r="D5" s="57" t="s">
        <v>78</v>
      </c>
      <c r="E5" s="58" t="s">
        <v>388</v>
      </c>
      <c r="F5" s="58" t="s">
        <v>384</v>
      </c>
      <c r="G5" s="6" t="s">
        <v>9</v>
      </c>
      <c r="H5" s="6" t="s">
        <v>9</v>
      </c>
      <c r="I5" s="6" t="s">
        <v>9</v>
      </c>
      <c r="J5" s="6" t="s">
        <v>9</v>
      </c>
      <c r="K5" s="6" t="s">
        <v>9</v>
      </c>
      <c r="L5" s="59" t="str">
        <f t="shared" si="0"/>
        <v>Gestão</v>
      </c>
      <c r="M5" s="59" t="str">
        <f t="shared" si="0"/>
        <v>Informação</v>
      </c>
      <c r="N5" s="59" t="str">
        <f t="shared" si="1"/>
        <v>Contêineres</v>
      </c>
      <c r="O5" s="59" t="str">
        <f t="shared" si="1"/>
        <v>Requisito Equipamento</v>
      </c>
      <c r="P5" s="22" t="s">
        <v>385</v>
      </c>
      <c r="Q5" s="22" t="s">
        <v>389</v>
      </c>
      <c r="R5" s="22" t="s">
        <v>9</v>
      </c>
      <c r="S5" s="22" t="str">
        <f t="shared" si="2"/>
        <v>Gestão</v>
      </c>
      <c r="T5" s="22" t="str">
        <f t="shared" si="2"/>
        <v>Informação</v>
      </c>
      <c r="U5" s="22" t="str">
        <f t="shared" si="2"/>
        <v>Contêineres</v>
      </c>
      <c r="V5" s="22" t="s">
        <v>143</v>
      </c>
      <c r="W5" s="60" t="str">
        <f t="shared" si="3"/>
        <v>Key-GEO-5</v>
      </c>
      <c r="X5" s="22" t="s">
        <v>9</v>
      </c>
      <c r="Y5" s="22" t="s">
        <v>9</v>
      </c>
      <c r="Z5" s="22" t="s">
        <v>9</v>
      </c>
      <c r="AA5" s="22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52">
        <v>6</v>
      </c>
      <c r="B6" s="57" t="s">
        <v>394</v>
      </c>
      <c r="C6" s="57" t="s">
        <v>379</v>
      </c>
      <c r="D6" s="57" t="s">
        <v>78</v>
      </c>
      <c r="E6" s="58" t="s">
        <v>388</v>
      </c>
      <c r="F6" s="58" t="s">
        <v>386</v>
      </c>
      <c r="G6" s="6" t="s">
        <v>9</v>
      </c>
      <c r="H6" s="6" t="s">
        <v>9</v>
      </c>
      <c r="I6" s="6" t="s">
        <v>9</v>
      </c>
      <c r="J6" s="6" t="s">
        <v>9</v>
      </c>
      <c r="K6" s="6" t="s">
        <v>9</v>
      </c>
      <c r="L6" s="59" t="str">
        <f t="shared" si="0"/>
        <v>Gestão</v>
      </c>
      <c r="M6" s="59" t="str">
        <f t="shared" si="0"/>
        <v>Informação</v>
      </c>
      <c r="N6" s="59" t="str">
        <f t="shared" si="1"/>
        <v>Contêineres</v>
      </c>
      <c r="O6" s="59" t="str">
        <f t="shared" si="1"/>
        <v>Requisito Sistemas</v>
      </c>
      <c r="P6" s="22" t="s">
        <v>387</v>
      </c>
      <c r="Q6" s="22" t="s">
        <v>389</v>
      </c>
      <c r="R6" s="22" t="s">
        <v>9</v>
      </c>
      <c r="S6" s="22" t="str">
        <f t="shared" si="2"/>
        <v>Gestão</v>
      </c>
      <c r="T6" s="22" t="str">
        <f t="shared" si="2"/>
        <v>Informação</v>
      </c>
      <c r="U6" s="22" t="str">
        <f t="shared" si="2"/>
        <v>Contêineres</v>
      </c>
      <c r="V6" s="22" t="s">
        <v>143</v>
      </c>
      <c r="W6" s="60" t="str">
        <f t="shared" si="3"/>
        <v>Key-GEO-6</v>
      </c>
      <c r="X6" s="22" t="s">
        <v>9</v>
      </c>
      <c r="Y6" s="22" t="s">
        <v>9</v>
      </c>
      <c r="Z6" s="22" t="s">
        <v>9</v>
      </c>
      <c r="AA6" s="22" t="str">
        <f t="shared" si="4"/>
        <v>Defines an information container in accordance with the NBR 19650-1 standard. Building Systems Requirements for the Project.</v>
      </c>
    </row>
    <row r="7" spans="1:27" ht="6" customHeight="1" x14ac:dyDescent="0.4">
      <c r="A7" s="52">
        <v>7</v>
      </c>
      <c r="B7" s="57" t="s">
        <v>394</v>
      </c>
      <c r="C7" s="61" t="s">
        <v>395</v>
      </c>
      <c r="D7" s="57" t="s">
        <v>245</v>
      </c>
      <c r="E7" s="57" t="s">
        <v>129</v>
      </c>
      <c r="F7" s="58" t="s">
        <v>224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59" t="str">
        <f t="shared" ref="L7" si="5">CONCATENATE("", C7)</f>
        <v>GeoTécnicos</v>
      </c>
      <c r="M7" s="59" t="str">
        <f t="shared" ref="M7" si="6">CONCATENATE("", D7)</f>
        <v>Elementos.de.Solo</v>
      </c>
      <c r="N7" s="59" t="str">
        <f t="shared" ref="N7" si="7">(SUBSTITUTE(SUBSTITUTE(CONCATENATE("",E7),"."," ")," De "," de "))</f>
        <v>Compactação</v>
      </c>
      <c r="O7" s="59" t="str">
        <f t="shared" ref="O7" si="8">(SUBSTITUTE(SUBSTITUTE(CONCATENATE("",F7),"."," ")," De "," de "))</f>
        <v>Solo Reforçado</v>
      </c>
      <c r="P7" s="22" t="s">
        <v>130</v>
      </c>
      <c r="Q7" s="36" t="s">
        <v>131</v>
      </c>
      <c r="R7" s="22" t="s">
        <v>9</v>
      </c>
      <c r="S7" s="22" t="str">
        <f t="shared" ref="S7:U7" si="9">SUBSTITUTE(C7, "_", " ")</f>
        <v>GeoTécnicos</v>
      </c>
      <c r="T7" s="22" t="str">
        <f t="shared" si="9"/>
        <v>Elementos.de.Solo</v>
      </c>
      <c r="U7" s="22" t="str">
        <f t="shared" si="9"/>
        <v>Compactação</v>
      </c>
      <c r="V7" s="22" t="s">
        <v>143</v>
      </c>
      <c r="W7" s="60" t="str">
        <f t="shared" ref="W7:W56" si="10">CONCATENATE("Key-GEO-",A7)</f>
        <v>Key-GEO-7</v>
      </c>
      <c r="X7" s="62" t="s">
        <v>221</v>
      </c>
      <c r="Y7" s="62" t="s">
        <v>277</v>
      </c>
      <c r="Z7" s="22" t="s">
        <v>283</v>
      </c>
      <c r="AA7" s="22" t="s">
        <v>293</v>
      </c>
    </row>
    <row r="8" spans="1:27" ht="6.65" customHeight="1" x14ac:dyDescent="0.4">
      <c r="A8" s="52">
        <v>8</v>
      </c>
      <c r="B8" s="57" t="s">
        <v>394</v>
      </c>
      <c r="C8" s="61" t="s">
        <v>395</v>
      </c>
      <c r="D8" s="57" t="s">
        <v>245</v>
      </c>
      <c r="E8" s="57" t="s">
        <v>129</v>
      </c>
      <c r="F8" s="58" t="s">
        <v>240</v>
      </c>
      <c r="G8" s="6" t="s">
        <v>9</v>
      </c>
      <c r="H8" s="6" t="s">
        <v>9</v>
      </c>
      <c r="I8" s="6" t="s">
        <v>9</v>
      </c>
      <c r="J8" s="6" t="s">
        <v>9</v>
      </c>
      <c r="K8" s="6" t="s">
        <v>9</v>
      </c>
      <c r="L8" s="59" t="str">
        <f t="shared" ref="L8:L56" si="11">CONCATENATE("", C8)</f>
        <v>GeoTécnicos</v>
      </c>
      <c r="M8" s="59" t="str">
        <f t="shared" ref="M8:M56" si="12">CONCATENATE("", D8)</f>
        <v>Elementos.de.Solo</v>
      </c>
      <c r="N8" s="59" t="str">
        <f t="shared" ref="N8:N56" si="13">(SUBSTITUTE(SUBSTITUTE(CONCATENATE("",E8),"."," ")," De "," de "))</f>
        <v>Compactação</v>
      </c>
      <c r="O8" s="59" t="str">
        <f t="shared" ref="O8:O56" si="14">(SUBSTITUTE(SUBSTITUTE(CONCATENATE("",F8),"."," ")," De "," de "))</f>
        <v>Solo Reforçado Dinamicamente</v>
      </c>
      <c r="P8" s="22" t="s">
        <v>132</v>
      </c>
      <c r="Q8" s="36" t="s">
        <v>340</v>
      </c>
      <c r="R8" s="22" t="s">
        <v>9</v>
      </c>
      <c r="S8" s="22" t="str">
        <f t="shared" ref="S8:S56" si="15">SUBSTITUTE(C8, "_", " ")</f>
        <v>GeoTécnicos</v>
      </c>
      <c r="T8" s="22" t="str">
        <f t="shared" ref="T8:T56" si="16">SUBSTITUTE(D8, "_", " ")</f>
        <v>Elementos.de.Solo</v>
      </c>
      <c r="U8" s="22" t="str">
        <f t="shared" ref="U8:U56" si="17">SUBSTITUTE(E8, "_", " ")</f>
        <v>Compactação</v>
      </c>
      <c r="V8" s="22" t="s">
        <v>143</v>
      </c>
      <c r="W8" s="60" t="str">
        <f t="shared" si="10"/>
        <v>Key-GEO-8</v>
      </c>
      <c r="X8" s="62" t="s">
        <v>221</v>
      </c>
      <c r="Y8" s="62" t="s">
        <v>276</v>
      </c>
      <c r="Z8" s="22" t="s">
        <v>283</v>
      </c>
      <c r="AA8" s="22" t="s">
        <v>294</v>
      </c>
    </row>
    <row r="9" spans="1:27" ht="6.65" customHeight="1" x14ac:dyDescent="0.4">
      <c r="A9" s="52">
        <v>9</v>
      </c>
      <c r="B9" s="57" t="s">
        <v>394</v>
      </c>
      <c r="C9" s="61" t="s">
        <v>395</v>
      </c>
      <c r="D9" s="57" t="s">
        <v>245</v>
      </c>
      <c r="E9" s="57" t="s">
        <v>129</v>
      </c>
      <c r="F9" s="58" t="s">
        <v>241</v>
      </c>
      <c r="G9" s="6" t="s">
        <v>9</v>
      </c>
      <c r="H9" s="6" t="s">
        <v>9</v>
      </c>
      <c r="I9" s="6" t="s">
        <v>9</v>
      </c>
      <c r="J9" s="6" t="s">
        <v>9</v>
      </c>
      <c r="K9" s="6" t="s">
        <v>9</v>
      </c>
      <c r="L9" s="59" t="str">
        <f t="shared" si="11"/>
        <v>GeoTécnicos</v>
      </c>
      <c r="M9" s="59" t="str">
        <f t="shared" si="12"/>
        <v>Elementos.de.Solo</v>
      </c>
      <c r="N9" s="59" t="str">
        <f t="shared" si="13"/>
        <v>Compactação</v>
      </c>
      <c r="O9" s="59" t="str">
        <f t="shared" si="14"/>
        <v>Solo Reforçado Groute</v>
      </c>
      <c r="P9" s="22" t="s">
        <v>133</v>
      </c>
      <c r="Q9" s="36" t="s">
        <v>341</v>
      </c>
      <c r="R9" s="22" t="s">
        <v>9</v>
      </c>
      <c r="S9" s="22" t="str">
        <f t="shared" si="15"/>
        <v>GeoTécnicos</v>
      </c>
      <c r="T9" s="22" t="str">
        <f t="shared" si="16"/>
        <v>Elementos.de.Solo</v>
      </c>
      <c r="U9" s="22" t="str">
        <f t="shared" si="17"/>
        <v>Compactação</v>
      </c>
      <c r="V9" s="22" t="s">
        <v>143</v>
      </c>
      <c r="W9" s="60" t="str">
        <f t="shared" si="10"/>
        <v>Key-GEO-9</v>
      </c>
      <c r="X9" s="62" t="s">
        <v>221</v>
      </c>
      <c r="Y9" s="62" t="s">
        <v>275</v>
      </c>
      <c r="Z9" s="22" t="s">
        <v>283</v>
      </c>
      <c r="AA9" s="22" t="s">
        <v>295</v>
      </c>
    </row>
    <row r="10" spans="1:27" ht="6.65" customHeight="1" x14ac:dyDescent="0.4">
      <c r="A10" s="52">
        <v>10</v>
      </c>
      <c r="B10" s="57" t="s">
        <v>394</v>
      </c>
      <c r="C10" s="61" t="s">
        <v>395</v>
      </c>
      <c r="D10" s="57" t="s">
        <v>245</v>
      </c>
      <c r="E10" s="57" t="s">
        <v>129</v>
      </c>
      <c r="F10" s="58" t="s">
        <v>225</v>
      </c>
      <c r="G10" s="6" t="s">
        <v>9</v>
      </c>
      <c r="H10" s="6" t="s">
        <v>9</v>
      </c>
      <c r="I10" s="6" t="s">
        <v>9</v>
      </c>
      <c r="J10" s="6" t="s">
        <v>9</v>
      </c>
      <c r="K10" s="6" t="s">
        <v>9</v>
      </c>
      <c r="L10" s="59" t="str">
        <f t="shared" si="11"/>
        <v>GeoTécnicos</v>
      </c>
      <c r="M10" s="59" t="str">
        <f t="shared" si="12"/>
        <v>Elementos.de.Solo</v>
      </c>
      <c r="N10" s="59" t="str">
        <f t="shared" si="13"/>
        <v>Compactação</v>
      </c>
      <c r="O10" s="59" t="str">
        <f t="shared" si="14"/>
        <v>Solo Reforçado Substituído</v>
      </c>
      <c r="P10" s="22" t="s">
        <v>134</v>
      </c>
      <c r="Q10" s="36" t="s">
        <v>342</v>
      </c>
      <c r="R10" s="22" t="s">
        <v>9</v>
      </c>
      <c r="S10" s="22" t="str">
        <f t="shared" si="15"/>
        <v>GeoTécnicos</v>
      </c>
      <c r="T10" s="22" t="str">
        <f t="shared" si="16"/>
        <v>Elementos.de.Solo</v>
      </c>
      <c r="U10" s="22" t="str">
        <f t="shared" si="17"/>
        <v>Compactação</v>
      </c>
      <c r="V10" s="22" t="s">
        <v>143</v>
      </c>
      <c r="W10" s="60" t="str">
        <f t="shared" si="10"/>
        <v>Key-GEO-10</v>
      </c>
      <c r="X10" s="62" t="s">
        <v>221</v>
      </c>
      <c r="Y10" s="62" t="s">
        <v>274</v>
      </c>
      <c r="Z10" s="22" t="s">
        <v>283</v>
      </c>
      <c r="AA10" s="22" t="s">
        <v>296</v>
      </c>
    </row>
    <row r="11" spans="1:27" ht="6.65" customHeight="1" x14ac:dyDescent="0.4">
      <c r="A11" s="52">
        <v>11</v>
      </c>
      <c r="B11" s="57" t="s">
        <v>394</v>
      </c>
      <c r="C11" s="61" t="s">
        <v>395</v>
      </c>
      <c r="D11" s="57" t="s">
        <v>245</v>
      </c>
      <c r="E11" s="57" t="s">
        <v>129</v>
      </c>
      <c r="F11" s="58" t="s">
        <v>242</v>
      </c>
      <c r="G11" s="6" t="s">
        <v>9</v>
      </c>
      <c r="H11" s="6" t="s">
        <v>9</v>
      </c>
      <c r="I11" s="6" t="s">
        <v>9</v>
      </c>
      <c r="J11" s="6" t="s">
        <v>9</v>
      </c>
      <c r="K11" s="6" t="s">
        <v>9</v>
      </c>
      <c r="L11" s="59" t="str">
        <f t="shared" si="11"/>
        <v>GeoTécnicos</v>
      </c>
      <c r="M11" s="59" t="str">
        <f t="shared" si="12"/>
        <v>Elementos.de.Solo</v>
      </c>
      <c r="N11" s="59" t="str">
        <f t="shared" si="13"/>
        <v>Compactação</v>
      </c>
      <c r="O11" s="59" t="str">
        <f t="shared" si="14"/>
        <v>Solo Reforçado Rolado</v>
      </c>
      <c r="P11" s="22" t="s">
        <v>135</v>
      </c>
      <c r="Q11" s="36" t="s">
        <v>343</v>
      </c>
      <c r="R11" s="22" t="s">
        <v>9</v>
      </c>
      <c r="S11" s="22" t="str">
        <f t="shared" si="15"/>
        <v>GeoTécnicos</v>
      </c>
      <c r="T11" s="22" t="str">
        <f t="shared" si="16"/>
        <v>Elementos.de.Solo</v>
      </c>
      <c r="U11" s="22" t="str">
        <f t="shared" si="17"/>
        <v>Compactação</v>
      </c>
      <c r="V11" s="22" t="s">
        <v>143</v>
      </c>
      <c r="W11" s="60" t="str">
        <f t="shared" si="10"/>
        <v>Key-GEO-11</v>
      </c>
      <c r="X11" s="62" t="s">
        <v>221</v>
      </c>
      <c r="Y11" s="62" t="s">
        <v>273</v>
      </c>
      <c r="Z11" s="22" t="s">
        <v>283</v>
      </c>
      <c r="AA11" s="22" t="s">
        <v>297</v>
      </c>
    </row>
    <row r="12" spans="1:27" ht="6.65" customHeight="1" x14ac:dyDescent="0.4">
      <c r="A12" s="52">
        <v>12</v>
      </c>
      <c r="B12" s="57" t="s">
        <v>394</v>
      </c>
      <c r="C12" s="61" t="s">
        <v>395</v>
      </c>
      <c r="D12" s="57" t="s">
        <v>245</v>
      </c>
      <c r="E12" s="57" t="s">
        <v>129</v>
      </c>
      <c r="F12" s="58" t="s">
        <v>243</v>
      </c>
      <c r="G12" s="6" t="s">
        <v>9</v>
      </c>
      <c r="H12" s="6" t="s">
        <v>9</v>
      </c>
      <c r="I12" s="6" t="s">
        <v>9</v>
      </c>
      <c r="J12" s="6" t="s">
        <v>9</v>
      </c>
      <c r="K12" s="6" t="s">
        <v>9</v>
      </c>
      <c r="L12" s="59" t="str">
        <f t="shared" si="11"/>
        <v>GeoTécnicos</v>
      </c>
      <c r="M12" s="59" t="str">
        <f t="shared" si="12"/>
        <v>Elementos.de.Solo</v>
      </c>
      <c r="N12" s="59" t="str">
        <f t="shared" si="13"/>
        <v>Compactação</v>
      </c>
      <c r="O12" s="59" t="str">
        <f t="shared" si="14"/>
        <v>Solo Reforçado PréCarregado</v>
      </c>
      <c r="P12" s="22" t="s">
        <v>377</v>
      </c>
      <c r="Q12" s="36" t="s">
        <v>344</v>
      </c>
      <c r="R12" s="22" t="s">
        <v>9</v>
      </c>
      <c r="S12" s="22" t="str">
        <f t="shared" si="15"/>
        <v>GeoTécnicos</v>
      </c>
      <c r="T12" s="22" t="str">
        <f t="shared" si="16"/>
        <v>Elementos.de.Solo</v>
      </c>
      <c r="U12" s="22" t="str">
        <f t="shared" si="17"/>
        <v>Compactação</v>
      </c>
      <c r="V12" s="22" t="s">
        <v>143</v>
      </c>
      <c r="W12" s="60" t="str">
        <f t="shared" si="10"/>
        <v>Key-GEO-12</v>
      </c>
      <c r="X12" s="62" t="s">
        <v>221</v>
      </c>
      <c r="Y12" s="62" t="s">
        <v>272</v>
      </c>
      <c r="Z12" s="22" t="s">
        <v>283</v>
      </c>
      <c r="AA12" s="22" t="s">
        <v>298</v>
      </c>
    </row>
    <row r="13" spans="1:27" ht="6.65" customHeight="1" x14ac:dyDescent="0.4">
      <c r="A13" s="52">
        <v>13</v>
      </c>
      <c r="B13" s="57" t="s">
        <v>394</v>
      </c>
      <c r="C13" s="61" t="s">
        <v>395</v>
      </c>
      <c r="D13" s="57" t="s">
        <v>245</v>
      </c>
      <c r="E13" s="57" t="s">
        <v>129</v>
      </c>
      <c r="F13" s="58" t="s">
        <v>244</v>
      </c>
      <c r="G13" s="6" t="s">
        <v>9</v>
      </c>
      <c r="H13" s="6" t="s">
        <v>9</v>
      </c>
      <c r="I13" s="6" t="s">
        <v>9</v>
      </c>
      <c r="J13" s="6" t="s">
        <v>9</v>
      </c>
      <c r="K13" s="6" t="s">
        <v>9</v>
      </c>
      <c r="L13" s="59" t="str">
        <f t="shared" si="11"/>
        <v>GeoTécnicos</v>
      </c>
      <c r="M13" s="59" t="str">
        <f t="shared" si="12"/>
        <v>Elementos.de.Solo</v>
      </c>
      <c r="N13" s="59" t="str">
        <f t="shared" si="13"/>
        <v>Compactação</v>
      </c>
      <c r="O13" s="59" t="str">
        <f t="shared" si="14"/>
        <v>Solo Reforçado Drenado</v>
      </c>
      <c r="P13" s="22" t="s">
        <v>376</v>
      </c>
      <c r="Q13" s="36" t="s">
        <v>375</v>
      </c>
      <c r="R13" s="22" t="s">
        <v>9</v>
      </c>
      <c r="S13" s="22" t="str">
        <f t="shared" si="15"/>
        <v>GeoTécnicos</v>
      </c>
      <c r="T13" s="22" t="str">
        <f t="shared" si="16"/>
        <v>Elementos.de.Solo</v>
      </c>
      <c r="U13" s="22" t="str">
        <f t="shared" si="17"/>
        <v>Compactação</v>
      </c>
      <c r="V13" s="22" t="s">
        <v>143</v>
      </c>
      <c r="W13" s="60" t="str">
        <f t="shared" si="10"/>
        <v>Key-GEO-13</v>
      </c>
      <c r="X13" s="62" t="s">
        <v>221</v>
      </c>
      <c r="Y13" s="62" t="s">
        <v>271</v>
      </c>
      <c r="Z13" s="22" t="s">
        <v>283</v>
      </c>
      <c r="AA13" s="22" t="s">
        <v>299</v>
      </c>
    </row>
    <row r="14" spans="1:27" ht="6.65" customHeight="1" x14ac:dyDescent="0.4">
      <c r="A14" s="52">
        <v>14</v>
      </c>
      <c r="B14" s="57" t="s">
        <v>394</v>
      </c>
      <c r="C14" s="61" t="s">
        <v>395</v>
      </c>
      <c r="D14" s="57" t="s">
        <v>245</v>
      </c>
      <c r="E14" s="57" t="s">
        <v>288</v>
      </c>
      <c r="F14" s="58" t="s">
        <v>226</v>
      </c>
      <c r="G14" s="6" t="s">
        <v>9</v>
      </c>
      <c r="H14" s="6" t="s">
        <v>9</v>
      </c>
      <c r="I14" s="6" t="s">
        <v>9</v>
      </c>
      <c r="J14" s="6" t="s">
        <v>9</v>
      </c>
      <c r="K14" s="6" t="s">
        <v>9</v>
      </c>
      <c r="L14" s="59" t="str">
        <f t="shared" si="11"/>
        <v>GeoTécnicos</v>
      </c>
      <c r="M14" s="59" t="str">
        <f t="shared" si="12"/>
        <v>Elementos.de.Solo</v>
      </c>
      <c r="N14" s="59" t="str">
        <f t="shared" si="13"/>
        <v>Escavações</v>
      </c>
      <c r="O14" s="59" t="str">
        <f t="shared" si="14"/>
        <v>Escavação</v>
      </c>
      <c r="P14" s="22" t="s">
        <v>99</v>
      </c>
      <c r="Q14" s="36" t="s">
        <v>345</v>
      </c>
      <c r="R14" s="22" t="s">
        <v>9</v>
      </c>
      <c r="S14" s="22" t="str">
        <f t="shared" si="15"/>
        <v>GeoTécnicos</v>
      </c>
      <c r="T14" s="22" t="str">
        <f t="shared" si="16"/>
        <v>Elementos.de.Solo</v>
      </c>
      <c r="U14" s="22" t="str">
        <f t="shared" si="17"/>
        <v>Escavações</v>
      </c>
      <c r="V14" s="22" t="s">
        <v>143</v>
      </c>
      <c r="W14" s="60" t="str">
        <f t="shared" si="10"/>
        <v>Key-GEO-14</v>
      </c>
      <c r="X14" s="62" t="s">
        <v>221</v>
      </c>
      <c r="Y14" s="62" t="s">
        <v>261</v>
      </c>
      <c r="Z14" s="22" t="s">
        <v>283</v>
      </c>
      <c r="AA14" s="22" t="s">
        <v>300</v>
      </c>
    </row>
    <row r="15" spans="1:27" ht="6.65" customHeight="1" x14ac:dyDescent="0.4">
      <c r="A15" s="52">
        <v>15</v>
      </c>
      <c r="B15" s="57" t="s">
        <v>394</v>
      </c>
      <c r="C15" s="61" t="s">
        <v>395</v>
      </c>
      <c r="D15" s="57" t="s">
        <v>245</v>
      </c>
      <c r="E15" s="57" t="s">
        <v>288</v>
      </c>
      <c r="F15" s="58" t="s">
        <v>227</v>
      </c>
      <c r="G15" s="6" t="s">
        <v>9</v>
      </c>
      <c r="H15" s="6" t="s">
        <v>9</v>
      </c>
      <c r="I15" s="6" t="s">
        <v>9</v>
      </c>
      <c r="J15" s="6" t="s">
        <v>9</v>
      </c>
      <c r="K15" s="6" t="s">
        <v>9</v>
      </c>
      <c r="L15" s="59" t="str">
        <f t="shared" si="11"/>
        <v>GeoTécnicos</v>
      </c>
      <c r="M15" s="59" t="str">
        <f t="shared" si="12"/>
        <v>Elementos.de.Solo</v>
      </c>
      <c r="N15" s="59" t="str">
        <f t="shared" si="13"/>
        <v>Escavações</v>
      </c>
      <c r="O15" s="59" t="str">
        <f t="shared" si="14"/>
        <v>Escavação Base</v>
      </c>
      <c r="P15" s="22" t="s">
        <v>100</v>
      </c>
      <c r="Q15" s="36" t="s">
        <v>346</v>
      </c>
      <c r="R15" s="22" t="s">
        <v>9</v>
      </c>
      <c r="S15" s="22" t="str">
        <f t="shared" si="15"/>
        <v>GeoTécnicos</v>
      </c>
      <c r="T15" s="22" t="str">
        <f t="shared" si="16"/>
        <v>Elementos.de.Solo</v>
      </c>
      <c r="U15" s="22" t="str">
        <f t="shared" si="17"/>
        <v>Escavações</v>
      </c>
      <c r="V15" s="22" t="s">
        <v>143</v>
      </c>
      <c r="W15" s="60" t="str">
        <f t="shared" si="10"/>
        <v>Key-GEO-15</v>
      </c>
      <c r="X15" s="62" t="s">
        <v>221</v>
      </c>
      <c r="Y15" s="62" t="s">
        <v>260</v>
      </c>
      <c r="Z15" s="22" t="s">
        <v>283</v>
      </c>
      <c r="AA15" s="22" t="s">
        <v>301</v>
      </c>
    </row>
    <row r="16" spans="1:27" ht="6.65" customHeight="1" x14ac:dyDescent="0.4">
      <c r="A16" s="52">
        <v>16</v>
      </c>
      <c r="B16" s="57" t="s">
        <v>394</v>
      </c>
      <c r="C16" s="61" t="s">
        <v>395</v>
      </c>
      <c r="D16" s="57" t="s">
        <v>245</v>
      </c>
      <c r="E16" s="57" t="s">
        <v>288</v>
      </c>
      <c r="F16" s="58" t="s">
        <v>228</v>
      </c>
      <c r="G16" s="6" t="s">
        <v>9</v>
      </c>
      <c r="H16" s="6" t="s">
        <v>9</v>
      </c>
      <c r="I16" s="6" t="s">
        <v>9</v>
      </c>
      <c r="J16" s="6" t="s">
        <v>9</v>
      </c>
      <c r="K16" s="6" t="s">
        <v>9</v>
      </c>
      <c r="L16" s="59" t="str">
        <f t="shared" si="11"/>
        <v>GeoTécnicos</v>
      </c>
      <c r="M16" s="59" t="str">
        <f t="shared" si="12"/>
        <v>Elementos.de.Solo</v>
      </c>
      <c r="N16" s="59" t="str">
        <f t="shared" si="13"/>
        <v>Escavações</v>
      </c>
      <c r="O16" s="59" t="str">
        <f t="shared" si="14"/>
        <v>Escavação Corte</v>
      </c>
      <c r="P16" s="22" t="s">
        <v>101</v>
      </c>
      <c r="Q16" s="36" t="s">
        <v>347</v>
      </c>
      <c r="R16" s="22" t="s">
        <v>9</v>
      </c>
      <c r="S16" s="22" t="str">
        <f t="shared" si="15"/>
        <v>GeoTécnicos</v>
      </c>
      <c r="T16" s="22" t="str">
        <f t="shared" si="16"/>
        <v>Elementos.de.Solo</v>
      </c>
      <c r="U16" s="22" t="str">
        <f t="shared" si="17"/>
        <v>Escavações</v>
      </c>
      <c r="V16" s="22" t="s">
        <v>143</v>
      </c>
      <c r="W16" s="60" t="str">
        <f t="shared" si="10"/>
        <v>Key-GEO-16</v>
      </c>
      <c r="X16" s="62" t="s">
        <v>221</v>
      </c>
      <c r="Y16" s="62" t="s">
        <v>259</v>
      </c>
      <c r="Z16" s="22" t="s">
        <v>283</v>
      </c>
      <c r="AA16" s="22" t="s">
        <v>302</v>
      </c>
    </row>
    <row r="17" spans="1:27" ht="6.65" customHeight="1" x14ac:dyDescent="0.4">
      <c r="A17" s="52">
        <v>17</v>
      </c>
      <c r="B17" s="57" t="s">
        <v>394</v>
      </c>
      <c r="C17" s="61" t="s">
        <v>395</v>
      </c>
      <c r="D17" s="57" t="s">
        <v>245</v>
      </c>
      <c r="E17" s="57" t="s">
        <v>288</v>
      </c>
      <c r="F17" s="58" t="s">
        <v>229</v>
      </c>
      <c r="G17" s="6" t="s">
        <v>9</v>
      </c>
      <c r="H17" s="6" t="s">
        <v>9</v>
      </c>
      <c r="I17" s="6" t="s">
        <v>9</v>
      </c>
      <c r="J17" s="6" t="s">
        <v>9</v>
      </c>
      <c r="K17" s="6" t="s">
        <v>9</v>
      </c>
      <c r="L17" s="59" t="str">
        <f t="shared" si="11"/>
        <v>GeoTécnicos</v>
      </c>
      <c r="M17" s="59" t="str">
        <f t="shared" si="12"/>
        <v>Elementos.de.Solo</v>
      </c>
      <c r="N17" s="59" t="str">
        <f t="shared" si="13"/>
        <v>Escavações</v>
      </c>
      <c r="O17" s="59" t="str">
        <f t="shared" si="14"/>
        <v>Escavação Dragagem</v>
      </c>
      <c r="P17" s="22" t="s">
        <v>102</v>
      </c>
      <c r="Q17" s="36" t="s">
        <v>348</v>
      </c>
      <c r="R17" s="22" t="s">
        <v>9</v>
      </c>
      <c r="S17" s="22" t="str">
        <f t="shared" si="15"/>
        <v>GeoTécnicos</v>
      </c>
      <c r="T17" s="22" t="str">
        <f t="shared" si="16"/>
        <v>Elementos.de.Solo</v>
      </c>
      <c r="U17" s="22" t="str">
        <f t="shared" si="17"/>
        <v>Escavações</v>
      </c>
      <c r="V17" s="22" t="s">
        <v>143</v>
      </c>
      <c r="W17" s="60" t="str">
        <f t="shared" si="10"/>
        <v>Key-GEO-17</v>
      </c>
      <c r="X17" s="62" t="s">
        <v>221</v>
      </c>
      <c r="Y17" s="62" t="s">
        <v>258</v>
      </c>
      <c r="Z17" s="22" t="s">
        <v>283</v>
      </c>
      <c r="AA17" s="22" t="s">
        <v>303</v>
      </c>
    </row>
    <row r="18" spans="1:27" ht="6.65" customHeight="1" x14ac:dyDescent="0.4">
      <c r="A18" s="52">
        <v>18</v>
      </c>
      <c r="B18" s="57" t="s">
        <v>394</v>
      </c>
      <c r="C18" s="61" t="s">
        <v>395</v>
      </c>
      <c r="D18" s="57" t="s">
        <v>245</v>
      </c>
      <c r="E18" s="57" t="s">
        <v>288</v>
      </c>
      <c r="F18" s="58" t="s">
        <v>234</v>
      </c>
      <c r="G18" s="6" t="s">
        <v>9</v>
      </c>
      <c r="H18" s="6" t="s">
        <v>9</v>
      </c>
      <c r="I18" s="6" t="s">
        <v>9</v>
      </c>
      <c r="J18" s="6" t="s">
        <v>9</v>
      </c>
      <c r="K18" s="6" t="s">
        <v>9</v>
      </c>
      <c r="L18" s="59" t="str">
        <f t="shared" si="11"/>
        <v>GeoTécnicos</v>
      </c>
      <c r="M18" s="59" t="str">
        <f t="shared" si="12"/>
        <v>Elementos.de.Solo</v>
      </c>
      <c r="N18" s="59" t="str">
        <f t="shared" si="13"/>
        <v>Escavações</v>
      </c>
      <c r="O18" s="59" t="str">
        <f t="shared" si="14"/>
        <v>Escavação Terreno</v>
      </c>
      <c r="P18" s="22" t="s">
        <v>103</v>
      </c>
      <c r="Q18" s="36" t="s">
        <v>104</v>
      </c>
      <c r="R18" s="22" t="s">
        <v>9</v>
      </c>
      <c r="S18" s="22" t="str">
        <f t="shared" si="15"/>
        <v>GeoTécnicos</v>
      </c>
      <c r="T18" s="22" t="str">
        <f t="shared" si="16"/>
        <v>Elementos.de.Solo</v>
      </c>
      <c r="U18" s="22" t="str">
        <f t="shared" si="17"/>
        <v>Escavações</v>
      </c>
      <c r="V18" s="22" t="s">
        <v>143</v>
      </c>
      <c r="W18" s="60" t="str">
        <f t="shared" si="10"/>
        <v>Key-GEO-18</v>
      </c>
      <c r="X18" s="62" t="s">
        <v>221</v>
      </c>
      <c r="Y18" s="62" t="s">
        <v>257</v>
      </c>
      <c r="Z18" s="22" t="s">
        <v>283</v>
      </c>
      <c r="AA18" s="22" t="s">
        <v>304</v>
      </c>
    </row>
    <row r="19" spans="1:27" ht="6.65" customHeight="1" x14ac:dyDescent="0.4">
      <c r="A19" s="52">
        <v>19</v>
      </c>
      <c r="B19" s="57" t="s">
        <v>394</v>
      </c>
      <c r="C19" s="61" t="s">
        <v>395</v>
      </c>
      <c r="D19" s="57" t="s">
        <v>245</v>
      </c>
      <c r="E19" s="57" t="s">
        <v>288</v>
      </c>
      <c r="F19" s="58" t="s">
        <v>233</v>
      </c>
      <c r="G19" s="6" t="s">
        <v>9</v>
      </c>
      <c r="H19" s="6" t="s">
        <v>9</v>
      </c>
      <c r="I19" s="6" t="s">
        <v>9</v>
      </c>
      <c r="J19" s="6" t="s">
        <v>9</v>
      </c>
      <c r="K19" s="6" t="s">
        <v>9</v>
      </c>
      <c r="L19" s="59" t="str">
        <f t="shared" si="11"/>
        <v>GeoTécnicos</v>
      </c>
      <c r="M19" s="59" t="str">
        <f t="shared" si="12"/>
        <v>Elementos.de.Solo</v>
      </c>
      <c r="N19" s="59" t="str">
        <f t="shared" si="13"/>
        <v>Escavações</v>
      </c>
      <c r="O19" s="59" t="str">
        <f t="shared" si="14"/>
        <v>Escavação SobreEscavação</v>
      </c>
      <c r="P19" s="22" t="s">
        <v>105</v>
      </c>
      <c r="Q19" s="36" t="s">
        <v>349</v>
      </c>
      <c r="R19" s="22" t="s">
        <v>9</v>
      </c>
      <c r="S19" s="22" t="str">
        <f t="shared" si="15"/>
        <v>GeoTécnicos</v>
      </c>
      <c r="T19" s="22" t="str">
        <f t="shared" si="16"/>
        <v>Elementos.de.Solo</v>
      </c>
      <c r="U19" s="22" t="str">
        <f t="shared" si="17"/>
        <v>Escavações</v>
      </c>
      <c r="V19" s="22" t="s">
        <v>143</v>
      </c>
      <c r="W19" s="60" t="str">
        <f t="shared" si="10"/>
        <v>Key-GEO-19</v>
      </c>
      <c r="X19" s="62" t="s">
        <v>221</v>
      </c>
      <c r="Y19" s="62" t="s">
        <v>256</v>
      </c>
      <c r="Z19" s="22" t="s">
        <v>283</v>
      </c>
      <c r="AA19" s="22" t="s">
        <v>305</v>
      </c>
    </row>
    <row r="20" spans="1:27" ht="6.65" customHeight="1" x14ac:dyDescent="0.4">
      <c r="A20" s="52">
        <v>20</v>
      </c>
      <c r="B20" s="57" t="s">
        <v>394</v>
      </c>
      <c r="C20" s="61" t="s">
        <v>395</v>
      </c>
      <c r="D20" s="57" t="s">
        <v>245</v>
      </c>
      <c r="E20" s="57" t="s">
        <v>288</v>
      </c>
      <c r="F20" s="58" t="s">
        <v>230</v>
      </c>
      <c r="G20" s="6" t="s">
        <v>9</v>
      </c>
      <c r="H20" s="6" t="s">
        <v>9</v>
      </c>
      <c r="I20" s="6" t="s">
        <v>9</v>
      </c>
      <c r="J20" s="6" t="s">
        <v>9</v>
      </c>
      <c r="K20" s="6" t="s">
        <v>9</v>
      </c>
      <c r="L20" s="59" t="str">
        <f t="shared" si="11"/>
        <v>GeoTécnicos</v>
      </c>
      <c r="M20" s="59" t="str">
        <f t="shared" si="12"/>
        <v>Elementos.de.Solo</v>
      </c>
      <c r="N20" s="59" t="str">
        <f t="shared" si="13"/>
        <v>Escavações</v>
      </c>
      <c r="O20" s="59" t="str">
        <f t="shared" si="14"/>
        <v>Escavação Fresagem</v>
      </c>
      <c r="P20" s="22" t="s">
        <v>106</v>
      </c>
      <c r="Q20" s="36" t="s">
        <v>350</v>
      </c>
      <c r="R20" s="22" t="s">
        <v>9</v>
      </c>
      <c r="S20" s="22" t="str">
        <f t="shared" si="15"/>
        <v>GeoTécnicos</v>
      </c>
      <c r="T20" s="22" t="str">
        <f t="shared" si="16"/>
        <v>Elementos.de.Solo</v>
      </c>
      <c r="U20" s="22" t="str">
        <f t="shared" si="17"/>
        <v>Escavações</v>
      </c>
      <c r="V20" s="22" t="s">
        <v>143</v>
      </c>
      <c r="W20" s="60" t="str">
        <f t="shared" si="10"/>
        <v>Key-GEO-20</v>
      </c>
      <c r="X20" s="62" t="s">
        <v>221</v>
      </c>
      <c r="Y20" s="62" t="s">
        <v>255</v>
      </c>
      <c r="Z20" s="22" t="s">
        <v>283</v>
      </c>
      <c r="AA20" s="22" t="s">
        <v>306</v>
      </c>
    </row>
    <row r="21" spans="1:27" ht="6.65" customHeight="1" x14ac:dyDescent="0.4">
      <c r="A21" s="52">
        <v>21</v>
      </c>
      <c r="B21" s="57" t="s">
        <v>394</v>
      </c>
      <c r="C21" s="61" t="s">
        <v>395</v>
      </c>
      <c r="D21" s="57" t="s">
        <v>245</v>
      </c>
      <c r="E21" s="57" t="s">
        <v>288</v>
      </c>
      <c r="F21" s="58" t="s">
        <v>251</v>
      </c>
      <c r="G21" s="6" t="s">
        <v>9</v>
      </c>
      <c r="H21" s="6" t="s">
        <v>9</v>
      </c>
      <c r="I21" s="6" t="s">
        <v>9</v>
      </c>
      <c r="J21" s="6" t="s">
        <v>9</v>
      </c>
      <c r="K21" s="6" t="s">
        <v>9</v>
      </c>
      <c r="L21" s="59" t="str">
        <f t="shared" si="11"/>
        <v>GeoTécnicos</v>
      </c>
      <c r="M21" s="59" t="str">
        <f t="shared" si="12"/>
        <v>Elementos.de.Solo</v>
      </c>
      <c r="N21" s="59" t="str">
        <f t="shared" si="13"/>
        <v>Escavações</v>
      </c>
      <c r="O21" s="59" t="str">
        <f t="shared" si="14"/>
        <v>Escavação Banqueta</v>
      </c>
      <c r="P21" s="22" t="s">
        <v>107</v>
      </c>
      <c r="Q21" s="36" t="s">
        <v>351</v>
      </c>
      <c r="R21" s="22" t="s">
        <v>9</v>
      </c>
      <c r="S21" s="22" t="str">
        <f t="shared" si="15"/>
        <v>GeoTécnicos</v>
      </c>
      <c r="T21" s="22" t="str">
        <f t="shared" si="16"/>
        <v>Elementos.de.Solo</v>
      </c>
      <c r="U21" s="22" t="str">
        <f t="shared" si="17"/>
        <v>Escavações</v>
      </c>
      <c r="V21" s="22" t="s">
        <v>143</v>
      </c>
      <c r="W21" s="60" t="str">
        <f t="shared" si="10"/>
        <v>Key-GEO-21</v>
      </c>
      <c r="X21" s="62" t="s">
        <v>221</v>
      </c>
      <c r="Y21" s="62" t="s">
        <v>254</v>
      </c>
      <c r="Z21" s="22" t="s">
        <v>283</v>
      </c>
      <c r="AA21" s="22" t="s">
        <v>307</v>
      </c>
    </row>
    <row r="22" spans="1:27" ht="6.65" customHeight="1" x14ac:dyDescent="0.4">
      <c r="A22" s="52">
        <v>22</v>
      </c>
      <c r="B22" s="57" t="s">
        <v>394</v>
      </c>
      <c r="C22" s="61" t="s">
        <v>395</v>
      </c>
      <c r="D22" s="57" t="s">
        <v>245</v>
      </c>
      <c r="E22" s="57" t="s">
        <v>288</v>
      </c>
      <c r="F22" s="58" t="s">
        <v>231</v>
      </c>
      <c r="G22" s="6" t="s">
        <v>9</v>
      </c>
      <c r="H22" s="6" t="s">
        <v>9</v>
      </c>
      <c r="I22" s="6" t="s">
        <v>9</v>
      </c>
      <c r="J22" s="6" t="s">
        <v>9</v>
      </c>
      <c r="K22" s="6" t="s">
        <v>9</v>
      </c>
      <c r="L22" s="59" t="str">
        <f t="shared" si="11"/>
        <v>GeoTécnicos</v>
      </c>
      <c r="M22" s="59" t="str">
        <f t="shared" si="12"/>
        <v>Elementos.de.Solo</v>
      </c>
      <c r="N22" s="59" t="str">
        <f t="shared" si="13"/>
        <v>Escavações</v>
      </c>
      <c r="O22" s="59" t="str">
        <f t="shared" si="14"/>
        <v>Escavação Remoção</v>
      </c>
      <c r="P22" s="22" t="s">
        <v>108</v>
      </c>
      <c r="Q22" s="36" t="s">
        <v>352</v>
      </c>
      <c r="R22" s="22" t="s">
        <v>9</v>
      </c>
      <c r="S22" s="22" t="str">
        <f t="shared" si="15"/>
        <v>GeoTécnicos</v>
      </c>
      <c r="T22" s="22" t="str">
        <f t="shared" si="16"/>
        <v>Elementos.de.Solo</v>
      </c>
      <c r="U22" s="22" t="str">
        <f t="shared" si="17"/>
        <v>Escavações</v>
      </c>
      <c r="V22" s="22" t="s">
        <v>143</v>
      </c>
      <c r="W22" s="60" t="str">
        <f t="shared" si="10"/>
        <v>Key-GEO-22</v>
      </c>
      <c r="X22" s="62" t="s">
        <v>221</v>
      </c>
      <c r="Y22" s="62" t="s">
        <v>253</v>
      </c>
      <c r="Z22" s="22" t="s">
        <v>283</v>
      </c>
      <c r="AA22" s="22" t="s">
        <v>308</v>
      </c>
    </row>
    <row r="23" spans="1:27" ht="6.65" customHeight="1" x14ac:dyDescent="0.4">
      <c r="A23" s="52">
        <v>23</v>
      </c>
      <c r="B23" s="57" t="s">
        <v>394</v>
      </c>
      <c r="C23" s="61" t="s">
        <v>395</v>
      </c>
      <c r="D23" s="57" t="s">
        <v>245</v>
      </c>
      <c r="E23" s="57" t="s">
        <v>288</v>
      </c>
      <c r="F23" s="58" t="s">
        <v>232</v>
      </c>
      <c r="G23" s="6" t="s">
        <v>9</v>
      </c>
      <c r="H23" s="6" t="s">
        <v>9</v>
      </c>
      <c r="I23" s="6" t="s">
        <v>9</v>
      </c>
      <c r="J23" s="6" t="s">
        <v>9</v>
      </c>
      <c r="K23" s="6" t="s">
        <v>9</v>
      </c>
      <c r="L23" s="59" t="str">
        <f t="shared" si="11"/>
        <v>GeoTécnicos</v>
      </c>
      <c r="M23" s="59" t="str">
        <f t="shared" si="12"/>
        <v>Elementos.de.Solo</v>
      </c>
      <c r="N23" s="59" t="str">
        <f t="shared" si="13"/>
        <v>Escavações</v>
      </c>
      <c r="O23" s="59" t="str">
        <f t="shared" si="14"/>
        <v>Escavação Trincheira</v>
      </c>
      <c r="P23" s="22" t="s">
        <v>109</v>
      </c>
      <c r="Q23" s="36" t="s">
        <v>353</v>
      </c>
      <c r="R23" s="22" t="s">
        <v>9</v>
      </c>
      <c r="S23" s="22" t="str">
        <f t="shared" si="15"/>
        <v>GeoTécnicos</v>
      </c>
      <c r="T23" s="22" t="str">
        <f t="shared" si="16"/>
        <v>Elementos.de.Solo</v>
      </c>
      <c r="U23" s="22" t="str">
        <f t="shared" si="17"/>
        <v>Escavações</v>
      </c>
      <c r="V23" s="22" t="s">
        <v>143</v>
      </c>
      <c r="W23" s="60" t="str">
        <f t="shared" si="10"/>
        <v>Key-GEO-23</v>
      </c>
      <c r="X23" s="62" t="s">
        <v>221</v>
      </c>
      <c r="Y23" s="62" t="s">
        <v>252</v>
      </c>
      <c r="Z23" s="22" t="s">
        <v>283</v>
      </c>
      <c r="AA23" s="22" t="s">
        <v>309</v>
      </c>
    </row>
    <row r="24" spans="1:27" ht="6.65" customHeight="1" x14ac:dyDescent="0.4">
      <c r="A24" s="52">
        <v>24</v>
      </c>
      <c r="B24" s="57" t="s">
        <v>394</v>
      </c>
      <c r="C24" s="61" t="s">
        <v>395</v>
      </c>
      <c r="D24" s="57" t="s">
        <v>245</v>
      </c>
      <c r="E24" s="57" t="s">
        <v>246</v>
      </c>
      <c r="F24" s="58" t="s">
        <v>247</v>
      </c>
      <c r="G24" s="6" t="s">
        <v>9</v>
      </c>
      <c r="H24" s="6" t="s">
        <v>9</v>
      </c>
      <c r="I24" s="6" t="s">
        <v>9</v>
      </c>
      <c r="J24" s="6" t="s">
        <v>9</v>
      </c>
      <c r="K24" s="6" t="s">
        <v>9</v>
      </c>
      <c r="L24" s="59" t="str">
        <f t="shared" si="11"/>
        <v>GeoTécnicos</v>
      </c>
      <c r="M24" s="59" t="str">
        <f t="shared" si="12"/>
        <v>Elementos.de.Solo</v>
      </c>
      <c r="N24" s="59" t="str">
        <f t="shared" si="13"/>
        <v>Terraplenagens</v>
      </c>
      <c r="O24" s="59" t="str">
        <f t="shared" si="14"/>
        <v>Terrapleno</v>
      </c>
      <c r="P24" s="22" t="s">
        <v>110</v>
      </c>
      <c r="Q24" s="36" t="s">
        <v>354</v>
      </c>
      <c r="R24" s="22" t="s">
        <v>9</v>
      </c>
      <c r="S24" s="22" t="str">
        <f t="shared" si="15"/>
        <v>GeoTécnicos</v>
      </c>
      <c r="T24" s="22" t="str">
        <f t="shared" si="16"/>
        <v>Elementos.de.Solo</v>
      </c>
      <c r="U24" s="22" t="str">
        <f t="shared" si="17"/>
        <v>Terraplenagens</v>
      </c>
      <c r="V24" s="22" t="s">
        <v>143</v>
      </c>
      <c r="W24" s="60" t="str">
        <f t="shared" si="10"/>
        <v>Key-GEO-24</v>
      </c>
      <c r="X24" s="62" t="s">
        <v>221</v>
      </c>
      <c r="Y24" s="62" t="s">
        <v>270</v>
      </c>
      <c r="Z24" s="22" t="s">
        <v>284</v>
      </c>
      <c r="AA24" s="22" t="s">
        <v>111</v>
      </c>
    </row>
    <row r="25" spans="1:27" ht="6.65" customHeight="1" x14ac:dyDescent="0.4">
      <c r="A25" s="52">
        <v>25</v>
      </c>
      <c r="B25" s="57" t="s">
        <v>394</v>
      </c>
      <c r="C25" s="61" t="s">
        <v>395</v>
      </c>
      <c r="D25" s="57" t="s">
        <v>245</v>
      </c>
      <c r="E25" s="57" t="s">
        <v>246</v>
      </c>
      <c r="F25" s="58" t="s">
        <v>248</v>
      </c>
      <c r="G25" s="6" t="s">
        <v>9</v>
      </c>
      <c r="H25" s="6" t="s">
        <v>9</v>
      </c>
      <c r="I25" s="6" t="s">
        <v>9</v>
      </c>
      <c r="J25" s="6" t="s">
        <v>9</v>
      </c>
      <c r="K25" s="6" t="s">
        <v>9</v>
      </c>
      <c r="L25" s="59" t="str">
        <f t="shared" si="11"/>
        <v>GeoTécnicos</v>
      </c>
      <c r="M25" s="59" t="str">
        <f t="shared" si="12"/>
        <v>Elementos.de.Solo</v>
      </c>
      <c r="N25" s="59" t="str">
        <f t="shared" si="13"/>
        <v>Terraplenagens</v>
      </c>
      <c r="O25" s="59" t="str">
        <f t="shared" si="14"/>
        <v>Aterro Terrapleno</v>
      </c>
      <c r="P25" s="22" t="s">
        <v>112</v>
      </c>
      <c r="Q25" s="36" t="s">
        <v>355</v>
      </c>
      <c r="R25" s="22" t="s">
        <v>9</v>
      </c>
      <c r="S25" s="22" t="str">
        <f t="shared" si="15"/>
        <v>GeoTécnicos</v>
      </c>
      <c r="T25" s="22" t="str">
        <f t="shared" si="16"/>
        <v>Elementos.de.Solo</v>
      </c>
      <c r="U25" s="22" t="str">
        <f t="shared" si="17"/>
        <v>Terraplenagens</v>
      </c>
      <c r="V25" s="22" t="s">
        <v>143</v>
      </c>
      <c r="W25" s="60" t="str">
        <f t="shared" si="10"/>
        <v>Key-GEO-25</v>
      </c>
      <c r="X25" s="62" t="s">
        <v>221</v>
      </c>
      <c r="Y25" s="62" t="s">
        <v>269</v>
      </c>
      <c r="Z25" s="22" t="s">
        <v>284</v>
      </c>
      <c r="AA25" s="22" t="s">
        <v>310</v>
      </c>
    </row>
    <row r="26" spans="1:27" ht="6.65" customHeight="1" x14ac:dyDescent="0.4">
      <c r="A26" s="52">
        <v>26</v>
      </c>
      <c r="B26" s="57" t="s">
        <v>394</v>
      </c>
      <c r="C26" s="61" t="s">
        <v>395</v>
      </c>
      <c r="D26" s="57" t="s">
        <v>245</v>
      </c>
      <c r="E26" s="57" t="s">
        <v>246</v>
      </c>
      <c r="F26" s="58" t="s">
        <v>249</v>
      </c>
      <c r="G26" s="6" t="s">
        <v>9</v>
      </c>
      <c r="H26" s="6" t="s">
        <v>9</v>
      </c>
      <c r="I26" s="6" t="s">
        <v>9</v>
      </c>
      <c r="J26" s="6" t="s">
        <v>9</v>
      </c>
      <c r="K26" s="6" t="s">
        <v>9</v>
      </c>
      <c r="L26" s="59" t="str">
        <f t="shared" si="11"/>
        <v>GeoTécnicos</v>
      </c>
      <c r="M26" s="59" t="str">
        <f t="shared" si="12"/>
        <v>Elementos.de.Solo</v>
      </c>
      <c r="N26" s="59" t="str">
        <f t="shared" si="13"/>
        <v>Terraplenagens</v>
      </c>
      <c r="O26" s="59" t="str">
        <f t="shared" si="14"/>
        <v>Aterro Reenchimento</v>
      </c>
      <c r="P26" s="22" t="s">
        <v>113</v>
      </c>
      <c r="Q26" s="36" t="s">
        <v>356</v>
      </c>
      <c r="R26" s="22" t="s">
        <v>9</v>
      </c>
      <c r="S26" s="22" t="str">
        <f t="shared" si="15"/>
        <v>GeoTécnicos</v>
      </c>
      <c r="T26" s="22" t="str">
        <f t="shared" si="16"/>
        <v>Elementos.de.Solo</v>
      </c>
      <c r="U26" s="22" t="str">
        <f t="shared" si="17"/>
        <v>Terraplenagens</v>
      </c>
      <c r="V26" s="22" t="s">
        <v>143</v>
      </c>
      <c r="W26" s="60" t="str">
        <f t="shared" si="10"/>
        <v>Key-GEO-26</v>
      </c>
      <c r="X26" s="62" t="s">
        <v>221</v>
      </c>
      <c r="Y26" s="62" t="s">
        <v>268</v>
      </c>
      <c r="Z26" s="22" t="s">
        <v>284</v>
      </c>
      <c r="AA26" s="22" t="s">
        <v>311</v>
      </c>
    </row>
    <row r="27" spans="1:27" ht="6.65" customHeight="1" x14ac:dyDescent="0.4">
      <c r="A27" s="52">
        <v>27</v>
      </c>
      <c r="B27" s="57" t="s">
        <v>394</v>
      </c>
      <c r="C27" s="61" t="s">
        <v>395</v>
      </c>
      <c r="D27" s="57" t="s">
        <v>245</v>
      </c>
      <c r="E27" s="57" t="s">
        <v>246</v>
      </c>
      <c r="F27" s="58" t="s">
        <v>235</v>
      </c>
      <c r="G27" s="6" t="s">
        <v>9</v>
      </c>
      <c r="H27" s="6" t="s">
        <v>9</v>
      </c>
      <c r="I27" s="6" t="s">
        <v>9</v>
      </c>
      <c r="J27" s="6" t="s">
        <v>9</v>
      </c>
      <c r="K27" s="6" t="s">
        <v>9</v>
      </c>
      <c r="L27" s="59" t="str">
        <f t="shared" si="11"/>
        <v>GeoTécnicos</v>
      </c>
      <c r="M27" s="59" t="str">
        <f t="shared" si="12"/>
        <v>Elementos.de.Solo</v>
      </c>
      <c r="N27" s="59" t="str">
        <f t="shared" si="13"/>
        <v>Terraplenagens</v>
      </c>
      <c r="O27" s="59" t="str">
        <f t="shared" si="14"/>
        <v>Aterro Contrapeso</v>
      </c>
      <c r="P27" s="22" t="s">
        <v>114</v>
      </c>
      <c r="Q27" s="36" t="s">
        <v>357</v>
      </c>
      <c r="R27" s="22" t="s">
        <v>9</v>
      </c>
      <c r="S27" s="22" t="str">
        <f t="shared" si="15"/>
        <v>GeoTécnicos</v>
      </c>
      <c r="T27" s="22" t="str">
        <f t="shared" si="16"/>
        <v>Elementos.de.Solo</v>
      </c>
      <c r="U27" s="22" t="str">
        <f t="shared" si="17"/>
        <v>Terraplenagens</v>
      </c>
      <c r="V27" s="22" t="s">
        <v>143</v>
      </c>
      <c r="W27" s="60" t="str">
        <f t="shared" si="10"/>
        <v>Key-GEO-27</v>
      </c>
      <c r="X27" s="62" t="s">
        <v>221</v>
      </c>
      <c r="Y27" s="62" t="s">
        <v>267</v>
      </c>
      <c r="Z27" s="22" t="s">
        <v>284</v>
      </c>
      <c r="AA27" s="22" t="s">
        <v>312</v>
      </c>
    </row>
    <row r="28" spans="1:27" ht="6.65" customHeight="1" x14ac:dyDescent="0.4">
      <c r="A28" s="52">
        <v>28</v>
      </c>
      <c r="B28" s="57" t="s">
        <v>394</v>
      </c>
      <c r="C28" s="61" t="s">
        <v>395</v>
      </c>
      <c r="D28" s="57" t="s">
        <v>245</v>
      </c>
      <c r="E28" s="57" t="s">
        <v>246</v>
      </c>
      <c r="F28" s="58" t="s">
        <v>236</v>
      </c>
      <c r="G28" s="6" t="s">
        <v>9</v>
      </c>
      <c r="H28" s="6" t="s">
        <v>9</v>
      </c>
      <c r="I28" s="6" t="s">
        <v>9</v>
      </c>
      <c r="J28" s="6" t="s">
        <v>9</v>
      </c>
      <c r="K28" s="6" t="s">
        <v>9</v>
      </c>
      <c r="L28" s="59" t="str">
        <f t="shared" si="11"/>
        <v>GeoTécnicos</v>
      </c>
      <c r="M28" s="59" t="str">
        <f t="shared" si="12"/>
        <v>Elementos.de.Solo</v>
      </c>
      <c r="N28" s="59" t="str">
        <f t="shared" si="13"/>
        <v>Terraplenagens</v>
      </c>
      <c r="O28" s="59" t="str">
        <f t="shared" si="14"/>
        <v>Aterro Preenchimento</v>
      </c>
      <c r="P28" s="22" t="s">
        <v>115</v>
      </c>
      <c r="Q28" s="36" t="s">
        <v>358</v>
      </c>
      <c r="R28" s="22" t="s">
        <v>9</v>
      </c>
      <c r="S28" s="22" t="str">
        <f t="shared" si="15"/>
        <v>GeoTécnicos</v>
      </c>
      <c r="T28" s="22" t="str">
        <f t="shared" si="16"/>
        <v>Elementos.de.Solo</v>
      </c>
      <c r="U28" s="22" t="str">
        <f t="shared" si="17"/>
        <v>Terraplenagens</v>
      </c>
      <c r="V28" s="22" t="s">
        <v>143</v>
      </c>
      <c r="W28" s="60" t="str">
        <f t="shared" si="10"/>
        <v>Key-GEO-28</v>
      </c>
      <c r="X28" s="62" t="s">
        <v>221</v>
      </c>
      <c r="Y28" s="62" t="s">
        <v>266</v>
      </c>
      <c r="Z28" s="22" t="s">
        <v>284</v>
      </c>
      <c r="AA28" s="22" t="s">
        <v>313</v>
      </c>
    </row>
    <row r="29" spans="1:27" ht="6.65" customHeight="1" x14ac:dyDescent="0.4">
      <c r="A29" s="52">
        <v>29</v>
      </c>
      <c r="B29" s="57" t="s">
        <v>394</v>
      </c>
      <c r="C29" s="61" t="s">
        <v>395</v>
      </c>
      <c r="D29" s="57" t="s">
        <v>245</v>
      </c>
      <c r="E29" s="57" t="s">
        <v>246</v>
      </c>
      <c r="F29" s="58" t="s">
        <v>237</v>
      </c>
      <c r="G29" s="6" t="s">
        <v>9</v>
      </c>
      <c r="H29" s="6" t="s">
        <v>9</v>
      </c>
      <c r="I29" s="6" t="s">
        <v>9</v>
      </c>
      <c r="J29" s="6" t="s">
        <v>9</v>
      </c>
      <c r="K29" s="6" t="s">
        <v>9</v>
      </c>
      <c r="L29" s="59" t="str">
        <f t="shared" si="11"/>
        <v>GeoTécnicos</v>
      </c>
      <c r="M29" s="59" t="str">
        <f t="shared" si="12"/>
        <v>Elementos.de.Solo</v>
      </c>
      <c r="N29" s="59" t="str">
        <f t="shared" si="13"/>
        <v>Terraplenagens</v>
      </c>
      <c r="O29" s="59" t="str">
        <f t="shared" si="14"/>
        <v>Aterro Inclinado</v>
      </c>
      <c r="P29" s="22" t="s">
        <v>116</v>
      </c>
      <c r="Q29" s="36" t="s">
        <v>359</v>
      </c>
      <c r="R29" s="22" t="s">
        <v>9</v>
      </c>
      <c r="S29" s="22" t="str">
        <f t="shared" si="15"/>
        <v>GeoTécnicos</v>
      </c>
      <c r="T29" s="22" t="str">
        <f t="shared" si="16"/>
        <v>Elementos.de.Solo</v>
      </c>
      <c r="U29" s="22" t="str">
        <f t="shared" si="17"/>
        <v>Terraplenagens</v>
      </c>
      <c r="V29" s="22" t="s">
        <v>143</v>
      </c>
      <c r="W29" s="60" t="str">
        <f t="shared" si="10"/>
        <v>Key-GEO-29</v>
      </c>
      <c r="X29" s="62" t="s">
        <v>221</v>
      </c>
      <c r="Y29" s="62" t="s">
        <v>265</v>
      </c>
      <c r="Z29" s="22" t="s">
        <v>284</v>
      </c>
      <c r="AA29" s="22" t="s">
        <v>314</v>
      </c>
    </row>
    <row r="30" spans="1:27" ht="6.65" customHeight="1" x14ac:dyDescent="0.4">
      <c r="A30" s="52">
        <v>30</v>
      </c>
      <c r="B30" s="57" t="s">
        <v>394</v>
      </c>
      <c r="C30" s="61" t="s">
        <v>395</v>
      </c>
      <c r="D30" s="57" t="s">
        <v>245</v>
      </c>
      <c r="E30" s="57" t="s">
        <v>246</v>
      </c>
      <c r="F30" s="58" t="s">
        <v>250</v>
      </c>
      <c r="G30" s="6" t="s">
        <v>9</v>
      </c>
      <c r="H30" s="6" t="s">
        <v>9</v>
      </c>
      <c r="I30" s="6" t="s">
        <v>9</v>
      </c>
      <c r="J30" s="6" t="s">
        <v>9</v>
      </c>
      <c r="K30" s="6" t="s">
        <v>9</v>
      </c>
      <c r="L30" s="59" t="str">
        <f t="shared" si="11"/>
        <v>GeoTécnicos</v>
      </c>
      <c r="M30" s="59" t="str">
        <f t="shared" si="12"/>
        <v>Elementos.de.Solo</v>
      </c>
      <c r="N30" s="59" t="str">
        <f t="shared" si="13"/>
        <v>Terraplenagens</v>
      </c>
      <c r="O30" s="59" t="str">
        <f t="shared" si="14"/>
        <v>Aterro Subterrâneo</v>
      </c>
      <c r="P30" s="22" t="s">
        <v>117</v>
      </c>
      <c r="Q30" s="36" t="s">
        <v>360</v>
      </c>
      <c r="R30" s="22" t="s">
        <v>9</v>
      </c>
      <c r="S30" s="22" t="str">
        <f t="shared" si="15"/>
        <v>GeoTécnicos</v>
      </c>
      <c r="T30" s="22" t="str">
        <f t="shared" si="16"/>
        <v>Elementos.de.Solo</v>
      </c>
      <c r="U30" s="22" t="str">
        <f t="shared" si="17"/>
        <v>Terraplenagens</v>
      </c>
      <c r="V30" s="22" t="s">
        <v>143</v>
      </c>
      <c r="W30" s="60" t="str">
        <f t="shared" si="10"/>
        <v>Key-GEO-30</v>
      </c>
      <c r="X30" s="62" t="s">
        <v>221</v>
      </c>
      <c r="Y30" s="62" t="s">
        <v>264</v>
      </c>
      <c r="Z30" s="22" t="s">
        <v>284</v>
      </c>
      <c r="AA30" s="22" t="s">
        <v>315</v>
      </c>
    </row>
    <row r="31" spans="1:27" ht="6.65" customHeight="1" x14ac:dyDescent="0.4">
      <c r="A31" s="52">
        <v>31</v>
      </c>
      <c r="B31" s="57" t="s">
        <v>394</v>
      </c>
      <c r="C31" s="61" t="s">
        <v>395</v>
      </c>
      <c r="D31" s="57" t="s">
        <v>245</v>
      </c>
      <c r="E31" s="57" t="s">
        <v>246</v>
      </c>
      <c r="F31" s="58" t="s">
        <v>238</v>
      </c>
      <c r="G31" s="6" t="s">
        <v>9</v>
      </c>
      <c r="H31" s="6" t="s">
        <v>9</v>
      </c>
      <c r="I31" s="6" t="s">
        <v>9</v>
      </c>
      <c r="J31" s="6" t="s">
        <v>9</v>
      </c>
      <c r="K31" s="6" t="s">
        <v>9</v>
      </c>
      <c r="L31" s="59" t="str">
        <f t="shared" si="11"/>
        <v>GeoTécnicos</v>
      </c>
      <c r="M31" s="59" t="str">
        <f t="shared" si="12"/>
        <v>Elementos.de.Solo</v>
      </c>
      <c r="N31" s="59" t="str">
        <f t="shared" si="13"/>
        <v>Terraplenagens</v>
      </c>
      <c r="O31" s="59" t="str">
        <f t="shared" si="14"/>
        <v>Aterro Camada</v>
      </c>
      <c r="P31" s="22" t="s">
        <v>118</v>
      </c>
      <c r="Q31" s="36" t="s">
        <v>361</v>
      </c>
      <c r="R31" s="22" t="s">
        <v>9</v>
      </c>
      <c r="S31" s="22" t="str">
        <f t="shared" si="15"/>
        <v>GeoTécnicos</v>
      </c>
      <c r="T31" s="22" t="str">
        <f t="shared" si="16"/>
        <v>Elementos.de.Solo</v>
      </c>
      <c r="U31" s="22" t="str">
        <f t="shared" si="17"/>
        <v>Terraplenagens</v>
      </c>
      <c r="V31" s="22" t="s">
        <v>143</v>
      </c>
      <c r="W31" s="60" t="str">
        <f t="shared" si="10"/>
        <v>Key-GEO-31</v>
      </c>
      <c r="X31" s="62" t="s">
        <v>221</v>
      </c>
      <c r="Y31" s="62" t="s">
        <v>263</v>
      </c>
      <c r="Z31" s="22" t="s">
        <v>284</v>
      </c>
      <c r="AA31" s="22" t="s">
        <v>316</v>
      </c>
    </row>
    <row r="32" spans="1:27" ht="6.65" customHeight="1" x14ac:dyDescent="0.4">
      <c r="A32" s="52">
        <v>32</v>
      </c>
      <c r="B32" s="57" t="s">
        <v>394</v>
      </c>
      <c r="C32" s="61" t="s">
        <v>395</v>
      </c>
      <c r="D32" s="57" t="s">
        <v>245</v>
      </c>
      <c r="E32" s="57" t="s">
        <v>246</v>
      </c>
      <c r="F32" s="58" t="s">
        <v>239</v>
      </c>
      <c r="G32" s="6" t="s">
        <v>9</v>
      </c>
      <c r="H32" s="6" t="s">
        <v>9</v>
      </c>
      <c r="I32" s="6" t="s">
        <v>9</v>
      </c>
      <c r="J32" s="6" t="s">
        <v>9</v>
      </c>
      <c r="K32" s="6" t="s">
        <v>9</v>
      </c>
      <c r="L32" s="59" t="str">
        <f t="shared" si="11"/>
        <v>GeoTécnicos</v>
      </c>
      <c r="M32" s="59" t="str">
        <f t="shared" si="12"/>
        <v>Elementos.de.Solo</v>
      </c>
      <c r="N32" s="59" t="str">
        <f t="shared" si="13"/>
        <v>Terraplenagens</v>
      </c>
      <c r="O32" s="59" t="str">
        <f t="shared" si="14"/>
        <v>Aterro Transição</v>
      </c>
      <c r="P32" s="22" t="s">
        <v>119</v>
      </c>
      <c r="Q32" s="36" t="s">
        <v>362</v>
      </c>
      <c r="R32" s="22" t="s">
        <v>9</v>
      </c>
      <c r="S32" s="22" t="str">
        <f t="shared" si="15"/>
        <v>GeoTécnicos</v>
      </c>
      <c r="T32" s="22" t="str">
        <f t="shared" si="16"/>
        <v>Elementos.de.Solo</v>
      </c>
      <c r="U32" s="22" t="str">
        <f t="shared" si="17"/>
        <v>Terraplenagens</v>
      </c>
      <c r="V32" s="22" t="s">
        <v>143</v>
      </c>
      <c r="W32" s="60" t="str">
        <f t="shared" si="10"/>
        <v>Key-GEO-32</v>
      </c>
      <c r="X32" s="62" t="s">
        <v>221</v>
      </c>
      <c r="Y32" s="62" t="s">
        <v>262</v>
      </c>
      <c r="Z32" s="22" t="s">
        <v>284</v>
      </c>
      <c r="AA32" s="22" t="s">
        <v>317</v>
      </c>
    </row>
    <row r="33" spans="1:27" ht="6.65" customHeight="1" x14ac:dyDescent="0.4">
      <c r="A33" s="52">
        <v>33</v>
      </c>
      <c r="B33" s="57" t="s">
        <v>394</v>
      </c>
      <c r="C33" s="61" t="s">
        <v>395</v>
      </c>
      <c r="D33" s="57" t="s">
        <v>278</v>
      </c>
      <c r="E33" s="45" t="s">
        <v>209</v>
      </c>
      <c r="F33" s="45" t="s">
        <v>151</v>
      </c>
      <c r="G33" s="6" t="s">
        <v>9</v>
      </c>
      <c r="H33" s="6" t="s">
        <v>9</v>
      </c>
      <c r="I33" s="6" t="s">
        <v>9</v>
      </c>
      <c r="J33" s="6" t="s">
        <v>9</v>
      </c>
      <c r="K33" s="6" t="s">
        <v>9</v>
      </c>
      <c r="L33" s="59" t="str">
        <f t="shared" si="11"/>
        <v>GeoTécnicos</v>
      </c>
      <c r="M33" s="59" t="str">
        <f t="shared" si="12"/>
        <v>Elementos.de.Topografia</v>
      </c>
      <c r="N33" s="59" t="str">
        <f t="shared" si="13"/>
        <v>Pontos do Modelo</v>
      </c>
      <c r="O33" s="59" t="str">
        <f t="shared" si="14"/>
        <v>Ponto Interno</v>
      </c>
      <c r="P33" s="36" t="s">
        <v>152</v>
      </c>
      <c r="Q33" s="36" t="s">
        <v>363</v>
      </c>
      <c r="R33" s="22" t="s">
        <v>9</v>
      </c>
      <c r="S33" s="22" t="str">
        <f t="shared" si="15"/>
        <v>GeoTécnicos</v>
      </c>
      <c r="T33" s="22" t="str">
        <f t="shared" si="16"/>
        <v>Elementos.de.Topografia</v>
      </c>
      <c r="U33" s="22" t="str">
        <f t="shared" si="17"/>
        <v>Pontos.do.Modelo</v>
      </c>
      <c r="V33" s="22" t="s">
        <v>143</v>
      </c>
      <c r="W33" s="60" t="str">
        <f t="shared" si="10"/>
        <v>Key-GEO-33</v>
      </c>
      <c r="X33" s="22" t="s">
        <v>177</v>
      </c>
      <c r="Y33" s="22" t="s">
        <v>174</v>
      </c>
      <c r="Z33" s="22" t="s">
        <v>145</v>
      </c>
      <c r="AA33" s="22" t="s">
        <v>318</v>
      </c>
    </row>
    <row r="34" spans="1:27" ht="6.65" customHeight="1" x14ac:dyDescent="0.4">
      <c r="A34" s="52">
        <v>34</v>
      </c>
      <c r="B34" s="57" t="s">
        <v>394</v>
      </c>
      <c r="C34" s="61" t="s">
        <v>395</v>
      </c>
      <c r="D34" s="57" t="s">
        <v>278</v>
      </c>
      <c r="E34" s="45" t="s">
        <v>209</v>
      </c>
      <c r="F34" s="45" t="s">
        <v>153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59" t="str">
        <f t="shared" si="11"/>
        <v>GeoTécnicos</v>
      </c>
      <c r="M34" s="59" t="str">
        <f t="shared" si="12"/>
        <v>Elementos.de.Topografia</v>
      </c>
      <c r="N34" s="59" t="str">
        <f t="shared" si="13"/>
        <v>Pontos do Modelo</v>
      </c>
      <c r="O34" s="59" t="str">
        <f t="shared" si="14"/>
        <v>Ponto Perimetral</v>
      </c>
      <c r="P34" s="36" t="s">
        <v>154</v>
      </c>
      <c r="Q34" s="36" t="s">
        <v>364</v>
      </c>
      <c r="R34" s="22" t="s">
        <v>9</v>
      </c>
      <c r="S34" s="22" t="str">
        <f t="shared" si="15"/>
        <v>GeoTécnicos</v>
      </c>
      <c r="T34" s="22" t="str">
        <f t="shared" si="16"/>
        <v>Elementos.de.Topografia</v>
      </c>
      <c r="U34" s="22" t="str">
        <f t="shared" si="17"/>
        <v>Pontos.do.Modelo</v>
      </c>
      <c r="V34" s="22" t="s">
        <v>143</v>
      </c>
      <c r="W34" s="60" t="str">
        <f t="shared" si="10"/>
        <v>Key-GEO-34</v>
      </c>
      <c r="X34" s="22" t="s">
        <v>181</v>
      </c>
      <c r="Y34" s="22" t="s">
        <v>174</v>
      </c>
      <c r="Z34" s="22" t="s">
        <v>145</v>
      </c>
      <c r="AA34" s="22" t="s">
        <v>319</v>
      </c>
    </row>
    <row r="35" spans="1:27" ht="6.65" customHeight="1" x14ac:dyDescent="0.4">
      <c r="A35" s="52">
        <v>35</v>
      </c>
      <c r="B35" s="57" t="s">
        <v>394</v>
      </c>
      <c r="C35" s="61" t="s">
        <v>395</v>
      </c>
      <c r="D35" s="57" t="s">
        <v>278</v>
      </c>
      <c r="E35" s="45" t="s">
        <v>209</v>
      </c>
      <c r="F35" s="45" t="s">
        <v>217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59" t="str">
        <f t="shared" si="11"/>
        <v>GeoTécnicos</v>
      </c>
      <c r="M35" s="59" t="str">
        <f t="shared" si="12"/>
        <v>Elementos.de.Topografia</v>
      </c>
      <c r="N35" s="59" t="str">
        <f t="shared" si="13"/>
        <v>Pontos do Modelo</v>
      </c>
      <c r="O35" s="59" t="str">
        <f t="shared" si="14"/>
        <v>Ponto Região</v>
      </c>
      <c r="P35" s="22" t="s">
        <v>140</v>
      </c>
      <c r="Q35" s="36" t="s">
        <v>141</v>
      </c>
      <c r="R35" s="22" t="s">
        <v>9</v>
      </c>
      <c r="S35" s="22" t="str">
        <f t="shared" si="15"/>
        <v>GeoTécnicos</v>
      </c>
      <c r="T35" s="22" t="str">
        <f t="shared" si="16"/>
        <v>Elementos.de.Topografia</v>
      </c>
      <c r="U35" s="22" t="str">
        <f t="shared" si="17"/>
        <v>Pontos.do.Modelo</v>
      </c>
      <c r="V35" s="22" t="s">
        <v>143</v>
      </c>
      <c r="W35" s="60" t="str">
        <f t="shared" si="10"/>
        <v>Key-GEO-35</v>
      </c>
      <c r="X35" s="22" t="s">
        <v>211</v>
      </c>
      <c r="Y35" s="22" t="s">
        <v>214</v>
      </c>
      <c r="Z35" s="22" t="s">
        <v>145</v>
      </c>
      <c r="AA35" s="22" t="s">
        <v>320</v>
      </c>
    </row>
    <row r="36" spans="1:27" ht="6.65" customHeight="1" x14ac:dyDescent="0.4">
      <c r="A36" s="52">
        <v>36</v>
      </c>
      <c r="B36" s="57" t="s">
        <v>394</v>
      </c>
      <c r="C36" s="61" t="s">
        <v>395</v>
      </c>
      <c r="D36" s="57" t="s">
        <v>278</v>
      </c>
      <c r="E36" s="45" t="s">
        <v>209</v>
      </c>
      <c r="F36" s="45" t="s">
        <v>218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59" t="str">
        <f t="shared" si="11"/>
        <v>GeoTécnicos</v>
      </c>
      <c r="M36" s="59" t="str">
        <f t="shared" si="12"/>
        <v>Elementos.de.Topografia</v>
      </c>
      <c r="N36" s="59" t="str">
        <f t="shared" si="13"/>
        <v>Pontos do Modelo</v>
      </c>
      <c r="O36" s="59" t="str">
        <f t="shared" si="14"/>
        <v>Ponto Superfície</v>
      </c>
      <c r="P36" s="22" t="s">
        <v>142</v>
      </c>
      <c r="Q36" s="36" t="s">
        <v>365</v>
      </c>
      <c r="R36" s="22" t="s">
        <v>9</v>
      </c>
      <c r="S36" s="22" t="str">
        <f t="shared" si="15"/>
        <v>GeoTécnicos</v>
      </c>
      <c r="T36" s="22" t="str">
        <f t="shared" si="16"/>
        <v>Elementos.de.Topografia</v>
      </c>
      <c r="U36" s="22" t="str">
        <f t="shared" si="17"/>
        <v>Pontos.do.Modelo</v>
      </c>
      <c r="V36" s="22" t="s">
        <v>143</v>
      </c>
      <c r="W36" s="60" t="str">
        <f t="shared" si="10"/>
        <v>Key-GEO-36</v>
      </c>
      <c r="X36" s="22" t="s">
        <v>212</v>
      </c>
      <c r="Y36" s="22" t="s">
        <v>214</v>
      </c>
      <c r="Z36" s="22" t="s">
        <v>145</v>
      </c>
      <c r="AA36" s="22" t="s">
        <v>321</v>
      </c>
    </row>
    <row r="37" spans="1:27" ht="6.65" customHeight="1" x14ac:dyDescent="0.4">
      <c r="A37" s="52">
        <v>37</v>
      </c>
      <c r="B37" s="57" t="s">
        <v>394</v>
      </c>
      <c r="C37" s="61" t="s">
        <v>395</v>
      </c>
      <c r="D37" s="57" t="s">
        <v>278</v>
      </c>
      <c r="E37" s="57" t="s">
        <v>173</v>
      </c>
      <c r="F37" s="45" t="s">
        <v>222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59" t="str">
        <f t="shared" si="11"/>
        <v>GeoTécnicos</v>
      </c>
      <c r="M37" s="59" t="str">
        <f t="shared" si="12"/>
        <v>Elementos.de.Topografia</v>
      </c>
      <c r="N37" s="59" t="str">
        <f t="shared" si="13"/>
        <v>Sondagens</v>
      </c>
      <c r="O37" s="59" t="str">
        <f t="shared" si="14"/>
        <v>Ponto Sondagem</v>
      </c>
      <c r="P37" s="22" t="s">
        <v>97</v>
      </c>
      <c r="Q37" s="36" t="s">
        <v>98</v>
      </c>
      <c r="R37" s="22" t="s">
        <v>9</v>
      </c>
      <c r="S37" s="22" t="str">
        <f t="shared" si="15"/>
        <v>GeoTécnicos</v>
      </c>
      <c r="T37" s="22" t="str">
        <f t="shared" si="16"/>
        <v>Elementos.de.Topografia</v>
      </c>
      <c r="U37" s="22" t="str">
        <f t="shared" si="17"/>
        <v>Sondagens</v>
      </c>
      <c r="V37" s="22" t="s">
        <v>143</v>
      </c>
      <c r="W37" s="60" t="str">
        <f t="shared" si="10"/>
        <v>Key-GEO-37</v>
      </c>
      <c r="X37" s="22" t="s">
        <v>221</v>
      </c>
      <c r="Y37" s="62" t="s">
        <v>219</v>
      </c>
      <c r="Z37" s="22" t="s">
        <v>145</v>
      </c>
      <c r="AA37" s="22" t="s">
        <v>322</v>
      </c>
    </row>
    <row r="38" spans="1:27" ht="6.65" customHeight="1" x14ac:dyDescent="0.4">
      <c r="A38" s="52">
        <v>38</v>
      </c>
      <c r="B38" s="57" t="s">
        <v>394</v>
      </c>
      <c r="C38" s="61" t="s">
        <v>395</v>
      </c>
      <c r="D38" s="57" t="s">
        <v>278</v>
      </c>
      <c r="E38" s="57" t="s">
        <v>173</v>
      </c>
      <c r="F38" s="45" t="s">
        <v>223</v>
      </c>
      <c r="G38" s="6" t="s">
        <v>9</v>
      </c>
      <c r="H38" s="6" t="s">
        <v>9</v>
      </c>
      <c r="I38" s="6" t="s">
        <v>9</v>
      </c>
      <c r="J38" s="6" t="s">
        <v>9</v>
      </c>
      <c r="K38" s="6" t="s">
        <v>9</v>
      </c>
      <c r="L38" s="59" t="str">
        <f t="shared" si="11"/>
        <v>GeoTécnicos</v>
      </c>
      <c r="M38" s="59" t="str">
        <f t="shared" si="12"/>
        <v>Elementos.de.Topografia</v>
      </c>
      <c r="N38" s="59" t="str">
        <f t="shared" si="13"/>
        <v>Sondagens</v>
      </c>
      <c r="O38" s="59" t="str">
        <f t="shared" si="14"/>
        <v>Ponto Sondagem Definido</v>
      </c>
      <c r="P38" s="22" t="s">
        <v>122</v>
      </c>
      <c r="Q38" s="36" t="s">
        <v>123</v>
      </c>
      <c r="R38" s="22" t="s">
        <v>9</v>
      </c>
      <c r="S38" s="22" t="str">
        <f t="shared" si="15"/>
        <v>GeoTécnicos</v>
      </c>
      <c r="T38" s="22" t="str">
        <f t="shared" si="16"/>
        <v>Elementos.de.Topografia</v>
      </c>
      <c r="U38" s="22" t="str">
        <f t="shared" si="17"/>
        <v>Sondagens</v>
      </c>
      <c r="V38" s="22" t="s">
        <v>143</v>
      </c>
      <c r="W38" s="60" t="str">
        <f t="shared" si="10"/>
        <v>Key-GEO-38</v>
      </c>
      <c r="X38" s="22" t="s">
        <v>221</v>
      </c>
      <c r="Y38" s="62" t="s">
        <v>220</v>
      </c>
      <c r="Z38" s="22" t="s">
        <v>145</v>
      </c>
      <c r="AA38" s="22" t="s">
        <v>323</v>
      </c>
    </row>
    <row r="39" spans="1:27" ht="6.65" customHeight="1" x14ac:dyDescent="0.4">
      <c r="A39" s="52">
        <v>39</v>
      </c>
      <c r="B39" s="57" t="s">
        <v>394</v>
      </c>
      <c r="C39" s="61" t="s">
        <v>395</v>
      </c>
      <c r="D39" s="57" t="s">
        <v>278</v>
      </c>
      <c r="E39" s="45" t="s">
        <v>96</v>
      </c>
      <c r="F39" s="45" t="s">
        <v>200</v>
      </c>
      <c r="G39" s="6" t="s">
        <v>9</v>
      </c>
      <c r="H39" s="6" t="s">
        <v>9</v>
      </c>
      <c r="I39" s="6" t="s">
        <v>9</v>
      </c>
      <c r="J39" s="6" t="s">
        <v>9</v>
      </c>
      <c r="K39" s="6" t="s">
        <v>9</v>
      </c>
      <c r="L39" s="59" t="str">
        <f t="shared" si="11"/>
        <v>GeoTécnicos</v>
      </c>
      <c r="M39" s="59" t="str">
        <f t="shared" si="12"/>
        <v>Elementos.de.Topografia</v>
      </c>
      <c r="N39" s="59" t="str">
        <f t="shared" si="13"/>
        <v>Topografia</v>
      </c>
      <c r="O39" s="59" t="str">
        <f t="shared" si="14"/>
        <v>Topografia Sólida</v>
      </c>
      <c r="P39" s="36" t="s">
        <v>155</v>
      </c>
      <c r="Q39" s="36" t="s">
        <v>366</v>
      </c>
      <c r="R39" s="22" t="s">
        <v>9</v>
      </c>
      <c r="S39" s="22" t="str">
        <f t="shared" si="15"/>
        <v>GeoTécnicos</v>
      </c>
      <c r="T39" s="22" t="str">
        <f t="shared" si="16"/>
        <v>Elementos.de.Topografia</v>
      </c>
      <c r="U39" s="22" t="str">
        <f t="shared" si="17"/>
        <v>Topografia</v>
      </c>
      <c r="V39" s="22" t="s">
        <v>143</v>
      </c>
      <c r="W39" s="60" t="str">
        <f t="shared" si="10"/>
        <v>Key-GEO-39</v>
      </c>
      <c r="X39" s="22" t="s">
        <v>178</v>
      </c>
      <c r="Y39" s="22" t="s">
        <v>175</v>
      </c>
      <c r="Z39" s="22" t="s">
        <v>145</v>
      </c>
      <c r="AA39" s="22" t="s">
        <v>324</v>
      </c>
    </row>
    <row r="40" spans="1:27" ht="6.65" customHeight="1" x14ac:dyDescent="0.4">
      <c r="A40" s="52">
        <v>40</v>
      </c>
      <c r="B40" s="57" t="s">
        <v>394</v>
      </c>
      <c r="C40" s="61" t="s">
        <v>395</v>
      </c>
      <c r="D40" s="57" t="s">
        <v>278</v>
      </c>
      <c r="E40" s="45" t="s">
        <v>96</v>
      </c>
      <c r="F40" s="45" t="s">
        <v>201</v>
      </c>
      <c r="G40" s="6" t="s">
        <v>9</v>
      </c>
      <c r="H40" s="6" t="s">
        <v>9</v>
      </c>
      <c r="I40" s="6" t="s">
        <v>9</v>
      </c>
      <c r="J40" s="6" t="s">
        <v>9</v>
      </c>
      <c r="K40" s="6" t="s">
        <v>9</v>
      </c>
      <c r="L40" s="59" t="str">
        <f t="shared" si="11"/>
        <v>GeoTécnicos</v>
      </c>
      <c r="M40" s="59" t="str">
        <f t="shared" si="12"/>
        <v>Elementos.de.Topografia</v>
      </c>
      <c r="N40" s="59" t="str">
        <f t="shared" si="13"/>
        <v>Topografia</v>
      </c>
      <c r="O40" s="59" t="str">
        <f t="shared" si="14"/>
        <v>Topografia Malha</v>
      </c>
      <c r="P40" s="36" t="s">
        <v>156</v>
      </c>
      <c r="Q40" s="36" t="s">
        <v>367</v>
      </c>
      <c r="R40" s="22" t="s">
        <v>9</v>
      </c>
      <c r="S40" s="22" t="str">
        <f t="shared" si="15"/>
        <v>GeoTécnicos</v>
      </c>
      <c r="T40" s="22" t="str">
        <f t="shared" si="16"/>
        <v>Elementos.de.Topografia</v>
      </c>
      <c r="U40" s="22" t="str">
        <f t="shared" si="17"/>
        <v>Topografia</v>
      </c>
      <c r="V40" s="22" t="s">
        <v>143</v>
      </c>
      <c r="W40" s="60" t="str">
        <f t="shared" si="10"/>
        <v>Key-GEO-40</v>
      </c>
      <c r="X40" s="22" t="s">
        <v>180</v>
      </c>
      <c r="Y40" s="22" t="s">
        <v>175</v>
      </c>
      <c r="Z40" s="22" t="s">
        <v>145</v>
      </c>
      <c r="AA40" s="22" t="s">
        <v>325</v>
      </c>
    </row>
    <row r="41" spans="1:27" ht="6.65" customHeight="1" x14ac:dyDescent="0.4">
      <c r="A41" s="52">
        <v>41</v>
      </c>
      <c r="B41" s="57" t="s">
        <v>394</v>
      </c>
      <c r="C41" s="61" t="s">
        <v>395</v>
      </c>
      <c r="D41" s="57" t="s">
        <v>278</v>
      </c>
      <c r="E41" s="45" t="s">
        <v>96</v>
      </c>
      <c r="F41" s="45" t="s">
        <v>202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9</v>
      </c>
      <c r="L41" s="59" t="str">
        <f t="shared" si="11"/>
        <v>GeoTécnicos</v>
      </c>
      <c r="M41" s="59" t="str">
        <f t="shared" si="12"/>
        <v>Elementos.de.Topografia</v>
      </c>
      <c r="N41" s="59" t="str">
        <f t="shared" si="13"/>
        <v>Topografia</v>
      </c>
      <c r="O41" s="59" t="str">
        <f t="shared" si="14"/>
        <v>Topografia Sólida Núcleo</v>
      </c>
      <c r="P41" s="36" t="s">
        <v>157</v>
      </c>
      <c r="Q41" s="36" t="s">
        <v>368</v>
      </c>
      <c r="R41" s="22" t="s">
        <v>9</v>
      </c>
      <c r="S41" s="22" t="str">
        <f t="shared" si="15"/>
        <v>GeoTécnicos</v>
      </c>
      <c r="T41" s="22" t="str">
        <f t="shared" si="16"/>
        <v>Elementos.de.Topografia</v>
      </c>
      <c r="U41" s="22" t="str">
        <f t="shared" si="17"/>
        <v>Topografia</v>
      </c>
      <c r="V41" s="22" t="s">
        <v>143</v>
      </c>
      <c r="W41" s="60" t="str">
        <f t="shared" si="10"/>
        <v>Key-GEO-41</v>
      </c>
      <c r="X41" s="22" t="s">
        <v>149</v>
      </c>
      <c r="Y41" s="22" t="s">
        <v>195</v>
      </c>
      <c r="Z41" s="22" t="s">
        <v>145</v>
      </c>
      <c r="AA41" s="22" t="s">
        <v>326</v>
      </c>
    </row>
    <row r="42" spans="1:27" ht="6.65" customHeight="1" x14ac:dyDescent="0.4">
      <c r="A42" s="52">
        <v>42</v>
      </c>
      <c r="B42" s="57" t="s">
        <v>394</v>
      </c>
      <c r="C42" s="61" t="s">
        <v>395</v>
      </c>
      <c r="D42" s="57" t="s">
        <v>278</v>
      </c>
      <c r="E42" s="45" t="s">
        <v>96</v>
      </c>
      <c r="F42" s="45" t="s">
        <v>203</v>
      </c>
      <c r="G42" s="6" t="s">
        <v>9</v>
      </c>
      <c r="H42" s="6" t="s">
        <v>9</v>
      </c>
      <c r="I42" s="6" t="s">
        <v>9</v>
      </c>
      <c r="J42" s="6" t="s">
        <v>9</v>
      </c>
      <c r="K42" s="6" t="s">
        <v>9</v>
      </c>
      <c r="L42" s="59" t="str">
        <f t="shared" si="11"/>
        <v>GeoTécnicos</v>
      </c>
      <c r="M42" s="59" t="str">
        <f t="shared" si="12"/>
        <v>Elementos.de.Topografia</v>
      </c>
      <c r="N42" s="59" t="str">
        <f t="shared" si="13"/>
        <v>Topografia</v>
      </c>
      <c r="O42" s="59" t="str">
        <f t="shared" si="14"/>
        <v>Topografia Sólida Substrato</v>
      </c>
      <c r="P42" s="36" t="s">
        <v>158</v>
      </c>
      <c r="Q42" s="36" t="s">
        <v>159</v>
      </c>
      <c r="R42" s="22" t="s">
        <v>9</v>
      </c>
      <c r="S42" s="22" t="str">
        <f t="shared" si="15"/>
        <v>GeoTécnicos</v>
      </c>
      <c r="T42" s="22" t="str">
        <f t="shared" si="16"/>
        <v>Elementos.de.Topografia</v>
      </c>
      <c r="U42" s="22" t="str">
        <f t="shared" si="17"/>
        <v>Topografia</v>
      </c>
      <c r="V42" s="22" t="s">
        <v>143</v>
      </c>
      <c r="W42" s="60" t="str">
        <f t="shared" si="10"/>
        <v>Key-GEO-42</v>
      </c>
      <c r="X42" s="22" t="s">
        <v>182</v>
      </c>
      <c r="Y42" s="22" t="s">
        <v>195</v>
      </c>
      <c r="Z42" s="22" t="s">
        <v>145</v>
      </c>
      <c r="AA42" s="22" t="s">
        <v>327</v>
      </c>
    </row>
    <row r="43" spans="1:27" ht="6.65" customHeight="1" x14ac:dyDescent="0.4">
      <c r="A43" s="52">
        <v>43</v>
      </c>
      <c r="B43" s="57" t="s">
        <v>394</v>
      </c>
      <c r="C43" s="61" t="s">
        <v>395</v>
      </c>
      <c r="D43" s="57" t="s">
        <v>278</v>
      </c>
      <c r="E43" s="45" t="s">
        <v>96</v>
      </c>
      <c r="F43" s="45" t="s">
        <v>205</v>
      </c>
      <c r="G43" s="6" t="s">
        <v>9</v>
      </c>
      <c r="H43" s="6" t="s">
        <v>9</v>
      </c>
      <c r="I43" s="6" t="s">
        <v>9</v>
      </c>
      <c r="J43" s="6" t="s">
        <v>9</v>
      </c>
      <c r="K43" s="6" t="s">
        <v>9</v>
      </c>
      <c r="L43" s="59" t="str">
        <f t="shared" si="11"/>
        <v>GeoTécnicos</v>
      </c>
      <c r="M43" s="59" t="str">
        <f t="shared" si="12"/>
        <v>Elementos.de.Topografia</v>
      </c>
      <c r="N43" s="59" t="str">
        <f t="shared" si="13"/>
        <v>Topografia</v>
      </c>
      <c r="O43" s="59" t="str">
        <f t="shared" si="14"/>
        <v>Topografia Sólida Membrana</v>
      </c>
      <c r="P43" s="36" t="s">
        <v>160</v>
      </c>
      <c r="Q43" s="36" t="s">
        <v>161</v>
      </c>
      <c r="R43" s="22" t="s">
        <v>9</v>
      </c>
      <c r="S43" s="22" t="str">
        <f t="shared" si="15"/>
        <v>GeoTécnicos</v>
      </c>
      <c r="T43" s="22" t="str">
        <f t="shared" si="16"/>
        <v>Elementos.de.Topografia</v>
      </c>
      <c r="U43" s="22" t="str">
        <f t="shared" si="17"/>
        <v>Topografia</v>
      </c>
      <c r="V43" s="22" t="s">
        <v>143</v>
      </c>
      <c r="W43" s="60" t="str">
        <f t="shared" si="10"/>
        <v>Key-GEO-43</v>
      </c>
      <c r="X43" s="22" t="s">
        <v>179</v>
      </c>
      <c r="Y43" s="22" t="s">
        <v>195</v>
      </c>
      <c r="Z43" s="22" t="s">
        <v>145</v>
      </c>
      <c r="AA43" s="22" t="s">
        <v>328</v>
      </c>
    </row>
    <row r="44" spans="1:27" ht="6.65" customHeight="1" x14ac:dyDescent="0.4">
      <c r="A44" s="52">
        <v>44</v>
      </c>
      <c r="B44" s="57" t="s">
        <v>394</v>
      </c>
      <c r="C44" s="61" t="s">
        <v>395</v>
      </c>
      <c r="D44" s="57" t="s">
        <v>278</v>
      </c>
      <c r="E44" s="45" t="s">
        <v>96</v>
      </c>
      <c r="F44" s="45" t="s">
        <v>204</v>
      </c>
      <c r="G44" s="6" t="s">
        <v>9</v>
      </c>
      <c r="H44" s="6" t="s">
        <v>9</v>
      </c>
      <c r="I44" s="6" t="s">
        <v>9</v>
      </c>
      <c r="J44" s="6" t="s">
        <v>9</v>
      </c>
      <c r="K44" s="6" t="s">
        <v>9</v>
      </c>
      <c r="L44" s="59" t="str">
        <f t="shared" si="11"/>
        <v>GeoTécnicos</v>
      </c>
      <c r="M44" s="59" t="str">
        <f t="shared" si="12"/>
        <v>Elementos.de.Topografia</v>
      </c>
      <c r="N44" s="59" t="str">
        <f t="shared" si="13"/>
        <v>Topografia</v>
      </c>
      <c r="O44" s="59" t="str">
        <f t="shared" si="14"/>
        <v>Topografia Sólida Isolamento</v>
      </c>
      <c r="P44" s="36" t="s">
        <v>162</v>
      </c>
      <c r="Q44" s="36" t="s">
        <v>163</v>
      </c>
      <c r="R44" s="22" t="s">
        <v>9</v>
      </c>
      <c r="S44" s="22" t="str">
        <f t="shared" si="15"/>
        <v>GeoTécnicos</v>
      </c>
      <c r="T44" s="22" t="str">
        <f t="shared" si="16"/>
        <v>Elementos.de.Topografia</v>
      </c>
      <c r="U44" s="22" t="str">
        <f t="shared" si="17"/>
        <v>Topografia</v>
      </c>
      <c r="V44" s="22" t="s">
        <v>143</v>
      </c>
      <c r="W44" s="60" t="str">
        <f t="shared" si="10"/>
        <v>Key-GEO-44</v>
      </c>
      <c r="X44" s="22" t="s">
        <v>183</v>
      </c>
      <c r="Y44" s="22" t="s">
        <v>195</v>
      </c>
      <c r="Z44" s="22" t="s">
        <v>145</v>
      </c>
      <c r="AA44" s="22" t="s">
        <v>329</v>
      </c>
    </row>
    <row r="45" spans="1:27" ht="6.65" customHeight="1" x14ac:dyDescent="0.4">
      <c r="A45" s="52">
        <v>45</v>
      </c>
      <c r="B45" s="57" t="s">
        <v>394</v>
      </c>
      <c r="C45" s="61" t="s">
        <v>395</v>
      </c>
      <c r="D45" s="57" t="s">
        <v>278</v>
      </c>
      <c r="E45" s="45" t="s">
        <v>96</v>
      </c>
      <c r="F45" s="45" t="s">
        <v>208</v>
      </c>
      <c r="G45" s="6" t="s">
        <v>9</v>
      </c>
      <c r="H45" s="6" t="s">
        <v>9</v>
      </c>
      <c r="I45" s="6" t="s">
        <v>9</v>
      </c>
      <c r="J45" s="6" t="s">
        <v>9</v>
      </c>
      <c r="K45" s="6" t="s">
        <v>9</v>
      </c>
      <c r="L45" s="59" t="str">
        <f t="shared" si="11"/>
        <v>GeoTécnicos</v>
      </c>
      <c r="M45" s="59" t="str">
        <f t="shared" si="12"/>
        <v>Elementos.de.Topografia</v>
      </c>
      <c r="N45" s="59" t="str">
        <f t="shared" si="13"/>
        <v>Topografia</v>
      </c>
      <c r="O45" s="59" t="str">
        <f t="shared" si="14"/>
        <v>Topografia Sólida Superfície</v>
      </c>
      <c r="P45" s="36" t="s">
        <v>164</v>
      </c>
      <c r="Q45" s="36" t="s">
        <v>165</v>
      </c>
      <c r="R45" s="22" t="s">
        <v>9</v>
      </c>
      <c r="S45" s="22" t="str">
        <f t="shared" si="15"/>
        <v>GeoTécnicos</v>
      </c>
      <c r="T45" s="22" t="str">
        <f t="shared" si="16"/>
        <v>Elementos.de.Topografia</v>
      </c>
      <c r="U45" s="22" t="str">
        <f t="shared" si="17"/>
        <v>Topografia</v>
      </c>
      <c r="V45" s="22" t="s">
        <v>143</v>
      </c>
      <c r="W45" s="60" t="str">
        <f t="shared" si="10"/>
        <v>Key-GEO-45</v>
      </c>
      <c r="X45" s="22" t="s">
        <v>184</v>
      </c>
      <c r="Y45" s="22" t="s">
        <v>195</v>
      </c>
      <c r="Z45" s="22" t="s">
        <v>145</v>
      </c>
      <c r="AA45" s="22" t="s">
        <v>330</v>
      </c>
    </row>
    <row r="46" spans="1:27" ht="6.65" customHeight="1" x14ac:dyDescent="0.4">
      <c r="A46" s="52">
        <v>46</v>
      </c>
      <c r="B46" s="57" t="s">
        <v>394</v>
      </c>
      <c r="C46" s="61" t="s">
        <v>395</v>
      </c>
      <c r="D46" s="57" t="s">
        <v>278</v>
      </c>
      <c r="E46" s="45" t="s">
        <v>96</v>
      </c>
      <c r="F46" s="45" t="s">
        <v>206</v>
      </c>
      <c r="G46" s="6" t="s">
        <v>9</v>
      </c>
      <c r="H46" s="6" t="s">
        <v>9</v>
      </c>
      <c r="I46" s="6" t="s">
        <v>9</v>
      </c>
      <c r="J46" s="6" t="s">
        <v>9</v>
      </c>
      <c r="K46" s="6" t="s">
        <v>9</v>
      </c>
      <c r="L46" s="59" t="str">
        <f t="shared" si="11"/>
        <v>GeoTécnicos</v>
      </c>
      <c r="M46" s="59" t="str">
        <f t="shared" si="12"/>
        <v>Elementos.de.Topografia</v>
      </c>
      <c r="N46" s="59" t="str">
        <f t="shared" si="13"/>
        <v>Topografia</v>
      </c>
      <c r="O46" s="59" t="str">
        <f t="shared" si="14"/>
        <v>Topografia Sólida Agua</v>
      </c>
      <c r="P46" s="36" t="s">
        <v>196</v>
      </c>
      <c r="Q46" s="36" t="s">
        <v>197</v>
      </c>
      <c r="R46" s="22" t="s">
        <v>9</v>
      </c>
      <c r="S46" s="22" t="str">
        <f t="shared" si="15"/>
        <v>GeoTécnicos</v>
      </c>
      <c r="T46" s="22" t="str">
        <f t="shared" si="16"/>
        <v>Elementos.de.Topografia</v>
      </c>
      <c r="U46" s="22" t="str">
        <f t="shared" si="17"/>
        <v>Topografia</v>
      </c>
      <c r="V46" s="22" t="s">
        <v>143</v>
      </c>
      <c r="W46" s="60" t="str">
        <f t="shared" si="10"/>
        <v>Key-GEO-46</v>
      </c>
      <c r="X46" s="22" t="s">
        <v>184</v>
      </c>
      <c r="Y46" s="22" t="s">
        <v>198</v>
      </c>
      <c r="Z46" s="22" t="s">
        <v>145</v>
      </c>
      <c r="AA46" s="22" t="s">
        <v>331</v>
      </c>
    </row>
    <row r="47" spans="1:27" ht="6.65" customHeight="1" x14ac:dyDescent="0.4">
      <c r="A47" s="52">
        <v>47</v>
      </c>
      <c r="B47" s="57" t="s">
        <v>394</v>
      </c>
      <c r="C47" s="61" t="s">
        <v>395</v>
      </c>
      <c r="D47" s="57" t="s">
        <v>278</v>
      </c>
      <c r="E47" s="45" t="s">
        <v>96</v>
      </c>
      <c r="F47" s="45" t="s">
        <v>207</v>
      </c>
      <c r="G47" s="6" t="s">
        <v>9</v>
      </c>
      <c r="H47" s="6" t="s">
        <v>9</v>
      </c>
      <c r="I47" s="6" t="s">
        <v>9</v>
      </c>
      <c r="J47" s="6" t="s">
        <v>9</v>
      </c>
      <c r="K47" s="6" t="s">
        <v>9</v>
      </c>
      <c r="L47" s="59" t="str">
        <f t="shared" si="11"/>
        <v>GeoTécnicos</v>
      </c>
      <c r="M47" s="59" t="str">
        <f t="shared" si="12"/>
        <v>Elementos.de.Topografia</v>
      </c>
      <c r="N47" s="59" t="str">
        <f t="shared" si="13"/>
        <v>Topografia</v>
      </c>
      <c r="O47" s="59" t="str">
        <f t="shared" si="14"/>
        <v>Topografia Sólida Vazio</v>
      </c>
      <c r="P47" s="22" t="s">
        <v>128</v>
      </c>
      <c r="Q47" s="36" t="s">
        <v>369</v>
      </c>
      <c r="R47" s="22" t="s">
        <v>9</v>
      </c>
      <c r="S47" s="22" t="str">
        <f t="shared" si="15"/>
        <v>GeoTécnicos</v>
      </c>
      <c r="T47" s="22" t="str">
        <f t="shared" si="16"/>
        <v>Elementos.de.Topografia</v>
      </c>
      <c r="U47" s="22" t="str">
        <f t="shared" si="17"/>
        <v>Topografia</v>
      </c>
      <c r="V47" s="22" t="s">
        <v>143</v>
      </c>
      <c r="W47" s="60" t="str">
        <f t="shared" si="10"/>
        <v>Key-GEO-47</v>
      </c>
      <c r="X47" s="62" t="s">
        <v>150</v>
      </c>
      <c r="Y47" s="62" t="s">
        <v>199</v>
      </c>
      <c r="Z47" s="22" t="s">
        <v>145</v>
      </c>
      <c r="AA47" s="22" t="s">
        <v>332</v>
      </c>
    </row>
    <row r="48" spans="1:27" ht="6.65" customHeight="1" x14ac:dyDescent="0.4">
      <c r="A48" s="52">
        <v>48</v>
      </c>
      <c r="B48" s="57" t="s">
        <v>394</v>
      </c>
      <c r="C48" s="61" t="s">
        <v>395</v>
      </c>
      <c r="D48" s="57" t="s">
        <v>185</v>
      </c>
      <c r="E48" s="45" t="s">
        <v>166</v>
      </c>
      <c r="F48" s="45" t="s">
        <v>190</v>
      </c>
      <c r="G48" s="6" t="s">
        <v>9</v>
      </c>
      <c r="H48" s="6" t="s">
        <v>9</v>
      </c>
      <c r="I48" s="6" t="s">
        <v>9</v>
      </c>
      <c r="J48" s="6" t="s">
        <v>9</v>
      </c>
      <c r="K48" s="6" t="s">
        <v>9</v>
      </c>
      <c r="L48" s="59" t="str">
        <f t="shared" si="11"/>
        <v>GeoTécnicos</v>
      </c>
      <c r="M48" s="59" t="str">
        <f t="shared" si="12"/>
        <v>Elementos.Altimétricos</v>
      </c>
      <c r="N48" s="59" t="str">
        <f t="shared" si="13"/>
        <v>Curvas de Nível</v>
      </c>
      <c r="O48" s="59" t="str">
        <f t="shared" si="14"/>
        <v>Curva de 10</v>
      </c>
      <c r="P48" s="36" t="s">
        <v>167</v>
      </c>
      <c r="Q48" s="36" t="s">
        <v>168</v>
      </c>
      <c r="R48" s="22" t="s">
        <v>9</v>
      </c>
      <c r="S48" s="22" t="str">
        <f t="shared" si="15"/>
        <v>GeoTécnicos</v>
      </c>
      <c r="T48" s="22" t="str">
        <f t="shared" si="16"/>
        <v>Elementos.Altimétricos</v>
      </c>
      <c r="U48" s="22" t="str">
        <f t="shared" si="17"/>
        <v>Curvas.de.Nível</v>
      </c>
      <c r="V48" s="22" t="s">
        <v>143</v>
      </c>
      <c r="W48" s="60" t="str">
        <f t="shared" si="10"/>
        <v>Key-GEO-48</v>
      </c>
      <c r="X48" s="22" t="s">
        <v>188</v>
      </c>
      <c r="Y48" s="22" t="s">
        <v>176</v>
      </c>
      <c r="Z48" s="22" t="s">
        <v>145</v>
      </c>
      <c r="AA48" s="22" t="s">
        <v>333</v>
      </c>
    </row>
    <row r="49" spans="1:27" ht="6.65" customHeight="1" x14ac:dyDescent="0.4">
      <c r="A49" s="52">
        <v>49</v>
      </c>
      <c r="B49" s="57" t="s">
        <v>394</v>
      </c>
      <c r="C49" s="61" t="s">
        <v>395</v>
      </c>
      <c r="D49" s="57" t="s">
        <v>185</v>
      </c>
      <c r="E49" s="45" t="s">
        <v>166</v>
      </c>
      <c r="F49" s="45" t="s">
        <v>191</v>
      </c>
      <c r="G49" s="6" t="s">
        <v>9</v>
      </c>
      <c r="H49" s="6" t="s">
        <v>9</v>
      </c>
      <c r="I49" s="6" t="s">
        <v>9</v>
      </c>
      <c r="J49" s="6" t="s">
        <v>9</v>
      </c>
      <c r="K49" s="6" t="s">
        <v>9</v>
      </c>
      <c r="L49" s="59" t="str">
        <f t="shared" si="11"/>
        <v>GeoTécnicos</v>
      </c>
      <c r="M49" s="59" t="str">
        <f t="shared" si="12"/>
        <v>Elementos.Altimétricos</v>
      </c>
      <c r="N49" s="59" t="str">
        <f t="shared" si="13"/>
        <v>Curvas de Nível</v>
      </c>
      <c r="O49" s="59" t="str">
        <f t="shared" si="14"/>
        <v>Curva de 05</v>
      </c>
      <c r="P49" s="36" t="s">
        <v>169</v>
      </c>
      <c r="Q49" s="36" t="s">
        <v>170</v>
      </c>
      <c r="R49" s="22" t="s">
        <v>9</v>
      </c>
      <c r="S49" s="22" t="str">
        <f t="shared" si="15"/>
        <v>GeoTécnicos</v>
      </c>
      <c r="T49" s="22" t="str">
        <f t="shared" si="16"/>
        <v>Elementos.Altimétricos</v>
      </c>
      <c r="U49" s="22" t="str">
        <f t="shared" si="17"/>
        <v>Curvas.de.Nível</v>
      </c>
      <c r="V49" s="22" t="s">
        <v>143</v>
      </c>
      <c r="W49" s="60" t="str">
        <f t="shared" si="10"/>
        <v>Key-GEO-49</v>
      </c>
      <c r="X49" s="22" t="s">
        <v>188</v>
      </c>
      <c r="Y49" s="22" t="s">
        <v>176</v>
      </c>
      <c r="Z49" s="22" t="s">
        <v>145</v>
      </c>
      <c r="AA49" s="22" t="s">
        <v>334</v>
      </c>
    </row>
    <row r="50" spans="1:27" ht="6.65" customHeight="1" x14ac:dyDescent="0.4">
      <c r="A50" s="52">
        <v>50</v>
      </c>
      <c r="B50" s="57" t="s">
        <v>394</v>
      </c>
      <c r="C50" s="61" t="s">
        <v>395</v>
      </c>
      <c r="D50" s="57" t="s">
        <v>185</v>
      </c>
      <c r="E50" s="45" t="s">
        <v>166</v>
      </c>
      <c r="F50" s="45" t="s">
        <v>192</v>
      </c>
      <c r="G50" s="6" t="s">
        <v>9</v>
      </c>
      <c r="H50" s="6" t="s">
        <v>9</v>
      </c>
      <c r="I50" s="6" t="s">
        <v>9</v>
      </c>
      <c r="J50" s="6" t="s">
        <v>9</v>
      </c>
      <c r="K50" s="6" t="s">
        <v>9</v>
      </c>
      <c r="L50" s="59" t="str">
        <f t="shared" si="11"/>
        <v>GeoTécnicos</v>
      </c>
      <c r="M50" s="59" t="str">
        <f t="shared" si="12"/>
        <v>Elementos.Altimétricos</v>
      </c>
      <c r="N50" s="59" t="str">
        <f t="shared" si="13"/>
        <v>Curvas de Nível</v>
      </c>
      <c r="O50" s="59" t="str">
        <f t="shared" si="14"/>
        <v>Curva de 01</v>
      </c>
      <c r="P50" s="36" t="s">
        <v>171</v>
      </c>
      <c r="Q50" s="36" t="s">
        <v>172</v>
      </c>
      <c r="R50" s="22" t="s">
        <v>9</v>
      </c>
      <c r="S50" s="22" t="str">
        <f t="shared" si="15"/>
        <v>GeoTécnicos</v>
      </c>
      <c r="T50" s="22" t="str">
        <f t="shared" si="16"/>
        <v>Elementos.Altimétricos</v>
      </c>
      <c r="U50" s="22" t="str">
        <f t="shared" si="17"/>
        <v>Curvas.de.Nível</v>
      </c>
      <c r="V50" s="22" t="s">
        <v>143</v>
      </c>
      <c r="W50" s="60" t="str">
        <f t="shared" si="10"/>
        <v>Key-GEO-50</v>
      </c>
      <c r="X50" s="22" t="s">
        <v>189</v>
      </c>
      <c r="Y50" s="22" t="s">
        <v>176</v>
      </c>
      <c r="Z50" s="22" t="s">
        <v>145</v>
      </c>
      <c r="AA50" s="22" t="s">
        <v>335</v>
      </c>
    </row>
    <row r="51" spans="1:27" ht="6.65" customHeight="1" x14ac:dyDescent="0.4">
      <c r="A51" s="52">
        <v>51</v>
      </c>
      <c r="B51" s="57" t="s">
        <v>394</v>
      </c>
      <c r="C51" s="61" t="s">
        <v>395</v>
      </c>
      <c r="D51" s="57" t="s">
        <v>279</v>
      </c>
      <c r="E51" s="57" t="s">
        <v>280</v>
      </c>
      <c r="F51" s="57" t="s">
        <v>215</v>
      </c>
      <c r="G51" s="6" t="s">
        <v>9</v>
      </c>
      <c r="H51" s="6" t="s">
        <v>9</v>
      </c>
      <c r="I51" s="6" t="s">
        <v>9</v>
      </c>
      <c r="J51" s="6" t="s">
        <v>9</v>
      </c>
      <c r="K51" s="6" t="s">
        <v>9</v>
      </c>
      <c r="L51" s="59" t="str">
        <f t="shared" si="11"/>
        <v>GeoTécnicos</v>
      </c>
      <c r="M51" s="59" t="str">
        <f t="shared" si="12"/>
        <v>Elementos.de.Loteamentos</v>
      </c>
      <c r="N51" s="59" t="str">
        <f t="shared" si="13"/>
        <v>Loteamento</v>
      </c>
      <c r="O51" s="59" t="str">
        <f t="shared" si="14"/>
        <v>Divisa</v>
      </c>
      <c r="P51" s="22" t="s">
        <v>137</v>
      </c>
      <c r="Q51" s="36" t="s">
        <v>370</v>
      </c>
      <c r="R51" s="22" t="s">
        <v>9</v>
      </c>
      <c r="S51" s="22" t="str">
        <f t="shared" si="15"/>
        <v>GeoTécnicos</v>
      </c>
      <c r="T51" s="22" t="str">
        <f t="shared" si="16"/>
        <v>Elementos.de.Loteamentos</v>
      </c>
      <c r="U51" s="22" t="str">
        <f t="shared" si="17"/>
        <v>Loteamento</v>
      </c>
      <c r="V51" s="22" t="s">
        <v>143</v>
      </c>
      <c r="W51" s="60" t="str">
        <f t="shared" si="10"/>
        <v>Key-GEO-51</v>
      </c>
      <c r="X51" s="22" t="s">
        <v>210</v>
      </c>
      <c r="Y51" s="22" t="s">
        <v>214</v>
      </c>
      <c r="Z51" s="22" t="s">
        <v>145</v>
      </c>
      <c r="AA51" s="22" t="s">
        <v>138</v>
      </c>
    </row>
    <row r="52" spans="1:27" ht="6.65" customHeight="1" x14ac:dyDescent="0.4">
      <c r="A52" s="52">
        <v>52</v>
      </c>
      <c r="B52" s="57" t="s">
        <v>394</v>
      </c>
      <c r="C52" s="61" t="s">
        <v>395</v>
      </c>
      <c r="D52" s="57" t="s">
        <v>279</v>
      </c>
      <c r="E52" s="57" t="s">
        <v>280</v>
      </c>
      <c r="F52" s="57" t="s">
        <v>216</v>
      </c>
      <c r="G52" s="6" t="s">
        <v>9</v>
      </c>
      <c r="H52" s="6" t="s">
        <v>9</v>
      </c>
      <c r="I52" s="6" t="s">
        <v>9</v>
      </c>
      <c r="J52" s="6" t="s">
        <v>9</v>
      </c>
      <c r="K52" s="6" t="s">
        <v>9</v>
      </c>
      <c r="L52" s="59" t="str">
        <f t="shared" si="11"/>
        <v>GeoTécnicos</v>
      </c>
      <c r="M52" s="59" t="str">
        <f t="shared" si="12"/>
        <v>Elementos.de.Loteamentos</v>
      </c>
      <c r="N52" s="59" t="str">
        <f t="shared" si="13"/>
        <v>Loteamento</v>
      </c>
      <c r="O52" s="59" t="str">
        <f t="shared" si="14"/>
        <v>Divisa Segmento</v>
      </c>
      <c r="P52" s="22" t="s">
        <v>139</v>
      </c>
      <c r="Q52" s="36" t="s">
        <v>371</v>
      </c>
      <c r="R52" s="22" t="s">
        <v>9</v>
      </c>
      <c r="S52" s="22" t="str">
        <f t="shared" si="15"/>
        <v>GeoTécnicos</v>
      </c>
      <c r="T52" s="22" t="str">
        <f t="shared" si="16"/>
        <v>Elementos.de.Loteamentos</v>
      </c>
      <c r="U52" s="22" t="str">
        <f t="shared" si="17"/>
        <v>Loteamento</v>
      </c>
      <c r="V52" s="22" t="s">
        <v>143</v>
      </c>
      <c r="W52" s="60" t="str">
        <f t="shared" si="10"/>
        <v>Key-GEO-52</v>
      </c>
      <c r="X52" s="44" t="s">
        <v>213</v>
      </c>
      <c r="Y52" s="22" t="s">
        <v>214</v>
      </c>
      <c r="Z52" s="22" t="s">
        <v>145</v>
      </c>
      <c r="AA52" s="22" t="s">
        <v>336</v>
      </c>
    </row>
    <row r="53" spans="1:27" ht="6.65" customHeight="1" x14ac:dyDescent="0.4">
      <c r="A53" s="52">
        <v>53</v>
      </c>
      <c r="B53" s="57" t="s">
        <v>394</v>
      </c>
      <c r="C53" s="61" t="s">
        <v>395</v>
      </c>
      <c r="D53" s="57" t="s">
        <v>186</v>
      </c>
      <c r="E53" s="57" t="s">
        <v>120</v>
      </c>
      <c r="F53" s="58" t="s">
        <v>281</v>
      </c>
      <c r="G53" s="6" t="s">
        <v>9</v>
      </c>
      <c r="H53" s="6" t="s">
        <v>9</v>
      </c>
      <c r="I53" s="6" t="s">
        <v>9</v>
      </c>
      <c r="J53" s="6" t="s">
        <v>9</v>
      </c>
      <c r="K53" s="6" t="s">
        <v>9</v>
      </c>
      <c r="L53" s="59" t="str">
        <f t="shared" si="11"/>
        <v>GeoTécnicos</v>
      </c>
      <c r="M53" s="59" t="str">
        <f t="shared" si="12"/>
        <v>Elementos.Paisagísticos</v>
      </c>
      <c r="N53" s="59" t="str">
        <f t="shared" si="13"/>
        <v>Paisagismo</v>
      </c>
      <c r="O53" s="59" t="str">
        <f t="shared" si="14"/>
        <v>Paisagístico</v>
      </c>
      <c r="P53" s="22" t="s">
        <v>121</v>
      </c>
      <c r="Q53" s="36" t="s">
        <v>372</v>
      </c>
      <c r="R53" s="22" t="s">
        <v>9</v>
      </c>
      <c r="S53" s="22" t="str">
        <f t="shared" si="15"/>
        <v>GeoTécnicos</v>
      </c>
      <c r="T53" s="22" t="str">
        <f t="shared" si="16"/>
        <v>Elementos.Paisagísticos</v>
      </c>
      <c r="U53" s="22" t="str">
        <f t="shared" si="17"/>
        <v>Paisagismo</v>
      </c>
      <c r="V53" s="22" t="s">
        <v>143</v>
      </c>
      <c r="W53" s="60" t="str">
        <f t="shared" si="10"/>
        <v>Key-GEO-53</v>
      </c>
      <c r="X53" s="62" t="s">
        <v>146</v>
      </c>
      <c r="Y53" s="62" t="s">
        <v>174</v>
      </c>
      <c r="Z53" s="22" t="s">
        <v>286</v>
      </c>
      <c r="AA53" s="22" t="s">
        <v>337</v>
      </c>
    </row>
    <row r="54" spans="1:27" ht="6.65" customHeight="1" x14ac:dyDescent="0.4">
      <c r="A54" s="52">
        <v>54</v>
      </c>
      <c r="B54" s="57" t="s">
        <v>394</v>
      </c>
      <c r="C54" s="61" t="s">
        <v>395</v>
      </c>
      <c r="D54" s="57" t="s">
        <v>186</v>
      </c>
      <c r="E54" s="57" t="s">
        <v>120</v>
      </c>
      <c r="F54" s="58" t="s">
        <v>287</v>
      </c>
      <c r="G54" s="6" t="s">
        <v>9</v>
      </c>
      <c r="H54" s="6" t="s">
        <v>9</v>
      </c>
      <c r="I54" s="6" t="s">
        <v>9</v>
      </c>
      <c r="J54" s="6" t="s">
        <v>9</v>
      </c>
      <c r="K54" s="6" t="s">
        <v>9</v>
      </c>
      <c r="L54" s="59" t="str">
        <f t="shared" si="11"/>
        <v>GeoTécnicos</v>
      </c>
      <c r="M54" s="59" t="str">
        <f t="shared" si="12"/>
        <v>Elementos.Paisagísticos</v>
      </c>
      <c r="N54" s="59" t="str">
        <f t="shared" si="13"/>
        <v>Paisagismo</v>
      </c>
      <c r="O54" s="59" t="str">
        <f t="shared" si="14"/>
        <v>Pavimentação</v>
      </c>
      <c r="P54" s="22" t="s">
        <v>124</v>
      </c>
      <c r="Q54" s="36" t="s">
        <v>125</v>
      </c>
      <c r="R54" s="22" t="s">
        <v>9</v>
      </c>
      <c r="S54" s="22" t="str">
        <f t="shared" si="15"/>
        <v>GeoTécnicos</v>
      </c>
      <c r="T54" s="22" t="str">
        <f t="shared" si="16"/>
        <v>Elementos.Paisagísticos</v>
      </c>
      <c r="U54" s="22" t="str">
        <f t="shared" si="17"/>
        <v>Paisagismo</v>
      </c>
      <c r="V54" s="22" t="s">
        <v>143</v>
      </c>
      <c r="W54" s="60" t="str">
        <f t="shared" si="10"/>
        <v>Key-GEO-54</v>
      </c>
      <c r="X54" s="62" t="s">
        <v>221</v>
      </c>
      <c r="Y54" s="62" t="s">
        <v>193</v>
      </c>
      <c r="Z54" s="22" t="s">
        <v>286</v>
      </c>
      <c r="AA54" s="22" t="s">
        <v>338</v>
      </c>
    </row>
    <row r="55" spans="1:27" ht="6.65" customHeight="1" x14ac:dyDescent="0.4">
      <c r="A55" s="52">
        <v>55</v>
      </c>
      <c r="B55" s="57" t="s">
        <v>394</v>
      </c>
      <c r="C55" s="61" t="s">
        <v>395</v>
      </c>
      <c r="D55" s="57" t="s">
        <v>186</v>
      </c>
      <c r="E55" s="57" t="s">
        <v>120</v>
      </c>
      <c r="F55" s="57" t="s">
        <v>82</v>
      </c>
      <c r="G55" s="6" t="s">
        <v>9</v>
      </c>
      <c r="H55" s="6" t="s">
        <v>9</v>
      </c>
      <c r="I55" s="6" t="s">
        <v>9</v>
      </c>
      <c r="J55" s="6" t="s">
        <v>9</v>
      </c>
      <c r="K55" s="6" t="s">
        <v>9</v>
      </c>
      <c r="L55" s="59" t="str">
        <f t="shared" si="11"/>
        <v>GeoTécnicos</v>
      </c>
      <c r="M55" s="59" t="str">
        <f t="shared" si="12"/>
        <v>Elementos.Paisagísticos</v>
      </c>
      <c r="N55" s="59" t="str">
        <f t="shared" si="13"/>
        <v>Paisagismo</v>
      </c>
      <c r="O55" s="59" t="str">
        <f t="shared" si="14"/>
        <v>Estacionamento</v>
      </c>
      <c r="P55" s="22" t="s">
        <v>136</v>
      </c>
      <c r="Q55" s="36" t="s">
        <v>373</v>
      </c>
      <c r="R55" s="22" t="s">
        <v>9</v>
      </c>
      <c r="S55" s="22" t="str">
        <f t="shared" si="15"/>
        <v>GeoTécnicos</v>
      </c>
      <c r="T55" s="22" t="str">
        <f t="shared" si="16"/>
        <v>Elementos.Paisagísticos</v>
      </c>
      <c r="U55" s="22" t="str">
        <f t="shared" si="17"/>
        <v>Paisagismo</v>
      </c>
      <c r="V55" s="22" t="s">
        <v>143</v>
      </c>
      <c r="W55" s="60" t="str">
        <f t="shared" si="10"/>
        <v>Key-GEO-55</v>
      </c>
      <c r="X55" s="22" t="s">
        <v>187</v>
      </c>
      <c r="Y55" s="62" t="s">
        <v>282</v>
      </c>
      <c r="Z55" s="22" t="s">
        <v>286</v>
      </c>
      <c r="AA55" s="22" t="s">
        <v>339</v>
      </c>
    </row>
    <row r="56" spans="1:27" ht="6.65" customHeight="1" x14ac:dyDescent="0.4">
      <c r="A56" s="52">
        <v>56</v>
      </c>
      <c r="B56" s="57" t="s">
        <v>394</v>
      </c>
      <c r="C56" s="61" t="s">
        <v>395</v>
      </c>
      <c r="D56" s="57" t="s">
        <v>186</v>
      </c>
      <c r="E56" s="57" t="s">
        <v>120</v>
      </c>
      <c r="F56" s="58" t="s">
        <v>148</v>
      </c>
      <c r="G56" s="6" t="s">
        <v>9</v>
      </c>
      <c r="H56" s="6" t="s">
        <v>9</v>
      </c>
      <c r="I56" s="6" t="s">
        <v>9</v>
      </c>
      <c r="J56" s="6" t="s">
        <v>9</v>
      </c>
      <c r="K56" s="6" t="s">
        <v>9</v>
      </c>
      <c r="L56" s="59" t="str">
        <f t="shared" si="11"/>
        <v>GeoTécnicos</v>
      </c>
      <c r="M56" s="59" t="str">
        <f t="shared" si="12"/>
        <v>Elementos.Paisagísticos</v>
      </c>
      <c r="N56" s="59" t="str">
        <f t="shared" si="13"/>
        <v>Paisagismo</v>
      </c>
      <c r="O56" s="59" t="str">
        <f t="shared" si="14"/>
        <v>Vegetação</v>
      </c>
      <c r="P56" s="22" t="s">
        <v>126</v>
      </c>
      <c r="Q56" s="36" t="s">
        <v>374</v>
      </c>
      <c r="R56" s="22" t="s">
        <v>9</v>
      </c>
      <c r="S56" s="22" t="str">
        <f t="shared" si="15"/>
        <v>GeoTécnicos</v>
      </c>
      <c r="T56" s="22" t="str">
        <f t="shared" si="16"/>
        <v>Elementos.Paisagísticos</v>
      </c>
      <c r="U56" s="22" t="str">
        <f t="shared" si="17"/>
        <v>Paisagismo</v>
      </c>
      <c r="V56" s="22" t="s">
        <v>143</v>
      </c>
      <c r="W56" s="60" t="str">
        <f t="shared" si="10"/>
        <v>Key-GEO-56</v>
      </c>
      <c r="X56" s="62" t="s">
        <v>147</v>
      </c>
      <c r="Y56" s="62" t="s">
        <v>194</v>
      </c>
      <c r="Z56" s="22" t="s">
        <v>285</v>
      </c>
      <c r="AA56" s="22" t="s">
        <v>127</v>
      </c>
    </row>
  </sheetData>
  <sortState xmlns:xlrd2="http://schemas.microsoft.com/office/spreadsheetml/2017/richdata2" ref="A7:AA809">
    <sortCondition ref="E1:E809"/>
  </sortState>
  <phoneticPr fontId="1" type="noConversion"/>
  <conditionalFormatting sqref="A2:B56">
    <cfRule type="cellIs" dxfId="66" priority="6" operator="equal">
      <formula>"null"</formula>
    </cfRule>
  </conditionalFormatting>
  <conditionalFormatting sqref="A57:W1048576 A1:W1 P7 AB7:XFD7 C7:E7 D14:D32 Z57:XFD1048576 D8:E13 C8:C56">
    <cfRule type="cellIs" dxfId="65" priority="252" operator="equal">
      <formula>"null"</formula>
    </cfRule>
  </conditionalFormatting>
  <conditionalFormatting sqref="F3:F6">
    <cfRule type="duplicateValues" dxfId="64" priority="1"/>
    <cfRule type="duplicateValues" dxfId="63" priority="2"/>
    <cfRule type="duplicateValues" dxfId="62" priority="3"/>
    <cfRule type="duplicateValues" dxfId="61" priority="4"/>
  </conditionalFormatting>
  <conditionalFormatting sqref="F7:F32">
    <cfRule type="duplicateValues" dxfId="60" priority="1040"/>
    <cfRule type="cellIs" dxfId="59" priority="58" operator="equal">
      <formula>"null"</formula>
    </cfRule>
  </conditionalFormatting>
  <conditionalFormatting sqref="F7:F1048576 F1">
    <cfRule type="duplicateValues" dxfId="58" priority="52"/>
  </conditionalFormatting>
  <conditionalFormatting sqref="F33:F50 Q7:Q56 P33:P34 AB33:XFD34 P39:P46 AB39:XFD46 P48:P50 AB48:XFD50">
    <cfRule type="cellIs" dxfId="57" priority="119" operator="equal">
      <formula>"null"</formula>
    </cfRule>
  </conditionalFormatting>
  <conditionalFormatting sqref="F33:F50">
    <cfRule type="duplicateValues" dxfId="56" priority="1022"/>
    <cfRule type="duplicateValues" dxfId="55" priority="1021"/>
    <cfRule type="duplicateValues" dxfId="54" priority="1019"/>
  </conditionalFormatting>
  <conditionalFormatting sqref="F51:F52">
    <cfRule type="duplicateValues" dxfId="53" priority="989"/>
  </conditionalFormatting>
  <conditionalFormatting sqref="F53:F56">
    <cfRule type="duplicateValues" dxfId="52" priority="1025"/>
  </conditionalFormatting>
  <conditionalFormatting sqref="F57:F1048576 F1">
    <cfRule type="duplicateValues" dxfId="51" priority="253"/>
  </conditionalFormatting>
  <conditionalFormatting sqref="F57:F1048576">
    <cfRule type="duplicateValues" dxfId="50" priority="782"/>
    <cfRule type="duplicateValues" dxfId="49" priority="769"/>
    <cfRule type="duplicateValues" dxfId="48" priority="762"/>
    <cfRule type="duplicateValues" dxfId="47" priority="754"/>
    <cfRule type="duplicateValues" dxfId="46" priority="245"/>
  </conditionalFormatting>
  <conditionalFormatting sqref="W57:W1048576 W1">
    <cfRule type="duplicateValues" dxfId="45" priority="581"/>
  </conditionalFormatting>
  <conditionalFormatting sqref="X55">
    <cfRule type="duplicateValues" dxfId="44" priority="50"/>
    <cfRule type="duplicateValues" dxfId="43" priority="48"/>
    <cfRule type="duplicateValues" dxfId="42" priority="49"/>
    <cfRule type="duplicateValues" dxfId="41" priority="51"/>
  </conditionalFormatting>
  <conditionalFormatting sqref="Y7">
    <cfRule type="duplicateValues" dxfId="40" priority="83"/>
    <cfRule type="cellIs" dxfId="39" priority="82" operator="equal">
      <formula>"null"</formula>
    </cfRule>
  </conditionalFormatting>
  <conditionalFormatting sqref="Y8">
    <cfRule type="duplicateValues" dxfId="38" priority="79"/>
    <cfRule type="duplicateValues" dxfId="37" priority="81"/>
    <cfRule type="duplicateValues" dxfId="36" priority="80"/>
    <cfRule type="duplicateValues" dxfId="35" priority="78"/>
  </conditionalFormatting>
  <conditionalFormatting sqref="Y8:Y13 Y22:Y32 Y15:Y19">
    <cfRule type="duplicateValues" dxfId="34" priority="1037"/>
  </conditionalFormatting>
  <conditionalFormatting sqref="Y9:Y13 Y24:Y32 Y15:Y19">
    <cfRule type="duplicateValues" dxfId="33" priority="1034"/>
  </conditionalFormatting>
  <conditionalFormatting sqref="Y9:Y13 Y24:Y32">
    <cfRule type="duplicateValues" dxfId="32" priority="85"/>
  </conditionalFormatting>
  <conditionalFormatting sqref="Y14">
    <cfRule type="duplicateValues" dxfId="31" priority="42"/>
    <cfRule type="duplicateValues" dxfId="30" priority="41"/>
    <cfRule type="duplicateValues" dxfId="29" priority="40"/>
    <cfRule type="duplicateValues" dxfId="28" priority="39"/>
    <cfRule type="duplicateValues" dxfId="27" priority="38"/>
  </conditionalFormatting>
  <conditionalFormatting sqref="Y15:Y19">
    <cfRule type="duplicateValues" dxfId="26" priority="37"/>
    <cfRule type="duplicateValues" dxfId="25" priority="36"/>
    <cfRule type="duplicateValues" dxfId="24" priority="35"/>
    <cfRule type="duplicateValues" dxfId="23" priority="34"/>
  </conditionalFormatting>
  <conditionalFormatting sqref="Y20:Y21">
    <cfRule type="duplicateValues" dxfId="22" priority="33"/>
    <cfRule type="duplicateValues" dxfId="21" priority="32"/>
    <cfRule type="duplicateValues" dxfId="20" priority="26"/>
    <cfRule type="duplicateValues" dxfId="19" priority="31"/>
    <cfRule type="duplicateValues" dxfId="18" priority="30"/>
    <cfRule type="duplicateValues" dxfId="17" priority="29"/>
    <cfRule type="duplicateValues" dxfId="16" priority="28"/>
    <cfRule type="duplicateValues" dxfId="15" priority="27"/>
  </conditionalFormatting>
  <conditionalFormatting sqref="Y22:Y23">
    <cfRule type="duplicateValues" dxfId="14" priority="44"/>
    <cfRule type="duplicateValues" dxfId="13" priority="47"/>
    <cfRule type="duplicateValues" dxfId="12" priority="46"/>
    <cfRule type="duplicateValues" dxfId="11" priority="45"/>
    <cfRule type="duplicateValues" dxfId="10" priority="43"/>
  </conditionalFormatting>
  <conditionalFormatting sqref="Y24:Y32">
    <cfRule type="duplicateValues" dxfId="9" priority="84"/>
  </conditionalFormatting>
  <conditionalFormatting sqref="Z1:XFD1">
    <cfRule type="cellIs" dxfId="8" priority="238" operator="equal">
      <formula>"null"</formula>
    </cfRule>
  </conditionalFormatting>
  <conditionalFormatting sqref="AA2:AA56">
    <cfRule type="cellIs" dxfId="7" priority="5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9" customWidth="1"/>
    <col min="2" max="10" width="6.53515625" style="10" customWidth="1"/>
    <col min="11" max="21" width="6.53515625" style="8" customWidth="1"/>
    <col min="22" max="16384" width="11.15234375" style="8"/>
  </cols>
  <sheetData>
    <row r="1" spans="1:21" s="3" customFormat="1" x14ac:dyDescent="0.2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4" t="s">
        <v>31</v>
      </c>
    </row>
    <row r="2" spans="1:21" s="3" customFormat="1" ht="10.5" customHeight="1" x14ac:dyDescent="0.2">
      <c r="A2" s="5">
        <v>2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9</v>
      </c>
      <c r="T2" s="6" t="s">
        <v>9</v>
      </c>
      <c r="U2" s="6" t="s">
        <v>9</v>
      </c>
    </row>
    <row r="3" spans="1:21" ht="10.5" customHeight="1" x14ac:dyDescent="0.2">
      <c r="A3" s="5">
        <v>3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9</v>
      </c>
      <c r="N3" s="6" t="s">
        <v>9</v>
      </c>
      <c r="O3" s="6" t="s">
        <v>9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7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6B82-2E19-47C6-9DDF-914E7B26E6D0}">
  <dimension ref="A1:O2"/>
  <sheetViews>
    <sheetView zoomScale="235" zoomScaleNormal="235" workbookViewId="0">
      <pane ySplit="1" topLeftCell="A2" activePane="bottomLeft" state="frozen"/>
      <selection pane="bottomLeft" activeCell="G11" sqref="G11"/>
    </sheetView>
  </sheetViews>
  <sheetFormatPr defaultColWidth="9.3046875" defaultRowHeight="7.2" customHeight="1" x14ac:dyDescent="0.4"/>
  <cols>
    <col min="1" max="1" width="2.53515625" style="34" bestFit="1" customWidth="1"/>
    <col min="2" max="2" width="7.3046875" style="33" bestFit="1" customWidth="1"/>
    <col min="3" max="3" width="6" style="33" bestFit="1" customWidth="1"/>
    <col min="4" max="4" width="4.3046875" style="33" bestFit="1" customWidth="1"/>
    <col min="5" max="5" width="4.84375" style="33" bestFit="1" customWidth="1"/>
    <col min="6" max="6" width="4.3046875" style="35" bestFit="1" customWidth="1"/>
    <col min="7" max="7" width="8.53515625" style="35" bestFit="1" customWidth="1"/>
    <col min="8" max="8" width="6" style="35" bestFit="1" customWidth="1"/>
    <col min="9" max="9" width="18.15234375" style="35" customWidth="1"/>
    <col min="10" max="10" width="4.3046875" style="35" bestFit="1" customWidth="1"/>
    <col min="11" max="11" width="4.84375" style="35" bestFit="1" customWidth="1"/>
    <col min="12" max="12" width="4.3046875" style="35" bestFit="1" customWidth="1"/>
    <col min="13" max="13" width="4.84375" style="35" bestFit="1" customWidth="1"/>
    <col min="14" max="14" width="4.3046875" style="35" bestFit="1" customWidth="1"/>
    <col min="15" max="15" width="4.84375" style="34" bestFit="1" customWidth="1"/>
    <col min="16" max="16384" width="9.3046875" style="33"/>
  </cols>
  <sheetData>
    <row r="1" spans="1:15" s="29" customFormat="1" ht="24" customHeight="1" x14ac:dyDescent="0.4">
      <c r="A1" s="27" t="s">
        <v>10</v>
      </c>
      <c r="B1" s="28" t="s">
        <v>70</v>
      </c>
      <c r="C1" s="28" t="s">
        <v>71</v>
      </c>
      <c r="D1" s="43" t="s">
        <v>72</v>
      </c>
      <c r="E1" s="43" t="s">
        <v>44</v>
      </c>
      <c r="F1" s="28" t="s">
        <v>72</v>
      </c>
      <c r="G1" s="28"/>
      <c r="H1" s="28" t="s">
        <v>72</v>
      </c>
      <c r="I1" s="28" t="s">
        <v>44</v>
      </c>
      <c r="J1" s="28" t="s">
        <v>72</v>
      </c>
      <c r="K1" s="28" t="s">
        <v>44</v>
      </c>
      <c r="L1" s="28" t="s">
        <v>72</v>
      </c>
      <c r="M1" s="28" t="s">
        <v>44</v>
      </c>
      <c r="N1" s="28" t="s">
        <v>72</v>
      </c>
      <c r="O1" s="27" t="s">
        <v>44</v>
      </c>
    </row>
    <row r="2" spans="1:15" customFormat="1" ht="8.25" customHeight="1" x14ac:dyDescent="0.4">
      <c r="A2" s="32">
        <v>1</v>
      </c>
      <c r="B2" s="46" t="s">
        <v>391</v>
      </c>
      <c r="C2" s="47" t="s">
        <v>79</v>
      </c>
      <c r="D2" s="42" t="s">
        <v>9</v>
      </c>
      <c r="E2" s="49" t="s">
        <v>9</v>
      </c>
      <c r="F2" s="40" t="s">
        <v>289</v>
      </c>
      <c r="G2" s="50" t="s">
        <v>393</v>
      </c>
      <c r="H2" s="48" t="s">
        <v>80</v>
      </c>
      <c r="I2" s="41" t="s">
        <v>392</v>
      </c>
      <c r="J2" s="51" t="s">
        <v>9</v>
      </c>
      <c r="K2" s="31" t="s">
        <v>9</v>
      </c>
      <c r="L2" s="51" t="s">
        <v>9</v>
      </c>
      <c r="M2" s="31" t="s">
        <v>9</v>
      </c>
      <c r="N2" s="51" t="s">
        <v>9</v>
      </c>
      <c r="O2" s="31" t="s">
        <v>9</v>
      </c>
    </row>
  </sheetData>
  <phoneticPr fontId="1" type="noConversion"/>
  <conditionalFormatting sqref="A1:XFD1048576">
    <cfRule type="cellIs" dxfId="5" priority="6" operator="equal">
      <formula>"null"</formula>
    </cfRule>
  </conditionalFormatting>
  <conditionalFormatting sqref="B1:B1048576">
    <cfRule type="duplicateValues" dxfId="4" priority="1"/>
    <cfRule type="duplicateValues" dxfId="3" priority="1019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dimension ref="A1:G2"/>
  <sheetViews>
    <sheetView zoomScale="190" zoomScaleNormal="190" workbookViewId="0">
      <pane ySplit="1" topLeftCell="A2" activePane="bottomLeft" state="frozen"/>
      <selection activeCell="B1" sqref="B1"/>
      <selection pane="bottomLeft" activeCell="E5" sqref="E5"/>
    </sheetView>
  </sheetViews>
  <sheetFormatPr defaultColWidth="9.15234375" defaultRowHeight="8.25" customHeight="1" x14ac:dyDescent="0.4"/>
  <cols>
    <col min="1" max="1" width="3.3046875" style="16" customWidth="1"/>
    <col min="2" max="2" width="7.53515625" style="15" customWidth="1"/>
    <col min="3" max="3" width="11.3046875" style="15" bestFit="1" customWidth="1"/>
    <col min="4" max="7" width="10.84375" style="15" bestFit="1" customWidth="1"/>
  </cols>
  <sheetData>
    <row r="1" spans="1:7" ht="28.2" customHeight="1" x14ac:dyDescent="0.4">
      <c r="A1" s="20">
        <v>0</v>
      </c>
      <c r="B1" s="17" t="s">
        <v>73</v>
      </c>
      <c r="C1" s="18" t="s">
        <v>74</v>
      </c>
      <c r="D1" s="18" t="s">
        <v>75</v>
      </c>
      <c r="E1" s="18" t="s">
        <v>75</v>
      </c>
      <c r="F1" s="18" t="s">
        <v>75</v>
      </c>
      <c r="G1" s="18" t="s">
        <v>75</v>
      </c>
    </row>
    <row r="2" spans="1:7" ht="8.25" customHeight="1" x14ac:dyDescent="0.4">
      <c r="A2" s="21">
        <v>2</v>
      </c>
      <c r="B2" s="19" t="s">
        <v>9</v>
      </c>
      <c r="C2" s="19" t="s">
        <v>9</v>
      </c>
      <c r="D2" s="19" t="s">
        <v>9</v>
      </c>
      <c r="E2" s="19" t="s">
        <v>9</v>
      </c>
      <c r="F2" s="19" t="s">
        <v>9</v>
      </c>
      <c r="G2" s="19" t="s">
        <v>9</v>
      </c>
    </row>
  </sheetData>
  <phoneticPr fontId="1" type="noConversion"/>
  <conditionalFormatting sqref="A1:G1 B3:G1048576">
    <cfRule type="containsText" dxfId="2" priority="5" operator="containsText" text="null">
      <formula>NOT(ISERROR(SEARCH("null",A1)))</formula>
    </cfRule>
  </conditionalFormatting>
  <conditionalFormatting sqref="B3:B1048576 A1:B1">
    <cfRule type="duplicateValues" dxfId="1" priority="6"/>
  </conditionalFormatting>
  <conditionalFormatting sqref="B3:B1048576 B1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2026-08-09T15:32:20Z</dcterms:modified>
  <dc:language>pt-BR</dc:language>
</cp:coreProperties>
</file>