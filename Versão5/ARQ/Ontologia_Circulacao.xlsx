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strutor_Onto\ARQ\"/>
    </mc:Choice>
  </mc:AlternateContent>
  <xr:revisionPtr revIDLastSave="0" documentId="13_ncr:1_{58CB9ED0-1AA3-49A3-A0C7-9BED6912ED2E}" xr6:coauthVersionLast="47" xr6:coauthVersionMax="47" xr10:uidLastSave="{00000000-0000-0000-0000-000000000000}"/>
  <bookViews>
    <workbookView xWindow="-120" yWindow="-120" windowWidth="24240" windowHeight="13290" tabRatio="520" xr2:uid="{00000000-000D-0000-FFFF-FFFF00000000}"/>
  </bookViews>
  <sheets>
    <sheet name="Projeto" sheetId="13" r:id="rId1"/>
    <sheet name="Classes" sheetId="17" r:id="rId2"/>
    <sheet name="Disjunt" sheetId="3" r:id="rId3"/>
    <sheet name="Interop" sheetId="16" r:id="rId4"/>
    <sheet name="FatosIn" sheetId="26" r:id="rId5"/>
  </sheets>
  <definedNames>
    <definedName name="_xlnm._FilterDatabase" localSheetId="1" hidden="1">Classes!$E$1:$E$5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3" l="1"/>
  <c r="B26" i="13"/>
  <c r="X118" i="17" l="1"/>
  <c r="X119" i="17"/>
  <c r="X120" i="17"/>
  <c r="X121" i="17"/>
  <c r="X122" i="17"/>
  <c r="X123" i="17"/>
  <c r="X124" i="17"/>
  <c r="X125" i="17"/>
  <c r="X2" i="17" l="1"/>
  <c r="V2" i="17"/>
  <c r="U2" i="17"/>
  <c r="T2" i="17"/>
  <c r="O2" i="17"/>
  <c r="N2" i="17"/>
  <c r="M2" i="17"/>
  <c r="L2" i="17"/>
  <c r="X114" i="17"/>
  <c r="X115" i="17"/>
  <c r="X116" i="17"/>
  <c r="X117" i="17"/>
  <c r="V116" i="17"/>
  <c r="U116" i="17"/>
  <c r="T116" i="17"/>
  <c r="O116" i="17"/>
  <c r="N116" i="17"/>
  <c r="M116" i="17"/>
  <c r="L116" i="17"/>
  <c r="V115" i="17"/>
  <c r="U115" i="17"/>
  <c r="T115" i="17"/>
  <c r="O115" i="17"/>
  <c r="N115" i="17"/>
  <c r="M115" i="17"/>
  <c r="L115" i="17"/>
  <c r="V114" i="17"/>
  <c r="U114" i="17"/>
  <c r="T114" i="17"/>
  <c r="O114" i="17"/>
  <c r="N114" i="17"/>
  <c r="M114" i="17"/>
  <c r="L114" i="17"/>
  <c r="V118" i="17"/>
  <c r="U118" i="17"/>
  <c r="T118" i="17"/>
  <c r="O118" i="17"/>
  <c r="N118" i="17"/>
  <c r="M118" i="17"/>
  <c r="L118" i="17"/>
  <c r="X4" i="17"/>
  <c r="X5" i="17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08" i="17"/>
  <c r="X109" i="17"/>
  <c r="X110" i="17"/>
  <c r="X111" i="17"/>
  <c r="X112" i="17"/>
  <c r="X113" i="17"/>
  <c r="X3" i="17"/>
  <c r="V79" i="17"/>
  <c r="U79" i="17"/>
  <c r="T79" i="17"/>
  <c r="O79" i="17"/>
  <c r="N79" i="17"/>
  <c r="M79" i="17"/>
  <c r="L79" i="17"/>
  <c r="V78" i="17"/>
  <c r="U78" i="17"/>
  <c r="T78" i="17"/>
  <c r="O78" i="17"/>
  <c r="N78" i="17"/>
  <c r="M78" i="17"/>
  <c r="L78" i="17"/>
  <c r="V77" i="17"/>
  <c r="U77" i="17"/>
  <c r="T77" i="17"/>
  <c r="O77" i="17"/>
  <c r="N77" i="17"/>
  <c r="M77" i="17"/>
  <c r="L77" i="17"/>
  <c r="V76" i="17"/>
  <c r="U76" i="17"/>
  <c r="T76" i="17"/>
  <c r="O76" i="17"/>
  <c r="N76" i="17"/>
  <c r="M76" i="17"/>
  <c r="L76" i="17"/>
  <c r="V75" i="17"/>
  <c r="U75" i="17"/>
  <c r="T75" i="17"/>
  <c r="O75" i="17"/>
  <c r="N75" i="17"/>
  <c r="M75" i="17"/>
  <c r="L75" i="17"/>
  <c r="V74" i="17"/>
  <c r="U74" i="17"/>
  <c r="T74" i="17"/>
  <c r="O74" i="17"/>
  <c r="N74" i="17"/>
  <c r="M74" i="17"/>
  <c r="L74" i="17"/>
  <c r="V73" i="17"/>
  <c r="U73" i="17"/>
  <c r="T73" i="17"/>
  <c r="O73" i="17"/>
  <c r="N73" i="17"/>
  <c r="M73" i="17"/>
  <c r="L73" i="17"/>
  <c r="V72" i="17"/>
  <c r="U72" i="17"/>
  <c r="T72" i="17"/>
  <c r="O72" i="17"/>
  <c r="N72" i="17"/>
  <c r="M72" i="17"/>
  <c r="L72" i="17"/>
  <c r="V120" i="17"/>
  <c r="U120" i="17"/>
  <c r="T120" i="17"/>
  <c r="O120" i="17"/>
  <c r="N120" i="17"/>
  <c r="M120" i="17"/>
  <c r="L120" i="17"/>
  <c r="V119" i="17"/>
  <c r="U119" i="17"/>
  <c r="T119" i="17"/>
  <c r="O119" i="17"/>
  <c r="N119" i="17"/>
  <c r="M119" i="17"/>
  <c r="L119" i="17"/>
  <c r="V117" i="17"/>
  <c r="U117" i="17"/>
  <c r="T117" i="17"/>
  <c r="O117" i="17"/>
  <c r="N117" i="17"/>
  <c r="M117" i="17"/>
  <c r="L117" i="17"/>
  <c r="Q115" i="17"/>
  <c r="Q117" i="17"/>
  <c r="Q118" i="17"/>
  <c r="Q116" i="17"/>
  <c r="Q114" i="17"/>
  <c r="Q120" i="17"/>
  <c r="V7" i="17" l="1"/>
  <c r="U7" i="17"/>
  <c r="T7" i="17"/>
  <c r="O7" i="17"/>
  <c r="N7" i="17"/>
  <c r="M7" i="17"/>
  <c r="L7" i="17"/>
  <c r="V4" i="17"/>
  <c r="U4" i="17"/>
  <c r="T4" i="17"/>
  <c r="O4" i="17"/>
  <c r="N4" i="17"/>
  <c r="M4" i="17"/>
  <c r="L4" i="17"/>
  <c r="V98" i="17"/>
  <c r="U98" i="17"/>
  <c r="T98" i="17"/>
  <c r="O98" i="17"/>
  <c r="N98" i="17"/>
  <c r="M98" i="17"/>
  <c r="L98" i="17"/>
  <c r="V97" i="17"/>
  <c r="U97" i="17"/>
  <c r="T97" i="17"/>
  <c r="O97" i="17"/>
  <c r="N97" i="17"/>
  <c r="M97" i="17"/>
  <c r="L97" i="17"/>
  <c r="V108" i="17"/>
  <c r="U108" i="17"/>
  <c r="T108" i="17"/>
  <c r="O108" i="17"/>
  <c r="N108" i="17"/>
  <c r="M108" i="17"/>
  <c r="L108" i="17"/>
  <c r="V107" i="17"/>
  <c r="U107" i="17"/>
  <c r="T107" i="17"/>
  <c r="O107" i="17"/>
  <c r="N107" i="17"/>
  <c r="M107" i="17"/>
  <c r="L107" i="17"/>
  <c r="V106" i="17"/>
  <c r="U106" i="17"/>
  <c r="T106" i="17"/>
  <c r="O106" i="17"/>
  <c r="N106" i="17"/>
  <c r="M106" i="17"/>
  <c r="L106" i="17"/>
  <c r="V46" i="17"/>
  <c r="U46" i="17"/>
  <c r="T46" i="17"/>
  <c r="O46" i="17"/>
  <c r="N46" i="17"/>
  <c r="M46" i="17"/>
  <c r="L46" i="17"/>
  <c r="V53" i="17"/>
  <c r="U53" i="17"/>
  <c r="T53" i="17"/>
  <c r="O53" i="17"/>
  <c r="N53" i="17"/>
  <c r="M53" i="17"/>
  <c r="L53" i="17"/>
  <c r="V52" i="17"/>
  <c r="U52" i="17"/>
  <c r="T52" i="17"/>
  <c r="O52" i="17"/>
  <c r="N52" i="17"/>
  <c r="M52" i="17"/>
  <c r="L52" i="17"/>
  <c r="V25" i="17"/>
  <c r="U25" i="17"/>
  <c r="T25" i="17"/>
  <c r="O25" i="17"/>
  <c r="N25" i="17"/>
  <c r="M25" i="17"/>
  <c r="L25" i="17"/>
  <c r="V24" i="17"/>
  <c r="U24" i="17"/>
  <c r="T24" i="17"/>
  <c r="O24" i="17"/>
  <c r="N24" i="17"/>
  <c r="M24" i="17"/>
  <c r="L24" i="17"/>
  <c r="V23" i="17"/>
  <c r="U23" i="17"/>
  <c r="T23" i="17"/>
  <c r="O23" i="17"/>
  <c r="N23" i="17"/>
  <c r="M23" i="17"/>
  <c r="L23" i="17"/>
  <c r="V22" i="17"/>
  <c r="U22" i="17"/>
  <c r="T22" i="17"/>
  <c r="O22" i="17"/>
  <c r="N22" i="17"/>
  <c r="M22" i="17"/>
  <c r="L22" i="17"/>
  <c r="V21" i="17"/>
  <c r="U21" i="17"/>
  <c r="T21" i="17"/>
  <c r="O21" i="17"/>
  <c r="N21" i="17"/>
  <c r="M21" i="17"/>
  <c r="L21" i="17"/>
  <c r="V20" i="17"/>
  <c r="U20" i="17"/>
  <c r="T20" i="17"/>
  <c r="O20" i="17"/>
  <c r="N20" i="17"/>
  <c r="M20" i="17"/>
  <c r="L20" i="17"/>
  <c r="V19" i="17"/>
  <c r="U19" i="17"/>
  <c r="T19" i="17"/>
  <c r="O19" i="17"/>
  <c r="N19" i="17"/>
  <c r="M19" i="17"/>
  <c r="L19" i="17"/>
  <c r="V18" i="17"/>
  <c r="U18" i="17"/>
  <c r="T18" i="17"/>
  <c r="O18" i="17"/>
  <c r="N18" i="17"/>
  <c r="M18" i="17"/>
  <c r="L18" i="17"/>
  <c r="V17" i="17"/>
  <c r="U17" i="17"/>
  <c r="T17" i="17"/>
  <c r="O17" i="17"/>
  <c r="N17" i="17"/>
  <c r="M17" i="17"/>
  <c r="L17" i="17"/>
  <c r="V16" i="17"/>
  <c r="U16" i="17"/>
  <c r="T16" i="17"/>
  <c r="O16" i="17"/>
  <c r="N16" i="17"/>
  <c r="M16" i="17"/>
  <c r="L16" i="17"/>
  <c r="V15" i="17"/>
  <c r="U15" i="17"/>
  <c r="T15" i="17"/>
  <c r="O15" i="17"/>
  <c r="N15" i="17"/>
  <c r="M15" i="17"/>
  <c r="L15" i="17"/>
  <c r="V14" i="17"/>
  <c r="U14" i="17"/>
  <c r="T14" i="17"/>
  <c r="O14" i="17"/>
  <c r="N14" i="17"/>
  <c r="M14" i="17"/>
  <c r="L14" i="17"/>
  <c r="V13" i="17"/>
  <c r="U13" i="17"/>
  <c r="T13" i="17"/>
  <c r="O13" i="17"/>
  <c r="N13" i="17"/>
  <c r="M13" i="17"/>
  <c r="L13" i="17"/>
  <c r="V12" i="17"/>
  <c r="U12" i="17"/>
  <c r="T12" i="17"/>
  <c r="O12" i="17"/>
  <c r="N12" i="17"/>
  <c r="M12" i="17"/>
  <c r="L12" i="17"/>
  <c r="V45" i="17"/>
  <c r="U45" i="17"/>
  <c r="T45" i="17"/>
  <c r="O45" i="17"/>
  <c r="N45" i="17"/>
  <c r="M45" i="17"/>
  <c r="L45" i="17"/>
  <c r="V44" i="17"/>
  <c r="U44" i="17"/>
  <c r="T44" i="17"/>
  <c r="O44" i="17"/>
  <c r="N44" i="17"/>
  <c r="M44" i="17"/>
  <c r="L44" i="17"/>
  <c r="V43" i="17"/>
  <c r="U43" i="17"/>
  <c r="T43" i="17"/>
  <c r="O43" i="17"/>
  <c r="N43" i="17"/>
  <c r="M43" i="17"/>
  <c r="L43" i="17"/>
  <c r="V42" i="17"/>
  <c r="U42" i="17"/>
  <c r="T42" i="17"/>
  <c r="O42" i="17"/>
  <c r="N42" i="17"/>
  <c r="M42" i="17"/>
  <c r="L42" i="17"/>
  <c r="V41" i="17"/>
  <c r="U41" i="17"/>
  <c r="T41" i="17"/>
  <c r="O41" i="17"/>
  <c r="N41" i="17"/>
  <c r="M41" i="17"/>
  <c r="L41" i="17"/>
  <c r="V40" i="17"/>
  <c r="U40" i="17"/>
  <c r="T40" i="17"/>
  <c r="O40" i="17"/>
  <c r="N40" i="17"/>
  <c r="M40" i="17"/>
  <c r="L40" i="17"/>
  <c r="V39" i="17"/>
  <c r="U39" i="17"/>
  <c r="T39" i="17"/>
  <c r="O39" i="17"/>
  <c r="N39" i="17"/>
  <c r="M39" i="17"/>
  <c r="L39" i="17"/>
  <c r="V38" i="17"/>
  <c r="U38" i="17"/>
  <c r="T38" i="17"/>
  <c r="O38" i="17"/>
  <c r="N38" i="17"/>
  <c r="M38" i="17"/>
  <c r="L38" i="17"/>
  <c r="V37" i="17"/>
  <c r="U37" i="17"/>
  <c r="T37" i="17"/>
  <c r="O37" i="17"/>
  <c r="N37" i="17"/>
  <c r="M37" i="17"/>
  <c r="L37" i="17"/>
  <c r="V36" i="17"/>
  <c r="U36" i="17"/>
  <c r="T36" i="17"/>
  <c r="O36" i="17"/>
  <c r="N36" i="17"/>
  <c r="M36" i="17"/>
  <c r="L36" i="17"/>
  <c r="V35" i="17"/>
  <c r="U35" i="17"/>
  <c r="T35" i="17"/>
  <c r="O35" i="17"/>
  <c r="N35" i="17"/>
  <c r="M35" i="17"/>
  <c r="L35" i="17"/>
  <c r="V34" i="17"/>
  <c r="U34" i="17"/>
  <c r="T34" i="17"/>
  <c r="O34" i="17"/>
  <c r="N34" i="17"/>
  <c r="M34" i="17"/>
  <c r="L34" i="17"/>
  <c r="V33" i="17"/>
  <c r="U33" i="17"/>
  <c r="T33" i="17"/>
  <c r="O33" i="17"/>
  <c r="N33" i="17"/>
  <c r="M33" i="17"/>
  <c r="L33" i="17"/>
  <c r="V32" i="17"/>
  <c r="U32" i="17"/>
  <c r="T32" i="17"/>
  <c r="O32" i="17"/>
  <c r="N32" i="17"/>
  <c r="M32" i="17"/>
  <c r="L32" i="17"/>
  <c r="V31" i="17"/>
  <c r="U31" i="17"/>
  <c r="T31" i="17"/>
  <c r="O31" i="17"/>
  <c r="N31" i="17"/>
  <c r="M31" i="17"/>
  <c r="L31" i="17"/>
  <c r="V30" i="17"/>
  <c r="U30" i="17"/>
  <c r="T30" i="17"/>
  <c r="O30" i="17"/>
  <c r="N30" i="17"/>
  <c r="M30" i="17"/>
  <c r="L30" i="17"/>
  <c r="V29" i="17"/>
  <c r="U29" i="17"/>
  <c r="T29" i="17"/>
  <c r="O29" i="17"/>
  <c r="N29" i="17"/>
  <c r="M29" i="17"/>
  <c r="L29" i="17"/>
  <c r="V28" i="17"/>
  <c r="U28" i="17"/>
  <c r="T28" i="17"/>
  <c r="O28" i="17"/>
  <c r="N28" i="17"/>
  <c r="M28" i="17"/>
  <c r="L28" i="17"/>
  <c r="V27" i="17"/>
  <c r="U27" i="17"/>
  <c r="T27" i="17"/>
  <c r="O27" i="17"/>
  <c r="N27" i="17"/>
  <c r="M27" i="17"/>
  <c r="L27" i="17"/>
  <c r="V51" i="17"/>
  <c r="U51" i="17"/>
  <c r="T51" i="17"/>
  <c r="O51" i="17"/>
  <c r="N51" i="17"/>
  <c r="M51" i="17"/>
  <c r="L51" i="17"/>
  <c r="V50" i="17"/>
  <c r="U50" i="17"/>
  <c r="T50" i="17"/>
  <c r="O50" i="17"/>
  <c r="N50" i="17"/>
  <c r="M50" i="17"/>
  <c r="L50" i="17"/>
  <c r="V49" i="17"/>
  <c r="U49" i="17"/>
  <c r="T49" i="17"/>
  <c r="O49" i="17"/>
  <c r="N49" i="17"/>
  <c r="M49" i="17"/>
  <c r="L49" i="17"/>
  <c r="V48" i="17"/>
  <c r="U48" i="17"/>
  <c r="T48" i="17"/>
  <c r="O48" i="17"/>
  <c r="N48" i="17"/>
  <c r="M48" i="17"/>
  <c r="L48" i="17"/>
  <c r="V47" i="17"/>
  <c r="U47" i="17"/>
  <c r="T47" i="17"/>
  <c r="O47" i="17"/>
  <c r="N47" i="17"/>
  <c r="M47" i="17"/>
  <c r="L47" i="17"/>
  <c r="V26" i="17"/>
  <c r="U26" i="17"/>
  <c r="T26" i="17"/>
  <c r="O26" i="17"/>
  <c r="N26" i="17"/>
  <c r="M26" i="17"/>
  <c r="L26" i="17"/>
  <c r="V105" i="17"/>
  <c r="U105" i="17"/>
  <c r="T105" i="17"/>
  <c r="O105" i="17"/>
  <c r="N105" i="17"/>
  <c r="M105" i="17"/>
  <c r="L105" i="17"/>
  <c r="V104" i="17"/>
  <c r="U104" i="17"/>
  <c r="T104" i="17"/>
  <c r="O104" i="17"/>
  <c r="N104" i="17"/>
  <c r="M104" i="17"/>
  <c r="L104" i="17"/>
  <c r="V103" i="17"/>
  <c r="U103" i="17"/>
  <c r="T103" i="17"/>
  <c r="O103" i="17"/>
  <c r="N103" i="17"/>
  <c r="M103" i="17"/>
  <c r="L103" i="17"/>
  <c r="V102" i="17"/>
  <c r="U102" i="17"/>
  <c r="T102" i="17"/>
  <c r="O102" i="17"/>
  <c r="N102" i="17"/>
  <c r="M102" i="17"/>
  <c r="L102" i="17"/>
  <c r="V101" i="17"/>
  <c r="U101" i="17"/>
  <c r="T101" i="17"/>
  <c r="O101" i="17"/>
  <c r="N101" i="17"/>
  <c r="M101" i="17"/>
  <c r="L101" i="17"/>
  <c r="V100" i="17"/>
  <c r="U100" i="17"/>
  <c r="T100" i="17"/>
  <c r="O100" i="17"/>
  <c r="N100" i="17"/>
  <c r="M100" i="17"/>
  <c r="L100" i="17"/>
  <c r="V99" i="17"/>
  <c r="U99" i="17"/>
  <c r="T99" i="17"/>
  <c r="O99" i="17"/>
  <c r="N99" i="17"/>
  <c r="M99" i="17"/>
  <c r="L99" i="17"/>
  <c r="V96" i="17"/>
  <c r="U96" i="17"/>
  <c r="T96" i="17"/>
  <c r="O96" i="17"/>
  <c r="N96" i="17"/>
  <c r="M96" i="17"/>
  <c r="L96" i="17"/>
  <c r="V11" i="17"/>
  <c r="U11" i="17"/>
  <c r="T11" i="17"/>
  <c r="O11" i="17"/>
  <c r="N11" i="17"/>
  <c r="M11" i="17"/>
  <c r="L11" i="17"/>
  <c r="V10" i="17"/>
  <c r="U10" i="17"/>
  <c r="T10" i="17"/>
  <c r="O10" i="17"/>
  <c r="N10" i="17"/>
  <c r="M10" i="17"/>
  <c r="L10" i="17"/>
  <c r="V9" i="17"/>
  <c r="U9" i="17"/>
  <c r="T9" i="17"/>
  <c r="O9" i="17"/>
  <c r="N9" i="17"/>
  <c r="M9" i="17"/>
  <c r="L9" i="17"/>
  <c r="V8" i="17"/>
  <c r="U8" i="17"/>
  <c r="T8" i="17"/>
  <c r="O8" i="17"/>
  <c r="N8" i="17"/>
  <c r="M8" i="17"/>
  <c r="L8" i="17"/>
  <c r="V6" i="17"/>
  <c r="U6" i="17"/>
  <c r="T6" i="17"/>
  <c r="O6" i="17"/>
  <c r="N6" i="17"/>
  <c r="M6" i="17"/>
  <c r="L6" i="17"/>
  <c r="V5" i="17"/>
  <c r="U5" i="17"/>
  <c r="T5" i="17"/>
  <c r="O5" i="17"/>
  <c r="N5" i="17"/>
  <c r="M5" i="17"/>
  <c r="L5" i="17"/>
  <c r="V3" i="17"/>
  <c r="U3" i="17"/>
  <c r="T3" i="17"/>
  <c r="O3" i="17"/>
  <c r="N3" i="17"/>
  <c r="M3" i="17"/>
  <c r="L3" i="17"/>
  <c r="V68" i="17"/>
  <c r="U68" i="17"/>
  <c r="T68" i="17"/>
  <c r="O68" i="17"/>
  <c r="N68" i="17"/>
  <c r="M68" i="17"/>
  <c r="L68" i="17"/>
  <c r="V83" i="17"/>
  <c r="U83" i="17"/>
  <c r="T83" i="17"/>
  <c r="O83" i="17"/>
  <c r="N83" i="17"/>
  <c r="M83" i="17"/>
  <c r="L83" i="17"/>
  <c r="V82" i="17"/>
  <c r="U82" i="17"/>
  <c r="T82" i="17"/>
  <c r="O82" i="17"/>
  <c r="N82" i="17"/>
  <c r="M82" i="17"/>
  <c r="L82" i="17"/>
  <c r="V81" i="17"/>
  <c r="U81" i="17"/>
  <c r="T81" i="17"/>
  <c r="O81" i="17"/>
  <c r="N81" i="17"/>
  <c r="M81" i="17"/>
  <c r="L81" i="17"/>
  <c r="V80" i="17"/>
  <c r="U80" i="17"/>
  <c r="T80" i="17"/>
  <c r="O80" i="17"/>
  <c r="N80" i="17"/>
  <c r="M80" i="17"/>
  <c r="L80" i="17"/>
  <c r="V95" i="17"/>
  <c r="U95" i="17"/>
  <c r="T95" i="17"/>
  <c r="O95" i="17"/>
  <c r="N95" i="17"/>
  <c r="M95" i="17"/>
  <c r="L95" i="17"/>
  <c r="V94" i="17"/>
  <c r="U94" i="17"/>
  <c r="T94" i="17"/>
  <c r="O94" i="17"/>
  <c r="N94" i="17"/>
  <c r="M94" i="17"/>
  <c r="L94" i="17"/>
  <c r="V93" i="17"/>
  <c r="U93" i="17"/>
  <c r="T93" i="17"/>
  <c r="O93" i="17"/>
  <c r="N93" i="17"/>
  <c r="M93" i="17"/>
  <c r="L93" i="17"/>
  <c r="V92" i="17"/>
  <c r="U92" i="17"/>
  <c r="T92" i="17"/>
  <c r="O92" i="17"/>
  <c r="N92" i="17"/>
  <c r="M92" i="17"/>
  <c r="L92" i="17"/>
  <c r="V91" i="17"/>
  <c r="U91" i="17"/>
  <c r="T91" i="17"/>
  <c r="O91" i="17"/>
  <c r="N91" i="17"/>
  <c r="M91" i="17"/>
  <c r="L91" i="17"/>
  <c r="V90" i="17"/>
  <c r="U90" i="17"/>
  <c r="T90" i="17"/>
  <c r="O90" i="17"/>
  <c r="N90" i="17"/>
  <c r="M90" i="17"/>
  <c r="L90" i="17"/>
  <c r="V89" i="17"/>
  <c r="U89" i="17"/>
  <c r="T89" i="17"/>
  <c r="O89" i="17"/>
  <c r="N89" i="17"/>
  <c r="M89" i="17"/>
  <c r="L89" i="17"/>
  <c r="V88" i="17"/>
  <c r="U88" i="17"/>
  <c r="T88" i="17"/>
  <c r="O88" i="17"/>
  <c r="N88" i="17"/>
  <c r="M88" i="17"/>
  <c r="L88" i="17"/>
  <c r="V87" i="17"/>
  <c r="U87" i="17"/>
  <c r="T87" i="17"/>
  <c r="O87" i="17"/>
  <c r="N87" i="17"/>
  <c r="M87" i="17"/>
  <c r="L87" i="17"/>
  <c r="V86" i="17"/>
  <c r="U86" i="17"/>
  <c r="T86" i="17"/>
  <c r="O86" i="17"/>
  <c r="N86" i="17"/>
  <c r="M86" i="17"/>
  <c r="L86" i="17"/>
  <c r="V85" i="17"/>
  <c r="U85" i="17"/>
  <c r="T85" i="17"/>
  <c r="O85" i="17"/>
  <c r="N85" i="17"/>
  <c r="M85" i="17"/>
  <c r="L85" i="17"/>
  <c r="V84" i="17"/>
  <c r="U84" i="17"/>
  <c r="T84" i="17"/>
  <c r="O84" i="17"/>
  <c r="N84" i="17"/>
  <c r="M84" i="17"/>
  <c r="L84" i="17"/>
  <c r="V56" i="17"/>
  <c r="U56" i="17"/>
  <c r="T56" i="17"/>
  <c r="O56" i="17"/>
  <c r="N56" i="17"/>
  <c r="M56" i="17"/>
  <c r="L56" i="17"/>
  <c r="V55" i="17"/>
  <c r="U55" i="17"/>
  <c r="T55" i="17"/>
  <c r="O55" i="17"/>
  <c r="N55" i="17"/>
  <c r="M55" i="17"/>
  <c r="L55" i="17"/>
  <c r="V113" i="17"/>
  <c r="U113" i="17"/>
  <c r="T113" i="17"/>
  <c r="O113" i="17"/>
  <c r="N113" i="17"/>
  <c r="M113" i="17"/>
  <c r="L113" i="17"/>
  <c r="V112" i="17"/>
  <c r="U112" i="17"/>
  <c r="T112" i="17"/>
  <c r="O112" i="17"/>
  <c r="N112" i="17"/>
  <c r="M112" i="17"/>
  <c r="L112" i="17"/>
  <c r="V111" i="17"/>
  <c r="U111" i="17"/>
  <c r="T111" i="17"/>
  <c r="O111" i="17"/>
  <c r="N111" i="17"/>
  <c r="M111" i="17"/>
  <c r="L111" i="17"/>
  <c r="V110" i="17"/>
  <c r="U110" i="17"/>
  <c r="T110" i="17"/>
  <c r="O110" i="17"/>
  <c r="N110" i="17"/>
  <c r="M110" i="17"/>
  <c r="L110" i="17"/>
  <c r="V109" i="17"/>
  <c r="U109" i="17"/>
  <c r="T109" i="17"/>
  <c r="O109" i="17"/>
  <c r="N109" i="17"/>
  <c r="M109" i="17"/>
  <c r="L109" i="17"/>
  <c r="V60" i="17"/>
  <c r="U60" i="17"/>
  <c r="T60" i="17"/>
  <c r="O60" i="17"/>
  <c r="N60" i="17"/>
  <c r="M60" i="17"/>
  <c r="L60" i="17"/>
  <c r="V59" i="17"/>
  <c r="U59" i="17"/>
  <c r="T59" i="17"/>
  <c r="O59" i="17"/>
  <c r="N59" i="17"/>
  <c r="M59" i="17"/>
  <c r="L59" i="17"/>
  <c r="V58" i="17"/>
  <c r="U58" i="17"/>
  <c r="T58" i="17"/>
  <c r="O58" i="17"/>
  <c r="N58" i="17"/>
  <c r="M58" i="17"/>
  <c r="L58" i="17"/>
  <c r="V57" i="17"/>
  <c r="U57" i="17"/>
  <c r="T57" i="17"/>
  <c r="O57" i="17"/>
  <c r="N57" i="17"/>
  <c r="M57" i="17"/>
  <c r="L57" i="17"/>
  <c r="V54" i="17"/>
  <c r="U54" i="17"/>
  <c r="T54" i="17"/>
  <c r="O54" i="17"/>
  <c r="N54" i="17"/>
  <c r="M54" i="17"/>
  <c r="L54" i="17"/>
  <c r="T61" i="17"/>
  <c r="U61" i="17"/>
  <c r="V61" i="17"/>
  <c r="T62" i="17"/>
  <c r="U62" i="17"/>
  <c r="V62" i="17"/>
  <c r="T63" i="17"/>
  <c r="U63" i="17"/>
  <c r="V63" i="17"/>
  <c r="T64" i="17"/>
  <c r="U64" i="17"/>
  <c r="V64" i="17"/>
  <c r="T65" i="17"/>
  <c r="U65" i="17"/>
  <c r="V65" i="17"/>
  <c r="T66" i="17"/>
  <c r="U66" i="17"/>
  <c r="V66" i="17"/>
  <c r="T67" i="17"/>
  <c r="U67" i="17"/>
  <c r="V67" i="17"/>
  <c r="T69" i="17"/>
  <c r="U69" i="17"/>
  <c r="V69" i="17"/>
  <c r="T70" i="17"/>
  <c r="U70" i="17"/>
  <c r="V70" i="17"/>
  <c r="T71" i="17"/>
  <c r="U71" i="17"/>
  <c r="V71" i="17"/>
  <c r="L61" i="17"/>
  <c r="M61" i="17"/>
  <c r="N61" i="17"/>
  <c r="O61" i="17"/>
  <c r="L62" i="17"/>
  <c r="M62" i="17"/>
  <c r="N62" i="17"/>
  <c r="O62" i="17"/>
  <c r="L63" i="17"/>
  <c r="M63" i="17"/>
  <c r="N63" i="17"/>
  <c r="O63" i="17"/>
  <c r="L64" i="17"/>
  <c r="M64" i="17"/>
  <c r="N64" i="17"/>
  <c r="O64" i="17"/>
  <c r="L65" i="17"/>
  <c r="M65" i="17"/>
  <c r="N65" i="17"/>
  <c r="O65" i="17"/>
  <c r="L66" i="17"/>
  <c r="M66" i="17"/>
  <c r="N66" i="17"/>
  <c r="O66" i="17"/>
  <c r="L67" i="17"/>
  <c r="M67" i="17"/>
  <c r="N67" i="17"/>
  <c r="O67" i="17"/>
  <c r="L69" i="17"/>
  <c r="M69" i="17"/>
  <c r="N69" i="17"/>
  <c r="O69" i="17"/>
  <c r="L70" i="17"/>
  <c r="M70" i="17"/>
  <c r="N70" i="17"/>
  <c r="O70" i="17"/>
  <c r="L71" i="17"/>
  <c r="M71" i="17"/>
  <c r="N71" i="17"/>
  <c r="O71" i="17"/>
  <c r="Q119" i="17"/>
  <c r="B18" i="13" l="1"/>
  <c r="B6" i="13"/>
  <c r="B5" i="13"/>
</calcChain>
</file>

<file path=xl/sharedStrings.xml><?xml version="1.0" encoding="utf-8"?>
<sst xmlns="http://schemas.openxmlformats.org/spreadsheetml/2006/main" count="3173" uniqueCount="786">
  <si>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</si>
  <si>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</si>
  <si>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</si>
  <si>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</si>
  <si>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</si>
  <si>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</si>
  <si>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</si>
  <si>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</si>
  <si>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</si>
  <si>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</si>
  <si>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</si>
  <si>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</si>
  <si>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</si>
  <si>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</si>
  <si>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</si>
  <si>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</si>
  <si>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</si>
  <si>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</si>
  <si>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</si>
  <si>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</si>
  <si>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</si>
  <si>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</si>
  <si>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</si>
  <si>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</si>
  <si>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</si>
  <si>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</si>
  <si>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</si>
  <si>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</si>
  <si>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</si>
  <si>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</si>
  <si>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</si>
  <si>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</si>
  <si>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</si>
  <si>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</si>
  <si>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</si>
  <si>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</si>
  <si>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</si>
  <si>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</si>
  <si>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</si>
  <si>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</si>
  <si>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</si>
  <si>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</si>
  <si>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</si>
  <si>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Arquitetura</t>
  </si>
  <si>
    <t>Corrimão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</si>
  <si>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</si>
  <si>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</si>
  <si>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</si>
  <si>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</si>
  <si>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</si>
  <si>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</si>
  <si>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</si>
  <si>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</si>
  <si>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</si>
  <si>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</si>
  <si>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</si>
  <si>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</si>
  <si>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</si>
  <si>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-</t>
  </si>
  <si>
    <t>Observações</t>
  </si>
  <si>
    <t>DataHora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</si>
  <si>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</si>
  <si>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</si>
  <si>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</si>
  <si>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</si>
  <si>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</si>
  <si>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</si>
  <si>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</si>
  <si>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</si>
  <si>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</si>
  <si>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</si>
  <si>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nome</t>
  </si>
  <si>
    <t>Val</t>
  </si>
  <si>
    <t>Val
23</t>
  </si>
  <si>
    <t>Lance de escada com linha de percurso curva.</t>
  </si>
  <si>
    <t>Lance de escada com uma linha de percurso de forma livre (e limites externos).</t>
  </si>
  <si>
    <t>Lance de escada com linha de caminhada circular ou elíptica.</t>
  </si>
  <si>
    <t>Lance de escada com uma linha de percurso reta.</t>
  </si>
  <si>
    <t>Lance de escada com uma linha de percurso incluindo seções retas e curvas.</t>
  </si>
  <si>
    <t>Escada fazendo uma curva de 180°, consistindo em dois lances retos conectados por um patamar de meio espaço.</t>
  </si>
  <si>
    <t>Escada que consiste num lance com um meio enrolador, que faz uma curva de 180°.</t>
  </si>
  <si>
    <t>Lance de rampa reto.</t>
  </si>
  <si>
    <t>0-Classe Ifc</t>
  </si>
  <si>
    <t>0-Categoria Equivalente</t>
  </si>
  <si>
    <t>0-CategoriaEquivalente</t>
  </si>
  <si>
    <t>Tramo de escaleras con línea de recorrido curva.</t>
  </si>
  <si>
    <t>Tramo de escaleras con una línea de camino de forma libre (y límites exteriores).</t>
  </si>
  <si>
    <t>Tramo de escaleras con línea de paso circular o elíptica.</t>
  </si>
  <si>
    <t>Tramo de escaleras con línea recta de recorrido.</t>
  </si>
  <si>
    <t>Tramo de escaleras con una línea de camino que incluye tramos rectos y curvos.</t>
  </si>
  <si>
    <t>Escalera que realiza un giro de 180°, que consta de dos tramos rectos conectados por un rellano de medio espacio.</t>
  </si>
  <si>
    <t>Anotações 
de ajuda
Classe 4</t>
  </si>
  <si>
    <t>Escada de múltiples andares.</t>
  </si>
  <si>
    <t>Rampa fazendo uma curva de 90 °, consistindo em dois lances retos conectados por um patamar de descanso.</t>
  </si>
  <si>
    <t>Interop.</t>
  </si>
  <si>
    <t>Modelo de informação IFC 4x3 e Categorias Revit 2026</t>
  </si>
  <si>
    <t>Guardacorpos de escadas, rampas e varandas.</t>
  </si>
  <si>
    <t>Guardacuerpos de escaleras, rampas e balcones.</t>
  </si>
  <si>
    <t>é.dentro.de</t>
  </si>
  <si>
    <t>Rampas: projeção cortada.</t>
  </si>
  <si>
    <t>Rampas: seta de descida.</t>
  </si>
  <si>
    <t>Rampas: texto de descida.</t>
  </si>
  <si>
    <t>Rampas: incompletas.</t>
  </si>
  <si>
    <t>Rampas: suporte lateral.</t>
  </si>
  <si>
    <t>Rampas: suporte lateral projeção cortada.</t>
  </si>
  <si>
    <t>Rampas: seta de subida.</t>
  </si>
  <si>
    <t>Rampas: texto de subida.</t>
  </si>
  <si>
    <t>Rampas: projección cortada.</t>
  </si>
  <si>
    <t>Rampas: flecha de bajada.</t>
  </si>
  <si>
    <t>Rampas: texto de bajada.</t>
  </si>
  <si>
    <t>Rampas: flecha de subida.</t>
  </si>
  <si>
    <t>Rampas: suporte lateral projección cortada.</t>
  </si>
  <si>
    <t>Guardacorpos de escadas, rampas e varandas: balaústre.</t>
  </si>
  <si>
    <t>Guardacorpos de escadas, rampas e varandas: sistema de balaústre.</t>
  </si>
  <si>
    <t>Guardacorpos de escadas, rampas e varandas: corte superior.</t>
  </si>
  <si>
    <t>Guardacorpos de escadas, rampas e varandas: corrimão.</t>
  </si>
  <si>
    <t>Guardacorpos de escadas, rampas e varandas: suporte do corrimão.</t>
  </si>
  <si>
    <t>Guardacorpos de escadas, rampas e varandas: sistema de corrimão.</t>
  </si>
  <si>
    <t>Guardacorpos de escadas, rampas e varandas: grampo do corrimão.</t>
  </si>
  <si>
    <t>Guardacorpos de escadas, rampas e varandas: acessório do corrimão.</t>
  </si>
  <si>
    <t>Guardacorpos de escadas, rampas e varandas: painel do corrimão.</t>
  </si>
  <si>
    <t>Guardacorpos de escadas, rampas e varandas: poste do corrimão.</t>
  </si>
  <si>
    <t>Guardacorpos de escadas, rampas e varandas: trilho do corrimão.</t>
  </si>
  <si>
    <t>Guardacorpos de escadas, rampas e varandas: segmento do corrimão.</t>
  </si>
  <si>
    <t>Guardacorpos de escadas, rampas e varandas: terminação do corrimão.</t>
  </si>
  <si>
    <t>Guardacorpos de escadas, rampas e varandas: corrimão superior.</t>
  </si>
  <si>
    <t>Guardacorpos de escadas, rampas e varandas: transição do corrimão.</t>
  </si>
  <si>
    <t>Barandillas para escaleras, rampas y balcones: balaustre.</t>
  </si>
  <si>
    <t>Barandillas para escaleras, rampas y balcones: pasamanos.</t>
  </si>
  <si>
    <t>Barandillas para escaleras, rampas y balcones: soporte de pasamanos.</t>
  </si>
  <si>
    <t>Barandillas para escaleras, rampas y balcones: sistema de pasamanos.</t>
  </si>
  <si>
    <t>Barandillas para escaleras, rampas y balcones: sistema de balaustres.</t>
  </si>
  <si>
    <t>Barandillas para escaleras, rampas y balcones: abrazadera de pasamanos.</t>
  </si>
  <si>
    <t>Barandillas para escaleras, rampas y balcones: accesorio de pasamanos.</t>
  </si>
  <si>
    <t>Barandillas para escaleras, rampas y balcones: panel de barandilla.</t>
  </si>
  <si>
    <t>Barandillas para escaleras, rampas y balcones: poste de pasamanos.</t>
  </si>
  <si>
    <t>Barandillas para escaleras, rampas y balcones: barandilla de barandilla.</t>
  </si>
  <si>
    <t>Barandillas para escaleras, rampas y balcones: segmento de barandilla.</t>
  </si>
  <si>
    <t>Barandillas para escaleras, rampas y balcones: terminación de la barandilla.</t>
  </si>
  <si>
    <t>Barandillas para escaleras, rampas y balcones: pasamanos superiores.</t>
  </si>
  <si>
    <t>Barandillas de escaleras, rampas y balcones: transición de la barandilla.</t>
  </si>
  <si>
    <t>Barandillas para escaleras, rampas y balcones: corte superior.</t>
  </si>
  <si>
    <t>Escalera: rellano.</t>
  </si>
  <si>
    <t>Escalera: proyección del borde del escalón.</t>
  </si>
  <si>
    <t>Escaleras: proyección del borde del escalón por encima del corte.</t>
  </si>
  <si>
    <t>Escaleras: líneas externas.</t>
  </si>
  <si>
    <t>Escaleras: línea de camino.</t>
  </si>
  <si>
    <t>Escaleras: línea de camino por encima del corte.</t>
  </si>
  <si>
    <t>Escaleras: líneas de espejos.</t>
  </si>
  <si>
    <t>Escaleras: líneas de espejo por encima del corte.</t>
  </si>
  <si>
    <t>Escaleras esbozadas: líneas de rellano.</t>
  </si>
  <si>
    <t>Escaleras esbozadas: líneas de camino.</t>
  </si>
  <si>
    <t>Escaleras esbozadas: líneas de espejos.</t>
  </si>
  <si>
    <t>Escaleras esbozadas: tirar líneas.</t>
  </si>
  <si>
    <t>Escaleras: trecho.</t>
  </si>
  <si>
    <t>Escaleras esbozadas: líneas de contorno.</t>
  </si>
  <si>
    <t>Escaleras: líneas exteriores por encima del corte.</t>
  </si>
  <si>
    <t>Escaleras: marca de interrupción.</t>
  </si>
  <si>
    <t>Escaleras: marca de interrupción por encima del corte.</t>
  </si>
  <si>
    <t>CategoriaRvt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</si>
  <si>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</si>
  <si>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</si>
  <si>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</si>
  <si>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</si>
  <si>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</si>
  <si>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</si>
  <si>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</si>
  <si>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Objetos_BIM_Circulação</t>
  </si>
  <si>
    <t>Formalizar elementos do projeto BIM. Ontologia de Elementos de Circulação como Escadas, Rampas, Elevadores e seus elementos associados como corrimões.</t>
  </si>
  <si>
    <t>Guardacorpo.Escada</t>
  </si>
  <si>
    <t>é.componente.de some Escadas</t>
  </si>
  <si>
    <t>Guardacorpo da escada ou varandas.</t>
  </si>
  <si>
    <t>Barandilla de escalera o balcones</t>
  </si>
  <si>
    <t>Guardacorpo.Escada.Projeção</t>
  </si>
  <si>
    <t>é.componente.de some Rampas</t>
  </si>
  <si>
    <t>Guardacorpo da escadas ou varandas projeção.</t>
  </si>
  <si>
    <t>Barandilla de escalera o balcones de proyección</t>
  </si>
  <si>
    <t>Guardacorpo.Escada.Balaústre</t>
  </si>
  <si>
    <t>Guardacorpo balaústre.</t>
  </si>
  <si>
    <t>Balaustre de la barandilla</t>
  </si>
  <si>
    <t>Guardacorpo.Escada.Corrimão</t>
  </si>
  <si>
    <t>Guardacorpo corrimão.</t>
  </si>
  <si>
    <t>Pasamanos de la barandilla</t>
  </si>
  <si>
    <t>Guardacorpos.Sistemas</t>
  </si>
  <si>
    <t>Guardacorpo.Sistema</t>
  </si>
  <si>
    <t>Elevadores</t>
  </si>
  <si>
    <t>Elevador</t>
  </si>
  <si>
    <t>Elevador é um equipamento mecânico para uma ligação de circulação vertical para pessoas, veículos ou produtos.</t>
  </si>
  <si>
    <t>Ascensor es um equipo mecánico para establecer conexión de circulación vertical para personas, vehículos o productos.</t>
  </si>
  <si>
    <t>Montacarga</t>
  </si>
  <si>
    <t>Montacarga é um equipamento mecânico para uma ligação de circulação vertical para equipamentos ou produtos.</t>
  </si>
  <si>
    <t>Ascensor es um equipo mecánico para establecer conexión de circulación vertical para equipamientos o productos.</t>
  </si>
  <si>
    <t>Rampas</t>
  </si>
  <si>
    <t>Rampa</t>
  </si>
  <si>
    <t>Rampa é uma passagem inclinada que proporciona uma ligação de circulação para pessoas ou veículos. Para ABNT NBR 9050 de acessibilidade a inclinação longitudinal máxima de 8,33% (1:12) em novos projetos.</t>
  </si>
  <si>
    <t>Una rampa es una pasarela inclinada que proporciona un enlace de tráfico para personas o vehículos. Para ABNT NBR 9050 de acesibilidad la inclinación longitudinal máxima de 8,33% (1:12) en nuevos proyectos.</t>
  </si>
  <si>
    <t>Lance.Rampa</t>
  </si>
  <si>
    <t>Trecho reto contínuo de rampa entre dois patamares.</t>
  </si>
  <si>
    <t>Trecho recto continuo de rampa entre dos descansos.</t>
  </si>
  <si>
    <t>Lance.Curvo.Rampa</t>
  </si>
  <si>
    <t>Trecho curvo contínuo de rampa entre dois patamares.</t>
  </si>
  <si>
    <t>Trecho curvo continuo de rampa entre dos descansos.</t>
  </si>
  <si>
    <t>Lance.Reto.Rampa</t>
  </si>
  <si>
    <t>Trecho de rampa recto.</t>
  </si>
  <si>
    <t>Rampa.Espiral</t>
  </si>
  <si>
    <t>Rampa com formato circular ou elíptico.</t>
  </si>
  <si>
    <t>Rampa con formato circular o elíptico.</t>
  </si>
  <si>
    <t>Rampa.U</t>
  </si>
  <si>
    <t>Rampa fazendo uma volta de 180°, consistindo em dois lances retos conectados por um único patamar de descanso.</t>
  </si>
  <si>
    <t>Rampa de um retorno de 180°, consistiendo en dos trechos rectos conectados por un único descanso.</t>
  </si>
  <si>
    <t>Rampa fazendo uma volta de 180°, consistindo em três lances retos conectados por dois patamares de descanso.</t>
  </si>
  <si>
    <t>Rampa de um retorno de 180°, consistindo en tres trechos rectos conectados por dos descansos.</t>
  </si>
  <si>
    <t>Rampa.L</t>
  </si>
  <si>
    <t>Rampa en  90°, consistiendo en dos trechos rectos conectados por un descanso.</t>
  </si>
  <si>
    <t>Rampa.Reta</t>
  </si>
  <si>
    <t>Rampa reta composta por um lance único.</t>
  </si>
  <si>
    <t>Rampa recta compuesta por un trecho.</t>
  </si>
  <si>
    <t>Rampa reta composta por dois lances retos alinhados com patamar intermediário.</t>
  </si>
  <si>
    <t>Rampa recta compuesta por dos trechos alineados con descanso intermediário.</t>
  </si>
  <si>
    <t>Rampa.Incompleta</t>
  </si>
  <si>
    <t>Rampa.Suporte.Lateral</t>
  </si>
  <si>
    <t>Rampa.Suporte.Lateral.Projeção</t>
  </si>
  <si>
    <t>Escadas</t>
  </si>
  <si>
    <t>Escada</t>
  </si>
  <si>
    <t>Escada é uma circulação vertical que permite que os ocupantes de um edifício se dirigirem a outros andares caminhando, sem utilizar elevadores.</t>
  </si>
  <si>
    <t>Las escaleras son una circulación vertical que permite a los ocupantes de um prédio se dirigir a otros pisos caminando, sem utilizar ascensores.</t>
  </si>
  <si>
    <t>Lance.Escada.Curvo</t>
  </si>
  <si>
    <t>Lance.Escada.Livre</t>
  </si>
  <si>
    <t>Lance.Escada.Espiral</t>
  </si>
  <si>
    <t>Lance.Escada.Reto</t>
  </si>
  <si>
    <t>Lance.Escada.Compensado</t>
  </si>
  <si>
    <t>Escada tipo marinheiro, composta por uma série de barras ou degraus entre dois elementos verticais. Pode ter gaiola de proteção.</t>
  </si>
  <si>
    <t>Escalera tipo marinero, compuesta por una serie de barras o peldaños entre dos elementos verticales. Puede tener una jaula antivuelco.</t>
  </si>
  <si>
    <t>Escada.Caracol</t>
  </si>
  <si>
    <t>Escada em formato circular, muitas vezes sem patamares.</t>
  </si>
  <si>
    <t>Escalera circular, a menudo sin descansillos.</t>
  </si>
  <si>
    <t>Escada.T</t>
  </si>
  <si>
    <t>Escada com um lance reto central que se divide em dois lances laterais a 90°.</t>
  </si>
  <si>
    <t>Escalera con un tramo recto central que se divide en dos tramos laterales a 90°.</t>
  </si>
  <si>
    <t>Escada.U</t>
  </si>
  <si>
    <t>Escada.U.Compensada</t>
  </si>
  <si>
    <t>Escalera que consiste en un vuelo con un medio sinuoso, que realiza un giro de 180°.</t>
  </si>
  <si>
    <t>Escada.L</t>
  </si>
  <si>
    <t>Escada de 2 lances retos conectados por 1 patamar plano.</t>
  </si>
  <si>
    <t>Escalera de 2 tramos rectos conectados por 1 descanso plano.</t>
  </si>
  <si>
    <t>Escada.L.Compensada</t>
  </si>
  <si>
    <t>Escada de 2 lances retos conectados por 1 patamar de degrais compensados.</t>
  </si>
  <si>
    <t>Escalera de 2 tramos rectos conectados por 1 descanso de escalones compensados.</t>
  </si>
  <si>
    <t>Escada.3.Lances</t>
  </si>
  <si>
    <t>Escada de 3 lances retos conectados por 2 patamares planos.</t>
  </si>
  <si>
    <t>Escalera de 3 tramos rectos conectados por 2 descansos planos.</t>
  </si>
  <si>
    <t>Escada.3.Lances.Compensada</t>
  </si>
  <si>
    <t>Escada de 3 lances retos conectados por 2 patamares de degraus compendados.</t>
  </si>
  <si>
    <t>Escalera de 3 tramos rectos conectados por 2 descansos de escalones terminados.</t>
  </si>
  <si>
    <t>Escada.4.Lances</t>
  </si>
  <si>
    <t>Escada de 4 lances retos conectados por 3 patamares planos.</t>
  </si>
  <si>
    <t>Escalera con 4 tramos rectos conectados por 3 descansos planos.</t>
  </si>
  <si>
    <t>Escada.4.Lances.Compensada</t>
  </si>
  <si>
    <t>Escada de 4 lances retos conectados por 3 patamares de degraus compendados.</t>
  </si>
  <si>
    <t>Escalera con 4 tramos rectos conectados por 3 descansos de escalones terminados.</t>
  </si>
  <si>
    <t>Escada.Reta</t>
  </si>
  <si>
    <t>Escada de um lance reto entre dois andares.</t>
  </si>
  <si>
    <t>Escalera de un tramo recto entre dos plantas.</t>
  </si>
  <si>
    <t>Escada.Reta.Dois.Lances</t>
  </si>
  <si>
    <t>Escada de dois lances retos alinhados com um patamar intermediário.</t>
  </si>
  <si>
    <t>Escalera de dos tramos rectos alineados con un descanso intermedio.</t>
  </si>
  <si>
    <t>Escada.Curva</t>
  </si>
  <si>
    <t>Escada curva que se estende de um nível.</t>
  </si>
  <si>
    <t>Escalera curva que se extiende desde un nivel.</t>
  </si>
  <si>
    <t>Escada.Curva.2.Lances</t>
  </si>
  <si>
    <t>Escada curva que se estende de um nível dividida em dois lances com patamar intermediário.</t>
  </si>
  <si>
    <t>Escalera curva que se extiende desde un nivel dividido en dos tramos con descanso intermedio.</t>
  </si>
  <si>
    <t>Escada.Multiplos.Andares</t>
  </si>
  <si>
    <t>Escalera de varios pisos.</t>
  </si>
  <si>
    <t>Escada.Interrupção</t>
  </si>
  <si>
    <t>Escada Interrupção</t>
  </si>
  <si>
    <t>Escada.Interrupção.Projeção</t>
  </si>
  <si>
    <t>Escada Interrupção Projeção</t>
  </si>
  <si>
    <t>Escada.Patamar</t>
  </si>
  <si>
    <t>Escada Patamar</t>
  </si>
  <si>
    <t>Escada.Naris</t>
  </si>
  <si>
    <t>Escada Naris</t>
  </si>
  <si>
    <t>Escada.Naris.Projeção</t>
  </si>
  <si>
    <t>Escada Naris Projeção</t>
  </si>
  <si>
    <t>Escada.Contorno</t>
  </si>
  <si>
    <t>Escada Contorno</t>
  </si>
  <si>
    <t>Escada.Contorno.Projeção</t>
  </si>
  <si>
    <t>Escada Contorno Projeção</t>
  </si>
  <si>
    <t>Escada Seta</t>
  </si>
  <si>
    <t>Escada.Seta.Projeção</t>
  </si>
  <si>
    <t>Escada Seta Projeção</t>
  </si>
  <si>
    <t>Escada.Degrau.Linha</t>
  </si>
  <si>
    <t>Escada Degrau Linha</t>
  </si>
  <si>
    <t>Escada.Degrau.Linha.Projeção</t>
  </si>
  <si>
    <t>Escada Degrau Linha Projeção</t>
  </si>
  <si>
    <t>Escada.Lance</t>
  </si>
  <si>
    <t>Escada Lance</t>
  </si>
  <si>
    <t>Escada.Esboço.Limite</t>
  </si>
  <si>
    <t>Escada Esboço Limite</t>
  </si>
  <si>
    <t>Escada.Esboço.Patamar</t>
  </si>
  <si>
    <t>Escada Esboço Patamar</t>
  </si>
  <si>
    <t>Escada.Esboço.Caminho</t>
  </si>
  <si>
    <t>Escada Esboço Caminho</t>
  </si>
  <si>
    <t>Escada.Esboço.Degraus</t>
  </si>
  <si>
    <t>Escada Esboço Degraus</t>
  </si>
  <si>
    <t>Escada.Esboço.Lances</t>
  </si>
  <si>
    <t>Escada Esboço Lances</t>
  </si>
  <si>
    <t>Escada.Suporte</t>
  </si>
  <si>
    <t>Escada Suporte</t>
  </si>
  <si>
    <t>Soporte de escalera</t>
  </si>
  <si>
    <t>Escada.Suporte.Lateral</t>
  </si>
  <si>
    <t>Escada Suporte Lateral</t>
  </si>
  <si>
    <t>Soporte lateral de escalera</t>
  </si>
  <si>
    <t>Escada.Suporte.Projeção</t>
  </si>
  <si>
    <t>Escada Suporte Projeção</t>
  </si>
  <si>
    <t>Proyección de soporte de escalera</t>
  </si>
  <si>
    <t>Escada.Degraus</t>
  </si>
  <si>
    <t>Escada Degraus</t>
  </si>
  <si>
    <t>Escalones</t>
  </si>
  <si>
    <t>Escada Degraus Numeração</t>
  </si>
  <si>
    <t>Numeración de escalones de escalera</t>
  </si>
  <si>
    <t>Escada Seta Sobe</t>
  </si>
  <si>
    <t>Escalera flechas de subida</t>
  </si>
  <si>
    <t>Escada Texto Sobe</t>
  </si>
  <si>
    <t>Texto Subir de escaleras</t>
  </si>
  <si>
    <t>Escada Seta Desce</t>
  </si>
  <si>
    <t>Escalera flecha bajada</t>
  </si>
  <si>
    <t>Escada Texto Desce</t>
  </si>
  <si>
    <t>Texto Bajar de escaleras</t>
  </si>
  <si>
    <t>[ OST_StairsRailing ]</t>
  </si>
  <si>
    <t>[ OST_RailingTopRail</t>
  </si>
  <si>
    <t>[ OST_StairsRailingAboveCut ]</t>
  </si>
  <si>
    <t>[ OST_StairsRailingBaluster ]</t>
  </si>
  <si>
    <t>[ OST_StairsRailingRail ]</t>
  </si>
  <si>
    <t>[ OST_Railings ]</t>
  </si>
  <si>
    <t>[ OST_RailingBalusterRail ]</t>
  </si>
  <si>
    <t>[ OST_RailingBalusterRailCut ]</t>
  </si>
  <si>
    <t>[ OST_RailingHandRailAboveCut ]</t>
  </si>
  <si>
    <t>[ OST_RailingHandRail ]</t>
  </si>
  <si>
    <t>[ OST_RailingTopRailAboveCut ]</t>
  </si>
  <si>
    <t>[ OST_RailingRailPathExtensionLines ]</t>
  </si>
  <si>
    <t>[ OST_RailingRailPathLines ]</t>
  </si>
  <si>
    <t>[ OST_RailingSupport ]</t>
  </si>
  <si>
    <t>[ OST_RailingTermination ]</t>
  </si>
  <si>
    <t>[ OST_RailingSystem ]</t>
  </si>
  <si>
    <t>[ OST_RailingSystemBaluster ]</t>
  </si>
  <si>
    <t>[ OST_RailingSystemHandRail ]</t>
  </si>
  <si>
    <t>[ OST_RailingSystemHandRailBracket ]</t>
  </si>
  <si>
    <t>[ OST_RailingSystemHardware ]</t>
  </si>
  <si>
    <t>[ OST_RailingSystemPanel ]</t>
  </si>
  <si>
    <t>[ OST_RailingSystemPost ]</t>
  </si>
  <si>
    <t>[ OST_RailingSystemRail ]</t>
  </si>
  <si>
    <t>[ OST_RailingSystemTopRail ]</t>
  </si>
  <si>
    <t>[ OST_RailingSystemSegment ]</t>
  </si>
  <si>
    <t>[ OST_RailingSystemTermination ]</t>
  </si>
  <si>
    <t>[ OST_RailingSystemTransition ]</t>
  </si>
  <si>
    <t>[ OST_Stairs ]</t>
  </si>
  <si>
    <t>[ OST_Ramps ]</t>
  </si>
  <si>
    <t>[ OST_RampsIncomplete ]</t>
  </si>
  <si>
    <t>[ OST_RampsStringerAboveCut ]</t>
  </si>
  <si>
    <t>[ OST_RampsUpArrow ]</t>
  </si>
  <si>
    <t>[ OST_RampsStringer ]</t>
  </si>
  <si>
    <t>[ OST_RampsDownArrow ]</t>
  </si>
  <si>
    <t>[ OST_RampsUpText ]</t>
  </si>
  <si>
    <t>[ OST_RampsDownText ]</t>
  </si>
  <si>
    <t>[ OST_RampsAboveCut ]</t>
  </si>
  <si>
    <t>[ OST_MultistoryStairs ]</t>
  </si>
  <si>
    <t>[ OST_StairsCutMarks ]</t>
  </si>
  <si>
    <t>[ OST_StairsCutMarksAboveCut ]</t>
  </si>
  <si>
    <t>[ OST_StairsLandings ]</t>
  </si>
  <si>
    <t>[ OST_StairsNosingLines ]</t>
  </si>
  <si>
    <t>[ OST_StairsNosingLinesAboveCut ]</t>
  </si>
  <si>
    <t>[ OST_StairsOutlines ]</t>
  </si>
  <si>
    <t>[ OST_StairsOutlinesAboveCut ]</t>
  </si>
  <si>
    <t>[ OST_StairsPaths ]</t>
  </si>
  <si>
    <t>[ OST_StairsPathsAboveCut ]</t>
  </si>
  <si>
    <t>[ OST_StairsRiserLines ]</t>
  </si>
  <si>
    <t>[ OST_StairsRiserLinesAboveCut ]</t>
  </si>
  <si>
    <t>[ OST_StairsRuns ]</t>
  </si>
  <si>
    <t>[ OST_StairsSketchBoundaryLines ]</t>
  </si>
  <si>
    <t>[ OST_StairsSketchLandingCenterLines ]</t>
  </si>
  <si>
    <t>[ OST_StairsSketchPathLines ]</t>
  </si>
  <si>
    <t>[ OST_StairsSketchRiserLines ]</t>
  </si>
  <si>
    <t>[ OST_StairsSketchRunLines ]</t>
  </si>
  <si>
    <t>[ OST_StairsSupports ]</t>
  </si>
  <si>
    <t>[ OST_StairsSupportsAboveCut ]</t>
  </si>
  <si>
    <t>[ OST_StairsStringerCarriage ]</t>
  </si>
  <si>
    <t>[ OST_StairsTrisers ]</t>
  </si>
  <si>
    <t>[ OST_StairsTriserNumbers ]</t>
  </si>
  <si>
    <t>[ OST_StairsUpArrows ]</t>
  </si>
  <si>
    <t>[ OST_StairsUpText ]</t>
  </si>
  <si>
    <t>[ OST_StairsDownArrows ]</t>
  </si>
  <si>
    <t>[ OST_StairsDownText ]</t>
  </si>
  <si>
    <t>[ IfcRailing ]</t>
  </si>
  <si>
    <t>[ IfcRampFlightSPIRAL</t>
  </si>
  <si>
    <t>[ IfcStairQUARTER_TURN_STAIR</t>
  </si>
  <si>
    <t>[ IfcStairTWO_QUARTER_TURN_STAIR</t>
  </si>
  <si>
    <t>[ IfcBuildingElementProxy ]</t>
  </si>
  <si>
    <t>[ IfcTransportElementELEVATOR ]</t>
  </si>
  <si>
    <t>[ IfcRamp ]</t>
  </si>
  <si>
    <t>[ IfcRampFlight ]</t>
  </si>
  <si>
    <t>[ IfcRampFlightSTRAIGHT ]</t>
  </si>
  <si>
    <t>[ IfcRampSPIRAL_RAMP ]</t>
  </si>
  <si>
    <t>[ IfcRampTWO_QUARTER_TURN_RAMP ]</t>
  </si>
  <si>
    <t>[ IfcRampSTRAIGHT_RUN_RAMP ]</t>
  </si>
  <si>
    <t>[ IfcRampQUARTER_TURN_RAMP ]</t>
  </si>
  <si>
    <t>[ IfcRampHALF_TURN_RAMP ]</t>
  </si>
  <si>
    <t>[ IfcRailingHANDRAIL ]</t>
  </si>
  <si>
    <t>[ IfcRailingBALUSTRADE ]</t>
  </si>
  <si>
    <t>[ IfcRampTWO_STRAIGHT_RUN_RAMP ]</t>
  </si>
  <si>
    <t>[ IfcStair ]</t>
  </si>
  <si>
    <t>[ IfcStairFlight ]</t>
  </si>
  <si>
    <t>[ IfcStairFlightFREEFORM ]</t>
  </si>
  <si>
    <t>[ IfcStairFlightCURVED ]</t>
  </si>
  <si>
    <t>[ IfcStairFlightSPIRAL ]</t>
  </si>
  <si>
    <t>[ IfcStairFlightSTRAIGHT ]</t>
  </si>
  <si>
    <t>[ IfcStairFlightWINDER ]</t>
  </si>
  <si>
    <t>[ IfcStairLADDER ]</t>
  </si>
  <si>
    <t>[ IfcStairSPIRAL_STAIR ]</t>
  </si>
  <si>
    <t>[ IfcStairDOUBLE_RETURN_STAIR ]</t>
  </si>
  <si>
    <t>[ IfcStairHALF_TURN_STAIR ]</t>
  </si>
  <si>
    <t>[ IfcStairHALF_WINDING_STAIR ]</t>
  </si>
  <si>
    <t>[ IfcStairQUARTER_WINDING_STAIR ]</t>
  </si>
  <si>
    <t>[ IfcStairTWO_QUARTER_WINDING_STAIR ]</t>
  </si>
  <si>
    <t>[ IfcStairTHREE_QUARTER_TURN_STAIR ]</t>
  </si>
  <si>
    <t>[ IfcStairTHREE_QUARTER_WINDING_STAIR ]</t>
  </si>
  <si>
    <t>[ IfcStairSTRAIGHT_RUN_STAIR ]</t>
  </si>
  <si>
    <t>[ IfcStairTWO_STRAIGHT_RUN_STAIR ]</t>
  </si>
  <si>
    <t>[ IfcStairCURVED_RUN_STAIR ]</t>
  </si>
  <si>
    <t>[ IfcStairTWO_CURVED_RUN_STAIR ]</t>
  </si>
  <si>
    <t>Elevador.Hidráulico</t>
  </si>
  <si>
    <t>Elevador para poucos andares sem transporte de cargas pesadas</t>
  </si>
  <si>
    <t>Ascensor para pocos pisos sin transporte de cargas pesadas</t>
  </si>
  <si>
    <t>[ 3E.08.06.06 ]</t>
  </si>
  <si>
    <t>Elevador.MR</t>
  </si>
  <si>
    <t>Elevador de tração com casa de máquinas</t>
  </si>
  <si>
    <t>Ascensor de tracción con sala de máquinas</t>
  </si>
  <si>
    <t>Elevador.MRL</t>
  </si>
  <si>
    <t>Elevador com roldana de içamento sem casa de máquinas</t>
  </si>
  <si>
    <t>Ascensor con sistema de izamiento mediante roldana y sin sala de máquinas</t>
  </si>
  <si>
    <t>Plataforma</t>
  </si>
  <si>
    <t>Plataforma de elevação</t>
  </si>
  <si>
    <t>[ 3E.08.06.10.02 ]</t>
  </si>
  <si>
    <t>Plataforma.Articulada</t>
  </si>
  <si>
    <t>Plataforma de elevação articulada</t>
  </si>
  <si>
    <t>Plataforma de elevación articulada</t>
  </si>
  <si>
    <t>Plataforma.Cesto</t>
  </si>
  <si>
    <t>Plataforma de elevação com cesto</t>
  </si>
  <si>
    <t>Plataforma de elevación con cesto</t>
  </si>
  <si>
    <t>Acessório.Maquinária</t>
  </si>
  <si>
    <t>Acessório Mecânico</t>
  </si>
  <si>
    <t>Accesorio mecánico</t>
  </si>
  <si>
    <t>[ MechanicalEquipment ]</t>
  </si>
  <si>
    <t>[ IfcDiscreteAccessory ]</t>
  </si>
  <si>
    <t>[ 3E.56 ]</t>
  </si>
  <si>
    <t>Elementos.Simbólicos</t>
  </si>
  <si>
    <t>Seta.Sobe.Rampa</t>
  </si>
  <si>
    <t>Seta.Desce.Rampa</t>
  </si>
  <si>
    <t>Texto.Sobe.Rampa</t>
  </si>
  <si>
    <t>Texto.Desce.Rampa</t>
  </si>
  <si>
    <t>Projeção.Rampa</t>
  </si>
  <si>
    <t>Numeração.Degraus</t>
  </si>
  <si>
    <t>Seta.Sobe.Escada</t>
  </si>
  <si>
    <t>Texto.Sobe.Escada</t>
  </si>
  <si>
    <t>Seta.Desce.Escada</t>
  </si>
  <si>
    <t>Texto.Desce.Escada</t>
  </si>
  <si>
    <t>Seta.Escada</t>
  </si>
  <si>
    <t>Seta.Escada.Projeção</t>
  </si>
  <si>
    <t>Elementos.de.Circulação</t>
  </si>
  <si>
    <t>Elementos.de.Proteção</t>
  </si>
  <si>
    <t>Balaústre</t>
  </si>
  <si>
    <t>Balaústre.Corte</t>
  </si>
  <si>
    <t>Corrimão.Corte</t>
  </si>
  <si>
    <t>Corrimão.Superior</t>
  </si>
  <si>
    <t>Corrimão.Superior.Corte</t>
  </si>
  <si>
    <t>Guardacorpo</t>
  </si>
  <si>
    <t>Guardacorpo.Balaustre</t>
  </si>
  <si>
    <t>Guardacorpo.Corrimão</t>
  </si>
  <si>
    <t>Guardacorpo.Suporte</t>
  </si>
  <si>
    <t>Guardacorpo.Acessório</t>
  </si>
  <si>
    <t>Guardacorpo.Painel</t>
  </si>
  <si>
    <t>Guardacorpo.Poste</t>
  </si>
  <si>
    <t>Guardacorpo.Trilho</t>
  </si>
  <si>
    <t>Guardacorpo.Segmento</t>
  </si>
  <si>
    <t>Guardacorpo.Finalização</t>
  </si>
  <si>
    <t>Guardacorpo.Trilho.Superior</t>
  </si>
  <si>
    <t>Guardacorpo.Transição</t>
  </si>
  <si>
    <t>Guardacorpos</t>
  </si>
  <si>
    <t>Guardacorpo.Percurso</t>
  </si>
  <si>
    <t>Guardacorpo.Extensão</t>
  </si>
  <si>
    <t>Corrimão.Suporte</t>
  </si>
  <si>
    <t>Corrimão.Final</t>
  </si>
  <si>
    <t>00Super
Class
5</t>
  </si>
  <si>
    <t>Rampa.U.Longa</t>
  </si>
  <si>
    <t>Rampa.Reta.2.Lances</t>
  </si>
  <si>
    <t>Escada.Marinheira</t>
  </si>
  <si>
    <t>Valor de inclinação da rampa</t>
  </si>
  <si>
    <t>Valor de inclinación de la rampa</t>
  </si>
  <si>
    <t>largura.mínima</t>
  </si>
  <si>
    <t>Parâmetros.Normativos</t>
  </si>
  <si>
    <t>Acessibilidade</t>
  </si>
  <si>
    <t>código</t>
  </si>
  <si>
    <t>"ESC_01"</t>
  </si>
  <si>
    <t>"ESC_02"</t>
  </si>
  <si>
    <t>categoria.revit</t>
  </si>
  <si>
    <t>classe.ifc</t>
  </si>
  <si>
    <t>código.abnt</t>
  </si>
  <si>
    <t>"[ OST_Stairs ]"</t>
  </si>
  <si>
    <t>"[ IfcStair ]"</t>
  </si>
  <si>
    <t>"[ IfcRamp ]"</t>
  </si>
  <si>
    <t>"[ OST_Ramps ]"</t>
  </si>
  <si>
    <t>"[ 3E.08.06.04 ]"</t>
  </si>
  <si>
    <t>"[ 3E.08.06.02 ]"</t>
  </si>
  <si>
    <t>Conceitos</t>
  </si>
  <si>
    <t>De.Circulação</t>
  </si>
  <si>
    <t>Projeto</t>
  </si>
  <si>
    <t>Elevador.Convencional</t>
  </si>
  <si>
    <t>Escada.Convencional</t>
  </si>
  <si>
    <t>Rampa.Convencional</t>
  </si>
  <si>
    <t>De.Mobilidade</t>
  </si>
  <si>
    <t>Escadas.Símbolos</t>
  </si>
  <si>
    <t>Rampas.Símbolos</t>
  </si>
  <si>
    <t>Guardacorpos.Escadas</t>
  </si>
  <si>
    <t>Guardacorpos.Rampas</t>
  </si>
  <si>
    <t>Guardacorpos.Varandas</t>
  </si>
  <si>
    <t>Guardacorpo.Varanda</t>
  </si>
  <si>
    <t>Guardacorpo.Varanda.Projeção</t>
  </si>
  <si>
    <t>Guardacorpo.Varanda.Balaústre</t>
  </si>
  <si>
    <t>Guardacorpo.Varanda.Corrimão</t>
  </si>
  <si>
    <t>Guardacorpo.Rampa</t>
  </si>
  <si>
    <t>Guardacorpo.Rampa.Balaústre</t>
  </si>
  <si>
    <t>Guardacorpo.Rampa.Projeção</t>
  </si>
  <si>
    <t>Guardacorpo.Rampa.Corrimão</t>
  </si>
  <si>
    <t>Circulações.Verticais</t>
  </si>
  <si>
    <t>Escada existente no prédio.</t>
  </si>
  <si>
    <t>Elevador existente no prédio.</t>
  </si>
  <si>
    <t>Rampa existente no prédio.</t>
  </si>
  <si>
    <t>Plataforma.de.Elevação</t>
  </si>
  <si>
    <t>Plataforma de elevação existente no prédio.</t>
  </si>
  <si>
    <t>Circulações.Projetadas</t>
  </si>
  <si>
    <t>Requisitos.Normativos</t>
  </si>
  <si>
    <t>[ MechanicalEquipment : OST_VerticalCirculation ]</t>
  </si>
  <si>
    <t>Prj_Circ</t>
  </si>
  <si>
    <t>Rampa.Padrão</t>
  </si>
  <si>
    <t>Rampa.Veicular</t>
  </si>
  <si>
    <t>Escada.Hall_01</t>
  </si>
  <si>
    <t>Rampa.Ace_02</t>
  </si>
  <si>
    <t>Proj_A</t>
  </si>
  <si>
    <t>"Um tipo de escada conceitual"</t>
  </si>
  <si>
    <t>"O projeto concreto"</t>
  </si>
  <si>
    <t>"O projeto de circulação concreto"</t>
  </si>
  <si>
    <t>"A escada do Hall"</t>
  </si>
  <si>
    <t>"A escada de escape de incêndio"</t>
  </si>
  <si>
    <t>"A rampa acessível do térreo"</t>
  </si>
  <si>
    <t>Escada.Inc_01</t>
  </si>
  <si>
    <t>é.pertencente.a</t>
  </si>
  <si>
    <t>"Projeto A"</t>
  </si>
  <si>
    <t>"PRJ01"</t>
  </si>
  <si>
    <t>"RAM_01"</t>
  </si>
  <si>
    <t>"PRJCIRC"</t>
  </si>
  <si>
    <t>inclinação.máxima</t>
  </si>
  <si>
    <t>inclinação.real</t>
  </si>
  <si>
    <t>largura.real</t>
  </si>
  <si>
    <t>"Escada do Hall"</t>
  </si>
  <si>
    <t>"Escada de escape"</t>
  </si>
  <si>
    <t>"Rampa de acesso"</t>
  </si>
  <si>
    <t>é.tipo</t>
  </si>
  <si>
    <t>EscadasInc</t>
  </si>
  <si>
    <t>EscadaPpal</t>
  </si>
  <si>
    <t>"Layout de circulação do projeto"</t>
  </si>
  <si>
    <t>[ 3E.08.06.04 ]</t>
  </si>
  <si>
    <t>[ 3E.08.04.10 ]</t>
  </si>
  <si>
    <t>[ 3E.08.06.02 ]</t>
  </si>
  <si>
    <t>Caminho.Nós</t>
  </si>
  <si>
    <t>Layout - Nodos</t>
  </si>
  <si>
    <t>[ OST_LayoutNodes ]</t>
  </si>
  <si>
    <t>[ IfcAnnotation ]</t>
  </si>
  <si>
    <t>Caminho.Trajeto</t>
  </si>
  <si>
    <t>Layout - Bases do caminho</t>
  </si>
  <si>
    <t>Caminho.Tubulação</t>
  </si>
  <si>
    <t>Layout - Bases do trazado de tubulações</t>
  </si>
  <si>
    <t>[ OST_LayoutPathBase_Pipings ]</t>
  </si>
  <si>
    <t>Elementos.de.Trajetos</t>
  </si>
  <si>
    <t>Trajetos</t>
  </si>
  <si>
    <t>Ramp slope value</t>
  </si>
  <si>
    <t>Elevator to a few floors without carrying heavy loads</t>
  </si>
  <si>
    <t>Elevator is a mechanical equipment for a vertical circulation connection for people, vehicles or products.</t>
  </si>
  <si>
    <t>Traction Elevator with Machine Room</t>
  </si>
  <si>
    <t>Elevator with hoisting pulley without machine room</t>
  </si>
  <si>
    <t>Load mount is a mechanical equipment for a vertical circulation connection for equipment or products.</t>
  </si>
  <si>
    <t>Lifting Platform</t>
  </si>
  <si>
    <t>Articulated lifting platform</t>
  </si>
  <si>
    <t>Basket lifting platform</t>
  </si>
  <si>
    <t>Mechanical Accessory</t>
  </si>
  <si>
    <t>Contour Staircase</t>
  </si>
  <si>
    <t>Stair Contour Projection</t>
  </si>
  <si>
    <t>Ladder Arrow Projection</t>
  </si>
  <si>
    <t>Stair Step Line</t>
  </si>
  <si>
    <t>Ladder Step Line Projection</t>
  </si>
  <si>
    <t>Ladder Outline Limit</t>
  </si>
  <si>
    <t>Ladder Sketch Landing</t>
  </si>
  <si>
    <t>Ladder Sketch Path</t>
  </si>
  <si>
    <t>Stair Sketch Steps</t>
  </si>
  <si>
    <t>Stair Sketch Flights</t>
  </si>
  <si>
    <t>Ladder Support</t>
  </si>
  <si>
    <t>Ladder Side Support</t>
  </si>
  <si>
    <t>Ladder Support Projection</t>
  </si>
  <si>
    <t>Stair Steps</t>
  </si>
  <si>
    <t>A staircase is a vertical circulation that allows the occupants of a building to move to other floors by walking, without using elevators.</t>
  </si>
  <si>
    <t>Sailor-type ladder, composed of a series of bars or steps between two vertical elements. It can have a roll cage.</t>
  </si>
  <si>
    <t>Circular staircase, often without landings.</t>
  </si>
  <si>
    <t>Staircase with a central straight flight that divides into two lateral flights at 90°.</t>
  </si>
  <si>
    <t>Staircase making a 180° turn, consisting of two straight flights connected by a half-space landing.</t>
  </si>
  <si>
    <t>Ladder consisting of a flight with a winding medium, which makes a 180° turn.</t>
  </si>
  <si>
    <t>Ladder of 2 straight flights connected by 1 flat landing.</t>
  </si>
  <si>
    <t>Ladder of 2 straight flights connected by 1 landing of compensated steps.</t>
  </si>
  <si>
    <t>Ladder of 3 straight flights connected by 2 flat landings.</t>
  </si>
  <si>
    <t>Staircase of 3 straight flights connected by 2 landings of completed steps.</t>
  </si>
  <si>
    <t>Ladder with 4 straight flights connected by 3 flat landings.</t>
  </si>
  <si>
    <t>Staircase with 4 straight flights connected by 3 levels of completed steps.</t>
  </si>
  <si>
    <t>Staircase of a straight flight between two floors.</t>
  </si>
  <si>
    <t>Staircase of two straight flights aligned with an intermediate landing.</t>
  </si>
  <si>
    <t>Curved staircase extending from one level.</t>
  </si>
  <si>
    <t>Curved staircase that extends from one level divided into two flights with intermediate landing.</t>
  </si>
  <si>
    <t>Multi-storey staircase.</t>
  </si>
  <si>
    <t>Landing Ladder</t>
  </si>
  <si>
    <t>Naris Ladder</t>
  </si>
  <si>
    <t>Naris Projection Ladder</t>
  </si>
  <si>
    <t>Ladder Throw</t>
  </si>
  <si>
    <t>Flight of stairs with curved travel line.</t>
  </si>
  <si>
    <t>Run of stairs with a free-form path line (and outer boundaries).</t>
  </si>
  <si>
    <t>Flight of stairs with circular or elliptical walking line.</t>
  </si>
  <si>
    <t>Flight of stairs with a straight line of travel.</t>
  </si>
  <si>
    <t>Flight of stairs with a path line including straight and curved sections.</t>
  </si>
  <si>
    <t>Ladder Interruption</t>
  </si>
  <si>
    <t>Ladder Interruption Projection</t>
  </si>
  <si>
    <t>Ladder Steps Numbering</t>
  </si>
  <si>
    <t>Arrow Ladder</t>
  </si>
  <si>
    <t>Ladder Arrow Descends</t>
  </si>
  <si>
    <t>Ladder Arrow Climbs</t>
  </si>
  <si>
    <t>Text Ladder Descends</t>
  </si>
  <si>
    <t>Text Ladder Climbs</t>
  </si>
  <si>
    <t>Railings for stairs, ramps and balconies.</t>
  </si>
  <si>
    <t>Railings for stairs, ramps and balconies: baluster.</t>
  </si>
  <si>
    <t>Railings for stairs, ramps and balconies: handrails.</t>
  </si>
  <si>
    <t>Railings for stairs, ramps and balconies: upper handrails.</t>
  </si>
  <si>
    <t>Railings for stairs, ramps and balconies: top cut.</t>
  </si>
  <si>
    <t>Railings for stairs, ramps and balconies: handrail support.</t>
  </si>
  <si>
    <t>Railings for stairs, ramps and balconies: termination of the handrail.</t>
  </si>
  <si>
    <t>Stair railing or balconies.</t>
  </si>
  <si>
    <t>Railing of the stairs or projection balconies.</t>
  </si>
  <si>
    <t>Baluster railing.</t>
  </si>
  <si>
    <t>Handrail railing.</t>
  </si>
  <si>
    <t>Railings for stairs, ramps and balconies: handrail system.</t>
  </si>
  <si>
    <t>Railings for stairs, ramps and balconies: baluster system.</t>
  </si>
  <si>
    <t>Railings for stairs, ramps and balconies: handrail clamp.</t>
  </si>
  <si>
    <t>Railings for stairs, ramps and balconies: handrail accessory.</t>
  </si>
  <si>
    <t>Railings for stairs, ramps and balconies: handrail panel.</t>
  </si>
  <si>
    <t>Railings for stairs, ramps and balconies: handrail post.</t>
  </si>
  <si>
    <t>Railings for stairs, ramps and balconies: railing rail.</t>
  </si>
  <si>
    <t>Railings for stairs, ramps and balconies: handrail segment.</t>
  </si>
  <si>
    <t>Railings of stairs, ramps and balconies: transition of the handrail.</t>
  </si>
  <si>
    <t>A ramp is an inclined walkway that provides a traffic link for people or vehicles. For ABNT NBR 9050 of accessibility the maximum longitudinal inclination of 8.33% (1:12) in new projects.</t>
  </si>
  <si>
    <t>Straight ramp consisting of a single flight.</t>
  </si>
  <si>
    <t>Straight ramp composed of two straight flights aligned with an intermediate landing.</t>
  </si>
  <si>
    <t>Ramp with circular or elliptical shape.</t>
  </si>
  <si>
    <t>Ramp making a 180° turn, consisting of two straight flights connected by a single resting landing.</t>
  </si>
  <si>
    <t>Ramp making a 180° turn, consisting of three straight flights connected by two rest landings.</t>
  </si>
  <si>
    <t>Ramp making a 90° turn, consisting of two straight flights connected by a resting landing.</t>
  </si>
  <si>
    <t>Ramps: incomplete.</t>
  </si>
  <si>
    <t>Ramps: Side support.</t>
  </si>
  <si>
    <t>Ramps: side projection support cut out.</t>
  </si>
  <si>
    <t>Continuous straight stretch of ramp between two levels.</t>
  </si>
  <si>
    <t>Continuous curved section of ramp between two levels.</t>
  </si>
  <si>
    <t>Straight ramp throw.</t>
  </si>
  <si>
    <t>Ramps: Cut projection.</t>
  </si>
  <si>
    <t>Ramps: downhill arrow.</t>
  </si>
  <si>
    <t>Ramps: Up arrow.</t>
  </si>
  <si>
    <t>Ramps: Downhill text.</t>
  </si>
  <si>
    <t>Ramps: Ascent text.</t>
  </si>
  <si>
    <t>Layout - Nodes</t>
  </si>
  <si>
    <t>Layout - Bases of the path</t>
  </si>
  <si>
    <t>Layout - Bases of the pipe brought</t>
  </si>
  <si>
    <t>Existing staircase in the building.</t>
  </si>
  <si>
    <t>Existing elevator in the building.</t>
  </si>
  <si>
    <t>Lifting platform in the building.</t>
  </si>
  <si>
    <t>Existing ramp in the building.</t>
  </si>
  <si>
    <t>Classe Ifc</t>
  </si>
  <si>
    <t>Parametro Rvt</t>
  </si>
  <si>
    <t>Atributo Ifc</t>
  </si>
  <si>
    <t>Código ABNT</t>
  </si>
  <si>
    <t>[ PATH_OF_TRAVEL_FROM_ROOM :  PATH_OF_TRAVEL_TO_ROOM : CURVE_ELEM_LENGTH ]</t>
  </si>
  <si>
    <t>[ OST_PathOfTravelLines ]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</si>
  <si>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</si>
  <si>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</si>
  <si>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</si>
  <si>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</si>
  <si>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</si>
  <si>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</si>
  <si>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</si>
  <si>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</si>
  <si>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</si>
  <si>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</si>
  <si>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</si>
  <si>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</si>
  <si>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</si>
  <si>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</si>
  <si>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</si>
  <si>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</si>
  <si>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</si>
  <si>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</si>
  <si>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</si>
  <si>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</si>
  <si>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</si>
  <si>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</si>
  <si>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</si>
  <si>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</si>
  <si>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</si>
  <si>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</si>
  <si>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</si>
  <si>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</si>
  <si>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</si>
  <si>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</si>
  <si>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</si>
  <si>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</si>
  <si>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API.Macros.Visuais</t>
  </si>
  <si>
    <t>API.Método.Visual</t>
  </si>
  <si>
    <t>API Método Visual</t>
  </si>
  <si>
    <t>Bloco de Código</t>
  </si>
  <si>
    <t>API Macros Visuais</t>
  </si>
  <si>
    <t>Norma-Escopo</t>
  </si>
  <si>
    <t>Norma-Referência-01</t>
  </si>
  <si>
    <t>Norma-Referência-02</t>
  </si>
  <si>
    <t>Norma-Referência-03</t>
  </si>
  <si>
    <t>Advertência</t>
  </si>
  <si>
    <t>Aviso</t>
  </si>
  <si>
    <t>Alert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</si>
  <si>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</si>
  <si>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</si>
  <si>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</si>
  <si>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</si>
  <si>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</si>
  <si>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</si>
  <si>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</si>
  <si>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</si>
  <si>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</si>
  <si>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</si>
  <si>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</si>
  <si>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</si>
  <si>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</si>
  <si>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</si>
  <si>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</si>
  <si>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</si>
  <si>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</si>
  <si>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</si>
  <si>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</si>
  <si>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</si>
  <si>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</si>
  <si>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</si>
  <si>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</si>
  <si>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</si>
  <si>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</si>
  <si>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</si>
  <si>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https://www.gov.br/fazenda/pt-br/orgaos/spe/taxonomia-sustentavel-brasileira/cadernos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</si>
  <si>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</si>
  <si>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</si>
  <si>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</si>
  <si>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</si>
  <si>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</si>
  <si>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</si>
  <si>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</si>
  <si>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</si>
  <si>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https://www.caixa.gov.br/site/Paginas/downloads.aspx#categoria_888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</si>
  <si>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</si>
  <si>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</si>
  <si>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</si>
  <si>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</si>
  <si>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</si>
  <si>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</si>
  <si>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</si>
  <si>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</si>
  <si>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</si>
  <si>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</si>
  <si>
    <t>Norma-Número</t>
  </si>
  <si>
    <t>Norma-Edição</t>
  </si>
  <si>
    <t>Norma-ISBN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</si>
</sst>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b/>
      <sz val="5"/>
      <name val="Arial Nova Cond Light"/>
      <family val="2"/>
    </font>
    <font>
      <b/>
      <sz val="5"/>
      <color rgb="FF000000"/>
      <name val="Aptos Narrow"/>
      <family val="2"/>
      <charset val="1"/>
    </font>
    <font>
      <u/>
      <sz val="11"/>
      <color theme="1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1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8" fillId="8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11" borderId="4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18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14" borderId="4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19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 wrapText="1"/>
    </xf>
    <xf numFmtId="0" fontId="2" fillId="0" borderId="0" xfId="0" applyFont="1"/>
    <xf numFmtId="0" fontId="2" fillId="17" borderId="4" xfId="0" applyFont="1" applyFill="1" applyBorder="1"/>
    <xf numFmtId="0" fontId="2" fillId="16" borderId="4" xfId="0" applyFont="1" applyFill="1" applyBorder="1"/>
    <xf numFmtId="0" fontId="2" fillId="20" borderId="4" xfId="0" applyFont="1" applyFill="1" applyBorder="1"/>
    <xf numFmtId="0" fontId="2" fillId="5" borderId="4" xfId="0" applyFont="1" applyFill="1" applyBorder="1"/>
    <xf numFmtId="0" fontId="2" fillId="21" borderId="4" xfId="0" applyFont="1" applyFill="1" applyBorder="1"/>
    <xf numFmtId="0" fontId="2" fillId="10" borderId="4" xfId="0" applyFont="1" applyFill="1" applyBorder="1"/>
    <xf numFmtId="0" fontId="2" fillId="9" borderId="4" xfId="0" applyFont="1" applyFill="1" applyBorder="1"/>
    <xf numFmtId="0" fontId="8" fillId="8" borderId="4" xfId="0" applyFont="1" applyFill="1" applyBorder="1" applyAlignment="1">
      <alignment horizontal="right" vertical="center" wrapText="1"/>
    </xf>
    <xf numFmtId="0" fontId="2" fillId="9" borderId="4" xfId="0" applyFont="1" applyFill="1" applyBorder="1" applyAlignment="1">
      <alignment horizontal="right"/>
    </xf>
    <xf numFmtId="0" fontId="9" fillId="2" borderId="4" xfId="0" applyFont="1" applyFill="1" applyBorder="1" applyAlignment="1">
      <alignment horizontal="righ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2" fillId="15" borderId="4" xfId="0" applyFont="1" applyFill="1" applyBorder="1" applyAlignment="1">
      <alignment vertical="center"/>
    </xf>
    <xf numFmtId="0" fontId="4" fillId="13" borderId="4" xfId="0" applyFont="1" applyFill="1" applyBorder="1" applyAlignment="1">
      <alignment vertical="center" wrapText="1"/>
    </xf>
    <xf numFmtId="0" fontId="2" fillId="19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/>
    </xf>
    <xf numFmtId="0" fontId="4" fillId="22" borderId="4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" xfId="1" applyFont="1" applyBorder="1" applyAlignment="1">
      <alignment horizontal="left" vertical="center"/>
    </xf>
    <xf numFmtId="0" fontId="4" fillId="0" borderId="4" xfId="1" applyFont="1" applyFill="1" applyBorder="1" applyAlignment="1">
      <alignment vertical="center"/>
    </xf>
    <xf numFmtId="0" fontId="4" fillId="0" borderId="4" xfId="1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23" borderId="4" xfId="0" applyFont="1" applyFill="1" applyBorder="1" applyAlignment="1">
      <alignment vertical="center"/>
    </xf>
    <xf numFmtId="22" fontId="4" fillId="0" borderId="4" xfId="1" applyNumberFormat="1" applyFont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0" fontId="6" fillId="23" borderId="4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24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dimension ref="A1:C49"/>
  <sheetViews>
    <sheetView tabSelected="1" zoomScale="175" zoomScaleNormal="175" workbookViewId="0">
      <pane ySplit="1" topLeftCell="A23" activePane="bottomLeft" state="frozen"/>
      <selection pane="bottomLeft"/>
    </sheetView>
  </sheetViews>
  <sheetFormatPr defaultColWidth="9.140625" defaultRowHeight="9" customHeight="1" x14ac:dyDescent="0.25"/>
  <cols>
    <col min="1" max="1" width="12.85546875" bestFit="1" customWidth="1"/>
    <col min="2" max="2" width="69.5703125" customWidth="1"/>
    <col min="3" max="3" width="3.42578125" style="39" bestFit="1" customWidth="1"/>
  </cols>
  <sheetData>
    <row r="1" spans="1:3" ht="21.95" customHeight="1" x14ac:dyDescent="0.25">
      <c r="A1" s="12" t="s">
        <v>45</v>
      </c>
      <c r="B1" s="12" t="s">
        <v>46</v>
      </c>
      <c r="C1" s="37" t="s">
        <v>163</v>
      </c>
    </row>
    <row r="2" spans="1:3" ht="9" customHeight="1" x14ac:dyDescent="0.25">
      <c r="A2" s="13" t="s">
        <v>47</v>
      </c>
      <c r="B2" s="13" t="s">
        <v>48</v>
      </c>
      <c r="C2" s="38" t="s">
        <v>164</v>
      </c>
    </row>
    <row r="3" spans="1:3" ht="9" customHeight="1" x14ac:dyDescent="0.25">
      <c r="A3" s="13" t="s">
        <v>49</v>
      </c>
      <c r="B3" s="13" t="s">
        <v>167</v>
      </c>
      <c r="C3" s="38" t="s">
        <v>164</v>
      </c>
    </row>
    <row r="4" spans="1:3" ht="9" customHeight="1" x14ac:dyDescent="0.25">
      <c r="A4" s="14" t="s">
        <v>50</v>
      </c>
      <c r="B4" s="14" t="s">
        <v>32</v>
      </c>
      <c r="C4" s="38" t="s">
        <v>164</v>
      </c>
    </row>
    <row r="5" spans="1:3" ht="9" customHeight="1" x14ac:dyDescent="0.25">
      <c r="A5" s="14" t="s">
        <v>51</v>
      </c>
      <c r="B5" s="14" t="str">
        <f>_xlfn.CONCAT(B4,"Prop")</f>
        <v>BIMProp</v>
      </c>
      <c r="C5" s="38" t="s">
        <v>164</v>
      </c>
    </row>
    <row r="6" spans="1:3" ht="9" customHeight="1" x14ac:dyDescent="0.25">
      <c r="A6" s="14" t="s">
        <v>52</v>
      </c>
      <c r="B6" s="14" t="str">
        <f>_xlfn.CONCAT(B4,"Data")</f>
        <v>BIMData</v>
      </c>
      <c r="C6" s="38" t="s">
        <v>164</v>
      </c>
    </row>
    <row r="7" spans="1:3" ht="9" customHeight="1" x14ac:dyDescent="0.25">
      <c r="A7" s="14" t="s">
        <v>53</v>
      </c>
      <c r="B7" s="15" t="s">
        <v>54</v>
      </c>
      <c r="C7" s="38" t="s">
        <v>164</v>
      </c>
    </row>
    <row r="8" spans="1:3" s="36" customFormat="1" ht="9" customHeight="1" x14ac:dyDescent="0.25">
      <c r="A8" s="35" t="s">
        <v>55</v>
      </c>
      <c r="B8" s="35" t="s">
        <v>161</v>
      </c>
      <c r="C8" s="38" t="s">
        <v>164</v>
      </c>
    </row>
    <row r="9" spans="1:3" ht="9" customHeight="1" x14ac:dyDescent="0.25">
      <c r="A9" s="14" t="s">
        <v>56</v>
      </c>
      <c r="B9" s="14" t="s">
        <v>57</v>
      </c>
      <c r="C9" s="38" t="s">
        <v>164</v>
      </c>
    </row>
    <row r="10" spans="1:3" ht="9" customHeight="1" x14ac:dyDescent="0.25">
      <c r="A10" s="14" t="s">
        <v>783</v>
      </c>
      <c r="B10" s="14" t="s">
        <v>58</v>
      </c>
      <c r="C10" s="38" t="s">
        <v>164</v>
      </c>
    </row>
    <row r="11" spans="1:3" ht="9" customHeight="1" x14ac:dyDescent="0.25">
      <c r="A11" s="14" t="s">
        <v>784</v>
      </c>
      <c r="B11" s="14" t="s">
        <v>58</v>
      </c>
      <c r="C11" s="38" t="s">
        <v>164</v>
      </c>
    </row>
    <row r="12" spans="1:3" ht="9" customHeight="1" x14ac:dyDescent="0.25">
      <c r="A12" s="14" t="s">
        <v>785</v>
      </c>
      <c r="B12" s="14" t="s">
        <v>58</v>
      </c>
      <c r="C12" s="38" t="s">
        <v>164</v>
      </c>
    </row>
    <row r="13" spans="1:3" ht="9" customHeight="1" x14ac:dyDescent="0.25">
      <c r="A13" s="14" t="s">
        <v>730</v>
      </c>
      <c r="B13" s="14" t="s">
        <v>58</v>
      </c>
      <c r="C13" s="38" t="s">
        <v>164</v>
      </c>
    </row>
    <row r="14" spans="1:3" ht="9" customHeight="1" x14ac:dyDescent="0.25">
      <c r="A14" s="14" t="s">
        <v>731</v>
      </c>
      <c r="B14" s="14" t="s">
        <v>58</v>
      </c>
      <c r="C14" s="38" t="s">
        <v>164</v>
      </c>
    </row>
    <row r="15" spans="1:3" ht="9" customHeight="1" x14ac:dyDescent="0.25">
      <c r="A15" s="14" t="s">
        <v>732</v>
      </c>
      <c r="B15" s="14" t="s">
        <v>58</v>
      </c>
      <c r="C15" s="38" t="s">
        <v>164</v>
      </c>
    </row>
    <row r="16" spans="1:3" ht="9" customHeight="1" x14ac:dyDescent="0.25">
      <c r="A16" s="14" t="s">
        <v>733</v>
      </c>
      <c r="B16" s="14" t="s">
        <v>58</v>
      </c>
      <c r="C16" s="38" t="s">
        <v>164</v>
      </c>
    </row>
    <row r="17" spans="1:3" ht="9" customHeight="1" x14ac:dyDescent="0.25">
      <c r="A17" s="14" t="s">
        <v>59</v>
      </c>
      <c r="B17" s="14" t="s">
        <v>95</v>
      </c>
      <c r="C17" s="38" t="s">
        <v>164</v>
      </c>
    </row>
    <row r="18" spans="1:3" ht="9" customHeight="1" x14ac:dyDescent="0.25">
      <c r="A18" s="14" t="s">
        <v>60</v>
      </c>
      <c r="B18" s="16">
        <f ca="1">NOW()</f>
        <v>46276.41440173611</v>
      </c>
      <c r="C18" s="38" t="s">
        <v>164</v>
      </c>
    </row>
    <row r="19" spans="1:3" ht="9" customHeight="1" x14ac:dyDescent="0.25">
      <c r="A19" s="14" t="s">
        <v>734</v>
      </c>
      <c r="B19" s="16" t="s">
        <v>61</v>
      </c>
      <c r="C19" s="38" t="s">
        <v>164</v>
      </c>
    </row>
    <row r="20" spans="1:3" ht="9" customHeight="1" x14ac:dyDescent="0.25">
      <c r="A20" s="35" t="s">
        <v>735</v>
      </c>
      <c r="B20" s="14" t="s">
        <v>58</v>
      </c>
      <c r="C20" s="38" t="s">
        <v>164</v>
      </c>
    </row>
    <row r="21" spans="1:3" ht="9" customHeight="1" x14ac:dyDescent="0.25">
      <c r="A21" s="35" t="s">
        <v>736</v>
      </c>
      <c r="B21" s="14" t="s">
        <v>58</v>
      </c>
      <c r="C21" s="38" t="s">
        <v>164</v>
      </c>
    </row>
    <row r="22" spans="1:3" ht="9" customHeight="1" x14ac:dyDescent="0.25">
      <c r="A22" s="14" t="s">
        <v>62</v>
      </c>
      <c r="B22" s="14" t="s">
        <v>58</v>
      </c>
      <c r="C22" s="38" t="s">
        <v>164</v>
      </c>
    </row>
    <row r="23" spans="1:3" ht="9" customHeight="1" x14ac:dyDescent="0.25">
      <c r="A23" s="14" t="s">
        <v>63</v>
      </c>
      <c r="B23" s="14" t="s">
        <v>58</v>
      </c>
      <c r="C23" s="38" t="s">
        <v>164</v>
      </c>
    </row>
    <row r="24" spans="1:3" s="36" customFormat="1" ht="9" customHeight="1" x14ac:dyDescent="0.25">
      <c r="A24" s="14" t="s">
        <v>64</v>
      </c>
      <c r="B24" s="17" t="s">
        <v>168</v>
      </c>
      <c r="C24" s="38" t="s">
        <v>164</v>
      </c>
    </row>
    <row r="25" spans="1:3" ht="9" customHeight="1" x14ac:dyDescent="0.25">
      <c r="A25" s="14" t="s">
        <v>65</v>
      </c>
      <c r="B25" s="17" t="str">
        <f>_xlfn.TRANSLATE(B24,"pt","es")</f>
        <v>Formalizar los elementos de diseño BIM. Ontología de los elementos de circulación como escaleras, rampas, ascensores y sus elementos asociados como barandillas.</v>
      </c>
      <c r="C25" s="38" t="s">
        <v>165</v>
      </c>
    </row>
    <row r="26" spans="1:3" ht="9" customHeight="1" x14ac:dyDescent="0.25">
      <c r="A26" s="35" t="s">
        <v>162</v>
      </c>
      <c r="B26" s="17" t="str">
        <f>_xlfn.TRANSLATE(B24,"pt","en")</f>
        <v>Formalize BIM design elements. Ontology of Circulation Elements such as Stairs, Ramps, Elevators and their associated elements such as handrails.</v>
      </c>
      <c r="C26" s="38" t="s">
        <v>166</v>
      </c>
    </row>
    <row r="27" spans="1:3" ht="9" customHeight="1" x14ac:dyDescent="0.25">
      <c r="A27" s="35" t="s">
        <v>737</v>
      </c>
      <c r="B27" s="73" t="s">
        <v>760</v>
      </c>
      <c r="C27" s="38" t="s">
        <v>164</v>
      </c>
    </row>
    <row r="28" spans="1:3" ht="9" customHeight="1" x14ac:dyDescent="0.25">
      <c r="A28" s="35" t="s">
        <v>738</v>
      </c>
      <c r="B28" s="74" t="s">
        <v>761</v>
      </c>
      <c r="C28" s="38" t="s">
        <v>164</v>
      </c>
    </row>
    <row r="29" spans="1:3" ht="9" customHeight="1" x14ac:dyDescent="0.25">
      <c r="A29" s="35" t="s">
        <v>739</v>
      </c>
      <c r="B29" s="74" t="s">
        <v>762</v>
      </c>
      <c r="C29" s="38" t="s">
        <v>164</v>
      </c>
    </row>
    <row r="30" spans="1:3" ht="9" customHeight="1" x14ac:dyDescent="0.25">
      <c r="A30" s="35" t="s">
        <v>740</v>
      </c>
      <c r="B30" s="75" t="s">
        <v>763</v>
      </c>
      <c r="C30" s="38" t="s">
        <v>164</v>
      </c>
    </row>
    <row r="31" spans="1:3" ht="9" customHeight="1" x14ac:dyDescent="0.25">
      <c r="A31" s="35" t="s">
        <v>741</v>
      </c>
      <c r="B31" s="76" t="s">
        <v>764</v>
      </c>
      <c r="C31" s="38" t="s">
        <v>164</v>
      </c>
    </row>
    <row r="32" spans="1:3" ht="9" customHeight="1" x14ac:dyDescent="0.25">
      <c r="A32" s="35" t="s">
        <v>742</v>
      </c>
      <c r="B32" s="76" t="s">
        <v>765</v>
      </c>
      <c r="C32" s="38" t="s">
        <v>164</v>
      </c>
    </row>
    <row r="33" spans="1:3" ht="9" customHeight="1" x14ac:dyDescent="0.25">
      <c r="A33" s="35" t="s">
        <v>743</v>
      </c>
      <c r="B33" s="76" t="s">
        <v>766</v>
      </c>
      <c r="C33" s="38" t="s">
        <v>164</v>
      </c>
    </row>
    <row r="34" spans="1:3" ht="9" customHeight="1" x14ac:dyDescent="0.25">
      <c r="A34" s="35" t="s">
        <v>744</v>
      </c>
      <c r="B34" s="77" t="s">
        <v>767</v>
      </c>
      <c r="C34" s="38" t="s">
        <v>164</v>
      </c>
    </row>
    <row r="35" spans="1:3" ht="9" customHeight="1" x14ac:dyDescent="0.25">
      <c r="A35" s="35" t="s">
        <v>745</v>
      </c>
      <c r="B35" s="77" t="s">
        <v>768</v>
      </c>
      <c r="C35" s="38" t="s">
        <v>164</v>
      </c>
    </row>
    <row r="36" spans="1:3" ht="9" customHeight="1" x14ac:dyDescent="0.25">
      <c r="A36" s="35" t="s">
        <v>746</v>
      </c>
      <c r="B36" s="76" t="s">
        <v>769</v>
      </c>
      <c r="C36" s="38" t="s">
        <v>164</v>
      </c>
    </row>
    <row r="37" spans="1:3" ht="9" customHeight="1" x14ac:dyDescent="0.25">
      <c r="A37" s="35" t="s">
        <v>747</v>
      </c>
      <c r="B37" s="77" t="s">
        <v>770</v>
      </c>
      <c r="C37" s="38" t="s">
        <v>164</v>
      </c>
    </row>
    <row r="38" spans="1:3" ht="9" customHeight="1" x14ac:dyDescent="0.25">
      <c r="A38" s="35" t="s">
        <v>748</v>
      </c>
      <c r="B38" s="76" t="s">
        <v>771</v>
      </c>
      <c r="C38" s="38" t="s">
        <v>164</v>
      </c>
    </row>
    <row r="39" spans="1:3" ht="9" customHeight="1" x14ac:dyDescent="0.25">
      <c r="A39" s="35" t="s">
        <v>749</v>
      </c>
      <c r="B39" s="78" t="s">
        <v>772</v>
      </c>
      <c r="C39" s="38" t="s">
        <v>164</v>
      </c>
    </row>
    <row r="40" spans="1:3" ht="9" customHeight="1" x14ac:dyDescent="0.25">
      <c r="A40" s="35" t="s">
        <v>750</v>
      </c>
      <c r="B40" s="78" t="s">
        <v>773</v>
      </c>
      <c r="C40" s="38" t="s">
        <v>164</v>
      </c>
    </row>
    <row r="41" spans="1:3" ht="9" customHeight="1" x14ac:dyDescent="0.25">
      <c r="A41" s="35" t="s">
        <v>751</v>
      </c>
      <c r="B41" s="79" t="s">
        <v>774</v>
      </c>
      <c r="C41" s="38" t="s">
        <v>164</v>
      </c>
    </row>
    <row r="42" spans="1:3" ht="9" customHeight="1" x14ac:dyDescent="0.25">
      <c r="A42" s="35" t="s">
        <v>752</v>
      </c>
      <c r="B42" s="80" t="s">
        <v>775</v>
      </c>
      <c r="C42" s="38" t="s">
        <v>164</v>
      </c>
    </row>
    <row r="43" spans="1:3" ht="9" customHeight="1" x14ac:dyDescent="0.25">
      <c r="A43" s="35" t="s">
        <v>753</v>
      </c>
      <c r="B43" s="80" t="s">
        <v>776</v>
      </c>
      <c r="C43" s="38" t="s">
        <v>164</v>
      </c>
    </row>
    <row r="44" spans="1:3" ht="9" customHeight="1" x14ac:dyDescent="0.25">
      <c r="A44" s="35" t="s">
        <v>754</v>
      </c>
      <c r="B44" s="80" t="s">
        <v>777</v>
      </c>
      <c r="C44" s="38" t="s">
        <v>164</v>
      </c>
    </row>
    <row r="45" spans="1:3" ht="9" customHeight="1" x14ac:dyDescent="0.25">
      <c r="A45" s="35" t="s">
        <v>755</v>
      </c>
      <c r="B45" s="80" t="s">
        <v>778</v>
      </c>
      <c r="C45" s="38" t="s">
        <v>164</v>
      </c>
    </row>
    <row r="46" spans="1:3" ht="9" customHeight="1" x14ac:dyDescent="0.25">
      <c r="A46" s="35" t="s">
        <v>756</v>
      </c>
      <c r="B46" s="80" t="s">
        <v>779</v>
      </c>
      <c r="C46" s="38" t="s">
        <v>164</v>
      </c>
    </row>
    <row r="47" spans="1:3" ht="9" customHeight="1" x14ac:dyDescent="0.25">
      <c r="A47" s="35" t="s">
        <v>757</v>
      </c>
      <c r="B47" s="80" t="s">
        <v>780</v>
      </c>
      <c r="C47" s="38" t="s">
        <v>164</v>
      </c>
    </row>
    <row r="48" spans="1:3" ht="9" customHeight="1" x14ac:dyDescent="0.25">
      <c r="A48" s="35" t="s">
        <v>758</v>
      </c>
      <c r="B48" s="80" t="s">
        <v>781</v>
      </c>
      <c r="C48" s="38" t="s">
        <v>164</v>
      </c>
    </row>
    <row r="49" spans="1:3" ht="9" customHeight="1" x14ac:dyDescent="0.25">
      <c r="A49" s="35" t="s">
        <v>759</v>
      </c>
      <c r="B49" s="80" t="s">
        <v>782</v>
      </c>
      <c r="C49" s="38" t="s">
        <v>164</v>
      </c>
    </row>
  </sheetData>
  <hyperlinks>
    <hyperlink ref="B27" r:id="rId1" xr:uid="{71B3489A-D83D-46CC-8C26-0B22F46EBF3F}"/>
    <hyperlink ref="B29" r:id="rId2" xr:uid="{75BE3586-230C-4ED0-BDAE-93D01EA05A8A}"/>
    <hyperlink ref="B28" r:id="rId3" xr:uid="{D8E6F67C-2FA0-41EF-8C49-9E1260418FDB}"/>
    <hyperlink ref="B39" r:id="rId4" location="categoria_888" xr:uid="{531A99D3-0A87-47B4-929B-8C31DAFFF77E}"/>
    <hyperlink ref="B40" r:id="rId5" xr:uid="{84776323-D59E-46D9-8A22-FE752A21A35F}"/>
    <hyperlink ref="B41" r:id="rId6" xr:uid="{AE28FDCC-A03C-4000-B31B-EAB7D32B34EC}"/>
    <hyperlink ref="B30" r:id="rId7" xr:uid="{B1E2E23D-1F00-43D7-A100-19424F374AD8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dimension ref="A1:AD125"/>
  <sheetViews>
    <sheetView zoomScale="160" zoomScaleNormal="160" workbookViewId="0">
      <pane ySplit="1" topLeftCell="A98" activePane="bottomLeft" state="frozen"/>
      <selection activeCell="A179" sqref="A179:XFD190"/>
      <selection pane="bottomLeft" activeCell="X118" sqref="X118"/>
    </sheetView>
  </sheetViews>
  <sheetFormatPr defaultColWidth="9.140625" defaultRowHeight="6.6" customHeight="1" x14ac:dyDescent="0.25"/>
  <cols>
    <col min="1" max="1" width="3.140625" style="42" bestFit="1" customWidth="1"/>
    <col min="2" max="2" width="6.28515625" style="40" bestFit="1" customWidth="1"/>
    <col min="3" max="3" width="8.7109375" style="40" bestFit="1" customWidth="1"/>
    <col min="4" max="5" width="13.7109375" style="40" bestFit="1" customWidth="1"/>
    <col min="6" max="6" width="17.85546875" style="40" bestFit="1" customWidth="1"/>
    <col min="7" max="8" width="7.28515625" bestFit="1" customWidth="1"/>
    <col min="9" max="9" width="18.140625" bestFit="1" customWidth="1"/>
    <col min="10" max="11" width="7.28515625" bestFit="1" customWidth="1"/>
    <col min="12" max="12" width="8.7109375" style="40" bestFit="1" customWidth="1"/>
    <col min="13" max="14" width="13.7109375" style="40" bestFit="1" customWidth="1"/>
    <col min="15" max="15" width="17.85546875" style="40" bestFit="1" customWidth="1"/>
    <col min="16" max="16" width="112.85546875" style="40" bestFit="1" customWidth="1"/>
    <col min="17" max="17" width="111.7109375" style="40" bestFit="1" customWidth="1"/>
    <col min="18" max="18" width="98.28515625" style="40" bestFit="1" customWidth="1"/>
    <col min="19" max="19" width="4.42578125" style="72" customWidth="1"/>
    <col min="20" max="20" width="8.7109375" style="40" bestFit="1" customWidth="1"/>
    <col min="21" max="22" width="13.7109375" style="40" bestFit="1" customWidth="1"/>
    <col min="23" max="23" width="8.5703125" style="40" bestFit="1" customWidth="1"/>
    <col min="24" max="24" width="9.28515625" style="40" bestFit="1" customWidth="1"/>
    <col min="25" max="25" width="27.5703125" style="40" bestFit="1" customWidth="1"/>
    <col min="26" max="26" width="55.7109375" style="40" bestFit="1" customWidth="1"/>
    <col min="27" max="27" width="21.140625" style="40" customWidth="1"/>
    <col min="28" max="28" width="6.85546875" style="40" bestFit="1" customWidth="1"/>
    <col min="29" max="29" width="10.42578125" style="46" bestFit="1" customWidth="1"/>
    <col min="30" max="30" width="6.85546875" style="40" bestFit="1" customWidth="1"/>
    <col min="31" max="16384" width="9.140625" style="40"/>
  </cols>
  <sheetData>
    <row r="1" spans="1:30" s="63" customFormat="1" ht="51" customHeight="1" x14ac:dyDescent="0.15">
      <c r="A1" s="60">
        <v>1</v>
      </c>
      <c r="B1" s="61" t="s">
        <v>41</v>
      </c>
      <c r="C1" s="61" t="s">
        <v>39</v>
      </c>
      <c r="D1" s="61" t="s">
        <v>40</v>
      </c>
      <c r="E1" s="61" t="s">
        <v>38</v>
      </c>
      <c r="F1" s="61" t="s">
        <v>492</v>
      </c>
      <c r="G1" s="62" t="s">
        <v>0</v>
      </c>
      <c r="H1" s="62" t="s">
        <v>1</v>
      </c>
      <c r="I1" s="62" t="s">
        <v>2</v>
      </c>
      <c r="J1" s="62" t="s">
        <v>3</v>
      </c>
      <c r="K1" s="62" t="s">
        <v>4</v>
      </c>
      <c r="L1" s="34" t="s">
        <v>5</v>
      </c>
      <c r="M1" s="34" t="s">
        <v>6</v>
      </c>
      <c r="N1" s="34" t="s">
        <v>91</v>
      </c>
      <c r="O1" s="34" t="s">
        <v>7</v>
      </c>
      <c r="P1" s="34" t="s">
        <v>36</v>
      </c>
      <c r="Q1" s="34" t="s">
        <v>42</v>
      </c>
      <c r="R1" s="34" t="s">
        <v>160</v>
      </c>
      <c r="S1" s="71" t="s">
        <v>94</v>
      </c>
      <c r="T1" s="34" t="s">
        <v>33</v>
      </c>
      <c r="U1" s="34" t="s">
        <v>37</v>
      </c>
      <c r="V1" s="34" t="s">
        <v>35</v>
      </c>
      <c r="W1" s="34" t="s">
        <v>34</v>
      </c>
      <c r="X1" s="61" t="s">
        <v>8</v>
      </c>
      <c r="Y1" s="33" t="s">
        <v>159</v>
      </c>
      <c r="Z1" s="33" t="s">
        <v>688</v>
      </c>
      <c r="AA1" s="33" t="s">
        <v>687</v>
      </c>
      <c r="AB1" s="33" t="s">
        <v>689</v>
      </c>
      <c r="AC1" s="49" t="s">
        <v>690</v>
      </c>
      <c r="AD1" s="33" t="s">
        <v>713</v>
      </c>
    </row>
    <row r="2" spans="1:30" ht="6.6" customHeight="1" x14ac:dyDescent="0.25">
      <c r="A2" s="41">
        <v>2</v>
      </c>
      <c r="B2" s="1" t="s">
        <v>513</v>
      </c>
      <c r="C2" s="1" t="s">
        <v>519</v>
      </c>
      <c r="D2" s="1" t="s">
        <v>540</v>
      </c>
      <c r="E2" s="1" t="s">
        <v>499</v>
      </c>
      <c r="F2" s="1" t="s">
        <v>500</v>
      </c>
      <c r="G2" s="4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32" t="str">
        <f t="shared" ref="L2" si="0">CONCATENATE("", C2)</f>
        <v>De.Mobilidade</v>
      </c>
      <c r="M2" s="32" t="str">
        <f t="shared" ref="M2" si="1">CONCATENATE("", D2)</f>
        <v>Requisitos.Normativos</v>
      </c>
      <c r="N2" s="32" t="str">
        <f t="shared" ref="N2" si="2">(SUBSTITUTE(SUBSTITUTE(CONCATENATE("",E2),"."," ")," De "," de "))</f>
        <v>Parâmetros Normativos</v>
      </c>
      <c r="O2" s="27" t="str">
        <f t="shared" ref="O2" si="3">IF(ISNUMBER(FIND("Ifc",F2)),CONCATENATE("Classe IFC:   ",F2),F2)</f>
        <v>Acessibilidade</v>
      </c>
      <c r="P2" s="27" t="s">
        <v>496</v>
      </c>
      <c r="Q2" s="27" t="s">
        <v>497</v>
      </c>
      <c r="R2" s="27" t="s">
        <v>584</v>
      </c>
      <c r="S2" s="69" t="s">
        <v>9</v>
      </c>
      <c r="T2" s="27" t="str">
        <f t="shared" ref="T2" si="4">SUBSTITUTE(C2, "_", " ")</f>
        <v>De.Mobilidade</v>
      </c>
      <c r="U2" s="27" t="str">
        <f t="shared" ref="U2" si="5">SUBSTITUTE(D2, "_", " ")</f>
        <v>Requisitos.Normativos</v>
      </c>
      <c r="V2" s="27" t="str">
        <f t="shared" ref="V2" si="6">SUBSTITUTE(E2, "_", " ")</f>
        <v>Parâmetros.Normativos</v>
      </c>
      <c r="W2" s="27" t="s">
        <v>43</v>
      </c>
      <c r="X2" s="43" t="str">
        <f t="shared" ref="X2" si="7">CONCATENATE("Key-CIRCU-",A2)</f>
        <v>Key-CIRCU-2</v>
      </c>
      <c r="Y2" s="27" t="s">
        <v>9</v>
      </c>
      <c r="Z2" s="68" t="s">
        <v>9</v>
      </c>
      <c r="AA2" s="27" t="s">
        <v>9</v>
      </c>
      <c r="AB2" s="68" t="s">
        <v>9</v>
      </c>
      <c r="AC2" s="27" t="s">
        <v>9</v>
      </c>
      <c r="AD2" s="68" t="s">
        <v>9</v>
      </c>
    </row>
    <row r="3" spans="1:30" ht="6" customHeight="1" x14ac:dyDescent="0.25">
      <c r="A3" s="41">
        <v>3</v>
      </c>
      <c r="B3" s="1" t="s">
        <v>513</v>
      </c>
      <c r="C3" s="1" t="s">
        <v>519</v>
      </c>
      <c r="D3" s="1" t="s">
        <v>468</v>
      </c>
      <c r="E3" s="1" t="s">
        <v>185</v>
      </c>
      <c r="F3" s="31" t="s">
        <v>430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32" t="str">
        <f t="shared" ref="L3:L34" si="8">CONCATENATE("", C3)</f>
        <v>De.Mobilidade</v>
      </c>
      <c r="M3" s="32" t="str">
        <f t="shared" ref="M3:M34" si="9">CONCATENATE("", D3)</f>
        <v>Elementos.de.Circulação</v>
      </c>
      <c r="N3" s="32" t="str">
        <f t="shared" ref="N3:N34" si="10">(SUBSTITUTE(SUBSTITUTE(CONCATENATE("",E3),"."," ")," De "," de "))</f>
        <v>Elevadores</v>
      </c>
      <c r="O3" s="27" t="str">
        <f t="shared" ref="O3:O34" si="11">IF(ISNUMBER(FIND("Ifc",F3)),CONCATENATE("Classe IFC:   ",F3),F3)</f>
        <v>Elevador.Hidráulico</v>
      </c>
      <c r="P3" s="27" t="s">
        <v>431</v>
      </c>
      <c r="Q3" s="27" t="s">
        <v>432</v>
      </c>
      <c r="R3" s="27" t="s">
        <v>585</v>
      </c>
      <c r="S3" s="69" t="s">
        <v>9</v>
      </c>
      <c r="T3" s="27" t="str">
        <f t="shared" ref="T3:T34" si="12">SUBSTITUTE(C3, "_", " ")</f>
        <v>De.Mobilidade</v>
      </c>
      <c r="U3" s="27" t="str">
        <f t="shared" ref="U3:U34" si="13">SUBSTITUTE(D3, "_", " ")</f>
        <v>Elementos.de.Circulação</v>
      </c>
      <c r="V3" s="27" t="str">
        <f t="shared" ref="V3:V34" si="14">SUBSTITUTE(E3, "_", " ")</f>
        <v>Elevadores</v>
      </c>
      <c r="W3" s="27" t="s">
        <v>43</v>
      </c>
      <c r="X3" s="43" t="str">
        <f>CONCATENATE("Key-CIRCU-",A3)</f>
        <v>Key-CIRCU-3</v>
      </c>
      <c r="Y3" s="27" t="s">
        <v>541</v>
      </c>
      <c r="Z3" s="68" t="s">
        <v>9</v>
      </c>
      <c r="AA3" s="26" t="s">
        <v>398</v>
      </c>
      <c r="AB3" s="68" t="s">
        <v>9</v>
      </c>
      <c r="AC3" s="45" t="s">
        <v>433</v>
      </c>
      <c r="AD3" s="68" t="s">
        <v>9</v>
      </c>
    </row>
    <row r="4" spans="1:30" ht="6" customHeight="1" x14ac:dyDescent="0.25">
      <c r="A4" s="41">
        <v>4</v>
      </c>
      <c r="B4" s="1" t="s">
        <v>513</v>
      </c>
      <c r="C4" s="1" t="s">
        <v>519</v>
      </c>
      <c r="D4" s="1" t="s">
        <v>468</v>
      </c>
      <c r="E4" s="1" t="s">
        <v>185</v>
      </c>
      <c r="F4" s="31" t="s">
        <v>516</v>
      </c>
      <c r="G4" s="7" t="s">
        <v>9</v>
      </c>
      <c r="H4" s="7" t="s">
        <v>9</v>
      </c>
      <c r="I4" s="7" t="s">
        <v>9</v>
      </c>
      <c r="J4" s="7" t="s">
        <v>9</v>
      </c>
      <c r="K4" s="7" t="s">
        <v>9</v>
      </c>
      <c r="L4" s="32" t="str">
        <f t="shared" si="8"/>
        <v>De.Mobilidade</v>
      </c>
      <c r="M4" s="32" t="str">
        <f t="shared" si="9"/>
        <v>Elementos.de.Circulação</v>
      </c>
      <c r="N4" s="32" t="str">
        <f t="shared" si="10"/>
        <v>Elevadores</v>
      </c>
      <c r="O4" s="27" t="str">
        <f t="shared" si="11"/>
        <v>Elevador.Convencional</v>
      </c>
      <c r="P4" s="27" t="s">
        <v>187</v>
      </c>
      <c r="Q4" s="27" t="s">
        <v>188</v>
      </c>
      <c r="R4" s="27" t="s">
        <v>586</v>
      </c>
      <c r="S4" s="69" t="s">
        <v>9</v>
      </c>
      <c r="T4" s="27" t="str">
        <f t="shared" si="12"/>
        <v>De.Mobilidade</v>
      </c>
      <c r="U4" s="27" t="str">
        <f t="shared" si="13"/>
        <v>Elementos.de.Circulação</v>
      </c>
      <c r="V4" s="27" t="str">
        <f t="shared" si="14"/>
        <v>Elevadores</v>
      </c>
      <c r="W4" s="27" t="s">
        <v>43</v>
      </c>
      <c r="X4" s="43" t="str">
        <f t="shared" ref="X4:X65" si="15">CONCATENATE("Key-CIRCU-",A4)</f>
        <v>Key-CIRCU-4</v>
      </c>
      <c r="Y4" s="27" t="s">
        <v>541</v>
      </c>
      <c r="Z4" s="68" t="s">
        <v>9</v>
      </c>
      <c r="AA4" s="26" t="s">
        <v>398</v>
      </c>
      <c r="AB4" s="68" t="s">
        <v>9</v>
      </c>
      <c r="AC4" s="45" t="s">
        <v>433</v>
      </c>
      <c r="AD4" s="68" t="s">
        <v>9</v>
      </c>
    </row>
    <row r="5" spans="1:30" ht="6.6" customHeight="1" x14ac:dyDescent="0.25">
      <c r="A5" s="41">
        <v>5</v>
      </c>
      <c r="B5" s="1" t="s">
        <v>513</v>
      </c>
      <c r="C5" s="1" t="s">
        <v>519</v>
      </c>
      <c r="D5" s="1" t="s">
        <v>468</v>
      </c>
      <c r="E5" s="1" t="s">
        <v>185</v>
      </c>
      <c r="F5" s="31" t="s">
        <v>434</v>
      </c>
      <c r="G5" s="7" t="s">
        <v>9</v>
      </c>
      <c r="H5" s="7" t="s">
        <v>9</v>
      </c>
      <c r="I5" s="7" t="s">
        <v>9</v>
      </c>
      <c r="J5" s="7" t="s">
        <v>9</v>
      </c>
      <c r="K5" s="7" t="s">
        <v>9</v>
      </c>
      <c r="L5" s="32" t="str">
        <f t="shared" si="8"/>
        <v>De.Mobilidade</v>
      </c>
      <c r="M5" s="32" t="str">
        <f t="shared" si="9"/>
        <v>Elementos.de.Circulação</v>
      </c>
      <c r="N5" s="32" t="str">
        <f t="shared" si="10"/>
        <v>Elevadores</v>
      </c>
      <c r="O5" s="27" t="str">
        <f t="shared" si="11"/>
        <v>Elevador.MR</v>
      </c>
      <c r="P5" s="27" t="s">
        <v>435</v>
      </c>
      <c r="Q5" s="27" t="s">
        <v>436</v>
      </c>
      <c r="R5" s="27" t="s">
        <v>587</v>
      </c>
      <c r="S5" s="69" t="s">
        <v>9</v>
      </c>
      <c r="T5" s="27" t="str">
        <f t="shared" si="12"/>
        <v>De.Mobilidade</v>
      </c>
      <c r="U5" s="27" t="str">
        <f t="shared" si="13"/>
        <v>Elementos.de.Circulação</v>
      </c>
      <c r="V5" s="27" t="str">
        <f t="shared" si="14"/>
        <v>Elevadores</v>
      </c>
      <c r="W5" s="27" t="s">
        <v>43</v>
      </c>
      <c r="X5" s="43" t="str">
        <f t="shared" si="15"/>
        <v>Key-CIRCU-5</v>
      </c>
      <c r="Y5" s="27" t="s">
        <v>541</v>
      </c>
      <c r="Z5" s="68" t="s">
        <v>9</v>
      </c>
      <c r="AA5" s="26" t="s">
        <v>398</v>
      </c>
      <c r="AB5" s="68" t="s">
        <v>9</v>
      </c>
      <c r="AC5" s="45" t="s">
        <v>433</v>
      </c>
      <c r="AD5" s="68" t="s">
        <v>9</v>
      </c>
    </row>
    <row r="6" spans="1:30" ht="6.6" customHeight="1" x14ac:dyDescent="0.25">
      <c r="A6" s="41">
        <v>6</v>
      </c>
      <c r="B6" s="1" t="s">
        <v>513</v>
      </c>
      <c r="C6" s="1" t="s">
        <v>519</v>
      </c>
      <c r="D6" s="1" t="s">
        <v>468</v>
      </c>
      <c r="E6" s="1" t="s">
        <v>185</v>
      </c>
      <c r="F6" s="31" t="s">
        <v>437</v>
      </c>
      <c r="G6" s="7" t="s">
        <v>9</v>
      </c>
      <c r="H6" s="7" t="s">
        <v>9</v>
      </c>
      <c r="I6" s="7" t="s">
        <v>9</v>
      </c>
      <c r="J6" s="7" t="s">
        <v>9</v>
      </c>
      <c r="K6" s="7" t="s">
        <v>9</v>
      </c>
      <c r="L6" s="32" t="str">
        <f t="shared" si="8"/>
        <v>De.Mobilidade</v>
      </c>
      <c r="M6" s="32" t="str">
        <f t="shared" si="9"/>
        <v>Elementos.de.Circulação</v>
      </c>
      <c r="N6" s="32" t="str">
        <f t="shared" si="10"/>
        <v>Elevadores</v>
      </c>
      <c r="O6" s="27" t="str">
        <f t="shared" si="11"/>
        <v>Elevador.MRL</v>
      </c>
      <c r="P6" s="27" t="s">
        <v>438</v>
      </c>
      <c r="Q6" s="27" t="s">
        <v>439</v>
      </c>
      <c r="R6" s="27" t="s">
        <v>588</v>
      </c>
      <c r="S6" s="69" t="s">
        <v>9</v>
      </c>
      <c r="T6" s="27" t="str">
        <f t="shared" si="12"/>
        <v>De.Mobilidade</v>
      </c>
      <c r="U6" s="27" t="str">
        <f t="shared" si="13"/>
        <v>Elementos.de.Circulação</v>
      </c>
      <c r="V6" s="27" t="str">
        <f t="shared" si="14"/>
        <v>Elevadores</v>
      </c>
      <c r="W6" s="27" t="s">
        <v>43</v>
      </c>
      <c r="X6" s="43" t="str">
        <f t="shared" si="15"/>
        <v>Key-CIRCU-6</v>
      </c>
      <c r="Y6" s="27" t="s">
        <v>541</v>
      </c>
      <c r="Z6" s="68" t="s">
        <v>9</v>
      </c>
      <c r="AA6" s="26" t="s">
        <v>398</v>
      </c>
      <c r="AB6" s="68" t="s">
        <v>9</v>
      </c>
      <c r="AC6" s="45" t="s">
        <v>433</v>
      </c>
      <c r="AD6" s="68" t="s">
        <v>9</v>
      </c>
    </row>
    <row r="7" spans="1:30" ht="6" customHeight="1" x14ac:dyDescent="0.25">
      <c r="A7" s="41">
        <v>7</v>
      </c>
      <c r="B7" s="1" t="s">
        <v>513</v>
      </c>
      <c r="C7" s="1" t="s">
        <v>519</v>
      </c>
      <c r="D7" s="1" t="s">
        <v>468</v>
      </c>
      <c r="E7" s="30" t="s">
        <v>185</v>
      </c>
      <c r="F7" s="31" t="s">
        <v>189</v>
      </c>
      <c r="G7" s="7" t="s">
        <v>9</v>
      </c>
      <c r="H7" s="7" t="s">
        <v>9</v>
      </c>
      <c r="I7" s="7" t="s">
        <v>9</v>
      </c>
      <c r="J7" s="7" t="s">
        <v>9</v>
      </c>
      <c r="K7" s="7" t="s">
        <v>9</v>
      </c>
      <c r="L7" s="32" t="str">
        <f t="shared" si="8"/>
        <v>De.Mobilidade</v>
      </c>
      <c r="M7" s="32" t="str">
        <f t="shared" si="9"/>
        <v>Elementos.de.Circulação</v>
      </c>
      <c r="N7" s="32" t="str">
        <f t="shared" si="10"/>
        <v>Elevadores</v>
      </c>
      <c r="O7" s="27" t="str">
        <f t="shared" si="11"/>
        <v>Montacarga</v>
      </c>
      <c r="P7" s="27" t="s">
        <v>190</v>
      </c>
      <c r="Q7" s="27" t="s">
        <v>191</v>
      </c>
      <c r="R7" s="27" t="s">
        <v>589</v>
      </c>
      <c r="S7" s="69" t="s">
        <v>9</v>
      </c>
      <c r="T7" s="27" t="str">
        <f t="shared" si="12"/>
        <v>De.Mobilidade</v>
      </c>
      <c r="U7" s="27" t="str">
        <f t="shared" si="13"/>
        <v>Elementos.de.Circulação</v>
      </c>
      <c r="V7" s="27" t="str">
        <f t="shared" si="14"/>
        <v>Elevadores</v>
      </c>
      <c r="W7" s="27" t="s">
        <v>43</v>
      </c>
      <c r="X7" s="43" t="str">
        <f t="shared" si="15"/>
        <v>Key-CIRCU-7</v>
      </c>
      <c r="Y7" s="27" t="s">
        <v>541</v>
      </c>
      <c r="Z7" s="68" t="s">
        <v>9</v>
      </c>
      <c r="AA7" s="26" t="s">
        <v>398</v>
      </c>
      <c r="AB7" s="68" t="s">
        <v>9</v>
      </c>
      <c r="AC7" s="45" t="s">
        <v>433</v>
      </c>
      <c r="AD7" s="68" t="s">
        <v>9</v>
      </c>
    </row>
    <row r="8" spans="1:30" ht="6" customHeight="1" x14ac:dyDescent="0.25">
      <c r="A8" s="41">
        <v>8</v>
      </c>
      <c r="B8" s="1" t="s">
        <v>513</v>
      </c>
      <c r="C8" s="1" t="s">
        <v>519</v>
      </c>
      <c r="D8" s="1" t="s">
        <v>468</v>
      </c>
      <c r="E8" s="30" t="s">
        <v>185</v>
      </c>
      <c r="F8" s="31" t="s">
        <v>537</v>
      </c>
      <c r="G8" s="7" t="s">
        <v>9</v>
      </c>
      <c r="H8" s="7" t="s">
        <v>9</v>
      </c>
      <c r="I8" s="7" t="s">
        <v>9</v>
      </c>
      <c r="J8" s="7" t="s">
        <v>9</v>
      </c>
      <c r="K8" s="7" t="s">
        <v>9</v>
      </c>
      <c r="L8" s="32" t="str">
        <f t="shared" si="8"/>
        <v>De.Mobilidade</v>
      </c>
      <c r="M8" s="32" t="str">
        <f t="shared" si="9"/>
        <v>Elementos.de.Circulação</v>
      </c>
      <c r="N8" s="32" t="str">
        <f t="shared" si="10"/>
        <v>Elevadores</v>
      </c>
      <c r="O8" s="27" t="str">
        <f t="shared" si="11"/>
        <v>Plataforma.de.Elevação</v>
      </c>
      <c r="P8" s="27" t="s">
        <v>441</v>
      </c>
      <c r="Q8" s="27" t="s">
        <v>440</v>
      </c>
      <c r="R8" s="27" t="s">
        <v>590</v>
      </c>
      <c r="S8" s="69" t="s">
        <v>9</v>
      </c>
      <c r="T8" s="27" t="str">
        <f t="shared" si="12"/>
        <v>De.Mobilidade</v>
      </c>
      <c r="U8" s="27" t="str">
        <f t="shared" si="13"/>
        <v>Elementos.de.Circulação</v>
      </c>
      <c r="V8" s="27" t="str">
        <f t="shared" si="14"/>
        <v>Elevadores</v>
      </c>
      <c r="W8" s="27" t="s">
        <v>43</v>
      </c>
      <c r="X8" s="43" t="str">
        <f t="shared" si="15"/>
        <v>Key-CIRCU-8</v>
      </c>
      <c r="Y8" s="27" t="s">
        <v>541</v>
      </c>
      <c r="Z8" s="68" t="s">
        <v>9</v>
      </c>
      <c r="AA8" s="26" t="s">
        <v>398</v>
      </c>
      <c r="AB8" s="68" t="s">
        <v>9</v>
      </c>
      <c r="AC8" s="45" t="s">
        <v>442</v>
      </c>
      <c r="AD8" s="68" t="s">
        <v>9</v>
      </c>
    </row>
    <row r="9" spans="1:30" ht="6.6" customHeight="1" x14ac:dyDescent="0.25">
      <c r="A9" s="41">
        <v>9</v>
      </c>
      <c r="B9" s="1" t="s">
        <v>513</v>
      </c>
      <c r="C9" s="1" t="s">
        <v>519</v>
      </c>
      <c r="D9" s="1" t="s">
        <v>468</v>
      </c>
      <c r="E9" s="1" t="s">
        <v>185</v>
      </c>
      <c r="F9" s="31" t="s">
        <v>443</v>
      </c>
      <c r="G9" s="7" t="s">
        <v>9</v>
      </c>
      <c r="H9" s="7" t="s">
        <v>9</v>
      </c>
      <c r="I9" s="7" t="s">
        <v>9</v>
      </c>
      <c r="J9" s="7" t="s">
        <v>9</v>
      </c>
      <c r="K9" s="7" t="s">
        <v>9</v>
      </c>
      <c r="L9" s="32" t="str">
        <f t="shared" si="8"/>
        <v>De.Mobilidade</v>
      </c>
      <c r="M9" s="32" t="str">
        <f t="shared" si="9"/>
        <v>Elementos.de.Circulação</v>
      </c>
      <c r="N9" s="32" t="str">
        <f t="shared" si="10"/>
        <v>Elevadores</v>
      </c>
      <c r="O9" s="27" t="str">
        <f t="shared" si="11"/>
        <v>Plataforma.Articulada</v>
      </c>
      <c r="P9" s="27" t="s">
        <v>444</v>
      </c>
      <c r="Q9" s="27" t="s">
        <v>445</v>
      </c>
      <c r="R9" s="27" t="s">
        <v>591</v>
      </c>
      <c r="S9" s="69" t="s">
        <v>9</v>
      </c>
      <c r="T9" s="27" t="str">
        <f t="shared" si="12"/>
        <v>De.Mobilidade</v>
      </c>
      <c r="U9" s="27" t="str">
        <f t="shared" si="13"/>
        <v>Elementos.de.Circulação</v>
      </c>
      <c r="V9" s="27" t="str">
        <f t="shared" si="14"/>
        <v>Elevadores</v>
      </c>
      <c r="W9" s="27" t="s">
        <v>43</v>
      </c>
      <c r="X9" s="43" t="str">
        <f t="shared" si="15"/>
        <v>Key-CIRCU-9</v>
      </c>
      <c r="Y9" s="27" t="s">
        <v>541</v>
      </c>
      <c r="Z9" s="68" t="s">
        <v>9</v>
      </c>
      <c r="AA9" s="26" t="s">
        <v>398</v>
      </c>
      <c r="AB9" s="68" t="s">
        <v>9</v>
      </c>
      <c r="AC9" s="45" t="s">
        <v>442</v>
      </c>
      <c r="AD9" s="68" t="s">
        <v>9</v>
      </c>
    </row>
    <row r="10" spans="1:30" ht="6.6" customHeight="1" x14ac:dyDescent="0.25">
      <c r="A10" s="41">
        <v>10</v>
      </c>
      <c r="B10" s="1" t="s">
        <v>513</v>
      </c>
      <c r="C10" s="1" t="s">
        <v>519</v>
      </c>
      <c r="D10" s="1" t="s">
        <v>468</v>
      </c>
      <c r="E10" s="1" t="s">
        <v>185</v>
      </c>
      <c r="F10" s="31" t="s">
        <v>446</v>
      </c>
      <c r="G10" s="7" t="s">
        <v>9</v>
      </c>
      <c r="H10" s="7" t="s">
        <v>9</v>
      </c>
      <c r="I10" s="7" t="s">
        <v>9</v>
      </c>
      <c r="J10" s="7" t="s">
        <v>9</v>
      </c>
      <c r="K10" s="7" t="s">
        <v>9</v>
      </c>
      <c r="L10" s="32" t="str">
        <f t="shared" si="8"/>
        <v>De.Mobilidade</v>
      </c>
      <c r="M10" s="32" t="str">
        <f t="shared" si="9"/>
        <v>Elementos.de.Circulação</v>
      </c>
      <c r="N10" s="32" t="str">
        <f t="shared" si="10"/>
        <v>Elevadores</v>
      </c>
      <c r="O10" s="27" t="str">
        <f t="shared" si="11"/>
        <v>Plataforma.Cesto</v>
      </c>
      <c r="P10" s="27" t="s">
        <v>447</v>
      </c>
      <c r="Q10" s="27" t="s">
        <v>448</v>
      </c>
      <c r="R10" s="27" t="s">
        <v>592</v>
      </c>
      <c r="S10" s="69" t="s">
        <v>9</v>
      </c>
      <c r="T10" s="27" t="str">
        <f t="shared" si="12"/>
        <v>De.Mobilidade</v>
      </c>
      <c r="U10" s="27" t="str">
        <f t="shared" si="13"/>
        <v>Elementos.de.Circulação</v>
      </c>
      <c r="V10" s="27" t="str">
        <f t="shared" si="14"/>
        <v>Elevadores</v>
      </c>
      <c r="W10" s="27" t="s">
        <v>43</v>
      </c>
      <c r="X10" s="43" t="str">
        <f t="shared" si="15"/>
        <v>Key-CIRCU-10</v>
      </c>
      <c r="Y10" s="27" t="s">
        <v>541</v>
      </c>
      <c r="Z10" s="68" t="s">
        <v>9</v>
      </c>
      <c r="AA10" s="26" t="s">
        <v>398</v>
      </c>
      <c r="AB10" s="68" t="s">
        <v>9</v>
      </c>
      <c r="AC10" s="45" t="s">
        <v>442</v>
      </c>
      <c r="AD10" s="68" t="s">
        <v>9</v>
      </c>
    </row>
    <row r="11" spans="1:30" ht="6.6" customHeight="1" x14ac:dyDescent="0.25">
      <c r="A11" s="41">
        <v>11</v>
      </c>
      <c r="B11" s="1" t="s">
        <v>513</v>
      </c>
      <c r="C11" s="1" t="s">
        <v>519</v>
      </c>
      <c r="D11" s="1" t="s">
        <v>468</v>
      </c>
      <c r="E11" s="1" t="s">
        <v>185</v>
      </c>
      <c r="F11" s="44" t="s">
        <v>449</v>
      </c>
      <c r="G11" s="7" t="s">
        <v>9</v>
      </c>
      <c r="H11" s="7" t="s">
        <v>9</v>
      </c>
      <c r="I11" s="7" t="s">
        <v>9</v>
      </c>
      <c r="J11" s="7" t="s">
        <v>9</v>
      </c>
      <c r="K11" s="7" t="s">
        <v>9</v>
      </c>
      <c r="L11" s="32" t="str">
        <f t="shared" si="8"/>
        <v>De.Mobilidade</v>
      </c>
      <c r="M11" s="32" t="str">
        <f t="shared" si="9"/>
        <v>Elementos.de.Circulação</v>
      </c>
      <c r="N11" s="32" t="str">
        <f t="shared" si="10"/>
        <v>Elevadores</v>
      </c>
      <c r="O11" s="27" t="str">
        <f t="shared" si="11"/>
        <v>Acessório.Maquinária</v>
      </c>
      <c r="P11" s="27" t="s">
        <v>450</v>
      </c>
      <c r="Q11" s="27" t="s">
        <v>451</v>
      </c>
      <c r="R11" s="27" t="s">
        <v>593</v>
      </c>
      <c r="S11" s="69" t="s">
        <v>9</v>
      </c>
      <c r="T11" s="27" t="str">
        <f t="shared" si="12"/>
        <v>De.Mobilidade</v>
      </c>
      <c r="U11" s="27" t="str">
        <f t="shared" si="13"/>
        <v>Elementos.de.Circulação</v>
      </c>
      <c r="V11" s="27" t="str">
        <f t="shared" si="14"/>
        <v>Elevadores</v>
      </c>
      <c r="W11" s="27" t="s">
        <v>43</v>
      </c>
      <c r="X11" s="43" t="str">
        <f t="shared" si="15"/>
        <v>Key-CIRCU-11</v>
      </c>
      <c r="Y11" s="27" t="s">
        <v>452</v>
      </c>
      <c r="Z11" s="68" t="s">
        <v>9</v>
      </c>
      <c r="AA11" s="26" t="s">
        <v>453</v>
      </c>
      <c r="AB11" s="68" t="s">
        <v>9</v>
      </c>
      <c r="AC11" s="45" t="s">
        <v>454</v>
      </c>
      <c r="AD11" s="68" t="s">
        <v>9</v>
      </c>
    </row>
    <row r="12" spans="1:30" ht="6.6" customHeight="1" x14ac:dyDescent="0.25">
      <c r="A12" s="41">
        <v>12</v>
      </c>
      <c r="B12" s="1" t="s">
        <v>513</v>
      </c>
      <c r="C12" s="1" t="s">
        <v>519</v>
      </c>
      <c r="D12" s="1" t="s">
        <v>468</v>
      </c>
      <c r="E12" s="1" t="s">
        <v>222</v>
      </c>
      <c r="F12" s="1" t="s">
        <v>284</v>
      </c>
      <c r="G12" s="7" t="s">
        <v>9</v>
      </c>
      <c r="H12" s="7" t="s">
        <v>9</v>
      </c>
      <c r="I12" s="7" t="s">
        <v>9</v>
      </c>
      <c r="J12" s="7" t="s">
        <v>9</v>
      </c>
      <c r="K12" s="7" t="s">
        <v>9</v>
      </c>
      <c r="L12" s="32" t="str">
        <f t="shared" si="8"/>
        <v>De.Mobilidade</v>
      </c>
      <c r="M12" s="32" t="str">
        <f t="shared" si="9"/>
        <v>Elementos.de.Circulação</v>
      </c>
      <c r="N12" s="32" t="str">
        <f t="shared" si="10"/>
        <v>Escadas</v>
      </c>
      <c r="O12" s="27" t="str">
        <f t="shared" si="11"/>
        <v>Escada.Contorno</v>
      </c>
      <c r="P12" s="27" t="s">
        <v>285</v>
      </c>
      <c r="Q12" s="27" t="s">
        <v>145</v>
      </c>
      <c r="R12" s="27" t="s">
        <v>594</v>
      </c>
      <c r="S12" s="69" t="s">
        <v>9</v>
      </c>
      <c r="T12" s="27" t="str">
        <f t="shared" si="12"/>
        <v>De.Mobilidade</v>
      </c>
      <c r="U12" s="27" t="str">
        <f t="shared" si="13"/>
        <v>Elementos.de.Circulação</v>
      </c>
      <c r="V12" s="27" t="str">
        <f t="shared" si="14"/>
        <v>Escadas</v>
      </c>
      <c r="W12" s="27" t="s">
        <v>43</v>
      </c>
      <c r="X12" s="43" t="str">
        <f t="shared" si="15"/>
        <v>Key-CIRCU-12</v>
      </c>
      <c r="Y12" s="27" t="s">
        <v>372</v>
      </c>
      <c r="Z12" s="68" t="s">
        <v>9</v>
      </c>
      <c r="AA12" s="27" t="s">
        <v>397</v>
      </c>
      <c r="AB12" s="68" t="s">
        <v>9</v>
      </c>
      <c r="AC12" s="45" t="s">
        <v>570</v>
      </c>
      <c r="AD12" s="68" t="s">
        <v>9</v>
      </c>
    </row>
    <row r="13" spans="1:30" ht="6.6" customHeight="1" x14ac:dyDescent="0.25">
      <c r="A13" s="41">
        <v>13</v>
      </c>
      <c r="B13" s="1" t="s">
        <v>513</v>
      </c>
      <c r="C13" s="1" t="s">
        <v>519</v>
      </c>
      <c r="D13" s="1" t="s">
        <v>468</v>
      </c>
      <c r="E13" s="1" t="s">
        <v>222</v>
      </c>
      <c r="F13" s="1" t="s">
        <v>286</v>
      </c>
      <c r="G13" s="7" t="s">
        <v>9</v>
      </c>
      <c r="H13" s="7" t="s">
        <v>9</v>
      </c>
      <c r="I13" s="7" t="s">
        <v>9</v>
      </c>
      <c r="J13" s="7" t="s">
        <v>9</v>
      </c>
      <c r="K13" s="7" t="s">
        <v>9</v>
      </c>
      <c r="L13" s="32" t="str">
        <f t="shared" si="8"/>
        <v>De.Mobilidade</v>
      </c>
      <c r="M13" s="32" t="str">
        <f t="shared" si="9"/>
        <v>Elementos.de.Circulação</v>
      </c>
      <c r="N13" s="32" t="str">
        <f t="shared" si="10"/>
        <v>Escadas</v>
      </c>
      <c r="O13" s="27" t="str">
        <f t="shared" si="11"/>
        <v>Escada.Contorno.Projeção</v>
      </c>
      <c r="P13" s="27" t="s">
        <v>287</v>
      </c>
      <c r="Q13" s="27" t="s">
        <v>156</v>
      </c>
      <c r="R13" s="27" t="s">
        <v>595</v>
      </c>
      <c r="S13" s="69" t="s">
        <v>9</v>
      </c>
      <c r="T13" s="27" t="str">
        <f t="shared" si="12"/>
        <v>De.Mobilidade</v>
      </c>
      <c r="U13" s="27" t="str">
        <f t="shared" si="13"/>
        <v>Elementos.de.Circulação</v>
      </c>
      <c r="V13" s="27" t="str">
        <f t="shared" si="14"/>
        <v>Escadas</v>
      </c>
      <c r="W13" s="27" t="s">
        <v>43</v>
      </c>
      <c r="X13" s="43" t="str">
        <f t="shared" si="15"/>
        <v>Key-CIRCU-13</v>
      </c>
      <c r="Y13" s="27" t="s">
        <v>373</v>
      </c>
      <c r="Z13" s="68" t="s">
        <v>9</v>
      </c>
      <c r="AA13" s="27" t="s">
        <v>397</v>
      </c>
      <c r="AB13" s="68" t="s">
        <v>9</v>
      </c>
      <c r="AC13" s="45" t="s">
        <v>570</v>
      </c>
      <c r="AD13" s="68" t="s">
        <v>9</v>
      </c>
    </row>
    <row r="14" spans="1:30" ht="6.6" customHeight="1" x14ac:dyDescent="0.25">
      <c r="A14" s="41">
        <v>14</v>
      </c>
      <c r="B14" s="1" t="s">
        <v>513</v>
      </c>
      <c r="C14" s="1" t="s">
        <v>519</v>
      </c>
      <c r="D14" s="1" t="s">
        <v>468</v>
      </c>
      <c r="E14" s="1" t="s">
        <v>222</v>
      </c>
      <c r="F14" s="1" t="s">
        <v>289</v>
      </c>
      <c r="G14" s="47" t="s">
        <v>9</v>
      </c>
      <c r="H14" s="7" t="s">
        <v>9</v>
      </c>
      <c r="I14" s="7" t="s">
        <v>9</v>
      </c>
      <c r="J14" s="7" t="s">
        <v>9</v>
      </c>
      <c r="K14" s="7" t="s">
        <v>9</v>
      </c>
      <c r="L14" s="32" t="str">
        <f t="shared" si="8"/>
        <v>De.Mobilidade</v>
      </c>
      <c r="M14" s="32" t="str">
        <f t="shared" si="9"/>
        <v>Elementos.de.Circulação</v>
      </c>
      <c r="N14" s="32" t="str">
        <f t="shared" si="10"/>
        <v>Escadas</v>
      </c>
      <c r="O14" s="27" t="str">
        <f t="shared" si="11"/>
        <v>Escada.Seta.Projeção</v>
      </c>
      <c r="P14" s="27" t="s">
        <v>290</v>
      </c>
      <c r="Q14" s="27" t="s">
        <v>147</v>
      </c>
      <c r="R14" s="27" t="s">
        <v>596</v>
      </c>
      <c r="S14" s="69" t="s">
        <v>9</v>
      </c>
      <c r="T14" s="27" t="str">
        <f t="shared" si="12"/>
        <v>De.Mobilidade</v>
      </c>
      <c r="U14" s="27" t="str">
        <f t="shared" si="13"/>
        <v>Elementos.de.Circulação</v>
      </c>
      <c r="V14" s="27" t="str">
        <f t="shared" si="14"/>
        <v>Escadas</v>
      </c>
      <c r="W14" s="27" t="s">
        <v>43</v>
      </c>
      <c r="X14" s="43" t="str">
        <f t="shared" si="15"/>
        <v>Key-CIRCU-14</v>
      </c>
      <c r="Y14" s="27" t="s">
        <v>375</v>
      </c>
      <c r="Z14" s="68" t="s">
        <v>9</v>
      </c>
      <c r="AA14" s="27" t="s">
        <v>397</v>
      </c>
      <c r="AB14" s="68" t="s">
        <v>9</v>
      </c>
      <c r="AC14" s="45" t="s">
        <v>570</v>
      </c>
      <c r="AD14" s="68" t="s">
        <v>9</v>
      </c>
    </row>
    <row r="15" spans="1:30" ht="6" customHeight="1" x14ac:dyDescent="0.25">
      <c r="A15" s="41">
        <v>15</v>
      </c>
      <c r="B15" s="1" t="s">
        <v>513</v>
      </c>
      <c r="C15" s="1" t="s">
        <v>519</v>
      </c>
      <c r="D15" s="1" t="s">
        <v>468</v>
      </c>
      <c r="E15" s="1" t="s">
        <v>222</v>
      </c>
      <c r="F15" s="1" t="s">
        <v>291</v>
      </c>
      <c r="G15" s="47" t="s">
        <v>9</v>
      </c>
      <c r="H15" s="7" t="s">
        <v>9</v>
      </c>
      <c r="I15" s="7" t="s">
        <v>9</v>
      </c>
      <c r="J15" s="7" t="s">
        <v>9</v>
      </c>
      <c r="K15" s="7" t="s">
        <v>9</v>
      </c>
      <c r="L15" s="32" t="str">
        <f t="shared" si="8"/>
        <v>De.Mobilidade</v>
      </c>
      <c r="M15" s="32" t="str">
        <f t="shared" si="9"/>
        <v>Elementos.de.Circulação</v>
      </c>
      <c r="N15" s="32" t="str">
        <f t="shared" si="10"/>
        <v>Escadas</v>
      </c>
      <c r="O15" s="27" t="str">
        <f t="shared" si="11"/>
        <v>Escada.Degrau.Linha</v>
      </c>
      <c r="P15" s="27" t="s">
        <v>292</v>
      </c>
      <c r="Q15" s="27" t="s">
        <v>148</v>
      </c>
      <c r="R15" s="27" t="s">
        <v>597</v>
      </c>
      <c r="S15" s="69" t="s">
        <v>9</v>
      </c>
      <c r="T15" s="27" t="str">
        <f t="shared" si="12"/>
        <v>De.Mobilidade</v>
      </c>
      <c r="U15" s="27" t="str">
        <f t="shared" si="13"/>
        <v>Elementos.de.Circulação</v>
      </c>
      <c r="V15" s="27" t="str">
        <f t="shared" si="14"/>
        <v>Escadas</v>
      </c>
      <c r="W15" s="27" t="s">
        <v>43</v>
      </c>
      <c r="X15" s="43" t="str">
        <f t="shared" si="15"/>
        <v>Key-CIRCU-15</v>
      </c>
      <c r="Y15" s="27" t="s">
        <v>376</v>
      </c>
      <c r="Z15" s="68" t="s">
        <v>9</v>
      </c>
      <c r="AA15" s="27" t="s">
        <v>397</v>
      </c>
      <c r="AB15" s="68" t="s">
        <v>9</v>
      </c>
      <c r="AC15" s="45" t="s">
        <v>570</v>
      </c>
      <c r="AD15" s="68" t="s">
        <v>9</v>
      </c>
    </row>
    <row r="16" spans="1:30" ht="6" customHeight="1" x14ac:dyDescent="0.25">
      <c r="A16" s="41">
        <v>16</v>
      </c>
      <c r="B16" s="1" t="s">
        <v>513</v>
      </c>
      <c r="C16" s="1" t="s">
        <v>519</v>
      </c>
      <c r="D16" s="1" t="s">
        <v>468</v>
      </c>
      <c r="E16" s="1" t="s">
        <v>222</v>
      </c>
      <c r="F16" s="1" t="s">
        <v>293</v>
      </c>
      <c r="G16" s="47" t="s">
        <v>9</v>
      </c>
      <c r="H16" s="7" t="s">
        <v>9</v>
      </c>
      <c r="I16" s="7" t="s">
        <v>9</v>
      </c>
      <c r="J16" s="7" t="s">
        <v>9</v>
      </c>
      <c r="K16" s="7" t="s">
        <v>9</v>
      </c>
      <c r="L16" s="32" t="str">
        <f t="shared" si="8"/>
        <v>De.Mobilidade</v>
      </c>
      <c r="M16" s="32" t="str">
        <f t="shared" si="9"/>
        <v>Elementos.de.Circulação</v>
      </c>
      <c r="N16" s="32" t="str">
        <f t="shared" si="10"/>
        <v>Escadas</v>
      </c>
      <c r="O16" s="27" t="str">
        <f t="shared" si="11"/>
        <v>Escada.Degrau.Linha.Projeção</v>
      </c>
      <c r="P16" s="27" t="s">
        <v>294</v>
      </c>
      <c r="Q16" s="27" t="s">
        <v>149</v>
      </c>
      <c r="R16" s="27" t="s">
        <v>598</v>
      </c>
      <c r="S16" s="69" t="s">
        <v>9</v>
      </c>
      <c r="T16" s="27" t="str">
        <f t="shared" si="12"/>
        <v>De.Mobilidade</v>
      </c>
      <c r="U16" s="27" t="str">
        <f t="shared" si="13"/>
        <v>Elementos.de.Circulação</v>
      </c>
      <c r="V16" s="27" t="str">
        <f t="shared" si="14"/>
        <v>Escadas</v>
      </c>
      <c r="W16" s="27" t="s">
        <v>43</v>
      </c>
      <c r="X16" s="43" t="str">
        <f t="shared" si="15"/>
        <v>Key-CIRCU-16</v>
      </c>
      <c r="Y16" s="27" t="s">
        <v>377</v>
      </c>
      <c r="Z16" s="68" t="s">
        <v>9</v>
      </c>
      <c r="AA16" s="27" t="s">
        <v>397</v>
      </c>
      <c r="AB16" s="68" t="s">
        <v>9</v>
      </c>
      <c r="AC16" s="45" t="s">
        <v>570</v>
      </c>
      <c r="AD16" s="68" t="s">
        <v>9</v>
      </c>
    </row>
    <row r="17" spans="1:30" ht="6" customHeight="1" x14ac:dyDescent="0.25">
      <c r="A17" s="41">
        <v>17</v>
      </c>
      <c r="B17" s="1" t="s">
        <v>513</v>
      </c>
      <c r="C17" s="1" t="s">
        <v>519</v>
      </c>
      <c r="D17" s="1" t="s">
        <v>468</v>
      </c>
      <c r="E17" s="1" t="s">
        <v>222</v>
      </c>
      <c r="F17" s="1" t="s">
        <v>297</v>
      </c>
      <c r="G17" s="47" t="s">
        <v>9</v>
      </c>
      <c r="H17" s="7" t="s">
        <v>9</v>
      </c>
      <c r="I17" s="7" t="s">
        <v>9</v>
      </c>
      <c r="J17" s="7" t="s">
        <v>9</v>
      </c>
      <c r="K17" s="7" t="s">
        <v>9</v>
      </c>
      <c r="L17" s="32" t="str">
        <f t="shared" si="8"/>
        <v>De.Mobilidade</v>
      </c>
      <c r="M17" s="32" t="str">
        <f t="shared" si="9"/>
        <v>Elementos.de.Circulação</v>
      </c>
      <c r="N17" s="32" t="str">
        <f t="shared" si="10"/>
        <v>Escadas</v>
      </c>
      <c r="O17" s="27" t="str">
        <f t="shared" si="11"/>
        <v>Escada.Esboço.Limite</v>
      </c>
      <c r="P17" s="27" t="s">
        <v>298</v>
      </c>
      <c r="Q17" s="27" t="s">
        <v>155</v>
      </c>
      <c r="R17" s="27" t="s">
        <v>599</v>
      </c>
      <c r="S17" s="69" t="s">
        <v>9</v>
      </c>
      <c r="T17" s="27" t="str">
        <f t="shared" si="12"/>
        <v>De.Mobilidade</v>
      </c>
      <c r="U17" s="27" t="str">
        <f t="shared" si="13"/>
        <v>Elementos.de.Circulação</v>
      </c>
      <c r="V17" s="27" t="str">
        <f t="shared" si="14"/>
        <v>Escadas</v>
      </c>
      <c r="W17" s="27" t="s">
        <v>43</v>
      </c>
      <c r="X17" s="43" t="str">
        <f t="shared" si="15"/>
        <v>Key-CIRCU-17</v>
      </c>
      <c r="Y17" s="27" t="s">
        <v>379</v>
      </c>
      <c r="Z17" s="68" t="s">
        <v>9</v>
      </c>
      <c r="AA17" s="27" t="s">
        <v>397</v>
      </c>
      <c r="AB17" s="68" t="s">
        <v>9</v>
      </c>
      <c r="AC17" s="45" t="s">
        <v>570</v>
      </c>
      <c r="AD17" s="68" t="s">
        <v>9</v>
      </c>
    </row>
    <row r="18" spans="1:30" ht="6" customHeight="1" x14ac:dyDescent="0.25">
      <c r="A18" s="41">
        <v>18</v>
      </c>
      <c r="B18" s="1" t="s">
        <v>513</v>
      </c>
      <c r="C18" s="1" t="s">
        <v>519</v>
      </c>
      <c r="D18" s="1" t="s">
        <v>468</v>
      </c>
      <c r="E18" s="1" t="s">
        <v>222</v>
      </c>
      <c r="F18" s="1" t="s">
        <v>299</v>
      </c>
      <c r="G18" s="47" t="s">
        <v>9</v>
      </c>
      <c r="H18" s="7" t="s">
        <v>9</v>
      </c>
      <c r="I18" s="7" t="s">
        <v>9</v>
      </c>
      <c r="J18" s="7" t="s">
        <v>9</v>
      </c>
      <c r="K18" s="7" t="s">
        <v>9</v>
      </c>
      <c r="L18" s="32" t="str">
        <f t="shared" si="8"/>
        <v>De.Mobilidade</v>
      </c>
      <c r="M18" s="32" t="str">
        <f t="shared" si="9"/>
        <v>Elementos.de.Circulação</v>
      </c>
      <c r="N18" s="32" t="str">
        <f t="shared" si="10"/>
        <v>Escadas</v>
      </c>
      <c r="O18" s="27" t="str">
        <f t="shared" si="11"/>
        <v>Escada.Esboço.Patamar</v>
      </c>
      <c r="P18" s="27" t="s">
        <v>300</v>
      </c>
      <c r="Q18" s="27" t="s">
        <v>150</v>
      </c>
      <c r="R18" s="27" t="s">
        <v>600</v>
      </c>
      <c r="S18" s="69" t="s">
        <v>9</v>
      </c>
      <c r="T18" s="27" t="str">
        <f t="shared" si="12"/>
        <v>De.Mobilidade</v>
      </c>
      <c r="U18" s="27" t="str">
        <f t="shared" si="13"/>
        <v>Elementos.de.Circulação</v>
      </c>
      <c r="V18" s="27" t="str">
        <f t="shared" si="14"/>
        <v>Escadas</v>
      </c>
      <c r="W18" s="27" t="s">
        <v>43</v>
      </c>
      <c r="X18" s="43" t="str">
        <f t="shared" si="15"/>
        <v>Key-CIRCU-18</v>
      </c>
      <c r="Y18" s="27" t="s">
        <v>380</v>
      </c>
      <c r="Z18" s="68" t="s">
        <v>9</v>
      </c>
      <c r="AA18" s="27" t="s">
        <v>397</v>
      </c>
      <c r="AB18" s="68" t="s">
        <v>9</v>
      </c>
      <c r="AC18" s="45" t="s">
        <v>570</v>
      </c>
      <c r="AD18" s="68" t="s">
        <v>9</v>
      </c>
    </row>
    <row r="19" spans="1:30" ht="6" customHeight="1" x14ac:dyDescent="0.25">
      <c r="A19" s="41">
        <v>19</v>
      </c>
      <c r="B19" s="1" t="s">
        <v>513</v>
      </c>
      <c r="C19" s="1" t="s">
        <v>519</v>
      </c>
      <c r="D19" s="1" t="s">
        <v>468</v>
      </c>
      <c r="E19" s="1" t="s">
        <v>222</v>
      </c>
      <c r="F19" s="1" t="s">
        <v>301</v>
      </c>
      <c r="G19" s="47" t="s">
        <v>9</v>
      </c>
      <c r="H19" s="7" t="s">
        <v>9</v>
      </c>
      <c r="I19" s="7" t="s">
        <v>9</v>
      </c>
      <c r="J19" s="7" t="s">
        <v>9</v>
      </c>
      <c r="K19" s="7" t="s">
        <v>9</v>
      </c>
      <c r="L19" s="32" t="str">
        <f t="shared" si="8"/>
        <v>De.Mobilidade</v>
      </c>
      <c r="M19" s="32" t="str">
        <f t="shared" si="9"/>
        <v>Elementos.de.Circulação</v>
      </c>
      <c r="N19" s="32" t="str">
        <f t="shared" si="10"/>
        <v>Escadas</v>
      </c>
      <c r="O19" s="27" t="str">
        <f t="shared" si="11"/>
        <v>Escada.Esboço.Caminho</v>
      </c>
      <c r="P19" s="27" t="s">
        <v>302</v>
      </c>
      <c r="Q19" s="27" t="s">
        <v>151</v>
      </c>
      <c r="R19" s="27" t="s">
        <v>601</v>
      </c>
      <c r="S19" s="69" t="s">
        <v>9</v>
      </c>
      <c r="T19" s="27" t="str">
        <f t="shared" si="12"/>
        <v>De.Mobilidade</v>
      </c>
      <c r="U19" s="27" t="str">
        <f t="shared" si="13"/>
        <v>Elementos.de.Circulação</v>
      </c>
      <c r="V19" s="27" t="str">
        <f t="shared" si="14"/>
        <v>Escadas</v>
      </c>
      <c r="W19" s="27" t="s">
        <v>43</v>
      </c>
      <c r="X19" s="43" t="str">
        <f t="shared" si="15"/>
        <v>Key-CIRCU-19</v>
      </c>
      <c r="Y19" s="27" t="s">
        <v>381</v>
      </c>
      <c r="Z19" s="68" t="s">
        <v>9</v>
      </c>
      <c r="AA19" s="27" t="s">
        <v>397</v>
      </c>
      <c r="AB19" s="68" t="s">
        <v>9</v>
      </c>
      <c r="AC19" s="45" t="s">
        <v>570</v>
      </c>
      <c r="AD19" s="68" t="s">
        <v>9</v>
      </c>
    </row>
    <row r="20" spans="1:30" ht="6" customHeight="1" x14ac:dyDescent="0.25">
      <c r="A20" s="41">
        <v>20</v>
      </c>
      <c r="B20" s="1" t="s">
        <v>513</v>
      </c>
      <c r="C20" s="1" t="s">
        <v>519</v>
      </c>
      <c r="D20" s="1" t="s">
        <v>468</v>
      </c>
      <c r="E20" s="1" t="s">
        <v>222</v>
      </c>
      <c r="F20" s="1" t="s">
        <v>303</v>
      </c>
      <c r="G20" s="47" t="s">
        <v>9</v>
      </c>
      <c r="H20" s="7" t="s">
        <v>9</v>
      </c>
      <c r="I20" s="7" t="s">
        <v>9</v>
      </c>
      <c r="J20" s="7" t="s">
        <v>9</v>
      </c>
      <c r="K20" s="7" t="s">
        <v>9</v>
      </c>
      <c r="L20" s="32" t="str">
        <f t="shared" si="8"/>
        <v>De.Mobilidade</v>
      </c>
      <c r="M20" s="32" t="str">
        <f t="shared" si="9"/>
        <v>Elementos.de.Circulação</v>
      </c>
      <c r="N20" s="32" t="str">
        <f t="shared" si="10"/>
        <v>Escadas</v>
      </c>
      <c r="O20" s="27" t="str">
        <f t="shared" si="11"/>
        <v>Escada.Esboço.Degraus</v>
      </c>
      <c r="P20" s="27" t="s">
        <v>304</v>
      </c>
      <c r="Q20" s="27" t="s">
        <v>152</v>
      </c>
      <c r="R20" s="27" t="s">
        <v>602</v>
      </c>
      <c r="S20" s="69" t="s">
        <v>9</v>
      </c>
      <c r="T20" s="27" t="str">
        <f t="shared" si="12"/>
        <v>De.Mobilidade</v>
      </c>
      <c r="U20" s="27" t="str">
        <f t="shared" si="13"/>
        <v>Elementos.de.Circulação</v>
      </c>
      <c r="V20" s="27" t="str">
        <f t="shared" si="14"/>
        <v>Escadas</v>
      </c>
      <c r="W20" s="27" t="s">
        <v>43</v>
      </c>
      <c r="X20" s="43" t="str">
        <f t="shared" si="15"/>
        <v>Key-CIRCU-20</v>
      </c>
      <c r="Y20" s="27" t="s">
        <v>382</v>
      </c>
      <c r="Z20" s="68" t="s">
        <v>9</v>
      </c>
      <c r="AA20" s="27" t="s">
        <v>397</v>
      </c>
      <c r="AB20" s="68" t="s">
        <v>9</v>
      </c>
      <c r="AC20" s="45" t="s">
        <v>570</v>
      </c>
      <c r="AD20" s="68" t="s">
        <v>9</v>
      </c>
    </row>
    <row r="21" spans="1:30" ht="6" customHeight="1" x14ac:dyDescent="0.25">
      <c r="A21" s="41">
        <v>21</v>
      </c>
      <c r="B21" s="1" t="s">
        <v>513</v>
      </c>
      <c r="C21" s="1" t="s">
        <v>519</v>
      </c>
      <c r="D21" s="1" t="s">
        <v>468</v>
      </c>
      <c r="E21" s="1" t="s">
        <v>222</v>
      </c>
      <c r="F21" s="1" t="s">
        <v>305</v>
      </c>
      <c r="G21" s="47" t="s">
        <v>9</v>
      </c>
      <c r="H21" s="7" t="s">
        <v>9</v>
      </c>
      <c r="I21" s="7" t="s">
        <v>9</v>
      </c>
      <c r="J21" s="7" t="s">
        <v>9</v>
      </c>
      <c r="K21" s="7" t="s">
        <v>9</v>
      </c>
      <c r="L21" s="32" t="str">
        <f t="shared" si="8"/>
        <v>De.Mobilidade</v>
      </c>
      <c r="M21" s="32" t="str">
        <f t="shared" si="9"/>
        <v>Elementos.de.Circulação</v>
      </c>
      <c r="N21" s="32" t="str">
        <f t="shared" si="10"/>
        <v>Escadas</v>
      </c>
      <c r="O21" s="27" t="str">
        <f t="shared" si="11"/>
        <v>Escada.Esboço.Lances</v>
      </c>
      <c r="P21" s="27" t="s">
        <v>306</v>
      </c>
      <c r="Q21" s="27" t="s">
        <v>153</v>
      </c>
      <c r="R21" s="27" t="s">
        <v>603</v>
      </c>
      <c r="S21" s="69" t="s">
        <v>9</v>
      </c>
      <c r="T21" s="27" t="str">
        <f t="shared" si="12"/>
        <v>De.Mobilidade</v>
      </c>
      <c r="U21" s="27" t="str">
        <f t="shared" si="13"/>
        <v>Elementos.de.Circulação</v>
      </c>
      <c r="V21" s="27" t="str">
        <f t="shared" si="14"/>
        <v>Escadas</v>
      </c>
      <c r="W21" s="27" t="s">
        <v>43</v>
      </c>
      <c r="X21" s="43" t="str">
        <f t="shared" si="15"/>
        <v>Key-CIRCU-21</v>
      </c>
      <c r="Y21" s="27" t="s">
        <v>383</v>
      </c>
      <c r="Z21" s="68" t="s">
        <v>9</v>
      </c>
      <c r="AA21" s="27" t="s">
        <v>397</v>
      </c>
      <c r="AB21" s="68" t="s">
        <v>9</v>
      </c>
      <c r="AC21" s="45" t="s">
        <v>570</v>
      </c>
      <c r="AD21" s="68" t="s">
        <v>9</v>
      </c>
    </row>
    <row r="22" spans="1:30" ht="6" customHeight="1" x14ac:dyDescent="0.25">
      <c r="A22" s="41">
        <v>22</v>
      </c>
      <c r="B22" s="1" t="s">
        <v>513</v>
      </c>
      <c r="C22" s="1" t="s">
        <v>519</v>
      </c>
      <c r="D22" s="1" t="s">
        <v>468</v>
      </c>
      <c r="E22" s="1" t="s">
        <v>222</v>
      </c>
      <c r="F22" s="1" t="s">
        <v>307</v>
      </c>
      <c r="G22" s="47" t="s">
        <v>9</v>
      </c>
      <c r="H22" s="7" t="s">
        <v>9</v>
      </c>
      <c r="I22" s="7" t="s">
        <v>9</v>
      </c>
      <c r="J22" s="7" t="s">
        <v>9</v>
      </c>
      <c r="K22" s="7" t="s">
        <v>9</v>
      </c>
      <c r="L22" s="32" t="str">
        <f t="shared" si="8"/>
        <v>De.Mobilidade</v>
      </c>
      <c r="M22" s="32" t="str">
        <f t="shared" si="9"/>
        <v>Elementos.de.Circulação</v>
      </c>
      <c r="N22" s="32" t="str">
        <f t="shared" si="10"/>
        <v>Escadas</v>
      </c>
      <c r="O22" s="27" t="str">
        <f t="shared" si="11"/>
        <v>Escada.Suporte</v>
      </c>
      <c r="P22" s="27" t="s">
        <v>308</v>
      </c>
      <c r="Q22" s="27" t="s">
        <v>309</v>
      </c>
      <c r="R22" s="27" t="s">
        <v>604</v>
      </c>
      <c r="S22" s="69" t="s">
        <v>9</v>
      </c>
      <c r="T22" s="27" t="str">
        <f t="shared" si="12"/>
        <v>De.Mobilidade</v>
      </c>
      <c r="U22" s="27" t="str">
        <f t="shared" si="13"/>
        <v>Elementos.de.Circulação</v>
      </c>
      <c r="V22" s="27" t="str">
        <f t="shared" si="14"/>
        <v>Escadas</v>
      </c>
      <c r="W22" s="27" t="s">
        <v>43</v>
      </c>
      <c r="X22" s="43" t="str">
        <f t="shared" si="15"/>
        <v>Key-CIRCU-22</v>
      </c>
      <c r="Y22" s="27" t="s">
        <v>384</v>
      </c>
      <c r="Z22" s="68" t="s">
        <v>9</v>
      </c>
      <c r="AA22" s="27" t="s">
        <v>397</v>
      </c>
      <c r="AB22" s="68" t="s">
        <v>9</v>
      </c>
      <c r="AC22" s="45" t="s">
        <v>570</v>
      </c>
      <c r="AD22" s="68" t="s">
        <v>9</v>
      </c>
    </row>
    <row r="23" spans="1:30" ht="6" customHeight="1" x14ac:dyDescent="0.25">
      <c r="A23" s="41">
        <v>23</v>
      </c>
      <c r="B23" s="1" t="s">
        <v>513</v>
      </c>
      <c r="C23" s="1" t="s">
        <v>519</v>
      </c>
      <c r="D23" s="1" t="s">
        <v>468</v>
      </c>
      <c r="E23" s="1" t="s">
        <v>222</v>
      </c>
      <c r="F23" s="1" t="s">
        <v>310</v>
      </c>
      <c r="G23" s="47" t="s">
        <v>9</v>
      </c>
      <c r="H23" s="7" t="s">
        <v>9</v>
      </c>
      <c r="I23" s="7" t="s">
        <v>9</v>
      </c>
      <c r="J23" s="7" t="s">
        <v>9</v>
      </c>
      <c r="K23" s="7" t="s">
        <v>9</v>
      </c>
      <c r="L23" s="32" t="str">
        <f t="shared" si="8"/>
        <v>De.Mobilidade</v>
      </c>
      <c r="M23" s="32" t="str">
        <f t="shared" si="9"/>
        <v>Elementos.de.Circulação</v>
      </c>
      <c r="N23" s="32" t="str">
        <f t="shared" si="10"/>
        <v>Escadas</v>
      </c>
      <c r="O23" s="27" t="str">
        <f t="shared" si="11"/>
        <v>Escada.Suporte.Lateral</v>
      </c>
      <c r="P23" s="27" t="s">
        <v>311</v>
      </c>
      <c r="Q23" s="27" t="s">
        <v>312</v>
      </c>
      <c r="R23" s="27" t="s">
        <v>605</v>
      </c>
      <c r="S23" s="69" t="s">
        <v>9</v>
      </c>
      <c r="T23" s="27" t="str">
        <f t="shared" si="12"/>
        <v>De.Mobilidade</v>
      </c>
      <c r="U23" s="27" t="str">
        <f t="shared" si="13"/>
        <v>Elementos.de.Circulação</v>
      </c>
      <c r="V23" s="27" t="str">
        <f t="shared" si="14"/>
        <v>Escadas</v>
      </c>
      <c r="W23" s="27" t="s">
        <v>43</v>
      </c>
      <c r="X23" s="43" t="str">
        <f t="shared" si="15"/>
        <v>Key-CIRCU-23</v>
      </c>
      <c r="Y23" s="27" t="s">
        <v>386</v>
      </c>
      <c r="Z23" s="68" t="s">
        <v>9</v>
      </c>
      <c r="AA23" s="27" t="s">
        <v>397</v>
      </c>
      <c r="AB23" s="68" t="s">
        <v>9</v>
      </c>
      <c r="AC23" s="45" t="s">
        <v>570</v>
      </c>
      <c r="AD23" s="68" t="s">
        <v>9</v>
      </c>
    </row>
    <row r="24" spans="1:30" ht="6" customHeight="1" x14ac:dyDescent="0.25">
      <c r="A24" s="41">
        <v>24</v>
      </c>
      <c r="B24" s="1" t="s">
        <v>513</v>
      </c>
      <c r="C24" s="1" t="s">
        <v>519</v>
      </c>
      <c r="D24" s="1" t="s">
        <v>468</v>
      </c>
      <c r="E24" s="1" t="s">
        <v>222</v>
      </c>
      <c r="F24" s="1" t="s">
        <v>313</v>
      </c>
      <c r="G24" s="47" t="s">
        <v>9</v>
      </c>
      <c r="H24" s="7" t="s">
        <v>9</v>
      </c>
      <c r="I24" s="7" t="s">
        <v>9</v>
      </c>
      <c r="J24" s="7" t="s">
        <v>9</v>
      </c>
      <c r="K24" s="7" t="s">
        <v>9</v>
      </c>
      <c r="L24" s="32" t="str">
        <f t="shared" si="8"/>
        <v>De.Mobilidade</v>
      </c>
      <c r="M24" s="32" t="str">
        <f t="shared" si="9"/>
        <v>Elementos.de.Circulação</v>
      </c>
      <c r="N24" s="32" t="str">
        <f t="shared" si="10"/>
        <v>Escadas</v>
      </c>
      <c r="O24" s="27" t="str">
        <f t="shared" si="11"/>
        <v>Escada.Suporte.Projeção</v>
      </c>
      <c r="P24" s="27" t="s">
        <v>314</v>
      </c>
      <c r="Q24" s="27" t="s">
        <v>315</v>
      </c>
      <c r="R24" s="27" t="s">
        <v>606</v>
      </c>
      <c r="S24" s="69" t="s">
        <v>9</v>
      </c>
      <c r="T24" s="27" t="str">
        <f t="shared" si="12"/>
        <v>De.Mobilidade</v>
      </c>
      <c r="U24" s="27" t="str">
        <f t="shared" si="13"/>
        <v>Elementos.de.Circulação</v>
      </c>
      <c r="V24" s="27" t="str">
        <f t="shared" si="14"/>
        <v>Escadas</v>
      </c>
      <c r="W24" s="27" t="s">
        <v>43</v>
      </c>
      <c r="X24" s="43" t="str">
        <f t="shared" si="15"/>
        <v>Key-CIRCU-24</v>
      </c>
      <c r="Y24" s="27" t="s">
        <v>385</v>
      </c>
      <c r="Z24" s="68" t="s">
        <v>9</v>
      </c>
      <c r="AA24" s="27" t="s">
        <v>397</v>
      </c>
      <c r="AB24" s="68" t="s">
        <v>9</v>
      </c>
      <c r="AC24" s="45" t="s">
        <v>570</v>
      </c>
      <c r="AD24" s="68" t="s">
        <v>9</v>
      </c>
    </row>
    <row r="25" spans="1:30" ht="6" customHeight="1" x14ac:dyDescent="0.25">
      <c r="A25" s="41">
        <v>25</v>
      </c>
      <c r="B25" s="1" t="s">
        <v>513</v>
      </c>
      <c r="C25" s="1" t="s">
        <v>519</v>
      </c>
      <c r="D25" s="1" t="s">
        <v>468</v>
      </c>
      <c r="E25" s="1" t="s">
        <v>222</v>
      </c>
      <c r="F25" s="1" t="s">
        <v>316</v>
      </c>
      <c r="G25" s="47" t="s">
        <v>9</v>
      </c>
      <c r="H25" s="7" t="s">
        <v>9</v>
      </c>
      <c r="I25" s="7" t="s">
        <v>9</v>
      </c>
      <c r="J25" s="7" t="s">
        <v>9</v>
      </c>
      <c r="K25" s="7" t="s">
        <v>9</v>
      </c>
      <c r="L25" s="32" t="str">
        <f t="shared" si="8"/>
        <v>De.Mobilidade</v>
      </c>
      <c r="M25" s="32" t="str">
        <f t="shared" si="9"/>
        <v>Elementos.de.Circulação</v>
      </c>
      <c r="N25" s="32" t="str">
        <f t="shared" si="10"/>
        <v>Escadas</v>
      </c>
      <c r="O25" s="27" t="str">
        <f t="shared" si="11"/>
        <v>Escada.Degraus</v>
      </c>
      <c r="P25" s="27" t="s">
        <v>317</v>
      </c>
      <c r="Q25" s="27" t="s">
        <v>318</v>
      </c>
      <c r="R25" s="27" t="s">
        <v>607</v>
      </c>
      <c r="S25" s="69" t="s">
        <v>9</v>
      </c>
      <c r="T25" s="27" t="str">
        <f t="shared" si="12"/>
        <v>De.Mobilidade</v>
      </c>
      <c r="U25" s="27" t="str">
        <f t="shared" si="13"/>
        <v>Elementos.de.Circulação</v>
      </c>
      <c r="V25" s="27" t="str">
        <f t="shared" si="14"/>
        <v>Escadas</v>
      </c>
      <c r="W25" s="27" t="s">
        <v>43</v>
      </c>
      <c r="X25" s="43" t="str">
        <f t="shared" si="15"/>
        <v>Key-CIRCU-25</v>
      </c>
      <c r="Y25" s="27" t="s">
        <v>387</v>
      </c>
      <c r="Z25" s="68" t="s">
        <v>9</v>
      </c>
      <c r="AA25" s="27" t="s">
        <v>397</v>
      </c>
      <c r="AB25" s="68" t="s">
        <v>9</v>
      </c>
      <c r="AC25" s="45" t="s">
        <v>570</v>
      </c>
      <c r="AD25" s="68" t="s">
        <v>9</v>
      </c>
    </row>
    <row r="26" spans="1:30" ht="6" customHeight="1" x14ac:dyDescent="0.25">
      <c r="A26" s="41">
        <v>26</v>
      </c>
      <c r="B26" s="1" t="s">
        <v>513</v>
      </c>
      <c r="C26" s="1" t="s">
        <v>519</v>
      </c>
      <c r="D26" s="1" t="s">
        <v>468</v>
      </c>
      <c r="E26" s="1" t="s">
        <v>222</v>
      </c>
      <c r="F26" s="31" t="s">
        <v>517</v>
      </c>
      <c r="G26" s="47" t="s">
        <v>9</v>
      </c>
      <c r="H26" s="7" t="s">
        <v>9</v>
      </c>
      <c r="I26" s="7" t="s">
        <v>9</v>
      </c>
      <c r="J26" s="7" t="s">
        <v>9</v>
      </c>
      <c r="K26" s="7" t="s">
        <v>9</v>
      </c>
      <c r="L26" s="32" t="str">
        <f t="shared" si="8"/>
        <v>De.Mobilidade</v>
      </c>
      <c r="M26" s="32" t="str">
        <f t="shared" si="9"/>
        <v>Elementos.de.Circulação</v>
      </c>
      <c r="N26" s="32" t="str">
        <f t="shared" si="10"/>
        <v>Escadas</v>
      </c>
      <c r="O26" s="27" t="str">
        <f t="shared" si="11"/>
        <v>Escada.Convencional</v>
      </c>
      <c r="P26" s="27" t="s">
        <v>224</v>
      </c>
      <c r="Q26" s="27" t="s">
        <v>225</v>
      </c>
      <c r="R26" s="27" t="s">
        <v>608</v>
      </c>
      <c r="S26" s="69" t="s">
        <v>9</v>
      </c>
      <c r="T26" s="27" t="str">
        <f t="shared" si="12"/>
        <v>De.Mobilidade</v>
      </c>
      <c r="U26" s="27" t="str">
        <f t="shared" si="13"/>
        <v>Elementos.de.Circulação</v>
      </c>
      <c r="V26" s="27" t="str">
        <f t="shared" si="14"/>
        <v>Escadas</v>
      </c>
      <c r="W26" s="27" t="s">
        <v>43</v>
      </c>
      <c r="X26" s="43" t="str">
        <f t="shared" si="15"/>
        <v>Key-CIRCU-26</v>
      </c>
      <c r="Y26" s="27" t="s">
        <v>356</v>
      </c>
      <c r="Z26" s="68" t="s">
        <v>9</v>
      </c>
      <c r="AA26" s="26" t="s">
        <v>410</v>
      </c>
      <c r="AB26" s="68" t="s">
        <v>9</v>
      </c>
      <c r="AC26" s="45" t="s">
        <v>570</v>
      </c>
      <c r="AD26" s="68" t="s">
        <v>9</v>
      </c>
    </row>
    <row r="27" spans="1:30" ht="6" customHeight="1" x14ac:dyDescent="0.25">
      <c r="A27" s="41">
        <v>27</v>
      </c>
      <c r="B27" s="1" t="s">
        <v>513</v>
      </c>
      <c r="C27" s="1" t="s">
        <v>519</v>
      </c>
      <c r="D27" s="1" t="s">
        <v>468</v>
      </c>
      <c r="E27" s="1" t="s">
        <v>222</v>
      </c>
      <c r="F27" s="31" t="s">
        <v>495</v>
      </c>
      <c r="G27" s="47" t="s">
        <v>9</v>
      </c>
      <c r="H27" s="7" t="s">
        <v>9</v>
      </c>
      <c r="I27" s="7" t="s">
        <v>9</v>
      </c>
      <c r="J27" s="7" t="s">
        <v>9</v>
      </c>
      <c r="K27" s="7" t="s">
        <v>9</v>
      </c>
      <c r="L27" s="32" t="str">
        <f t="shared" si="8"/>
        <v>De.Mobilidade</v>
      </c>
      <c r="M27" s="32" t="str">
        <f t="shared" si="9"/>
        <v>Elementos.de.Circulação</v>
      </c>
      <c r="N27" s="32" t="str">
        <f t="shared" si="10"/>
        <v>Escadas</v>
      </c>
      <c r="O27" s="27" t="str">
        <f t="shared" si="11"/>
        <v>Escada.Marinheira</v>
      </c>
      <c r="P27" s="27" t="s">
        <v>231</v>
      </c>
      <c r="Q27" s="27" t="s">
        <v>232</v>
      </c>
      <c r="R27" s="27" t="s">
        <v>609</v>
      </c>
      <c r="S27" s="69" t="s">
        <v>9</v>
      </c>
      <c r="T27" s="27" t="str">
        <f t="shared" si="12"/>
        <v>De.Mobilidade</v>
      </c>
      <c r="U27" s="27" t="str">
        <f t="shared" si="13"/>
        <v>Elementos.de.Circulação</v>
      </c>
      <c r="V27" s="27" t="str">
        <f t="shared" si="14"/>
        <v>Escadas</v>
      </c>
      <c r="W27" s="27" t="s">
        <v>43</v>
      </c>
      <c r="X27" s="43" t="str">
        <f t="shared" si="15"/>
        <v>Key-CIRCU-27</v>
      </c>
      <c r="Y27" s="27" t="s">
        <v>356</v>
      </c>
      <c r="Z27" s="68" t="s">
        <v>9</v>
      </c>
      <c r="AA27" s="26" t="s">
        <v>417</v>
      </c>
      <c r="AB27" s="68" t="s">
        <v>9</v>
      </c>
      <c r="AC27" s="45" t="s">
        <v>570</v>
      </c>
      <c r="AD27" s="68" t="s">
        <v>9</v>
      </c>
    </row>
    <row r="28" spans="1:30" ht="6" customHeight="1" x14ac:dyDescent="0.25">
      <c r="A28" s="41">
        <v>28</v>
      </c>
      <c r="B28" s="1" t="s">
        <v>513</v>
      </c>
      <c r="C28" s="1" t="s">
        <v>519</v>
      </c>
      <c r="D28" s="1" t="s">
        <v>468</v>
      </c>
      <c r="E28" s="1" t="s">
        <v>222</v>
      </c>
      <c r="F28" s="31" t="s">
        <v>233</v>
      </c>
      <c r="G28" s="47" t="s">
        <v>9</v>
      </c>
      <c r="H28" s="7" t="s">
        <v>9</v>
      </c>
      <c r="I28" s="7" t="s">
        <v>9</v>
      </c>
      <c r="J28" s="7" t="s">
        <v>9</v>
      </c>
      <c r="K28" s="7" t="s">
        <v>9</v>
      </c>
      <c r="L28" s="32" t="str">
        <f t="shared" si="8"/>
        <v>De.Mobilidade</v>
      </c>
      <c r="M28" s="32" t="str">
        <f t="shared" si="9"/>
        <v>Elementos.de.Circulação</v>
      </c>
      <c r="N28" s="32" t="str">
        <f t="shared" si="10"/>
        <v>Escadas</v>
      </c>
      <c r="O28" s="27" t="str">
        <f t="shared" si="11"/>
        <v>Escada.Caracol</v>
      </c>
      <c r="P28" s="27" t="s">
        <v>234</v>
      </c>
      <c r="Q28" s="27" t="s">
        <v>235</v>
      </c>
      <c r="R28" s="27" t="s">
        <v>610</v>
      </c>
      <c r="S28" s="69" t="s">
        <v>9</v>
      </c>
      <c r="T28" s="27" t="str">
        <f t="shared" si="12"/>
        <v>De.Mobilidade</v>
      </c>
      <c r="U28" s="27" t="str">
        <f t="shared" si="13"/>
        <v>Elementos.de.Circulação</v>
      </c>
      <c r="V28" s="27" t="str">
        <f t="shared" si="14"/>
        <v>Escadas</v>
      </c>
      <c r="W28" s="27" t="s">
        <v>43</v>
      </c>
      <c r="X28" s="43" t="str">
        <f t="shared" si="15"/>
        <v>Key-CIRCU-28</v>
      </c>
      <c r="Y28" s="27" t="s">
        <v>356</v>
      </c>
      <c r="Z28" s="68" t="s">
        <v>9</v>
      </c>
      <c r="AA28" s="26" t="s">
        <v>418</v>
      </c>
      <c r="AB28" s="68" t="s">
        <v>9</v>
      </c>
      <c r="AC28" s="45" t="s">
        <v>570</v>
      </c>
      <c r="AD28" s="68" t="s">
        <v>9</v>
      </c>
    </row>
    <row r="29" spans="1:30" ht="6" customHeight="1" x14ac:dyDescent="0.25">
      <c r="A29" s="41">
        <v>29</v>
      </c>
      <c r="B29" s="1" t="s">
        <v>513</v>
      </c>
      <c r="C29" s="1" t="s">
        <v>519</v>
      </c>
      <c r="D29" s="1" t="s">
        <v>468</v>
      </c>
      <c r="E29" s="1" t="s">
        <v>222</v>
      </c>
      <c r="F29" s="31" t="s">
        <v>236</v>
      </c>
      <c r="G29" s="47" t="s">
        <v>9</v>
      </c>
      <c r="H29" s="7" t="s">
        <v>9</v>
      </c>
      <c r="I29" s="7" t="s">
        <v>9</v>
      </c>
      <c r="J29" s="7" t="s">
        <v>9</v>
      </c>
      <c r="K29" s="7" t="s">
        <v>9</v>
      </c>
      <c r="L29" s="32" t="str">
        <f t="shared" si="8"/>
        <v>De.Mobilidade</v>
      </c>
      <c r="M29" s="32" t="str">
        <f t="shared" si="9"/>
        <v>Elementos.de.Circulação</v>
      </c>
      <c r="N29" s="32" t="str">
        <f t="shared" si="10"/>
        <v>Escadas</v>
      </c>
      <c r="O29" s="27" t="str">
        <f t="shared" si="11"/>
        <v>Escada.T</v>
      </c>
      <c r="P29" s="27" t="s">
        <v>237</v>
      </c>
      <c r="Q29" s="27" t="s">
        <v>238</v>
      </c>
      <c r="R29" s="27" t="s">
        <v>611</v>
      </c>
      <c r="S29" s="69" t="s">
        <v>9</v>
      </c>
      <c r="T29" s="27" t="str">
        <f t="shared" si="12"/>
        <v>De.Mobilidade</v>
      </c>
      <c r="U29" s="27" t="str">
        <f t="shared" si="13"/>
        <v>Elementos.de.Circulação</v>
      </c>
      <c r="V29" s="27" t="str">
        <f t="shared" si="14"/>
        <v>Escadas</v>
      </c>
      <c r="W29" s="27" t="s">
        <v>43</v>
      </c>
      <c r="X29" s="43" t="str">
        <f t="shared" si="15"/>
        <v>Key-CIRCU-29</v>
      </c>
      <c r="Y29" s="27" t="s">
        <v>356</v>
      </c>
      <c r="Z29" s="68" t="s">
        <v>9</v>
      </c>
      <c r="AA29" s="26" t="s">
        <v>419</v>
      </c>
      <c r="AB29" s="68" t="s">
        <v>9</v>
      </c>
      <c r="AC29" s="45" t="s">
        <v>570</v>
      </c>
      <c r="AD29" s="68" t="s">
        <v>9</v>
      </c>
    </row>
    <row r="30" spans="1:30" ht="6" customHeight="1" x14ac:dyDescent="0.25">
      <c r="A30" s="41">
        <v>30</v>
      </c>
      <c r="B30" s="1" t="s">
        <v>513</v>
      </c>
      <c r="C30" s="1" t="s">
        <v>519</v>
      </c>
      <c r="D30" s="1" t="s">
        <v>468</v>
      </c>
      <c r="E30" s="1" t="s">
        <v>222</v>
      </c>
      <c r="F30" s="31" t="s">
        <v>239</v>
      </c>
      <c r="G30" s="47" t="s">
        <v>9</v>
      </c>
      <c r="H30" s="7" t="s">
        <v>9</v>
      </c>
      <c r="I30" s="7" t="s">
        <v>9</v>
      </c>
      <c r="J30" s="7" t="s">
        <v>9</v>
      </c>
      <c r="K30" s="7" t="s">
        <v>9</v>
      </c>
      <c r="L30" s="32" t="str">
        <f t="shared" si="8"/>
        <v>De.Mobilidade</v>
      </c>
      <c r="M30" s="32" t="str">
        <f t="shared" si="9"/>
        <v>Elementos.de.Circulação</v>
      </c>
      <c r="N30" s="32" t="str">
        <f t="shared" si="10"/>
        <v>Escadas</v>
      </c>
      <c r="O30" s="27" t="str">
        <f t="shared" si="11"/>
        <v>Escada.U</v>
      </c>
      <c r="P30" s="27" t="s">
        <v>79</v>
      </c>
      <c r="Q30" s="27" t="s">
        <v>90</v>
      </c>
      <c r="R30" s="27" t="s">
        <v>612</v>
      </c>
      <c r="S30" s="69" t="s">
        <v>9</v>
      </c>
      <c r="T30" s="27" t="str">
        <f t="shared" si="12"/>
        <v>De.Mobilidade</v>
      </c>
      <c r="U30" s="27" t="str">
        <f t="shared" si="13"/>
        <v>Elementos.de.Circulação</v>
      </c>
      <c r="V30" s="27" t="str">
        <f t="shared" si="14"/>
        <v>Escadas</v>
      </c>
      <c r="W30" s="27" t="s">
        <v>43</v>
      </c>
      <c r="X30" s="43" t="str">
        <f t="shared" si="15"/>
        <v>Key-CIRCU-30</v>
      </c>
      <c r="Y30" s="27" t="s">
        <v>356</v>
      </c>
      <c r="Z30" s="68" t="s">
        <v>9</v>
      </c>
      <c r="AA30" s="26" t="s">
        <v>420</v>
      </c>
      <c r="AB30" s="68" t="s">
        <v>9</v>
      </c>
      <c r="AC30" s="45" t="s">
        <v>570</v>
      </c>
      <c r="AD30" s="68" t="s">
        <v>9</v>
      </c>
    </row>
    <row r="31" spans="1:30" ht="6" customHeight="1" x14ac:dyDescent="0.25">
      <c r="A31" s="41">
        <v>31</v>
      </c>
      <c r="B31" s="1" t="s">
        <v>513</v>
      </c>
      <c r="C31" s="1" t="s">
        <v>519</v>
      </c>
      <c r="D31" s="1" t="s">
        <v>468</v>
      </c>
      <c r="E31" s="1" t="s">
        <v>222</v>
      </c>
      <c r="F31" s="31" t="s">
        <v>240</v>
      </c>
      <c r="G31" s="47" t="s">
        <v>9</v>
      </c>
      <c r="H31" s="7" t="s">
        <v>9</v>
      </c>
      <c r="I31" s="7" t="s">
        <v>9</v>
      </c>
      <c r="J31" s="7" t="s">
        <v>9</v>
      </c>
      <c r="K31" s="7" t="s">
        <v>9</v>
      </c>
      <c r="L31" s="32" t="str">
        <f t="shared" si="8"/>
        <v>De.Mobilidade</v>
      </c>
      <c r="M31" s="32" t="str">
        <f t="shared" si="9"/>
        <v>Elementos.de.Circulação</v>
      </c>
      <c r="N31" s="32" t="str">
        <f t="shared" si="10"/>
        <v>Escadas</v>
      </c>
      <c r="O31" s="27" t="str">
        <f t="shared" si="11"/>
        <v>Escada.U.Compensada</v>
      </c>
      <c r="P31" s="27" t="s">
        <v>80</v>
      </c>
      <c r="Q31" s="27" t="s">
        <v>241</v>
      </c>
      <c r="R31" s="27" t="s">
        <v>613</v>
      </c>
      <c r="S31" s="69" t="s">
        <v>9</v>
      </c>
      <c r="T31" s="27" t="str">
        <f t="shared" si="12"/>
        <v>De.Mobilidade</v>
      </c>
      <c r="U31" s="27" t="str">
        <f t="shared" si="13"/>
        <v>Elementos.de.Circulação</v>
      </c>
      <c r="V31" s="27" t="str">
        <f t="shared" si="14"/>
        <v>Escadas</v>
      </c>
      <c r="W31" s="27" t="s">
        <v>43</v>
      </c>
      <c r="X31" s="43" t="str">
        <f t="shared" si="15"/>
        <v>Key-CIRCU-31</v>
      </c>
      <c r="Y31" s="27" t="s">
        <v>356</v>
      </c>
      <c r="Z31" s="68" t="s">
        <v>9</v>
      </c>
      <c r="AA31" s="26" t="s">
        <v>421</v>
      </c>
      <c r="AB31" s="68" t="s">
        <v>9</v>
      </c>
      <c r="AC31" s="45" t="s">
        <v>570</v>
      </c>
      <c r="AD31" s="68" t="s">
        <v>9</v>
      </c>
    </row>
    <row r="32" spans="1:30" ht="6" customHeight="1" x14ac:dyDescent="0.25">
      <c r="A32" s="41">
        <v>32</v>
      </c>
      <c r="B32" s="1" t="s">
        <v>513</v>
      </c>
      <c r="C32" s="1" t="s">
        <v>519</v>
      </c>
      <c r="D32" s="1" t="s">
        <v>468</v>
      </c>
      <c r="E32" s="1" t="s">
        <v>222</v>
      </c>
      <c r="F32" s="31" t="s">
        <v>242</v>
      </c>
      <c r="G32" s="47" t="s">
        <v>9</v>
      </c>
      <c r="H32" s="7" t="s">
        <v>9</v>
      </c>
      <c r="I32" s="7" t="s">
        <v>9</v>
      </c>
      <c r="J32" s="7" t="s">
        <v>9</v>
      </c>
      <c r="K32" s="7" t="s">
        <v>9</v>
      </c>
      <c r="L32" s="32" t="str">
        <f t="shared" si="8"/>
        <v>De.Mobilidade</v>
      </c>
      <c r="M32" s="32" t="str">
        <f t="shared" si="9"/>
        <v>Elementos.de.Circulação</v>
      </c>
      <c r="N32" s="32" t="str">
        <f t="shared" si="10"/>
        <v>Escadas</v>
      </c>
      <c r="O32" s="27" t="str">
        <f t="shared" si="11"/>
        <v>Escada.L</v>
      </c>
      <c r="P32" s="27" t="s">
        <v>243</v>
      </c>
      <c r="Q32" s="27" t="s">
        <v>244</v>
      </c>
      <c r="R32" s="27" t="s">
        <v>614</v>
      </c>
      <c r="S32" s="69" t="s">
        <v>9</v>
      </c>
      <c r="T32" s="27" t="str">
        <f t="shared" si="12"/>
        <v>De.Mobilidade</v>
      </c>
      <c r="U32" s="27" t="str">
        <f t="shared" si="13"/>
        <v>Elementos.de.Circulação</v>
      </c>
      <c r="V32" s="27" t="str">
        <f t="shared" si="14"/>
        <v>Escadas</v>
      </c>
      <c r="W32" s="27" t="s">
        <v>43</v>
      </c>
      <c r="X32" s="43" t="str">
        <f t="shared" si="15"/>
        <v>Key-CIRCU-32</v>
      </c>
      <c r="Y32" s="27" t="s">
        <v>356</v>
      </c>
      <c r="Z32" s="68" t="s">
        <v>9</v>
      </c>
      <c r="AA32" s="26" t="s">
        <v>395</v>
      </c>
      <c r="AB32" s="68" t="s">
        <v>9</v>
      </c>
      <c r="AC32" s="45" t="s">
        <v>570</v>
      </c>
      <c r="AD32" s="68" t="s">
        <v>9</v>
      </c>
    </row>
    <row r="33" spans="1:30" ht="6" customHeight="1" x14ac:dyDescent="0.25">
      <c r="A33" s="41">
        <v>33</v>
      </c>
      <c r="B33" s="1" t="s">
        <v>513</v>
      </c>
      <c r="C33" s="1" t="s">
        <v>519</v>
      </c>
      <c r="D33" s="1" t="s">
        <v>468</v>
      </c>
      <c r="E33" s="1" t="s">
        <v>222</v>
      </c>
      <c r="F33" s="31" t="s">
        <v>245</v>
      </c>
      <c r="G33" s="47" t="s">
        <v>9</v>
      </c>
      <c r="H33" s="7" t="s">
        <v>9</v>
      </c>
      <c r="I33" s="7" t="s">
        <v>9</v>
      </c>
      <c r="J33" s="7" t="s">
        <v>9</v>
      </c>
      <c r="K33" s="7" t="s">
        <v>9</v>
      </c>
      <c r="L33" s="32" t="str">
        <f t="shared" si="8"/>
        <v>De.Mobilidade</v>
      </c>
      <c r="M33" s="32" t="str">
        <f t="shared" si="9"/>
        <v>Elementos.de.Circulação</v>
      </c>
      <c r="N33" s="32" t="str">
        <f t="shared" si="10"/>
        <v>Escadas</v>
      </c>
      <c r="O33" s="27" t="str">
        <f t="shared" si="11"/>
        <v>Escada.L.Compensada</v>
      </c>
      <c r="P33" s="27" t="s">
        <v>246</v>
      </c>
      <c r="Q33" s="27" t="s">
        <v>247</v>
      </c>
      <c r="R33" s="27" t="s">
        <v>615</v>
      </c>
      <c r="S33" s="69" t="s">
        <v>9</v>
      </c>
      <c r="T33" s="27" t="str">
        <f t="shared" si="12"/>
        <v>De.Mobilidade</v>
      </c>
      <c r="U33" s="27" t="str">
        <f t="shared" si="13"/>
        <v>Elementos.de.Circulação</v>
      </c>
      <c r="V33" s="27" t="str">
        <f t="shared" si="14"/>
        <v>Escadas</v>
      </c>
      <c r="W33" s="27" t="s">
        <v>43</v>
      </c>
      <c r="X33" s="43" t="str">
        <f t="shared" si="15"/>
        <v>Key-CIRCU-33</v>
      </c>
      <c r="Y33" s="27" t="s">
        <v>356</v>
      </c>
      <c r="Z33" s="68" t="s">
        <v>9</v>
      </c>
      <c r="AA33" s="26" t="s">
        <v>422</v>
      </c>
      <c r="AB33" s="68" t="s">
        <v>9</v>
      </c>
      <c r="AC33" s="45" t="s">
        <v>570</v>
      </c>
      <c r="AD33" s="68" t="s">
        <v>9</v>
      </c>
    </row>
    <row r="34" spans="1:30" ht="6" customHeight="1" x14ac:dyDescent="0.25">
      <c r="A34" s="41">
        <v>34</v>
      </c>
      <c r="B34" s="1" t="s">
        <v>513</v>
      </c>
      <c r="C34" s="1" t="s">
        <v>519</v>
      </c>
      <c r="D34" s="1" t="s">
        <v>468</v>
      </c>
      <c r="E34" s="1" t="s">
        <v>222</v>
      </c>
      <c r="F34" s="31" t="s">
        <v>248</v>
      </c>
      <c r="G34" s="47" t="s">
        <v>9</v>
      </c>
      <c r="H34" s="7" t="s">
        <v>9</v>
      </c>
      <c r="I34" s="7" t="s">
        <v>9</v>
      </c>
      <c r="J34" s="7" t="s">
        <v>9</v>
      </c>
      <c r="K34" s="7" t="s">
        <v>9</v>
      </c>
      <c r="L34" s="32" t="str">
        <f t="shared" si="8"/>
        <v>De.Mobilidade</v>
      </c>
      <c r="M34" s="32" t="str">
        <f t="shared" si="9"/>
        <v>Elementos.de.Circulação</v>
      </c>
      <c r="N34" s="32" t="str">
        <f t="shared" si="10"/>
        <v>Escadas</v>
      </c>
      <c r="O34" s="27" t="str">
        <f t="shared" si="11"/>
        <v>Escada.3.Lances</v>
      </c>
      <c r="P34" s="27" t="s">
        <v>249</v>
      </c>
      <c r="Q34" s="27" t="s">
        <v>250</v>
      </c>
      <c r="R34" s="27" t="s">
        <v>616</v>
      </c>
      <c r="S34" s="69" t="s">
        <v>9</v>
      </c>
      <c r="T34" s="27" t="str">
        <f t="shared" si="12"/>
        <v>De.Mobilidade</v>
      </c>
      <c r="U34" s="27" t="str">
        <f t="shared" si="13"/>
        <v>Elementos.de.Circulação</v>
      </c>
      <c r="V34" s="27" t="str">
        <f t="shared" si="14"/>
        <v>Escadas</v>
      </c>
      <c r="W34" s="27" t="s">
        <v>43</v>
      </c>
      <c r="X34" s="43" t="str">
        <f t="shared" si="15"/>
        <v>Key-CIRCU-34</v>
      </c>
      <c r="Y34" s="27" t="s">
        <v>356</v>
      </c>
      <c r="Z34" s="68" t="s">
        <v>9</v>
      </c>
      <c r="AA34" s="26" t="s">
        <v>396</v>
      </c>
      <c r="AB34" s="68" t="s">
        <v>9</v>
      </c>
      <c r="AC34" s="45" t="s">
        <v>570</v>
      </c>
      <c r="AD34" s="68" t="s">
        <v>9</v>
      </c>
    </row>
    <row r="35" spans="1:30" ht="6" customHeight="1" x14ac:dyDescent="0.25">
      <c r="A35" s="41">
        <v>35</v>
      </c>
      <c r="B35" s="1" t="s">
        <v>513</v>
      </c>
      <c r="C35" s="1" t="s">
        <v>519</v>
      </c>
      <c r="D35" s="1" t="s">
        <v>468</v>
      </c>
      <c r="E35" s="1" t="s">
        <v>222</v>
      </c>
      <c r="F35" s="31" t="s">
        <v>251</v>
      </c>
      <c r="G35" s="47" t="s">
        <v>9</v>
      </c>
      <c r="H35" s="7" t="s">
        <v>9</v>
      </c>
      <c r="I35" s="7" t="s">
        <v>9</v>
      </c>
      <c r="J35" s="7" t="s">
        <v>9</v>
      </c>
      <c r="K35" s="7" t="s">
        <v>9</v>
      </c>
      <c r="L35" s="32" t="str">
        <f t="shared" ref="L35:L64" si="16">CONCATENATE("", C35)</f>
        <v>De.Mobilidade</v>
      </c>
      <c r="M35" s="32" t="str">
        <f t="shared" ref="M35:M64" si="17">CONCATENATE("", D35)</f>
        <v>Elementos.de.Circulação</v>
      </c>
      <c r="N35" s="32" t="str">
        <f t="shared" ref="N35:N64" si="18">(SUBSTITUTE(SUBSTITUTE(CONCATENATE("",E35),"."," ")," De "," de "))</f>
        <v>Escadas</v>
      </c>
      <c r="O35" s="27" t="str">
        <f t="shared" ref="O35:O64" si="19">IF(ISNUMBER(FIND("Ifc",F35)),CONCATENATE("Classe IFC:   ",F35),F35)</f>
        <v>Escada.3.Lances.Compensada</v>
      </c>
      <c r="P35" s="27" t="s">
        <v>252</v>
      </c>
      <c r="Q35" s="27" t="s">
        <v>253</v>
      </c>
      <c r="R35" s="27" t="s">
        <v>617</v>
      </c>
      <c r="S35" s="69" t="s">
        <v>9</v>
      </c>
      <c r="T35" s="27" t="str">
        <f t="shared" ref="T35:T64" si="20">SUBSTITUTE(C35, "_", " ")</f>
        <v>De.Mobilidade</v>
      </c>
      <c r="U35" s="27" t="str">
        <f t="shared" ref="U35:U64" si="21">SUBSTITUTE(D35, "_", " ")</f>
        <v>Elementos.de.Circulação</v>
      </c>
      <c r="V35" s="27" t="str">
        <f t="shared" ref="V35:V64" si="22">SUBSTITUTE(E35, "_", " ")</f>
        <v>Escadas</v>
      </c>
      <c r="W35" s="27" t="s">
        <v>43</v>
      </c>
      <c r="X35" s="43" t="str">
        <f t="shared" si="15"/>
        <v>Key-CIRCU-35</v>
      </c>
      <c r="Y35" s="27" t="s">
        <v>356</v>
      </c>
      <c r="Z35" s="68" t="s">
        <v>9</v>
      </c>
      <c r="AA35" s="26" t="s">
        <v>423</v>
      </c>
      <c r="AB35" s="68" t="s">
        <v>9</v>
      </c>
      <c r="AC35" s="45" t="s">
        <v>570</v>
      </c>
      <c r="AD35" s="68" t="s">
        <v>9</v>
      </c>
    </row>
    <row r="36" spans="1:30" ht="6" customHeight="1" x14ac:dyDescent="0.25">
      <c r="A36" s="41">
        <v>36</v>
      </c>
      <c r="B36" s="1" t="s">
        <v>513</v>
      </c>
      <c r="C36" s="1" t="s">
        <v>519</v>
      </c>
      <c r="D36" s="1" t="s">
        <v>468</v>
      </c>
      <c r="E36" s="1" t="s">
        <v>222</v>
      </c>
      <c r="F36" s="31" t="s">
        <v>254</v>
      </c>
      <c r="G36" s="47" t="s">
        <v>9</v>
      </c>
      <c r="H36" s="7" t="s">
        <v>9</v>
      </c>
      <c r="I36" s="7" t="s">
        <v>9</v>
      </c>
      <c r="J36" s="7" t="s">
        <v>9</v>
      </c>
      <c r="K36" s="7" t="s">
        <v>9</v>
      </c>
      <c r="L36" s="32" t="str">
        <f t="shared" si="16"/>
        <v>De.Mobilidade</v>
      </c>
      <c r="M36" s="32" t="str">
        <f t="shared" si="17"/>
        <v>Elementos.de.Circulação</v>
      </c>
      <c r="N36" s="32" t="str">
        <f t="shared" si="18"/>
        <v>Escadas</v>
      </c>
      <c r="O36" s="27" t="str">
        <f t="shared" si="19"/>
        <v>Escada.4.Lances</v>
      </c>
      <c r="P36" s="27" t="s">
        <v>255</v>
      </c>
      <c r="Q36" s="27" t="s">
        <v>256</v>
      </c>
      <c r="R36" s="27" t="s">
        <v>618</v>
      </c>
      <c r="S36" s="69" t="s">
        <v>9</v>
      </c>
      <c r="T36" s="27" t="str">
        <f t="shared" si="20"/>
        <v>De.Mobilidade</v>
      </c>
      <c r="U36" s="27" t="str">
        <f t="shared" si="21"/>
        <v>Elementos.de.Circulação</v>
      </c>
      <c r="V36" s="27" t="str">
        <f t="shared" si="22"/>
        <v>Escadas</v>
      </c>
      <c r="W36" s="27" t="s">
        <v>43</v>
      </c>
      <c r="X36" s="43" t="str">
        <f t="shared" si="15"/>
        <v>Key-CIRCU-36</v>
      </c>
      <c r="Y36" s="27" t="s">
        <v>356</v>
      </c>
      <c r="Z36" s="68" t="s">
        <v>9</v>
      </c>
      <c r="AA36" s="26" t="s">
        <v>424</v>
      </c>
      <c r="AB36" s="68" t="s">
        <v>9</v>
      </c>
      <c r="AC36" s="45" t="s">
        <v>570</v>
      </c>
      <c r="AD36" s="68" t="s">
        <v>9</v>
      </c>
    </row>
    <row r="37" spans="1:30" ht="6" customHeight="1" x14ac:dyDescent="0.25">
      <c r="A37" s="41">
        <v>37</v>
      </c>
      <c r="B37" s="1" t="s">
        <v>513</v>
      </c>
      <c r="C37" s="1" t="s">
        <v>519</v>
      </c>
      <c r="D37" s="1" t="s">
        <v>468</v>
      </c>
      <c r="E37" s="1" t="s">
        <v>222</v>
      </c>
      <c r="F37" s="31" t="s">
        <v>257</v>
      </c>
      <c r="G37" s="47" t="s">
        <v>9</v>
      </c>
      <c r="H37" s="7" t="s">
        <v>9</v>
      </c>
      <c r="I37" s="7" t="s">
        <v>9</v>
      </c>
      <c r="J37" s="7" t="s">
        <v>9</v>
      </c>
      <c r="K37" s="7" t="s">
        <v>9</v>
      </c>
      <c r="L37" s="32" t="str">
        <f t="shared" si="16"/>
        <v>De.Mobilidade</v>
      </c>
      <c r="M37" s="32" t="str">
        <f t="shared" si="17"/>
        <v>Elementos.de.Circulação</v>
      </c>
      <c r="N37" s="32" t="str">
        <f t="shared" si="18"/>
        <v>Escadas</v>
      </c>
      <c r="O37" s="27" t="str">
        <f t="shared" si="19"/>
        <v>Escada.4.Lances.Compensada</v>
      </c>
      <c r="P37" s="27" t="s">
        <v>258</v>
      </c>
      <c r="Q37" s="27" t="s">
        <v>259</v>
      </c>
      <c r="R37" s="27" t="s">
        <v>619</v>
      </c>
      <c r="S37" s="69" t="s">
        <v>9</v>
      </c>
      <c r="T37" s="27" t="str">
        <f t="shared" si="20"/>
        <v>De.Mobilidade</v>
      </c>
      <c r="U37" s="27" t="str">
        <f t="shared" si="21"/>
        <v>Elementos.de.Circulação</v>
      </c>
      <c r="V37" s="27" t="str">
        <f t="shared" si="22"/>
        <v>Escadas</v>
      </c>
      <c r="W37" s="27" t="s">
        <v>43</v>
      </c>
      <c r="X37" s="43" t="str">
        <f t="shared" si="15"/>
        <v>Key-CIRCU-37</v>
      </c>
      <c r="Y37" s="27" t="s">
        <v>356</v>
      </c>
      <c r="Z37" s="68" t="s">
        <v>9</v>
      </c>
      <c r="AA37" s="26" t="s">
        <v>425</v>
      </c>
      <c r="AB37" s="68" t="s">
        <v>9</v>
      </c>
      <c r="AC37" s="45" t="s">
        <v>570</v>
      </c>
      <c r="AD37" s="68" t="s">
        <v>9</v>
      </c>
    </row>
    <row r="38" spans="1:30" ht="6" customHeight="1" x14ac:dyDescent="0.25">
      <c r="A38" s="41">
        <v>38</v>
      </c>
      <c r="B38" s="1" t="s">
        <v>513</v>
      </c>
      <c r="C38" s="1" t="s">
        <v>519</v>
      </c>
      <c r="D38" s="1" t="s">
        <v>468</v>
      </c>
      <c r="E38" s="1" t="s">
        <v>222</v>
      </c>
      <c r="F38" s="31" t="s">
        <v>260</v>
      </c>
      <c r="G38" s="47" t="s">
        <v>9</v>
      </c>
      <c r="H38" s="7" t="s">
        <v>9</v>
      </c>
      <c r="I38" s="7" t="s">
        <v>9</v>
      </c>
      <c r="J38" s="7" t="s">
        <v>9</v>
      </c>
      <c r="K38" s="7" t="s">
        <v>9</v>
      </c>
      <c r="L38" s="32" t="str">
        <f t="shared" si="16"/>
        <v>De.Mobilidade</v>
      </c>
      <c r="M38" s="32" t="str">
        <f t="shared" si="17"/>
        <v>Elementos.de.Circulação</v>
      </c>
      <c r="N38" s="32" t="str">
        <f t="shared" si="18"/>
        <v>Escadas</v>
      </c>
      <c r="O38" s="27" t="str">
        <f t="shared" si="19"/>
        <v>Escada.Reta</v>
      </c>
      <c r="P38" s="27" t="s">
        <v>261</v>
      </c>
      <c r="Q38" s="27" t="s">
        <v>262</v>
      </c>
      <c r="R38" s="27" t="s">
        <v>620</v>
      </c>
      <c r="S38" s="69" t="s">
        <v>9</v>
      </c>
      <c r="T38" s="27" t="str">
        <f t="shared" si="20"/>
        <v>De.Mobilidade</v>
      </c>
      <c r="U38" s="27" t="str">
        <f t="shared" si="21"/>
        <v>Elementos.de.Circulação</v>
      </c>
      <c r="V38" s="27" t="str">
        <f t="shared" si="22"/>
        <v>Escadas</v>
      </c>
      <c r="W38" s="27" t="s">
        <v>43</v>
      </c>
      <c r="X38" s="43" t="str">
        <f t="shared" si="15"/>
        <v>Key-CIRCU-38</v>
      </c>
      <c r="Y38" s="27" t="s">
        <v>356</v>
      </c>
      <c r="Z38" s="68" t="s">
        <v>9</v>
      </c>
      <c r="AA38" s="26" t="s">
        <v>426</v>
      </c>
      <c r="AB38" s="68" t="s">
        <v>9</v>
      </c>
      <c r="AC38" s="45" t="s">
        <v>570</v>
      </c>
      <c r="AD38" s="68" t="s">
        <v>9</v>
      </c>
    </row>
    <row r="39" spans="1:30" ht="6" customHeight="1" x14ac:dyDescent="0.25">
      <c r="A39" s="41">
        <v>39</v>
      </c>
      <c r="B39" s="1" t="s">
        <v>513</v>
      </c>
      <c r="C39" s="1" t="s">
        <v>519</v>
      </c>
      <c r="D39" s="1" t="s">
        <v>468</v>
      </c>
      <c r="E39" s="1" t="s">
        <v>222</v>
      </c>
      <c r="F39" s="31" t="s">
        <v>263</v>
      </c>
      <c r="G39" s="47" t="s">
        <v>9</v>
      </c>
      <c r="H39" s="7" t="s">
        <v>9</v>
      </c>
      <c r="I39" s="7" t="s">
        <v>9</v>
      </c>
      <c r="J39" s="7" t="s">
        <v>9</v>
      </c>
      <c r="K39" s="7" t="s">
        <v>9</v>
      </c>
      <c r="L39" s="32" t="str">
        <f t="shared" si="16"/>
        <v>De.Mobilidade</v>
      </c>
      <c r="M39" s="32" t="str">
        <f t="shared" si="17"/>
        <v>Elementos.de.Circulação</v>
      </c>
      <c r="N39" s="32" t="str">
        <f t="shared" si="18"/>
        <v>Escadas</v>
      </c>
      <c r="O39" s="27" t="str">
        <f t="shared" si="19"/>
        <v>Escada.Reta.Dois.Lances</v>
      </c>
      <c r="P39" s="27" t="s">
        <v>264</v>
      </c>
      <c r="Q39" s="27" t="s">
        <v>265</v>
      </c>
      <c r="R39" s="27" t="s">
        <v>621</v>
      </c>
      <c r="S39" s="69" t="s">
        <v>9</v>
      </c>
      <c r="T39" s="27" t="str">
        <f t="shared" si="20"/>
        <v>De.Mobilidade</v>
      </c>
      <c r="U39" s="27" t="str">
        <f t="shared" si="21"/>
        <v>Elementos.de.Circulação</v>
      </c>
      <c r="V39" s="27" t="str">
        <f t="shared" si="22"/>
        <v>Escadas</v>
      </c>
      <c r="W39" s="27" t="s">
        <v>43</v>
      </c>
      <c r="X39" s="43" t="str">
        <f t="shared" si="15"/>
        <v>Key-CIRCU-39</v>
      </c>
      <c r="Y39" s="27" t="s">
        <v>356</v>
      </c>
      <c r="Z39" s="68" t="s">
        <v>9</v>
      </c>
      <c r="AA39" s="26" t="s">
        <v>427</v>
      </c>
      <c r="AB39" s="68" t="s">
        <v>9</v>
      </c>
      <c r="AC39" s="45" t="s">
        <v>570</v>
      </c>
      <c r="AD39" s="68" t="s">
        <v>9</v>
      </c>
    </row>
    <row r="40" spans="1:30" ht="6" customHeight="1" x14ac:dyDescent="0.25">
      <c r="A40" s="41">
        <v>40</v>
      </c>
      <c r="B40" s="1" t="s">
        <v>513</v>
      </c>
      <c r="C40" s="1" t="s">
        <v>519</v>
      </c>
      <c r="D40" s="1" t="s">
        <v>468</v>
      </c>
      <c r="E40" s="1" t="s">
        <v>222</v>
      </c>
      <c r="F40" s="31" t="s">
        <v>266</v>
      </c>
      <c r="G40" s="47" t="s">
        <v>9</v>
      </c>
      <c r="H40" s="7" t="s">
        <v>9</v>
      </c>
      <c r="I40" s="7" t="s">
        <v>9</v>
      </c>
      <c r="J40" s="7" t="s">
        <v>9</v>
      </c>
      <c r="K40" s="7" t="s">
        <v>9</v>
      </c>
      <c r="L40" s="32" t="str">
        <f t="shared" si="16"/>
        <v>De.Mobilidade</v>
      </c>
      <c r="M40" s="32" t="str">
        <f t="shared" si="17"/>
        <v>Elementos.de.Circulação</v>
      </c>
      <c r="N40" s="32" t="str">
        <f t="shared" si="18"/>
        <v>Escadas</v>
      </c>
      <c r="O40" s="27" t="str">
        <f t="shared" si="19"/>
        <v>Escada.Curva</v>
      </c>
      <c r="P40" s="27" t="s">
        <v>267</v>
      </c>
      <c r="Q40" s="27" t="s">
        <v>268</v>
      </c>
      <c r="R40" s="27" t="s">
        <v>622</v>
      </c>
      <c r="S40" s="69" t="s">
        <v>9</v>
      </c>
      <c r="T40" s="27" t="str">
        <f t="shared" si="20"/>
        <v>De.Mobilidade</v>
      </c>
      <c r="U40" s="27" t="str">
        <f t="shared" si="21"/>
        <v>Elementos.de.Circulação</v>
      </c>
      <c r="V40" s="27" t="str">
        <f t="shared" si="22"/>
        <v>Escadas</v>
      </c>
      <c r="W40" s="27" t="s">
        <v>43</v>
      </c>
      <c r="X40" s="43" t="str">
        <f t="shared" si="15"/>
        <v>Key-CIRCU-40</v>
      </c>
      <c r="Y40" s="27" t="s">
        <v>356</v>
      </c>
      <c r="Z40" s="68" t="s">
        <v>9</v>
      </c>
      <c r="AA40" s="26" t="s">
        <v>428</v>
      </c>
      <c r="AB40" s="68" t="s">
        <v>9</v>
      </c>
      <c r="AC40" s="45" t="s">
        <v>570</v>
      </c>
      <c r="AD40" s="68" t="s">
        <v>9</v>
      </c>
    </row>
    <row r="41" spans="1:30" ht="6" customHeight="1" x14ac:dyDescent="0.25">
      <c r="A41" s="41">
        <v>41</v>
      </c>
      <c r="B41" s="1" t="s">
        <v>513</v>
      </c>
      <c r="C41" s="1" t="s">
        <v>519</v>
      </c>
      <c r="D41" s="1" t="s">
        <v>468</v>
      </c>
      <c r="E41" s="1" t="s">
        <v>222</v>
      </c>
      <c r="F41" s="31" t="s">
        <v>269</v>
      </c>
      <c r="G41" s="47" t="s">
        <v>9</v>
      </c>
      <c r="H41" s="7" t="s">
        <v>9</v>
      </c>
      <c r="I41" s="7" t="s">
        <v>9</v>
      </c>
      <c r="J41" s="7" t="s">
        <v>9</v>
      </c>
      <c r="K41" s="7" t="s">
        <v>9</v>
      </c>
      <c r="L41" s="32" t="str">
        <f t="shared" si="16"/>
        <v>De.Mobilidade</v>
      </c>
      <c r="M41" s="32" t="str">
        <f t="shared" si="17"/>
        <v>Elementos.de.Circulação</v>
      </c>
      <c r="N41" s="32" t="str">
        <f t="shared" si="18"/>
        <v>Escadas</v>
      </c>
      <c r="O41" s="27" t="str">
        <f t="shared" si="19"/>
        <v>Escada.Curva.2.Lances</v>
      </c>
      <c r="P41" s="27" t="s">
        <v>270</v>
      </c>
      <c r="Q41" s="27" t="s">
        <v>271</v>
      </c>
      <c r="R41" s="27" t="s">
        <v>623</v>
      </c>
      <c r="S41" s="69" t="s">
        <v>9</v>
      </c>
      <c r="T41" s="27" t="str">
        <f t="shared" si="20"/>
        <v>De.Mobilidade</v>
      </c>
      <c r="U41" s="27" t="str">
        <f t="shared" si="21"/>
        <v>Elementos.de.Circulação</v>
      </c>
      <c r="V41" s="27" t="str">
        <f t="shared" si="22"/>
        <v>Escadas</v>
      </c>
      <c r="W41" s="27" t="s">
        <v>43</v>
      </c>
      <c r="X41" s="43" t="str">
        <f t="shared" si="15"/>
        <v>Key-CIRCU-41</v>
      </c>
      <c r="Y41" s="27" t="s">
        <v>356</v>
      </c>
      <c r="Z41" s="68" t="s">
        <v>9</v>
      </c>
      <c r="AA41" s="26" t="s">
        <v>429</v>
      </c>
      <c r="AB41" s="68" t="s">
        <v>9</v>
      </c>
      <c r="AC41" s="45" t="s">
        <v>570</v>
      </c>
      <c r="AD41" s="68" t="s">
        <v>9</v>
      </c>
    </row>
    <row r="42" spans="1:30" ht="6" customHeight="1" x14ac:dyDescent="0.25">
      <c r="A42" s="41">
        <v>42</v>
      </c>
      <c r="B42" s="1" t="s">
        <v>513</v>
      </c>
      <c r="C42" s="1" t="s">
        <v>519</v>
      </c>
      <c r="D42" s="1" t="s">
        <v>468</v>
      </c>
      <c r="E42" s="1" t="s">
        <v>222</v>
      </c>
      <c r="F42" s="1" t="s">
        <v>272</v>
      </c>
      <c r="G42" s="47" t="s">
        <v>9</v>
      </c>
      <c r="H42" s="7" t="s">
        <v>9</v>
      </c>
      <c r="I42" s="7" t="s">
        <v>9</v>
      </c>
      <c r="J42" s="7" t="s">
        <v>9</v>
      </c>
      <c r="K42" s="7" t="s">
        <v>9</v>
      </c>
      <c r="L42" s="32" t="str">
        <f t="shared" si="16"/>
        <v>De.Mobilidade</v>
      </c>
      <c r="M42" s="32" t="str">
        <f t="shared" si="17"/>
        <v>Elementos.de.Circulação</v>
      </c>
      <c r="N42" s="32" t="str">
        <f t="shared" si="18"/>
        <v>Escadas</v>
      </c>
      <c r="O42" s="27" t="str">
        <f t="shared" si="19"/>
        <v>Escada.Multiplos.Andares</v>
      </c>
      <c r="P42" s="27" t="s">
        <v>92</v>
      </c>
      <c r="Q42" s="27" t="s">
        <v>273</v>
      </c>
      <c r="R42" s="27" t="s">
        <v>624</v>
      </c>
      <c r="S42" s="69" t="s">
        <v>9</v>
      </c>
      <c r="T42" s="27" t="str">
        <f t="shared" si="20"/>
        <v>De.Mobilidade</v>
      </c>
      <c r="U42" s="27" t="str">
        <f t="shared" si="21"/>
        <v>Elementos.de.Circulação</v>
      </c>
      <c r="V42" s="27" t="str">
        <f t="shared" si="22"/>
        <v>Escadas</v>
      </c>
      <c r="W42" s="27" t="s">
        <v>43</v>
      </c>
      <c r="X42" s="43" t="str">
        <f t="shared" si="15"/>
        <v>Key-CIRCU-42</v>
      </c>
      <c r="Y42" s="27" t="s">
        <v>366</v>
      </c>
      <c r="Z42" s="68" t="s">
        <v>9</v>
      </c>
      <c r="AA42" s="27" t="s">
        <v>397</v>
      </c>
      <c r="AB42" s="68" t="s">
        <v>9</v>
      </c>
      <c r="AC42" s="45" t="s">
        <v>570</v>
      </c>
      <c r="AD42" s="68" t="s">
        <v>9</v>
      </c>
    </row>
    <row r="43" spans="1:30" ht="6" customHeight="1" x14ac:dyDescent="0.25">
      <c r="A43" s="41">
        <v>43</v>
      </c>
      <c r="B43" s="1" t="s">
        <v>513</v>
      </c>
      <c r="C43" s="1" t="s">
        <v>519</v>
      </c>
      <c r="D43" s="1" t="s">
        <v>468</v>
      </c>
      <c r="E43" s="1" t="s">
        <v>222</v>
      </c>
      <c r="F43" s="1" t="s">
        <v>278</v>
      </c>
      <c r="G43" s="47" t="s">
        <v>9</v>
      </c>
      <c r="H43" s="7" t="s">
        <v>9</v>
      </c>
      <c r="I43" s="7" t="s">
        <v>9</v>
      </c>
      <c r="J43" s="7" t="s">
        <v>9</v>
      </c>
      <c r="K43" s="7" t="s">
        <v>9</v>
      </c>
      <c r="L43" s="32" t="str">
        <f t="shared" si="16"/>
        <v>De.Mobilidade</v>
      </c>
      <c r="M43" s="32" t="str">
        <f t="shared" si="17"/>
        <v>Elementos.de.Circulação</v>
      </c>
      <c r="N43" s="32" t="str">
        <f t="shared" si="18"/>
        <v>Escadas</v>
      </c>
      <c r="O43" s="27" t="str">
        <f t="shared" si="19"/>
        <v>Escada.Patamar</v>
      </c>
      <c r="P43" s="27" t="s">
        <v>279</v>
      </c>
      <c r="Q43" s="27" t="s">
        <v>142</v>
      </c>
      <c r="R43" s="27" t="s">
        <v>625</v>
      </c>
      <c r="S43" s="69" t="s">
        <v>9</v>
      </c>
      <c r="T43" s="27" t="str">
        <f t="shared" si="20"/>
        <v>De.Mobilidade</v>
      </c>
      <c r="U43" s="27" t="str">
        <f t="shared" si="21"/>
        <v>Elementos.de.Circulação</v>
      </c>
      <c r="V43" s="27" t="str">
        <f t="shared" si="22"/>
        <v>Escadas</v>
      </c>
      <c r="W43" s="27" t="s">
        <v>43</v>
      </c>
      <c r="X43" s="43" t="str">
        <f t="shared" si="15"/>
        <v>Key-CIRCU-43</v>
      </c>
      <c r="Y43" s="27" t="s">
        <v>369</v>
      </c>
      <c r="Z43" s="68" t="s">
        <v>9</v>
      </c>
      <c r="AA43" s="27" t="s">
        <v>397</v>
      </c>
      <c r="AB43" s="68" t="s">
        <v>9</v>
      </c>
      <c r="AC43" s="45" t="s">
        <v>570</v>
      </c>
      <c r="AD43" s="68" t="s">
        <v>9</v>
      </c>
    </row>
    <row r="44" spans="1:30" ht="6" customHeight="1" x14ac:dyDescent="0.25">
      <c r="A44" s="41">
        <v>44</v>
      </c>
      <c r="B44" s="1" t="s">
        <v>513</v>
      </c>
      <c r="C44" s="1" t="s">
        <v>519</v>
      </c>
      <c r="D44" s="1" t="s">
        <v>468</v>
      </c>
      <c r="E44" s="1" t="s">
        <v>222</v>
      </c>
      <c r="F44" s="1" t="s">
        <v>280</v>
      </c>
      <c r="G44" s="47" t="s">
        <v>9</v>
      </c>
      <c r="H44" s="7" t="s">
        <v>9</v>
      </c>
      <c r="I44" s="7" t="s">
        <v>9</v>
      </c>
      <c r="J44" s="7" t="s">
        <v>9</v>
      </c>
      <c r="K44" s="7" t="s">
        <v>9</v>
      </c>
      <c r="L44" s="32" t="str">
        <f t="shared" si="16"/>
        <v>De.Mobilidade</v>
      </c>
      <c r="M44" s="32" t="str">
        <f t="shared" si="17"/>
        <v>Elementos.de.Circulação</v>
      </c>
      <c r="N44" s="32" t="str">
        <f t="shared" si="18"/>
        <v>Escadas</v>
      </c>
      <c r="O44" s="27" t="str">
        <f t="shared" si="19"/>
        <v>Escada.Naris</v>
      </c>
      <c r="P44" s="27" t="s">
        <v>281</v>
      </c>
      <c r="Q44" s="27" t="s">
        <v>143</v>
      </c>
      <c r="R44" s="27" t="s">
        <v>626</v>
      </c>
      <c r="S44" s="69" t="s">
        <v>9</v>
      </c>
      <c r="T44" s="27" t="str">
        <f t="shared" si="20"/>
        <v>De.Mobilidade</v>
      </c>
      <c r="U44" s="27" t="str">
        <f t="shared" si="21"/>
        <v>Elementos.de.Circulação</v>
      </c>
      <c r="V44" s="27" t="str">
        <f t="shared" si="22"/>
        <v>Escadas</v>
      </c>
      <c r="W44" s="27" t="s">
        <v>43</v>
      </c>
      <c r="X44" s="43" t="str">
        <f t="shared" si="15"/>
        <v>Key-CIRCU-44</v>
      </c>
      <c r="Y44" s="27" t="s">
        <v>370</v>
      </c>
      <c r="Z44" s="68" t="s">
        <v>9</v>
      </c>
      <c r="AA44" s="27" t="s">
        <v>397</v>
      </c>
      <c r="AB44" s="68" t="s">
        <v>9</v>
      </c>
      <c r="AC44" s="45" t="s">
        <v>570</v>
      </c>
      <c r="AD44" s="68" t="s">
        <v>9</v>
      </c>
    </row>
    <row r="45" spans="1:30" ht="6" customHeight="1" x14ac:dyDescent="0.25">
      <c r="A45" s="41">
        <v>45</v>
      </c>
      <c r="B45" s="1" t="s">
        <v>513</v>
      </c>
      <c r="C45" s="1" t="s">
        <v>519</v>
      </c>
      <c r="D45" s="1" t="s">
        <v>468</v>
      </c>
      <c r="E45" s="1" t="s">
        <v>222</v>
      </c>
      <c r="F45" s="1" t="s">
        <v>282</v>
      </c>
      <c r="G45" s="47" t="s">
        <v>9</v>
      </c>
      <c r="H45" s="7" t="s">
        <v>9</v>
      </c>
      <c r="I45" s="7" t="s">
        <v>9</v>
      </c>
      <c r="J45" s="7" t="s">
        <v>9</v>
      </c>
      <c r="K45" s="7" t="s">
        <v>9</v>
      </c>
      <c r="L45" s="32" t="str">
        <f t="shared" si="16"/>
        <v>De.Mobilidade</v>
      </c>
      <c r="M45" s="32" t="str">
        <f t="shared" si="17"/>
        <v>Elementos.de.Circulação</v>
      </c>
      <c r="N45" s="32" t="str">
        <f t="shared" si="18"/>
        <v>Escadas</v>
      </c>
      <c r="O45" s="27" t="str">
        <f t="shared" si="19"/>
        <v>Escada.Naris.Projeção</v>
      </c>
      <c r="P45" s="27" t="s">
        <v>283</v>
      </c>
      <c r="Q45" s="27" t="s">
        <v>144</v>
      </c>
      <c r="R45" s="27" t="s">
        <v>627</v>
      </c>
      <c r="S45" s="69" t="s">
        <v>9</v>
      </c>
      <c r="T45" s="27" t="str">
        <f t="shared" si="20"/>
        <v>De.Mobilidade</v>
      </c>
      <c r="U45" s="27" t="str">
        <f t="shared" si="21"/>
        <v>Elementos.de.Circulação</v>
      </c>
      <c r="V45" s="27" t="str">
        <f t="shared" si="22"/>
        <v>Escadas</v>
      </c>
      <c r="W45" s="27" t="s">
        <v>43</v>
      </c>
      <c r="X45" s="43" t="str">
        <f t="shared" si="15"/>
        <v>Key-CIRCU-45</v>
      </c>
      <c r="Y45" s="27" t="s">
        <v>371</v>
      </c>
      <c r="Z45" s="68" t="s">
        <v>9</v>
      </c>
      <c r="AA45" s="27" t="s">
        <v>397</v>
      </c>
      <c r="AB45" s="68" t="s">
        <v>9</v>
      </c>
      <c r="AC45" s="45" t="s">
        <v>570</v>
      </c>
      <c r="AD45" s="68" t="s">
        <v>9</v>
      </c>
    </row>
    <row r="46" spans="1:30" ht="6" customHeight="1" x14ac:dyDescent="0.25">
      <c r="A46" s="41">
        <v>46</v>
      </c>
      <c r="B46" s="1" t="s">
        <v>513</v>
      </c>
      <c r="C46" s="1" t="s">
        <v>519</v>
      </c>
      <c r="D46" s="1" t="s">
        <v>468</v>
      </c>
      <c r="E46" s="1" t="s">
        <v>222</v>
      </c>
      <c r="F46" s="1" t="s">
        <v>295</v>
      </c>
      <c r="G46" s="47" t="s">
        <v>9</v>
      </c>
      <c r="H46" s="7" t="s">
        <v>9</v>
      </c>
      <c r="I46" s="7" t="s">
        <v>9</v>
      </c>
      <c r="J46" s="7" t="s">
        <v>9</v>
      </c>
      <c r="K46" s="7" t="s">
        <v>9</v>
      </c>
      <c r="L46" s="32" t="str">
        <f t="shared" si="16"/>
        <v>De.Mobilidade</v>
      </c>
      <c r="M46" s="32" t="str">
        <f t="shared" si="17"/>
        <v>Elementos.de.Circulação</v>
      </c>
      <c r="N46" s="32" t="str">
        <f t="shared" si="18"/>
        <v>Escadas</v>
      </c>
      <c r="O46" s="27" t="str">
        <f t="shared" si="19"/>
        <v>Escada.Lance</v>
      </c>
      <c r="P46" s="27" t="s">
        <v>296</v>
      </c>
      <c r="Q46" s="27" t="s">
        <v>154</v>
      </c>
      <c r="R46" s="27" t="s">
        <v>628</v>
      </c>
      <c r="S46" s="69" t="s">
        <v>9</v>
      </c>
      <c r="T46" s="27" t="str">
        <f t="shared" si="20"/>
        <v>De.Mobilidade</v>
      </c>
      <c r="U46" s="27" t="str">
        <f t="shared" si="21"/>
        <v>Elementos.de.Circulação</v>
      </c>
      <c r="V46" s="27" t="str">
        <f t="shared" si="22"/>
        <v>Escadas</v>
      </c>
      <c r="W46" s="27" t="s">
        <v>43</v>
      </c>
      <c r="X46" s="43" t="str">
        <f t="shared" si="15"/>
        <v>Key-CIRCU-46</v>
      </c>
      <c r="Y46" s="27" t="s">
        <v>378</v>
      </c>
      <c r="Z46" s="68" t="s">
        <v>9</v>
      </c>
      <c r="AA46" s="27" t="s">
        <v>411</v>
      </c>
      <c r="AB46" s="68" t="s">
        <v>9</v>
      </c>
      <c r="AC46" s="45" t="s">
        <v>570</v>
      </c>
      <c r="AD46" s="68" t="s">
        <v>9</v>
      </c>
    </row>
    <row r="47" spans="1:30" ht="6" customHeight="1" x14ac:dyDescent="0.25">
      <c r="A47" s="41">
        <v>47</v>
      </c>
      <c r="B47" s="1" t="s">
        <v>513</v>
      </c>
      <c r="C47" s="1" t="s">
        <v>519</v>
      </c>
      <c r="D47" s="1" t="s">
        <v>468</v>
      </c>
      <c r="E47" s="1" t="s">
        <v>222</v>
      </c>
      <c r="F47" s="31" t="s">
        <v>226</v>
      </c>
      <c r="G47" s="47" t="s">
        <v>9</v>
      </c>
      <c r="H47" s="7" t="s">
        <v>9</v>
      </c>
      <c r="I47" s="7" t="s">
        <v>9</v>
      </c>
      <c r="J47" s="7" t="s">
        <v>9</v>
      </c>
      <c r="K47" s="7" t="s">
        <v>9</v>
      </c>
      <c r="L47" s="32" t="str">
        <f t="shared" si="16"/>
        <v>De.Mobilidade</v>
      </c>
      <c r="M47" s="32" t="str">
        <f t="shared" si="17"/>
        <v>Elementos.de.Circulação</v>
      </c>
      <c r="N47" s="32" t="str">
        <f t="shared" si="18"/>
        <v>Escadas</v>
      </c>
      <c r="O47" s="27" t="str">
        <f t="shared" si="19"/>
        <v>Lance.Escada.Curvo</v>
      </c>
      <c r="P47" s="27" t="s">
        <v>74</v>
      </c>
      <c r="Q47" s="27" t="s">
        <v>85</v>
      </c>
      <c r="R47" s="27" t="s">
        <v>629</v>
      </c>
      <c r="S47" s="69" t="s">
        <v>9</v>
      </c>
      <c r="T47" s="27" t="str">
        <f t="shared" si="20"/>
        <v>De.Mobilidade</v>
      </c>
      <c r="U47" s="27" t="str">
        <f t="shared" si="21"/>
        <v>Elementos.de.Circulação</v>
      </c>
      <c r="V47" s="27" t="str">
        <f t="shared" si="22"/>
        <v>Escadas</v>
      </c>
      <c r="W47" s="27" t="s">
        <v>43</v>
      </c>
      <c r="X47" s="43" t="str">
        <f t="shared" si="15"/>
        <v>Key-CIRCU-47</v>
      </c>
      <c r="Y47" s="27" t="s">
        <v>356</v>
      </c>
      <c r="Z47" s="68" t="s">
        <v>9</v>
      </c>
      <c r="AA47" s="26" t="s">
        <v>413</v>
      </c>
      <c r="AB47" s="68" t="s">
        <v>9</v>
      </c>
      <c r="AC47" s="45" t="s">
        <v>570</v>
      </c>
      <c r="AD47" s="68" t="s">
        <v>9</v>
      </c>
    </row>
    <row r="48" spans="1:30" ht="6" customHeight="1" x14ac:dyDescent="0.25">
      <c r="A48" s="41">
        <v>48</v>
      </c>
      <c r="B48" s="1" t="s">
        <v>513</v>
      </c>
      <c r="C48" s="1" t="s">
        <v>519</v>
      </c>
      <c r="D48" s="1" t="s">
        <v>468</v>
      </c>
      <c r="E48" s="1" t="s">
        <v>222</v>
      </c>
      <c r="F48" s="31" t="s">
        <v>227</v>
      </c>
      <c r="G48" s="47" t="s">
        <v>9</v>
      </c>
      <c r="H48" s="7" t="s">
        <v>9</v>
      </c>
      <c r="I48" s="7" t="s">
        <v>9</v>
      </c>
      <c r="J48" s="7" t="s">
        <v>9</v>
      </c>
      <c r="K48" s="7" t="s">
        <v>9</v>
      </c>
      <c r="L48" s="32" t="str">
        <f t="shared" si="16"/>
        <v>De.Mobilidade</v>
      </c>
      <c r="M48" s="32" t="str">
        <f t="shared" si="17"/>
        <v>Elementos.de.Circulação</v>
      </c>
      <c r="N48" s="32" t="str">
        <f t="shared" si="18"/>
        <v>Escadas</v>
      </c>
      <c r="O48" s="27" t="str">
        <f t="shared" si="19"/>
        <v>Lance.Escada.Livre</v>
      </c>
      <c r="P48" s="27" t="s">
        <v>75</v>
      </c>
      <c r="Q48" s="27" t="s">
        <v>86</v>
      </c>
      <c r="R48" s="27" t="s">
        <v>630</v>
      </c>
      <c r="S48" s="69" t="s">
        <v>9</v>
      </c>
      <c r="T48" s="27" t="str">
        <f t="shared" si="20"/>
        <v>De.Mobilidade</v>
      </c>
      <c r="U48" s="27" t="str">
        <f t="shared" si="21"/>
        <v>Elementos.de.Circulação</v>
      </c>
      <c r="V48" s="27" t="str">
        <f t="shared" si="22"/>
        <v>Escadas</v>
      </c>
      <c r="W48" s="27" t="s">
        <v>43</v>
      </c>
      <c r="X48" s="43" t="str">
        <f t="shared" si="15"/>
        <v>Key-CIRCU-48</v>
      </c>
      <c r="Y48" s="27" t="s">
        <v>356</v>
      </c>
      <c r="Z48" s="68" t="s">
        <v>9</v>
      </c>
      <c r="AA48" s="26" t="s">
        <v>412</v>
      </c>
      <c r="AB48" s="68" t="s">
        <v>9</v>
      </c>
      <c r="AC48" s="45" t="s">
        <v>570</v>
      </c>
      <c r="AD48" s="68" t="s">
        <v>9</v>
      </c>
    </row>
    <row r="49" spans="1:30" ht="6" customHeight="1" x14ac:dyDescent="0.25">
      <c r="A49" s="41">
        <v>49</v>
      </c>
      <c r="B49" s="1" t="s">
        <v>513</v>
      </c>
      <c r="C49" s="1" t="s">
        <v>519</v>
      </c>
      <c r="D49" s="1" t="s">
        <v>468</v>
      </c>
      <c r="E49" s="1" t="s">
        <v>222</v>
      </c>
      <c r="F49" s="31" t="s">
        <v>228</v>
      </c>
      <c r="G49" s="47" t="s">
        <v>9</v>
      </c>
      <c r="H49" s="7" t="s">
        <v>9</v>
      </c>
      <c r="I49" s="7" t="s">
        <v>9</v>
      </c>
      <c r="J49" s="7" t="s">
        <v>9</v>
      </c>
      <c r="K49" s="7" t="s">
        <v>9</v>
      </c>
      <c r="L49" s="32" t="str">
        <f t="shared" si="16"/>
        <v>De.Mobilidade</v>
      </c>
      <c r="M49" s="32" t="str">
        <f t="shared" si="17"/>
        <v>Elementos.de.Circulação</v>
      </c>
      <c r="N49" s="32" t="str">
        <f t="shared" si="18"/>
        <v>Escadas</v>
      </c>
      <c r="O49" s="27" t="str">
        <f t="shared" si="19"/>
        <v>Lance.Escada.Espiral</v>
      </c>
      <c r="P49" s="27" t="s">
        <v>76</v>
      </c>
      <c r="Q49" s="27" t="s">
        <v>87</v>
      </c>
      <c r="R49" s="27" t="s">
        <v>631</v>
      </c>
      <c r="S49" s="69" t="s">
        <v>9</v>
      </c>
      <c r="T49" s="27" t="str">
        <f t="shared" si="20"/>
        <v>De.Mobilidade</v>
      </c>
      <c r="U49" s="27" t="str">
        <f t="shared" si="21"/>
        <v>Elementos.de.Circulação</v>
      </c>
      <c r="V49" s="27" t="str">
        <f t="shared" si="22"/>
        <v>Escadas</v>
      </c>
      <c r="W49" s="27" t="s">
        <v>43</v>
      </c>
      <c r="X49" s="43" t="str">
        <f t="shared" si="15"/>
        <v>Key-CIRCU-49</v>
      </c>
      <c r="Y49" s="27" t="s">
        <v>356</v>
      </c>
      <c r="Z49" s="68" t="s">
        <v>9</v>
      </c>
      <c r="AA49" s="26" t="s">
        <v>414</v>
      </c>
      <c r="AB49" s="68" t="s">
        <v>9</v>
      </c>
      <c r="AC49" s="45" t="s">
        <v>570</v>
      </c>
      <c r="AD49" s="68" t="s">
        <v>9</v>
      </c>
    </row>
    <row r="50" spans="1:30" ht="6" customHeight="1" x14ac:dyDescent="0.25">
      <c r="A50" s="41">
        <v>50</v>
      </c>
      <c r="B50" s="1" t="s">
        <v>513</v>
      </c>
      <c r="C50" s="1" t="s">
        <v>519</v>
      </c>
      <c r="D50" s="1" t="s">
        <v>468</v>
      </c>
      <c r="E50" s="1" t="s">
        <v>222</v>
      </c>
      <c r="F50" s="31" t="s">
        <v>229</v>
      </c>
      <c r="G50" s="47" t="s">
        <v>9</v>
      </c>
      <c r="H50" s="7" t="s">
        <v>9</v>
      </c>
      <c r="I50" s="7" t="s">
        <v>9</v>
      </c>
      <c r="J50" s="7" t="s">
        <v>9</v>
      </c>
      <c r="K50" s="7" t="s">
        <v>9</v>
      </c>
      <c r="L50" s="32" t="str">
        <f t="shared" si="16"/>
        <v>De.Mobilidade</v>
      </c>
      <c r="M50" s="32" t="str">
        <f t="shared" si="17"/>
        <v>Elementos.de.Circulação</v>
      </c>
      <c r="N50" s="32" t="str">
        <f t="shared" si="18"/>
        <v>Escadas</v>
      </c>
      <c r="O50" s="27" t="str">
        <f t="shared" si="19"/>
        <v>Lance.Escada.Reto</v>
      </c>
      <c r="P50" s="27" t="s">
        <v>77</v>
      </c>
      <c r="Q50" s="27" t="s">
        <v>88</v>
      </c>
      <c r="R50" s="27" t="s">
        <v>632</v>
      </c>
      <c r="S50" s="69" t="s">
        <v>9</v>
      </c>
      <c r="T50" s="27" t="str">
        <f t="shared" si="20"/>
        <v>De.Mobilidade</v>
      </c>
      <c r="U50" s="27" t="str">
        <f t="shared" si="21"/>
        <v>Elementos.de.Circulação</v>
      </c>
      <c r="V50" s="27" t="str">
        <f t="shared" si="22"/>
        <v>Escadas</v>
      </c>
      <c r="W50" s="27" t="s">
        <v>43</v>
      </c>
      <c r="X50" s="43" t="str">
        <f t="shared" si="15"/>
        <v>Key-CIRCU-50</v>
      </c>
      <c r="Y50" s="27" t="s">
        <v>356</v>
      </c>
      <c r="Z50" s="68" t="s">
        <v>9</v>
      </c>
      <c r="AA50" s="26" t="s">
        <v>415</v>
      </c>
      <c r="AB50" s="68" t="s">
        <v>9</v>
      </c>
      <c r="AC50" s="45" t="s">
        <v>570</v>
      </c>
      <c r="AD50" s="68" t="s">
        <v>9</v>
      </c>
    </row>
    <row r="51" spans="1:30" ht="6" customHeight="1" x14ac:dyDescent="0.25">
      <c r="A51" s="41">
        <v>51</v>
      </c>
      <c r="B51" s="1" t="s">
        <v>513</v>
      </c>
      <c r="C51" s="1" t="s">
        <v>519</v>
      </c>
      <c r="D51" s="1" t="s">
        <v>468</v>
      </c>
      <c r="E51" s="1" t="s">
        <v>222</v>
      </c>
      <c r="F51" s="31" t="s">
        <v>230</v>
      </c>
      <c r="G51" s="47" t="s">
        <v>9</v>
      </c>
      <c r="H51" s="7" t="s">
        <v>9</v>
      </c>
      <c r="I51" s="7" t="s">
        <v>9</v>
      </c>
      <c r="J51" s="7" t="s">
        <v>9</v>
      </c>
      <c r="K51" s="7" t="s">
        <v>9</v>
      </c>
      <c r="L51" s="32" t="str">
        <f t="shared" si="16"/>
        <v>De.Mobilidade</v>
      </c>
      <c r="M51" s="32" t="str">
        <f t="shared" si="17"/>
        <v>Elementos.de.Circulação</v>
      </c>
      <c r="N51" s="32" t="str">
        <f t="shared" si="18"/>
        <v>Escadas</v>
      </c>
      <c r="O51" s="27" t="str">
        <f t="shared" si="19"/>
        <v>Lance.Escada.Compensado</v>
      </c>
      <c r="P51" s="27" t="s">
        <v>78</v>
      </c>
      <c r="Q51" s="27" t="s">
        <v>89</v>
      </c>
      <c r="R51" s="27" t="s">
        <v>633</v>
      </c>
      <c r="S51" s="69" t="s">
        <v>9</v>
      </c>
      <c r="T51" s="27" t="str">
        <f t="shared" si="20"/>
        <v>De.Mobilidade</v>
      </c>
      <c r="U51" s="27" t="str">
        <f t="shared" si="21"/>
        <v>Elementos.de.Circulação</v>
      </c>
      <c r="V51" s="27" t="str">
        <f t="shared" si="22"/>
        <v>Escadas</v>
      </c>
      <c r="W51" s="27" t="s">
        <v>43</v>
      </c>
      <c r="X51" s="43" t="str">
        <f t="shared" si="15"/>
        <v>Key-CIRCU-51</v>
      </c>
      <c r="Y51" s="27" t="s">
        <v>356</v>
      </c>
      <c r="Z51" s="68" t="s">
        <v>9</v>
      </c>
      <c r="AA51" s="26" t="s">
        <v>416</v>
      </c>
      <c r="AB51" s="68" t="s">
        <v>9</v>
      </c>
      <c r="AC51" s="45" t="s">
        <v>570</v>
      </c>
      <c r="AD51" s="68" t="s">
        <v>9</v>
      </c>
    </row>
    <row r="52" spans="1:30" ht="6" customHeight="1" x14ac:dyDescent="0.25">
      <c r="A52" s="41">
        <v>52</v>
      </c>
      <c r="B52" s="1" t="s">
        <v>513</v>
      </c>
      <c r="C52" s="1" t="s">
        <v>519</v>
      </c>
      <c r="D52" s="1" t="s">
        <v>455</v>
      </c>
      <c r="E52" s="1" t="s">
        <v>520</v>
      </c>
      <c r="F52" s="1" t="s">
        <v>274</v>
      </c>
      <c r="G52" s="47" t="s">
        <v>9</v>
      </c>
      <c r="H52" s="7" t="s">
        <v>9</v>
      </c>
      <c r="I52" s="7" t="s">
        <v>9</v>
      </c>
      <c r="J52" s="7" t="s">
        <v>9</v>
      </c>
      <c r="K52" s="7" t="s">
        <v>9</v>
      </c>
      <c r="L52" s="32" t="str">
        <f t="shared" si="16"/>
        <v>De.Mobilidade</v>
      </c>
      <c r="M52" s="32" t="str">
        <f t="shared" si="17"/>
        <v>Elementos.Simbólicos</v>
      </c>
      <c r="N52" s="32" t="str">
        <f t="shared" si="18"/>
        <v>Escadas Símbolos</v>
      </c>
      <c r="O52" s="27" t="str">
        <f t="shared" si="19"/>
        <v>Escada.Interrupção</v>
      </c>
      <c r="P52" s="27" t="s">
        <v>275</v>
      </c>
      <c r="Q52" s="27" t="s">
        <v>157</v>
      </c>
      <c r="R52" s="27" t="s">
        <v>634</v>
      </c>
      <c r="S52" s="69" t="s">
        <v>9</v>
      </c>
      <c r="T52" s="27" t="str">
        <f t="shared" si="20"/>
        <v>De.Mobilidade</v>
      </c>
      <c r="U52" s="27" t="str">
        <f t="shared" si="21"/>
        <v>Elementos.Simbólicos</v>
      </c>
      <c r="V52" s="27" t="str">
        <f t="shared" si="22"/>
        <v>Escadas.Símbolos</v>
      </c>
      <c r="W52" s="27" t="s">
        <v>43</v>
      </c>
      <c r="X52" s="43" t="str">
        <f t="shared" si="15"/>
        <v>Key-CIRCU-52</v>
      </c>
      <c r="Y52" s="27" t="s">
        <v>367</v>
      </c>
      <c r="Z52" s="68" t="s">
        <v>9</v>
      </c>
      <c r="AA52" s="27" t="s">
        <v>397</v>
      </c>
      <c r="AB52" s="68" t="s">
        <v>9</v>
      </c>
      <c r="AC52" s="45" t="s">
        <v>570</v>
      </c>
      <c r="AD52" s="68" t="s">
        <v>9</v>
      </c>
    </row>
    <row r="53" spans="1:30" ht="6" customHeight="1" x14ac:dyDescent="0.25">
      <c r="A53" s="41">
        <v>53</v>
      </c>
      <c r="B53" s="1" t="s">
        <v>513</v>
      </c>
      <c r="C53" s="1" t="s">
        <v>519</v>
      </c>
      <c r="D53" s="1" t="s">
        <v>455</v>
      </c>
      <c r="E53" s="1" t="s">
        <v>520</v>
      </c>
      <c r="F53" s="1" t="s">
        <v>276</v>
      </c>
      <c r="G53" s="47" t="s">
        <v>9</v>
      </c>
      <c r="H53" s="7" t="s">
        <v>9</v>
      </c>
      <c r="I53" s="7" t="s">
        <v>9</v>
      </c>
      <c r="J53" s="7" t="s">
        <v>9</v>
      </c>
      <c r="K53" s="7" t="s">
        <v>9</v>
      </c>
      <c r="L53" s="32" t="str">
        <f t="shared" si="16"/>
        <v>De.Mobilidade</v>
      </c>
      <c r="M53" s="32" t="str">
        <f t="shared" si="17"/>
        <v>Elementos.Simbólicos</v>
      </c>
      <c r="N53" s="32" t="str">
        <f t="shared" si="18"/>
        <v>Escadas Símbolos</v>
      </c>
      <c r="O53" s="27" t="str">
        <f t="shared" si="19"/>
        <v>Escada.Interrupção.Projeção</v>
      </c>
      <c r="P53" s="27" t="s">
        <v>277</v>
      </c>
      <c r="Q53" s="27" t="s">
        <v>158</v>
      </c>
      <c r="R53" s="27" t="s">
        <v>635</v>
      </c>
      <c r="S53" s="69" t="s">
        <v>9</v>
      </c>
      <c r="T53" s="27" t="str">
        <f t="shared" si="20"/>
        <v>De.Mobilidade</v>
      </c>
      <c r="U53" s="27" t="str">
        <f t="shared" si="21"/>
        <v>Elementos.Simbólicos</v>
      </c>
      <c r="V53" s="27" t="str">
        <f t="shared" si="22"/>
        <v>Escadas.Símbolos</v>
      </c>
      <c r="W53" s="27" t="s">
        <v>43</v>
      </c>
      <c r="X53" s="43" t="str">
        <f t="shared" si="15"/>
        <v>Key-CIRCU-53</v>
      </c>
      <c r="Y53" s="27" t="s">
        <v>368</v>
      </c>
      <c r="Z53" s="68" t="s">
        <v>9</v>
      </c>
      <c r="AA53" s="27" t="s">
        <v>397</v>
      </c>
      <c r="AB53" s="68" t="s">
        <v>9</v>
      </c>
      <c r="AC53" s="45" t="s">
        <v>570</v>
      </c>
      <c r="AD53" s="68" t="s">
        <v>9</v>
      </c>
    </row>
    <row r="54" spans="1:30" ht="6" customHeight="1" x14ac:dyDescent="0.25">
      <c r="A54" s="41">
        <v>54</v>
      </c>
      <c r="B54" s="1" t="s">
        <v>513</v>
      </c>
      <c r="C54" s="1" t="s">
        <v>519</v>
      </c>
      <c r="D54" s="1" t="s">
        <v>455</v>
      </c>
      <c r="E54" s="1" t="s">
        <v>520</v>
      </c>
      <c r="F54" s="1" t="s">
        <v>461</v>
      </c>
      <c r="G54" s="47" t="s">
        <v>9</v>
      </c>
      <c r="H54" s="7" t="s">
        <v>9</v>
      </c>
      <c r="I54" s="7" t="s">
        <v>9</v>
      </c>
      <c r="J54" s="7" t="s">
        <v>9</v>
      </c>
      <c r="K54" s="7" t="s">
        <v>9</v>
      </c>
      <c r="L54" s="32" t="str">
        <f t="shared" si="16"/>
        <v>De.Mobilidade</v>
      </c>
      <c r="M54" s="32" t="str">
        <f t="shared" si="17"/>
        <v>Elementos.Simbólicos</v>
      </c>
      <c r="N54" s="32" t="str">
        <f t="shared" si="18"/>
        <v>Escadas Símbolos</v>
      </c>
      <c r="O54" s="27" t="str">
        <f t="shared" si="19"/>
        <v>Numeração.Degraus</v>
      </c>
      <c r="P54" s="27" t="s">
        <v>319</v>
      </c>
      <c r="Q54" s="27" t="s">
        <v>320</v>
      </c>
      <c r="R54" s="27" t="s">
        <v>636</v>
      </c>
      <c r="S54" s="69" t="s">
        <v>9</v>
      </c>
      <c r="T54" s="27" t="str">
        <f t="shared" si="20"/>
        <v>De.Mobilidade</v>
      </c>
      <c r="U54" s="27" t="str">
        <f t="shared" si="21"/>
        <v>Elementos.Simbólicos</v>
      </c>
      <c r="V54" s="27" t="str">
        <f t="shared" si="22"/>
        <v>Escadas.Símbolos</v>
      </c>
      <c r="W54" s="27" t="s">
        <v>43</v>
      </c>
      <c r="X54" s="43" t="str">
        <f t="shared" si="15"/>
        <v>Key-CIRCU-54</v>
      </c>
      <c r="Y54" s="27" t="s">
        <v>388</v>
      </c>
      <c r="Z54" s="68" t="s">
        <v>9</v>
      </c>
      <c r="AA54" s="27" t="s">
        <v>397</v>
      </c>
      <c r="AB54" s="68" t="s">
        <v>9</v>
      </c>
      <c r="AC54" s="45" t="s">
        <v>570</v>
      </c>
      <c r="AD54" s="68" t="s">
        <v>9</v>
      </c>
    </row>
    <row r="55" spans="1:30" ht="6" customHeight="1" x14ac:dyDescent="0.25">
      <c r="A55" s="41">
        <v>55</v>
      </c>
      <c r="B55" s="1" t="s">
        <v>513</v>
      </c>
      <c r="C55" s="1" t="s">
        <v>519</v>
      </c>
      <c r="D55" s="1" t="s">
        <v>455</v>
      </c>
      <c r="E55" s="1" t="s">
        <v>520</v>
      </c>
      <c r="F55" s="1" t="s">
        <v>466</v>
      </c>
      <c r="G55" s="47" t="s">
        <v>9</v>
      </c>
      <c r="H55" s="7" t="s">
        <v>9</v>
      </c>
      <c r="I55" s="7" t="s">
        <v>9</v>
      </c>
      <c r="J55" s="7" t="s">
        <v>9</v>
      </c>
      <c r="K55" s="7" t="s">
        <v>9</v>
      </c>
      <c r="L55" s="32" t="str">
        <f t="shared" si="16"/>
        <v>De.Mobilidade</v>
      </c>
      <c r="M55" s="32" t="str">
        <f t="shared" si="17"/>
        <v>Elementos.Simbólicos</v>
      </c>
      <c r="N55" s="32" t="str">
        <f t="shared" si="18"/>
        <v>Escadas Símbolos</v>
      </c>
      <c r="O55" s="27" t="str">
        <f t="shared" si="19"/>
        <v>Seta.Escada</v>
      </c>
      <c r="P55" s="27" t="s">
        <v>288</v>
      </c>
      <c r="Q55" s="27" t="s">
        <v>146</v>
      </c>
      <c r="R55" s="27" t="s">
        <v>637</v>
      </c>
      <c r="S55" s="69" t="s">
        <v>9</v>
      </c>
      <c r="T55" s="27" t="str">
        <f t="shared" si="20"/>
        <v>De.Mobilidade</v>
      </c>
      <c r="U55" s="27" t="str">
        <f t="shared" si="21"/>
        <v>Elementos.Simbólicos</v>
      </c>
      <c r="V55" s="27" t="str">
        <f t="shared" si="22"/>
        <v>Escadas.Símbolos</v>
      </c>
      <c r="W55" s="27" t="s">
        <v>43</v>
      </c>
      <c r="X55" s="43" t="str">
        <f t="shared" si="15"/>
        <v>Key-CIRCU-55</v>
      </c>
      <c r="Y55" s="27" t="s">
        <v>374</v>
      </c>
      <c r="Z55" s="68" t="s">
        <v>9</v>
      </c>
      <c r="AA55" s="27" t="s">
        <v>397</v>
      </c>
      <c r="AB55" s="68" t="s">
        <v>9</v>
      </c>
      <c r="AC55" s="45" t="s">
        <v>570</v>
      </c>
      <c r="AD55" s="68" t="s">
        <v>9</v>
      </c>
    </row>
    <row r="56" spans="1:30" ht="6" customHeight="1" x14ac:dyDescent="0.25">
      <c r="A56" s="41">
        <v>56</v>
      </c>
      <c r="B56" s="1" t="s">
        <v>513</v>
      </c>
      <c r="C56" s="1" t="s">
        <v>519</v>
      </c>
      <c r="D56" s="1" t="s">
        <v>455</v>
      </c>
      <c r="E56" s="1" t="s">
        <v>520</v>
      </c>
      <c r="F56" s="1" t="s">
        <v>467</v>
      </c>
      <c r="G56" s="47" t="s">
        <v>9</v>
      </c>
      <c r="H56" s="7" t="s">
        <v>9</v>
      </c>
      <c r="I56" s="7" t="s">
        <v>9</v>
      </c>
      <c r="J56" s="7" t="s">
        <v>9</v>
      </c>
      <c r="K56" s="7" t="s">
        <v>9</v>
      </c>
      <c r="L56" s="32" t="str">
        <f t="shared" si="16"/>
        <v>De.Mobilidade</v>
      </c>
      <c r="M56" s="32" t="str">
        <f t="shared" si="17"/>
        <v>Elementos.Simbólicos</v>
      </c>
      <c r="N56" s="32" t="str">
        <f t="shared" si="18"/>
        <v>Escadas Símbolos</v>
      </c>
      <c r="O56" s="27" t="str">
        <f t="shared" si="19"/>
        <v>Seta.Escada.Projeção</v>
      </c>
      <c r="P56" s="27" t="s">
        <v>290</v>
      </c>
      <c r="Q56" s="27" t="s">
        <v>147</v>
      </c>
      <c r="R56" s="27" t="s">
        <v>596</v>
      </c>
      <c r="S56" s="69" t="s">
        <v>9</v>
      </c>
      <c r="T56" s="27" t="str">
        <f t="shared" si="20"/>
        <v>De.Mobilidade</v>
      </c>
      <c r="U56" s="27" t="str">
        <f t="shared" si="21"/>
        <v>Elementos.Simbólicos</v>
      </c>
      <c r="V56" s="27" t="str">
        <f t="shared" si="22"/>
        <v>Escadas.Símbolos</v>
      </c>
      <c r="W56" s="27" t="s">
        <v>43</v>
      </c>
      <c r="X56" s="43" t="str">
        <f t="shared" si="15"/>
        <v>Key-CIRCU-56</v>
      </c>
      <c r="Y56" s="27" t="s">
        <v>375</v>
      </c>
      <c r="Z56" s="68" t="s">
        <v>9</v>
      </c>
      <c r="AA56" s="27" t="s">
        <v>397</v>
      </c>
      <c r="AB56" s="68" t="s">
        <v>9</v>
      </c>
      <c r="AC56" s="45" t="s">
        <v>570</v>
      </c>
      <c r="AD56" s="68" t="s">
        <v>9</v>
      </c>
    </row>
    <row r="57" spans="1:30" ht="6" customHeight="1" x14ac:dyDescent="0.25">
      <c r="A57" s="41">
        <v>57</v>
      </c>
      <c r="B57" s="1" t="s">
        <v>513</v>
      </c>
      <c r="C57" s="1" t="s">
        <v>519</v>
      </c>
      <c r="D57" s="1" t="s">
        <v>455</v>
      </c>
      <c r="E57" s="1" t="s">
        <v>520</v>
      </c>
      <c r="F57" s="1" t="s">
        <v>464</v>
      </c>
      <c r="G57" s="47" t="s">
        <v>9</v>
      </c>
      <c r="H57" s="7" t="s">
        <v>9</v>
      </c>
      <c r="I57" s="7" t="s">
        <v>9</v>
      </c>
      <c r="J57" s="7" t="s">
        <v>9</v>
      </c>
      <c r="K57" s="7" t="s">
        <v>9</v>
      </c>
      <c r="L57" s="32" t="str">
        <f t="shared" si="16"/>
        <v>De.Mobilidade</v>
      </c>
      <c r="M57" s="32" t="str">
        <f t="shared" si="17"/>
        <v>Elementos.Simbólicos</v>
      </c>
      <c r="N57" s="32" t="str">
        <f t="shared" si="18"/>
        <v>Escadas Símbolos</v>
      </c>
      <c r="O57" s="27" t="str">
        <f t="shared" si="19"/>
        <v>Seta.Desce.Escada</v>
      </c>
      <c r="P57" s="27" t="s">
        <v>325</v>
      </c>
      <c r="Q57" s="27" t="s">
        <v>326</v>
      </c>
      <c r="R57" s="27" t="s">
        <v>638</v>
      </c>
      <c r="S57" s="69" t="s">
        <v>9</v>
      </c>
      <c r="T57" s="27" t="str">
        <f t="shared" si="20"/>
        <v>De.Mobilidade</v>
      </c>
      <c r="U57" s="27" t="str">
        <f t="shared" si="21"/>
        <v>Elementos.Simbólicos</v>
      </c>
      <c r="V57" s="27" t="str">
        <f t="shared" si="22"/>
        <v>Escadas.Símbolos</v>
      </c>
      <c r="W57" s="27" t="s">
        <v>43</v>
      </c>
      <c r="X57" s="43" t="str">
        <f t="shared" si="15"/>
        <v>Key-CIRCU-57</v>
      </c>
      <c r="Y57" s="27" t="s">
        <v>391</v>
      </c>
      <c r="Z57" s="68" t="s">
        <v>9</v>
      </c>
      <c r="AA57" s="27" t="s">
        <v>397</v>
      </c>
      <c r="AB57" s="68" t="s">
        <v>9</v>
      </c>
      <c r="AC57" s="45" t="s">
        <v>570</v>
      </c>
      <c r="AD57" s="68" t="s">
        <v>9</v>
      </c>
    </row>
    <row r="58" spans="1:30" ht="6" customHeight="1" x14ac:dyDescent="0.25">
      <c r="A58" s="41">
        <v>58</v>
      </c>
      <c r="B58" s="1" t="s">
        <v>513</v>
      </c>
      <c r="C58" s="1" t="s">
        <v>519</v>
      </c>
      <c r="D58" s="1" t="s">
        <v>455</v>
      </c>
      <c r="E58" s="1" t="s">
        <v>520</v>
      </c>
      <c r="F58" s="1" t="s">
        <v>462</v>
      </c>
      <c r="G58" s="47" t="s">
        <v>9</v>
      </c>
      <c r="H58" s="7" t="s">
        <v>9</v>
      </c>
      <c r="I58" s="7" t="s">
        <v>9</v>
      </c>
      <c r="J58" s="7" t="s">
        <v>9</v>
      </c>
      <c r="K58" s="7" t="s">
        <v>9</v>
      </c>
      <c r="L58" s="32" t="str">
        <f t="shared" si="16"/>
        <v>De.Mobilidade</v>
      </c>
      <c r="M58" s="32" t="str">
        <f t="shared" si="17"/>
        <v>Elementos.Simbólicos</v>
      </c>
      <c r="N58" s="32" t="str">
        <f t="shared" si="18"/>
        <v>Escadas Símbolos</v>
      </c>
      <c r="O58" s="27" t="str">
        <f t="shared" si="19"/>
        <v>Seta.Sobe.Escada</v>
      </c>
      <c r="P58" s="27" t="s">
        <v>321</v>
      </c>
      <c r="Q58" s="27" t="s">
        <v>322</v>
      </c>
      <c r="R58" s="27" t="s">
        <v>639</v>
      </c>
      <c r="S58" s="69" t="s">
        <v>9</v>
      </c>
      <c r="T58" s="27" t="str">
        <f t="shared" si="20"/>
        <v>De.Mobilidade</v>
      </c>
      <c r="U58" s="27" t="str">
        <f t="shared" si="21"/>
        <v>Elementos.Simbólicos</v>
      </c>
      <c r="V58" s="27" t="str">
        <f t="shared" si="22"/>
        <v>Escadas.Símbolos</v>
      </c>
      <c r="W58" s="27" t="s">
        <v>43</v>
      </c>
      <c r="X58" s="43" t="str">
        <f t="shared" si="15"/>
        <v>Key-CIRCU-58</v>
      </c>
      <c r="Y58" s="27" t="s">
        <v>389</v>
      </c>
      <c r="Z58" s="68" t="s">
        <v>9</v>
      </c>
      <c r="AA58" s="27" t="s">
        <v>397</v>
      </c>
      <c r="AB58" s="68" t="s">
        <v>9</v>
      </c>
      <c r="AC58" s="45" t="s">
        <v>570</v>
      </c>
      <c r="AD58" s="68" t="s">
        <v>9</v>
      </c>
    </row>
    <row r="59" spans="1:30" ht="6" customHeight="1" x14ac:dyDescent="0.25">
      <c r="A59" s="41">
        <v>59</v>
      </c>
      <c r="B59" s="1" t="s">
        <v>513</v>
      </c>
      <c r="C59" s="1" t="s">
        <v>519</v>
      </c>
      <c r="D59" s="1" t="s">
        <v>455</v>
      </c>
      <c r="E59" s="1" t="s">
        <v>520</v>
      </c>
      <c r="F59" s="1" t="s">
        <v>465</v>
      </c>
      <c r="G59" s="47" t="s">
        <v>9</v>
      </c>
      <c r="H59" s="7" t="s">
        <v>9</v>
      </c>
      <c r="I59" s="7" t="s">
        <v>9</v>
      </c>
      <c r="J59" s="7" t="s">
        <v>9</v>
      </c>
      <c r="K59" s="7" t="s">
        <v>9</v>
      </c>
      <c r="L59" s="32" t="str">
        <f t="shared" si="16"/>
        <v>De.Mobilidade</v>
      </c>
      <c r="M59" s="32" t="str">
        <f t="shared" si="17"/>
        <v>Elementos.Simbólicos</v>
      </c>
      <c r="N59" s="32" t="str">
        <f t="shared" si="18"/>
        <v>Escadas Símbolos</v>
      </c>
      <c r="O59" s="27" t="str">
        <f t="shared" si="19"/>
        <v>Texto.Desce.Escada</v>
      </c>
      <c r="P59" s="27" t="s">
        <v>327</v>
      </c>
      <c r="Q59" s="27" t="s">
        <v>328</v>
      </c>
      <c r="R59" s="27" t="s">
        <v>640</v>
      </c>
      <c r="S59" s="69" t="s">
        <v>9</v>
      </c>
      <c r="T59" s="27" t="str">
        <f t="shared" si="20"/>
        <v>De.Mobilidade</v>
      </c>
      <c r="U59" s="27" t="str">
        <f t="shared" si="21"/>
        <v>Elementos.Simbólicos</v>
      </c>
      <c r="V59" s="27" t="str">
        <f t="shared" si="22"/>
        <v>Escadas.Símbolos</v>
      </c>
      <c r="W59" s="27" t="s">
        <v>43</v>
      </c>
      <c r="X59" s="43" t="str">
        <f t="shared" si="15"/>
        <v>Key-CIRCU-59</v>
      </c>
      <c r="Y59" s="27" t="s">
        <v>392</v>
      </c>
      <c r="Z59" s="68" t="s">
        <v>9</v>
      </c>
      <c r="AA59" s="27" t="s">
        <v>397</v>
      </c>
      <c r="AB59" s="68" t="s">
        <v>9</v>
      </c>
      <c r="AC59" s="45" t="s">
        <v>570</v>
      </c>
      <c r="AD59" s="68" t="s">
        <v>9</v>
      </c>
    </row>
    <row r="60" spans="1:30" ht="6" customHeight="1" x14ac:dyDescent="0.25">
      <c r="A60" s="41">
        <v>60</v>
      </c>
      <c r="B60" s="1" t="s">
        <v>513</v>
      </c>
      <c r="C60" s="1" t="s">
        <v>519</v>
      </c>
      <c r="D60" s="1" t="s">
        <v>455</v>
      </c>
      <c r="E60" s="1" t="s">
        <v>520</v>
      </c>
      <c r="F60" s="1" t="s">
        <v>463</v>
      </c>
      <c r="G60" s="47" t="s">
        <v>9</v>
      </c>
      <c r="H60" s="7" t="s">
        <v>9</v>
      </c>
      <c r="I60" s="7" t="s">
        <v>9</v>
      </c>
      <c r="J60" s="7" t="s">
        <v>9</v>
      </c>
      <c r="K60" s="7" t="s">
        <v>9</v>
      </c>
      <c r="L60" s="32" t="str">
        <f t="shared" si="16"/>
        <v>De.Mobilidade</v>
      </c>
      <c r="M60" s="32" t="str">
        <f t="shared" si="17"/>
        <v>Elementos.Simbólicos</v>
      </c>
      <c r="N60" s="32" t="str">
        <f t="shared" si="18"/>
        <v>Escadas Símbolos</v>
      </c>
      <c r="O60" s="27" t="str">
        <f t="shared" si="19"/>
        <v>Texto.Sobe.Escada</v>
      </c>
      <c r="P60" s="27" t="s">
        <v>323</v>
      </c>
      <c r="Q60" s="27" t="s">
        <v>324</v>
      </c>
      <c r="R60" s="27" t="s">
        <v>641</v>
      </c>
      <c r="S60" s="69" t="s">
        <v>9</v>
      </c>
      <c r="T60" s="27" t="str">
        <f t="shared" si="20"/>
        <v>De.Mobilidade</v>
      </c>
      <c r="U60" s="27" t="str">
        <f t="shared" si="21"/>
        <v>Elementos.Simbólicos</v>
      </c>
      <c r="V60" s="27" t="str">
        <f t="shared" si="22"/>
        <v>Escadas.Símbolos</v>
      </c>
      <c r="W60" s="27" t="s">
        <v>43</v>
      </c>
      <c r="X60" s="43" t="str">
        <f t="shared" si="15"/>
        <v>Key-CIRCU-60</v>
      </c>
      <c r="Y60" s="27" t="s">
        <v>390</v>
      </c>
      <c r="Z60" s="68" t="s">
        <v>9</v>
      </c>
      <c r="AA60" s="27" t="s">
        <v>397</v>
      </c>
      <c r="AB60" s="68" t="s">
        <v>9</v>
      </c>
      <c r="AC60" s="45" t="s">
        <v>570</v>
      </c>
      <c r="AD60" s="68" t="s">
        <v>9</v>
      </c>
    </row>
    <row r="61" spans="1:30" ht="6" customHeight="1" x14ac:dyDescent="0.25">
      <c r="A61" s="41">
        <v>61</v>
      </c>
      <c r="B61" s="1" t="s">
        <v>513</v>
      </c>
      <c r="C61" s="1" t="s">
        <v>519</v>
      </c>
      <c r="D61" s="1" t="s">
        <v>469</v>
      </c>
      <c r="E61" s="1" t="s">
        <v>487</v>
      </c>
      <c r="F61" s="1" t="s">
        <v>475</v>
      </c>
      <c r="G61" s="47" t="s">
        <v>9</v>
      </c>
      <c r="H61" s="7" t="s">
        <v>9</v>
      </c>
      <c r="I61" s="48" t="s">
        <v>170</v>
      </c>
      <c r="J61" s="7" t="s">
        <v>9</v>
      </c>
      <c r="K61" s="7" t="s">
        <v>9</v>
      </c>
      <c r="L61" s="32" t="str">
        <f t="shared" si="16"/>
        <v>De.Mobilidade</v>
      </c>
      <c r="M61" s="32" t="str">
        <f t="shared" si="17"/>
        <v>Elementos.de.Proteção</v>
      </c>
      <c r="N61" s="32" t="str">
        <f t="shared" si="18"/>
        <v>Guardacorpos</v>
      </c>
      <c r="O61" s="27" t="str">
        <f t="shared" si="19"/>
        <v>Guardacorpo</v>
      </c>
      <c r="P61" s="27" t="s">
        <v>96</v>
      </c>
      <c r="Q61" s="27" t="s">
        <v>97</v>
      </c>
      <c r="R61" s="27" t="s">
        <v>642</v>
      </c>
      <c r="S61" s="69" t="s">
        <v>9</v>
      </c>
      <c r="T61" s="27" t="str">
        <f t="shared" si="20"/>
        <v>De.Mobilidade</v>
      </c>
      <c r="U61" s="27" t="str">
        <f t="shared" si="21"/>
        <v>Elementos.de.Proteção</v>
      </c>
      <c r="V61" s="27" t="str">
        <f t="shared" si="22"/>
        <v>Guardacorpos</v>
      </c>
      <c r="W61" s="27" t="s">
        <v>43</v>
      </c>
      <c r="X61" s="43" t="str">
        <f t="shared" si="15"/>
        <v>Key-CIRCU-61</v>
      </c>
      <c r="Y61" s="27" t="s">
        <v>334</v>
      </c>
      <c r="Z61" s="68" t="s">
        <v>9</v>
      </c>
      <c r="AA61" s="26" t="s">
        <v>393</v>
      </c>
      <c r="AB61" s="68" t="s">
        <v>9</v>
      </c>
      <c r="AC61" s="45" t="s">
        <v>571</v>
      </c>
      <c r="AD61" s="68" t="s">
        <v>9</v>
      </c>
    </row>
    <row r="62" spans="1:30" ht="6" customHeight="1" x14ac:dyDescent="0.25">
      <c r="A62" s="41">
        <v>62</v>
      </c>
      <c r="B62" s="1" t="s">
        <v>513</v>
      </c>
      <c r="C62" s="1" t="s">
        <v>519</v>
      </c>
      <c r="D62" s="1" t="s">
        <v>469</v>
      </c>
      <c r="E62" s="1" t="s">
        <v>487</v>
      </c>
      <c r="F62" s="1" t="s">
        <v>470</v>
      </c>
      <c r="G62" s="47" t="s">
        <v>9</v>
      </c>
      <c r="H62" s="7" t="s">
        <v>9</v>
      </c>
      <c r="I62" s="48" t="s">
        <v>174</v>
      </c>
      <c r="J62" s="7" t="s">
        <v>9</v>
      </c>
      <c r="K62" s="7" t="s">
        <v>9</v>
      </c>
      <c r="L62" s="32" t="str">
        <f t="shared" si="16"/>
        <v>De.Mobilidade</v>
      </c>
      <c r="M62" s="32" t="str">
        <f t="shared" si="17"/>
        <v>Elementos.de.Proteção</v>
      </c>
      <c r="N62" s="32" t="str">
        <f t="shared" si="18"/>
        <v>Guardacorpos</v>
      </c>
      <c r="O62" s="27" t="str">
        <f t="shared" si="19"/>
        <v>Balaústre</v>
      </c>
      <c r="P62" s="27" t="s">
        <v>112</v>
      </c>
      <c r="Q62" s="27" t="s">
        <v>127</v>
      </c>
      <c r="R62" s="27" t="s">
        <v>643</v>
      </c>
      <c r="S62" s="69" t="s">
        <v>9</v>
      </c>
      <c r="T62" s="27" t="str">
        <f t="shared" si="20"/>
        <v>De.Mobilidade</v>
      </c>
      <c r="U62" s="27" t="str">
        <f t="shared" si="21"/>
        <v>Elementos.de.Proteção</v>
      </c>
      <c r="V62" s="27" t="str">
        <f t="shared" si="22"/>
        <v>Guardacorpos</v>
      </c>
      <c r="W62" s="27" t="s">
        <v>43</v>
      </c>
      <c r="X62" s="43" t="str">
        <f t="shared" si="15"/>
        <v>Key-CIRCU-62</v>
      </c>
      <c r="Y62" s="27" t="s">
        <v>335</v>
      </c>
      <c r="Z62" s="68" t="s">
        <v>9</v>
      </c>
      <c r="AA62" s="26" t="s">
        <v>408</v>
      </c>
      <c r="AB62" s="68" t="s">
        <v>9</v>
      </c>
      <c r="AC62" s="45" t="s">
        <v>571</v>
      </c>
      <c r="AD62" s="68" t="s">
        <v>9</v>
      </c>
    </row>
    <row r="63" spans="1:30" ht="6" customHeight="1" x14ac:dyDescent="0.25">
      <c r="A63" s="41">
        <v>63</v>
      </c>
      <c r="B63" s="1" t="s">
        <v>513</v>
      </c>
      <c r="C63" s="1" t="s">
        <v>519</v>
      </c>
      <c r="D63" s="1" t="s">
        <v>469</v>
      </c>
      <c r="E63" s="1" t="s">
        <v>487</v>
      </c>
      <c r="F63" s="1" t="s">
        <v>471</v>
      </c>
      <c r="G63" s="47" t="s">
        <v>9</v>
      </c>
      <c r="H63" s="7" t="s">
        <v>9</v>
      </c>
      <c r="I63" s="7" t="s">
        <v>9</v>
      </c>
      <c r="J63" s="7" t="s">
        <v>9</v>
      </c>
      <c r="K63" s="7" t="s">
        <v>9</v>
      </c>
      <c r="L63" s="32" t="str">
        <f t="shared" si="16"/>
        <v>De.Mobilidade</v>
      </c>
      <c r="M63" s="32" t="str">
        <f t="shared" si="17"/>
        <v>Elementos.de.Proteção</v>
      </c>
      <c r="N63" s="32" t="str">
        <f t="shared" si="18"/>
        <v>Guardacorpos</v>
      </c>
      <c r="O63" s="27" t="str">
        <f t="shared" si="19"/>
        <v>Balaústre.Corte</v>
      </c>
      <c r="P63" s="27" t="s">
        <v>112</v>
      </c>
      <c r="Q63" s="27" t="s">
        <v>127</v>
      </c>
      <c r="R63" s="27" t="s">
        <v>643</v>
      </c>
      <c r="S63" s="69" t="s">
        <v>9</v>
      </c>
      <c r="T63" s="27" t="str">
        <f t="shared" si="20"/>
        <v>De.Mobilidade</v>
      </c>
      <c r="U63" s="27" t="str">
        <f t="shared" si="21"/>
        <v>Elementos.de.Proteção</v>
      </c>
      <c r="V63" s="27" t="str">
        <f t="shared" si="22"/>
        <v>Guardacorpos</v>
      </c>
      <c r="W63" s="27" t="s">
        <v>43</v>
      </c>
      <c r="X63" s="43" t="str">
        <f t="shared" si="15"/>
        <v>Key-CIRCU-63</v>
      </c>
      <c r="Y63" s="27" t="s">
        <v>336</v>
      </c>
      <c r="Z63" s="68" t="s">
        <v>9</v>
      </c>
      <c r="AA63" s="26" t="s">
        <v>408</v>
      </c>
      <c r="AB63" s="68" t="s">
        <v>9</v>
      </c>
      <c r="AC63" s="45" t="s">
        <v>571</v>
      </c>
      <c r="AD63" s="68" t="s">
        <v>9</v>
      </c>
    </row>
    <row r="64" spans="1:30" ht="6" customHeight="1" x14ac:dyDescent="0.25">
      <c r="A64" s="41">
        <v>64</v>
      </c>
      <c r="B64" s="1" t="s">
        <v>513</v>
      </c>
      <c r="C64" s="1" t="s">
        <v>519</v>
      </c>
      <c r="D64" s="1" t="s">
        <v>469</v>
      </c>
      <c r="E64" s="1" t="s">
        <v>487</v>
      </c>
      <c r="F64" s="1" t="s">
        <v>44</v>
      </c>
      <c r="G64" s="47" t="s">
        <v>9</v>
      </c>
      <c r="H64" s="7" t="s">
        <v>9</v>
      </c>
      <c r="I64" s="7" t="s">
        <v>9</v>
      </c>
      <c r="J64" s="7" t="s">
        <v>9</v>
      </c>
      <c r="K64" s="7" t="s">
        <v>9</v>
      </c>
      <c r="L64" s="32" t="str">
        <f t="shared" si="16"/>
        <v>De.Mobilidade</v>
      </c>
      <c r="M64" s="32" t="str">
        <f t="shared" si="17"/>
        <v>Elementos.de.Proteção</v>
      </c>
      <c r="N64" s="32" t="str">
        <f t="shared" si="18"/>
        <v>Guardacorpos</v>
      </c>
      <c r="O64" s="27" t="str">
        <f t="shared" si="19"/>
        <v>Corrimão</v>
      </c>
      <c r="P64" s="27" t="s">
        <v>115</v>
      </c>
      <c r="Q64" s="27" t="s">
        <v>128</v>
      </c>
      <c r="R64" s="27" t="s">
        <v>644</v>
      </c>
      <c r="S64" s="69" t="s">
        <v>9</v>
      </c>
      <c r="T64" s="27" t="str">
        <f t="shared" si="20"/>
        <v>De.Mobilidade</v>
      </c>
      <c r="U64" s="27" t="str">
        <f t="shared" si="21"/>
        <v>Elementos.de.Proteção</v>
      </c>
      <c r="V64" s="27" t="str">
        <f t="shared" si="22"/>
        <v>Guardacorpos</v>
      </c>
      <c r="W64" s="27" t="s">
        <v>43</v>
      </c>
      <c r="X64" s="43" t="str">
        <f t="shared" si="15"/>
        <v>Key-CIRCU-64</v>
      </c>
      <c r="Y64" s="27" t="s">
        <v>338</v>
      </c>
      <c r="Z64" s="68" t="s">
        <v>9</v>
      </c>
      <c r="AA64" s="26" t="s">
        <v>407</v>
      </c>
      <c r="AB64" s="68" t="s">
        <v>9</v>
      </c>
      <c r="AC64" s="45" t="s">
        <v>571</v>
      </c>
      <c r="AD64" s="68" t="s">
        <v>9</v>
      </c>
    </row>
    <row r="65" spans="1:30" ht="6" customHeight="1" x14ac:dyDescent="0.25">
      <c r="A65" s="41">
        <v>65</v>
      </c>
      <c r="B65" s="1" t="s">
        <v>513</v>
      </c>
      <c r="C65" s="1" t="s">
        <v>519</v>
      </c>
      <c r="D65" s="1" t="s">
        <v>469</v>
      </c>
      <c r="E65" s="1" t="s">
        <v>487</v>
      </c>
      <c r="F65" s="1" t="s">
        <v>472</v>
      </c>
      <c r="G65" s="47" t="s">
        <v>9</v>
      </c>
      <c r="H65" s="7" t="s">
        <v>9</v>
      </c>
      <c r="I65" s="7" t="s">
        <v>9</v>
      </c>
      <c r="J65" s="7" t="s">
        <v>9</v>
      </c>
      <c r="K65" s="7" t="s">
        <v>9</v>
      </c>
      <c r="L65" s="32" t="str">
        <f t="shared" ref="L65:L96" si="23">CONCATENATE("", C65)</f>
        <v>De.Mobilidade</v>
      </c>
      <c r="M65" s="32" t="str">
        <f t="shared" ref="M65:M96" si="24">CONCATENATE("", D65)</f>
        <v>Elementos.de.Proteção</v>
      </c>
      <c r="N65" s="32" t="str">
        <f t="shared" ref="N65:N96" si="25">(SUBSTITUTE(SUBSTITUTE(CONCATENATE("",E65),"."," ")," De "," de "))</f>
        <v>Guardacorpos</v>
      </c>
      <c r="O65" s="27" t="str">
        <f t="shared" ref="O65:O96" si="26">IF(ISNUMBER(FIND("Ifc",F65)),CONCATENATE("Classe IFC:   ",F65),F65)</f>
        <v>Corrimão.Corte</v>
      </c>
      <c r="P65" s="27" t="s">
        <v>115</v>
      </c>
      <c r="Q65" s="27" t="s">
        <v>128</v>
      </c>
      <c r="R65" s="27" t="s">
        <v>644</v>
      </c>
      <c r="S65" s="69" t="s">
        <v>9</v>
      </c>
      <c r="T65" s="27" t="str">
        <f t="shared" ref="T65:T96" si="27">SUBSTITUTE(C65, "_", " ")</f>
        <v>De.Mobilidade</v>
      </c>
      <c r="U65" s="27" t="str">
        <f t="shared" ref="U65:U96" si="28">SUBSTITUTE(D65, "_", " ")</f>
        <v>Elementos.de.Proteção</v>
      </c>
      <c r="V65" s="27" t="str">
        <f t="shared" ref="V65:V96" si="29">SUBSTITUTE(E65, "_", " ")</f>
        <v>Guardacorpos</v>
      </c>
      <c r="W65" s="27" t="s">
        <v>43</v>
      </c>
      <c r="X65" s="43" t="str">
        <f t="shared" si="15"/>
        <v>Key-CIRCU-65</v>
      </c>
      <c r="Y65" s="27" t="s">
        <v>337</v>
      </c>
      <c r="Z65" s="68" t="s">
        <v>9</v>
      </c>
      <c r="AA65" s="26" t="s">
        <v>407</v>
      </c>
      <c r="AB65" s="68" t="s">
        <v>9</v>
      </c>
      <c r="AC65" s="45" t="s">
        <v>571</v>
      </c>
      <c r="AD65" s="68" t="s">
        <v>9</v>
      </c>
    </row>
    <row r="66" spans="1:30" ht="6" customHeight="1" x14ac:dyDescent="0.25">
      <c r="A66" s="41">
        <v>66</v>
      </c>
      <c r="B66" s="1" t="s">
        <v>513</v>
      </c>
      <c r="C66" s="1" t="s">
        <v>519</v>
      </c>
      <c r="D66" s="1" t="s">
        <v>469</v>
      </c>
      <c r="E66" s="1" t="s">
        <v>487</v>
      </c>
      <c r="F66" s="1" t="s">
        <v>473</v>
      </c>
      <c r="G66" s="47" t="s">
        <v>9</v>
      </c>
      <c r="H66" s="7" t="s">
        <v>9</v>
      </c>
      <c r="I66" s="7" t="s">
        <v>9</v>
      </c>
      <c r="J66" s="7" t="s">
        <v>9</v>
      </c>
      <c r="K66" s="7" t="s">
        <v>9</v>
      </c>
      <c r="L66" s="32" t="str">
        <f t="shared" si="23"/>
        <v>De.Mobilidade</v>
      </c>
      <c r="M66" s="32" t="str">
        <f t="shared" si="24"/>
        <v>Elementos.de.Proteção</v>
      </c>
      <c r="N66" s="32" t="str">
        <f t="shared" si="25"/>
        <v>Guardacorpos</v>
      </c>
      <c r="O66" s="27" t="str">
        <f t="shared" si="26"/>
        <v>Corrimão.Superior</v>
      </c>
      <c r="P66" s="27" t="s">
        <v>125</v>
      </c>
      <c r="Q66" s="27" t="s">
        <v>139</v>
      </c>
      <c r="R66" s="27" t="s">
        <v>645</v>
      </c>
      <c r="S66" s="69" t="s">
        <v>9</v>
      </c>
      <c r="T66" s="27" t="str">
        <f t="shared" si="27"/>
        <v>De.Mobilidade</v>
      </c>
      <c r="U66" s="27" t="str">
        <f t="shared" si="28"/>
        <v>Elementos.de.Proteção</v>
      </c>
      <c r="V66" s="27" t="str">
        <f t="shared" si="29"/>
        <v>Guardacorpos</v>
      </c>
      <c r="W66" s="27" t="s">
        <v>43</v>
      </c>
      <c r="X66" s="43" t="str">
        <f t="shared" ref="X66:X125" si="30">CONCATENATE("Key-CIRCU-",A66)</f>
        <v>Key-CIRCU-66</v>
      </c>
      <c r="Y66" s="27" t="s">
        <v>330</v>
      </c>
      <c r="Z66" s="68" t="s">
        <v>9</v>
      </c>
      <c r="AA66" s="26" t="s">
        <v>407</v>
      </c>
      <c r="AB66" s="68" t="s">
        <v>9</v>
      </c>
      <c r="AC66" s="45" t="s">
        <v>571</v>
      </c>
      <c r="AD66" s="68" t="s">
        <v>9</v>
      </c>
    </row>
    <row r="67" spans="1:30" ht="6" customHeight="1" x14ac:dyDescent="0.25">
      <c r="A67" s="41">
        <v>67</v>
      </c>
      <c r="B67" s="1" t="s">
        <v>513</v>
      </c>
      <c r="C67" s="1" t="s">
        <v>519</v>
      </c>
      <c r="D67" s="1" t="s">
        <v>469</v>
      </c>
      <c r="E67" s="1" t="s">
        <v>487</v>
      </c>
      <c r="F67" s="1" t="s">
        <v>474</v>
      </c>
      <c r="G67" s="47" t="s">
        <v>9</v>
      </c>
      <c r="H67" s="7" t="s">
        <v>9</v>
      </c>
      <c r="I67" s="7" t="s">
        <v>9</v>
      </c>
      <c r="J67" s="7" t="s">
        <v>9</v>
      </c>
      <c r="K67" s="7" t="s">
        <v>9</v>
      </c>
      <c r="L67" s="32" t="str">
        <f t="shared" si="23"/>
        <v>De.Mobilidade</v>
      </c>
      <c r="M67" s="32" t="str">
        <f t="shared" si="24"/>
        <v>Elementos.de.Proteção</v>
      </c>
      <c r="N67" s="32" t="str">
        <f t="shared" si="25"/>
        <v>Guardacorpos</v>
      </c>
      <c r="O67" s="27" t="str">
        <f t="shared" si="26"/>
        <v>Corrimão.Superior.Corte</v>
      </c>
      <c r="P67" s="27" t="s">
        <v>114</v>
      </c>
      <c r="Q67" s="27" t="s">
        <v>141</v>
      </c>
      <c r="R67" s="27" t="s">
        <v>646</v>
      </c>
      <c r="S67" s="69" t="s">
        <v>9</v>
      </c>
      <c r="T67" s="27" t="str">
        <f t="shared" si="27"/>
        <v>De.Mobilidade</v>
      </c>
      <c r="U67" s="27" t="str">
        <f t="shared" si="28"/>
        <v>Elementos.de.Proteção</v>
      </c>
      <c r="V67" s="27" t="str">
        <f t="shared" si="29"/>
        <v>Guardacorpos</v>
      </c>
      <c r="W67" s="27" t="s">
        <v>43</v>
      </c>
      <c r="X67" s="43" t="str">
        <f t="shared" si="30"/>
        <v>Key-CIRCU-67</v>
      </c>
      <c r="Y67" s="27" t="s">
        <v>339</v>
      </c>
      <c r="Z67" s="68" t="s">
        <v>9</v>
      </c>
      <c r="AA67" s="26" t="s">
        <v>407</v>
      </c>
      <c r="AB67" s="68" t="s">
        <v>9</v>
      </c>
      <c r="AC67" s="45" t="s">
        <v>571</v>
      </c>
      <c r="AD67" s="68" t="s">
        <v>9</v>
      </c>
    </row>
    <row r="68" spans="1:30" ht="6.6" customHeight="1" x14ac:dyDescent="0.25">
      <c r="A68" s="41">
        <v>68</v>
      </c>
      <c r="B68" s="1" t="s">
        <v>513</v>
      </c>
      <c r="C68" s="1" t="s">
        <v>519</v>
      </c>
      <c r="D68" s="1" t="s">
        <v>469</v>
      </c>
      <c r="E68" s="1" t="s">
        <v>487</v>
      </c>
      <c r="F68" s="1" t="s">
        <v>488</v>
      </c>
      <c r="G68" s="7" t="s">
        <v>9</v>
      </c>
      <c r="H68" s="7" t="s">
        <v>9</v>
      </c>
      <c r="I68" s="7" t="s">
        <v>9</v>
      </c>
      <c r="J68" s="7" t="s">
        <v>9</v>
      </c>
      <c r="K68" s="7" t="s">
        <v>9</v>
      </c>
      <c r="L68" s="32" t="str">
        <f t="shared" si="23"/>
        <v>De.Mobilidade</v>
      </c>
      <c r="M68" s="32" t="str">
        <f t="shared" si="24"/>
        <v>Elementos.de.Proteção</v>
      </c>
      <c r="N68" s="32" t="str">
        <f t="shared" si="25"/>
        <v>Guardacorpos</v>
      </c>
      <c r="O68" s="27" t="str">
        <f t="shared" si="26"/>
        <v>Guardacorpo.Percurso</v>
      </c>
      <c r="P68" s="27" t="s">
        <v>115</v>
      </c>
      <c r="Q68" s="27" t="s">
        <v>128</v>
      </c>
      <c r="R68" s="27" t="s">
        <v>644</v>
      </c>
      <c r="S68" s="69" t="s">
        <v>9</v>
      </c>
      <c r="T68" s="27" t="str">
        <f t="shared" si="27"/>
        <v>De.Mobilidade</v>
      </c>
      <c r="U68" s="27" t="str">
        <f t="shared" si="28"/>
        <v>Elementos.de.Proteção</v>
      </c>
      <c r="V68" s="27" t="str">
        <f t="shared" si="29"/>
        <v>Guardacorpos</v>
      </c>
      <c r="W68" s="27" t="s">
        <v>43</v>
      </c>
      <c r="X68" s="43" t="str">
        <f t="shared" si="30"/>
        <v>Key-CIRCU-68</v>
      </c>
      <c r="Y68" s="27" t="s">
        <v>341</v>
      </c>
      <c r="Z68" s="68" t="s">
        <v>9</v>
      </c>
      <c r="AA68" s="26" t="s">
        <v>393</v>
      </c>
      <c r="AB68" s="68" t="s">
        <v>9</v>
      </c>
      <c r="AC68" s="45" t="s">
        <v>571</v>
      </c>
      <c r="AD68" s="68" t="s">
        <v>9</v>
      </c>
    </row>
    <row r="69" spans="1:30" ht="6.6" customHeight="1" x14ac:dyDescent="0.25">
      <c r="A69" s="41">
        <v>69</v>
      </c>
      <c r="B69" s="1" t="s">
        <v>513</v>
      </c>
      <c r="C69" s="1" t="s">
        <v>519</v>
      </c>
      <c r="D69" s="1" t="s">
        <v>469</v>
      </c>
      <c r="E69" s="1" t="s">
        <v>487</v>
      </c>
      <c r="F69" s="1" t="s">
        <v>489</v>
      </c>
      <c r="G69" s="7" t="s">
        <v>9</v>
      </c>
      <c r="H69" s="7" t="s">
        <v>9</v>
      </c>
      <c r="I69" s="7" t="s">
        <v>9</v>
      </c>
      <c r="J69" s="7" t="s">
        <v>9</v>
      </c>
      <c r="K69" s="7" t="s">
        <v>9</v>
      </c>
      <c r="L69" s="32" t="str">
        <f t="shared" si="23"/>
        <v>De.Mobilidade</v>
      </c>
      <c r="M69" s="32" t="str">
        <f t="shared" si="24"/>
        <v>Elementos.de.Proteção</v>
      </c>
      <c r="N69" s="32" t="str">
        <f t="shared" si="25"/>
        <v>Guardacorpos</v>
      </c>
      <c r="O69" s="27" t="str">
        <f t="shared" si="26"/>
        <v>Guardacorpo.Extensão</v>
      </c>
      <c r="P69" s="27" t="s">
        <v>115</v>
      </c>
      <c r="Q69" s="27" t="s">
        <v>128</v>
      </c>
      <c r="R69" s="27" t="s">
        <v>644</v>
      </c>
      <c r="S69" s="69" t="s">
        <v>9</v>
      </c>
      <c r="T69" s="27" t="str">
        <f t="shared" si="27"/>
        <v>De.Mobilidade</v>
      </c>
      <c r="U69" s="27" t="str">
        <f t="shared" si="28"/>
        <v>Elementos.de.Proteção</v>
      </c>
      <c r="V69" s="27" t="str">
        <f t="shared" si="29"/>
        <v>Guardacorpos</v>
      </c>
      <c r="W69" s="27" t="s">
        <v>43</v>
      </c>
      <c r="X69" s="43" t="str">
        <f t="shared" si="30"/>
        <v>Key-CIRCU-69</v>
      </c>
      <c r="Y69" s="27" t="s">
        <v>340</v>
      </c>
      <c r="Z69" s="68" t="s">
        <v>9</v>
      </c>
      <c r="AA69" s="26" t="s">
        <v>393</v>
      </c>
      <c r="AB69" s="68" t="s">
        <v>9</v>
      </c>
      <c r="AC69" s="45" t="s">
        <v>571</v>
      </c>
      <c r="AD69" s="68" t="s">
        <v>9</v>
      </c>
    </row>
    <row r="70" spans="1:30" ht="6.6" customHeight="1" x14ac:dyDescent="0.25">
      <c r="A70" s="41">
        <v>70</v>
      </c>
      <c r="B70" s="1" t="s">
        <v>513</v>
      </c>
      <c r="C70" s="1" t="s">
        <v>519</v>
      </c>
      <c r="D70" s="1" t="s">
        <v>469</v>
      </c>
      <c r="E70" s="1" t="s">
        <v>487</v>
      </c>
      <c r="F70" s="1" t="s">
        <v>490</v>
      </c>
      <c r="G70" s="7" t="s">
        <v>9</v>
      </c>
      <c r="H70" s="7" t="s">
        <v>9</v>
      </c>
      <c r="I70" s="7" t="s">
        <v>9</v>
      </c>
      <c r="J70" s="7" t="s">
        <v>9</v>
      </c>
      <c r="K70" s="7" t="s">
        <v>9</v>
      </c>
      <c r="L70" s="32" t="str">
        <f t="shared" si="23"/>
        <v>De.Mobilidade</v>
      </c>
      <c r="M70" s="32" t="str">
        <f t="shared" si="24"/>
        <v>Elementos.de.Proteção</v>
      </c>
      <c r="N70" s="32" t="str">
        <f t="shared" si="25"/>
        <v>Guardacorpos</v>
      </c>
      <c r="O70" s="27" t="str">
        <f t="shared" si="26"/>
        <v>Corrimão.Suporte</v>
      </c>
      <c r="P70" s="27" t="s">
        <v>116</v>
      </c>
      <c r="Q70" s="27" t="s">
        <v>129</v>
      </c>
      <c r="R70" s="27" t="s">
        <v>647</v>
      </c>
      <c r="S70" s="69" t="s">
        <v>9</v>
      </c>
      <c r="T70" s="27" t="str">
        <f t="shared" si="27"/>
        <v>De.Mobilidade</v>
      </c>
      <c r="U70" s="27" t="str">
        <f t="shared" si="28"/>
        <v>Elementos.de.Proteção</v>
      </c>
      <c r="V70" s="27" t="str">
        <f t="shared" si="29"/>
        <v>Guardacorpos</v>
      </c>
      <c r="W70" s="27" t="s">
        <v>43</v>
      </c>
      <c r="X70" s="43" t="str">
        <f t="shared" si="30"/>
        <v>Key-CIRCU-70</v>
      </c>
      <c r="Y70" s="27" t="s">
        <v>342</v>
      </c>
      <c r="Z70" s="68" t="s">
        <v>9</v>
      </c>
      <c r="AA70" s="26" t="s">
        <v>393</v>
      </c>
      <c r="AB70" s="68" t="s">
        <v>9</v>
      </c>
      <c r="AC70" s="45" t="s">
        <v>571</v>
      </c>
      <c r="AD70" s="68" t="s">
        <v>9</v>
      </c>
    </row>
    <row r="71" spans="1:30" ht="6.6" customHeight="1" x14ac:dyDescent="0.25">
      <c r="A71" s="41">
        <v>71</v>
      </c>
      <c r="B71" s="1" t="s">
        <v>513</v>
      </c>
      <c r="C71" s="1" t="s">
        <v>519</v>
      </c>
      <c r="D71" s="1" t="s">
        <v>469</v>
      </c>
      <c r="E71" s="1" t="s">
        <v>487</v>
      </c>
      <c r="F71" s="1" t="s">
        <v>491</v>
      </c>
      <c r="G71" s="7" t="s">
        <v>9</v>
      </c>
      <c r="H71" s="7" t="s">
        <v>9</v>
      </c>
      <c r="I71" s="7" t="s">
        <v>9</v>
      </c>
      <c r="J71" s="7" t="s">
        <v>9</v>
      </c>
      <c r="K71" s="7" t="s">
        <v>9</v>
      </c>
      <c r="L71" s="32" t="str">
        <f t="shared" si="23"/>
        <v>De.Mobilidade</v>
      </c>
      <c r="M71" s="32" t="str">
        <f t="shared" si="24"/>
        <v>Elementos.de.Proteção</v>
      </c>
      <c r="N71" s="32" t="str">
        <f t="shared" si="25"/>
        <v>Guardacorpos</v>
      </c>
      <c r="O71" s="27" t="str">
        <f t="shared" si="26"/>
        <v>Corrimão.Final</v>
      </c>
      <c r="P71" s="27" t="s">
        <v>124</v>
      </c>
      <c r="Q71" s="27" t="s">
        <v>138</v>
      </c>
      <c r="R71" s="27" t="s">
        <v>648</v>
      </c>
      <c r="S71" s="69" t="s">
        <v>9</v>
      </c>
      <c r="T71" s="27" t="str">
        <f t="shared" si="27"/>
        <v>De.Mobilidade</v>
      </c>
      <c r="U71" s="27" t="str">
        <f t="shared" si="28"/>
        <v>Elementos.de.Proteção</v>
      </c>
      <c r="V71" s="27" t="str">
        <f t="shared" si="29"/>
        <v>Guardacorpos</v>
      </c>
      <c r="W71" s="27" t="s">
        <v>43</v>
      </c>
      <c r="X71" s="43" t="str">
        <f t="shared" si="30"/>
        <v>Key-CIRCU-71</v>
      </c>
      <c r="Y71" s="27" t="s">
        <v>343</v>
      </c>
      <c r="Z71" s="68" t="s">
        <v>9</v>
      </c>
      <c r="AA71" s="26" t="s">
        <v>393</v>
      </c>
      <c r="AB71" s="68" t="s">
        <v>9</v>
      </c>
      <c r="AC71" s="45" t="s">
        <v>571</v>
      </c>
      <c r="AD71" s="68" t="s">
        <v>9</v>
      </c>
    </row>
    <row r="72" spans="1:30" ht="6.6" customHeight="1" x14ac:dyDescent="0.25">
      <c r="A72" s="41">
        <v>72</v>
      </c>
      <c r="B72" s="1" t="s">
        <v>513</v>
      </c>
      <c r="C72" s="1" t="s">
        <v>519</v>
      </c>
      <c r="D72" s="1" t="s">
        <v>469</v>
      </c>
      <c r="E72" s="1" t="s">
        <v>522</v>
      </c>
      <c r="F72" s="1" t="s">
        <v>169</v>
      </c>
      <c r="G72" s="7" t="s">
        <v>9</v>
      </c>
      <c r="H72" s="7" t="s">
        <v>9</v>
      </c>
      <c r="I72" s="7" t="s">
        <v>9</v>
      </c>
      <c r="J72" s="7" t="s">
        <v>9</v>
      </c>
      <c r="K72" s="7" t="s">
        <v>9</v>
      </c>
      <c r="L72" s="32" t="str">
        <f t="shared" si="23"/>
        <v>De.Mobilidade</v>
      </c>
      <c r="M72" s="32" t="str">
        <f t="shared" si="24"/>
        <v>Elementos.de.Proteção</v>
      </c>
      <c r="N72" s="32" t="str">
        <f t="shared" si="25"/>
        <v>Guardacorpos Escadas</v>
      </c>
      <c r="O72" s="27" t="str">
        <f t="shared" si="26"/>
        <v>Guardacorpo.Escada</v>
      </c>
      <c r="P72" s="27" t="s">
        <v>171</v>
      </c>
      <c r="Q72" s="27" t="s">
        <v>172</v>
      </c>
      <c r="R72" s="27" t="s">
        <v>649</v>
      </c>
      <c r="S72" s="69" t="s">
        <v>9</v>
      </c>
      <c r="T72" s="27" t="str">
        <f t="shared" si="27"/>
        <v>De.Mobilidade</v>
      </c>
      <c r="U72" s="27" t="str">
        <f t="shared" si="28"/>
        <v>Elementos.de.Proteção</v>
      </c>
      <c r="V72" s="27" t="str">
        <f t="shared" si="29"/>
        <v>Guardacorpos.Escadas</v>
      </c>
      <c r="W72" s="27" t="s">
        <v>43</v>
      </c>
      <c r="X72" s="43" t="str">
        <f t="shared" si="30"/>
        <v>Key-CIRCU-72</v>
      </c>
      <c r="Y72" s="27" t="s">
        <v>329</v>
      </c>
      <c r="Z72" s="68" t="s">
        <v>9</v>
      </c>
      <c r="AA72" s="26" t="s">
        <v>393</v>
      </c>
      <c r="AB72" s="68" t="s">
        <v>9</v>
      </c>
      <c r="AC72" s="45" t="s">
        <v>571</v>
      </c>
      <c r="AD72" s="68" t="s">
        <v>9</v>
      </c>
    </row>
    <row r="73" spans="1:30" ht="6.6" customHeight="1" x14ac:dyDescent="0.25">
      <c r="A73" s="41">
        <v>73</v>
      </c>
      <c r="B73" s="1" t="s">
        <v>513</v>
      </c>
      <c r="C73" s="1" t="s">
        <v>519</v>
      </c>
      <c r="D73" s="1" t="s">
        <v>469</v>
      </c>
      <c r="E73" s="1" t="s">
        <v>522</v>
      </c>
      <c r="F73" s="1" t="s">
        <v>173</v>
      </c>
      <c r="G73" s="7" t="s">
        <v>9</v>
      </c>
      <c r="H73" s="7" t="s">
        <v>9</v>
      </c>
      <c r="I73" s="7" t="s">
        <v>9</v>
      </c>
      <c r="J73" s="7" t="s">
        <v>9</v>
      </c>
      <c r="K73" s="7" t="s">
        <v>9</v>
      </c>
      <c r="L73" s="32" t="str">
        <f t="shared" si="23"/>
        <v>De.Mobilidade</v>
      </c>
      <c r="M73" s="32" t="str">
        <f t="shared" si="24"/>
        <v>Elementos.de.Proteção</v>
      </c>
      <c r="N73" s="32" t="str">
        <f t="shared" si="25"/>
        <v>Guardacorpos Escadas</v>
      </c>
      <c r="O73" s="27" t="str">
        <f t="shared" si="26"/>
        <v>Guardacorpo.Escada.Projeção</v>
      </c>
      <c r="P73" s="27" t="s">
        <v>175</v>
      </c>
      <c r="Q73" s="27" t="s">
        <v>176</v>
      </c>
      <c r="R73" s="27" t="s">
        <v>650</v>
      </c>
      <c r="S73" s="69" t="s">
        <v>9</v>
      </c>
      <c r="T73" s="27" t="str">
        <f t="shared" si="27"/>
        <v>De.Mobilidade</v>
      </c>
      <c r="U73" s="27" t="str">
        <f t="shared" si="28"/>
        <v>Elementos.de.Proteção</v>
      </c>
      <c r="V73" s="27" t="str">
        <f t="shared" si="29"/>
        <v>Guardacorpos.Escadas</v>
      </c>
      <c r="W73" s="27" t="s">
        <v>43</v>
      </c>
      <c r="X73" s="43" t="str">
        <f t="shared" si="30"/>
        <v>Key-CIRCU-73</v>
      </c>
      <c r="Y73" s="27" t="s">
        <v>331</v>
      </c>
      <c r="Z73" s="68" t="s">
        <v>9</v>
      </c>
      <c r="AA73" s="26" t="s">
        <v>393</v>
      </c>
      <c r="AB73" s="68" t="s">
        <v>9</v>
      </c>
      <c r="AC73" s="45" t="s">
        <v>571</v>
      </c>
      <c r="AD73" s="68" t="s">
        <v>9</v>
      </c>
    </row>
    <row r="74" spans="1:30" ht="6.6" customHeight="1" x14ac:dyDescent="0.25">
      <c r="A74" s="41">
        <v>74</v>
      </c>
      <c r="B74" s="1" t="s">
        <v>513</v>
      </c>
      <c r="C74" s="1" t="s">
        <v>519</v>
      </c>
      <c r="D74" s="1" t="s">
        <v>469</v>
      </c>
      <c r="E74" s="1" t="s">
        <v>522</v>
      </c>
      <c r="F74" s="1" t="s">
        <v>177</v>
      </c>
      <c r="G74" s="7" t="s">
        <v>9</v>
      </c>
      <c r="H74" s="7" t="s">
        <v>9</v>
      </c>
      <c r="I74" s="7" t="s">
        <v>9</v>
      </c>
      <c r="J74" s="7" t="s">
        <v>9</v>
      </c>
      <c r="K74" s="7" t="s">
        <v>9</v>
      </c>
      <c r="L74" s="32" t="str">
        <f t="shared" si="23"/>
        <v>De.Mobilidade</v>
      </c>
      <c r="M74" s="32" t="str">
        <f t="shared" si="24"/>
        <v>Elementos.de.Proteção</v>
      </c>
      <c r="N74" s="32" t="str">
        <f t="shared" si="25"/>
        <v>Guardacorpos Escadas</v>
      </c>
      <c r="O74" s="27" t="str">
        <f t="shared" si="26"/>
        <v>Guardacorpo.Escada.Balaústre</v>
      </c>
      <c r="P74" s="27" t="s">
        <v>178</v>
      </c>
      <c r="Q74" s="27" t="s">
        <v>179</v>
      </c>
      <c r="R74" s="27" t="s">
        <v>651</v>
      </c>
      <c r="S74" s="69" t="s">
        <v>9</v>
      </c>
      <c r="T74" s="27" t="str">
        <f t="shared" si="27"/>
        <v>De.Mobilidade</v>
      </c>
      <c r="U74" s="27" t="str">
        <f t="shared" si="28"/>
        <v>Elementos.de.Proteção</v>
      </c>
      <c r="V74" s="27" t="str">
        <f t="shared" si="29"/>
        <v>Guardacorpos.Escadas</v>
      </c>
      <c r="W74" s="27" t="s">
        <v>43</v>
      </c>
      <c r="X74" s="43" t="str">
        <f t="shared" si="30"/>
        <v>Key-CIRCU-74</v>
      </c>
      <c r="Y74" s="27" t="s">
        <v>332</v>
      </c>
      <c r="Z74" s="68" t="s">
        <v>9</v>
      </c>
      <c r="AA74" s="26" t="s">
        <v>408</v>
      </c>
      <c r="AB74" s="68" t="s">
        <v>9</v>
      </c>
      <c r="AC74" s="45" t="s">
        <v>571</v>
      </c>
      <c r="AD74" s="68" t="s">
        <v>9</v>
      </c>
    </row>
    <row r="75" spans="1:30" ht="6.6" customHeight="1" x14ac:dyDescent="0.25">
      <c r="A75" s="41">
        <v>75</v>
      </c>
      <c r="B75" s="1" t="s">
        <v>513</v>
      </c>
      <c r="C75" s="1" t="s">
        <v>519</v>
      </c>
      <c r="D75" s="1" t="s">
        <v>469</v>
      </c>
      <c r="E75" s="1" t="s">
        <v>522</v>
      </c>
      <c r="F75" s="1" t="s">
        <v>180</v>
      </c>
      <c r="G75" s="7" t="s">
        <v>9</v>
      </c>
      <c r="H75" s="7" t="s">
        <v>9</v>
      </c>
      <c r="I75" s="7" t="s">
        <v>9</v>
      </c>
      <c r="J75" s="7" t="s">
        <v>9</v>
      </c>
      <c r="K75" s="7" t="s">
        <v>9</v>
      </c>
      <c r="L75" s="32" t="str">
        <f t="shared" si="23"/>
        <v>De.Mobilidade</v>
      </c>
      <c r="M75" s="32" t="str">
        <f t="shared" si="24"/>
        <v>Elementos.de.Proteção</v>
      </c>
      <c r="N75" s="32" t="str">
        <f t="shared" si="25"/>
        <v>Guardacorpos Escadas</v>
      </c>
      <c r="O75" s="27" t="str">
        <f t="shared" si="26"/>
        <v>Guardacorpo.Escada.Corrimão</v>
      </c>
      <c r="P75" s="27" t="s">
        <v>181</v>
      </c>
      <c r="Q75" s="27" t="s">
        <v>182</v>
      </c>
      <c r="R75" s="27" t="s">
        <v>652</v>
      </c>
      <c r="S75" s="69" t="s">
        <v>9</v>
      </c>
      <c r="T75" s="27" t="str">
        <f t="shared" si="27"/>
        <v>De.Mobilidade</v>
      </c>
      <c r="U75" s="27" t="str">
        <f t="shared" si="28"/>
        <v>Elementos.de.Proteção</v>
      </c>
      <c r="V75" s="27" t="str">
        <f t="shared" si="29"/>
        <v>Guardacorpos.Escadas</v>
      </c>
      <c r="W75" s="27" t="s">
        <v>43</v>
      </c>
      <c r="X75" s="43" t="str">
        <f t="shared" si="30"/>
        <v>Key-CIRCU-75</v>
      </c>
      <c r="Y75" s="27" t="s">
        <v>333</v>
      </c>
      <c r="Z75" s="68" t="s">
        <v>9</v>
      </c>
      <c r="AA75" s="26" t="s">
        <v>407</v>
      </c>
      <c r="AB75" s="68" t="s">
        <v>9</v>
      </c>
      <c r="AC75" s="45" t="s">
        <v>571</v>
      </c>
      <c r="AD75" s="68" t="s">
        <v>9</v>
      </c>
    </row>
    <row r="76" spans="1:30" ht="6.6" customHeight="1" x14ac:dyDescent="0.25">
      <c r="A76" s="41">
        <v>76</v>
      </c>
      <c r="B76" s="1" t="s">
        <v>513</v>
      </c>
      <c r="C76" s="1" t="s">
        <v>519</v>
      </c>
      <c r="D76" s="1" t="s">
        <v>469</v>
      </c>
      <c r="E76" s="1" t="s">
        <v>523</v>
      </c>
      <c r="F76" s="1" t="s">
        <v>529</v>
      </c>
      <c r="G76" s="7" t="s">
        <v>9</v>
      </c>
      <c r="H76" s="7" t="s">
        <v>9</v>
      </c>
      <c r="I76" s="7" t="s">
        <v>9</v>
      </c>
      <c r="J76" s="7" t="s">
        <v>9</v>
      </c>
      <c r="K76" s="7" t="s">
        <v>9</v>
      </c>
      <c r="L76" s="32" t="str">
        <f t="shared" si="23"/>
        <v>De.Mobilidade</v>
      </c>
      <c r="M76" s="32" t="str">
        <f t="shared" si="24"/>
        <v>Elementos.de.Proteção</v>
      </c>
      <c r="N76" s="32" t="str">
        <f t="shared" si="25"/>
        <v>Guardacorpos Rampas</v>
      </c>
      <c r="O76" s="27" t="str">
        <f t="shared" si="26"/>
        <v>Guardacorpo.Rampa</v>
      </c>
      <c r="P76" s="27" t="s">
        <v>171</v>
      </c>
      <c r="Q76" s="27" t="s">
        <v>172</v>
      </c>
      <c r="R76" s="27" t="s">
        <v>649</v>
      </c>
      <c r="S76" s="69" t="s">
        <v>9</v>
      </c>
      <c r="T76" s="27" t="str">
        <f t="shared" si="27"/>
        <v>De.Mobilidade</v>
      </c>
      <c r="U76" s="27" t="str">
        <f t="shared" si="28"/>
        <v>Elementos.de.Proteção</v>
      </c>
      <c r="V76" s="27" t="str">
        <f t="shared" si="29"/>
        <v>Guardacorpos.Rampas</v>
      </c>
      <c r="W76" s="27" t="s">
        <v>43</v>
      </c>
      <c r="X76" s="43" t="str">
        <f t="shared" si="30"/>
        <v>Key-CIRCU-76</v>
      </c>
      <c r="Y76" s="27" t="s">
        <v>329</v>
      </c>
      <c r="Z76" s="68" t="s">
        <v>9</v>
      </c>
      <c r="AA76" s="26" t="s">
        <v>393</v>
      </c>
      <c r="AB76" s="68" t="s">
        <v>9</v>
      </c>
      <c r="AC76" s="45" t="s">
        <v>571</v>
      </c>
      <c r="AD76" s="68" t="s">
        <v>9</v>
      </c>
    </row>
    <row r="77" spans="1:30" ht="6.6" customHeight="1" x14ac:dyDescent="0.25">
      <c r="A77" s="41">
        <v>77</v>
      </c>
      <c r="B77" s="1" t="s">
        <v>513</v>
      </c>
      <c r="C77" s="1" t="s">
        <v>519</v>
      </c>
      <c r="D77" s="1" t="s">
        <v>469</v>
      </c>
      <c r="E77" s="1" t="s">
        <v>523</v>
      </c>
      <c r="F77" s="1" t="s">
        <v>531</v>
      </c>
      <c r="G77" s="7" t="s">
        <v>9</v>
      </c>
      <c r="H77" s="7" t="s">
        <v>9</v>
      </c>
      <c r="I77" s="7" t="s">
        <v>9</v>
      </c>
      <c r="J77" s="7" t="s">
        <v>9</v>
      </c>
      <c r="K77" s="7" t="s">
        <v>9</v>
      </c>
      <c r="L77" s="32" t="str">
        <f t="shared" si="23"/>
        <v>De.Mobilidade</v>
      </c>
      <c r="M77" s="32" t="str">
        <f t="shared" si="24"/>
        <v>Elementos.de.Proteção</v>
      </c>
      <c r="N77" s="32" t="str">
        <f t="shared" si="25"/>
        <v>Guardacorpos Rampas</v>
      </c>
      <c r="O77" s="27" t="str">
        <f t="shared" si="26"/>
        <v>Guardacorpo.Rampa.Projeção</v>
      </c>
      <c r="P77" s="27" t="s">
        <v>175</v>
      </c>
      <c r="Q77" s="27" t="s">
        <v>176</v>
      </c>
      <c r="R77" s="27" t="s">
        <v>650</v>
      </c>
      <c r="S77" s="69" t="s">
        <v>9</v>
      </c>
      <c r="T77" s="27" t="str">
        <f t="shared" si="27"/>
        <v>De.Mobilidade</v>
      </c>
      <c r="U77" s="27" t="str">
        <f t="shared" si="28"/>
        <v>Elementos.de.Proteção</v>
      </c>
      <c r="V77" s="27" t="str">
        <f t="shared" si="29"/>
        <v>Guardacorpos.Rampas</v>
      </c>
      <c r="W77" s="27" t="s">
        <v>43</v>
      </c>
      <c r="X77" s="43" t="str">
        <f t="shared" si="30"/>
        <v>Key-CIRCU-77</v>
      </c>
      <c r="Y77" s="27" t="s">
        <v>331</v>
      </c>
      <c r="Z77" s="68" t="s">
        <v>9</v>
      </c>
      <c r="AA77" s="26" t="s">
        <v>393</v>
      </c>
      <c r="AB77" s="68" t="s">
        <v>9</v>
      </c>
      <c r="AC77" s="45" t="s">
        <v>571</v>
      </c>
      <c r="AD77" s="68" t="s">
        <v>9</v>
      </c>
    </row>
    <row r="78" spans="1:30" ht="6.6" customHeight="1" x14ac:dyDescent="0.25">
      <c r="A78" s="41">
        <v>78</v>
      </c>
      <c r="B78" s="1" t="s">
        <v>513</v>
      </c>
      <c r="C78" s="1" t="s">
        <v>519</v>
      </c>
      <c r="D78" s="1" t="s">
        <v>469</v>
      </c>
      <c r="E78" s="1" t="s">
        <v>523</v>
      </c>
      <c r="F78" s="1" t="s">
        <v>530</v>
      </c>
      <c r="G78" s="7" t="s">
        <v>9</v>
      </c>
      <c r="H78" s="7" t="s">
        <v>9</v>
      </c>
      <c r="I78" s="7" t="s">
        <v>9</v>
      </c>
      <c r="J78" s="7" t="s">
        <v>9</v>
      </c>
      <c r="K78" s="7" t="s">
        <v>9</v>
      </c>
      <c r="L78" s="32" t="str">
        <f t="shared" si="23"/>
        <v>De.Mobilidade</v>
      </c>
      <c r="M78" s="32" t="str">
        <f t="shared" si="24"/>
        <v>Elementos.de.Proteção</v>
      </c>
      <c r="N78" s="32" t="str">
        <f t="shared" si="25"/>
        <v>Guardacorpos Rampas</v>
      </c>
      <c r="O78" s="27" t="str">
        <f t="shared" si="26"/>
        <v>Guardacorpo.Rampa.Balaústre</v>
      </c>
      <c r="P78" s="27" t="s">
        <v>178</v>
      </c>
      <c r="Q78" s="27" t="s">
        <v>179</v>
      </c>
      <c r="R78" s="27" t="s">
        <v>651</v>
      </c>
      <c r="S78" s="69" t="s">
        <v>9</v>
      </c>
      <c r="T78" s="27" t="str">
        <f t="shared" si="27"/>
        <v>De.Mobilidade</v>
      </c>
      <c r="U78" s="27" t="str">
        <f t="shared" si="28"/>
        <v>Elementos.de.Proteção</v>
      </c>
      <c r="V78" s="27" t="str">
        <f t="shared" si="29"/>
        <v>Guardacorpos.Rampas</v>
      </c>
      <c r="W78" s="27" t="s">
        <v>43</v>
      </c>
      <c r="X78" s="43" t="str">
        <f t="shared" si="30"/>
        <v>Key-CIRCU-78</v>
      </c>
      <c r="Y78" s="27" t="s">
        <v>332</v>
      </c>
      <c r="Z78" s="68" t="s">
        <v>9</v>
      </c>
      <c r="AA78" s="26" t="s">
        <v>408</v>
      </c>
      <c r="AB78" s="68" t="s">
        <v>9</v>
      </c>
      <c r="AC78" s="45" t="s">
        <v>571</v>
      </c>
      <c r="AD78" s="68" t="s">
        <v>9</v>
      </c>
    </row>
    <row r="79" spans="1:30" ht="6.6" customHeight="1" x14ac:dyDescent="0.25">
      <c r="A79" s="41">
        <v>79</v>
      </c>
      <c r="B79" s="1" t="s">
        <v>513</v>
      </c>
      <c r="C79" s="1" t="s">
        <v>519</v>
      </c>
      <c r="D79" s="1" t="s">
        <v>469</v>
      </c>
      <c r="E79" s="1" t="s">
        <v>523</v>
      </c>
      <c r="F79" s="1" t="s">
        <v>532</v>
      </c>
      <c r="G79" s="7" t="s">
        <v>9</v>
      </c>
      <c r="H79" s="7" t="s">
        <v>9</v>
      </c>
      <c r="I79" s="7" t="s">
        <v>9</v>
      </c>
      <c r="J79" s="7" t="s">
        <v>9</v>
      </c>
      <c r="K79" s="7" t="s">
        <v>9</v>
      </c>
      <c r="L79" s="32" t="str">
        <f t="shared" si="23"/>
        <v>De.Mobilidade</v>
      </c>
      <c r="M79" s="32" t="str">
        <f t="shared" si="24"/>
        <v>Elementos.de.Proteção</v>
      </c>
      <c r="N79" s="32" t="str">
        <f t="shared" si="25"/>
        <v>Guardacorpos Rampas</v>
      </c>
      <c r="O79" s="27" t="str">
        <f t="shared" si="26"/>
        <v>Guardacorpo.Rampa.Corrimão</v>
      </c>
      <c r="P79" s="27" t="s">
        <v>181</v>
      </c>
      <c r="Q79" s="27" t="s">
        <v>182</v>
      </c>
      <c r="R79" s="27" t="s">
        <v>652</v>
      </c>
      <c r="S79" s="69" t="s">
        <v>9</v>
      </c>
      <c r="T79" s="27" t="str">
        <f t="shared" si="27"/>
        <v>De.Mobilidade</v>
      </c>
      <c r="U79" s="27" t="str">
        <f t="shared" si="28"/>
        <v>Elementos.de.Proteção</v>
      </c>
      <c r="V79" s="27" t="str">
        <f t="shared" si="29"/>
        <v>Guardacorpos.Rampas</v>
      </c>
      <c r="W79" s="27" t="s">
        <v>43</v>
      </c>
      <c r="X79" s="43" t="str">
        <f t="shared" si="30"/>
        <v>Key-CIRCU-79</v>
      </c>
      <c r="Y79" s="27" t="s">
        <v>333</v>
      </c>
      <c r="Z79" s="68" t="s">
        <v>9</v>
      </c>
      <c r="AA79" s="26" t="s">
        <v>407</v>
      </c>
      <c r="AB79" s="68" t="s">
        <v>9</v>
      </c>
      <c r="AC79" s="45" t="s">
        <v>571</v>
      </c>
      <c r="AD79" s="68" t="s">
        <v>9</v>
      </c>
    </row>
    <row r="80" spans="1:30" ht="6.6" customHeight="1" x14ac:dyDescent="0.25">
      <c r="A80" s="41">
        <v>80</v>
      </c>
      <c r="B80" s="1" t="s">
        <v>513</v>
      </c>
      <c r="C80" s="1" t="s">
        <v>519</v>
      </c>
      <c r="D80" s="1" t="s">
        <v>469</v>
      </c>
      <c r="E80" s="1" t="s">
        <v>524</v>
      </c>
      <c r="F80" s="1" t="s">
        <v>525</v>
      </c>
      <c r="G80" s="7" t="s">
        <v>9</v>
      </c>
      <c r="H80" s="7" t="s">
        <v>9</v>
      </c>
      <c r="I80" s="7" t="s">
        <v>9</v>
      </c>
      <c r="J80" s="7" t="s">
        <v>9</v>
      </c>
      <c r="K80" s="7" t="s">
        <v>9</v>
      </c>
      <c r="L80" s="32" t="str">
        <f t="shared" si="23"/>
        <v>De.Mobilidade</v>
      </c>
      <c r="M80" s="32" t="str">
        <f t="shared" si="24"/>
        <v>Elementos.de.Proteção</v>
      </c>
      <c r="N80" s="32" t="str">
        <f t="shared" si="25"/>
        <v>Guardacorpos Varandas</v>
      </c>
      <c r="O80" s="27" t="str">
        <f t="shared" si="26"/>
        <v>Guardacorpo.Varanda</v>
      </c>
      <c r="P80" s="27" t="s">
        <v>171</v>
      </c>
      <c r="Q80" s="27" t="s">
        <v>172</v>
      </c>
      <c r="R80" s="27" t="s">
        <v>649</v>
      </c>
      <c r="S80" s="69" t="s">
        <v>9</v>
      </c>
      <c r="T80" s="27" t="str">
        <f t="shared" si="27"/>
        <v>De.Mobilidade</v>
      </c>
      <c r="U80" s="27" t="str">
        <f t="shared" si="28"/>
        <v>Elementos.de.Proteção</v>
      </c>
      <c r="V80" s="27" t="str">
        <f t="shared" si="29"/>
        <v>Guardacorpos.Varandas</v>
      </c>
      <c r="W80" s="27" t="s">
        <v>43</v>
      </c>
      <c r="X80" s="43" t="str">
        <f t="shared" si="30"/>
        <v>Key-CIRCU-80</v>
      </c>
      <c r="Y80" s="27" t="s">
        <v>329</v>
      </c>
      <c r="Z80" s="68" t="s">
        <v>9</v>
      </c>
      <c r="AA80" s="26" t="s">
        <v>393</v>
      </c>
      <c r="AB80" s="68" t="s">
        <v>9</v>
      </c>
      <c r="AC80" s="45" t="s">
        <v>571</v>
      </c>
      <c r="AD80" s="68" t="s">
        <v>9</v>
      </c>
    </row>
    <row r="81" spans="1:30" ht="6.6" customHeight="1" x14ac:dyDescent="0.25">
      <c r="A81" s="41">
        <v>81</v>
      </c>
      <c r="B81" s="1" t="s">
        <v>513</v>
      </c>
      <c r="C81" s="1" t="s">
        <v>519</v>
      </c>
      <c r="D81" s="1" t="s">
        <v>469</v>
      </c>
      <c r="E81" s="1" t="s">
        <v>524</v>
      </c>
      <c r="F81" s="1" t="s">
        <v>526</v>
      </c>
      <c r="G81" s="7" t="s">
        <v>9</v>
      </c>
      <c r="H81" s="7" t="s">
        <v>9</v>
      </c>
      <c r="I81" s="7" t="s">
        <v>9</v>
      </c>
      <c r="J81" s="7" t="s">
        <v>9</v>
      </c>
      <c r="K81" s="7" t="s">
        <v>9</v>
      </c>
      <c r="L81" s="32" t="str">
        <f t="shared" si="23"/>
        <v>De.Mobilidade</v>
      </c>
      <c r="M81" s="32" t="str">
        <f t="shared" si="24"/>
        <v>Elementos.de.Proteção</v>
      </c>
      <c r="N81" s="32" t="str">
        <f t="shared" si="25"/>
        <v>Guardacorpos Varandas</v>
      </c>
      <c r="O81" s="27" t="str">
        <f t="shared" si="26"/>
        <v>Guardacorpo.Varanda.Projeção</v>
      </c>
      <c r="P81" s="27" t="s">
        <v>175</v>
      </c>
      <c r="Q81" s="27" t="s">
        <v>176</v>
      </c>
      <c r="R81" s="27" t="s">
        <v>650</v>
      </c>
      <c r="S81" s="69" t="s">
        <v>9</v>
      </c>
      <c r="T81" s="27" t="str">
        <f t="shared" si="27"/>
        <v>De.Mobilidade</v>
      </c>
      <c r="U81" s="27" t="str">
        <f t="shared" si="28"/>
        <v>Elementos.de.Proteção</v>
      </c>
      <c r="V81" s="27" t="str">
        <f t="shared" si="29"/>
        <v>Guardacorpos.Varandas</v>
      </c>
      <c r="W81" s="27" t="s">
        <v>43</v>
      </c>
      <c r="X81" s="43" t="str">
        <f t="shared" si="30"/>
        <v>Key-CIRCU-81</v>
      </c>
      <c r="Y81" s="27" t="s">
        <v>331</v>
      </c>
      <c r="Z81" s="68" t="s">
        <v>9</v>
      </c>
      <c r="AA81" s="26" t="s">
        <v>393</v>
      </c>
      <c r="AB81" s="68" t="s">
        <v>9</v>
      </c>
      <c r="AC81" s="45" t="s">
        <v>571</v>
      </c>
      <c r="AD81" s="68" t="s">
        <v>9</v>
      </c>
    </row>
    <row r="82" spans="1:30" ht="6.6" customHeight="1" x14ac:dyDescent="0.25">
      <c r="A82" s="41">
        <v>82</v>
      </c>
      <c r="B82" s="1" t="s">
        <v>513</v>
      </c>
      <c r="C82" s="1" t="s">
        <v>519</v>
      </c>
      <c r="D82" s="1" t="s">
        <v>469</v>
      </c>
      <c r="E82" s="1" t="s">
        <v>524</v>
      </c>
      <c r="F82" s="1" t="s">
        <v>527</v>
      </c>
      <c r="G82" s="7" t="s">
        <v>9</v>
      </c>
      <c r="H82" s="7" t="s">
        <v>9</v>
      </c>
      <c r="I82" s="7" t="s">
        <v>9</v>
      </c>
      <c r="J82" s="7" t="s">
        <v>9</v>
      </c>
      <c r="K82" s="7" t="s">
        <v>9</v>
      </c>
      <c r="L82" s="32" t="str">
        <f t="shared" si="23"/>
        <v>De.Mobilidade</v>
      </c>
      <c r="M82" s="32" t="str">
        <f t="shared" si="24"/>
        <v>Elementos.de.Proteção</v>
      </c>
      <c r="N82" s="32" t="str">
        <f t="shared" si="25"/>
        <v>Guardacorpos Varandas</v>
      </c>
      <c r="O82" s="27" t="str">
        <f t="shared" si="26"/>
        <v>Guardacorpo.Varanda.Balaústre</v>
      </c>
      <c r="P82" s="27" t="s">
        <v>178</v>
      </c>
      <c r="Q82" s="27" t="s">
        <v>179</v>
      </c>
      <c r="R82" s="27" t="s">
        <v>651</v>
      </c>
      <c r="S82" s="69" t="s">
        <v>9</v>
      </c>
      <c r="T82" s="27" t="str">
        <f t="shared" si="27"/>
        <v>De.Mobilidade</v>
      </c>
      <c r="U82" s="27" t="str">
        <f t="shared" si="28"/>
        <v>Elementos.de.Proteção</v>
      </c>
      <c r="V82" s="27" t="str">
        <f t="shared" si="29"/>
        <v>Guardacorpos.Varandas</v>
      </c>
      <c r="W82" s="27" t="s">
        <v>43</v>
      </c>
      <c r="X82" s="43" t="str">
        <f t="shared" si="30"/>
        <v>Key-CIRCU-82</v>
      </c>
      <c r="Y82" s="27" t="s">
        <v>332</v>
      </c>
      <c r="Z82" s="68" t="s">
        <v>9</v>
      </c>
      <c r="AA82" s="26" t="s">
        <v>408</v>
      </c>
      <c r="AB82" s="68" t="s">
        <v>9</v>
      </c>
      <c r="AC82" s="45" t="s">
        <v>571</v>
      </c>
      <c r="AD82" s="68" t="s">
        <v>9</v>
      </c>
    </row>
    <row r="83" spans="1:30" ht="6.6" customHeight="1" x14ac:dyDescent="0.25">
      <c r="A83" s="41">
        <v>83</v>
      </c>
      <c r="B83" s="1" t="s">
        <v>513</v>
      </c>
      <c r="C83" s="1" t="s">
        <v>519</v>
      </c>
      <c r="D83" s="1" t="s">
        <v>469</v>
      </c>
      <c r="E83" s="1" t="s">
        <v>524</v>
      </c>
      <c r="F83" s="1" t="s">
        <v>528</v>
      </c>
      <c r="G83" s="7" t="s">
        <v>9</v>
      </c>
      <c r="H83" s="7" t="s">
        <v>9</v>
      </c>
      <c r="I83" s="7" t="s">
        <v>9</v>
      </c>
      <c r="J83" s="7" t="s">
        <v>9</v>
      </c>
      <c r="K83" s="7" t="s">
        <v>9</v>
      </c>
      <c r="L83" s="32" t="str">
        <f t="shared" si="23"/>
        <v>De.Mobilidade</v>
      </c>
      <c r="M83" s="32" t="str">
        <f t="shared" si="24"/>
        <v>Elementos.de.Proteção</v>
      </c>
      <c r="N83" s="32" t="str">
        <f t="shared" si="25"/>
        <v>Guardacorpos Varandas</v>
      </c>
      <c r="O83" s="27" t="str">
        <f t="shared" si="26"/>
        <v>Guardacorpo.Varanda.Corrimão</v>
      </c>
      <c r="P83" s="27" t="s">
        <v>181</v>
      </c>
      <c r="Q83" s="27" t="s">
        <v>182</v>
      </c>
      <c r="R83" s="27" t="s">
        <v>652</v>
      </c>
      <c r="S83" s="69" t="s">
        <v>9</v>
      </c>
      <c r="T83" s="27" t="str">
        <f t="shared" si="27"/>
        <v>De.Mobilidade</v>
      </c>
      <c r="U83" s="27" t="str">
        <f t="shared" si="28"/>
        <v>Elementos.de.Proteção</v>
      </c>
      <c r="V83" s="27" t="str">
        <f t="shared" si="29"/>
        <v>Guardacorpos.Varandas</v>
      </c>
      <c r="W83" s="27" t="s">
        <v>43</v>
      </c>
      <c r="X83" s="43" t="str">
        <f t="shared" si="30"/>
        <v>Key-CIRCU-83</v>
      </c>
      <c r="Y83" s="27" t="s">
        <v>333</v>
      </c>
      <c r="Z83" s="68" t="s">
        <v>9</v>
      </c>
      <c r="AA83" s="26" t="s">
        <v>407</v>
      </c>
      <c r="AB83" s="68" t="s">
        <v>9</v>
      </c>
      <c r="AC83" s="45" t="s">
        <v>571</v>
      </c>
      <c r="AD83" s="68" t="s">
        <v>9</v>
      </c>
    </row>
    <row r="84" spans="1:30" ht="6.6" customHeight="1" x14ac:dyDescent="0.25">
      <c r="A84" s="41">
        <v>84</v>
      </c>
      <c r="B84" s="1" t="s">
        <v>513</v>
      </c>
      <c r="C84" s="1" t="s">
        <v>519</v>
      </c>
      <c r="D84" s="1" t="s">
        <v>469</v>
      </c>
      <c r="E84" s="1" t="s">
        <v>183</v>
      </c>
      <c r="F84" s="1" t="s">
        <v>184</v>
      </c>
      <c r="G84" s="7" t="s">
        <v>9</v>
      </c>
      <c r="H84" s="7" t="s">
        <v>9</v>
      </c>
      <c r="I84" s="7" t="s">
        <v>9</v>
      </c>
      <c r="J84" s="7" t="s">
        <v>9</v>
      </c>
      <c r="K84" s="7" t="s">
        <v>9</v>
      </c>
      <c r="L84" s="32" t="str">
        <f t="shared" si="23"/>
        <v>De.Mobilidade</v>
      </c>
      <c r="M84" s="32" t="str">
        <f t="shared" si="24"/>
        <v>Elementos.de.Proteção</v>
      </c>
      <c r="N84" s="32" t="str">
        <f t="shared" si="25"/>
        <v>Guardacorpos Sistemas</v>
      </c>
      <c r="O84" s="27" t="str">
        <f t="shared" si="26"/>
        <v>Guardacorpo.Sistema</v>
      </c>
      <c r="P84" s="27" t="s">
        <v>117</v>
      </c>
      <c r="Q84" s="27" t="s">
        <v>130</v>
      </c>
      <c r="R84" s="27" t="s">
        <v>653</v>
      </c>
      <c r="S84" s="69" t="s">
        <v>9</v>
      </c>
      <c r="T84" s="27" t="str">
        <f t="shared" si="27"/>
        <v>De.Mobilidade</v>
      </c>
      <c r="U84" s="27" t="str">
        <f t="shared" si="28"/>
        <v>Elementos.de.Proteção</v>
      </c>
      <c r="V84" s="27" t="str">
        <f t="shared" si="29"/>
        <v>Guardacorpos.Sistemas</v>
      </c>
      <c r="W84" s="27" t="s">
        <v>43</v>
      </c>
      <c r="X84" s="43" t="str">
        <f t="shared" si="30"/>
        <v>Key-CIRCU-84</v>
      </c>
      <c r="Y84" s="27" t="s">
        <v>344</v>
      </c>
      <c r="Z84" s="68" t="s">
        <v>9</v>
      </c>
      <c r="AA84" s="26" t="s">
        <v>393</v>
      </c>
      <c r="AB84" s="68" t="s">
        <v>9</v>
      </c>
      <c r="AC84" s="45" t="s">
        <v>571</v>
      </c>
      <c r="AD84" s="68" t="s">
        <v>9</v>
      </c>
    </row>
    <row r="85" spans="1:30" ht="6.6" customHeight="1" x14ac:dyDescent="0.25">
      <c r="A85" s="41">
        <v>85</v>
      </c>
      <c r="B85" s="1" t="s">
        <v>513</v>
      </c>
      <c r="C85" s="1" t="s">
        <v>519</v>
      </c>
      <c r="D85" s="1" t="s">
        <v>469</v>
      </c>
      <c r="E85" s="1" t="s">
        <v>183</v>
      </c>
      <c r="F85" s="1" t="s">
        <v>476</v>
      </c>
      <c r="G85" s="7" t="s">
        <v>9</v>
      </c>
      <c r="H85" s="7" t="s">
        <v>9</v>
      </c>
      <c r="I85" s="7" t="s">
        <v>9</v>
      </c>
      <c r="J85" s="7" t="s">
        <v>9</v>
      </c>
      <c r="K85" s="7" t="s">
        <v>9</v>
      </c>
      <c r="L85" s="32" t="str">
        <f t="shared" si="23"/>
        <v>De.Mobilidade</v>
      </c>
      <c r="M85" s="32" t="str">
        <f t="shared" si="24"/>
        <v>Elementos.de.Proteção</v>
      </c>
      <c r="N85" s="32" t="str">
        <f t="shared" si="25"/>
        <v>Guardacorpos Sistemas</v>
      </c>
      <c r="O85" s="27" t="str">
        <f t="shared" si="26"/>
        <v>Guardacorpo.Balaustre</v>
      </c>
      <c r="P85" s="27" t="s">
        <v>113</v>
      </c>
      <c r="Q85" s="27" t="s">
        <v>131</v>
      </c>
      <c r="R85" s="27" t="s">
        <v>654</v>
      </c>
      <c r="S85" s="69" t="s">
        <v>9</v>
      </c>
      <c r="T85" s="27" t="str">
        <f t="shared" si="27"/>
        <v>De.Mobilidade</v>
      </c>
      <c r="U85" s="27" t="str">
        <f t="shared" si="28"/>
        <v>Elementos.de.Proteção</v>
      </c>
      <c r="V85" s="27" t="str">
        <f t="shared" si="29"/>
        <v>Guardacorpos.Sistemas</v>
      </c>
      <c r="W85" s="27" t="s">
        <v>43</v>
      </c>
      <c r="X85" s="43" t="str">
        <f t="shared" si="30"/>
        <v>Key-CIRCU-85</v>
      </c>
      <c r="Y85" s="27" t="s">
        <v>345</v>
      </c>
      <c r="Z85" s="68" t="s">
        <v>9</v>
      </c>
      <c r="AA85" s="26" t="s">
        <v>408</v>
      </c>
      <c r="AB85" s="68" t="s">
        <v>9</v>
      </c>
      <c r="AC85" s="45" t="s">
        <v>571</v>
      </c>
      <c r="AD85" s="68" t="s">
        <v>9</v>
      </c>
    </row>
    <row r="86" spans="1:30" ht="6.6" customHeight="1" x14ac:dyDescent="0.25">
      <c r="A86" s="41">
        <v>86</v>
      </c>
      <c r="B86" s="1" t="s">
        <v>513</v>
      </c>
      <c r="C86" s="1" t="s">
        <v>519</v>
      </c>
      <c r="D86" s="1" t="s">
        <v>469</v>
      </c>
      <c r="E86" s="1" t="s">
        <v>183</v>
      </c>
      <c r="F86" s="1" t="s">
        <v>477</v>
      </c>
      <c r="G86" s="7" t="s">
        <v>9</v>
      </c>
      <c r="H86" s="7" t="s">
        <v>9</v>
      </c>
      <c r="I86" s="7" t="s">
        <v>9</v>
      </c>
      <c r="J86" s="7" t="s">
        <v>9</v>
      </c>
      <c r="K86" s="7" t="s">
        <v>9</v>
      </c>
      <c r="L86" s="32" t="str">
        <f t="shared" si="23"/>
        <v>De.Mobilidade</v>
      </c>
      <c r="M86" s="32" t="str">
        <f t="shared" si="24"/>
        <v>Elementos.de.Proteção</v>
      </c>
      <c r="N86" s="32" t="str">
        <f t="shared" si="25"/>
        <v>Guardacorpos Sistemas</v>
      </c>
      <c r="O86" s="27" t="str">
        <f t="shared" si="26"/>
        <v>Guardacorpo.Corrimão</v>
      </c>
      <c r="P86" s="27" t="s">
        <v>115</v>
      </c>
      <c r="Q86" s="27" t="s">
        <v>128</v>
      </c>
      <c r="R86" s="27" t="s">
        <v>644</v>
      </c>
      <c r="S86" s="69" t="s">
        <v>9</v>
      </c>
      <c r="T86" s="27" t="str">
        <f t="shared" si="27"/>
        <v>De.Mobilidade</v>
      </c>
      <c r="U86" s="27" t="str">
        <f t="shared" si="28"/>
        <v>Elementos.de.Proteção</v>
      </c>
      <c r="V86" s="27" t="str">
        <f t="shared" si="29"/>
        <v>Guardacorpos.Sistemas</v>
      </c>
      <c r="W86" s="27" t="s">
        <v>43</v>
      </c>
      <c r="X86" s="43" t="str">
        <f t="shared" si="30"/>
        <v>Key-CIRCU-86</v>
      </c>
      <c r="Y86" s="27" t="s">
        <v>346</v>
      </c>
      <c r="Z86" s="68" t="s">
        <v>9</v>
      </c>
      <c r="AA86" s="26" t="s">
        <v>407</v>
      </c>
      <c r="AB86" s="68" t="s">
        <v>9</v>
      </c>
      <c r="AC86" s="45" t="s">
        <v>571</v>
      </c>
      <c r="AD86" s="68" t="s">
        <v>9</v>
      </c>
    </row>
    <row r="87" spans="1:30" ht="6.6" customHeight="1" x14ac:dyDescent="0.25">
      <c r="A87" s="41">
        <v>87</v>
      </c>
      <c r="B87" s="1" t="s">
        <v>513</v>
      </c>
      <c r="C87" s="1" t="s">
        <v>519</v>
      </c>
      <c r="D87" s="1" t="s">
        <v>469</v>
      </c>
      <c r="E87" s="1" t="s">
        <v>183</v>
      </c>
      <c r="F87" s="1" t="s">
        <v>478</v>
      </c>
      <c r="G87" s="7" t="s">
        <v>9</v>
      </c>
      <c r="H87" s="7" t="s">
        <v>9</v>
      </c>
      <c r="I87" s="7" t="s">
        <v>9</v>
      </c>
      <c r="J87" s="7" t="s">
        <v>9</v>
      </c>
      <c r="K87" s="7" t="s">
        <v>9</v>
      </c>
      <c r="L87" s="32" t="str">
        <f t="shared" si="23"/>
        <v>De.Mobilidade</v>
      </c>
      <c r="M87" s="32" t="str">
        <f t="shared" si="24"/>
        <v>Elementos.de.Proteção</v>
      </c>
      <c r="N87" s="32" t="str">
        <f t="shared" si="25"/>
        <v>Guardacorpos Sistemas</v>
      </c>
      <c r="O87" s="27" t="str">
        <f t="shared" si="26"/>
        <v>Guardacorpo.Suporte</v>
      </c>
      <c r="P87" s="27" t="s">
        <v>118</v>
      </c>
      <c r="Q87" s="27" t="s">
        <v>132</v>
      </c>
      <c r="R87" s="27" t="s">
        <v>655</v>
      </c>
      <c r="S87" s="69" t="s">
        <v>9</v>
      </c>
      <c r="T87" s="27" t="str">
        <f t="shared" si="27"/>
        <v>De.Mobilidade</v>
      </c>
      <c r="U87" s="27" t="str">
        <f t="shared" si="28"/>
        <v>Elementos.de.Proteção</v>
      </c>
      <c r="V87" s="27" t="str">
        <f t="shared" si="29"/>
        <v>Guardacorpos.Sistemas</v>
      </c>
      <c r="W87" s="27" t="s">
        <v>43</v>
      </c>
      <c r="X87" s="43" t="str">
        <f t="shared" si="30"/>
        <v>Key-CIRCU-87</v>
      </c>
      <c r="Y87" s="27" t="s">
        <v>347</v>
      </c>
      <c r="Z87" s="68" t="s">
        <v>9</v>
      </c>
      <c r="AA87" s="26" t="s">
        <v>407</v>
      </c>
      <c r="AB87" s="68" t="s">
        <v>9</v>
      </c>
      <c r="AC87" s="45" t="s">
        <v>571</v>
      </c>
      <c r="AD87" s="68" t="s">
        <v>9</v>
      </c>
    </row>
    <row r="88" spans="1:30" ht="6.6" customHeight="1" x14ac:dyDescent="0.25">
      <c r="A88" s="41">
        <v>88</v>
      </c>
      <c r="B88" s="1" t="s">
        <v>513</v>
      </c>
      <c r="C88" s="1" t="s">
        <v>519</v>
      </c>
      <c r="D88" s="1" t="s">
        <v>469</v>
      </c>
      <c r="E88" s="1" t="s">
        <v>183</v>
      </c>
      <c r="F88" s="1" t="s">
        <v>479</v>
      </c>
      <c r="G88" s="7" t="s">
        <v>9</v>
      </c>
      <c r="H88" s="7" t="s">
        <v>9</v>
      </c>
      <c r="I88" s="7" t="s">
        <v>9</v>
      </c>
      <c r="J88" s="7" t="s">
        <v>9</v>
      </c>
      <c r="K88" s="7" t="s">
        <v>9</v>
      </c>
      <c r="L88" s="32" t="str">
        <f t="shared" si="23"/>
        <v>De.Mobilidade</v>
      </c>
      <c r="M88" s="32" t="str">
        <f t="shared" si="24"/>
        <v>Elementos.de.Proteção</v>
      </c>
      <c r="N88" s="32" t="str">
        <f t="shared" si="25"/>
        <v>Guardacorpos Sistemas</v>
      </c>
      <c r="O88" s="27" t="str">
        <f t="shared" si="26"/>
        <v>Guardacorpo.Acessório</v>
      </c>
      <c r="P88" s="27" t="s">
        <v>119</v>
      </c>
      <c r="Q88" s="27" t="s">
        <v>133</v>
      </c>
      <c r="R88" s="27" t="s">
        <v>656</v>
      </c>
      <c r="S88" s="69" t="s">
        <v>9</v>
      </c>
      <c r="T88" s="27" t="str">
        <f t="shared" si="27"/>
        <v>De.Mobilidade</v>
      </c>
      <c r="U88" s="27" t="str">
        <f t="shared" si="28"/>
        <v>Elementos.de.Proteção</v>
      </c>
      <c r="V88" s="27" t="str">
        <f t="shared" si="29"/>
        <v>Guardacorpos.Sistemas</v>
      </c>
      <c r="W88" s="27" t="s">
        <v>43</v>
      </c>
      <c r="X88" s="43" t="str">
        <f t="shared" si="30"/>
        <v>Key-CIRCU-88</v>
      </c>
      <c r="Y88" s="27" t="s">
        <v>348</v>
      </c>
      <c r="Z88" s="68" t="s">
        <v>9</v>
      </c>
      <c r="AA88" s="26" t="s">
        <v>393</v>
      </c>
      <c r="AB88" s="68" t="s">
        <v>9</v>
      </c>
      <c r="AC88" s="45" t="s">
        <v>571</v>
      </c>
      <c r="AD88" s="68" t="s">
        <v>9</v>
      </c>
    </row>
    <row r="89" spans="1:30" ht="6.6" customHeight="1" x14ac:dyDescent="0.25">
      <c r="A89" s="41">
        <v>89</v>
      </c>
      <c r="B89" s="1" t="s">
        <v>513</v>
      </c>
      <c r="C89" s="1" t="s">
        <v>519</v>
      </c>
      <c r="D89" s="1" t="s">
        <v>469</v>
      </c>
      <c r="E89" s="1" t="s">
        <v>183</v>
      </c>
      <c r="F89" s="1" t="s">
        <v>480</v>
      </c>
      <c r="G89" s="7" t="s">
        <v>9</v>
      </c>
      <c r="H89" s="7" t="s">
        <v>9</v>
      </c>
      <c r="I89" s="7" t="s">
        <v>9</v>
      </c>
      <c r="J89" s="7" t="s">
        <v>9</v>
      </c>
      <c r="K89" s="7" t="s">
        <v>9</v>
      </c>
      <c r="L89" s="32" t="str">
        <f t="shared" si="23"/>
        <v>De.Mobilidade</v>
      </c>
      <c r="M89" s="32" t="str">
        <f t="shared" si="24"/>
        <v>Elementos.de.Proteção</v>
      </c>
      <c r="N89" s="32" t="str">
        <f t="shared" si="25"/>
        <v>Guardacorpos Sistemas</v>
      </c>
      <c r="O89" s="27" t="str">
        <f t="shared" si="26"/>
        <v>Guardacorpo.Painel</v>
      </c>
      <c r="P89" s="27" t="s">
        <v>120</v>
      </c>
      <c r="Q89" s="27" t="s">
        <v>134</v>
      </c>
      <c r="R89" s="27" t="s">
        <v>657</v>
      </c>
      <c r="S89" s="69" t="s">
        <v>9</v>
      </c>
      <c r="T89" s="27" t="str">
        <f t="shared" si="27"/>
        <v>De.Mobilidade</v>
      </c>
      <c r="U89" s="27" t="str">
        <f t="shared" si="28"/>
        <v>Elementos.de.Proteção</v>
      </c>
      <c r="V89" s="27" t="str">
        <f t="shared" si="29"/>
        <v>Guardacorpos.Sistemas</v>
      </c>
      <c r="W89" s="27" t="s">
        <v>43</v>
      </c>
      <c r="X89" s="43" t="str">
        <f t="shared" si="30"/>
        <v>Key-CIRCU-89</v>
      </c>
      <c r="Y89" s="27" t="s">
        <v>349</v>
      </c>
      <c r="Z89" s="68" t="s">
        <v>9</v>
      </c>
      <c r="AA89" s="26" t="s">
        <v>393</v>
      </c>
      <c r="AB89" s="68" t="s">
        <v>9</v>
      </c>
      <c r="AC89" s="45" t="s">
        <v>571</v>
      </c>
      <c r="AD89" s="68" t="s">
        <v>9</v>
      </c>
    </row>
    <row r="90" spans="1:30" ht="6.6" customHeight="1" x14ac:dyDescent="0.25">
      <c r="A90" s="41">
        <v>90</v>
      </c>
      <c r="B90" s="1" t="s">
        <v>513</v>
      </c>
      <c r="C90" s="1" t="s">
        <v>519</v>
      </c>
      <c r="D90" s="1" t="s">
        <v>469</v>
      </c>
      <c r="E90" s="1" t="s">
        <v>183</v>
      </c>
      <c r="F90" s="1" t="s">
        <v>481</v>
      </c>
      <c r="G90" s="7" t="s">
        <v>9</v>
      </c>
      <c r="H90" s="7" t="s">
        <v>9</v>
      </c>
      <c r="I90" s="7" t="s">
        <v>9</v>
      </c>
      <c r="J90" s="7" t="s">
        <v>9</v>
      </c>
      <c r="K90" s="7" t="s">
        <v>9</v>
      </c>
      <c r="L90" s="32" t="str">
        <f t="shared" si="23"/>
        <v>De.Mobilidade</v>
      </c>
      <c r="M90" s="32" t="str">
        <f t="shared" si="24"/>
        <v>Elementos.de.Proteção</v>
      </c>
      <c r="N90" s="32" t="str">
        <f t="shared" si="25"/>
        <v>Guardacorpos Sistemas</v>
      </c>
      <c r="O90" s="27" t="str">
        <f t="shared" si="26"/>
        <v>Guardacorpo.Poste</v>
      </c>
      <c r="P90" s="27" t="s">
        <v>121</v>
      </c>
      <c r="Q90" s="27" t="s">
        <v>135</v>
      </c>
      <c r="R90" s="27" t="s">
        <v>658</v>
      </c>
      <c r="S90" s="69" t="s">
        <v>9</v>
      </c>
      <c r="T90" s="27" t="str">
        <f t="shared" si="27"/>
        <v>De.Mobilidade</v>
      </c>
      <c r="U90" s="27" t="str">
        <f t="shared" si="28"/>
        <v>Elementos.de.Proteção</v>
      </c>
      <c r="V90" s="27" t="str">
        <f t="shared" si="29"/>
        <v>Guardacorpos.Sistemas</v>
      </c>
      <c r="W90" s="27" t="s">
        <v>43</v>
      </c>
      <c r="X90" s="43" t="str">
        <f t="shared" si="30"/>
        <v>Key-CIRCU-90</v>
      </c>
      <c r="Y90" s="27" t="s">
        <v>350</v>
      </c>
      <c r="Z90" s="68" t="s">
        <v>9</v>
      </c>
      <c r="AA90" s="26" t="s">
        <v>408</v>
      </c>
      <c r="AB90" s="68" t="s">
        <v>9</v>
      </c>
      <c r="AC90" s="45" t="s">
        <v>571</v>
      </c>
      <c r="AD90" s="68" t="s">
        <v>9</v>
      </c>
    </row>
    <row r="91" spans="1:30" ht="6.6" customHeight="1" x14ac:dyDescent="0.25">
      <c r="A91" s="41">
        <v>91</v>
      </c>
      <c r="B91" s="1" t="s">
        <v>513</v>
      </c>
      <c r="C91" s="1" t="s">
        <v>519</v>
      </c>
      <c r="D91" s="1" t="s">
        <v>469</v>
      </c>
      <c r="E91" s="1" t="s">
        <v>183</v>
      </c>
      <c r="F91" s="1" t="s">
        <v>482</v>
      </c>
      <c r="G91" s="7" t="s">
        <v>9</v>
      </c>
      <c r="H91" s="7" t="s">
        <v>9</v>
      </c>
      <c r="I91" s="7" t="s">
        <v>9</v>
      </c>
      <c r="J91" s="7" t="s">
        <v>9</v>
      </c>
      <c r="K91" s="7" t="s">
        <v>9</v>
      </c>
      <c r="L91" s="32" t="str">
        <f t="shared" si="23"/>
        <v>De.Mobilidade</v>
      </c>
      <c r="M91" s="32" t="str">
        <f t="shared" si="24"/>
        <v>Elementos.de.Proteção</v>
      </c>
      <c r="N91" s="32" t="str">
        <f t="shared" si="25"/>
        <v>Guardacorpos Sistemas</v>
      </c>
      <c r="O91" s="27" t="str">
        <f t="shared" si="26"/>
        <v>Guardacorpo.Trilho</v>
      </c>
      <c r="P91" s="27" t="s">
        <v>122</v>
      </c>
      <c r="Q91" s="27" t="s">
        <v>136</v>
      </c>
      <c r="R91" s="27" t="s">
        <v>659</v>
      </c>
      <c r="S91" s="69" t="s">
        <v>9</v>
      </c>
      <c r="T91" s="27" t="str">
        <f t="shared" si="27"/>
        <v>De.Mobilidade</v>
      </c>
      <c r="U91" s="27" t="str">
        <f t="shared" si="28"/>
        <v>Elementos.de.Proteção</v>
      </c>
      <c r="V91" s="27" t="str">
        <f t="shared" si="29"/>
        <v>Guardacorpos.Sistemas</v>
      </c>
      <c r="W91" s="27" t="s">
        <v>43</v>
      </c>
      <c r="X91" s="43" t="str">
        <f t="shared" si="30"/>
        <v>Key-CIRCU-91</v>
      </c>
      <c r="Y91" s="27" t="s">
        <v>351</v>
      </c>
      <c r="Z91" s="68" t="s">
        <v>9</v>
      </c>
      <c r="AA91" s="26" t="s">
        <v>407</v>
      </c>
      <c r="AB91" s="68" t="s">
        <v>9</v>
      </c>
      <c r="AC91" s="45" t="s">
        <v>571</v>
      </c>
      <c r="AD91" s="68" t="s">
        <v>9</v>
      </c>
    </row>
    <row r="92" spans="1:30" ht="6.6" customHeight="1" x14ac:dyDescent="0.25">
      <c r="A92" s="41">
        <v>92</v>
      </c>
      <c r="B92" s="1" t="s">
        <v>513</v>
      </c>
      <c r="C92" s="1" t="s">
        <v>519</v>
      </c>
      <c r="D92" s="1" t="s">
        <v>469</v>
      </c>
      <c r="E92" s="1" t="s">
        <v>183</v>
      </c>
      <c r="F92" s="1" t="s">
        <v>483</v>
      </c>
      <c r="G92" s="7" t="s">
        <v>9</v>
      </c>
      <c r="H92" s="7" t="s">
        <v>9</v>
      </c>
      <c r="I92" s="7" t="s">
        <v>9</v>
      </c>
      <c r="J92" s="7" t="s">
        <v>9</v>
      </c>
      <c r="K92" s="7" t="s">
        <v>9</v>
      </c>
      <c r="L92" s="32" t="str">
        <f t="shared" si="23"/>
        <v>De.Mobilidade</v>
      </c>
      <c r="M92" s="32" t="str">
        <f t="shared" si="24"/>
        <v>Elementos.de.Proteção</v>
      </c>
      <c r="N92" s="32" t="str">
        <f t="shared" si="25"/>
        <v>Guardacorpos Sistemas</v>
      </c>
      <c r="O92" s="27" t="str">
        <f t="shared" si="26"/>
        <v>Guardacorpo.Segmento</v>
      </c>
      <c r="P92" s="27" t="s">
        <v>123</v>
      </c>
      <c r="Q92" s="27" t="s">
        <v>137</v>
      </c>
      <c r="R92" s="27" t="s">
        <v>660</v>
      </c>
      <c r="S92" s="69" t="s">
        <v>9</v>
      </c>
      <c r="T92" s="27" t="str">
        <f t="shared" si="27"/>
        <v>De.Mobilidade</v>
      </c>
      <c r="U92" s="27" t="str">
        <f t="shared" si="28"/>
        <v>Elementos.de.Proteção</v>
      </c>
      <c r="V92" s="27" t="str">
        <f t="shared" si="29"/>
        <v>Guardacorpos.Sistemas</v>
      </c>
      <c r="W92" s="27" t="s">
        <v>43</v>
      </c>
      <c r="X92" s="43" t="str">
        <f t="shared" si="30"/>
        <v>Key-CIRCU-92</v>
      </c>
      <c r="Y92" s="27" t="s">
        <v>353</v>
      </c>
      <c r="Z92" s="68" t="s">
        <v>9</v>
      </c>
      <c r="AA92" s="26" t="s">
        <v>393</v>
      </c>
      <c r="AB92" s="68" t="s">
        <v>9</v>
      </c>
      <c r="AC92" s="45" t="s">
        <v>571</v>
      </c>
      <c r="AD92" s="68" t="s">
        <v>9</v>
      </c>
    </row>
    <row r="93" spans="1:30" ht="6.6" customHeight="1" x14ac:dyDescent="0.25">
      <c r="A93" s="41">
        <v>93</v>
      </c>
      <c r="B93" s="1" t="s">
        <v>513</v>
      </c>
      <c r="C93" s="1" t="s">
        <v>519</v>
      </c>
      <c r="D93" s="1" t="s">
        <v>469</v>
      </c>
      <c r="E93" s="1" t="s">
        <v>183</v>
      </c>
      <c r="F93" s="1" t="s">
        <v>484</v>
      </c>
      <c r="G93" s="7" t="s">
        <v>9</v>
      </c>
      <c r="H93" s="7" t="s">
        <v>9</v>
      </c>
      <c r="I93" s="7" t="s">
        <v>9</v>
      </c>
      <c r="J93" s="7" t="s">
        <v>9</v>
      </c>
      <c r="K93" s="7" t="s">
        <v>9</v>
      </c>
      <c r="L93" s="32" t="str">
        <f t="shared" si="23"/>
        <v>De.Mobilidade</v>
      </c>
      <c r="M93" s="32" t="str">
        <f t="shared" si="24"/>
        <v>Elementos.de.Proteção</v>
      </c>
      <c r="N93" s="32" t="str">
        <f t="shared" si="25"/>
        <v>Guardacorpos Sistemas</v>
      </c>
      <c r="O93" s="27" t="str">
        <f t="shared" si="26"/>
        <v>Guardacorpo.Finalização</v>
      </c>
      <c r="P93" s="27" t="s">
        <v>124</v>
      </c>
      <c r="Q93" s="27" t="s">
        <v>138</v>
      </c>
      <c r="R93" s="27" t="s">
        <v>648</v>
      </c>
      <c r="S93" s="69" t="s">
        <v>9</v>
      </c>
      <c r="T93" s="27" t="str">
        <f t="shared" si="27"/>
        <v>De.Mobilidade</v>
      </c>
      <c r="U93" s="27" t="str">
        <f t="shared" si="28"/>
        <v>Elementos.de.Proteção</v>
      </c>
      <c r="V93" s="27" t="str">
        <f t="shared" si="29"/>
        <v>Guardacorpos.Sistemas</v>
      </c>
      <c r="W93" s="27" t="s">
        <v>43</v>
      </c>
      <c r="X93" s="43" t="str">
        <f t="shared" si="30"/>
        <v>Key-CIRCU-93</v>
      </c>
      <c r="Y93" s="27" t="s">
        <v>354</v>
      </c>
      <c r="Z93" s="68" t="s">
        <v>9</v>
      </c>
      <c r="AA93" s="26" t="s">
        <v>393</v>
      </c>
      <c r="AB93" s="68" t="s">
        <v>9</v>
      </c>
      <c r="AC93" s="45" t="s">
        <v>571</v>
      </c>
      <c r="AD93" s="68" t="s">
        <v>9</v>
      </c>
    </row>
    <row r="94" spans="1:30" ht="6.6" customHeight="1" x14ac:dyDescent="0.25">
      <c r="A94" s="41">
        <v>94</v>
      </c>
      <c r="B94" s="1" t="s">
        <v>513</v>
      </c>
      <c r="C94" s="1" t="s">
        <v>519</v>
      </c>
      <c r="D94" s="1" t="s">
        <v>469</v>
      </c>
      <c r="E94" s="1" t="s">
        <v>183</v>
      </c>
      <c r="F94" s="1" t="s">
        <v>485</v>
      </c>
      <c r="G94" s="7" t="s">
        <v>9</v>
      </c>
      <c r="H94" s="7" t="s">
        <v>9</v>
      </c>
      <c r="I94" s="7" t="s">
        <v>9</v>
      </c>
      <c r="J94" s="7" t="s">
        <v>9</v>
      </c>
      <c r="K94" s="7" t="s">
        <v>9</v>
      </c>
      <c r="L94" s="32" t="str">
        <f t="shared" si="23"/>
        <v>De.Mobilidade</v>
      </c>
      <c r="M94" s="32" t="str">
        <f t="shared" si="24"/>
        <v>Elementos.de.Proteção</v>
      </c>
      <c r="N94" s="32" t="str">
        <f t="shared" si="25"/>
        <v>Guardacorpos Sistemas</v>
      </c>
      <c r="O94" s="27" t="str">
        <f t="shared" si="26"/>
        <v>Guardacorpo.Trilho.Superior</v>
      </c>
      <c r="P94" s="27" t="s">
        <v>125</v>
      </c>
      <c r="Q94" s="27" t="s">
        <v>139</v>
      </c>
      <c r="R94" s="27" t="s">
        <v>645</v>
      </c>
      <c r="S94" s="69" t="s">
        <v>9</v>
      </c>
      <c r="T94" s="27" t="str">
        <f t="shared" si="27"/>
        <v>De.Mobilidade</v>
      </c>
      <c r="U94" s="27" t="str">
        <f t="shared" si="28"/>
        <v>Elementos.de.Proteção</v>
      </c>
      <c r="V94" s="27" t="str">
        <f t="shared" si="29"/>
        <v>Guardacorpos.Sistemas</v>
      </c>
      <c r="W94" s="27" t="s">
        <v>43</v>
      </c>
      <c r="X94" s="43" t="str">
        <f t="shared" si="30"/>
        <v>Key-CIRCU-94</v>
      </c>
      <c r="Y94" s="27" t="s">
        <v>352</v>
      </c>
      <c r="Z94" s="68" t="s">
        <v>9</v>
      </c>
      <c r="AA94" s="26" t="s">
        <v>407</v>
      </c>
      <c r="AB94" s="68" t="s">
        <v>9</v>
      </c>
      <c r="AC94" s="45" t="s">
        <v>571</v>
      </c>
      <c r="AD94" s="68" t="s">
        <v>9</v>
      </c>
    </row>
    <row r="95" spans="1:30" ht="6.6" customHeight="1" x14ac:dyDescent="0.25">
      <c r="A95" s="41">
        <v>95</v>
      </c>
      <c r="B95" s="1" t="s">
        <v>513</v>
      </c>
      <c r="C95" s="1" t="s">
        <v>519</v>
      </c>
      <c r="D95" s="1" t="s">
        <v>469</v>
      </c>
      <c r="E95" s="1" t="s">
        <v>183</v>
      </c>
      <c r="F95" s="1" t="s">
        <v>486</v>
      </c>
      <c r="G95" s="7" t="s">
        <v>9</v>
      </c>
      <c r="H95" s="7" t="s">
        <v>9</v>
      </c>
      <c r="I95" s="7" t="s">
        <v>9</v>
      </c>
      <c r="J95" s="7" t="s">
        <v>9</v>
      </c>
      <c r="K95" s="7" t="s">
        <v>9</v>
      </c>
      <c r="L95" s="32" t="str">
        <f t="shared" si="23"/>
        <v>De.Mobilidade</v>
      </c>
      <c r="M95" s="32" t="str">
        <f t="shared" si="24"/>
        <v>Elementos.de.Proteção</v>
      </c>
      <c r="N95" s="32" t="str">
        <f t="shared" si="25"/>
        <v>Guardacorpos Sistemas</v>
      </c>
      <c r="O95" s="27" t="str">
        <f t="shared" si="26"/>
        <v>Guardacorpo.Transição</v>
      </c>
      <c r="P95" s="27" t="s">
        <v>126</v>
      </c>
      <c r="Q95" s="27" t="s">
        <v>140</v>
      </c>
      <c r="R95" s="27" t="s">
        <v>661</v>
      </c>
      <c r="S95" s="69" t="s">
        <v>9</v>
      </c>
      <c r="T95" s="27" t="str">
        <f t="shared" si="27"/>
        <v>De.Mobilidade</v>
      </c>
      <c r="U95" s="27" t="str">
        <f t="shared" si="28"/>
        <v>Elementos.de.Proteção</v>
      </c>
      <c r="V95" s="27" t="str">
        <f t="shared" si="29"/>
        <v>Guardacorpos.Sistemas</v>
      </c>
      <c r="W95" s="27" t="s">
        <v>43</v>
      </c>
      <c r="X95" s="43" t="str">
        <f t="shared" si="30"/>
        <v>Key-CIRCU-95</v>
      </c>
      <c r="Y95" s="27" t="s">
        <v>355</v>
      </c>
      <c r="Z95" s="68" t="s">
        <v>9</v>
      </c>
      <c r="AA95" s="26" t="s">
        <v>393</v>
      </c>
      <c r="AB95" s="68" t="s">
        <v>9</v>
      </c>
      <c r="AC95" s="45" t="s">
        <v>571</v>
      </c>
      <c r="AD95" s="68" t="s">
        <v>9</v>
      </c>
    </row>
    <row r="96" spans="1:30" ht="6.6" customHeight="1" x14ac:dyDescent="0.25">
      <c r="A96" s="41">
        <v>96</v>
      </c>
      <c r="B96" s="1" t="s">
        <v>513</v>
      </c>
      <c r="C96" s="1" t="s">
        <v>519</v>
      </c>
      <c r="D96" s="1" t="s">
        <v>468</v>
      </c>
      <c r="E96" s="1" t="s">
        <v>192</v>
      </c>
      <c r="F96" s="31" t="s">
        <v>518</v>
      </c>
      <c r="G96" s="7" t="s">
        <v>9</v>
      </c>
      <c r="H96" s="7" t="s">
        <v>9</v>
      </c>
      <c r="I96" s="7" t="s">
        <v>9</v>
      </c>
      <c r="J96" s="7" t="s">
        <v>9</v>
      </c>
      <c r="K96" s="7" t="s">
        <v>9</v>
      </c>
      <c r="L96" s="32" t="str">
        <f t="shared" si="23"/>
        <v>De.Mobilidade</v>
      </c>
      <c r="M96" s="32" t="str">
        <f t="shared" si="24"/>
        <v>Elementos.de.Circulação</v>
      </c>
      <c r="N96" s="32" t="str">
        <f t="shared" si="25"/>
        <v>Rampas</v>
      </c>
      <c r="O96" s="27" t="str">
        <f t="shared" si="26"/>
        <v>Rampa.Convencional</v>
      </c>
      <c r="P96" s="27" t="s">
        <v>194</v>
      </c>
      <c r="Q96" s="27" t="s">
        <v>195</v>
      </c>
      <c r="R96" s="27" t="s">
        <v>662</v>
      </c>
      <c r="S96" s="69" t="s">
        <v>9</v>
      </c>
      <c r="T96" s="27" t="str">
        <f t="shared" si="27"/>
        <v>De.Mobilidade</v>
      </c>
      <c r="U96" s="27" t="str">
        <f t="shared" si="28"/>
        <v>Elementos.de.Circulação</v>
      </c>
      <c r="V96" s="27" t="str">
        <f t="shared" si="29"/>
        <v>Rampas</v>
      </c>
      <c r="W96" s="27" t="s">
        <v>43</v>
      </c>
      <c r="X96" s="43" t="str">
        <f t="shared" si="30"/>
        <v>Key-CIRCU-96</v>
      </c>
      <c r="Y96" s="27" t="s">
        <v>357</v>
      </c>
      <c r="Z96" s="68" t="s">
        <v>9</v>
      </c>
      <c r="AA96" s="26" t="s">
        <v>399</v>
      </c>
      <c r="AB96" s="68" t="s">
        <v>9</v>
      </c>
      <c r="AC96" s="45" t="s">
        <v>572</v>
      </c>
      <c r="AD96" s="68" t="s">
        <v>9</v>
      </c>
    </row>
    <row r="97" spans="1:30" ht="6.6" customHeight="1" x14ac:dyDescent="0.25">
      <c r="A97" s="41">
        <v>97</v>
      </c>
      <c r="B97" s="1" t="s">
        <v>513</v>
      </c>
      <c r="C97" s="1" t="s">
        <v>519</v>
      </c>
      <c r="D97" s="1" t="s">
        <v>468</v>
      </c>
      <c r="E97" s="1" t="s">
        <v>192</v>
      </c>
      <c r="F97" s="31" t="s">
        <v>214</v>
      </c>
      <c r="G97" s="7" t="s">
        <v>9</v>
      </c>
      <c r="H97" s="7" t="s">
        <v>9</v>
      </c>
      <c r="I97" s="7" t="s">
        <v>9</v>
      </c>
      <c r="J97" s="7" t="s">
        <v>9</v>
      </c>
      <c r="K97" s="7" t="s">
        <v>9</v>
      </c>
      <c r="L97" s="32" t="str">
        <f t="shared" ref="L97:L120" si="31">CONCATENATE("", C97)</f>
        <v>De.Mobilidade</v>
      </c>
      <c r="M97" s="32" t="str">
        <f t="shared" ref="M97:M120" si="32">CONCATENATE("", D97)</f>
        <v>Elementos.de.Circulação</v>
      </c>
      <c r="N97" s="32" t="str">
        <f t="shared" ref="N97:O120" si="33">(SUBSTITUTE(SUBSTITUTE(CONCATENATE("",E97),"."," ")," De "," de "))</f>
        <v>Rampas</v>
      </c>
      <c r="O97" s="27" t="str">
        <f t="shared" ref="O97:O113" si="34">IF(ISNUMBER(FIND("Ifc",F97)),CONCATENATE("Classe IFC:   ",F97),F97)</f>
        <v>Rampa.Reta</v>
      </c>
      <c r="P97" s="27" t="s">
        <v>215</v>
      </c>
      <c r="Q97" s="27" t="s">
        <v>216</v>
      </c>
      <c r="R97" s="27" t="s">
        <v>663</v>
      </c>
      <c r="S97" s="69" t="s">
        <v>9</v>
      </c>
      <c r="T97" s="27" t="str">
        <f t="shared" ref="T97:V114" si="35">SUBSTITUTE(C97, "_", " ")</f>
        <v>De.Mobilidade</v>
      </c>
      <c r="U97" s="27" t="str">
        <f t="shared" ref="U97:U113" si="36">SUBSTITUTE(D97, "_", " ")</f>
        <v>Elementos.de.Circulação</v>
      </c>
      <c r="V97" s="27" t="str">
        <f t="shared" ref="V97:V113" si="37">SUBSTITUTE(E97, "_", " ")</f>
        <v>Rampas</v>
      </c>
      <c r="W97" s="27" t="s">
        <v>43</v>
      </c>
      <c r="X97" s="43" t="str">
        <f t="shared" si="30"/>
        <v>Key-CIRCU-97</v>
      </c>
      <c r="Y97" s="27" t="s">
        <v>357</v>
      </c>
      <c r="Z97" s="68" t="s">
        <v>9</v>
      </c>
      <c r="AA97" s="26" t="s">
        <v>404</v>
      </c>
      <c r="AB97" s="68" t="s">
        <v>9</v>
      </c>
      <c r="AC97" s="45" t="s">
        <v>572</v>
      </c>
      <c r="AD97" s="68" t="s">
        <v>9</v>
      </c>
    </row>
    <row r="98" spans="1:30" ht="6" customHeight="1" x14ac:dyDescent="0.25">
      <c r="A98" s="41">
        <v>98</v>
      </c>
      <c r="B98" s="1" t="s">
        <v>513</v>
      </c>
      <c r="C98" s="1" t="s">
        <v>519</v>
      </c>
      <c r="D98" s="1" t="s">
        <v>468</v>
      </c>
      <c r="E98" s="1" t="s">
        <v>192</v>
      </c>
      <c r="F98" s="31" t="s">
        <v>494</v>
      </c>
      <c r="G98" s="7" t="s">
        <v>9</v>
      </c>
      <c r="H98" s="7" t="s">
        <v>9</v>
      </c>
      <c r="I98" s="7" t="s">
        <v>9</v>
      </c>
      <c r="J98" s="7" t="s">
        <v>9</v>
      </c>
      <c r="K98" s="7" t="s">
        <v>9</v>
      </c>
      <c r="L98" s="32" t="str">
        <f t="shared" si="31"/>
        <v>De.Mobilidade</v>
      </c>
      <c r="M98" s="32" t="str">
        <f t="shared" si="32"/>
        <v>Elementos.de.Circulação</v>
      </c>
      <c r="N98" s="32" t="str">
        <f t="shared" si="33"/>
        <v>Rampas</v>
      </c>
      <c r="O98" s="27" t="str">
        <f t="shared" si="34"/>
        <v>Rampa.Reta.2.Lances</v>
      </c>
      <c r="P98" s="27" t="s">
        <v>217</v>
      </c>
      <c r="Q98" s="27" t="s">
        <v>218</v>
      </c>
      <c r="R98" s="27" t="s">
        <v>664</v>
      </c>
      <c r="S98" s="69" t="s">
        <v>9</v>
      </c>
      <c r="T98" s="27" t="str">
        <f t="shared" si="35"/>
        <v>De.Mobilidade</v>
      </c>
      <c r="U98" s="27" t="str">
        <f t="shared" si="36"/>
        <v>Elementos.de.Circulação</v>
      </c>
      <c r="V98" s="27" t="str">
        <f t="shared" si="37"/>
        <v>Rampas</v>
      </c>
      <c r="W98" s="27" t="s">
        <v>43</v>
      </c>
      <c r="X98" s="43" t="str">
        <f t="shared" si="30"/>
        <v>Key-CIRCU-98</v>
      </c>
      <c r="Y98" s="27" t="s">
        <v>357</v>
      </c>
      <c r="Z98" s="68" t="s">
        <v>9</v>
      </c>
      <c r="AA98" s="26" t="s">
        <v>409</v>
      </c>
      <c r="AB98" s="68" t="s">
        <v>9</v>
      </c>
      <c r="AC98" s="45" t="s">
        <v>572</v>
      </c>
      <c r="AD98" s="68" t="s">
        <v>9</v>
      </c>
    </row>
    <row r="99" spans="1:30" ht="6" customHeight="1" x14ac:dyDescent="0.25">
      <c r="A99" s="41">
        <v>99</v>
      </c>
      <c r="B99" s="1" t="s">
        <v>513</v>
      </c>
      <c r="C99" s="1" t="s">
        <v>519</v>
      </c>
      <c r="D99" s="1" t="s">
        <v>468</v>
      </c>
      <c r="E99" s="1" t="s">
        <v>192</v>
      </c>
      <c r="F99" s="31" t="s">
        <v>204</v>
      </c>
      <c r="G99" s="7" t="s">
        <v>9</v>
      </c>
      <c r="H99" s="7" t="s">
        <v>9</v>
      </c>
      <c r="I99" s="7" t="s">
        <v>9</v>
      </c>
      <c r="J99" s="7" t="s">
        <v>9</v>
      </c>
      <c r="K99" s="7" t="s">
        <v>9</v>
      </c>
      <c r="L99" s="32" t="str">
        <f t="shared" si="31"/>
        <v>De.Mobilidade</v>
      </c>
      <c r="M99" s="32" t="str">
        <f t="shared" si="32"/>
        <v>Elementos.de.Circulação</v>
      </c>
      <c r="N99" s="32" t="str">
        <f t="shared" si="33"/>
        <v>Rampas</v>
      </c>
      <c r="O99" s="27" t="str">
        <f t="shared" si="34"/>
        <v>Rampa.Espiral</v>
      </c>
      <c r="P99" s="27" t="s">
        <v>205</v>
      </c>
      <c r="Q99" s="27" t="s">
        <v>206</v>
      </c>
      <c r="R99" s="27" t="s">
        <v>665</v>
      </c>
      <c r="S99" s="69" t="s">
        <v>9</v>
      </c>
      <c r="T99" s="27" t="str">
        <f t="shared" si="35"/>
        <v>De.Mobilidade</v>
      </c>
      <c r="U99" s="27" t="str">
        <f t="shared" si="36"/>
        <v>Elementos.de.Circulação</v>
      </c>
      <c r="V99" s="27" t="str">
        <f t="shared" si="37"/>
        <v>Rampas</v>
      </c>
      <c r="W99" s="27" t="s">
        <v>43</v>
      </c>
      <c r="X99" s="43" t="str">
        <f t="shared" si="30"/>
        <v>Key-CIRCU-99</v>
      </c>
      <c r="Y99" s="27" t="s">
        <v>357</v>
      </c>
      <c r="Z99" s="68" t="s">
        <v>9</v>
      </c>
      <c r="AA99" s="26" t="s">
        <v>402</v>
      </c>
      <c r="AB99" s="68" t="s">
        <v>9</v>
      </c>
      <c r="AC99" s="45" t="s">
        <v>572</v>
      </c>
      <c r="AD99" s="68" t="s">
        <v>9</v>
      </c>
    </row>
    <row r="100" spans="1:30" ht="6" customHeight="1" x14ac:dyDescent="0.25">
      <c r="A100" s="41">
        <v>100</v>
      </c>
      <c r="B100" s="1" t="s">
        <v>513</v>
      </c>
      <c r="C100" s="1" t="s">
        <v>519</v>
      </c>
      <c r="D100" s="1" t="s">
        <v>468</v>
      </c>
      <c r="E100" s="1" t="s">
        <v>192</v>
      </c>
      <c r="F100" s="31" t="s">
        <v>207</v>
      </c>
      <c r="G100" s="47" t="s">
        <v>9</v>
      </c>
      <c r="H100" s="7" t="s">
        <v>9</v>
      </c>
      <c r="I100" s="7" t="s">
        <v>9</v>
      </c>
      <c r="J100" s="7" t="s">
        <v>9</v>
      </c>
      <c r="K100" s="7" t="s">
        <v>9</v>
      </c>
      <c r="L100" s="32" t="str">
        <f t="shared" si="31"/>
        <v>De.Mobilidade</v>
      </c>
      <c r="M100" s="32" t="str">
        <f t="shared" si="32"/>
        <v>Elementos.de.Circulação</v>
      </c>
      <c r="N100" s="32" t="str">
        <f t="shared" si="33"/>
        <v>Rampas</v>
      </c>
      <c r="O100" s="27" t="str">
        <f t="shared" si="34"/>
        <v>Rampa.U</v>
      </c>
      <c r="P100" s="27" t="s">
        <v>208</v>
      </c>
      <c r="Q100" s="27" t="s">
        <v>209</v>
      </c>
      <c r="R100" s="27" t="s">
        <v>666</v>
      </c>
      <c r="S100" s="69" t="s">
        <v>9</v>
      </c>
      <c r="T100" s="27" t="str">
        <f t="shared" si="35"/>
        <v>De.Mobilidade</v>
      </c>
      <c r="U100" s="27" t="str">
        <f t="shared" si="36"/>
        <v>Elementos.de.Circulação</v>
      </c>
      <c r="V100" s="27" t="str">
        <f t="shared" si="37"/>
        <v>Rampas</v>
      </c>
      <c r="W100" s="27" t="s">
        <v>43</v>
      </c>
      <c r="X100" s="43" t="str">
        <f t="shared" si="30"/>
        <v>Key-CIRCU-100</v>
      </c>
      <c r="Y100" s="27" t="s">
        <v>357</v>
      </c>
      <c r="Z100" s="68" t="s">
        <v>9</v>
      </c>
      <c r="AA100" s="26" t="s">
        <v>406</v>
      </c>
      <c r="AB100" s="68" t="s">
        <v>9</v>
      </c>
      <c r="AC100" s="45" t="s">
        <v>572</v>
      </c>
      <c r="AD100" s="68" t="s">
        <v>9</v>
      </c>
    </row>
    <row r="101" spans="1:30" ht="6" customHeight="1" x14ac:dyDescent="0.25">
      <c r="A101" s="41">
        <v>101</v>
      </c>
      <c r="B101" s="1" t="s">
        <v>513</v>
      </c>
      <c r="C101" s="1" t="s">
        <v>519</v>
      </c>
      <c r="D101" s="1" t="s">
        <v>468</v>
      </c>
      <c r="E101" s="1" t="s">
        <v>192</v>
      </c>
      <c r="F101" s="31" t="s">
        <v>493</v>
      </c>
      <c r="G101" s="47" t="s">
        <v>9</v>
      </c>
      <c r="H101" s="7" t="s">
        <v>9</v>
      </c>
      <c r="I101" s="7" t="s">
        <v>9</v>
      </c>
      <c r="J101" s="7" t="s">
        <v>9</v>
      </c>
      <c r="K101" s="7" t="s">
        <v>9</v>
      </c>
      <c r="L101" s="32" t="str">
        <f t="shared" si="31"/>
        <v>De.Mobilidade</v>
      </c>
      <c r="M101" s="32" t="str">
        <f t="shared" si="32"/>
        <v>Elementos.de.Circulação</v>
      </c>
      <c r="N101" s="32" t="str">
        <f t="shared" si="33"/>
        <v>Rampas</v>
      </c>
      <c r="O101" s="27" t="str">
        <f t="shared" si="34"/>
        <v>Rampa.U.Longa</v>
      </c>
      <c r="P101" s="27" t="s">
        <v>210</v>
      </c>
      <c r="Q101" s="27" t="s">
        <v>211</v>
      </c>
      <c r="R101" s="27" t="s">
        <v>667</v>
      </c>
      <c r="S101" s="69" t="s">
        <v>9</v>
      </c>
      <c r="T101" s="27" t="str">
        <f t="shared" si="35"/>
        <v>De.Mobilidade</v>
      </c>
      <c r="U101" s="27" t="str">
        <f t="shared" si="36"/>
        <v>Elementos.de.Circulação</v>
      </c>
      <c r="V101" s="27" t="str">
        <f t="shared" si="37"/>
        <v>Rampas</v>
      </c>
      <c r="W101" s="27" t="s">
        <v>43</v>
      </c>
      <c r="X101" s="43" t="str">
        <f t="shared" si="30"/>
        <v>Key-CIRCU-101</v>
      </c>
      <c r="Y101" s="27" t="s">
        <v>357</v>
      </c>
      <c r="Z101" s="68" t="s">
        <v>9</v>
      </c>
      <c r="AA101" s="26" t="s">
        <v>403</v>
      </c>
      <c r="AB101" s="68" t="s">
        <v>9</v>
      </c>
      <c r="AC101" s="45" t="s">
        <v>572</v>
      </c>
      <c r="AD101" s="68" t="s">
        <v>9</v>
      </c>
    </row>
    <row r="102" spans="1:30" ht="6" customHeight="1" x14ac:dyDescent="0.25">
      <c r="A102" s="41">
        <v>102</v>
      </c>
      <c r="B102" s="1" t="s">
        <v>513</v>
      </c>
      <c r="C102" s="1" t="s">
        <v>519</v>
      </c>
      <c r="D102" s="1" t="s">
        <v>468</v>
      </c>
      <c r="E102" s="1" t="s">
        <v>192</v>
      </c>
      <c r="F102" s="31" t="s">
        <v>212</v>
      </c>
      <c r="G102" s="47" t="s">
        <v>9</v>
      </c>
      <c r="H102" s="7" t="s">
        <v>9</v>
      </c>
      <c r="I102" s="7" t="s">
        <v>9</v>
      </c>
      <c r="J102" s="7" t="s">
        <v>9</v>
      </c>
      <c r="K102" s="7" t="s">
        <v>9</v>
      </c>
      <c r="L102" s="32" t="str">
        <f t="shared" si="31"/>
        <v>De.Mobilidade</v>
      </c>
      <c r="M102" s="32" t="str">
        <f t="shared" si="32"/>
        <v>Elementos.de.Circulação</v>
      </c>
      <c r="N102" s="32" t="str">
        <f t="shared" si="33"/>
        <v>Rampas</v>
      </c>
      <c r="O102" s="27" t="str">
        <f t="shared" si="34"/>
        <v>Rampa.L</v>
      </c>
      <c r="P102" s="27" t="s">
        <v>93</v>
      </c>
      <c r="Q102" s="27" t="s">
        <v>213</v>
      </c>
      <c r="R102" s="27" t="s">
        <v>668</v>
      </c>
      <c r="S102" s="69" t="s">
        <v>9</v>
      </c>
      <c r="T102" s="27" t="str">
        <f t="shared" si="35"/>
        <v>De.Mobilidade</v>
      </c>
      <c r="U102" s="27" t="str">
        <f t="shared" si="36"/>
        <v>Elementos.de.Circulação</v>
      </c>
      <c r="V102" s="27" t="str">
        <f t="shared" si="37"/>
        <v>Rampas</v>
      </c>
      <c r="W102" s="27" t="s">
        <v>43</v>
      </c>
      <c r="X102" s="43" t="str">
        <f t="shared" si="30"/>
        <v>Key-CIRCU-102</v>
      </c>
      <c r="Y102" s="27" t="s">
        <v>357</v>
      </c>
      <c r="Z102" s="68" t="s">
        <v>9</v>
      </c>
      <c r="AA102" s="26" t="s">
        <v>405</v>
      </c>
      <c r="AB102" s="68" t="s">
        <v>9</v>
      </c>
      <c r="AC102" s="45" t="s">
        <v>572</v>
      </c>
      <c r="AD102" s="68" t="s">
        <v>9</v>
      </c>
    </row>
    <row r="103" spans="1:30" ht="6" customHeight="1" x14ac:dyDescent="0.25">
      <c r="A103" s="41">
        <v>103</v>
      </c>
      <c r="B103" s="1" t="s">
        <v>513</v>
      </c>
      <c r="C103" s="1" t="s">
        <v>519</v>
      </c>
      <c r="D103" s="1" t="s">
        <v>468</v>
      </c>
      <c r="E103" s="1" t="s">
        <v>192</v>
      </c>
      <c r="F103" s="1" t="s">
        <v>219</v>
      </c>
      <c r="G103" s="47" t="s">
        <v>9</v>
      </c>
      <c r="H103" s="7" t="s">
        <v>9</v>
      </c>
      <c r="I103" s="7" t="s">
        <v>9</v>
      </c>
      <c r="J103" s="7" t="s">
        <v>9</v>
      </c>
      <c r="K103" s="7" t="s">
        <v>9</v>
      </c>
      <c r="L103" s="32" t="str">
        <f t="shared" si="31"/>
        <v>De.Mobilidade</v>
      </c>
      <c r="M103" s="32" t="str">
        <f t="shared" si="32"/>
        <v>Elementos.de.Circulação</v>
      </c>
      <c r="N103" s="32" t="str">
        <f t="shared" si="33"/>
        <v>Rampas</v>
      </c>
      <c r="O103" s="27" t="str">
        <f t="shared" si="34"/>
        <v>Rampa.Incompleta</v>
      </c>
      <c r="P103" s="27" t="s">
        <v>102</v>
      </c>
      <c r="Q103" s="27" t="s">
        <v>102</v>
      </c>
      <c r="R103" s="27" t="s">
        <v>669</v>
      </c>
      <c r="S103" s="69" t="s">
        <v>9</v>
      </c>
      <c r="T103" s="27" t="str">
        <f t="shared" si="35"/>
        <v>De.Mobilidade</v>
      </c>
      <c r="U103" s="27" t="str">
        <f t="shared" si="36"/>
        <v>Elementos.de.Circulação</v>
      </c>
      <c r="V103" s="27" t="str">
        <f t="shared" si="37"/>
        <v>Rampas</v>
      </c>
      <c r="W103" s="27" t="s">
        <v>43</v>
      </c>
      <c r="X103" s="43" t="str">
        <f t="shared" si="30"/>
        <v>Key-CIRCU-103</v>
      </c>
      <c r="Y103" s="27" t="s">
        <v>358</v>
      </c>
      <c r="Z103" s="68" t="s">
        <v>9</v>
      </c>
      <c r="AA103" s="27" t="s">
        <v>397</v>
      </c>
      <c r="AB103" s="68" t="s">
        <v>9</v>
      </c>
      <c r="AC103" s="45" t="s">
        <v>572</v>
      </c>
      <c r="AD103" s="68" t="s">
        <v>9</v>
      </c>
    </row>
    <row r="104" spans="1:30" ht="6" customHeight="1" x14ac:dyDescent="0.25">
      <c r="A104" s="41">
        <v>104</v>
      </c>
      <c r="B104" s="1" t="s">
        <v>513</v>
      </c>
      <c r="C104" s="1" t="s">
        <v>519</v>
      </c>
      <c r="D104" s="1" t="s">
        <v>468</v>
      </c>
      <c r="E104" s="1" t="s">
        <v>192</v>
      </c>
      <c r="F104" s="1" t="s">
        <v>220</v>
      </c>
      <c r="G104" s="47" t="s">
        <v>9</v>
      </c>
      <c r="H104" s="7" t="s">
        <v>9</v>
      </c>
      <c r="I104" s="7" t="s">
        <v>9</v>
      </c>
      <c r="J104" s="7" t="s">
        <v>9</v>
      </c>
      <c r="K104" s="7" t="s">
        <v>9</v>
      </c>
      <c r="L104" s="32" t="str">
        <f t="shared" si="31"/>
        <v>De.Mobilidade</v>
      </c>
      <c r="M104" s="32" t="str">
        <f t="shared" si="32"/>
        <v>Elementos.de.Circulação</v>
      </c>
      <c r="N104" s="32" t="str">
        <f t="shared" si="33"/>
        <v>Rampas</v>
      </c>
      <c r="O104" s="27" t="str">
        <f t="shared" si="34"/>
        <v>Rampa.Suporte.Lateral</v>
      </c>
      <c r="P104" s="27" t="s">
        <v>103</v>
      </c>
      <c r="Q104" s="27" t="s">
        <v>103</v>
      </c>
      <c r="R104" s="27" t="s">
        <v>670</v>
      </c>
      <c r="S104" s="69" t="s">
        <v>9</v>
      </c>
      <c r="T104" s="27" t="str">
        <f t="shared" si="35"/>
        <v>De.Mobilidade</v>
      </c>
      <c r="U104" s="27" t="str">
        <f t="shared" si="36"/>
        <v>Elementos.de.Circulação</v>
      </c>
      <c r="V104" s="27" t="str">
        <f t="shared" si="37"/>
        <v>Rampas</v>
      </c>
      <c r="W104" s="27" t="s">
        <v>43</v>
      </c>
      <c r="X104" s="43" t="str">
        <f t="shared" si="30"/>
        <v>Key-CIRCU-104</v>
      </c>
      <c r="Y104" s="27" t="s">
        <v>361</v>
      </c>
      <c r="Z104" s="68" t="s">
        <v>9</v>
      </c>
      <c r="AA104" s="27" t="s">
        <v>397</v>
      </c>
      <c r="AB104" s="68" t="s">
        <v>9</v>
      </c>
      <c r="AC104" s="45" t="s">
        <v>572</v>
      </c>
      <c r="AD104" s="68" t="s">
        <v>9</v>
      </c>
    </row>
    <row r="105" spans="1:30" ht="6" customHeight="1" x14ac:dyDescent="0.25">
      <c r="A105" s="41">
        <v>105</v>
      </c>
      <c r="B105" s="1" t="s">
        <v>513</v>
      </c>
      <c r="C105" s="1" t="s">
        <v>519</v>
      </c>
      <c r="D105" s="1" t="s">
        <v>468</v>
      </c>
      <c r="E105" s="1" t="s">
        <v>192</v>
      </c>
      <c r="F105" s="1" t="s">
        <v>221</v>
      </c>
      <c r="G105" s="47" t="s">
        <v>9</v>
      </c>
      <c r="H105" s="7" t="s">
        <v>9</v>
      </c>
      <c r="I105" s="7" t="s">
        <v>9</v>
      </c>
      <c r="J105" s="7" t="s">
        <v>9</v>
      </c>
      <c r="K105" s="7" t="s">
        <v>9</v>
      </c>
      <c r="L105" s="32" t="str">
        <f t="shared" si="31"/>
        <v>De.Mobilidade</v>
      </c>
      <c r="M105" s="32" t="str">
        <f t="shared" si="32"/>
        <v>Elementos.de.Circulação</v>
      </c>
      <c r="N105" s="32" t="str">
        <f t="shared" si="33"/>
        <v>Rampas</v>
      </c>
      <c r="O105" s="27" t="str">
        <f t="shared" si="34"/>
        <v>Rampa.Suporte.Lateral.Projeção</v>
      </c>
      <c r="P105" s="27" t="s">
        <v>104</v>
      </c>
      <c r="Q105" s="27" t="s">
        <v>111</v>
      </c>
      <c r="R105" s="27" t="s">
        <v>671</v>
      </c>
      <c r="S105" s="69" t="s">
        <v>9</v>
      </c>
      <c r="T105" s="27" t="str">
        <f t="shared" si="35"/>
        <v>De.Mobilidade</v>
      </c>
      <c r="U105" s="27" t="str">
        <f t="shared" si="36"/>
        <v>Elementos.de.Circulação</v>
      </c>
      <c r="V105" s="27" t="str">
        <f t="shared" si="37"/>
        <v>Rampas</v>
      </c>
      <c r="W105" s="27" t="s">
        <v>43</v>
      </c>
      <c r="X105" s="43" t="str">
        <f t="shared" si="30"/>
        <v>Key-CIRCU-105</v>
      </c>
      <c r="Y105" s="27" t="s">
        <v>359</v>
      </c>
      <c r="Z105" s="68" t="s">
        <v>9</v>
      </c>
      <c r="AA105" s="27" t="s">
        <v>397</v>
      </c>
      <c r="AB105" s="68" t="s">
        <v>9</v>
      </c>
      <c r="AC105" s="45" t="s">
        <v>572</v>
      </c>
      <c r="AD105" s="68" t="s">
        <v>9</v>
      </c>
    </row>
    <row r="106" spans="1:30" ht="6" customHeight="1" x14ac:dyDescent="0.25">
      <c r="A106" s="41">
        <v>106</v>
      </c>
      <c r="B106" s="1" t="s">
        <v>513</v>
      </c>
      <c r="C106" s="1" t="s">
        <v>519</v>
      </c>
      <c r="D106" s="1" t="s">
        <v>468</v>
      </c>
      <c r="E106" s="1" t="s">
        <v>192</v>
      </c>
      <c r="F106" s="31" t="s">
        <v>196</v>
      </c>
      <c r="G106" s="47" t="s">
        <v>9</v>
      </c>
      <c r="H106" s="7" t="s">
        <v>9</v>
      </c>
      <c r="I106" s="7" t="s">
        <v>9</v>
      </c>
      <c r="J106" s="7" t="s">
        <v>9</v>
      </c>
      <c r="K106" s="7" t="s">
        <v>9</v>
      </c>
      <c r="L106" s="32" t="str">
        <f t="shared" si="31"/>
        <v>De.Mobilidade</v>
      </c>
      <c r="M106" s="32" t="str">
        <f t="shared" si="32"/>
        <v>Elementos.de.Circulação</v>
      </c>
      <c r="N106" s="32" t="str">
        <f t="shared" si="33"/>
        <v>Rampas</v>
      </c>
      <c r="O106" s="27" t="str">
        <f t="shared" si="34"/>
        <v>Lance.Rampa</v>
      </c>
      <c r="P106" s="27" t="s">
        <v>197</v>
      </c>
      <c r="Q106" s="27" t="s">
        <v>198</v>
      </c>
      <c r="R106" s="27" t="s">
        <v>672</v>
      </c>
      <c r="S106" s="69" t="s">
        <v>9</v>
      </c>
      <c r="T106" s="27" t="str">
        <f t="shared" si="35"/>
        <v>De.Mobilidade</v>
      </c>
      <c r="U106" s="27" t="str">
        <f t="shared" si="36"/>
        <v>Elementos.de.Circulação</v>
      </c>
      <c r="V106" s="27" t="str">
        <f t="shared" si="37"/>
        <v>Rampas</v>
      </c>
      <c r="W106" s="27" t="s">
        <v>43</v>
      </c>
      <c r="X106" s="43" t="str">
        <f t="shared" si="30"/>
        <v>Key-CIRCU-106</v>
      </c>
      <c r="Y106" s="27" t="s">
        <v>357</v>
      </c>
      <c r="Z106" s="68" t="s">
        <v>9</v>
      </c>
      <c r="AA106" s="26" t="s">
        <v>400</v>
      </c>
      <c r="AB106" s="68" t="s">
        <v>9</v>
      </c>
      <c r="AC106" s="45" t="s">
        <v>572</v>
      </c>
      <c r="AD106" s="68" t="s">
        <v>9</v>
      </c>
    </row>
    <row r="107" spans="1:30" ht="6" customHeight="1" x14ac:dyDescent="0.25">
      <c r="A107" s="41">
        <v>107</v>
      </c>
      <c r="B107" s="1" t="s">
        <v>513</v>
      </c>
      <c r="C107" s="1" t="s">
        <v>519</v>
      </c>
      <c r="D107" s="1" t="s">
        <v>468</v>
      </c>
      <c r="E107" s="1" t="s">
        <v>192</v>
      </c>
      <c r="F107" s="31" t="s">
        <v>199</v>
      </c>
      <c r="G107" s="47" t="s">
        <v>9</v>
      </c>
      <c r="H107" s="7" t="s">
        <v>9</v>
      </c>
      <c r="I107" s="7" t="s">
        <v>9</v>
      </c>
      <c r="J107" s="7" t="s">
        <v>9</v>
      </c>
      <c r="K107" s="7" t="s">
        <v>9</v>
      </c>
      <c r="L107" s="32" t="str">
        <f t="shared" si="31"/>
        <v>De.Mobilidade</v>
      </c>
      <c r="M107" s="32" t="str">
        <f t="shared" si="32"/>
        <v>Elementos.de.Circulação</v>
      </c>
      <c r="N107" s="32" t="str">
        <f t="shared" si="33"/>
        <v>Rampas</v>
      </c>
      <c r="O107" s="27" t="str">
        <f t="shared" si="34"/>
        <v>Lance.Curvo.Rampa</v>
      </c>
      <c r="P107" s="27" t="s">
        <v>200</v>
      </c>
      <c r="Q107" s="27" t="s">
        <v>201</v>
      </c>
      <c r="R107" s="27" t="s">
        <v>673</v>
      </c>
      <c r="S107" s="69" t="s">
        <v>9</v>
      </c>
      <c r="T107" s="27" t="str">
        <f t="shared" si="35"/>
        <v>De.Mobilidade</v>
      </c>
      <c r="U107" s="27" t="str">
        <f t="shared" si="36"/>
        <v>Elementos.de.Circulação</v>
      </c>
      <c r="V107" s="27" t="str">
        <f t="shared" si="37"/>
        <v>Rampas</v>
      </c>
      <c r="W107" s="27" t="s">
        <v>43</v>
      </c>
      <c r="X107" s="43" t="str">
        <f t="shared" si="30"/>
        <v>Key-CIRCU-107</v>
      </c>
      <c r="Y107" s="27" t="s">
        <v>357</v>
      </c>
      <c r="Z107" s="68" t="s">
        <v>9</v>
      </c>
      <c r="AA107" s="26" t="s">
        <v>394</v>
      </c>
      <c r="AB107" s="68" t="s">
        <v>9</v>
      </c>
      <c r="AC107" s="45" t="s">
        <v>572</v>
      </c>
      <c r="AD107" s="68" t="s">
        <v>9</v>
      </c>
    </row>
    <row r="108" spans="1:30" ht="6" customHeight="1" x14ac:dyDescent="0.25">
      <c r="A108" s="41">
        <v>108</v>
      </c>
      <c r="B108" s="1" t="s">
        <v>513</v>
      </c>
      <c r="C108" s="1" t="s">
        <v>519</v>
      </c>
      <c r="D108" s="1" t="s">
        <v>468</v>
      </c>
      <c r="E108" s="1" t="s">
        <v>192</v>
      </c>
      <c r="F108" s="31" t="s">
        <v>202</v>
      </c>
      <c r="G108" s="47" t="s">
        <v>9</v>
      </c>
      <c r="H108" s="7" t="s">
        <v>9</v>
      </c>
      <c r="I108" s="7" t="s">
        <v>9</v>
      </c>
      <c r="J108" s="7" t="s">
        <v>9</v>
      </c>
      <c r="K108" s="7" t="s">
        <v>9</v>
      </c>
      <c r="L108" s="32" t="str">
        <f t="shared" si="31"/>
        <v>De.Mobilidade</v>
      </c>
      <c r="M108" s="32" t="str">
        <f t="shared" si="32"/>
        <v>Elementos.de.Circulação</v>
      </c>
      <c r="N108" s="32" t="str">
        <f t="shared" si="33"/>
        <v>Rampas</v>
      </c>
      <c r="O108" s="27" t="str">
        <f t="shared" si="34"/>
        <v>Lance.Reto.Rampa</v>
      </c>
      <c r="P108" s="27" t="s">
        <v>81</v>
      </c>
      <c r="Q108" s="27" t="s">
        <v>203</v>
      </c>
      <c r="R108" s="27" t="s">
        <v>674</v>
      </c>
      <c r="S108" s="69" t="s">
        <v>9</v>
      </c>
      <c r="T108" s="27" t="str">
        <f t="shared" si="35"/>
        <v>De.Mobilidade</v>
      </c>
      <c r="U108" s="27" t="str">
        <f t="shared" si="36"/>
        <v>Elementos.de.Circulação</v>
      </c>
      <c r="V108" s="27" t="str">
        <f t="shared" si="37"/>
        <v>Rampas</v>
      </c>
      <c r="W108" s="27" t="s">
        <v>43</v>
      </c>
      <c r="X108" s="43" t="str">
        <f t="shared" si="30"/>
        <v>Key-CIRCU-108</v>
      </c>
      <c r="Y108" s="27" t="s">
        <v>357</v>
      </c>
      <c r="Z108" s="68" t="s">
        <v>9</v>
      </c>
      <c r="AA108" s="26" t="s">
        <v>401</v>
      </c>
      <c r="AB108" s="68" t="s">
        <v>9</v>
      </c>
      <c r="AC108" s="45" t="s">
        <v>572</v>
      </c>
      <c r="AD108" s="68" t="s">
        <v>9</v>
      </c>
    </row>
    <row r="109" spans="1:30" ht="6" customHeight="1" x14ac:dyDescent="0.25">
      <c r="A109" s="41">
        <v>109</v>
      </c>
      <c r="B109" s="1" t="s">
        <v>513</v>
      </c>
      <c r="C109" s="1" t="s">
        <v>519</v>
      </c>
      <c r="D109" s="1" t="s">
        <v>455</v>
      </c>
      <c r="E109" s="1" t="s">
        <v>521</v>
      </c>
      <c r="F109" s="1" t="s">
        <v>460</v>
      </c>
      <c r="G109" s="47" t="s">
        <v>9</v>
      </c>
      <c r="H109" s="7" t="s">
        <v>9</v>
      </c>
      <c r="I109" s="7" t="s">
        <v>9</v>
      </c>
      <c r="J109" s="7" t="s">
        <v>9</v>
      </c>
      <c r="K109" s="7" t="s">
        <v>9</v>
      </c>
      <c r="L109" s="32" t="str">
        <f t="shared" si="31"/>
        <v>De.Mobilidade</v>
      </c>
      <c r="M109" s="32" t="str">
        <f t="shared" si="32"/>
        <v>Elementos.Simbólicos</v>
      </c>
      <c r="N109" s="32" t="str">
        <f t="shared" si="33"/>
        <v>Rampas Símbolos</v>
      </c>
      <c r="O109" s="27" t="str">
        <f t="shared" si="34"/>
        <v>Projeção.Rampa</v>
      </c>
      <c r="P109" s="27" t="s">
        <v>99</v>
      </c>
      <c r="Q109" s="27" t="s">
        <v>107</v>
      </c>
      <c r="R109" s="27" t="s">
        <v>675</v>
      </c>
      <c r="S109" s="69" t="s">
        <v>9</v>
      </c>
      <c r="T109" s="27" t="str">
        <f t="shared" si="35"/>
        <v>De.Mobilidade</v>
      </c>
      <c r="U109" s="27" t="str">
        <f t="shared" si="36"/>
        <v>Elementos.Simbólicos</v>
      </c>
      <c r="V109" s="27" t="str">
        <f t="shared" si="37"/>
        <v>Rampas.Símbolos</v>
      </c>
      <c r="W109" s="27" t="s">
        <v>43</v>
      </c>
      <c r="X109" s="43" t="str">
        <f t="shared" si="30"/>
        <v>Key-CIRCU-109</v>
      </c>
      <c r="Y109" s="27" t="s">
        <v>365</v>
      </c>
      <c r="Z109" s="68" t="s">
        <v>9</v>
      </c>
      <c r="AA109" s="27" t="s">
        <v>397</v>
      </c>
      <c r="AB109" s="68" t="s">
        <v>9</v>
      </c>
      <c r="AC109" s="45" t="s">
        <v>572</v>
      </c>
      <c r="AD109" s="68" t="s">
        <v>9</v>
      </c>
    </row>
    <row r="110" spans="1:30" ht="6" customHeight="1" x14ac:dyDescent="0.25">
      <c r="A110" s="41">
        <v>110</v>
      </c>
      <c r="B110" s="1" t="s">
        <v>513</v>
      </c>
      <c r="C110" s="1" t="s">
        <v>519</v>
      </c>
      <c r="D110" s="1" t="s">
        <v>455</v>
      </c>
      <c r="E110" s="1" t="s">
        <v>521</v>
      </c>
      <c r="F110" s="1" t="s">
        <v>457</v>
      </c>
      <c r="G110" s="47" t="s">
        <v>9</v>
      </c>
      <c r="H110" s="7" t="s">
        <v>9</v>
      </c>
      <c r="I110" s="7" t="s">
        <v>9</v>
      </c>
      <c r="J110" s="7" t="s">
        <v>9</v>
      </c>
      <c r="K110" s="7" t="s">
        <v>9</v>
      </c>
      <c r="L110" s="32" t="str">
        <f t="shared" si="31"/>
        <v>De.Mobilidade</v>
      </c>
      <c r="M110" s="32" t="str">
        <f t="shared" si="32"/>
        <v>Elementos.Simbólicos</v>
      </c>
      <c r="N110" s="32" t="str">
        <f t="shared" si="33"/>
        <v>Rampas Símbolos</v>
      </c>
      <c r="O110" s="27" t="str">
        <f t="shared" si="34"/>
        <v>Seta.Desce.Rampa</v>
      </c>
      <c r="P110" s="27" t="s">
        <v>100</v>
      </c>
      <c r="Q110" s="27" t="s">
        <v>108</v>
      </c>
      <c r="R110" s="27" t="s">
        <v>676</v>
      </c>
      <c r="S110" s="69" t="s">
        <v>9</v>
      </c>
      <c r="T110" s="27" t="str">
        <f t="shared" si="35"/>
        <v>De.Mobilidade</v>
      </c>
      <c r="U110" s="27" t="str">
        <f t="shared" si="36"/>
        <v>Elementos.Simbólicos</v>
      </c>
      <c r="V110" s="27" t="str">
        <f t="shared" si="37"/>
        <v>Rampas.Símbolos</v>
      </c>
      <c r="W110" s="27" t="s">
        <v>43</v>
      </c>
      <c r="X110" s="43" t="str">
        <f t="shared" si="30"/>
        <v>Key-CIRCU-110</v>
      </c>
      <c r="Y110" s="27" t="s">
        <v>362</v>
      </c>
      <c r="Z110" s="68" t="s">
        <v>9</v>
      </c>
      <c r="AA110" s="27" t="s">
        <v>397</v>
      </c>
      <c r="AB110" s="68" t="s">
        <v>9</v>
      </c>
      <c r="AC110" s="45" t="s">
        <v>572</v>
      </c>
      <c r="AD110" s="68" t="s">
        <v>9</v>
      </c>
    </row>
    <row r="111" spans="1:30" ht="6" customHeight="1" x14ac:dyDescent="0.25">
      <c r="A111" s="41">
        <v>111</v>
      </c>
      <c r="B111" s="1" t="s">
        <v>513</v>
      </c>
      <c r="C111" s="1" t="s">
        <v>519</v>
      </c>
      <c r="D111" s="1" t="s">
        <v>455</v>
      </c>
      <c r="E111" s="1" t="s">
        <v>521</v>
      </c>
      <c r="F111" s="1" t="s">
        <v>456</v>
      </c>
      <c r="G111" s="47" t="s">
        <v>9</v>
      </c>
      <c r="H111" s="7" t="s">
        <v>9</v>
      </c>
      <c r="I111" s="7" t="s">
        <v>9</v>
      </c>
      <c r="J111" s="7" t="s">
        <v>9</v>
      </c>
      <c r="K111" s="7" t="s">
        <v>9</v>
      </c>
      <c r="L111" s="32" t="str">
        <f t="shared" si="31"/>
        <v>De.Mobilidade</v>
      </c>
      <c r="M111" s="32" t="str">
        <f t="shared" si="32"/>
        <v>Elementos.Simbólicos</v>
      </c>
      <c r="N111" s="32" t="str">
        <f t="shared" si="33"/>
        <v>Rampas Símbolos</v>
      </c>
      <c r="O111" s="27" t="str">
        <f t="shared" si="34"/>
        <v>Seta.Sobe.Rampa</v>
      </c>
      <c r="P111" s="27" t="s">
        <v>105</v>
      </c>
      <c r="Q111" s="27" t="s">
        <v>110</v>
      </c>
      <c r="R111" s="27" t="s">
        <v>677</v>
      </c>
      <c r="S111" s="69" t="s">
        <v>9</v>
      </c>
      <c r="T111" s="27" t="str">
        <f t="shared" si="35"/>
        <v>De.Mobilidade</v>
      </c>
      <c r="U111" s="27" t="str">
        <f t="shared" si="36"/>
        <v>Elementos.Simbólicos</v>
      </c>
      <c r="V111" s="27" t="str">
        <f t="shared" si="37"/>
        <v>Rampas.Símbolos</v>
      </c>
      <c r="W111" s="27" t="s">
        <v>43</v>
      </c>
      <c r="X111" s="43" t="str">
        <f t="shared" si="30"/>
        <v>Key-CIRCU-111</v>
      </c>
      <c r="Y111" s="27" t="s">
        <v>360</v>
      </c>
      <c r="Z111" s="68" t="s">
        <v>9</v>
      </c>
      <c r="AA111" s="27" t="s">
        <v>397</v>
      </c>
      <c r="AB111" s="68" t="s">
        <v>9</v>
      </c>
      <c r="AC111" s="45" t="s">
        <v>572</v>
      </c>
      <c r="AD111" s="68" t="s">
        <v>9</v>
      </c>
    </row>
    <row r="112" spans="1:30" ht="6" customHeight="1" x14ac:dyDescent="0.25">
      <c r="A112" s="41">
        <v>112</v>
      </c>
      <c r="B112" s="1" t="s">
        <v>513</v>
      </c>
      <c r="C112" s="1" t="s">
        <v>519</v>
      </c>
      <c r="D112" s="1" t="s">
        <v>455</v>
      </c>
      <c r="E112" s="1" t="s">
        <v>521</v>
      </c>
      <c r="F112" s="1" t="s">
        <v>459</v>
      </c>
      <c r="G112" s="47" t="s">
        <v>9</v>
      </c>
      <c r="H112" s="7" t="s">
        <v>9</v>
      </c>
      <c r="I112" s="7" t="s">
        <v>9</v>
      </c>
      <c r="J112" s="7" t="s">
        <v>9</v>
      </c>
      <c r="K112" s="7" t="s">
        <v>9</v>
      </c>
      <c r="L112" s="32" t="str">
        <f t="shared" si="31"/>
        <v>De.Mobilidade</v>
      </c>
      <c r="M112" s="32" t="str">
        <f t="shared" si="32"/>
        <v>Elementos.Simbólicos</v>
      </c>
      <c r="N112" s="32" t="str">
        <f t="shared" si="33"/>
        <v>Rampas Símbolos</v>
      </c>
      <c r="O112" s="27" t="str">
        <f t="shared" si="34"/>
        <v>Texto.Desce.Rampa</v>
      </c>
      <c r="P112" s="27" t="s">
        <v>101</v>
      </c>
      <c r="Q112" s="27" t="s">
        <v>109</v>
      </c>
      <c r="R112" s="27" t="s">
        <v>678</v>
      </c>
      <c r="S112" s="69" t="s">
        <v>9</v>
      </c>
      <c r="T112" s="27" t="str">
        <f t="shared" si="35"/>
        <v>De.Mobilidade</v>
      </c>
      <c r="U112" s="27" t="str">
        <f t="shared" si="36"/>
        <v>Elementos.Simbólicos</v>
      </c>
      <c r="V112" s="27" t="str">
        <f t="shared" si="37"/>
        <v>Rampas.Símbolos</v>
      </c>
      <c r="W112" s="27" t="s">
        <v>43</v>
      </c>
      <c r="X112" s="43" t="str">
        <f t="shared" si="30"/>
        <v>Key-CIRCU-112</v>
      </c>
      <c r="Y112" s="27" t="s">
        <v>364</v>
      </c>
      <c r="Z112" s="68" t="s">
        <v>9</v>
      </c>
      <c r="AA112" s="27" t="s">
        <v>397</v>
      </c>
      <c r="AB112" s="68" t="s">
        <v>9</v>
      </c>
      <c r="AC112" s="45" t="s">
        <v>572</v>
      </c>
      <c r="AD112" s="68" t="s">
        <v>9</v>
      </c>
    </row>
    <row r="113" spans="1:30" ht="6" customHeight="1" x14ac:dyDescent="0.25">
      <c r="A113" s="41">
        <v>113</v>
      </c>
      <c r="B113" s="1" t="s">
        <v>513</v>
      </c>
      <c r="C113" s="1" t="s">
        <v>519</v>
      </c>
      <c r="D113" s="1" t="s">
        <v>455</v>
      </c>
      <c r="E113" s="1" t="s">
        <v>521</v>
      </c>
      <c r="F113" s="1" t="s">
        <v>458</v>
      </c>
      <c r="G113" s="47" t="s">
        <v>9</v>
      </c>
      <c r="H113" s="7" t="s">
        <v>9</v>
      </c>
      <c r="I113" s="7" t="s">
        <v>9</v>
      </c>
      <c r="J113" s="7" t="s">
        <v>9</v>
      </c>
      <c r="K113" s="7" t="s">
        <v>9</v>
      </c>
      <c r="L113" s="32" t="str">
        <f t="shared" si="31"/>
        <v>De.Mobilidade</v>
      </c>
      <c r="M113" s="32" t="str">
        <f t="shared" si="32"/>
        <v>Elementos.Simbólicos</v>
      </c>
      <c r="N113" s="32" t="str">
        <f t="shared" si="33"/>
        <v>Rampas Símbolos</v>
      </c>
      <c r="O113" s="27" t="str">
        <f t="shared" si="34"/>
        <v>Texto.Sobe.Rampa</v>
      </c>
      <c r="P113" s="27" t="s">
        <v>106</v>
      </c>
      <c r="Q113" s="27" t="s">
        <v>106</v>
      </c>
      <c r="R113" s="27" t="s">
        <v>679</v>
      </c>
      <c r="S113" s="69" t="s">
        <v>9</v>
      </c>
      <c r="T113" s="27" t="str">
        <f t="shared" si="35"/>
        <v>De.Mobilidade</v>
      </c>
      <c r="U113" s="27" t="str">
        <f t="shared" si="36"/>
        <v>Elementos.Simbólicos</v>
      </c>
      <c r="V113" s="27" t="str">
        <f t="shared" si="37"/>
        <v>Rampas.Símbolos</v>
      </c>
      <c r="W113" s="27" t="s">
        <v>43</v>
      </c>
      <c r="X113" s="43" t="str">
        <f t="shared" si="30"/>
        <v>Key-CIRCU-113</v>
      </c>
      <c r="Y113" s="27" t="s">
        <v>363</v>
      </c>
      <c r="Z113" s="68" t="s">
        <v>9</v>
      </c>
      <c r="AA113" s="27" t="s">
        <v>397</v>
      </c>
      <c r="AB113" s="68" t="s">
        <v>9</v>
      </c>
      <c r="AC113" s="45" t="s">
        <v>572</v>
      </c>
      <c r="AD113" s="68" t="s">
        <v>9</v>
      </c>
    </row>
    <row r="114" spans="1:30" s="46" customFormat="1" ht="6" customHeight="1" x14ac:dyDescent="0.25">
      <c r="A114" s="41">
        <v>114</v>
      </c>
      <c r="B114" s="1" t="s">
        <v>513</v>
      </c>
      <c r="C114" s="1" t="s">
        <v>519</v>
      </c>
      <c r="D114" s="1" t="s">
        <v>582</v>
      </c>
      <c r="E114" s="1" t="s">
        <v>583</v>
      </c>
      <c r="F114" s="1" t="s">
        <v>573</v>
      </c>
      <c r="G114" s="47" t="s">
        <v>9</v>
      </c>
      <c r="H114" s="7" t="s">
        <v>9</v>
      </c>
      <c r="I114" s="7" t="s">
        <v>9</v>
      </c>
      <c r="J114" s="7" t="s">
        <v>9</v>
      </c>
      <c r="K114" s="7" t="s">
        <v>9</v>
      </c>
      <c r="L114" s="64" t="str">
        <f t="shared" si="31"/>
        <v>De.Mobilidade</v>
      </c>
      <c r="M114" s="64" t="str">
        <f t="shared" si="32"/>
        <v>Elementos.de.Trajetos</v>
      </c>
      <c r="N114" s="64" t="str">
        <f t="shared" si="33"/>
        <v>Trajetos</v>
      </c>
      <c r="O114" s="64" t="str">
        <f t="shared" si="33"/>
        <v>Caminho Nós</v>
      </c>
      <c r="P114" s="64" t="s">
        <v>574</v>
      </c>
      <c r="Q114" s="45" t="str">
        <f>_xlfn.TRANSLATE(P114,"pt","es")</f>
        <v>Distribución - Nodos</v>
      </c>
      <c r="R114" s="27" t="s">
        <v>680</v>
      </c>
      <c r="S114" s="69" t="s">
        <v>9</v>
      </c>
      <c r="T114" s="45" t="str">
        <f t="shared" si="35"/>
        <v>De.Mobilidade</v>
      </c>
      <c r="U114" s="45" t="str">
        <f t="shared" si="35"/>
        <v>Elementos.de.Trajetos</v>
      </c>
      <c r="V114" s="64" t="str">
        <f t="shared" si="35"/>
        <v>Trajetos</v>
      </c>
      <c r="W114" s="27" t="s">
        <v>43</v>
      </c>
      <c r="X114" s="43" t="str">
        <f t="shared" si="30"/>
        <v>Key-CIRCU-114</v>
      </c>
      <c r="Y114" s="65" t="s">
        <v>575</v>
      </c>
      <c r="Z114" s="68" t="s">
        <v>9</v>
      </c>
      <c r="AA114" s="66" t="s">
        <v>576</v>
      </c>
      <c r="AB114" s="68" t="s">
        <v>9</v>
      </c>
      <c r="AC114" s="45" t="s">
        <v>9</v>
      </c>
      <c r="AD114" s="68" t="s">
        <v>9</v>
      </c>
    </row>
    <row r="115" spans="1:30" s="46" customFormat="1" ht="6" customHeight="1" x14ac:dyDescent="0.25">
      <c r="A115" s="41">
        <v>115</v>
      </c>
      <c r="B115" s="1" t="s">
        <v>513</v>
      </c>
      <c r="C115" s="1" t="s">
        <v>519</v>
      </c>
      <c r="D115" s="1" t="s">
        <v>582</v>
      </c>
      <c r="E115" s="1" t="s">
        <v>583</v>
      </c>
      <c r="F115" s="1" t="s">
        <v>577</v>
      </c>
      <c r="G115" s="47" t="s">
        <v>9</v>
      </c>
      <c r="H115" s="7" t="s">
        <v>9</v>
      </c>
      <c r="I115" s="7" t="s">
        <v>9</v>
      </c>
      <c r="J115" s="7" t="s">
        <v>9</v>
      </c>
      <c r="K115" s="7" t="s">
        <v>9</v>
      </c>
      <c r="L115" s="64" t="str">
        <f t="shared" si="31"/>
        <v>De.Mobilidade</v>
      </c>
      <c r="M115" s="64" t="str">
        <f t="shared" si="32"/>
        <v>Elementos.de.Trajetos</v>
      </c>
      <c r="N115" s="64" t="str">
        <f t="shared" si="33"/>
        <v>Trajetos</v>
      </c>
      <c r="O115" s="64" t="str">
        <f t="shared" si="33"/>
        <v>Caminho Trajeto</v>
      </c>
      <c r="P115" s="64" t="s">
        <v>578</v>
      </c>
      <c r="Q115" s="45" t="str">
        <f t="shared" ref="Q115:Q116" si="38">_xlfn.TRANSLATE(P115,"pt","es")</f>
        <v>Distribución - Bases del camino</v>
      </c>
      <c r="R115" s="27" t="s">
        <v>681</v>
      </c>
      <c r="S115" s="69" t="s">
        <v>9</v>
      </c>
      <c r="T115" s="45" t="str">
        <f t="shared" ref="T115:V116" si="39">SUBSTITUTE(C115, "_", " ")</f>
        <v>De.Mobilidade</v>
      </c>
      <c r="U115" s="45" t="str">
        <f t="shared" si="39"/>
        <v>Elementos.de.Trajetos</v>
      </c>
      <c r="V115" s="64" t="str">
        <f t="shared" si="39"/>
        <v>Trajetos</v>
      </c>
      <c r="W115" s="27" t="s">
        <v>43</v>
      </c>
      <c r="X115" s="43" t="str">
        <f t="shared" si="30"/>
        <v>Key-CIRCU-115</v>
      </c>
      <c r="Y115" s="65" t="s">
        <v>692</v>
      </c>
      <c r="Z115" s="27" t="s">
        <v>691</v>
      </c>
      <c r="AA115" s="66" t="s">
        <v>576</v>
      </c>
      <c r="AB115" s="68" t="s">
        <v>9</v>
      </c>
      <c r="AC115" s="45" t="s">
        <v>9</v>
      </c>
      <c r="AD115" s="68" t="s">
        <v>9</v>
      </c>
    </row>
    <row r="116" spans="1:30" s="46" customFormat="1" ht="6" customHeight="1" x14ac:dyDescent="0.25">
      <c r="A116" s="41">
        <v>116</v>
      </c>
      <c r="B116" s="1" t="s">
        <v>513</v>
      </c>
      <c r="C116" s="1" t="s">
        <v>519</v>
      </c>
      <c r="D116" s="1" t="s">
        <v>582</v>
      </c>
      <c r="E116" s="1" t="s">
        <v>583</v>
      </c>
      <c r="F116" s="1" t="s">
        <v>579</v>
      </c>
      <c r="G116" s="47" t="s">
        <v>9</v>
      </c>
      <c r="H116" s="7" t="s">
        <v>9</v>
      </c>
      <c r="I116" s="7" t="s">
        <v>9</v>
      </c>
      <c r="J116" s="7" t="s">
        <v>9</v>
      </c>
      <c r="K116" s="7" t="s">
        <v>9</v>
      </c>
      <c r="L116" s="64" t="str">
        <f t="shared" si="31"/>
        <v>De.Mobilidade</v>
      </c>
      <c r="M116" s="64" t="str">
        <f t="shared" si="32"/>
        <v>Elementos.de.Trajetos</v>
      </c>
      <c r="N116" s="64" t="str">
        <f t="shared" si="33"/>
        <v>Trajetos</v>
      </c>
      <c r="O116" s="64" t="str">
        <f t="shared" si="33"/>
        <v>Caminho Tubulação</v>
      </c>
      <c r="P116" s="64" t="s">
        <v>580</v>
      </c>
      <c r="Q116" s="45" t="str">
        <f t="shared" si="38"/>
        <v>Distribución - Bases de la tubería traídas</v>
      </c>
      <c r="R116" s="27" t="s">
        <v>682</v>
      </c>
      <c r="S116" s="69" t="s">
        <v>9</v>
      </c>
      <c r="T116" s="45" t="str">
        <f t="shared" si="39"/>
        <v>De.Mobilidade</v>
      </c>
      <c r="U116" s="45" t="str">
        <f t="shared" si="39"/>
        <v>Elementos.de.Trajetos</v>
      </c>
      <c r="V116" s="64" t="str">
        <f t="shared" si="39"/>
        <v>Trajetos</v>
      </c>
      <c r="W116" s="27" t="s">
        <v>43</v>
      </c>
      <c r="X116" s="43" t="str">
        <f t="shared" si="30"/>
        <v>Key-CIRCU-116</v>
      </c>
      <c r="Y116" s="65" t="s">
        <v>581</v>
      </c>
      <c r="Z116" s="68" t="s">
        <v>9</v>
      </c>
      <c r="AA116" s="66" t="s">
        <v>576</v>
      </c>
      <c r="AB116" s="68" t="s">
        <v>9</v>
      </c>
      <c r="AC116" s="45" t="s">
        <v>9</v>
      </c>
      <c r="AD116" s="68" t="s">
        <v>9</v>
      </c>
    </row>
    <row r="117" spans="1:30" s="46" customFormat="1" ht="6.6" customHeight="1" x14ac:dyDescent="0.25">
      <c r="A117" s="41">
        <v>117</v>
      </c>
      <c r="B117" s="1" t="s">
        <v>515</v>
      </c>
      <c r="C117" s="1" t="s">
        <v>514</v>
      </c>
      <c r="D117" s="1" t="s">
        <v>539</v>
      </c>
      <c r="E117" s="1" t="s">
        <v>533</v>
      </c>
      <c r="F117" s="31" t="s">
        <v>223</v>
      </c>
      <c r="G117" s="47" t="s">
        <v>9</v>
      </c>
      <c r="H117" s="48" t="s">
        <v>9</v>
      </c>
      <c r="I117" s="48" t="s">
        <v>9</v>
      </c>
      <c r="J117" s="7" t="s">
        <v>9</v>
      </c>
      <c r="K117" s="7" t="s">
        <v>9</v>
      </c>
      <c r="L117" s="32" t="str">
        <f t="shared" si="31"/>
        <v>De.Circulação</v>
      </c>
      <c r="M117" s="32" t="str">
        <f t="shared" si="32"/>
        <v>Circulações.Projetadas</v>
      </c>
      <c r="N117" s="32" t="str">
        <f t="shared" si="33"/>
        <v>Circulações Verticais</v>
      </c>
      <c r="O117" s="32" t="str">
        <f>(SUBSTITUTE(SUBSTITUTE(CONCATENATE("",F117),"."," ")," De "," de "))</f>
        <v>Escada</v>
      </c>
      <c r="P117" s="27" t="s">
        <v>534</v>
      </c>
      <c r="Q117" s="27" t="str">
        <f>_xlfn.TRANSLATE(P117,"pt","es")</f>
        <v>Escalera existente en el edificio.</v>
      </c>
      <c r="R117" s="27" t="s">
        <v>683</v>
      </c>
      <c r="S117" s="69" t="s">
        <v>9</v>
      </c>
      <c r="T117" s="45" t="str">
        <f t="shared" ref="T117:V120" si="40">SUBSTITUTE(C117, ".", " ")</f>
        <v>De Circulação</v>
      </c>
      <c r="U117" s="45" t="str">
        <f t="shared" si="40"/>
        <v>Circulações Projetadas</v>
      </c>
      <c r="V117" s="45" t="str">
        <f t="shared" si="40"/>
        <v>Circulações Verticais</v>
      </c>
      <c r="W117" s="27" t="s">
        <v>43</v>
      </c>
      <c r="X117" s="43" t="str">
        <f t="shared" si="30"/>
        <v>Key-CIRCU-117</v>
      </c>
      <c r="Y117" s="27" t="s">
        <v>356</v>
      </c>
      <c r="Z117" s="68" t="s">
        <v>9</v>
      </c>
      <c r="AA117" s="26" t="s">
        <v>410</v>
      </c>
      <c r="AB117" s="68" t="s">
        <v>9</v>
      </c>
      <c r="AC117" s="45" t="s">
        <v>570</v>
      </c>
      <c r="AD117" s="68" t="s">
        <v>9</v>
      </c>
    </row>
    <row r="118" spans="1:30" s="46" customFormat="1" ht="6.6" customHeight="1" x14ac:dyDescent="0.25">
      <c r="A118" s="41">
        <v>118</v>
      </c>
      <c r="B118" s="1" t="s">
        <v>515</v>
      </c>
      <c r="C118" s="1" t="s">
        <v>514</v>
      </c>
      <c r="D118" s="1" t="s">
        <v>539</v>
      </c>
      <c r="E118" s="1" t="s">
        <v>533</v>
      </c>
      <c r="F118" s="31" t="s">
        <v>186</v>
      </c>
      <c r="G118" s="47" t="s">
        <v>9</v>
      </c>
      <c r="H118" s="48" t="s">
        <v>9</v>
      </c>
      <c r="I118" s="48" t="s">
        <v>9</v>
      </c>
      <c r="J118" s="7" t="s">
        <v>9</v>
      </c>
      <c r="K118" s="7" t="s">
        <v>9</v>
      </c>
      <c r="L118" s="32" t="str">
        <f t="shared" si="31"/>
        <v>De.Circulação</v>
      </c>
      <c r="M118" s="32" t="str">
        <f t="shared" si="32"/>
        <v>Circulações.Projetadas</v>
      </c>
      <c r="N118" s="32" t="str">
        <f t="shared" si="33"/>
        <v>Circulações Verticais</v>
      </c>
      <c r="O118" s="32" t="str">
        <f>(SUBSTITUTE(SUBSTITUTE(CONCATENATE("",F118),"."," ")," De "," de "))</f>
        <v>Elevador</v>
      </c>
      <c r="P118" s="27" t="s">
        <v>535</v>
      </c>
      <c r="Q118" s="27" t="str">
        <f>_xlfn.TRANSLATE(P118,"pt","es")</f>
        <v>Ascensor existente en el edificio.</v>
      </c>
      <c r="R118" s="27" t="s">
        <v>684</v>
      </c>
      <c r="S118" s="69" t="s">
        <v>9</v>
      </c>
      <c r="T118" s="45" t="str">
        <f t="shared" si="40"/>
        <v>De Circulação</v>
      </c>
      <c r="U118" s="45" t="str">
        <f t="shared" si="40"/>
        <v>Circulações Projetadas</v>
      </c>
      <c r="V118" s="45" t="str">
        <f t="shared" si="40"/>
        <v>Circulações Verticais</v>
      </c>
      <c r="W118" s="27" t="s">
        <v>43</v>
      </c>
      <c r="X118" s="43" t="str">
        <f t="shared" si="30"/>
        <v>Key-CIRCU-118</v>
      </c>
      <c r="Y118" s="27" t="s">
        <v>541</v>
      </c>
      <c r="Z118" s="68" t="s">
        <v>9</v>
      </c>
      <c r="AA118" s="26" t="s">
        <v>398</v>
      </c>
      <c r="AB118" s="68" t="s">
        <v>9</v>
      </c>
      <c r="AC118" s="45" t="s">
        <v>442</v>
      </c>
      <c r="AD118" s="68" t="s">
        <v>9</v>
      </c>
    </row>
    <row r="119" spans="1:30" s="46" customFormat="1" ht="6.6" customHeight="1" x14ac:dyDescent="0.25">
      <c r="A119" s="41">
        <v>119</v>
      </c>
      <c r="B119" s="1" t="s">
        <v>515</v>
      </c>
      <c r="C119" s="1" t="s">
        <v>514</v>
      </c>
      <c r="D119" s="1" t="s">
        <v>539</v>
      </c>
      <c r="E119" s="1" t="s">
        <v>533</v>
      </c>
      <c r="F119" s="31" t="s">
        <v>440</v>
      </c>
      <c r="G119" s="47" t="s">
        <v>9</v>
      </c>
      <c r="H119" s="48" t="s">
        <v>9</v>
      </c>
      <c r="I119" s="48" t="s">
        <v>9</v>
      </c>
      <c r="J119" s="7" t="s">
        <v>9</v>
      </c>
      <c r="K119" s="7" t="s">
        <v>9</v>
      </c>
      <c r="L119" s="32" t="str">
        <f t="shared" si="31"/>
        <v>De.Circulação</v>
      </c>
      <c r="M119" s="32" t="str">
        <f t="shared" si="32"/>
        <v>Circulações.Projetadas</v>
      </c>
      <c r="N119" s="32" t="str">
        <f t="shared" si="33"/>
        <v>Circulações Verticais</v>
      </c>
      <c r="O119" s="32" t="str">
        <f>(SUBSTITUTE(SUBSTITUTE(CONCATENATE("",F119),"."," ")," De "," de "))</f>
        <v>Plataforma</v>
      </c>
      <c r="P119" s="27" t="s">
        <v>538</v>
      </c>
      <c r="Q119" s="27" t="str">
        <f>_xlfn.TRANSLATE(P119,"pt","es")</f>
        <v>Plataforma elevadora en el edificio.</v>
      </c>
      <c r="R119" s="27" t="s">
        <v>685</v>
      </c>
      <c r="S119" s="69" t="s">
        <v>9</v>
      </c>
      <c r="T119" s="45" t="str">
        <f t="shared" si="40"/>
        <v>De Circulação</v>
      </c>
      <c r="U119" s="45" t="str">
        <f t="shared" si="40"/>
        <v>Circulações Projetadas</v>
      </c>
      <c r="V119" s="45" t="str">
        <f t="shared" si="40"/>
        <v>Circulações Verticais</v>
      </c>
      <c r="W119" s="27" t="s">
        <v>43</v>
      </c>
      <c r="X119" s="43" t="str">
        <f t="shared" si="30"/>
        <v>Key-CIRCU-119</v>
      </c>
      <c r="Y119" s="27" t="s">
        <v>541</v>
      </c>
      <c r="Z119" s="68" t="s">
        <v>9</v>
      </c>
      <c r="AA119" s="26" t="s">
        <v>398</v>
      </c>
      <c r="AB119" s="68" t="s">
        <v>9</v>
      </c>
      <c r="AC119" s="45" t="s">
        <v>442</v>
      </c>
      <c r="AD119" s="68" t="s">
        <v>9</v>
      </c>
    </row>
    <row r="120" spans="1:30" s="46" customFormat="1" ht="6.6" customHeight="1" x14ac:dyDescent="0.25">
      <c r="A120" s="41">
        <v>120</v>
      </c>
      <c r="B120" s="1" t="s">
        <v>515</v>
      </c>
      <c r="C120" s="1" t="s">
        <v>514</v>
      </c>
      <c r="D120" s="1" t="s">
        <v>539</v>
      </c>
      <c r="E120" s="1" t="s">
        <v>533</v>
      </c>
      <c r="F120" s="31" t="s">
        <v>193</v>
      </c>
      <c r="G120" s="47" t="s">
        <v>9</v>
      </c>
      <c r="H120" s="48" t="s">
        <v>9</v>
      </c>
      <c r="I120" s="48" t="s">
        <v>9</v>
      </c>
      <c r="J120" s="7" t="s">
        <v>9</v>
      </c>
      <c r="K120" s="7" t="s">
        <v>9</v>
      </c>
      <c r="L120" s="32" t="str">
        <f t="shared" si="31"/>
        <v>De.Circulação</v>
      </c>
      <c r="M120" s="32" t="str">
        <f t="shared" si="32"/>
        <v>Circulações.Projetadas</v>
      </c>
      <c r="N120" s="32" t="str">
        <f t="shared" si="33"/>
        <v>Circulações Verticais</v>
      </c>
      <c r="O120" s="32" t="str">
        <f>(SUBSTITUTE(SUBSTITUTE(CONCATENATE("",F120),"."," ")," De "," de "))</f>
        <v>Rampa</v>
      </c>
      <c r="P120" s="27" t="s">
        <v>536</v>
      </c>
      <c r="Q120" s="27" t="str">
        <f>_xlfn.TRANSLATE(P120,"pt","es")</f>
        <v>Rampa existente en el edificio.</v>
      </c>
      <c r="R120" s="27" t="s">
        <v>686</v>
      </c>
      <c r="S120" s="69" t="s">
        <v>9</v>
      </c>
      <c r="T120" s="45" t="str">
        <f t="shared" si="40"/>
        <v>De Circulação</v>
      </c>
      <c r="U120" s="45" t="str">
        <f t="shared" si="40"/>
        <v>Circulações Projetadas</v>
      </c>
      <c r="V120" s="45" t="str">
        <f t="shared" si="40"/>
        <v>Circulações Verticais</v>
      </c>
      <c r="W120" s="27" t="s">
        <v>43</v>
      </c>
      <c r="X120" s="43" t="str">
        <f t="shared" si="30"/>
        <v>Key-CIRCU-120</v>
      </c>
      <c r="Y120" s="27" t="s">
        <v>357</v>
      </c>
      <c r="Z120" s="68" t="s">
        <v>9</v>
      </c>
      <c r="AA120" s="26" t="s">
        <v>399</v>
      </c>
      <c r="AB120" s="68" t="s">
        <v>9</v>
      </c>
      <c r="AC120" s="45" t="s">
        <v>572</v>
      </c>
      <c r="AD120" s="68" t="s">
        <v>9</v>
      </c>
    </row>
    <row r="121" spans="1:30" s="70" customFormat="1" ht="6.75" customHeight="1" x14ac:dyDescent="0.25">
      <c r="A121" s="41">
        <v>121</v>
      </c>
      <c r="B121" s="1" t="s">
        <v>714</v>
      </c>
      <c r="C121" s="44" t="s">
        <v>715</v>
      </c>
      <c r="D121" s="44" t="s">
        <v>716</v>
      </c>
      <c r="E121" s="44" t="s">
        <v>717</v>
      </c>
      <c r="F121" s="44" t="s">
        <v>693</v>
      </c>
      <c r="G121" s="67" t="s">
        <v>9</v>
      </c>
      <c r="H121" s="67" t="s">
        <v>9</v>
      </c>
      <c r="I121" s="67" t="s">
        <v>9</v>
      </c>
      <c r="J121" s="67" t="s">
        <v>9</v>
      </c>
      <c r="K121" s="67" t="s">
        <v>9</v>
      </c>
      <c r="L121" s="32" t="s">
        <v>715</v>
      </c>
      <c r="M121" s="32" t="s">
        <v>716</v>
      </c>
      <c r="N121" s="32" t="s">
        <v>718</v>
      </c>
      <c r="O121" s="32" t="s">
        <v>719</v>
      </c>
      <c r="P121" s="27" t="s">
        <v>694</v>
      </c>
      <c r="Q121" s="27" t="s">
        <v>695</v>
      </c>
      <c r="R121" s="27" t="s">
        <v>696</v>
      </c>
      <c r="S121" s="69" t="s">
        <v>9</v>
      </c>
      <c r="T121" s="27" t="s">
        <v>720</v>
      </c>
      <c r="U121" s="27" t="s">
        <v>721</v>
      </c>
      <c r="V121" s="45" t="s">
        <v>718</v>
      </c>
      <c r="W121" s="27" t="s">
        <v>43</v>
      </c>
      <c r="X121" s="43" t="str">
        <f t="shared" si="30"/>
        <v>Key-CIRCU-121</v>
      </c>
      <c r="Y121" s="68" t="s">
        <v>9</v>
      </c>
      <c r="Z121" s="68" t="s">
        <v>9</v>
      </c>
      <c r="AA121" s="68" t="s">
        <v>9</v>
      </c>
      <c r="AB121" s="68" t="s">
        <v>9</v>
      </c>
      <c r="AC121" s="68" t="s">
        <v>9</v>
      </c>
      <c r="AD121" s="68" t="s">
        <v>9</v>
      </c>
    </row>
    <row r="122" spans="1:30" s="70" customFormat="1" ht="6.75" customHeight="1" x14ac:dyDescent="0.25">
      <c r="A122" s="41">
        <v>122</v>
      </c>
      <c r="B122" s="1" t="s">
        <v>714</v>
      </c>
      <c r="C122" s="44" t="s">
        <v>715</v>
      </c>
      <c r="D122" s="44" t="s">
        <v>716</v>
      </c>
      <c r="E122" s="44" t="s">
        <v>717</v>
      </c>
      <c r="F122" s="44" t="s">
        <v>697</v>
      </c>
      <c r="G122" s="67" t="s">
        <v>9</v>
      </c>
      <c r="H122" s="67" t="s">
        <v>9</v>
      </c>
      <c r="I122" s="67" t="s">
        <v>9</v>
      </c>
      <c r="J122" s="67" t="s">
        <v>9</v>
      </c>
      <c r="K122" s="67" t="s">
        <v>9</v>
      </c>
      <c r="L122" s="32" t="s">
        <v>715</v>
      </c>
      <c r="M122" s="32" t="s">
        <v>716</v>
      </c>
      <c r="N122" s="32" t="s">
        <v>718</v>
      </c>
      <c r="O122" s="32" t="s">
        <v>722</v>
      </c>
      <c r="P122" s="27" t="s">
        <v>698</v>
      </c>
      <c r="Q122" s="27" t="s">
        <v>699</v>
      </c>
      <c r="R122" s="27" t="s">
        <v>700</v>
      </c>
      <c r="S122" s="69" t="s">
        <v>9</v>
      </c>
      <c r="T122" s="27" t="s">
        <v>720</v>
      </c>
      <c r="U122" s="27" t="s">
        <v>721</v>
      </c>
      <c r="V122" s="45" t="s">
        <v>718</v>
      </c>
      <c r="W122" s="27" t="s">
        <v>43</v>
      </c>
      <c r="X122" s="43" t="str">
        <f t="shared" si="30"/>
        <v>Key-CIRCU-122</v>
      </c>
      <c r="Y122" s="68" t="s">
        <v>9</v>
      </c>
      <c r="Z122" s="68" t="s">
        <v>9</v>
      </c>
      <c r="AA122" s="68" t="s">
        <v>9</v>
      </c>
      <c r="AB122" s="68" t="s">
        <v>9</v>
      </c>
      <c r="AC122" s="68" t="s">
        <v>9</v>
      </c>
      <c r="AD122" s="68" t="s">
        <v>9</v>
      </c>
    </row>
    <row r="123" spans="1:30" s="70" customFormat="1" ht="6.75" customHeight="1" x14ac:dyDescent="0.25">
      <c r="A123" s="41">
        <v>123</v>
      </c>
      <c r="B123" s="1" t="s">
        <v>714</v>
      </c>
      <c r="C123" s="44" t="s">
        <v>715</v>
      </c>
      <c r="D123" s="44" t="s">
        <v>716</v>
      </c>
      <c r="E123" s="44" t="s">
        <v>717</v>
      </c>
      <c r="F123" s="44" t="s">
        <v>701</v>
      </c>
      <c r="G123" s="67" t="s">
        <v>9</v>
      </c>
      <c r="H123" s="67" t="s">
        <v>9</v>
      </c>
      <c r="I123" s="67" t="s">
        <v>9</v>
      </c>
      <c r="J123" s="67" t="s">
        <v>9</v>
      </c>
      <c r="K123" s="67" t="s">
        <v>9</v>
      </c>
      <c r="L123" s="32" t="s">
        <v>715</v>
      </c>
      <c r="M123" s="32" t="s">
        <v>716</v>
      </c>
      <c r="N123" s="32" t="s">
        <v>718</v>
      </c>
      <c r="O123" s="32" t="s">
        <v>723</v>
      </c>
      <c r="P123" s="27" t="s">
        <v>702</v>
      </c>
      <c r="Q123" s="27" t="s">
        <v>703</v>
      </c>
      <c r="R123" s="27" t="s">
        <v>704</v>
      </c>
      <c r="S123" s="69" t="s">
        <v>9</v>
      </c>
      <c r="T123" s="27" t="s">
        <v>720</v>
      </c>
      <c r="U123" s="27" t="s">
        <v>721</v>
      </c>
      <c r="V123" s="45" t="s">
        <v>718</v>
      </c>
      <c r="W123" s="27" t="s">
        <v>43</v>
      </c>
      <c r="X123" s="43" t="str">
        <f t="shared" si="30"/>
        <v>Key-CIRCU-123</v>
      </c>
      <c r="Y123" s="68" t="s">
        <v>9</v>
      </c>
      <c r="Z123" s="68" t="s">
        <v>9</v>
      </c>
      <c r="AA123" s="68" t="s">
        <v>9</v>
      </c>
      <c r="AB123" s="68" t="s">
        <v>9</v>
      </c>
      <c r="AC123" s="68" t="s">
        <v>9</v>
      </c>
      <c r="AD123" s="68" t="s">
        <v>9</v>
      </c>
    </row>
    <row r="124" spans="1:30" s="70" customFormat="1" ht="6.75" customHeight="1" x14ac:dyDescent="0.25">
      <c r="A124" s="41">
        <v>124</v>
      </c>
      <c r="B124" s="1" t="s">
        <v>714</v>
      </c>
      <c r="C124" s="44" t="s">
        <v>715</v>
      </c>
      <c r="D124" s="44" t="s">
        <v>716</v>
      </c>
      <c r="E124" s="44" t="s">
        <v>717</v>
      </c>
      <c r="F124" s="44" t="s">
        <v>705</v>
      </c>
      <c r="G124" s="67" t="s">
        <v>9</v>
      </c>
      <c r="H124" s="67" t="s">
        <v>9</v>
      </c>
      <c r="I124" s="67" t="s">
        <v>9</v>
      </c>
      <c r="J124" s="67" t="s">
        <v>9</v>
      </c>
      <c r="K124" s="67" t="s">
        <v>9</v>
      </c>
      <c r="L124" s="32" t="s">
        <v>715</v>
      </c>
      <c r="M124" s="32" t="s">
        <v>716</v>
      </c>
      <c r="N124" s="32" t="s">
        <v>718</v>
      </c>
      <c r="O124" s="32" t="s">
        <v>724</v>
      </c>
      <c r="P124" s="27" t="s">
        <v>706</v>
      </c>
      <c r="Q124" s="27" t="s">
        <v>707</v>
      </c>
      <c r="R124" s="27" t="s">
        <v>708</v>
      </c>
      <c r="S124" s="69" t="s">
        <v>9</v>
      </c>
      <c r="T124" s="27" t="s">
        <v>720</v>
      </c>
      <c r="U124" s="27" t="s">
        <v>721</v>
      </c>
      <c r="V124" s="45" t="s">
        <v>718</v>
      </c>
      <c r="W124" s="27" t="s">
        <v>43</v>
      </c>
      <c r="X124" s="43" t="str">
        <f t="shared" si="30"/>
        <v>Key-CIRCU-124</v>
      </c>
      <c r="Y124" s="68" t="s">
        <v>9</v>
      </c>
      <c r="Z124" s="68" t="s">
        <v>9</v>
      </c>
      <c r="AA124" s="68" t="s">
        <v>9</v>
      </c>
      <c r="AB124" s="68" t="s">
        <v>9</v>
      </c>
      <c r="AC124" s="68" t="s">
        <v>9</v>
      </c>
      <c r="AD124" s="68" t="s">
        <v>9</v>
      </c>
    </row>
    <row r="125" spans="1:30" s="70" customFormat="1" ht="6.75" customHeight="1" x14ac:dyDescent="0.25">
      <c r="A125" s="41">
        <v>125</v>
      </c>
      <c r="B125" s="1" t="s">
        <v>714</v>
      </c>
      <c r="C125" s="44" t="s">
        <v>715</v>
      </c>
      <c r="D125" s="44" t="s">
        <v>725</v>
      </c>
      <c r="E125" s="44" t="s">
        <v>726</v>
      </c>
      <c r="F125" s="44" t="s">
        <v>709</v>
      </c>
      <c r="G125" s="67" t="s">
        <v>9</v>
      </c>
      <c r="H125" s="67" t="s">
        <v>9</v>
      </c>
      <c r="I125" s="67" t="s">
        <v>9</v>
      </c>
      <c r="J125" s="67" t="s">
        <v>9</v>
      </c>
      <c r="K125" s="67" t="s">
        <v>9</v>
      </c>
      <c r="L125" s="32" t="s">
        <v>715</v>
      </c>
      <c r="M125" s="32" t="s">
        <v>725</v>
      </c>
      <c r="N125" s="32" t="s">
        <v>727</v>
      </c>
      <c r="O125" s="32" t="s">
        <v>728</v>
      </c>
      <c r="P125" s="27" t="s">
        <v>710</v>
      </c>
      <c r="Q125" s="27" t="s">
        <v>711</v>
      </c>
      <c r="R125" s="27" t="s">
        <v>712</v>
      </c>
      <c r="S125" s="69" t="s">
        <v>9</v>
      </c>
      <c r="T125" s="27" t="s">
        <v>720</v>
      </c>
      <c r="U125" s="27" t="s">
        <v>729</v>
      </c>
      <c r="V125" s="45" t="s">
        <v>727</v>
      </c>
      <c r="W125" s="27" t="s">
        <v>43</v>
      </c>
      <c r="X125" s="43" t="str">
        <f t="shared" si="30"/>
        <v>Key-CIRCU-125</v>
      </c>
      <c r="Y125" s="68" t="s">
        <v>9</v>
      </c>
      <c r="Z125" s="68" t="s">
        <v>9</v>
      </c>
      <c r="AA125" s="68" t="s">
        <v>9</v>
      </c>
      <c r="AB125" s="68" t="s">
        <v>9</v>
      </c>
      <c r="AC125" s="68" t="s">
        <v>9</v>
      </c>
      <c r="AD125" s="68" t="s">
        <v>9</v>
      </c>
    </row>
  </sheetData>
  <sortState xmlns:xlrd2="http://schemas.microsoft.com/office/spreadsheetml/2017/richdata2" ref="A3:AC120">
    <sortCondition ref="E1:E120"/>
  </sortState>
  <conditionalFormatting sqref="B2:E2 P2:Q4 W2:W4">
    <cfRule type="cellIs" dxfId="23" priority="18" operator="equal">
      <formula>"null"</formula>
    </cfRule>
  </conditionalFormatting>
  <conditionalFormatting sqref="C3:E3 D4:E4">
    <cfRule type="cellIs" dxfId="22" priority="63" operator="equal">
      <formula>"null"</formula>
    </cfRule>
  </conditionalFormatting>
  <conditionalFormatting sqref="D11:D47 E11:E53">
    <cfRule type="cellIs" dxfId="21" priority="93" operator="equal">
      <formula>"null"</formula>
    </cfRule>
  </conditionalFormatting>
  <conditionalFormatting sqref="D6:E10">
    <cfRule type="cellIs" dxfId="20" priority="61" operator="equal">
      <formula>"null"</formula>
    </cfRule>
  </conditionalFormatting>
  <conditionalFormatting sqref="D68:E116">
    <cfRule type="cellIs" dxfId="19" priority="21" operator="equal">
      <formula>"null"</formula>
    </cfRule>
  </conditionalFormatting>
  <conditionalFormatting sqref="E62:E67 D65:D67">
    <cfRule type="cellIs" dxfId="18" priority="66" operator="equal">
      <formula>"null"</formula>
    </cfRule>
  </conditionalFormatting>
  <conditionalFormatting sqref="F114:F116">
    <cfRule type="duplicateValues" dxfId="17" priority="19"/>
  </conditionalFormatting>
  <conditionalFormatting sqref="F117:F120 F1:F113 F126:F1048576">
    <cfRule type="duplicateValues" dxfId="16" priority="29"/>
  </conditionalFormatting>
  <conditionalFormatting sqref="F121:F125">
    <cfRule type="duplicateValues" dxfId="15" priority="1"/>
    <cfRule type="duplicateValues" dxfId="14" priority="2"/>
  </conditionalFormatting>
  <conditionalFormatting sqref="L117:Q120 T117:V120">
    <cfRule type="cellIs" dxfId="13" priority="35" operator="equal">
      <formula>"null"</formula>
    </cfRule>
  </conditionalFormatting>
  <conditionalFormatting sqref="P7:Q8 AA7:AA8">
    <cfRule type="cellIs" dxfId="12" priority="141" operator="equal">
      <formula>"null"</formula>
    </cfRule>
  </conditionalFormatting>
  <conditionalFormatting sqref="R1:R120">
    <cfRule type="cellIs" dxfId="11" priority="7" operator="equal">
      <formula>"null"</formula>
    </cfRule>
  </conditionalFormatting>
  <conditionalFormatting sqref="AA117">
    <cfRule type="cellIs" dxfId="10" priority="27" operator="equal">
      <formula>"null"</formula>
    </cfRule>
  </conditionalFormatting>
  <conditionalFormatting sqref="AA119:AA120">
    <cfRule type="cellIs" dxfId="9" priority="24" operator="equal">
      <formula>"null"</formula>
    </cfRule>
  </conditionalFormatting>
  <conditionalFormatting sqref="AC1">
    <cfRule type="cellIs" dxfId="8" priority="140" operator="equal">
      <formula>"null"</formula>
    </cfRule>
  </conditionalFormatting>
  <conditionalFormatting sqref="AE2:XFD4 A2:A125 AA3:AA4 AC3:AC4 B3:B113 C4:C113 W6:W125 AE7:XFD8 P15:Q113 AA15:AA113 AE15:XFD113 D48:E64 B114:C116 B117:E120 AE117:XFD120">
    <cfRule type="cellIs" dxfId="7" priority="34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"/>
  <sheetViews>
    <sheetView zoomScale="180" zoomScaleNormal="180" workbookViewId="0">
      <selection activeCell="B6" sqref="B6"/>
    </sheetView>
  </sheetViews>
  <sheetFormatPr defaultColWidth="11.140625" defaultRowHeight="8.25" x14ac:dyDescent="0.15"/>
  <cols>
    <col min="1" max="1" width="2.85546875" style="10" customWidth="1"/>
    <col min="2" max="10" width="6.5703125" style="11" customWidth="1"/>
    <col min="11" max="21" width="6.5703125" style="9" customWidth="1"/>
    <col min="22" max="16384" width="11.140625" style="9"/>
  </cols>
  <sheetData>
    <row r="1" spans="1:21" s="4" customFormat="1" ht="16.5" x14ac:dyDescent="0.15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15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15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6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C7" sqref="C7"/>
    </sheetView>
  </sheetViews>
  <sheetFormatPr defaultColWidth="9.140625" defaultRowHeight="8.25" customHeight="1" x14ac:dyDescent="0.25"/>
  <cols>
    <col min="1" max="1" width="1.140625" style="23" bestFit="1" customWidth="1"/>
    <col min="2" max="2" width="5.85546875" style="21" bestFit="1" customWidth="1"/>
    <col min="3" max="3" width="11.28515625" style="21" bestFit="1" customWidth="1"/>
    <col min="4" max="7" width="10.85546875" style="21" bestFit="1" customWidth="1"/>
  </cols>
  <sheetData>
    <row r="1" spans="1:7" ht="33" customHeight="1" x14ac:dyDescent="0.25">
      <c r="A1" s="28">
        <v>0</v>
      </c>
      <c r="B1" s="24" t="s">
        <v>82</v>
      </c>
      <c r="C1" s="25" t="s">
        <v>83</v>
      </c>
      <c r="D1" s="25" t="s">
        <v>84</v>
      </c>
      <c r="E1" s="25" t="s">
        <v>84</v>
      </c>
      <c r="F1" s="25" t="s">
        <v>84</v>
      </c>
      <c r="G1" s="25" t="s">
        <v>84</v>
      </c>
    </row>
    <row r="2" spans="1:7" ht="8.25" customHeight="1" x14ac:dyDescent="0.25">
      <c r="A2" s="29">
        <v>2</v>
      </c>
      <c r="B2" s="27" t="s">
        <v>9</v>
      </c>
      <c r="C2" s="27" t="s">
        <v>9</v>
      </c>
      <c r="D2" s="27" t="s">
        <v>9</v>
      </c>
      <c r="E2" s="27" t="s">
        <v>9</v>
      </c>
      <c r="F2" s="27" t="s">
        <v>9</v>
      </c>
      <c r="G2" s="27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754"/>
    <cfRule type="duplicateValues" dxfId="3" priority="755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E74A-92F3-4401-B3DB-ACCAA98B3F78}">
  <dimension ref="A1:AE10"/>
  <sheetViews>
    <sheetView zoomScale="280" zoomScaleNormal="280" workbookViewId="0">
      <selection activeCell="W12" sqref="W12"/>
    </sheetView>
  </sheetViews>
  <sheetFormatPr defaultRowHeight="15" x14ac:dyDescent="0.25"/>
  <cols>
    <col min="1" max="1" width="2.5703125" bestFit="1" customWidth="1"/>
    <col min="2" max="2" width="7.28515625" bestFit="1" customWidth="1"/>
    <col min="3" max="3" width="7.28515625" customWidth="1"/>
    <col min="4" max="4" width="7.5703125" customWidth="1"/>
    <col min="5" max="5" width="4.85546875" bestFit="1" customWidth="1"/>
    <col min="6" max="6" width="3.5703125" customWidth="1"/>
    <col min="7" max="7" width="8.5703125" bestFit="1" customWidth="1"/>
    <col min="8" max="11" width="3.5703125" customWidth="1"/>
    <col min="12" max="12" width="4.28515625" bestFit="1" customWidth="1"/>
    <col min="13" max="13" width="15.5703125" customWidth="1"/>
    <col min="14" max="14" width="4.28515625" bestFit="1" customWidth="1"/>
    <col min="15" max="15" width="14.28515625" customWidth="1"/>
    <col min="16" max="16" width="4.28515625" bestFit="1" customWidth="1"/>
    <col min="17" max="17" width="5" customWidth="1"/>
    <col min="18" max="18" width="6.85546875" customWidth="1"/>
    <col min="19" max="19" width="7.42578125" customWidth="1"/>
    <col min="20" max="20" width="4.28515625" bestFit="1" customWidth="1"/>
    <col min="21" max="21" width="5.7109375" customWidth="1"/>
    <col min="22" max="22" width="6.42578125" customWidth="1"/>
    <col min="23" max="23" width="8" customWidth="1"/>
    <col min="24" max="24" width="8.7109375" customWidth="1"/>
    <col min="25" max="25" width="3" style="42" customWidth="1"/>
    <col min="26" max="26" width="6.85546875" customWidth="1"/>
    <col min="27" max="27" width="3.42578125" style="42" bestFit="1" customWidth="1"/>
    <col min="28" max="28" width="6.85546875" customWidth="1"/>
    <col min="29" max="29" width="3.140625" style="42" customWidth="1"/>
    <col min="30" max="30" width="5.5703125" customWidth="1"/>
    <col min="31" max="31" width="3" style="42" customWidth="1"/>
  </cols>
  <sheetData>
    <row r="1" spans="1:31" ht="17.25" customHeight="1" x14ac:dyDescent="0.25">
      <c r="A1" s="18" t="s">
        <v>10</v>
      </c>
      <c r="B1" s="19" t="s">
        <v>66</v>
      </c>
      <c r="C1" s="19" t="s">
        <v>67</v>
      </c>
      <c r="D1" s="19" t="s">
        <v>68</v>
      </c>
      <c r="E1" s="19" t="s">
        <v>46</v>
      </c>
      <c r="F1" s="19" t="s">
        <v>68</v>
      </c>
      <c r="G1" s="19" t="s">
        <v>72</v>
      </c>
      <c r="H1" s="19" t="s">
        <v>68</v>
      </c>
      <c r="I1" s="19" t="s">
        <v>72</v>
      </c>
      <c r="J1" s="19" t="s">
        <v>68</v>
      </c>
      <c r="K1" s="19" t="s">
        <v>72</v>
      </c>
      <c r="L1" s="19" t="s">
        <v>68</v>
      </c>
      <c r="M1" s="19" t="s">
        <v>72</v>
      </c>
      <c r="N1" s="19" t="s">
        <v>68</v>
      </c>
      <c r="O1" s="19" t="s">
        <v>46</v>
      </c>
      <c r="P1" s="22" t="s">
        <v>69</v>
      </c>
      <c r="Q1" s="20" t="s">
        <v>72</v>
      </c>
      <c r="R1" s="19" t="s">
        <v>68</v>
      </c>
      <c r="S1" s="19" t="s">
        <v>72</v>
      </c>
      <c r="T1" s="18" t="s">
        <v>68</v>
      </c>
      <c r="U1" s="20" t="s">
        <v>72</v>
      </c>
      <c r="V1" s="18" t="s">
        <v>68</v>
      </c>
      <c r="W1" s="18" t="s">
        <v>72</v>
      </c>
      <c r="X1" s="18" t="s">
        <v>68</v>
      </c>
      <c r="Y1" s="58" t="s">
        <v>73</v>
      </c>
      <c r="Z1" s="18" t="s">
        <v>68</v>
      </c>
      <c r="AA1" s="58" t="s">
        <v>73</v>
      </c>
      <c r="AB1" s="18" t="s">
        <v>68</v>
      </c>
      <c r="AC1" s="58" t="s">
        <v>73</v>
      </c>
      <c r="AD1" s="18" t="s">
        <v>68</v>
      </c>
      <c r="AE1" s="58" t="s">
        <v>73</v>
      </c>
    </row>
    <row r="2" spans="1:31" s="50" customFormat="1" ht="8.25" x14ac:dyDescent="0.15">
      <c r="A2" s="53">
        <v>2</v>
      </c>
      <c r="B2" s="55" t="s">
        <v>543</v>
      </c>
      <c r="C2" s="54" t="s">
        <v>214</v>
      </c>
      <c r="D2" s="51" t="s">
        <v>9</v>
      </c>
      <c r="E2" s="52" t="s">
        <v>9</v>
      </c>
      <c r="F2" s="51" t="s">
        <v>9</v>
      </c>
      <c r="G2" s="52" t="s">
        <v>9</v>
      </c>
      <c r="H2" s="51" t="s">
        <v>9</v>
      </c>
      <c r="I2" s="52" t="s">
        <v>9</v>
      </c>
      <c r="J2" s="51" t="s">
        <v>9</v>
      </c>
      <c r="K2" s="52" t="s">
        <v>9</v>
      </c>
      <c r="L2" s="56" t="s">
        <v>70</v>
      </c>
      <c r="M2" s="57" t="s">
        <v>548</v>
      </c>
      <c r="N2" s="56" t="s">
        <v>9</v>
      </c>
      <c r="O2" s="57" t="s">
        <v>9</v>
      </c>
      <c r="P2" s="56" t="s">
        <v>9</v>
      </c>
      <c r="Q2" s="57" t="s">
        <v>9</v>
      </c>
      <c r="R2" s="56" t="s">
        <v>9</v>
      </c>
      <c r="S2" s="57" t="s">
        <v>9</v>
      </c>
      <c r="T2" s="56" t="s">
        <v>9</v>
      </c>
      <c r="U2" s="57" t="s">
        <v>9</v>
      </c>
      <c r="V2" s="56" t="s">
        <v>9</v>
      </c>
      <c r="W2" s="57" t="s">
        <v>9</v>
      </c>
      <c r="X2" s="56" t="s">
        <v>9</v>
      </c>
      <c r="Y2" s="59" t="s">
        <v>9</v>
      </c>
      <c r="Z2" s="56" t="s">
        <v>9</v>
      </c>
      <c r="AA2" s="59" t="s">
        <v>9</v>
      </c>
      <c r="AB2" s="56" t="s">
        <v>9</v>
      </c>
      <c r="AC2" s="59" t="s">
        <v>9</v>
      </c>
      <c r="AD2" s="56" t="s">
        <v>9</v>
      </c>
      <c r="AE2" s="59" t="s">
        <v>9</v>
      </c>
    </row>
    <row r="3" spans="1:31" s="50" customFormat="1" ht="8.25" x14ac:dyDescent="0.15">
      <c r="A3" s="53">
        <v>3</v>
      </c>
      <c r="B3" s="55" t="s">
        <v>544</v>
      </c>
      <c r="C3" s="54" t="s">
        <v>204</v>
      </c>
      <c r="D3" s="51" t="s">
        <v>9</v>
      </c>
      <c r="E3" s="52" t="s">
        <v>9</v>
      </c>
      <c r="F3" s="51" t="s">
        <v>9</v>
      </c>
      <c r="G3" s="52" t="s">
        <v>9</v>
      </c>
      <c r="H3" s="51" t="s">
        <v>9</v>
      </c>
      <c r="I3" s="52" t="s">
        <v>9</v>
      </c>
      <c r="J3" s="51" t="s">
        <v>9</v>
      </c>
      <c r="K3" s="52" t="s">
        <v>9</v>
      </c>
      <c r="L3" s="56" t="s">
        <v>70</v>
      </c>
      <c r="M3" s="57" t="s">
        <v>548</v>
      </c>
      <c r="N3" s="56" t="s">
        <v>9</v>
      </c>
      <c r="O3" s="57" t="s">
        <v>9</v>
      </c>
      <c r="P3" s="56" t="s">
        <v>9</v>
      </c>
      <c r="Q3" s="57" t="s">
        <v>9</v>
      </c>
      <c r="R3" s="56" t="s">
        <v>9</v>
      </c>
      <c r="S3" s="57" t="s">
        <v>9</v>
      </c>
      <c r="T3" s="56" t="s">
        <v>9</v>
      </c>
      <c r="U3" s="57" t="s">
        <v>9</v>
      </c>
      <c r="V3" s="56" t="s">
        <v>9</v>
      </c>
      <c r="W3" s="57" t="s">
        <v>9</v>
      </c>
      <c r="X3" s="56" t="s">
        <v>9</v>
      </c>
      <c r="Y3" s="59" t="s">
        <v>9</v>
      </c>
      <c r="Z3" s="56" t="s">
        <v>9</v>
      </c>
      <c r="AA3" s="59" t="s">
        <v>9</v>
      </c>
      <c r="AB3" s="56" t="s">
        <v>9</v>
      </c>
      <c r="AC3" s="59" t="s">
        <v>9</v>
      </c>
      <c r="AD3" s="56" t="s">
        <v>9</v>
      </c>
      <c r="AE3" s="59" t="s">
        <v>9</v>
      </c>
    </row>
    <row r="4" spans="1:31" s="50" customFormat="1" ht="8.25" x14ac:dyDescent="0.15">
      <c r="A4" s="53">
        <v>4</v>
      </c>
      <c r="B4" s="55" t="s">
        <v>568</v>
      </c>
      <c r="C4" s="54" t="s">
        <v>266</v>
      </c>
      <c r="D4" s="51" t="s">
        <v>9</v>
      </c>
      <c r="E4" s="52" t="s">
        <v>9</v>
      </c>
      <c r="F4" s="51" t="s">
        <v>9</v>
      </c>
      <c r="G4" s="52" t="s">
        <v>9</v>
      </c>
      <c r="H4" s="51" t="s">
        <v>9</v>
      </c>
      <c r="I4" s="52" t="s">
        <v>9</v>
      </c>
      <c r="J4" s="51" t="s">
        <v>9</v>
      </c>
      <c r="K4" s="52" t="s">
        <v>9</v>
      </c>
      <c r="L4" s="56" t="s">
        <v>70</v>
      </c>
      <c r="M4" s="57" t="s">
        <v>548</v>
      </c>
      <c r="N4" s="56" t="s">
        <v>9</v>
      </c>
      <c r="O4" s="57" t="s">
        <v>9</v>
      </c>
      <c r="P4" s="56" t="s">
        <v>9</v>
      </c>
      <c r="Q4" s="57" t="s">
        <v>9</v>
      </c>
      <c r="R4" s="56" t="s">
        <v>9</v>
      </c>
      <c r="S4" s="57" t="s">
        <v>9</v>
      </c>
      <c r="T4" s="56" t="s">
        <v>9</v>
      </c>
      <c r="U4" s="57" t="s">
        <v>9</v>
      </c>
      <c r="V4" s="56" t="s">
        <v>9</v>
      </c>
      <c r="W4" s="57" t="s">
        <v>9</v>
      </c>
      <c r="X4" s="56" t="s">
        <v>9</v>
      </c>
      <c r="Y4" s="59" t="s">
        <v>9</v>
      </c>
      <c r="Z4" s="56" t="s">
        <v>9</v>
      </c>
      <c r="AA4" s="59" t="s">
        <v>9</v>
      </c>
      <c r="AB4" s="56" t="s">
        <v>9</v>
      </c>
      <c r="AC4" s="59" t="s">
        <v>9</v>
      </c>
      <c r="AD4" s="56" t="s">
        <v>9</v>
      </c>
      <c r="AE4" s="59" t="s">
        <v>9</v>
      </c>
    </row>
    <row r="5" spans="1:31" s="50" customFormat="1" ht="8.25" x14ac:dyDescent="0.15">
      <c r="A5" s="53">
        <v>5</v>
      </c>
      <c r="B5" s="55" t="s">
        <v>567</v>
      </c>
      <c r="C5" s="54" t="s">
        <v>239</v>
      </c>
      <c r="D5" s="51" t="s">
        <v>9</v>
      </c>
      <c r="E5" s="52" t="s">
        <v>9</v>
      </c>
      <c r="F5" s="51" t="s">
        <v>9</v>
      </c>
      <c r="G5" s="52" t="s">
        <v>9</v>
      </c>
      <c r="H5" s="51" t="s">
        <v>9</v>
      </c>
      <c r="I5" s="52" t="s">
        <v>9</v>
      </c>
      <c r="J5" s="51" t="s">
        <v>9</v>
      </c>
      <c r="K5" s="52" t="s">
        <v>9</v>
      </c>
      <c r="L5" s="56" t="s">
        <v>70</v>
      </c>
      <c r="M5" s="57" t="s">
        <v>548</v>
      </c>
      <c r="N5" s="56" t="s">
        <v>9</v>
      </c>
      <c r="O5" s="57" t="s">
        <v>9</v>
      </c>
      <c r="P5" s="56" t="s">
        <v>9</v>
      </c>
      <c r="Q5" s="57" t="s">
        <v>9</v>
      </c>
      <c r="R5" s="56" t="s">
        <v>9</v>
      </c>
      <c r="S5" s="57" t="s">
        <v>9</v>
      </c>
      <c r="T5" s="56" t="s">
        <v>9</v>
      </c>
      <c r="U5" s="57" t="s">
        <v>9</v>
      </c>
      <c r="V5" s="56" t="s">
        <v>9</v>
      </c>
      <c r="W5" s="57" t="s">
        <v>9</v>
      </c>
      <c r="X5" s="56" t="s">
        <v>9</v>
      </c>
      <c r="Y5" s="59" t="s">
        <v>9</v>
      </c>
      <c r="Z5" s="56" t="s">
        <v>9</v>
      </c>
      <c r="AA5" s="59" t="s">
        <v>9</v>
      </c>
      <c r="AB5" s="56" t="s">
        <v>9</v>
      </c>
      <c r="AC5" s="59" t="s">
        <v>9</v>
      </c>
      <c r="AD5" s="56" t="s">
        <v>9</v>
      </c>
      <c r="AE5" s="59" t="s">
        <v>9</v>
      </c>
    </row>
    <row r="6" spans="1:31" s="50" customFormat="1" ht="8.25" x14ac:dyDescent="0.15">
      <c r="A6" s="53">
        <v>6</v>
      </c>
      <c r="B6" s="55" t="s">
        <v>547</v>
      </c>
      <c r="C6" s="54" t="s">
        <v>515</v>
      </c>
      <c r="D6" s="51" t="s">
        <v>9</v>
      </c>
      <c r="E6" s="52" t="s">
        <v>9</v>
      </c>
      <c r="F6" s="51" t="s">
        <v>9</v>
      </c>
      <c r="G6" s="52" t="s">
        <v>9</v>
      </c>
      <c r="H6" s="51" t="s">
        <v>9</v>
      </c>
      <c r="I6" s="52" t="s">
        <v>9</v>
      </c>
      <c r="J6" s="51" t="s">
        <v>9</v>
      </c>
      <c r="K6" s="52" t="s">
        <v>9</v>
      </c>
      <c r="L6" s="56" t="s">
        <v>70</v>
      </c>
      <c r="M6" s="57" t="s">
        <v>549</v>
      </c>
      <c r="N6" s="56" t="s">
        <v>71</v>
      </c>
      <c r="O6" s="57" t="s">
        <v>556</v>
      </c>
      <c r="P6" s="56" t="s">
        <v>501</v>
      </c>
      <c r="Q6" s="57" t="s">
        <v>557</v>
      </c>
      <c r="R6" s="56" t="s">
        <v>9</v>
      </c>
      <c r="S6" s="57" t="s">
        <v>9</v>
      </c>
      <c r="T6" s="56" t="s">
        <v>9</v>
      </c>
      <c r="U6" s="57" t="s">
        <v>9</v>
      </c>
      <c r="V6" s="56" t="s">
        <v>9</v>
      </c>
      <c r="W6" s="57" t="s">
        <v>9</v>
      </c>
      <c r="X6" s="56" t="s">
        <v>9</v>
      </c>
      <c r="Y6" s="59" t="s">
        <v>9</v>
      </c>
      <c r="Z6" s="56" t="s">
        <v>9</v>
      </c>
      <c r="AA6" s="59" t="s">
        <v>9</v>
      </c>
      <c r="AB6" s="56" t="s">
        <v>9</v>
      </c>
      <c r="AC6" s="59" t="s">
        <v>9</v>
      </c>
      <c r="AD6" s="56" t="s">
        <v>9</v>
      </c>
      <c r="AE6" s="59" t="s">
        <v>9</v>
      </c>
    </row>
    <row r="7" spans="1:31" s="50" customFormat="1" ht="8.25" x14ac:dyDescent="0.15">
      <c r="A7" s="53">
        <v>7</v>
      </c>
      <c r="B7" s="55" t="s">
        <v>542</v>
      </c>
      <c r="C7" s="54" t="s">
        <v>514</v>
      </c>
      <c r="D7" s="51" t="s">
        <v>555</v>
      </c>
      <c r="E7" s="52" t="s">
        <v>547</v>
      </c>
      <c r="F7" s="51" t="s">
        <v>9</v>
      </c>
      <c r="G7" s="52" t="s">
        <v>9</v>
      </c>
      <c r="H7" s="51" t="s">
        <v>9</v>
      </c>
      <c r="I7" s="52" t="s">
        <v>9</v>
      </c>
      <c r="J7" s="51" t="s">
        <v>9</v>
      </c>
      <c r="K7" s="52" t="s">
        <v>9</v>
      </c>
      <c r="L7" s="56" t="s">
        <v>70</v>
      </c>
      <c r="M7" s="57" t="s">
        <v>550</v>
      </c>
      <c r="N7" s="56" t="s">
        <v>71</v>
      </c>
      <c r="O7" s="57" t="s">
        <v>569</v>
      </c>
      <c r="P7" s="56" t="s">
        <v>501</v>
      </c>
      <c r="Q7" s="57" t="s">
        <v>559</v>
      </c>
      <c r="R7" s="56" t="s">
        <v>9</v>
      </c>
      <c r="S7" s="57" t="s">
        <v>9</v>
      </c>
      <c r="T7" s="56" t="s">
        <v>9</v>
      </c>
      <c r="U7" s="57" t="s">
        <v>9</v>
      </c>
      <c r="V7" s="56" t="s">
        <v>9</v>
      </c>
      <c r="W7" s="57" t="s">
        <v>9</v>
      </c>
      <c r="X7" s="56" t="s">
        <v>9</v>
      </c>
      <c r="Y7" s="59" t="s">
        <v>9</v>
      </c>
      <c r="Z7" s="56" t="s">
        <v>9</v>
      </c>
      <c r="AA7" s="59" t="s">
        <v>9</v>
      </c>
      <c r="AB7" s="56" t="s">
        <v>9</v>
      </c>
      <c r="AC7" s="59" t="s">
        <v>9</v>
      </c>
      <c r="AD7" s="56" t="s">
        <v>9</v>
      </c>
      <c r="AE7" s="59" t="s">
        <v>9</v>
      </c>
    </row>
    <row r="8" spans="1:31" s="50" customFormat="1" ht="8.25" x14ac:dyDescent="0.15">
      <c r="A8" s="53">
        <v>8</v>
      </c>
      <c r="B8" s="55" t="s">
        <v>545</v>
      </c>
      <c r="C8" s="54" t="s">
        <v>223</v>
      </c>
      <c r="D8" s="51" t="s">
        <v>98</v>
      </c>
      <c r="E8" s="52" t="s">
        <v>547</v>
      </c>
      <c r="F8" s="51" t="s">
        <v>566</v>
      </c>
      <c r="G8" s="52" t="s">
        <v>568</v>
      </c>
      <c r="H8" s="51" t="s">
        <v>9</v>
      </c>
      <c r="I8" s="52" t="s">
        <v>9</v>
      </c>
      <c r="J8" s="51" t="s">
        <v>9</v>
      </c>
      <c r="K8" s="52" t="s">
        <v>9</v>
      </c>
      <c r="L8" s="56" t="s">
        <v>70</v>
      </c>
      <c r="M8" s="57" t="s">
        <v>551</v>
      </c>
      <c r="N8" s="56" t="s">
        <v>71</v>
      </c>
      <c r="O8" s="57" t="s">
        <v>563</v>
      </c>
      <c r="P8" s="56" t="s">
        <v>501</v>
      </c>
      <c r="Q8" s="57" t="s">
        <v>502</v>
      </c>
      <c r="R8" s="56" t="s">
        <v>504</v>
      </c>
      <c r="S8" s="57" t="s">
        <v>507</v>
      </c>
      <c r="T8" s="56" t="s">
        <v>505</v>
      </c>
      <c r="U8" s="57" t="s">
        <v>508</v>
      </c>
      <c r="V8" s="56" t="s">
        <v>506</v>
      </c>
      <c r="W8" s="57" t="s">
        <v>511</v>
      </c>
      <c r="X8" s="56" t="s">
        <v>9</v>
      </c>
      <c r="Y8" s="59" t="s">
        <v>9</v>
      </c>
      <c r="Z8" s="56" t="s">
        <v>9</v>
      </c>
      <c r="AA8" s="59" t="s">
        <v>9</v>
      </c>
      <c r="AB8" s="56" t="s">
        <v>9</v>
      </c>
      <c r="AC8" s="59" t="s">
        <v>9</v>
      </c>
      <c r="AD8" s="56" t="s">
        <v>9</v>
      </c>
      <c r="AE8" s="59" t="s">
        <v>9</v>
      </c>
    </row>
    <row r="9" spans="1:31" s="50" customFormat="1" ht="8.25" x14ac:dyDescent="0.15">
      <c r="A9" s="53">
        <v>9</v>
      </c>
      <c r="B9" s="55" t="s">
        <v>554</v>
      </c>
      <c r="C9" s="54" t="s">
        <v>223</v>
      </c>
      <c r="D9" s="51" t="s">
        <v>98</v>
      </c>
      <c r="E9" s="52" t="s">
        <v>547</v>
      </c>
      <c r="F9" s="51" t="s">
        <v>566</v>
      </c>
      <c r="G9" s="52" t="s">
        <v>567</v>
      </c>
      <c r="H9" s="51" t="s">
        <v>9</v>
      </c>
      <c r="I9" s="52" t="s">
        <v>9</v>
      </c>
      <c r="J9" s="51" t="s">
        <v>9</v>
      </c>
      <c r="K9" s="52" t="s">
        <v>9</v>
      </c>
      <c r="L9" s="56" t="s">
        <v>70</v>
      </c>
      <c r="M9" s="57" t="s">
        <v>552</v>
      </c>
      <c r="N9" s="56" t="s">
        <v>71</v>
      </c>
      <c r="O9" s="57" t="s">
        <v>564</v>
      </c>
      <c r="P9" s="56" t="s">
        <v>501</v>
      </c>
      <c r="Q9" s="57" t="s">
        <v>503</v>
      </c>
      <c r="R9" s="56" t="s">
        <v>504</v>
      </c>
      <c r="S9" s="57" t="s">
        <v>507</v>
      </c>
      <c r="T9" s="56" t="s">
        <v>505</v>
      </c>
      <c r="U9" s="57" t="s">
        <v>508</v>
      </c>
      <c r="V9" s="56" t="s">
        <v>506</v>
      </c>
      <c r="W9" s="57" t="s">
        <v>511</v>
      </c>
      <c r="X9" s="56" t="s">
        <v>9</v>
      </c>
      <c r="Y9" s="59" t="s">
        <v>9</v>
      </c>
      <c r="Z9" s="56" t="s">
        <v>9</v>
      </c>
      <c r="AA9" s="59" t="s">
        <v>9</v>
      </c>
      <c r="AB9" s="56" t="s">
        <v>9</v>
      </c>
      <c r="AC9" s="59" t="s">
        <v>9</v>
      </c>
      <c r="AD9" s="56" t="s">
        <v>9</v>
      </c>
      <c r="AE9" s="59" t="s">
        <v>9</v>
      </c>
    </row>
    <row r="10" spans="1:31" s="50" customFormat="1" ht="8.25" x14ac:dyDescent="0.15">
      <c r="A10" s="53">
        <v>10</v>
      </c>
      <c r="B10" s="55" t="s">
        <v>546</v>
      </c>
      <c r="C10" s="54" t="s">
        <v>193</v>
      </c>
      <c r="D10" s="51" t="s">
        <v>98</v>
      </c>
      <c r="E10" s="52" t="s">
        <v>547</v>
      </c>
      <c r="F10" s="51" t="s">
        <v>566</v>
      </c>
      <c r="G10" s="52" t="s">
        <v>543</v>
      </c>
      <c r="H10" s="51" t="s">
        <v>9</v>
      </c>
      <c r="I10" s="52" t="s">
        <v>9</v>
      </c>
      <c r="J10" s="51" t="s">
        <v>9</v>
      </c>
      <c r="K10" s="52" t="s">
        <v>9</v>
      </c>
      <c r="L10" s="56" t="s">
        <v>70</v>
      </c>
      <c r="M10" s="57" t="s">
        <v>553</v>
      </c>
      <c r="N10" s="56" t="s">
        <v>71</v>
      </c>
      <c r="O10" s="57" t="s">
        <v>565</v>
      </c>
      <c r="P10" s="56" t="s">
        <v>501</v>
      </c>
      <c r="Q10" s="57" t="s">
        <v>558</v>
      </c>
      <c r="R10" s="56" t="s">
        <v>504</v>
      </c>
      <c r="S10" s="57" t="s">
        <v>510</v>
      </c>
      <c r="T10" s="56" t="s">
        <v>505</v>
      </c>
      <c r="U10" s="57" t="s">
        <v>509</v>
      </c>
      <c r="V10" s="56" t="s">
        <v>506</v>
      </c>
      <c r="W10" s="57" t="s">
        <v>512</v>
      </c>
      <c r="X10" s="56" t="s">
        <v>560</v>
      </c>
      <c r="Y10" s="59">
        <v>5</v>
      </c>
      <c r="Z10" s="56" t="s">
        <v>561</v>
      </c>
      <c r="AA10" s="59">
        <v>5</v>
      </c>
      <c r="AB10" s="56" t="s">
        <v>498</v>
      </c>
      <c r="AC10" s="59">
        <v>1.2</v>
      </c>
      <c r="AD10" s="56" t="s">
        <v>562</v>
      </c>
      <c r="AE10" s="59">
        <v>1.2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2026-09-11T12:57:21Z</dcterms:modified>
  <dc:language>pt-BR</dc:language>
</cp:coreProperties>
</file>