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PRO\"/>
    </mc:Choice>
  </mc:AlternateContent>
  <xr:revisionPtr revIDLastSave="0" documentId="13_ncr:1_{AB26850B-E4E6-4F2D-AF2A-2798A1E8DEF1}" xr6:coauthVersionLast="47" xr6:coauthVersionMax="47" xr10:uidLastSave="{00000000-0000-0000-0000-000000000000}"/>
  <bookViews>
    <workbookView xWindow="-120" yWindow="-120" windowWidth="24240" windowHeight="13290" tabRatio="577" activeTab="1" xr2:uid="{6AA21774-678E-47D1-B8DD-6444A2CEB00E}"/>
  </bookViews>
  <sheets>
    <sheet name="Projeto" sheetId="26" r:id="rId1"/>
    <sheet name="Classes" sheetId="31" r:id="rId2"/>
    <sheet name="Disjunt" sheetId="3" r:id="rId3"/>
    <sheet name="Interop" sheetId="27" r:id="rId4"/>
    <sheet name="FatosIn" sheetId="3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31" l="1"/>
  <c r="X25" i="31"/>
  <c r="X26" i="31"/>
  <c r="X27" i="31"/>
  <c r="X28" i="31"/>
  <c r="V28" i="31" l="1"/>
  <c r="U28" i="31"/>
  <c r="T28" i="31"/>
  <c r="O28" i="31"/>
  <c r="N28" i="31"/>
  <c r="M28" i="31"/>
  <c r="L28" i="31"/>
  <c r="V27" i="31"/>
  <c r="U27" i="31"/>
  <c r="T27" i="31"/>
  <c r="O27" i="31"/>
  <c r="N27" i="31"/>
  <c r="M27" i="31"/>
  <c r="L27" i="31"/>
  <c r="V26" i="31"/>
  <c r="U26" i="31"/>
  <c r="T26" i="31"/>
  <c r="O26" i="31"/>
  <c r="N26" i="31"/>
  <c r="M26" i="31"/>
  <c r="L26" i="31"/>
  <c r="V25" i="31"/>
  <c r="U25" i="31"/>
  <c r="T25" i="31"/>
  <c r="O25" i="31"/>
  <c r="N25" i="31"/>
  <c r="M25" i="31"/>
  <c r="L25" i="31"/>
  <c r="V24" i="31"/>
  <c r="U24" i="31"/>
  <c r="T24" i="31"/>
  <c r="O24" i="31"/>
  <c r="N24" i="31"/>
  <c r="M24" i="31"/>
  <c r="L24" i="31"/>
  <c r="P20" i="33" l="1"/>
  <c r="P19" i="33"/>
  <c r="P18" i="33"/>
  <c r="P17" i="33"/>
  <c r="P16" i="33"/>
  <c r="X21" i="31" l="1"/>
  <c r="X22" i="31"/>
  <c r="X23" i="31"/>
  <c r="X3" i="31" l="1"/>
  <c r="V3" i="31"/>
  <c r="U3" i="31"/>
  <c r="T3" i="31"/>
  <c r="O3" i="31"/>
  <c r="N3" i="31"/>
  <c r="M3" i="31"/>
  <c r="L3" i="31"/>
  <c r="X14" i="31"/>
  <c r="V14" i="31"/>
  <c r="U14" i="31"/>
  <c r="T14" i="31"/>
  <c r="O14" i="31"/>
  <c r="N14" i="31"/>
  <c r="M14" i="31"/>
  <c r="L14" i="31"/>
  <c r="X11" i="31"/>
  <c r="V11" i="31"/>
  <c r="U11" i="31"/>
  <c r="T11" i="31"/>
  <c r="O11" i="31"/>
  <c r="N11" i="31"/>
  <c r="M11" i="31"/>
  <c r="L11" i="31"/>
  <c r="X10" i="31"/>
  <c r="V10" i="31"/>
  <c r="U10" i="31"/>
  <c r="T10" i="31"/>
  <c r="O10" i="31"/>
  <c r="N10" i="31"/>
  <c r="M10" i="31"/>
  <c r="L10" i="31"/>
  <c r="X9" i="31"/>
  <c r="V9" i="31"/>
  <c r="U9" i="31"/>
  <c r="T9" i="31"/>
  <c r="O9" i="31"/>
  <c r="N9" i="31"/>
  <c r="M9" i="31"/>
  <c r="L9" i="31"/>
  <c r="X8" i="31"/>
  <c r="V8" i="31"/>
  <c r="U8" i="31"/>
  <c r="T8" i="31"/>
  <c r="O8" i="31"/>
  <c r="N8" i="31"/>
  <c r="M8" i="31"/>
  <c r="L8" i="31"/>
  <c r="X7" i="31"/>
  <c r="V7" i="31"/>
  <c r="U7" i="31"/>
  <c r="T7" i="31"/>
  <c r="O7" i="31"/>
  <c r="N7" i="31"/>
  <c r="M7" i="31"/>
  <c r="L7" i="31"/>
  <c r="V17" i="31"/>
  <c r="V18" i="31"/>
  <c r="V19" i="31"/>
  <c r="V20" i="31"/>
  <c r="V21" i="31"/>
  <c r="V22" i="31"/>
  <c r="V23" i="31"/>
  <c r="X2" i="31"/>
  <c r="V2" i="31"/>
  <c r="U2" i="31"/>
  <c r="T2" i="31"/>
  <c r="O2" i="31"/>
  <c r="N2" i="31"/>
  <c r="M2" i="31"/>
  <c r="L2" i="31"/>
  <c r="U23" i="31" l="1"/>
  <c r="T23" i="31"/>
  <c r="O23" i="31"/>
  <c r="N23" i="31"/>
  <c r="M23" i="31"/>
  <c r="L23" i="31"/>
  <c r="U22" i="31"/>
  <c r="T22" i="31"/>
  <c r="O22" i="31"/>
  <c r="N22" i="31"/>
  <c r="M22" i="31"/>
  <c r="L22" i="31"/>
  <c r="U21" i="31"/>
  <c r="T21" i="31"/>
  <c r="O21" i="31"/>
  <c r="N21" i="31"/>
  <c r="M21" i="31"/>
  <c r="L21" i="31"/>
  <c r="X20" i="31"/>
  <c r="U20" i="31"/>
  <c r="T20" i="31"/>
  <c r="O20" i="31"/>
  <c r="N20" i="31"/>
  <c r="M20" i="31"/>
  <c r="L20" i="31"/>
  <c r="X19" i="31"/>
  <c r="U19" i="31"/>
  <c r="T19" i="31"/>
  <c r="O19" i="31"/>
  <c r="N19" i="31"/>
  <c r="M19" i="31"/>
  <c r="L19" i="31"/>
  <c r="X13" i="31"/>
  <c r="V13" i="31"/>
  <c r="U13" i="31"/>
  <c r="T13" i="31"/>
  <c r="O13" i="31"/>
  <c r="N13" i="31"/>
  <c r="M13" i="31"/>
  <c r="L13" i="31"/>
  <c r="X4" i="31"/>
  <c r="X5" i="31"/>
  <c r="X6" i="31"/>
  <c r="X12" i="31"/>
  <c r="X15" i="31"/>
  <c r="X16" i="31"/>
  <c r="X17" i="31"/>
  <c r="X18" i="31"/>
  <c r="U18" i="31"/>
  <c r="T18" i="31"/>
  <c r="O18" i="31"/>
  <c r="N18" i="31"/>
  <c r="M18" i="31"/>
  <c r="L18" i="31"/>
  <c r="U17" i="31"/>
  <c r="T17" i="31"/>
  <c r="O17" i="31"/>
  <c r="N17" i="31"/>
  <c r="M17" i="31"/>
  <c r="L17" i="31"/>
  <c r="V16" i="31"/>
  <c r="U16" i="31"/>
  <c r="T16" i="31"/>
  <c r="O16" i="31"/>
  <c r="N16" i="31"/>
  <c r="M16" i="31"/>
  <c r="L16" i="31"/>
  <c r="V15" i="31"/>
  <c r="U15" i="31"/>
  <c r="T15" i="31"/>
  <c r="O15" i="31"/>
  <c r="N15" i="31"/>
  <c r="M15" i="31"/>
  <c r="L15" i="31"/>
  <c r="V12" i="31"/>
  <c r="U12" i="31"/>
  <c r="T12" i="31"/>
  <c r="O12" i="31"/>
  <c r="N12" i="31"/>
  <c r="M12" i="31"/>
  <c r="L12" i="31"/>
  <c r="V6" i="31"/>
  <c r="U6" i="31"/>
  <c r="T6" i="31"/>
  <c r="O6" i="31"/>
  <c r="N6" i="31"/>
  <c r="M6" i="31"/>
  <c r="L6" i="31"/>
  <c r="V5" i="31"/>
  <c r="U5" i="31"/>
  <c r="T5" i="31"/>
  <c r="O5" i="31"/>
  <c r="N5" i="31"/>
  <c r="M5" i="31"/>
  <c r="L5" i="31"/>
  <c r="V4" i="31"/>
  <c r="U4" i="31"/>
  <c r="T4" i="31"/>
  <c r="O4" i="31"/>
  <c r="N4" i="31"/>
  <c r="M4" i="31"/>
  <c r="L4" i="31"/>
  <c r="B25" i="26"/>
  <c r="B18" i="26" l="1"/>
  <c r="B26" i="26"/>
  <c r="B6" i="26" l="1"/>
  <c r="B5" i="26"/>
</calcChain>
</file>

<file path=xl/sharedStrings.xml><?xml version="1.0" encoding="utf-8"?>
<sst xmlns="http://schemas.openxmlformats.org/spreadsheetml/2006/main" count="1390" uniqueCount="265">
  <si>
    <t>Key</t>
  </si>
  <si>
    <t>null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</si>
  <si>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</si>
  <si>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</si>
  <si>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</si>
  <si>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</si>
  <si>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</si>
  <si>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</si>
  <si>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</si>
  <si>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</si>
  <si>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</si>
  <si>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</si>
  <si>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</si>
  <si>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</si>
  <si>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</si>
  <si>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</si>
  <si>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</si>
  <si>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</si>
  <si>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</si>
  <si>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</si>
  <si>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</si>
  <si>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</si>
  <si>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</si>
  <si>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>-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</si>
  <si>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</si>
  <si>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</si>
  <si>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</si>
  <si>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</si>
  <si>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</si>
  <si>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5</t>
  </si>
  <si>
    <t>Anotações 
de ajuda
Classe 3</t>
  </si>
  <si>
    <t>Anotações 
de ajuda
Classe 1</t>
  </si>
  <si>
    <t>Anotações 
de ajuda
Classe 2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</si>
  <si>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</si>
  <si>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</si>
  <si>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</si>
  <si>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</si>
  <si>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</si>
  <si>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</si>
  <si>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</si>
  <si>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</si>
  <si>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Edição</t>
  </si>
  <si>
    <t>ISBN</t>
  </si>
  <si>
    <t>Observações</t>
  </si>
  <si>
    <t>OntologiaPrefixo</t>
  </si>
  <si>
    <t>OntologiaTema</t>
  </si>
  <si>
    <t>BIM</t>
  </si>
  <si>
    <t>https://github.com/JLMenegotto/RepoOnto#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</si>
  <si>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</si>
  <si>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</si>
  <si>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</si>
  <si>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</si>
  <si>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</si>
  <si>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</si>
  <si>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</si>
  <si>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</si>
  <si>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Prédio</t>
  </si>
  <si>
    <t>Cidade</t>
  </si>
  <si>
    <t>Explicação</t>
  </si>
  <si>
    <t>Explicación</t>
  </si>
  <si>
    <t>bim: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</si>
  <si>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</si>
  <si>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</si>
  <si>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</si>
  <si>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</si>
  <si>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</si>
  <si>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</si>
  <si>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</si>
  <si>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</si>
  <si>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000 Tradução Classe 5</t>
  </si>
  <si>
    <t>000 Traducción Classe 5</t>
  </si>
  <si>
    <t>Interop</t>
  </si>
  <si>
    <t>Especie</t>
  </si>
  <si>
    <t>Val</t>
  </si>
  <si>
    <t>Projeto</t>
  </si>
  <si>
    <t>Classe</t>
  </si>
  <si>
    <t>Equivalente a</t>
  </si>
  <si>
    <t>CategoriaRvt</t>
  </si>
  <si>
    <t>Tipo</t>
  </si>
  <si>
    <t>descrição</t>
  </si>
  <si>
    <t>AA.Indivíduo</t>
  </si>
  <si>
    <t>https://pesquisa.in.gov.br/imprensa</t>
  </si>
  <si>
    <t>https://www.gov.br/inpa/pt-br/Pesquisa/colecoes/botanica</t>
  </si>
  <si>
    <t>https://www.scielo.br/j/abb</t>
  </si>
  <si>
    <t>https://www.embrapa.br/florestas/publicacoes</t>
  </si>
  <si>
    <t>https://museunacional.ufrj.br/hortobotanico</t>
  </si>
  <si>
    <t>https://botanicasaopaulo.org</t>
  </si>
  <si>
    <t>https://www.arvoresgigantes.org</t>
  </si>
  <si>
    <t>0 Val</t>
  </si>
  <si>
    <t>https://mapas.florestal.gov.br</t>
  </si>
  <si>
    <t>ABNT</t>
  </si>
  <si>
    <t>000 Translate Classe 5</t>
  </si>
  <si>
    <t>Explanation</t>
  </si>
  <si>
    <t>Prof. José Luis Menegotto DEG/POLI/UFRJ</t>
  </si>
  <si>
    <t>Idioma</t>
  </si>
  <si>
    <t>pt</t>
  </si>
  <si>
    <t>es</t>
  </si>
  <si>
    <t>en</t>
  </si>
  <si>
    <t>Aviso</t>
  </si>
  <si>
    <t>Advertência</t>
  </si>
  <si>
    <t>Alert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</si>
  <si>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</si>
  <si>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</si>
  <si>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</si>
  <si>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</si>
  <si>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</si>
  <si>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</si>
  <si>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</si>
  <si>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</si>
  <si>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</si>
  <si>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</si>
  <si>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</si>
  <si>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FonteVegetação2</t>
  </si>
  <si>
    <t>FonteVegetação3</t>
  </si>
  <si>
    <t>FonteVegetação4</t>
  </si>
  <si>
    <t>FonteVegetação5</t>
  </si>
  <si>
    <t>FonteVegetação6</t>
  </si>
  <si>
    <t>FonteVegetação7</t>
  </si>
  <si>
    <t>FonteVegetação8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</si>
  <si>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</si>
  <si>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</si>
  <si>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</si>
  <si>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</si>
  <si>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</si>
  <si>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[ 5I.80.90.10.14.10 : 5I.80.90.10.14.14 ]</t>
  </si>
  <si>
    <t>Requisitos_do_Projeto</t>
  </si>
  <si>
    <t>Conceitos de elementos de Requisitos do Projeto.</t>
  </si>
  <si>
    <t>Formalizar conceitos de elementos de Requisitos do Projeto.</t>
  </si>
  <si>
    <t>Necessidades</t>
  </si>
  <si>
    <t>Necessidade.Espacial</t>
  </si>
  <si>
    <t>Necessidade.Mobiliário</t>
  </si>
  <si>
    <t>Necessidade.Equipamento</t>
  </si>
  <si>
    <t>Define o Programa de Necessidades Específico do Projeto.</t>
  </si>
  <si>
    <t>Interdisciplinar</t>
  </si>
  <si>
    <t>Projeto_A</t>
  </si>
  <si>
    <t>Necessidades.Projetuais</t>
  </si>
  <si>
    <t>categoria.revit</t>
  </si>
  <si>
    <t>"[ OST_ProjectInformation : OST_ProjectBasePoint : OST_SitePoint : OST_SharedBasePoint ]"</t>
  </si>
  <si>
    <t>classe.ifc</t>
  </si>
  <si>
    <t>"[ IfcProject : IfcText : IfcLabel ]"</t>
  </si>
  <si>
    <t>"Requisitos gerais do projeto de AVAC."</t>
  </si>
  <si>
    <t>"Requisitos gerais do projeto de Hidráulica."</t>
  </si>
  <si>
    <t>"Requisitos gerais do projeto de Elétrica."</t>
  </si>
  <si>
    <t>"Requisitos gerais do projeto de Incêncio."</t>
  </si>
  <si>
    <t>"Requisitos gerais do projeto Sanitário."</t>
  </si>
  <si>
    <t>Req_01</t>
  </si>
  <si>
    <t>Req_02</t>
  </si>
  <si>
    <t>Req_03</t>
  </si>
  <si>
    <t>Req_04</t>
  </si>
  <si>
    <t>quem.requisitou</t>
  </si>
  <si>
    <t>"Cliente"</t>
  </si>
  <si>
    <t>É.Requisito.Espacial</t>
  </si>
  <si>
    <t>É.Requisito.Mobiliário</t>
  </si>
  <si>
    <t>É.Requisito.Equipamento</t>
  </si>
  <si>
    <t>Req_Inc_01</t>
  </si>
  <si>
    <t>Req_Ele_01</t>
  </si>
  <si>
    <t>Req_Hid_01</t>
  </si>
  <si>
    <t>Req_Ava_01</t>
  </si>
  <si>
    <t>Req_Esg_01</t>
  </si>
  <si>
    <t>"Descreve o requisito 1"</t>
  </si>
  <si>
    <t>"Descreve o requisito 2"</t>
  </si>
  <si>
    <t>"Descreve o requisito 3"</t>
  </si>
  <si>
    <t>"Descreve o requisito 4"</t>
  </si>
  <si>
    <t>"Definição concreta do projeto A"</t>
  </si>
  <si>
    <t>"Responde ao requisito 1 do projeto A"</t>
  </si>
  <si>
    <t>"Responde ao requisito 2 do projeto A"</t>
  </si>
  <si>
    <t>"Responde ao requisito 3 do projeto A"</t>
  </si>
  <si>
    <t>"Responde ao requisito 4 do projeto A"</t>
  </si>
  <si>
    <t>Req_Ger_01</t>
  </si>
  <si>
    <t>Req_Ger_02</t>
  </si>
  <si>
    <t>Req_Ger_03</t>
  </si>
  <si>
    <t>Req_Ger_04</t>
  </si>
  <si>
    <t>Define um contêiner de informação de acordo à norma NBR 19650-1. Requerimentos gerais.</t>
  </si>
  <si>
    <t>De.Necessidades</t>
  </si>
  <si>
    <t>É.Requisito.Geral</t>
  </si>
  <si>
    <t>Programáticos</t>
  </si>
  <si>
    <t>Requisitadas</t>
  </si>
  <si>
    <t>Atendidas</t>
  </si>
  <si>
    <t>Necessidade.Geral</t>
  </si>
  <si>
    <t>Necessidade.Pessoal</t>
  </si>
  <si>
    <t>É.Requisito.Pessoal</t>
  </si>
  <si>
    <t>é.requisito.de</t>
  </si>
  <si>
    <t>código.abnt</t>
  </si>
  <si>
    <t>"[ 4U.70.10.02 ]"</t>
  </si>
  <si>
    <t>quem.atende</t>
  </si>
  <si>
    <t>"Equipe de arquitetura"</t>
  </si>
  <si>
    <t>"Equipe de Instalações"</t>
  </si>
  <si>
    <t>É.Requisito.Avac</t>
  </si>
  <si>
    <t>É.Requisito.Hidráulico</t>
  </si>
  <si>
    <t>É.Requisito.Elétrico</t>
  </si>
  <si>
    <t>É.Requisito.Incêndio</t>
  </si>
  <si>
    <t>É.Requisito.Sanitário</t>
  </si>
  <si>
    <t>É.Requisito.Lógico</t>
  </si>
  <si>
    <t>Necessidade.Avac</t>
  </si>
  <si>
    <t>Necessidade.Incêndio</t>
  </si>
  <si>
    <t>Necessidade.Hidráulica</t>
  </si>
  <si>
    <t>Necessidade.Elétrica</t>
  </si>
  <si>
    <t>Necessidade.Sanitária</t>
  </si>
  <si>
    <t>Necessidade.Lógica</t>
  </si>
  <si>
    <t>é.tipo</t>
  </si>
  <si>
    <t>Defines an information container in accordance with the NBR 19650-1 standard. General requirements.</t>
  </si>
  <si>
    <t>Defines an information container in accordance with the NBR 19650-1 standard. Spatial Requirements for the Project.</t>
  </si>
  <si>
    <t>Defines an information container in accordance with the NBR 19650-1 standard. Furniture Requirements for the Project.</t>
  </si>
  <si>
    <t>Defines an information container in accordance with the NBR 19650-1 standard. Equipment Requirements for the Project.</t>
  </si>
  <si>
    <t>Defines an information container in accordance with the NBR 19650-1 standard. Building Systems Requirements for the Project.</t>
  </si>
  <si>
    <t>Defines the Project-Specific Requirements Program.</t>
  </si>
  <si>
    <t>Define un contenedor de información de acuerdo con la norma NBR 19650-1. Requisitos generales.</t>
  </si>
  <si>
    <t>Define un contenedor de información de acuerdo con la norma NBR 19650-1. Requisitos espaciales para el proyecto.</t>
  </si>
  <si>
    <t>Define un contenedor de información de acuerdo con la norma NBR 19650-1. Requisitos de mobiliario para el proyecto.</t>
  </si>
  <si>
    <t>Define un contenedor de información de acuerdo con la norma NBR 19650-1. Requisitos de equipamiento para el proyecto.</t>
  </si>
  <si>
    <t>Define un contenedor de información de acuerdo con la norma NBR 19650-1. Requisitos de los sistemas de construcción para el proyecto.</t>
  </si>
  <si>
    <t>Define el Programa de Requisitos Específicos del Proyecto.</t>
  </si>
  <si>
    <t>Parâmetro Rvt</t>
  </si>
  <si>
    <t>Atributo IFC</t>
  </si>
  <si>
    <t>Classe IFC</t>
  </si>
  <si>
    <t>API_Ambiente</t>
  </si>
  <si>
    <t>tema</t>
  </si>
  <si>
    <t>"API"</t>
  </si>
  <si>
    <t>subtema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</si>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</sst>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name val="Arial Nova Cond"/>
      <family val="2"/>
    </font>
    <font>
      <b/>
      <sz val="6"/>
      <name val="Arial Nova Cond"/>
      <family val="2"/>
    </font>
    <font>
      <i/>
      <sz val="6"/>
      <name val="Arial Nova Cond"/>
      <family val="2"/>
    </font>
    <font>
      <sz val="8"/>
      <color theme="1"/>
      <name val="Arial Nova Cond"/>
      <family val="2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  <font>
      <u/>
      <sz val="11"/>
      <color theme="10"/>
      <name val="Calibri"/>
      <family val="2"/>
      <scheme val="minor"/>
    </font>
    <font>
      <sz val="6"/>
      <color theme="10"/>
      <name val="Arial Nova Cond Light"/>
      <family val="2"/>
    </font>
    <font>
      <u/>
      <sz val="6"/>
      <color theme="10"/>
      <name val="Arial Nova Cond Light"/>
      <family val="2"/>
    </font>
    <font>
      <sz val="6"/>
      <color theme="1"/>
      <name val="Arial Nova Cond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rgb="FFD9F2D0"/>
      </patternFill>
    </fill>
    <fill>
      <patternFill patternType="solid">
        <fgColor theme="7" tint="0.59999389629810485"/>
        <bgColor rgb="FFD9F2D0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rgb="FFFBE79D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5" fillId="0" borderId="0" xfId="0" applyFont="1" applyAlignment="1">
      <alignment vertical="center"/>
    </xf>
    <xf numFmtId="0" fontId="6" fillId="9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/>
    <xf numFmtId="0" fontId="10" fillId="12" borderId="3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center" vertical="center"/>
    </xf>
    <xf numFmtId="2" fontId="12" fillId="7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" fontId="12" fillId="7" borderId="1" xfId="0" applyNumberFormat="1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/>
    </xf>
    <xf numFmtId="2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0" borderId="1" xfId="0" applyFont="1" applyBorder="1"/>
    <xf numFmtId="22" fontId="12" fillId="19" borderId="1" xfId="0" applyNumberFormat="1" applyFont="1" applyFill="1" applyBorder="1" applyAlignment="1">
      <alignment horizontal="left" vertical="center"/>
    </xf>
    <xf numFmtId="0" fontId="12" fillId="19" borderId="1" xfId="0" applyFont="1" applyFill="1" applyBorder="1"/>
    <xf numFmtId="0" fontId="12" fillId="18" borderId="1" xfId="0" applyFont="1" applyFill="1" applyBorder="1" applyAlignment="1">
      <alignment horizontal="left" vertical="center" wrapText="1"/>
    </xf>
    <xf numFmtId="2" fontId="6" fillId="5" borderId="1" xfId="0" applyNumberFormat="1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2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2" fillId="12" borderId="1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17" fillId="0" borderId="1" xfId="1" applyFont="1" applyBorder="1" applyAlignment="1">
      <alignment horizontal="left" vertical="center"/>
    </xf>
    <xf numFmtId="0" fontId="17" fillId="0" borderId="1" xfId="1" applyFont="1" applyFill="1" applyBorder="1" applyAlignment="1">
      <alignment vertical="center"/>
    </xf>
    <xf numFmtId="0" fontId="17" fillId="0" borderId="1" xfId="1" applyFont="1" applyBorder="1" applyAlignment="1">
      <alignment vertical="center" wrapText="1"/>
    </xf>
    <xf numFmtId="22" fontId="18" fillId="0" borderId="1" xfId="1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18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vertical="center"/>
    </xf>
    <xf numFmtId="0" fontId="12" fillId="2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8" fillId="2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12" fillId="25" borderId="1" xfId="0" applyFont="1" applyFill="1" applyBorder="1" applyAlignment="1">
      <alignment horizontal="left" vertical="center"/>
    </xf>
    <xf numFmtId="0" fontId="12" fillId="26" borderId="1" xfId="0" applyFont="1" applyFill="1" applyBorder="1" applyAlignment="1">
      <alignment horizontal="left" vertical="center"/>
    </xf>
    <xf numFmtId="0" fontId="12" fillId="27" borderId="1" xfId="0" applyFont="1" applyFill="1" applyBorder="1" applyAlignment="1">
      <alignment horizontal="left" vertical="center"/>
    </xf>
    <xf numFmtId="0" fontId="15" fillId="0" borderId="0" xfId="0" applyFont="1"/>
    <xf numFmtId="0" fontId="19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vertical="center"/>
    </xf>
    <xf numFmtId="0" fontId="8" fillId="2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8" fillId="22" borderId="1" xfId="0" applyFont="1" applyFill="1" applyBorder="1" applyAlignment="1">
      <alignment horizontal="left" vertical="center"/>
    </xf>
    <xf numFmtId="0" fontId="7" fillId="22" borderId="1" xfId="0" applyFont="1" applyFill="1" applyBorder="1" applyAlignment="1">
      <alignment horizontal="left" vertical="center"/>
    </xf>
    <xf numFmtId="0" fontId="11" fillId="11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33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13C-8B96-43A0-BB50-A45AC26373E3}">
  <sheetPr codeName="Planilha1"/>
  <dimension ref="A1:C39"/>
  <sheetViews>
    <sheetView zoomScale="205" zoomScaleNormal="205" workbookViewId="0">
      <pane ySplit="1" topLeftCell="A2" activePane="bottomLeft" state="frozen"/>
      <selection activeCell="C18" sqref="C18"/>
      <selection pane="bottomLeft" activeCell="B31" sqref="B31"/>
    </sheetView>
  </sheetViews>
  <sheetFormatPr defaultColWidth="3.28515625" defaultRowHeight="8.25" customHeight="1" x14ac:dyDescent="0.25"/>
  <cols>
    <col min="1" max="1" width="10" style="6" customWidth="1"/>
    <col min="2" max="2" width="68.85546875" style="6" bestFit="1" customWidth="1"/>
    <col min="3" max="3" width="3.42578125" style="46" bestFit="1" customWidth="1"/>
    <col min="4" max="16384" width="3.28515625" style="6"/>
  </cols>
  <sheetData>
    <row r="1" spans="1:3" ht="8.25" customHeight="1" x14ac:dyDescent="0.25">
      <c r="A1" s="7" t="s">
        <v>35</v>
      </c>
      <c r="B1" s="7" t="s">
        <v>34</v>
      </c>
      <c r="C1" s="22" t="s">
        <v>94</v>
      </c>
    </row>
    <row r="2" spans="1:3" ht="8.25" customHeight="1" x14ac:dyDescent="0.25">
      <c r="A2" s="8" t="s">
        <v>44</v>
      </c>
      <c r="B2" s="8" t="s">
        <v>60</v>
      </c>
      <c r="C2" s="45" t="s">
        <v>95</v>
      </c>
    </row>
    <row r="3" spans="1:3" ht="8.25" customHeight="1" x14ac:dyDescent="0.25">
      <c r="A3" s="8" t="s">
        <v>45</v>
      </c>
      <c r="B3" s="9" t="s">
        <v>125</v>
      </c>
      <c r="C3" s="45" t="s">
        <v>95</v>
      </c>
    </row>
    <row r="4" spans="1:3" ht="8.25" customHeight="1" x14ac:dyDescent="0.25">
      <c r="A4" s="8" t="s">
        <v>36</v>
      </c>
      <c r="B4" s="8" t="s">
        <v>46</v>
      </c>
      <c r="C4" s="45" t="s">
        <v>95</v>
      </c>
    </row>
    <row r="5" spans="1:3" ht="8.25" customHeight="1" x14ac:dyDescent="0.25">
      <c r="A5" s="8" t="s">
        <v>37</v>
      </c>
      <c r="B5" s="8" t="str">
        <f>_xlfn.CONCAT(B4,"Prop")</f>
        <v>BIMProp</v>
      </c>
      <c r="C5" s="45" t="s">
        <v>95</v>
      </c>
    </row>
    <row r="6" spans="1:3" ht="8.25" customHeight="1" x14ac:dyDescent="0.25">
      <c r="A6" s="8" t="s">
        <v>38</v>
      </c>
      <c r="B6" s="8" t="str">
        <f>_xlfn.CONCAT(B4,"Data")</f>
        <v>BIMData</v>
      </c>
      <c r="C6" s="45" t="s">
        <v>95</v>
      </c>
    </row>
    <row r="7" spans="1:3" ht="8.25" customHeight="1" x14ac:dyDescent="0.25">
      <c r="A7" s="8" t="s">
        <v>39</v>
      </c>
      <c r="B7" s="8" t="s">
        <v>47</v>
      </c>
      <c r="C7" s="45" t="s">
        <v>95</v>
      </c>
    </row>
    <row r="8" spans="1:3" ht="8.25" customHeight="1" x14ac:dyDescent="0.25">
      <c r="A8" s="8" t="s">
        <v>40</v>
      </c>
      <c r="B8" s="8" t="s">
        <v>93</v>
      </c>
      <c r="C8" s="45" t="s">
        <v>95</v>
      </c>
    </row>
    <row r="9" spans="1:3" ht="8.25" customHeight="1" x14ac:dyDescent="0.25">
      <c r="A9" s="8" t="s">
        <v>48</v>
      </c>
      <c r="B9" s="8" t="s">
        <v>49</v>
      </c>
      <c r="C9" s="45" t="s">
        <v>95</v>
      </c>
    </row>
    <row r="10" spans="1:3" ht="8.25" customHeight="1" x14ac:dyDescent="0.25">
      <c r="A10" s="8" t="s">
        <v>50</v>
      </c>
      <c r="B10" s="8" t="s">
        <v>23</v>
      </c>
      <c r="C10" s="45" t="s">
        <v>95</v>
      </c>
    </row>
    <row r="11" spans="1:3" ht="8.25" customHeight="1" x14ac:dyDescent="0.25">
      <c r="A11" s="8" t="s">
        <v>41</v>
      </c>
      <c r="B11" s="8" t="s">
        <v>23</v>
      </c>
      <c r="C11" s="45" t="s">
        <v>95</v>
      </c>
    </row>
    <row r="12" spans="1:3" ht="8.25" customHeight="1" x14ac:dyDescent="0.25">
      <c r="A12" s="8" t="s">
        <v>42</v>
      </c>
      <c r="B12" s="8" t="s">
        <v>23</v>
      </c>
      <c r="C12" s="45" t="s">
        <v>95</v>
      </c>
    </row>
    <row r="13" spans="1:3" ht="8.25" customHeight="1" x14ac:dyDescent="0.25">
      <c r="A13" s="8" t="s">
        <v>51</v>
      </c>
      <c r="B13" s="8" t="s">
        <v>23</v>
      </c>
      <c r="C13" s="45" t="s">
        <v>95</v>
      </c>
    </row>
    <row r="14" spans="1:3" ht="8.25" customHeight="1" x14ac:dyDescent="0.25">
      <c r="A14" s="8" t="s">
        <v>52</v>
      </c>
      <c r="B14" s="8" t="s">
        <v>23</v>
      </c>
      <c r="C14" s="45" t="s">
        <v>95</v>
      </c>
    </row>
    <row r="15" spans="1:3" ht="8.25" customHeight="1" x14ac:dyDescent="0.25">
      <c r="A15" s="8" t="s">
        <v>53</v>
      </c>
      <c r="B15" s="8" t="s">
        <v>23</v>
      </c>
      <c r="C15" s="45" t="s">
        <v>95</v>
      </c>
    </row>
    <row r="16" spans="1:3" ht="8.25" customHeight="1" x14ac:dyDescent="0.25">
      <c r="A16" s="8" t="s">
        <v>54</v>
      </c>
      <c r="B16" s="8" t="s">
        <v>23</v>
      </c>
      <c r="C16" s="45" t="s">
        <v>95</v>
      </c>
    </row>
    <row r="17" spans="1:3" ht="8.25" customHeight="1" x14ac:dyDescent="0.25">
      <c r="A17" s="8" t="s">
        <v>43</v>
      </c>
      <c r="B17" s="10" t="s">
        <v>126</v>
      </c>
      <c r="C17" s="45" t="s">
        <v>95</v>
      </c>
    </row>
    <row r="18" spans="1:3" ht="8.25" customHeight="1" x14ac:dyDescent="0.25">
      <c r="A18" s="8" t="s">
        <v>55</v>
      </c>
      <c r="B18" s="40">
        <f ca="1">NOW()</f>
        <v>46274.402743634259</v>
      </c>
      <c r="C18" s="45" t="s">
        <v>95</v>
      </c>
    </row>
    <row r="19" spans="1:3" ht="8.25" customHeight="1" x14ac:dyDescent="0.25">
      <c r="A19" s="8" t="s">
        <v>99</v>
      </c>
      <c r="B19" s="8" t="s">
        <v>23</v>
      </c>
      <c r="C19" s="45" t="s">
        <v>95</v>
      </c>
    </row>
    <row r="20" spans="1:3" ht="8.25" customHeight="1" x14ac:dyDescent="0.25">
      <c r="A20" s="8" t="s">
        <v>98</v>
      </c>
      <c r="B20" s="8" t="s">
        <v>23</v>
      </c>
      <c r="C20" s="45" t="s">
        <v>96</v>
      </c>
    </row>
    <row r="21" spans="1:3" ht="8.25" customHeight="1" x14ac:dyDescent="0.25">
      <c r="A21" s="8" t="s">
        <v>100</v>
      </c>
      <c r="B21" s="8" t="s">
        <v>23</v>
      </c>
      <c r="C21" s="45" t="s">
        <v>97</v>
      </c>
    </row>
    <row r="22" spans="1:3" ht="8.25" customHeight="1" x14ac:dyDescent="0.25">
      <c r="A22" s="8" t="s">
        <v>56</v>
      </c>
      <c r="B22" s="8" t="s">
        <v>23</v>
      </c>
      <c r="C22" s="45" t="s">
        <v>95</v>
      </c>
    </row>
    <row r="23" spans="1:3" ht="8.25" customHeight="1" x14ac:dyDescent="0.25">
      <c r="A23" s="8" t="s">
        <v>57</v>
      </c>
      <c r="B23" s="8" t="s">
        <v>23</v>
      </c>
      <c r="C23" s="45" t="s">
        <v>95</v>
      </c>
    </row>
    <row r="24" spans="1:3" ht="8.25" customHeight="1" x14ac:dyDescent="0.25">
      <c r="A24" s="10" t="s">
        <v>58</v>
      </c>
      <c r="B24" s="11" t="s">
        <v>127</v>
      </c>
      <c r="C24" s="45" t="s">
        <v>95</v>
      </c>
    </row>
    <row r="25" spans="1:3" ht="8.25" customHeight="1" x14ac:dyDescent="0.25">
      <c r="A25" s="10" t="s">
        <v>59</v>
      </c>
      <c r="B25" s="11" t="str">
        <f>_xlfn.TRANSLATE(B24,"pt","es")</f>
        <v>Formalizar los conceptos de los elementos de Requisitos del Proyecto.</v>
      </c>
      <c r="C25" s="45" t="s">
        <v>96</v>
      </c>
    </row>
    <row r="26" spans="1:3" ht="8.25" customHeight="1" x14ac:dyDescent="0.25">
      <c r="A26" s="10" t="s">
        <v>92</v>
      </c>
      <c r="B26" s="11" t="str">
        <f>_xlfn.TRANSLATE(B25,"pt","en")</f>
        <v>Formalizar los conceptos de los elementos de Requisitos del Proyecto.</v>
      </c>
      <c r="C26" s="45" t="s">
        <v>97</v>
      </c>
    </row>
    <row r="27" spans="1:3" customFormat="1" ht="8.25" customHeight="1" x14ac:dyDescent="0.25">
      <c r="A27" s="8" t="s">
        <v>105</v>
      </c>
      <c r="B27" s="53" t="s">
        <v>106</v>
      </c>
      <c r="C27" s="45" t="s">
        <v>95</v>
      </c>
    </row>
    <row r="28" spans="1:3" customFormat="1" ht="8.25" customHeight="1" x14ac:dyDescent="0.25">
      <c r="A28" s="8" t="s">
        <v>107</v>
      </c>
      <c r="B28" s="54" t="s">
        <v>108</v>
      </c>
      <c r="C28" s="45" t="s">
        <v>95</v>
      </c>
    </row>
    <row r="29" spans="1:3" customFormat="1" ht="8.25" customHeight="1" x14ac:dyDescent="0.25">
      <c r="A29" s="8" t="s">
        <v>109</v>
      </c>
      <c r="B29" s="54" t="s">
        <v>110</v>
      </c>
      <c r="C29" s="45" t="s">
        <v>95</v>
      </c>
    </row>
    <row r="30" spans="1:3" ht="8.25" customHeight="1" x14ac:dyDescent="0.15">
      <c r="A30" s="8" t="s">
        <v>111</v>
      </c>
      <c r="B30" s="39" t="s">
        <v>85</v>
      </c>
      <c r="C30" s="45" t="s">
        <v>95</v>
      </c>
    </row>
    <row r="31" spans="1:3" ht="8.25" customHeight="1" x14ac:dyDescent="0.15">
      <c r="A31" s="8" t="s">
        <v>112</v>
      </c>
      <c r="B31" s="39" t="s">
        <v>84</v>
      </c>
      <c r="C31" s="45" t="s">
        <v>95</v>
      </c>
    </row>
    <row r="32" spans="1:3" ht="8.25" customHeight="1" x14ac:dyDescent="0.15">
      <c r="A32" s="8" t="s">
        <v>113</v>
      </c>
      <c r="B32" s="39" t="s">
        <v>87</v>
      </c>
      <c r="C32" s="45" t="s">
        <v>95</v>
      </c>
    </row>
    <row r="33" spans="1:3" ht="8.25" customHeight="1" x14ac:dyDescent="0.15">
      <c r="A33" s="8" t="s">
        <v>114</v>
      </c>
      <c r="B33" s="41" t="s">
        <v>83</v>
      </c>
      <c r="C33" s="45" t="s">
        <v>95</v>
      </c>
    </row>
    <row r="34" spans="1:3" ht="8.25" customHeight="1" x14ac:dyDescent="0.15">
      <c r="A34" s="8" t="s">
        <v>115</v>
      </c>
      <c r="B34" s="41" t="s">
        <v>82</v>
      </c>
      <c r="C34" s="45" t="s">
        <v>95</v>
      </c>
    </row>
    <row r="35" spans="1:3" ht="8.25" customHeight="1" x14ac:dyDescent="0.15">
      <c r="A35" s="8" t="s">
        <v>116</v>
      </c>
      <c r="B35" s="39" t="s">
        <v>86</v>
      </c>
      <c r="C35" s="45" t="s">
        <v>95</v>
      </c>
    </row>
    <row r="36" spans="1:3" ht="8.25" customHeight="1" x14ac:dyDescent="0.15">
      <c r="A36" s="8" t="s">
        <v>117</v>
      </c>
      <c r="B36" s="41" t="s">
        <v>81</v>
      </c>
      <c r="C36" s="45" t="s">
        <v>95</v>
      </c>
    </row>
    <row r="37" spans="1:3" ht="8.25" customHeight="1" x14ac:dyDescent="0.15">
      <c r="A37" s="8" t="s">
        <v>118</v>
      </c>
      <c r="B37" s="39" t="s">
        <v>89</v>
      </c>
      <c r="C37" s="45" t="s">
        <v>95</v>
      </c>
    </row>
    <row r="38" spans="1:3" customFormat="1" ht="8.25" customHeight="1" x14ac:dyDescent="0.25">
      <c r="A38" s="10" t="s">
        <v>119</v>
      </c>
      <c r="B38" s="55" t="s">
        <v>120</v>
      </c>
      <c r="C38" s="45" t="s">
        <v>95</v>
      </c>
    </row>
    <row r="39" spans="1:3" s="28" customFormat="1" ht="8.25" customHeight="1" x14ac:dyDescent="0.15">
      <c r="A39" s="8" t="s">
        <v>121</v>
      </c>
      <c r="B39" s="56" t="s">
        <v>122</v>
      </c>
      <c r="C39" s="45" t="s">
        <v>96</v>
      </c>
    </row>
  </sheetData>
  <phoneticPr fontId="1" type="noConversion"/>
  <hyperlinks>
    <hyperlink ref="B27" r:id="rId1" xr:uid="{3343E6A9-86A0-42D5-9FF3-99B9D570A215}"/>
    <hyperlink ref="B29" r:id="rId2" xr:uid="{9F21B17E-1A88-4255-8D14-497AE2AC52F8}"/>
    <hyperlink ref="B28" r:id="rId3" xr:uid="{B6F85019-4F90-451D-84D9-3549C8C3FFCF}"/>
    <hyperlink ref="B38" r:id="rId4" xr:uid="{E23DD233-D0F5-48FB-8CE4-CF7A0A8CEE5C}"/>
    <hyperlink ref="B39" r:id="rId5" location="categoria_888" xr:uid="{0E197C45-8E93-406B-B436-CDD35976D07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50FD-D5BA-45CD-9CBD-E4284A1EA77F}">
  <sheetPr codeName="Planilha2"/>
  <dimension ref="A1:AD28"/>
  <sheetViews>
    <sheetView tabSelected="1" zoomScale="190" zoomScaleNormal="190" workbookViewId="0">
      <pane ySplit="1" topLeftCell="A15" activePane="bottomLeft" state="frozen"/>
      <selection pane="bottomLeft" activeCell="D28" sqref="D28"/>
    </sheetView>
  </sheetViews>
  <sheetFormatPr defaultColWidth="32.140625" defaultRowHeight="6.6" customHeight="1" x14ac:dyDescent="0.25"/>
  <cols>
    <col min="1" max="1" width="2.42578125" bestFit="1" customWidth="1"/>
    <col min="2" max="2" width="5.42578125" style="27" customWidth="1"/>
    <col min="3" max="3" width="8.7109375" style="27" customWidth="1"/>
    <col min="4" max="4" width="11.5703125" style="27" customWidth="1"/>
    <col min="5" max="5" width="8.85546875" style="27" customWidth="1"/>
    <col min="6" max="6" width="12.42578125" style="27" customWidth="1"/>
    <col min="7" max="11" width="10.140625" style="27" bestFit="1" customWidth="1"/>
    <col min="12" max="12" width="9.85546875" style="27" bestFit="1" customWidth="1"/>
    <col min="13" max="13" width="13.7109375" style="27" bestFit="1" customWidth="1"/>
    <col min="14" max="14" width="9.5703125" style="27" bestFit="1" customWidth="1"/>
    <col min="15" max="15" width="14.7109375" style="27" bestFit="1" customWidth="1"/>
    <col min="16" max="16" width="64.5703125" style="27" bestFit="1" customWidth="1"/>
    <col min="17" max="17" width="73.42578125" style="27" bestFit="1" customWidth="1"/>
    <col min="18" max="18" width="67.7109375" style="27" bestFit="1" customWidth="1"/>
    <col min="19" max="19" width="4.140625" style="78" customWidth="1"/>
    <col min="20" max="20" width="9.85546875" style="27" bestFit="1" customWidth="1"/>
    <col min="21" max="21" width="13.7109375" style="27" bestFit="1" customWidth="1"/>
    <col min="22" max="22" width="9.5703125" style="27" bestFit="1" customWidth="1"/>
    <col min="23" max="23" width="8.5703125" style="27" bestFit="1" customWidth="1"/>
    <col min="24" max="24" width="7.5703125" style="27" customWidth="1"/>
    <col min="25" max="25" width="7.140625" style="27" customWidth="1"/>
    <col min="26" max="26" width="8.28515625" style="27" customWidth="1"/>
    <col min="27" max="27" width="6.5703125" style="27" customWidth="1"/>
    <col min="28" max="28" width="6.85546875" style="27" customWidth="1"/>
    <col min="29" max="29" width="17.85546875" style="27" customWidth="1"/>
    <col min="30" max="30" width="4.140625" style="27" bestFit="1" customWidth="1"/>
    <col min="31" max="16384" width="32.140625" style="27"/>
  </cols>
  <sheetData>
    <row r="1" spans="1:30" ht="40.35" customHeight="1" x14ac:dyDescent="0.25">
      <c r="A1" s="13">
        <v>1</v>
      </c>
      <c r="B1" s="14" t="s">
        <v>64</v>
      </c>
      <c r="C1" s="14" t="s">
        <v>65</v>
      </c>
      <c r="D1" s="14" t="s">
        <v>66</v>
      </c>
      <c r="E1" s="14" t="s">
        <v>67</v>
      </c>
      <c r="F1" s="14" t="s">
        <v>68</v>
      </c>
      <c r="G1" s="29" t="s">
        <v>24</v>
      </c>
      <c r="H1" s="29" t="s">
        <v>25</v>
      </c>
      <c r="I1" s="29" t="s">
        <v>26</v>
      </c>
      <c r="J1" s="29" t="s">
        <v>27</v>
      </c>
      <c r="K1" s="29" t="s">
        <v>28</v>
      </c>
      <c r="L1" s="15" t="s">
        <v>31</v>
      </c>
      <c r="M1" s="15" t="s">
        <v>32</v>
      </c>
      <c r="N1" s="15" t="s">
        <v>30</v>
      </c>
      <c r="O1" s="15" t="s">
        <v>29</v>
      </c>
      <c r="P1" s="15" t="s">
        <v>69</v>
      </c>
      <c r="Q1" s="15" t="s">
        <v>70</v>
      </c>
      <c r="R1" s="44" t="s">
        <v>91</v>
      </c>
      <c r="S1" s="77" t="s">
        <v>71</v>
      </c>
      <c r="T1" s="15" t="s">
        <v>61</v>
      </c>
      <c r="U1" s="15" t="s">
        <v>72</v>
      </c>
      <c r="V1" s="16" t="s">
        <v>63</v>
      </c>
      <c r="W1" s="15" t="s">
        <v>62</v>
      </c>
      <c r="X1" s="50" t="s">
        <v>0</v>
      </c>
      <c r="Y1" s="16" t="s">
        <v>77</v>
      </c>
      <c r="Z1" s="16" t="s">
        <v>212</v>
      </c>
      <c r="AA1" s="15" t="s">
        <v>214</v>
      </c>
      <c r="AB1" s="15" t="s">
        <v>213</v>
      </c>
      <c r="AC1" s="15" t="s">
        <v>90</v>
      </c>
      <c r="AD1" s="15" t="s">
        <v>258</v>
      </c>
    </row>
    <row r="2" spans="1:30" s="57" customFormat="1" ht="6.75" customHeight="1" x14ac:dyDescent="0.25">
      <c r="A2" s="52">
        <v>2</v>
      </c>
      <c r="B2" s="75" t="s">
        <v>123</v>
      </c>
      <c r="C2" s="75" t="s">
        <v>175</v>
      </c>
      <c r="D2" s="71" t="s">
        <v>128</v>
      </c>
      <c r="E2" s="71" t="s">
        <v>176</v>
      </c>
      <c r="F2" s="71" t="s">
        <v>174</v>
      </c>
      <c r="G2" s="49" t="s">
        <v>1</v>
      </c>
      <c r="H2" s="49" t="s">
        <v>1</v>
      </c>
      <c r="I2" s="49" t="s">
        <v>1</v>
      </c>
      <c r="J2" s="49" t="s">
        <v>1</v>
      </c>
      <c r="K2" s="49" t="s">
        <v>1</v>
      </c>
      <c r="L2" s="23" t="str">
        <f t="shared" ref="L2:L3" si="0">CONCATENATE("", C2)</f>
        <v>Programáticos</v>
      </c>
      <c r="M2" s="23" t="str">
        <f t="shared" ref="M2:M3" si="1">CONCATENATE("", D2)</f>
        <v>Necessidades</v>
      </c>
      <c r="N2" s="23" t="str">
        <f t="shared" ref="N2:N3" si="2">(SUBSTITUTE(SUBSTITUTE(CONCATENATE("",E2),"."," ")," De "," de "))</f>
        <v>Requisitadas</v>
      </c>
      <c r="O2" s="23" t="str">
        <f t="shared" ref="O2:O3" si="3">(SUBSTITUTE(SUBSTITUTE(CONCATENATE("",F2),"."," ")," De "," de "))</f>
        <v>É Requisito Geral</v>
      </c>
      <c r="P2" s="24" t="s">
        <v>172</v>
      </c>
      <c r="Q2" s="24" t="s">
        <v>206</v>
      </c>
      <c r="R2" s="24" t="s">
        <v>200</v>
      </c>
      <c r="S2" s="73" t="s">
        <v>1</v>
      </c>
      <c r="T2" s="24" t="str">
        <f t="shared" ref="T2:T3" si="4">SUBSTITUTE(C2, ".", " ")</f>
        <v>Programáticos</v>
      </c>
      <c r="U2" s="24" t="str">
        <f t="shared" ref="U2:U3" si="5">SUBSTITUTE(D2, ".", " ")</f>
        <v>Necessidades</v>
      </c>
      <c r="V2" s="24" t="str">
        <f t="shared" ref="V2:V3" si="6">SUBSTITUTE(E2, ".", " ")</f>
        <v>Requisitadas</v>
      </c>
      <c r="W2" s="24" t="s">
        <v>133</v>
      </c>
      <c r="X2" s="51" t="str">
        <f t="shared" ref="X2:X3" si="7">CONCATENATE("Key-REQ-",A2)</f>
        <v>Key-REQ-2</v>
      </c>
      <c r="Y2" s="60" t="s">
        <v>1</v>
      </c>
      <c r="Z2" s="60" t="s">
        <v>1</v>
      </c>
      <c r="AA2" s="60" t="s">
        <v>1</v>
      </c>
      <c r="AB2" s="60" t="s">
        <v>1</v>
      </c>
      <c r="AC2" s="24" t="s">
        <v>124</v>
      </c>
      <c r="AD2" s="24" t="s">
        <v>1</v>
      </c>
    </row>
    <row r="3" spans="1:30" s="57" customFormat="1" ht="6.75" customHeight="1" x14ac:dyDescent="0.25">
      <c r="A3" s="52">
        <v>3</v>
      </c>
      <c r="B3" s="75" t="s">
        <v>123</v>
      </c>
      <c r="C3" s="75" t="s">
        <v>175</v>
      </c>
      <c r="D3" s="71" t="s">
        <v>128</v>
      </c>
      <c r="E3" s="71" t="s">
        <v>176</v>
      </c>
      <c r="F3" s="71" t="s">
        <v>180</v>
      </c>
      <c r="G3" s="49" t="s">
        <v>1</v>
      </c>
      <c r="H3" s="49" t="s">
        <v>1</v>
      </c>
      <c r="I3" s="49" t="s">
        <v>1</v>
      </c>
      <c r="J3" s="49" t="s">
        <v>1</v>
      </c>
      <c r="K3" s="49" t="s">
        <v>1</v>
      </c>
      <c r="L3" s="23" t="str">
        <f t="shared" si="0"/>
        <v>Programáticos</v>
      </c>
      <c r="M3" s="23" t="str">
        <f t="shared" si="1"/>
        <v>Necessidades</v>
      </c>
      <c r="N3" s="23" t="str">
        <f t="shared" si="2"/>
        <v>Requisitadas</v>
      </c>
      <c r="O3" s="23" t="str">
        <f t="shared" si="3"/>
        <v>É Requisito Pessoal</v>
      </c>
      <c r="P3" s="24" t="s">
        <v>101</v>
      </c>
      <c r="Q3" s="24" t="s">
        <v>207</v>
      </c>
      <c r="R3" s="24" t="s">
        <v>201</v>
      </c>
      <c r="S3" s="73" t="s">
        <v>1</v>
      </c>
      <c r="T3" s="24" t="str">
        <f t="shared" si="4"/>
        <v>Programáticos</v>
      </c>
      <c r="U3" s="24" t="str">
        <f t="shared" si="5"/>
        <v>Necessidades</v>
      </c>
      <c r="V3" s="24" t="str">
        <f t="shared" si="6"/>
        <v>Requisitadas</v>
      </c>
      <c r="W3" s="24" t="s">
        <v>133</v>
      </c>
      <c r="X3" s="51" t="str">
        <f t="shared" si="7"/>
        <v>Key-REQ-3</v>
      </c>
      <c r="Y3" s="60" t="s">
        <v>1</v>
      </c>
      <c r="Z3" s="60" t="s">
        <v>1</v>
      </c>
      <c r="AA3" s="60" t="s">
        <v>1</v>
      </c>
      <c r="AB3" s="60" t="s">
        <v>1</v>
      </c>
      <c r="AC3" s="24" t="s">
        <v>124</v>
      </c>
      <c r="AD3" s="24" t="s">
        <v>1</v>
      </c>
    </row>
    <row r="4" spans="1:30" s="57" customFormat="1" ht="6.75" customHeight="1" x14ac:dyDescent="0.25">
      <c r="A4" s="52">
        <v>4</v>
      </c>
      <c r="B4" s="75" t="s">
        <v>123</v>
      </c>
      <c r="C4" s="75" t="s">
        <v>175</v>
      </c>
      <c r="D4" s="71" t="s">
        <v>128</v>
      </c>
      <c r="E4" s="71" t="s">
        <v>176</v>
      </c>
      <c r="F4" s="71" t="s">
        <v>151</v>
      </c>
      <c r="G4" s="49" t="s">
        <v>1</v>
      </c>
      <c r="H4" s="49" t="s">
        <v>1</v>
      </c>
      <c r="I4" s="49" t="s">
        <v>1</v>
      </c>
      <c r="J4" s="49" t="s">
        <v>1</v>
      </c>
      <c r="K4" s="49" t="s">
        <v>1</v>
      </c>
      <c r="L4" s="23" t="str">
        <f t="shared" ref="L4:M14" si="8">CONCATENATE("", C4)</f>
        <v>Programáticos</v>
      </c>
      <c r="M4" s="23" t="str">
        <f t="shared" si="8"/>
        <v>Necessidades</v>
      </c>
      <c r="N4" s="23" t="str">
        <f t="shared" ref="N4:O14" si="9">(SUBSTITUTE(SUBSTITUTE(CONCATENATE("",E4),"."," ")," De "," de "))</f>
        <v>Requisitadas</v>
      </c>
      <c r="O4" s="23" t="str">
        <f t="shared" si="9"/>
        <v>É Requisito Espacial</v>
      </c>
      <c r="P4" s="24" t="s">
        <v>101</v>
      </c>
      <c r="Q4" s="24" t="s">
        <v>207</v>
      </c>
      <c r="R4" s="24" t="s">
        <v>201</v>
      </c>
      <c r="S4" s="73" t="s">
        <v>1</v>
      </c>
      <c r="T4" s="24" t="str">
        <f t="shared" ref="T4:V14" si="10">SUBSTITUTE(C4, ".", " ")</f>
        <v>Programáticos</v>
      </c>
      <c r="U4" s="24" t="str">
        <f t="shared" si="10"/>
        <v>Necessidades</v>
      </c>
      <c r="V4" s="24" t="str">
        <f t="shared" si="10"/>
        <v>Requisitadas</v>
      </c>
      <c r="W4" s="24" t="s">
        <v>133</v>
      </c>
      <c r="X4" s="51" t="str">
        <f t="shared" ref="X4:X18" si="11">CONCATENATE("Key-REQ-",A4)</f>
        <v>Key-REQ-4</v>
      </c>
      <c r="Y4" s="60" t="s">
        <v>1</v>
      </c>
      <c r="Z4" s="60" t="s">
        <v>1</v>
      </c>
      <c r="AA4" s="60" t="s">
        <v>1</v>
      </c>
      <c r="AB4" s="60" t="s">
        <v>1</v>
      </c>
      <c r="AC4" s="24" t="s">
        <v>124</v>
      </c>
      <c r="AD4" s="24" t="s">
        <v>1</v>
      </c>
    </row>
    <row r="5" spans="1:30" s="57" customFormat="1" ht="6.75" customHeight="1" x14ac:dyDescent="0.25">
      <c r="A5" s="52">
        <v>5</v>
      </c>
      <c r="B5" s="75" t="s">
        <v>123</v>
      </c>
      <c r="C5" s="75" t="s">
        <v>175</v>
      </c>
      <c r="D5" s="71" t="s">
        <v>128</v>
      </c>
      <c r="E5" s="71" t="s">
        <v>176</v>
      </c>
      <c r="F5" s="71" t="s">
        <v>152</v>
      </c>
      <c r="G5" s="49" t="s">
        <v>1</v>
      </c>
      <c r="H5" s="49" t="s">
        <v>1</v>
      </c>
      <c r="I5" s="49" t="s">
        <v>1</v>
      </c>
      <c r="J5" s="49" t="s">
        <v>1</v>
      </c>
      <c r="K5" s="49" t="s">
        <v>1</v>
      </c>
      <c r="L5" s="23" t="str">
        <f t="shared" si="8"/>
        <v>Programáticos</v>
      </c>
      <c r="M5" s="23" t="str">
        <f t="shared" si="8"/>
        <v>Necessidades</v>
      </c>
      <c r="N5" s="23" t="str">
        <f t="shared" si="9"/>
        <v>Requisitadas</v>
      </c>
      <c r="O5" s="23" t="str">
        <f t="shared" si="9"/>
        <v>É Requisito Mobiliário</v>
      </c>
      <c r="P5" s="24" t="s">
        <v>102</v>
      </c>
      <c r="Q5" s="24" t="s">
        <v>208</v>
      </c>
      <c r="R5" s="24" t="s">
        <v>202</v>
      </c>
      <c r="S5" s="73" t="s">
        <v>1</v>
      </c>
      <c r="T5" s="24" t="str">
        <f t="shared" si="10"/>
        <v>Programáticos</v>
      </c>
      <c r="U5" s="24" t="str">
        <f t="shared" si="10"/>
        <v>Necessidades</v>
      </c>
      <c r="V5" s="24" t="str">
        <f t="shared" si="10"/>
        <v>Requisitadas</v>
      </c>
      <c r="W5" s="24" t="s">
        <v>133</v>
      </c>
      <c r="X5" s="51" t="str">
        <f t="shared" si="11"/>
        <v>Key-REQ-5</v>
      </c>
      <c r="Y5" s="60" t="s">
        <v>1</v>
      </c>
      <c r="Z5" s="60" t="s">
        <v>1</v>
      </c>
      <c r="AA5" s="60" t="s">
        <v>1</v>
      </c>
      <c r="AB5" s="60" t="s">
        <v>1</v>
      </c>
      <c r="AC5" s="24" t="s">
        <v>124</v>
      </c>
      <c r="AD5" s="24" t="s">
        <v>1</v>
      </c>
    </row>
    <row r="6" spans="1:30" s="57" customFormat="1" ht="6.75" customHeight="1" x14ac:dyDescent="0.25">
      <c r="A6" s="52">
        <v>6</v>
      </c>
      <c r="B6" s="75" t="s">
        <v>123</v>
      </c>
      <c r="C6" s="75" t="s">
        <v>175</v>
      </c>
      <c r="D6" s="71" t="s">
        <v>128</v>
      </c>
      <c r="E6" s="71" t="s">
        <v>176</v>
      </c>
      <c r="F6" s="71" t="s">
        <v>153</v>
      </c>
      <c r="G6" s="49" t="s">
        <v>1</v>
      </c>
      <c r="H6" s="49" t="s">
        <v>1</v>
      </c>
      <c r="I6" s="49" t="s">
        <v>1</v>
      </c>
      <c r="J6" s="49" t="s">
        <v>1</v>
      </c>
      <c r="K6" s="49" t="s">
        <v>1</v>
      </c>
      <c r="L6" s="23" t="str">
        <f t="shared" si="8"/>
        <v>Programáticos</v>
      </c>
      <c r="M6" s="23" t="str">
        <f t="shared" si="8"/>
        <v>Necessidades</v>
      </c>
      <c r="N6" s="23" t="str">
        <f t="shared" si="9"/>
        <v>Requisitadas</v>
      </c>
      <c r="O6" s="23" t="str">
        <f t="shared" si="9"/>
        <v>É Requisito Equipamento</v>
      </c>
      <c r="P6" s="24" t="s">
        <v>103</v>
      </c>
      <c r="Q6" s="24" t="s">
        <v>209</v>
      </c>
      <c r="R6" s="24" t="s">
        <v>203</v>
      </c>
      <c r="S6" s="73" t="s">
        <v>1</v>
      </c>
      <c r="T6" s="24" t="str">
        <f t="shared" si="10"/>
        <v>Programáticos</v>
      </c>
      <c r="U6" s="24" t="str">
        <f t="shared" si="10"/>
        <v>Necessidades</v>
      </c>
      <c r="V6" s="24" t="str">
        <f t="shared" si="10"/>
        <v>Requisitadas</v>
      </c>
      <c r="W6" s="24" t="s">
        <v>133</v>
      </c>
      <c r="X6" s="51" t="str">
        <f t="shared" si="11"/>
        <v>Key-REQ-6</v>
      </c>
      <c r="Y6" s="60" t="s">
        <v>1</v>
      </c>
      <c r="Z6" s="60" t="s">
        <v>1</v>
      </c>
      <c r="AA6" s="60" t="s">
        <v>1</v>
      </c>
      <c r="AB6" s="60" t="s">
        <v>1</v>
      </c>
      <c r="AC6" s="24" t="s">
        <v>124</v>
      </c>
      <c r="AD6" s="24" t="s">
        <v>1</v>
      </c>
    </row>
    <row r="7" spans="1:30" s="57" customFormat="1" ht="6.75" customHeight="1" x14ac:dyDescent="0.25">
      <c r="A7" s="52">
        <v>7</v>
      </c>
      <c r="B7" s="75" t="s">
        <v>123</v>
      </c>
      <c r="C7" s="75" t="s">
        <v>175</v>
      </c>
      <c r="D7" s="71" t="s">
        <v>128</v>
      </c>
      <c r="E7" s="71" t="s">
        <v>176</v>
      </c>
      <c r="F7" s="71" t="s">
        <v>187</v>
      </c>
      <c r="G7" s="49" t="s">
        <v>1</v>
      </c>
      <c r="H7" s="49" t="s">
        <v>1</v>
      </c>
      <c r="I7" s="49" t="s">
        <v>1</v>
      </c>
      <c r="J7" s="49" t="s">
        <v>1</v>
      </c>
      <c r="K7" s="49" t="s">
        <v>1</v>
      </c>
      <c r="L7" s="23" t="str">
        <f t="shared" ref="L7:L11" si="12">CONCATENATE("", C7)</f>
        <v>Programáticos</v>
      </c>
      <c r="M7" s="23" t="str">
        <f t="shared" ref="M7:M11" si="13">CONCATENATE("", D7)</f>
        <v>Necessidades</v>
      </c>
      <c r="N7" s="23" t="str">
        <f t="shared" ref="N7:N11" si="14">(SUBSTITUTE(SUBSTITUTE(CONCATENATE("",E7),"."," ")," De "," de "))</f>
        <v>Requisitadas</v>
      </c>
      <c r="O7" s="23" t="str">
        <f t="shared" ref="O7:O11" si="15">(SUBSTITUTE(SUBSTITUTE(CONCATENATE("",F7),"."," ")," De "," de "))</f>
        <v>É Requisito Avac</v>
      </c>
      <c r="P7" s="24" t="s">
        <v>104</v>
      </c>
      <c r="Q7" s="24" t="s">
        <v>210</v>
      </c>
      <c r="R7" s="24" t="s">
        <v>204</v>
      </c>
      <c r="S7" s="73" t="s">
        <v>1</v>
      </c>
      <c r="T7" s="24" t="str">
        <f t="shared" ref="T7:T11" si="16">SUBSTITUTE(C7, ".", " ")</f>
        <v>Programáticos</v>
      </c>
      <c r="U7" s="24" t="str">
        <f t="shared" ref="U7:U11" si="17">SUBSTITUTE(D7, ".", " ")</f>
        <v>Necessidades</v>
      </c>
      <c r="V7" s="24" t="str">
        <f t="shared" ref="V7:V11" si="18">SUBSTITUTE(E7, ".", " ")</f>
        <v>Requisitadas</v>
      </c>
      <c r="W7" s="24" t="s">
        <v>133</v>
      </c>
      <c r="X7" s="51" t="str">
        <f t="shared" ref="X7:X11" si="19">CONCATENATE("Key-REQ-",A7)</f>
        <v>Key-REQ-7</v>
      </c>
      <c r="Y7" s="60" t="s">
        <v>1</v>
      </c>
      <c r="Z7" s="60" t="s">
        <v>1</v>
      </c>
      <c r="AA7" s="60" t="s">
        <v>1</v>
      </c>
      <c r="AB7" s="60" t="s">
        <v>1</v>
      </c>
      <c r="AC7" s="24" t="s">
        <v>124</v>
      </c>
      <c r="AD7" s="24" t="s">
        <v>1</v>
      </c>
    </row>
    <row r="8" spans="1:30" s="57" customFormat="1" ht="6.75" customHeight="1" x14ac:dyDescent="0.25">
      <c r="A8" s="52">
        <v>8</v>
      </c>
      <c r="B8" s="75" t="s">
        <v>123</v>
      </c>
      <c r="C8" s="75" t="s">
        <v>175</v>
      </c>
      <c r="D8" s="71" t="s">
        <v>128</v>
      </c>
      <c r="E8" s="71" t="s">
        <v>176</v>
      </c>
      <c r="F8" s="71" t="s">
        <v>188</v>
      </c>
      <c r="G8" s="49" t="s">
        <v>1</v>
      </c>
      <c r="H8" s="49" t="s">
        <v>1</v>
      </c>
      <c r="I8" s="49" t="s">
        <v>1</v>
      </c>
      <c r="J8" s="49" t="s">
        <v>1</v>
      </c>
      <c r="K8" s="49" t="s">
        <v>1</v>
      </c>
      <c r="L8" s="23" t="str">
        <f t="shared" si="12"/>
        <v>Programáticos</v>
      </c>
      <c r="M8" s="23" t="str">
        <f t="shared" si="13"/>
        <v>Necessidades</v>
      </c>
      <c r="N8" s="23" t="str">
        <f t="shared" si="14"/>
        <v>Requisitadas</v>
      </c>
      <c r="O8" s="23" t="str">
        <f t="shared" si="15"/>
        <v>É Requisito Hidráulico</v>
      </c>
      <c r="P8" s="24" t="s">
        <v>104</v>
      </c>
      <c r="Q8" s="24" t="s">
        <v>210</v>
      </c>
      <c r="R8" s="24" t="s">
        <v>204</v>
      </c>
      <c r="S8" s="73" t="s">
        <v>1</v>
      </c>
      <c r="T8" s="24" t="str">
        <f t="shared" si="16"/>
        <v>Programáticos</v>
      </c>
      <c r="U8" s="24" t="str">
        <f t="shared" si="17"/>
        <v>Necessidades</v>
      </c>
      <c r="V8" s="24" t="str">
        <f t="shared" si="18"/>
        <v>Requisitadas</v>
      </c>
      <c r="W8" s="24" t="s">
        <v>133</v>
      </c>
      <c r="X8" s="51" t="str">
        <f t="shared" si="19"/>
        <v>Key-REQ-8</v>
      </c>
      <c r="Y8" s="60" t="s">
        <v>1</v>
      </c>
      <c r="Z8" s="60" t="s">
        <v>1</v>
      </c>
      <c r="AA8" s="60" t="s">
        <v>1</v>
      </c>
      <c r="AB8" s="60" t="s">
        <v>1</v>
      </c>
      <c r="AC8" s="24" t="s">
        <v>124</v>
      </c>
      <c r="AD8" s="24" t="s">
        <v>1</v>
      </c>
    </row>
    <row r="9" spans="1:30" s="57" customFormat="1" ht="6.75" customHeight="1" x14ac:dyDescent="0.25">
      <c r="A9" s="52">
        <v>9</v>
      </c>
      <c r="B9" s="75" t="s">
        <v>123</v>
      </c>
      <c r="C9" s="75" t="s">
        <v>175</v>
      </c>
      <c r="D9" s="71" t="s">
        <v>128</v>
      </c>
      <c r="E9" s="71" t="s">
        <v>176</v>
      </c>
      <c r="F9" s="71" t="s">
        <v>189</v>
      </c>
      <c r="G9" s="49" t="s">
        <v>1</v>
      </c>
      <c r="H9" s="49" t="s">
        <v>1</v>
      </c>
      <c r="I9" s="49" t="s">
        <v>1</v>
      </c>
      <c r="J9" s="49" t="s">
        <v>1</v>
      </c>
      <c r="K9" s="49" t="s">
        <v>1</v>
      </c>
      <c r="L9" s="23" t="str">
        <f t="shared" si="12"/>
        <v>Programáticos</v>
      </c>
      <c r="M9" s="23" t="str">
        <f t="shared" si="13"/>
        <v>Necessidades</v>
      </c>
      <c r="N9" s="23" t="str">
        <f t="shared" si="14"/>
        <v>Requisitadas</v>
      </c>
      <c r="O9" s="23" t="str">
        <f t="shared" si="15"/>
        <v>É Requisito Elétrico</v>
      </c>
      <c r="P9" s="24" t="s">
        <v>104</v>
      </c>
      <c r="Q9" s="24" t="s">
        <v>210</v>
      </c>
      <c r="R9" s="24" t="s">
        <v>204</v>
      </c>
      <c r="S9" s="73" t="s">
        <v>1</v>
      </c>
      <c r="T9" s="24" t="str">
        <f t="shared" si="16"/>
        <v>Programáticos</v>
      </c>
      <c r="U9" s="24" t="str">
        <f t="shared" si="17"/>
        <v>Necessidades</v>
      </c>
      <c r="V9" s="24" t="str">
        <f t="shared" si="18"/>
        <v>Requisitadas</v>
      </c>
      <c r="W9" s="24" t="s">
        <v>133</v>
      </c>
      <c r="X9" s="51" t="str">
        <f t="shared" si="19"/>
        <v>Key-REQ-9</v>
      </c>
      <c r="Y9" s="60" t="s">
        <v>1</v>
      </c>
      <c r="Z9" s="60" t="s">
        <v>1</v>
      </c>
      <c r="AA9" s="60" t="s">
        <v>1</v>
      </c>
      <c r="AB9" s="60" t="s">
        <v>1</v>
      </c>
      <c r="AC9" s="24" t="s">
        <v>124</v>
      </c>
      <c r="AD9" s="24" t="s">
        <v>1</v>
      </c>
    </row>
    <row r="10" spans="1:30" s="57" customFormat="1" ht="6.75" customHeight="1" x14ac:dyDescent="0.25">
      <c r="A10" s="52">
        <v>10</v>
      </c>
      <c r="B10" s="75" t="s">
        <v>123</v>
      </c>
      <c r="C10" s="75" t="s">
        <v>175</v>
      </c>
      <c r="D10" s="71" t="s">
        <v>128</v>
      </c>
      <c r="E10" s="71" t="s">
        <v>176</v>
      </c>
      <c r="F10" s="71" t="s">
        <v>190</v>
      </c>
      <c r="G10" s="49" t="s">
        <v>1</v>
      </c>
      <c r="H10" s="49" t="s">
        <v>1</v>
      </c>
      <c r="I10" s="49" t="s">
        <v>1</v>
      </c>
      <c r="J10" s="49" t="s">
        <v>1</v>
      </c>
      <c r="K10" s="49" t="s">
        <v>1</v>
      </c>
      <c r="L10" s="23" t="str">
        <f t="shared" si="12"/>
        <v>Programáticos</v>
      </c>
      <c r="M10" s="23" t="str">
        <f t="shared" si="13"/>
        <v>Necessidades</v>
      </c>
      <c r="N10" s="23" t="str">
        <f t="shared" si="14"/>
        <v>Requisitadas</v>
      </c>
      <c r="O10" s="23" t="str">
        <f t="shared" si="15"/>
        <v>É Requisito Incêndio</v>
      </c>
      <c r="P10" s="24" t="s">
        <v>104</v>
      </c>
      <c r="Q10" s="24" t="s">
        <v>210</v>
      </c>
      <c r="R10" s="24" t="s">
        <v>204</v>
      </c>
      <c r="S10" s="73" t="s">
        <v>1</v>
      </c>
      <c r="T10" s="24" t="str">
        <f t="shared" si="16"/>
        <v>Programáticos</v>
      </c>
      <c r="U10" s="24" t="str">
        <f t="shared" si="17"/>
        <v>Necessidades</v>
      </c>
      <c r="V10" s="24" t="str">
        <f t="shared" si="18"/>
        <v>Requisitadas</v>
      </c>
      <c r="W10" s="24" t="s">
        <v>133</v>
      </c>
      <c r="X10" s="51" t="str">
        <f t="shared" si="19"/>
        <v>Key-REQ-10</v>
      </c>
      <c r="Y10" s="60" t="s">
        <v>1</v>
      </c>
      <c r="Z10" s="60" t="s">
        <v>1</v>
      </c>
      <c r="AA10" s="60" t="s">
        <v>1</v>
      </c>
      <c r="AB10" s="60" t="s">
        <v>1</v>
      </c>
      <c r="AC10" s="24" t="s">
        <v>124</v>
      </c>
      <c r="AD10" s="24" t="s">
        <v>1</v>
      </c>
    </row>
    <row r="11" spans="1:30" s="57" customFormat="1" ht="6.75" customHeight="1" x14ac:dyDescent="0.25">
      <c r="A11" s="52">
        <v>11</v>
      </c>
      <c r="B11" s="75" t="s">
        <v>123</v>
      </c>
      <c r="C11" s="75" t="s">
        <v>175</v>
      </c>
      <c r="D11" s="71" t="s">
        <v>128</v>
      </c>
      <c r="E11" s="71" t="s">
        <v>176</v>
      </c>
      <c r="F11" s="71" t="s">
        <v>191</v>
      </c>
      <c r="G11" s="49" t="s">
        <v>1</v>
      </c>
      <c r="H11" s="49" t="s">
        <v>1</v>
      </c>
      <c r="I11" s="49" t="s">
        <v>1</v>
      </c>
      <c r="J11" s="49" t="s">
        <v>1</v>
      </c>
      <c r="K11" s="49" t="s">
        <v>1</v>
      </c>
      <c r="L11" s="23" t="str">
        <f t="shared" si="12"/>
        <v>Programáticos</v>
      </c>
      <c r="M11" s="23" t="str">
        <f t="shared" si="13"/>
        <v>Necessidades</v>
      </c>
      <c r="N11" s="23" t="str">
        <f t="shared" si="14"/>
        <v>Requisitadas</v>
      </c>
      <c r="O11" s="23" t="str">
        <f t="shared" si="15"/>
        <v>É Requisito Sanitário</v>
      </c>
      <c r="P11" s="24" t="s">
        <v>104</v>
      </c>
      <c r="Q11" s="24" t="s">
        <v>210</v>
      </c>
      <c r="R11" s="24" t="s">
        <v>204</v>
      </c>
      <c r="S11" s="73" t="s">
        <v>1</v>
      </c>
      <c r="T11" s="24" t="str">
        <f t="shared" si="16"/>
        <v>Programáticos</v>
      </c>
      <c r="U11" s="24" t="str">
        <f t="shared" si="17"/>
        <v>Necessidades</v>
      </c>
      <c r="V11" s="24" t="str">
        <f t="shared" si="18"/>
        <v>Requisitadas</v>
      </c>
      <c r="W11" s="24" t="s">
        <v>133</v>
      </c>
      <c r="X11" s="51" t="str">
        <f t="shared" si="19"/>
        <v>Key-REQ-11</v>
      </c>
      <c r="Y11" s="60" t="s">
        <v>1</v>
      </c>
      <c r="Z11" s="60" t="s">
        <v>1</v>
      </c>
      <c r="AA11" s="60" t="s">
        <v>1</v>
      </c>
      <c r="AB11" s="60" t="s">
        <v>1</v>
      </c>
      <c r="AC11" s="24" t="s">
        <v>124</v>
      </c>
      <c r="AD11" s="24" t="s">
        <v>1</v>
      </c>
    </row>
    <row r="12" spans="1:30" s="57" customFormat="1" ht="6.75" customHeight="1" x14ac:dyDescent="0.25">
      <c r="A12" s="52">
        <v>12</v>
      </c>
      <c r="B12" s="75" t="s">
        <v>123</v>
      </c>
      <c r="C12" s="75" t="s">
        <v>175</v>
      </c>
      <c r="D12" s="71" t="s">
        <v>128</v>
      </c>
      <c r="E12" s="71" t="s">
        <v>176</v>
      </c>
      <c r="F12" s="71" t="s">
        <v>192</v>
      </c>
      <c r="G12" s="49" t="s">
        <v>1</v>
      </c>
      <c r="H12" s="49" t="s">
        <v>1</v>
      </c>
      <c r="I12" s="49" t="s">
        <v>1</v>
      </c>
      <c r="J12" s="49" t="s">
        <v>1</v>
      </c>
      <c r="K12" s="49" t="s">
        <v>1</v>
      </c>
      <c r="L12" s="23" t="str">
        <f t="shared" si="8"/>
        <v>Programáticos</v>
      </c>
      <c r="M12" s="23" t="str">
        <f t="shared" si="8"/>
        <v>Necessidades</v>
      </c>
      <c r="N12" s="23" t="str">
        <f t="shared" si="9"/>
        <v>Requisitadas</v>
      </c>
      <c r="O12" s="23" t="str">
        <f t="shared" si="9"/>
        <v>É Requisito Lógico</v>
      </c>
      <c r="P12" s="24" t="s">
        <v>104</v>
      </c>
      <c r="Q12" s="24" t="s">
        <v>210</v>
      </c>
      <c r="R12" s="24" t="s">
        <v>204</v>
      </c>
      <c r="S12" s="73" t="s">
        <v>1</v>
      </c>
      <c r="T12" s="24" t="str">
        <f t="shared" si="10"/>
        <v>Programáticos</v>
      </c>
      <c r="U12" s="24" t="str">
        <f t="shared" si="10"/>
        <v>Necessidades</v>
      </c>
      <c r="V12" s="24" t="str">
        <f t="shared" si="10"/>
        <v>Requisitadas</v>
      </c>
      <c r="W12" s="24" t="s">
        <v>133</v>
      </c>
      <c r="X12" s="51" t="str">
        <f t="shared" si="11"/>
        <v>Key-REQ-12</v>
      </c>
      <c r="Y12" s="60" t="s">
        <v>1</v>
      </c>
      <c r="Z12" s="60" t="s">
        <v>1</v>
      </c>
      <c r="AA12" s="60" t="s">
        <v>1</v>
      </c>
      <c r="AB12" s="60" t="s">
        <v>1</v>
      </c>
      <c r="AC12" s="24" t="s">
        <v>124</v>
      </c>
      <c r="AD12" s="24" t="s">
        <v>1</v>
      </c>
    </row>
    <row r="13" spans="1:30" s="57" customFormat="1" ht="6.75" customHeight="1" x14ac:dyDescent="0.25">
      <c r="A13" s="52">
        <v>13</v>
      </c>
      <c r="B13" s="75" t="s">
        <v>74</v>
      </c>
      <c r="C13" s="75" t="s">
        <v>173</v>
      </c>
      <c r="D13" s="71" t="s">
        <v>135</v>
      </c>
      <c r="E13" s="71" t="s">
        <v>177</v>
      </c>
      <c r="F13" s="71" t="s">
        <v>178</v>
      </c>
      <c r="G13" s="49" t="s">
        <v>1</v>
      </c>
      <c r="H13" s="49" t="s">
        <v>1</v>
      </c>
      <c r="I13" s="49" t="s">
        <v>1</v>
      </c>
      <c r="J13" s="49" t="s">
        <v>1</v>
      </c>
      <c r="K13" s="49" t="s">
        <v>1</v>
      </c>
      <c r="L13" s="23" t="str">
        <f t="shared" si="8"/>
        <v>De.Necessidades</v>
      </c>
      <c r="M13" s="23" t="str">
        <f t="shared" si="8"/>
        <v>Necessidades.Projetuais</v>
      </c>
      <c r="N13" s="23" t="str">
        <f t="shared" si="9"/>
        <v>Atendidas</v>
      </c>
      <c r="O13" s="23" t="str">
        <f t="shared" si="9"/>
        <v>Necessidade Geral</v>
      </c>
      <c r="P13" s="24" t="s">
        <v>132</v>
      </c>
      <c r="Q13" s="24" t="s">
        <v>211</v>
      </c>
      <c r="R13" s="24" t="s">
        <v>205</v>
      </c>
      <c r="S13" s="73" t="s">
        <v>1</v>
      </c>
      <c r="T13" s="24" t="str">
        <f t="shared" si="10"/>
        <v>De Necessidades</v>
      </c>
      <c r="U13" s="24" t="str">
        <f t="shared" si="10"/>
        <v>Necessidades Projetuais</v>
      </c>
      <c r="V13" s="24" t="str">
        <f t="shared" si="10"/>
        <v>Atendidas</v>
      </c>
      <c r="W13" s="24" t="s">
        <v>133</v>
      </c>
      <c r="X13" s="51" t="str">
        <f t="shared" ref="X13:X14" si="20">CONCATENATE("Key-REQ-",A13)</f>
        <v>Key-REQ-13</v>
      </c>
      <c r="Y13" s="60" t="s">
        <v>1</v>
      </c>
      <c r="Z13" s="60" t="s">
        <v>1</v>
      </c>
      <c r="AA13" s="60" t="s">
        <v>1</v>
      </c>
      <c r="AB13" s="60" t="s">
        <v>1</v>
      </c>
      <c r="AC13" s="24" t="s">
        <v>124</v>
      </c>
      <c r="AD13" s="24" t="s">
        <v>1</v>
      </c>
    </row>
    <row r="14" spans="1:30" s="57" customFormat="1" ht="6.75" customHeight="1" x14ac:dyDescent="0.25">
      <c r="A14" s="52">
        <v>14</v>
      </c>
      <c r="B14" s="75" t="s">
        <v>74</v>
      </c>
      <c r="C14" s="75" t="s">
        <v>173</v>
      </c>
      <c r="D14" s="71" t="s">
        <v>135</v>
      </c>
      <c r="E14" s="71" t="s">
        <v>177</v>
      </c>
      <c r="F14" s="71" t="s">
        <v>179</v>
      </c>
      <c r="G14" s="49" t="s">
        <v>1</v>
      </c>
      <c r="H14" s="49" t="s">
        <v>1</v>
      </c>
      <c r="I14" s="49" t="s">
        <v>1</v>
      </c>
      <c r="J14" s="49" t="s">
        <v>1</v>
      </c>
      <c r="K14" s="49" t="s">
        <v>1</v>
      </c>
      <c r="L14" s="23" t="str">
        <f t="shared" si="8"/>
        <v>De.Necessidades</v>
      </c>
      <c r="M14" s="23" t="str">
        <f t="shared" si="8"/>
        <v>Necessidades.Projetuais</v>
      </c>
      <c r="N14" s="23" t="str">
        <f t="shared" si="9"/>
        <v>Atendidas</v>
      </c>
      <c r="O14" s="23" t="str">
        <f t="shared" si="9"/>
        <v>Necessidade Pessoal</v>
      </c>
      <c r="P14" s="24" t="s">
        <v>132</v>
      </c>
      <c r="Q14" s="24" t="s">
        <v>211</v>
      </c>
      <c r="R14" s="24" t="s">
        <v>205</v>
      </c>
      <c r="S14" s="73" t="s">
        <v>1</v>
      </c>
      <c r="T14" s="24" t="str">
        <f t="shared" si="10"/>
        <v>De Necessidades</v>
      </c>
      <c r="U14" s="24" t="str">
        <f t="shared" si="10"/>
        <v>Necessidades Projetuais</v>
      </c>
      <c r="V14" s="24" t="str">
        <f t="shared" si="10"/>
        <v>Atendidas</v>
      </c>
      <c r="W14" s="24" t="s">
        <v>133</v>
      </c>
      <c r="X14" s="51" t="str">
        <f t="shared" si="20"/>
        <v>Key-REQ-14</v>
      </c>
      <c r="Y14" s="60" t="s">
        <v>1</v>
      </c>
      <c r="Z14" s="60" t="s">
        <v>1</v>
      </c>
      <c r="AA14" s="60" t="s">
        <v>1</v>
      </c>
      <c r="AB14" s="60" t="s">
        <v>1</v>
      </c>
      <c r="AC14" s="24" t="s">
        <v>124</v>
      </c>
      <c r="AD14" s="24" t="s">
        <v>1</v>
      </c>
    </row>
    <row r="15" spans="1:30" s="57" customFormat="1" ht="6.75" customHeight="1" x14ac:dyDescent="0.25">
      <c r="A15" s="52">
        <v>15</v>
      </c>
      <c r="B15" s="75" t="s">
        <v>74</v>
      </c>
      <c r="C15" s="75" t="s">
        <v>173</v>
      </c>
      <c r="D15" s="71" t="s">
        <v>135</v>
      </c>
      <c r="E15" s="71" t="s">
        <v>177</v>
      </c>
      <c r="F15" s="71" t="s">
        <v>129</v>
      </c>
      <c r="G15" s="49" t="s">
        <v>1</v>
      </c>
      <c r="H15" s="49" t="s">
        <v>1</v>
      </c>
      <c r="I15" s="49" t="s">
        <v>1</v>
      </c>
      <c r="J15" s="49" t="s">
        <v>1</v>
      </c>
      <c r="K15" s="49" t="s">
        <v>1</v>
      </c>
      <c r="L15" s="23" t="str">
        <f t="shared" ref="L15:L18" si="21">CONCATENATE("", C15)</f>
        <v>De.Necessidades</v>
      </c>
      <c r="M15" s="23" t="str">
        <f t="shared" ref="M15:M18" si="22">CONCATENATE("", D15)</f>
        <v>Necessidades.Projetuais</v>
      </c>
      <c r="N15" s="23" t="str">
        <f t="shared" ref="N15:N18" si="23">(SUBSTITUTE(SUBSTITUTE(CONCATENATE("",E15),"."," ")," De "," de "))</f>
        <v>Atendidas</v>
      </c>
      <c r="O15" s="23" t="str">
        <f t="shared" ref="O15:O18" si="24">(SUBSTITUTE(SUBSTITUTE(CONCATENATE("",F15),"."," ")," De "," de "))</f>
        <v>Necessidade Espacial</v>
      </c>
      <c r="P15" s="24" t="s">
        <v>132</v>
      </c>
      <c r="Q15" s="24" t="s">
        <v>211</v>
      </c>
      <c r="R15" s="24" t="s">
        <v>205</v>
      </c>
      <c r="S15" s="73" t="s">
        <v>1</v>
      </c>
      <c r="T15" s="24" t="str">
        <f t="shared" ref="T15:T18" si="25">SUBSTITUTE(C15, ".", " ")</f>
        <v>De Necessidades</v>
      </c>
      <c r="U15" s="24" t="str">
        <f t="shared" ref="U15:U18" si="26">SUBSTITUTE(D15, ".", " ")</f>
        <v>Necessidades Projetuais</v>
      </c>
      <c r="V15" s="24" t="str">
        <f t="shared" ref="V15:V23" si="27">SUBSTITUTE(E15, ".", " ")</f>
        <v>Atendidas</v>
      </c>
      <c r="W15" s="24" t="s">
        <v>133</v>
      </c>
      <c r="X15" s="51" t="str">
        <f t="shared" si="11"/>
        <v>Key-REQ-15</v>
      </c>
      <c r="Y15" s="60" t="s">
        <v>1</v>
      </c>
      <c r="Z15" s="60" t="s">
        <v>1</v>
      </c>
      <c r="AA15" s="60" t="s">
        <v>1</v>
      </c>
      <c r="AB15" s="60" t="s">
        <v>1</v>
      </c>
      <c r="AC15" s="24" t="s">
        <v>124</v>
      </c>
      <c r="AD15" s="24" t="s">
        <v>1</v>
      </c>
    </row>
    <row r="16" spans="1:30" s="57" customFormat="1" ht="6.75" customHeight="1" x14ac:dyDescent="0.25">
      <c r="A16" s="52">
        <v>16</v>
      </c>
      <c r="B16" s="75" t="s">
        <v>74</v>
      </c>
      <c r="C16" s="75" t="s">
        <v>173</v>
      </c>
      <c r="D16" s="71" t="s">
        <v>135</v>
      </c>
      <c r="E16" s="71" t="s">
        <v>177</v>
      </c>
      <c r="F16" s="71" t="s">
        <v>130</v>
      </c>
      <c r="G16" s="49" t="s">
        <v>1</v>
      </c>
      <c r="H16" s="49" t="s">
        <v>1</v>
      </c>
      <c r="I16" s="49" t="s">
        <v>1</v>
      </c>
      <c r="J16" s="49" t="s">
        <v>1</v>
      </c>
      <c r="K16" s="49" t="s">
        <v>1</v>
      </c>
      <c r="L16" s="23" t="str">
        <f t="shared" si="21"/>
        <v>De.Necessidades</v>
      </c>
      <c r="M16" s="23" t="str">
        <f t="shared" si="22"/>
        <v>Necessidades.Projetuais</v>
      </c>
      <c r="N16" s="23" t="str">
        <f t="shared" si="23"/>
        <v>Atendidas</v>
      </c>
      <c r="O16" s="23" t="str">
        <f t="shared" si="24"/>
        <v>Necessidade Mobiliário</v>
      </c>
      <c r="P16" s="24" t="s">
        <v>132</v>
      </c>
      <c r="Q16" s="24" t="s">
        <v>211</v>
      </c>
      <c r="R16" s="24" t="s">
        <v>205</v>
      </c>
      <c r="S16" s="73" t="s">
        <v>1</v>
      </c>
      <c r="T16" s="24" t="str">
        <f t="shared" si="25"/>
        <v>De Necessidades</v>
      </c>
      <c r="U16" s="24" t="str">
        <f t="shared" si="26"/>
        <v>Necessidades Projetuais</v>
      </c>
      <c r="V16" s="24" t="str">
        <f t="shared" si="27"/>
        <v>Atendidas</v>
      </c>
      <c r="W16" s="24" t="s">
        <v>133</v>
      </c>
      <c r="X16" s="51" t="str">
        <f t="shared" si="11"/>
        <v>Key-REQ-16</v>
      </c>
      <c r="Y16" s="60" t="s">
        <v>1</v>
      </c>
      <c r="Z16" s="60" t="s">
        <v>1</v>
      </c>
      <c r="AA16" s="60" t="s">
        <v>1</v>
      </c>
      <c r="AB16" s="60" t="s">
        <v>1</v>
      </c>
      <c r="AC16" s="24" t="s">
        <v>124</v>
      </c>
      <c r="AD16" s="24" t="s">
        <v>1</v>
      </c>
    </row>
    <row r="17" spans="1:30" s="57" customFormat="1" ht="6.75" customHeight="1" x14ac:dyDescent="0.25">
      <c r="A17" s="52">
        <v>17</v>
      </c>
      <c r="B17" s="75" t="s">
        <v>74</v>
      </c>
      <c r="C17" s="75" t="s">
        <v>173</v>
      </c>
      <c r="D17" s="71" t="s">
        <v>135</v>
      </c>
      <c r="E17" s="71" t="s">
        <v>177</v>
      </c>
      <c r="F17" s="71" t="s">
        <v>131</v>
      </c>
      <c r="G17" s="49" t="s">
        <v>1</v>
      </c>
      <c r="H17" s="49" t="s">
        <v>1</v>
      </c>
      <c r="I17" s="49" t="s">
        <v>1</v>
      </c>
      <c r="J17" s="49" t="s">
        <v>1</v>
      </c>
      <c r="K17" s="49" t="s">
        <v>1</v>
      </c>
      <c r="L17" s="23" t="str">
        <f t="shared" si="21"/>
        <v>De.Necessidades</v>
      </c>
      <c r="M17" s="23" t="str">
        <f t="shared" si="22"/>
        <v>Necessidades.Projetuais</v>
      </c>
      <c r="N17" s="23" t="str">
        <f t="shared" si="23"/>
        <v>Atendidas</v>
      </c>
      <c r="O17" s="23" t="str">
        <f t="shared" si="24"/>
        <v>Necessidade Equipamento</v>
      </c>
      <c r="P17" s="24" t="s">
        <v>132</v>
      </c>
      <c r="Q17" s="24" t="s">
        <v>211</v>
      </c>
      <c r="R17" s="24" t="s">
        <v>205</v>
      </c>
      <c r="S17" s="73" t="s">
        <v>1</v>
      </c>
      <c r="T17" s="24" t="str">
        <f t="shared" si="25"/>
        <v>De Necessidades</v>
      </c>
      <c r="U17" s="24" t="str">
        <f t="shared" si="26"/>
        <v>Necessidades Projetuais</v>
      </c>
      <c r="V17" s="24" t="str">
        <f t="shared" si="27"/>
        <v>Atendidas</v>
      </c>
      <c r="W17" s="24" t="s">
        <v>133</v>
      </c>
      <c r="X17" s="51" t="str">
        <f t="shared" si="11"/>
        <v>Key-REQ-17</v>
      </c>
      <c r="Y17" s="60" t="s">
        <v>1</v>
      </c>
      <c r="Z17" s="60" t="s">
        <v>1</v>
      </c>
      <c r="AA17" s="60" t="s">
        <v>1</v>
      </c>
      <c r="AB17" s="60" t="s">
        <v>1</v>
      </c>
      <c r="AC17" s="24" t="s">
        <v>124</v>
      </c>
      <c r="AD17" s="24" t="s">
        <v>1</v>
      </c>
    </row>
    <row r="18" spans="1:30" s="57" customFormat="1" ht="6.75" customHeight="1" x14ac:dyDescent="0.25">
      <c r="A18" s="52">
        <v>18</v>
      </c>
      <c r="B18" s="75" t="s">
        <v>74</v>
      </c>
      <c r="C18" s="75" t="s">
        <v>173</v>
      </c>
      <c r="D18" s="71" t="s">
        <v>135</v>
      </c>
      <c r="E18" s="71" t="s">
        <v>177</v>
      </c>
      <c r="F18" s="71" t="s">
        <v>193</v>
      </c>
      <c r="G18" s="49" t="s">
        <v>1</v>
      </c>
      <c r="H18" s="49" t="s">
        <v>1</v>
      </c>
      <c r="I18" s="49" t="s">
        <v>1</v>
      </c>
      <c r="J18" s="49" t="s">
        <v>1</v>
      </c>
      <c r="K18" s="49" t="s">
        <v>1</v>
      </c>
      <c r="L18" s="23" t="str">
        <f t="shared" si="21"/>
        <v>De.Necessidades</v>
      </c>
      <c r="M18" s="23" t="str">
        <f t="shared" si="22"/>
        <v>Necessidades.Projetuais</v>
      </c>
      <c r="N18" s="23" t="str">
        <f t="shared" si="23"/>
        <v>Atendidas</v>
      </c>
      <c r="O18" s="23" t="str">
        <f t="shared" si="24"/>
        <v>Necessidade Avac</v>
      </c>
      <c r="P18" s="24" t="s">
        <v>132</v>
      </c>
      <c r="Q18" s="24" t="s">
        <v>211</v>
      </c>
      <c r="R18" s="24" t="s">
        <v>205</v>
      </c>
      <c r="S18" s="73" t="s">
        <v>1</v>
      </c>
      <c r="T18" s="24" t="str">
        <f t="shared" si="25"/>
        <v>De Necessidades</v>
      </c>
      <c r="U18" s="24" t="str">
        <f t="shared" si="26"/>
        <v>Necessidades Projetuais</v>
      </c>
      <c r="V18" s="24" t="str">
        <f t="shared" si="27"/>
        <v>Atendidas</v>
      </c>
      <c r="W18" s="24" t="s">
        <v>133</v>
      </c>
      <c r="X18" s="51" t="str">
        <f t="shared" si="11"/>
        <v>Key-REQ-18</v>
      </c>
      <c r="Y18" s="60" t="s">
        <v>1</v>
      </c>
      <c r="Z18" s="60" t="s">
        <v>1</v>
      </c>
      <c r="AA18" s="60" t="s">
        <v>1</v>
      </c>
      <c r="AB18" s="60" t="s">
        <v>1</v>
      </c>
      <c r="AC18" s="24" t="s">
        <v>124</v>
      </c>
      <c r="AD18" s="24" t="s">
        <v>1</v>
      </c>
    </row>
    <row r="19" spans="1:30" s="57" customFormat="1" ht="6.75" customHeight="1" x14ac:dyDescent="0.25">
      <c r="A19" s="52">
        <v>19</v>
      </c>
      <c r="B19" s="75" t="s">
        <v>74</v>
      </c>
      <c r="C19" s="75" t="s">
        <v>173</v>
      </c>
      <c r="D19" s="71" t="s">
        <v>135</v>
      </c>
      <c r="E19" s="71" t="s">
        <v>177</v>
      </c>
      <c r="F19" s="71" t="s">
        <v>195</v>
      </c>
      <c r="G19" s="49" t="s">
        <v>1</v>
      </c>
      <c r="H19" s="49" t="s">
        <v>1</v>
      </c>
      <c r="I19" s="49" t="s">
        <v>1</v>
      </c>
      <c r="J19" s="49" t="s">
        <v>1</v>
      </c>
      <c r="K19" s="49" t="s">
        <v>1</v>
      </c>
      <c r="L19" s="23" t="str">
        <f t="shared" ref="L19:L21" si="28">CONCATENATE("", C19)</f>
        <v>De.Necessidades</v>
      </c>
      <c r="M19" s="23" t="str">
        <f t="shared" ref="M19:M21" si="29">CONCATENATE("", D19)</f>
        <v>Necessidades.Projetuais</v>
      </c>
      <c r="N19" s="23" t="str">
        <f t="shared" ref="N19:N21" si="30">(SUBSTITUTE(SUBSTITUTE(CONCATENATE("",E19),"."," ")," De "," de "))</f>
        <v>Atendidas</v>
      </c>
      <c r="O19" s="23" t="str">
        <f t="shared" ref="O19:O21" si="31">(SUBSTITUTE(SUBSTITUTE(CONCATENATE("",F19),"."," ")," De "," de "))</f>
        <v>Necessidade Hidráulica</v>
      </c>
      <c r="P19" s="24" t="s">
        <v>132</v>
      </c>
      <c r="Q19" s="24" t="s">
        <v>211</v>
      </c>
      <c r="R19" s="24" t="s">
        <v>205</v>
      </c>
      <c r="S19" s="73" t="s">
        <v>1</v>
      </c>
      <c r="T19" s="24" t="str">
        <f t="shared" ref="T19:T21" si="32">SUBSTITUTE(C19, ".", " ")</f>
        <v>De Necessidades</v>
      </c>
      <c r="U19" s="24" t="str">
        <f t="shared" ref="U19:U21" si="33">SUBSTITUTE(D19, ".", " ")</f>
        <v>Necessidades Projetuais</v>
      </c>
      <c r="V19" s="24" t="str">
        <f t="shared" si="27"/>
        <v>Atendidas</v>
      </c>
      <c r="W19" s="24" t="s">
        <v>133</v>
      </c>
      <c r="X19" s="51" t="str">
        <f t="shared" ref="X19:X28" si="34">CONCATENATE("Key-REQ-",A19)</f>
        <v>Key-REQ-19</v>
      </c>
      <c r="Y19" s="60" t="s">
        <v>1</v>
      </c>
      <c r="Z19" s="60" t="s">
        <v>1</v>
      </c>
      <c r="AA19" s="60" t="s">
        <v>1</v>
      </c>
      <c r="AB19" s="60" t="s">
        <v>1</v>
      </c>
      <c r="AC19" s="24" t="s">
        <v>124</v>
      </c>
      <c r="AD19" s="24" t="s">
        <v>1</v>
      </c>
    </row>
    <row r="20" spans="1:30" s="57" customFormat="1" ht="6.75" customHeight="1" x14ac:dyDescent="0.25">
      <c r="A20" s="52">
        <v>20</v>
      </c>
      <c r="B20" s="75" t="s">
        <v>74</v>
      </c>
      <c r="C20" s="75" t="s">
        <v>173</v>
      </c>
      <c r="D20" s="71" t="s">
        <v>135</v>
      </c>
      <c r="E20" s="71" t="s">
        <v>177</v>
      </c>
      <c r="F20" s="71" t="s">
        <v>196</v>
      </c>
      <c r="G20" s="49" t="s">
        <v>1</v>
      </c>
      <c r="H20" s="49" t="s">
        <v>1</v>
      </c>
      <c r="I20" s="49" t="s">
        <v>1</v>
      </c>
      <c r="J20" s="49" t="s">
        <v>1</v>
      </c>
      <c r="K20" s="49" t="s">
        <v>1</v>
      </c>
      <c r="L20" s="23" t="str">
        <f t="shared" si="28"/>
        <v>De.Necessidades</v>
      </c>
      <c r="M20" s="23" t="str">
        <f t="shared" si="29"/>
        <v>Necessidades.Projetuais</v>
      </c>
      <c r="N20" s="23" t="str">
        <f t="shared" si="30"/>
        <v>Atendidas</v>
      </c>
      <c r="O20" s="23" t="str">
        <f t="shared" si="31"/>
        <v>Necessidade Elétrica</v>
      </c>
      <c r="P20" s="24" t="s">
        <v>132</v>
      </c>
      <c r="Q20" s="24" t="s">
        <v>211</v>
      </c>
      <c r="R20" s="24" t="s">
        <v>205</v>
      </c>
      <c r="S20" s="73" t="s">
        <v>1</v>
      </c>
      <c r="T20" s="24" t="str">
        <f t="shared" si="32"/>
        <v>De Necessidades</v>
      </c>
      <c r="U20" s="24" t="str">
        <f t="shared" si="33"/>
        <v>Necessidades Projetuais</v>
      </c>
      <c r="V20" s="24" t="str">
        <f t="shared" si="27"/>
        <v>Atendidas</v>
      </c>
      <c r="W20" s="24" t="s">
        <v>133</v>
      </c>
      <c r="X20" s="51" t="str">
        <f t="shared" si="34"/>
        <v>Key-REQ-20</v>
      </c>
      <c r="Y20" s="60" t="s">
        <v>1</v>
      </c>
      <c r="Z20" s="60" t="s">
        <v>1</v>
      </c>
      <c r="AA20" s="60" t="s">
        <v>1</v>
      </c>
      <c r="AB20" s="60" t="s">
        <v>1</v>
      </c>
      <c r="AC20" s="24" t="s">
        <v>124</v>
      </c>
      <c r="AD20" s="24" t="s">
        <v>1</v>
      </c>
    </row>
    <row r="21" spans="1:30" s="57" customFormat="1" ht="6.75" customHeight="1" x14ac:dyDescent="0.25">
      <c r="A21" s="52">
        <v>21</v>
      </c>
      <c r="B21" s="75" t="s">
        <v>74</v>
      </c>
      <c r="C21" s="75" t="s">
        <v>173</v>
      </c>
      <c r="D21" s="71" t="s">
        <v>135</v>
      </c>
      <c r="E21" s="71" t="s">
        <v>177</v>
      </c>
      <c r="F21" s="71" t="s">
        <v>194</v>
      </c>
      <c r="G21" s="49" t="s">
        <v>1</v>
      </c>
      <c r="H21" s="49" t="s">
        <v>1</v>
      </c>
      <c r="I21" s="49" t="s">
        <v>1</v>
      </c>
      <c r="J21" s="49" t="s">
        <v>1</v>
      </c>
      <c r="K21" s="49" t="s">
        <v>1</v>
      </c>
      <c r="L21" s="23" t="str">
        <f t="shared" si="28"/>
        <v>De.Necessidades</v>
      </c>
      <c r="M21" s="23" t="str">
        <f t="shared" si="29"/>
        <v>Necessidades.Projetuais</v>
      </c>
      <c r="N21" s="23" t="str">
        <f t="shared" si="30"/>
        <v>Atendidas</v>
      </c>
      <c r="O21" s="23" t="str">
        <f t="shared" si="31"/>
        <v>Necessidade Incêndio</v>
      </c>
      <c r="P21" s="24" t="s">
        <v>132</v>
      </c>
      <c r="Q21" s="24" t="s">
        <v>211</v>
      </c>
      <c r="R21" s="24" t="s">
        <v>205</v>
      </c>
      <c r="S21" s="73" t="s">
        <v>1</v>
      </c>
      <c r="T21" s="24" t="str">
        <f t="shared" si="32"/>
        <v>De Necessidades</v>
      </c>
      <c r="U21" s="24" t="str">
        <f t="shared" si="33"/>
        <v>Necessidades Projetuais</v>
      </c>
      <c r="V21" s="24" t="str">
        <f t="shared" si="27"/>
        <v>Atendidas</v>
      </c>
      <c r="W21" s="24" t="s">
        <v>133</v>
      </c>
      <c r="X21" s="51" t="str">
        <f t="shared" si="34"/>
        <v>Key-REQ-21</v>
      </c>
      <c r="Y21" s="60" t="s">
        <v>1</v>
      </c>
      <c r="Z21" s="60" t="s">
        <v>1</v>
      </c>
      <c r="AA21" s="60" t="s">
        <v>1</v>
      </c>
      <c r="AB21" s="60" t="s">
        <v>1</v>
      </c>
      <c r="AC21" s="24" t="s">
        <v>124</v>
      </c>
      <c r="AD21" s="24" t="s">
        <v>1</v>
      </c>
    </row>
    <row r="22" spans="1:30" s="57" customFormat="1" ht="6.75" customHeight="1" x14ac:dyDescent="0.25">
      <c r="A22" s="52">
        <v>22</v>
      </c>
      <c r="B22" s="75" t="s">
        <v>74</v>
      </c>
      <c r="C22" s="75" t="s">
        <v>173</v>
      </c>
      <c r="D22" s="71" t="s">
        <v>135</v>
      </c>
      <c r="E22" s="71" t="s">
        <v>177</v>
      </c>
      <c r="F22" s="71" t="s">
        <v>197</v>
      </c>
      <c r="G22" s="49" t="s">
        <v>1</v>
      </c>
      <c r="H22" s="49" t="s">
        <v>1</v>
      </c>
      <c r="I22" s="49" t="s">
        <v>1</v>
      </c>
      <c r="J22" s="49" t="s">
        <v>1</v>
      </c>
      <c r="K22" s="49" t="s">
        <v>1</v>
      </c>
      <c r="L22" s="23" t="str">
        <f t="shared" ref="L22:M28" si="35">CONCATENATE("", C22)</f>
        <v>De.Necessidades</v>
      </c>
      <c r="M22" s="23" t="str">
        <f t="shared" ref="M22:M23" si="36">CONCATENATE("", D22)</f>
        <v>Necessidades.Projetuais</v>
      </c>
      <c r="N22" s="23" t="str">
        <f t="shared" ref="N22:O28" si="37">(SUBSTITUTE(SUBSTITUTE(CONCATENATE("",E22),"."," ")," De "," de "))</f>
        <v>Atendidas</v>
      </c>
      <c r="O22" s="23" t="str">
        <f t="shared" ref="O22:O23" si="38">(SUBSTITUTE(SUBSTITUTE(CONCATENATE("",F22),"."," ")," De "," de "))</f>
        <v>Necessidade Sanitária</v>
      </c>
      <c r="P22" s="24" t="s">
        <v>132</v>
      </c>
      <c r="Q22" s="24" t="s">
        <v>211</v>
      </c>
      <c r="R22" s="24" t="s">
        <v>205</v>
      </c>
      <c r="S22" s="73" t="s">
        <v>1</v>
      </c>
      <c r="T22" s="24" t="str">
        <f t="shared" ref="T22:V28" si="39">SUBSTITUTE(C22, ".", " ")</f>
        <v>De Necessidades</v>
      </c>
      <c r="U22" s="24" t="str">
        <f t="shared" ref="U22:U23" si="40">SUBSTITUTE(D22, ".", " ")</f>
        <v>Necessidades Projetuais</v>
      </c>
      <c r="V22" s="24" t="str">
        <f t="shared" si="27"/>
        <v>Atendidas</v>
      </c>
      <c r="W22" s="24" t="s">
        <v>133</v>
      </c>
      <c r="X22" s="51" t="str">
        <f t="shared" si="34"/>
        <v>Key-REQ-22</v>
      </c>
      <c r="Y22" s="60" t="s">
        <v>1</v>
      </c>
      <c r="Z22" s="60" t="s">
        <v>1</v>
      </c>
      <c r="AA22" s="60" t="s">
        <v>1</v>
      </c>
      <c r="AB22" s="60" t="s">
        <v>1</v>
      </c>
      <c r="AC22" s="24" t="s">
        <v>124</v>
      </c>
      <c r="AD22" s="24" t="s">
        <v>1</v>
      </c>
    </row>
    <row r="23" spans="1:30" s="57" customFormat="1" ht="6.75" customHeight="1" x14ac:dyDescent="0.25">
      <c r="A23" s="52">
        <v>23</v>
      </c>
      <c r="B23" s="75" t="s">
        <v>74</v>
      </c>
      <c r="C23" s="75" t="s">
        <v>173</v>
      </c>
      <c r="D23" s="71" t="s">
        <v>135</v>
      </c>
      <c r="E23" s="71" t="s">
        <v>177</v>
      </c>
      <c r="F23" s="71" t="s">
        <v>198</v>
      </c>
      <c r="G23" s="49" t="s">
        <v>1</v>
      </c>
      <c r="H23" s="49" t="s">
        <v>1</v>
      </c>
      <c r="I23" s="49" t="s">
        <v>1</v>
      </c>
      <c r="J23" s="49" t="s">
        <v>1</v>
      </c>
      <c r="K23" s="49" t="s">
        <v>1</v>
      </c>
      <c r="L23" s="23" t="str">
        <f t="shared" si="35"/>
        <v>De.Necessidades</v>
      </c>
      <c r="M23" s="23" t="str">
        <f t="shared" si="36"/>
        <v>Necessidades.Projetuais</v>
      </c>
      <c r="N23" s="23" t="str">
        <f t="shared" si="37"/>
        <v>Atendidas</v>
      </c>
      <c r="O23" s="23" t="str">
        <f t="shared" si="38"/>
        <v>Necessidade Lógica</v>
      </c>
      <c r="P23" s="24" t="s">
        <v>132</v>
      </c>
      <c r="Q23" s="24" t="s">
        <v>211</v>
      </c>
      <c r="R23" s="24" t="s">
        <v>205</v>
      </c>
      <c r="S23" s="73" t="s">
        <v>1</v>
      </c>
      <c r="T23" s="24" t="str">
        <f t="shared" si="39"/>
        <v>De Necessidades</v>
      </c>
      <c r="U23" s="24" t="str">
        <f t="shared" si="40"/>
        <v>Necessidades Projetuais</v>
      </c>
      <c r="V23" s="24" t="str">
        <f t="shared" si="27"/>
        <v>Atendidas</v>
      </c>
      <c r="W23" s="24" t="s">
        <v>133</v>
      </c>
      <c r="X23" s="51" t="str">
        <f t="shared" si="34"/>
        <v>Key-REQ-23</v>
      </c>
      <c r="Y23" s="60" t="s">
        <v>1</v>
      </c>
      <c r="Z23" s="60" t="s">
        <v>1</v>
      </c>
      <c r="AA23" s="60" t="s">
        <v>1</v>
      </c>
      <c r="AB23" s="60" t="s">
        <v>1</v>
      </c>
      <c r="AC23" s="24" t="s">
        <v>124</v>
      </c>
      <c r="AD23" s="24" t="s">
        <v>1</v>
      </c>
    </row>
    <row r="24" spans="1:30" s="74" customFormat="1" ht="6.75" customHeight="1" x14ac:dyDescent="0.25">
      <c r="A24" s="52">
        <v>24</v>
      </c>
      <c r="B24" s="75" t="s">
        <v>259</v>
      </c>
      <c r="C24" s="76" t="s">
        <v>260</v>
      </c>
      <c r="D24" s="76" t="s">
        <v>261</v>
      </c>
      <c r="E24" s="76" t="s">
        <v>262</v>
      </c>
      <c r="F24" s="76" t="s">
        <v>238</v>
      </c>
      <c r="G24" s="49" t="s">
        <v>1</v>
      </c>
      <c r="H24" s="49" t="s">
        <v>1</v>
      </c>
      <c r="I24" s="49" t="s">
        <v>1</v>
      </c>
      <c r="J24" s="49" t="s">
        <v>1</v>
      </c>
      <c r="K24" s="49" t="s">
        <v>1</v>
      </c>
      <c r="L24" s="23" t="str">
        <f t="shared" si="35"/>
        <v>API.Plataforma</v>
      </c>
      <c r="M24" s="23" t="str">
        <f t="shared" si="35"/>
        <v>API.Macros</v>
      </c>
      <c r="N24" s="23" t="str">
        <f t="shared" si="37"/>
        <v>API Método</v>
      </c>
      <c r="O24" s="23" t="str">
        <f t="shared" si="37"/>
        <v>Função Auxiliar</v>
      </c>
      <c r="P24" s="24" t="s">
        <v>239</v>
      </c>
      <c r="Q24" s="24" t="s">
        <v>240</v>
      </c>
      <c r="R24" s="24" t="s">
        <v>241</v>
      </c>
      <c r="S24" s="73" t="s">
        <v>1</v>
      </c>
      <c r="T24" s="24" t="str">
        <f t="shared" si="39"/>
        <v>API Plataforma</v>
      </c>
      <c r="U24" s="24" t="str">
        <f t="shared" si="39"/>
        <v>API Macros</v>
      </c>
      <c r="V24" s="59" t="str">
        <f t="shared" si="39"/>
        <v>API Método</v>
      </c>
      <c r="W24" s="24" t="s">
        <v>133</v>
      </c>
      <c r="X24" s="51" t="str">
        <f t="shared" ref="X24:X28" si="41">CONCATENATE("Key-REQ-",A24)</f>
        <v>Key-REQ-24</v>
      </c>
      <c r="Y24" s="60" t="s">
        <v>1</v>
      </c>
      <c r="Z24" s="60" t="s">
        <v>1</v>
      </c>
      <c r="AA24" s="60" t="s">
        <v>1</v>
      </c>
      <c r="AB24" s="60" t="s">
        <v>1</v>
      </c>
      <c r="AC24" s="60" t="s">
        <v>1</v>
      </c>
      <c r="AD24" s="60" t="s">
        <v>1</v>
      </c>
    </row>
    <row r="25" spans="1:30" s="74" customFormat="1" ht="6.75" customHeight="1" x14ac:dyDescent="0.25">
      <c r="A25" s="52">
        <v>25</v>
      </c>
      <c r="B25" s="75" t="s">
        <v>259</v>
      </c>
      <c r="C25" s="76" t="s">
        <v>260</v>
      </c>
      <c r="D25" s="76" t="s">
        <v>261</v>
      </c>
      <c r="E25" s="76" t="s">
        <v>262</v>
      </c>
      <c r="F25" s="76" t="s">
        <v>242</v>
      </c>
      <c r="G25" s="49" t="s">
        <v>1</v>
      </c>
      <c r="H25" s="49" t="s">
        <v>1</v>
      </c>
      <c r="I25" s="49" t="s">
        <v>1</v>
      </c>
      <c r="J25" s="49" t="s">
        <v>1</v>
      </c>
      <c r="K25" s="49" t="s">
        <v>1</v>
      </c>
      <c r="L25" s="23" t="str">
        <f t="shared" si="35"/>
        <v>API.Plataforma</v>
      </c>
      <c r="M25" s="23" t="str">
        <f t="shared" si="35"/>
        <v>API.Macros</v>
      </c>
      <c r="N25" s="23" t="str">
        <f t="shared" si="37"/>
        <v>API Método</v>
      </c>
      <c r="O25" s="23" t="str">
        <f t="shared" si="37"/>
        <v>Função Global</v>
      </c>
      <c r="P25" s="24" t="s">
        <v>243</v>
      </c>
      <c r="Q25" s="24" t="s">
        <v>244</v>
      </c>
      <c r="R25" s="24" t="s">
        <v>245</v>
      </c>
      <c r="S25" s="73" t="s">
        <v>1</v>
      </c>
      <c r="T25" s="24" t="str">
        <f t="shared" si="39"/>
        <v>API Plataforma</v>
      </c>
      <c r="U25" s="24" t="str">
        <f t="shared" si="39"/>
        <v>API Macros</v>
      </c>
      <c r="V25" s="59" t="str">
        <f t="shared" si="39"/>
        <v>API Método</v>
      </c>
      <c r="W25" s="24" t="s">
        <v>133</v>
      </c>
      <c r="X25" s="51" t="str">
        <f t="shared" si="41"/>
        <v>Key-REQ-25</v>
      </c>
      <c r="Y25" s="60" t="s">
        <v>1</v>
      </c>
      <c r="Z25" s="60" t="s">
        <v>1</v>
      </c>
      <c r="AA25" s="60" t="s">
        <v>1</v>
      </c>
      <c r="AB25" s="60" t="s">
        <v>1</v>
      </c>
      <c r="AC25" s="60" t="s">
        <v>1</v>
      </c>
      <c r="AD25" s="60" t="s">
        <v>1</v>
      </c>
    </row>
    <row r="26" spans="1:30" s="74" customFormat="1" ht="6.75" customHeight="1" x14ac:dyDescent="0.25">
      <c r="A26" s="52">
        <v>26</v>
      </c>
      <c r="B26" s="75" t="s">
        <v>259</v>
      </c>
      <c r="C26" s="76" t="s">
        <v>260</v>
      </c>
      <c r="D26" s="76" t="s">
        <v>261</v>
      </c>
      <c r="E26" s="76" t="s">
        <v>262</v>
      </c>
      <c r="F26" s="76" t="s">
        <v>246</v>
      </c>
      <c r="G26" s="49" t="s">
        <v>1</v>
      </c>
      <c r="H26" s="49" t="s">
        <v>1</v>
      </c>
      <c r="I26" s="49" t="s">
        <v>1</v>
      </c>
      <c r="J26" s="49" t="s">
        <v>1</v>
      </c>
      <c r="K26" s="49" t="s">
        <v>1</v>
      </c>
      <c r="L26" s="23" t="str">
        <f t="shared" si="35"/>
        <v>API.Plataforma</v>
      </c>
      <c r="M26" s="23" t="str">
        <f t="shared" si="35"/>
        <v>API.Macros</v>
      </c>
      <c r="N26" s="23" t="str">
        <f t="shared" si="37"/>
        <v>API Método</v>
      </c>
      <c r="O26" s="23" t="str">
        <f t="shared" si="37"/>
        <v>Função Local</v>
      </c>
      <c r="P26" s="24" t="s">
        <v>247</v>
      </c>
      <c r="Q26" s="24" t="s">
        <v>248</v>
      </c>
      <c r="R26" s="24" t="s">
        <v>249</v>
      </c>
      <c r="S26" s="73" t="s">
        <v>1</v>
      </c>
      <c r="T26" s="24" t="str">
        <f t="shared" si="39"/>
        <v>API Plataforma</v>
      </c>
      <c r="U26" s="24" t="str">
        <f t="shared" si="39"/>
        <v>API Macros</v>
      </c>
      <c r="V26" s="59" t="str">
        <f t="shared" si="39"/>
        <v>API Método</v>
      </c>
      <c r="W26" s="24" t="s">
        <v>133</v>
      </c>
      <c r="X26" s="51" t="str">
        <f t="shared" si="41"/>
        <v>Key-REQ-26</v>
      </c>
      <c r="Y26" s="60" t="s">
        <v>1</v>
      </c>
      <c r="Z26" s="60" t="s">
        <v>1</v>
      </c>
      <c r="AA26" s="60" t="s">
        <v>1</v>
      </c>
      <c r="AB26" s="60" t="s">
        <v>1</v>
      </c>
      <c r="AC26" s="60" t="s">
        <v>1</v>
      </c>
      <c r="AD26" s="60" t="s">
        <v>1</v>
      </c>
    </row>
    <row r="27" spans="1:30" s="74" customFormat="1" ht="6.75" customHeight="1" x14ac:dyDescent="0.25">
      <c r="A27" s="52">
        <v>27</v>
      </c>
      <c r="B27" s="75" t="s">
        <v>259</v>
      </c>
      <c r="C27" s="76" t="s">
        <v>260</v>
      </c>
      <c r="D27" s="76" t="s">
        <v>261</v>
      </c>
      <c r="E27" s="76" t="s">
        <v>262</v>
      </c>
      <c r="F27" s="76" t="s">
        <v>250</v>
      </c>
      <c r="G27" s="49" t="s">
        <v>1</v>
      </c>
      <c r="H27" s="49" t="s">
        <v>1</v>
      </c>
      <c r="I27" s="49" t="s">
        <v>1</v>
      </c>
      <c r="J27" s="49" t="s">
        <v>1</v>
      </c>
      <c r="K27" s="49" t="s">
        <v>1</v>
      </c>
      <c r="L27" s="23" t="str">
        <f t="shared" si="35"/>
        <v>API.Plataforma</v>
      </c>
      <c r="M27" s="23" t="str">
        <f t="shared" si="35"/>
        <v>API.Macros</v>
      </c>
      <c r="N27" s="23" t="str">
        <f t="shared" si="37"/>
        <v>API Método</v>
      </c>
      <c r="O27" s="23" t="str">
        <f t="shared" si="37"/>
        <v>Função Filtro</v>
      </c>
      <c r="P27" s="24" t="s">
        <v>251</v>
      </c>
      <c r="Q27" s="24" t="s">
        <v>252</v>
      </c>
      <c r="R27" s="24" t="s">
        <v>253</v>
      </c>
      <c r="S27" s="73" t="s">
        <v>1</v>
      </c>
      <c r="T27" s="24" t="str">
        <f t="shared" si="39"/>
        <v>API Plataforma</v>
      </c>
      <c r="U27" s="24" t="str">
        <f t="shared" si="39"/>
        <v>API Macros</v>
      </c>
      <c r="V27" s="59" t="str">
        <f t="shared" si="39"/>
        <v>API Método</v>
      </c>
      <c r="W27" s="24" t="s">
        <v>133</v>
      </c>
      <c r="X27" s="51" t="str">
        <f t="shared" si="41"/>
        <v>Key-REQ-27</v>
      </c>
      <c r="Y27" s="60" t="s">
        <v>1</v>
      </c>
      <c r="Z27" s="60" t="s">
        <v>1</v>
      </c>
      <c r="AA27" s="60" t="s">
        <v>1</v>
      </c>
      <c r="AB27" s="60" t="s">
        <v>1</v>
      </c>
      <c r="AC27" s="60" t="s">
        <v>1</v>
      </c>
      <c r="AD27" s="60" t="s">
        <v>1</v>
      </c>
    </row>
    <row r="28" spans="1:30" s="74" customFormat="1" ht="6.75" customHeight="1" x14ac:dyDescent="0.25">
      <c r="A28" s="52">
        <v>28</v>
      </c>
      <c r="B28" s="75" t="s">
        <v>259</v>
      </c>
      <c r="C28" s="76" t="s">
        <v>260</v>
      </c>
      <c r="D28" s="76" t="s">
        <v>263</v>
      </c>
      <c r="E28" s="76" t="s">
        <v>264</v>
      </c>
      <c r="F28" s="76" t="s">
        <v>254</v>
      </c>
      <c r="G28" s="49" t="s">
        <v>1</v>
      </c>
      <c r="H28" s="49" t="s">
        <v>1</v>
      </c>
      <c r="I28" s="49" t="s">
        <v>1</v>
      </c>
      <c r="J28" s="49" t="s">
        <v>1</v>
      </c>
      <c r="K28" s="49" t="s">
        <v>1</v>
      </c>
      <c r="L28" s="23" t="str">
        <f t="shared" si="35"/>
        <v>API.Plataforma</v>
      </c>
      <c r="M28" s="23" t="str">
        <f t="shared" si="35"/>
        <v>API.Macros.Visuais</v>
      </c>
      <c r="N28" s="23" t="str">
        <f t="shared" si="37"/>
        <v>API Método Visual</v>
      </c>
      <c r="O28" s="23" t="str">
        <f t="shared" si="37"/>
        <v>Bloco de Código</v>
      </c>
      <c r="P28" s="24" t="s">
        <v>255</v>
      </c>
      <c r="Q28" s="24" t="s">
        <v>256</v>
      </c>
      <c r="R28" s="24" t="s">
        <v>257</v>
      </c>
      <c r="S28" s="73" t="s">
        <v>1</v>
      </c>
      <c r="T28" s="24" t="str">
        <f t="shared" si="39"/>
        <v>API Plataforma</v>
      </c>
      <c r="U28" s="24" t="str">
        <f t="shared" si="39"/>
        <v>API Macros Visuais</v>
      </c>
      <c r="V28" s="59" t="str">
        <f t="shared" si="39"/>
        <v>API Método Visual</v>
      </c>
      <c r="W28" s="24" t="s">
        <v>133</v>
      </c>
      <c r="X28" s="51" t="str">
        <f t="shared" si="41"/>
        <v>Key-REQ-28</v>
      </c>
      <c r="Y28" s="60" t="s">
        <v>1</v>
      </c>
      <c r="Z28" s="60" t="s">
        <v>1</v>
      </c>
      <c r="AA28" s="60" t="s">
        <v>1</v>
      </c>
      <c r="AB28" s="60" t="s">
        <v>1</v>
      </c>
      <c r="AC28" s="60" t="s">
        <v>1</v>
      </c>
      <c r="AD28" s="60" t="s">
        <v>1</v>
      </c>
    </row>
  </sheetData>
  <phoneticPr fontId="1" type="noConversion"/>
  <conditionalFormatting sqref="A2:B23 A24:A28">
    <cfRule type="cellIs" dxfId="32" priority="5" operator="equal">
      <formula>"null"</formula>
    </cfRule>
  </conditionalFormatting>
  <conditionalFormatting sqref="A1:C1 L1:Q1 S1:X1 AA1:XFD1 A29:C1048576 L29:X1048576 AA29:XFD1048576">
    <cfRule type="cellIs" dxfId="31" priority="441" operator="equal">
      <formula>"null"</formula>
    </cfRule>
  </conditionalFormatting>
  <conditionalFormatting sqref="F1:F23 F29:F1048576">
    <cfRule type="duplicateValues" dxfId="29" priority="18"/>
  </conditionalFormatting>
  <conditionalFormatting sqref="R1:R23">
    <cfRule type="cellIs" dxfId="27" priority="8" operator="equal">
      <formula>"null"</formula>
    </cfRule>
  </conditionalFormatting>
  <conditionalFormatting sqref="F24:F28">
    <cfRule type="duplicateValues" dxfId="25" priority="1"/>
    <cfRule type="duplicateValues" dxfId="24" priority="2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2"/>
  <sheetViews>
    <sheetView zoomScale="205" zoomScaleNormal="205" workbookViewId="0">
      <pane ySplit="1" topLeftCell="A2" activePane="bottomLeft" state="frozen"/>
      <selection activeCell="C18" sqref="C18"/>
      <selection pane="bottomLeft" activeCell="C6" sqref="C6"/>
    </sheetView>
  </sheetViews>
  <sheetFormatPr defaultColWidth="11.140625" defaultRowHeight="7.9" customHeight="1" x14ac:dyDescent="0.15"/>
  <cols>
    <col min="1" max="1" width="2.28515625" style="1" customWidth="1"/>
    <col min="2" max="10" width="5.140625" style="2" bestFit="1" customWidth="1"/>
    <col min="11" max="21" width="5.5703125" style="5" bestFit="1" customWidth="1"/>
    <col min="22" max="16384" width="11.140625" style="5"/>
  </cols>
  <sheetData>
    <row r="1" spans="1:21" s="3" customFormat="1" ht="27" customHeight="1" x14ac:dyDescent="0.15">
      <c r="A1" s="20" t="s">
        <v>22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1" t="s">
        <v>13</v>
      </c>
      <c r="N1" s="21" t="s">
        <v>14</v>
      </c>
      <c r="O1" s="21" t="s">
        <v>15</v>
      </c>
      <c r="P1" s="21" t="s">
        <v>16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21</v>
      </c>
    </row>
    <row r="2" spans="1:21" ht="9" customHeight="1" x14ac:dyDescent="0.15">
      <c r="A2" s="20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</row>
  </sheetData>
  <phoneticPr fontId="1" type="noConversion"/>
  <conditionalFormatting sqref="A1:XFD1048576">
    <cfRule type="cellIs" dxfId="22" priority="1" operator="equal">
      <formula>"null"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E13-E93E-488C-9C8F-4E4982DFBAE7}">
  <sheetPr codeName="Planilha4"/>
  <dimension ref="A1:D4"/>
  <sheetViews>
    <sheetView zoomScale="295" zoomScaleNormal="295" workbookViewId="0">
      <pane ySplit="1" topLeftCell="A2" activePane="bottomLeft" state="frozen"/>
      <selection activeCell="C18" sqref="C18"/>
      <selection pane="bottomLeft" activeCell="C2" sqref="C2"/>
    </sheetView>
  </sheetViews>
  <sheetFormatPr defaultColWidth="3.42578125" defaultRowHeight="6" customHeight="1" x14ac:dyDescent="0.25"/>
  <cols>
    <col min="1" max="1" width="3" bestFit="1" customWidth="1"/>
    <col min="2" max="2" width="5.5703125" customWidth="1"/>
    <col min="3" max="3" width="8" customWidth="1"/>
    <col min="4" max="4" width="8.28515625" customWidth="1"/>
  </cols>
  <sheetData>
    <row r="1" spans="1:4" ht="12.6" customHeight="1" x14ac:dyDescent="0.25">
      <c r="A1" s="18">
        <v>1</v>
      </c>
      <c r="B1" s="19" t="s">
        <v>75</v>
      </c>
      <c r="C1" s="19" t="s">
        <v>76</v>
      </c>
      <c r="D1" s="19" t="s">
        <v>76</v>
      </c>
    </row>
    <row r="2" spans="1:4" s="28" customFormat="1" ht="8.25" customHeight="1" x14ac:dyDescent="0.15">
      <c r="A2" s="12">
        <v>2</v>
      </c>
      <c r="B2" s="34" t="s">
        <v>1</v>
      </c>
      <c r="C2" s="35" t="s">
        <v>1</v>
      </c>
      <c r="D2" s="35" t="s">
        <v>1</v>
      </c>
    </row>
    <row r="3" spans="1:4" s="28" customFormat="1" ht="6" customHeight="1" x14ac:dyDescent="0.25">
      <c r="A3"/>
      <c r="B3"/>
      <c r="C3"/>
      <c r="D3"/>
    </row>
    <row r="4" spans="1:4" s="28" customFormat="1" ht="6" customHeight="1" x14ac:dyDescent="0.25">
      <c r="A4"/>
      <c r="B4"/>
      <c r="C4"/>
      <c r="D4"/>
    </row>
  </sheetData>
  <conditionalFormatting sqref="A1:A2">
    <cfRule type="cellIs" dxfId="21" priority="3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E003-A289-428E-9141-72F001D0AED0}">
  <sheetPr codeName="Planilha5"/>
  <dimension ref="A1:AG20"/>
  <sheetViews>
    <sheetView zoomScale="190" zoomScaleNormal="190" workbookViewId="0">
      <pane ySplit="1" topLeftCell="A2" activePane="bottomLeft" state="frozen"/>
      <selection pane="bottomLeft" activeCell="C5" sqref="C5"/>
    </sheetView>
  </sheetViews>
  <sheetFormatPr defaultColWidth="9.28515625" defaultRowHeight="7.35" customHeight="1" x14ac:dyDescent="0.2"/>
  <cols>
    <col min="1" max="1" width="2.42578125" style="48" bestFit="1" customWidth="1"/>
    <col min="2" max="2" width="9.7109375" style="48" bestFit="1" customWidth="1"/>
    <col min="3" max="3" width="11.28515625" style="48" customWidth="1"/>
    <col min="4" max="4" width="7" style="48" customWidth="1"/>
    <col min="5" max="5" width="4.7109375" style="48" customWidth="1"/>
    <col min="6" max="6" width="3.42578125" style="48" customWidth="1"/>
    <col min="7" max="7" width="4.5703125" style="48" customWidth="1"/>
    <col min="8" max="8" width="7.85546875" style="48" customWidth="1"/>
    <col min="9" max="9" width="11" style="48" customWidth="1"/>
    <col min="10" max="10" width="6" style="48" bestFit="1" customWidth="1"/>
    <col min="11" max="11" width="46.42578125" style="48" bestFit="1" customWidth="1"/>
    <col min="12" max="12" width="4.28515625" style="48" bestFit="1" customWidth="1"/>
    <col min="13" max="13" width="4.7109375" style="48" bestFit="1" customWidth="1"/>
    <col min="14" max="14" width="5.28515625" style="48" bestFit="1" customWidth="1"/>
    <col min="15" max="15" width="11.85546875" style="48" customWidth="1"/>
    <col min="16" max="16" width="8.42578125" style="48" bestFit="1" customWidth="1"/>
    <col min="17" max="17" width="9.42578125" style="57" bestFit="1" customWidth="1"/>
    <col min="18" max="18" width="8.42578125" style="48" bestFit="1" customWidth="1"/>
    <col min="19" max="19" width="40.7109375" style="57" customWidth="1"/>
    <col min="20" max="20" width="5.7109375" style="48" bestFit="1" customWidth="1"/>
    <col min="21" max="21" width="15.28515625" style="48" customWidth="1"/>
    <col min="22" max="22" width="7.28515625" style="48" bestFit="1" customWidth="1"/>
    <col min="23" max="23" width="9.85546875" style="57" bestFit="1" customWidth="1"/>
    <col min="24" max="25" width="3.85546875" style="61" bestFit="1" customWidth="1"/>
    <col min="26" max="26" width="4.28515625" style="67" bestFit="1" customWidth="1"/>
    <col min="27" max="27" width="4.85546875" style="67" bestFit="1" customWidth="1"/>
    <col min="28" max="28" width="4.28515625" style="67" bestFit="1" customWidth="1"/>
    <col min="29" max="29" width="4.85546875" style="67" bestFit="1" customWidth="1"/>
    <col min="30" max="30" width="4.28515625" style="67" bestFit="1" customWidth="1"/>
    <col min="31" max="31" width="4.85546875" style="67" bestFit="1" customWidth="1"/>
    <col min="32" max="32" width="4.28515625" style="67" bestFit="1" customWidth="1"/>
    <col min="33" max="33" width="4.85546875" style="67" bestFit="1" customWidth="1"/>
    <col min="34" max="16384" width="9.28515625" style="48"/>
  </cols>
  <sheetData>
    <row r="1" spans="1:33" ht="16.350000000000001" customHeight="1" x14ac:dyDescent="0.25">
      <c r="A1" s="22">
        <v>1</v>
      </c>
      <c r="B1" s="17" t="s">
        <v>80</v>
      </c>
      <c r="C1" s="38" t="s">
        <v>78</v>
      </c>
      <c r="D1" s="38" t="s">
        <v>33</v>
      </c>
      <c r="E1" s="43" t="s">
        <v>88</v>
      </c>
      <c r="F1" s="17" t="s">
        <v>33</v>
      </c>
      <c r="G1" s="43" t="s">
        <v>88</v>
      </c>
      <c r="H1" s="17" t="s">
        <v>33</v>
      </c>
      <c r="I1" s="37" t="s">
        <v>88</v>
      </c>
      <c r="J1" s="17" t="s">
        <v>33</v>
      </c>
      <c r="K1" s="37" t="s">
        <v>88</v>
      </c>
      <c r="L1" s="17" t="s">
        <v>33</v>
      </c>
      <c r="M1" s="37" t="s">
        <v>88</v>
      </c>
      <c r="N1" s="38" t="s">
        <v>33</v>
      </c>
      <c r="O1" s="37" t="s">
        <v>88</v>
      </c>
      <c r="P1" s="38" t="s">
        <v>33</v>
      </c>
      <c r="Q1" s="43" t="s">
        <v>88</v>
      </c>
      <c r="R1" s="38" t="s">
        <v>33</v>
      </c>
      <c r="S1" s="43" t="s">
        <v>88</v>
      </c>
      <c r="T1" s="17" t="s">
        <v>33</v>
      </c>
      <c r="U1" s="43" t="s">
        <v>88</v>
      </c>
      <c r="V1" s="38" t="s">
        <v>33</v>
      </c>
      <c r="W1" s="43" t="s">
        <v>73</v>
      </c>
      <c r="X1" s="68" t="s">
        <v>33</v>
      </c>
      <c r="Y1" s="69" t="s">
        <v>34</v>
      </c>
      <c r="Z1" s="38" t="s">
        <v>33</v>
      </c>
      <c r="AA1" s="38" t="s">
        <v>34</v>
      </c>
      <c r="AB1" s="38" t="s">
        <v>33</v>
      </c>
      <c r="AC1" s="38" t="s">
        <v>34</v>
      </c>
      <c r="AD1" s="38" t="s">
        <v>33</v>
      </c>
      <c r="AE1" s="38" t="s">
        <v>34</v>
      </c>
      <c r="AF1" s="38" t="s">
        <v>33</v>
      </c>
      <c r="AG1" s="38" t="s">
        <v>34</v>
      </c>
    </row>
    <row r="2" spans="1:33" customFormat="1" ht="7.35" customHeight="1" x14ac:dyDescent="0.25">
      <c r="A2" s="30">
        <v>2</v>
      </c>
      <c r="B2" s="32" t="s">
        <v>134</v>
      </c>
      <c r="C2" s="70" t="s">
        <v>74</v>
      </c>
      <c r="D2" s="47" t="s">
        <v>1</v>
      </c>
      <c r="E2" s="42" t="s">
        <v>1</v>
      </c>
      <c r="F2" s="47" t="s">
        <v>1</v>
      </c>
      <c r="G2" s="42" t="s">
        <v>1</v>
      </c>
      <c r="H2" s="36" t="s">
        <v>1</v>
      </c>
      <c r="I2" s="25" t="s">
        <v>1</v>
      </c>
      <c r="J2" s="36" t="s">
        <v>79</v>
      </c>
      <c r="K2" s="25" t="s">
        <v>163</v>
      </c>
      <c r="L2" s="36" t="s">
        <v>1</v>
      </c>
      <c r="M2" s="25" t="s">
        <v>1</v>
      </c>
      <c r="N2" s="36" t="s">
        <v>1</v>
      </c>
      <c r="O2" s="25" t="s">
        <v>1</v>
      </c>
      <c r="P2" s="26" t="s">
        <v>1</v>
      </c>
      <c r="Q2" s="25" t="s">
        <v>1</v>
      </c>
      <c r="R2" s="26" t="s">
        <v>136</v>
      </c>
      <c r="S2" s="33" t="s">
        <v>137</v>
      </c>
      <c r="T2" s="26" t="s">
        <v>138</v>
      </c>
      <c r="U2" s="31" t="s">
        <v>139</v>
      </c>
      <c r="V2" s="26" t="s">
        <v>182</v>
      </c>
      <c r="W2" s="25" t="s">
        <v>183</v>
      </c>
      <c r="X2" s="47" t="s">
        <v>1</v>
      </c>
      <c r="Y2" s="42" t="s">
        <v>1</v>
      </c>
      <c r="Z2" s="47" t="s">
        <v>1</v>
      </c>
      <c r="AA2" s="42" t="s">
        <v>1</v>
      </c>
      <c r="AB2" s="47" t="s">
        <v>1</v>
      </c>
      <c r="AC2" s="42" t="s">
        <v>1</v>
      </c>
      <c r="AD2" s="47" t="s">
        <v>1</v>
      </c>
      <c r="AE2" s="42" t="s">
        <v>1</v>
      </c>
      <c r="AF2" s="47" t="s">
        <v>1</v>
      </c>
      <c r="AG2" s="42" t="s">
        <v>1</v>
      </c>
    </row>
    <row r="3" spans="1:33" customFormat="1" ht="7.35" customHeight="1" x14ac:dyDescent="0.25">
      <c r="A3" s="30">
        <v>3</v>
      </c>
      <c r="B3" s="32" t="s">
        <v>145</v>
      </c>
      <c r="C3" s="70" t="s">
        <v>174</v>
      </c>
      <c r="D3" s="47" t="s">
        <v>181</v>
      </c>
      <c r="E3" s="42" t="s">
        <v>134</v>
      </c>
      <c r="F3" s="47" t="s">
        <v>1</v>
      </c>
      <c r="G3" s="42" t="s">
        <v>1</v>
      </c>
      <c r="H3" s="36" t="s">
        <v>149</v>
      </c>
      <c r="I3" s="25" t="s">
        <v>150</v>
      </c>
      <c r="J3" s="36" t="s">
        <v>79</v>
      </c>
      <c r="K3" s="25" t="s">
        <v>159</v>
      </c>
      <c r="L3" s="36" t="s">
        <v>1</v>
      </c>
      <c r="M3" s="25" t="s">
        <v>1</v>
      </c>
      <c r="N3" s="36" t="s">
        <v>1</v>
      </c>
      <c r="O3" s="25" t="s">
        <v>1</v>
      </c>
      <c r="P3" s="26" t="s">
        <v>1</v>
      </c>
      <c r="Q3" s="25" t="s">
        <v>1</v>
      </c>
      <c r="R3" s="26" t="s">
        <v>1</v>
      </c>
      <c r="S3" s="25" t="s">
        <v>1</v>
      </c>
      <c r="T3" s="26" t="s">
        <v>1</v>
      </c>
      <c r="U3" s="25" t="s">
        <v>1</v>
      </c>
      <c r="V3" s="36" t="s">
        <v>1</v>
      </c>
      <c r="W3" s="25" t="s">
        <v>1</v>
      </c>
      <c r="X3" s="47" t="s">
        <v>1</v>
      </c>
      <c r="Y3" s="42" t="s">
        <v>1</v>
      </c>
      <c r="Z3" s="47" t="s">
        <v>1</v>
      </c>
      <c r="AA3" s="42" t="s">
        <v>1</v>
      </c>
      <c r="AB3" s="47" t="s">
        <v>1</v>
      </c>
      <c r="AC3" s="42" t="s">
        <v>1</v>
      </c>
      <c r="AD3" s="47" t="s">
        <v>1</v>
      </c>
      <c r="AE3" s="42" t="s">
        <v>1</v>
      </c>
      <c r="AF3" s="47" t="s">
        <v>1</v>
      </c>
      <c r="AG3" s="42" t="s">
        <v>1</v>
      </c>
    </row>
    <row r="4" spans="1:33" customFormat="1" ht="7.35" customHeight="1" x14ac:dyDescent="0.25">
      <c r="A4" s="30">
        <v>4</v>
      </c>
      <c r="B4" s="32" t="s">
        <v>146</v>
      </c>
      <c r="C4" s="70" t="s">
        <v>174</v>
      </c>
      <c r="D4" s="47" t="s">
        <v>181</v>
      </c>
      <c r="E4" s="42" t="s">
        <v>134</v>
      </c>
      <c r="F4" s="47" t="s">
        <v>1</v>
      </c>
      <c r="G4" s="42" t="s">
        <v>1</v>
      </c>
      <c r="H4" s="36" t="s">
        <v>149</v>
      </c>
      <c r="I4" s="25" t="s">
        <v>150</v>
      </c>
      <c r="J4" s="36" t="s">
        <v>79</v>
      </c>
      <c r="K4" s="25" t="s">
        <v>160</v>
      </c>
      <c r="L4" s="36" t="s">
        <v>1</v>
      </c>
      <c r="M4" s="25" t="s">
        <v>1</v>
      </c>
      <c r="N4" s="36" t="s">
        <v>1</v>
      </c>
      <c r="O4" s="25" t="s">
        <v>1</v>
      </c>
      <c r="P4" s="26" t="s">
        <v>1</v>
      </c>
      <c r="Q4" s="25" t="s">
        <v>1</v>
      </c>
      <c r="R4" s="26" t="s">
        <v>1</v>
      </c>
      <c r="S4" s="25" t="s">
        <v>1</v>
      </c>
      <c r="T4" s="26" t="s">
        <v>1</v>
      </c>
      <c r="U4" s="25" t="s">
        <v>1</v>
      </c>
      <c r="V4" s="36" t="s">
        <v>1</v>
      </c>
      <c r="W4" s="25" t="s">
        <v>1</v>
      </c>
      <c r="X4" s="47" t="s">
        <v>1</v>
      </c>
      <c r="Y4" s="42" t="s">
        <v>1</v>
      </c>
      <c r="Z4" s="47" t="s">
        <v>1</v>
      </c>
      <c r="AA4" s="42" t="s">
        <v>1</v>
      </c>
      <c r="AB4" s="47" t="s">
        <v>1</v>
      </c>
      <c r="AC4" s="42" t="s">
        <v>1</v>
      </c>
      <c r="AD4" s="47" t="s">
        <v>1</v>
      </c>
      <c r="AE4" s="42" t="s">
        <v>1</v>
      </c>
      <c r="AF4" s="47" t="s">
        <v>1</v>
      </c>
      <c r="AG4" s="42" t="s">
        <v>1</v>
      </c>
    </row>
    <row r="5" spans="1:33" customFormat="1" ht="7.35" customHeight="1" x14ac:dyDescent="0.25">
      <c r="A5" s="30">
        <v>5</v>
      </c>
      <c r="B5" s="32" t="s">
        <v>147</v>
      </c>
      <c r="C5" s="70" t="s">
        <v>174</v>
      </c>
      <c r="D5" s="47" t="s">
        <v>181</v>
      </c>
      <c r="E5" s="42" t="s">
        <v>134</v>
      </c>
      <c r="F5" s="47" t="s">
        <v>1</v>
      </c>
      <c r="G5" s="42" t="s">
        <v>1</v>
      </c>
      <c r="H5" s="36" t="s">
        <v>149</v>
      </c>
      <c r="I5" s="25" t="s">
        <v>150</v>
      </c>
      <c r="J5" s="36" t="s">
        <v>79</v>
      </c>
      <c r="K5" s="25" t="s">
        <v>161</v>
      </c>
      <c r="L5" s="36" t="s">
        <v>1</v>
      </c>
      <c r="M5" s="25" t="s">
        <v>1</v>
      </c>
      <c r="N5" s="36" t="s">
        <v>1</v>
      </c>
      <c r="O5" s="25" t="s">
        <v>1</v>
      </c>
      <c r="P5" s="26" t="s">
        <v>1</v>
      </c>
      <c r="Q5" s="25" t="s">
        <v>1</v>
      </c>
      <c r="R5" s="26" t="s">
        <v>1</v>
      </c>
      <c r="S5" s="25" t="s">
        <v>1</v>
      </c>
      <c r="T5" s="26" t="s">
        <v>1</v>
      </c>
      <c r="U5" s="25" t="s">
        <v>1</v>
      </c>
      <c r="V5" s="36" t="s">
        <v>1</v>
      </c>
      <c r="W5" s="25" t="s">
        <v>1</v>
      </c>
      <c r="X5" s="47" t="s">
        <v>1</v>
      </c>
      <c r="Y5" s="42" t="s">
        <v>1</v>
      </c>
      <c r="Z5" s="47" t="s">
        <v>1</v>
      </c>
      <c r="AA5" s="42" t="s">
        <v>1</v>
      </c>
      <c r="AB5" s="47" t="s">
        <v>1</v>
      </c>
      <c r="AC5" s="42" t="s">
        <v>1</v>
      </c>
      <c r="AD5" s="47" t="s">
        <v>1</v>
      </c>
      <c r="AE5" s="42" t="s">
        <v>1</v>
      </c>
      <c r="AF5" s="47" t="s">
        <v>1</v>
      </c>
      <c r="AG5" s="42" t="s">
        <v>1</v>
      </c>
    </row>
    <row r="6" spans="1:33" customFormat="1" ht="7.35" customHeight="1" x14ac:dyDescent="0.25">
      <c r="A6" s="30">
        <v>6</v>
      </c>
      <c r="B6" s="32" t="s">
        <v>148</v>
      </c>
      <c r="C6" s="70" t="s">
        <v>174</v>
      </c>
      <c r="D6" s="47" t="s">
        <v>181</v>
      </c>
      <c r="E6" s="42" t="s">
        <v>134</v>
      </c>
      <c r="F6" s="47" t="s">
        <v>1</v>
      </c>
      <c r="G6" s="42" t="s">
        <v>1</v>
      </c>
      <c r="H6" s="36" t="s">
        <v>149</v>
      </c>
      <c r="I6" s="25" t="s">
        <v>150</v>
      </c>
      <c r="J6" s="36" t="s">
        <v>79</v>
      </c>
      <c r="K6" s="25" t="s">
        <v>162</v>
      </c>
      <c r="L6" s="36" t="s">
        <v>1</v>
      </c>
      <c r="M6" s="25" t="s">
        <v>1</v>
      </c>
      <c r="N6" s="36" t="s">
        <v>1</v>
      </c>
      <c r="O6" s="25" t="s">
        <v>1</v>
      </c>
      <c r="P6" s="26" t="s">
        <v>1</v>
      </c>
      <c r="Q6" s="25" t="s">
        <v>1</v>
      </c>
      <c r="R6" s="26" t="s">
        <v>1</v>
      </c>
      <c r="S6" s="25" t="s">
        <v>1</v>
      </c>
      <c r="T6" s="26" t="s">
        <v>1</v>
      </c>
      <c r="U6" s="25" t="s">
        <v>1</v>
      </c>
      <c r="V6" s="36" t="s">
        <v>1</v>
      </c>
      <c r="W6" s="25" t="s">
        <v>1</v>
      </c>
      <c r="X6" s="47" t="s">
        <v>1</v>
      </c>
      <c r="Y6" s="42" t="s">
        <v>1</v>
      </c>
      <c r="Z6" s="47" t="s">
        <v>1</v>
      </c>
      <c r="AA6" s="42" t="s">
        <v>1</v>
      </c>
      <c r="AB6" s="47" t="s">
        <v>1</v>
      </c>
      <c r="AC6" s="42" t="s">
        <v>1</v>
      </c>
      <c r="AD6" s="47" t="s">
        <v>1</v>
      </c>
      <c r="AE6" s="42" t="s">
        <v>1</v>
      </c>
      <c r="AF6" s="47" t="s">
        <v>1</v>
      </c>
      <c r="AG6" s="42" t="s">
        <v>1</v>
      </c>
    </row>
    <row r="7" spans="1:33" ht="7.35" customHeight="1" x14ac:dyDescent="0.25">
      <c r="A7" s="30">
        <v>7</v>
      </c>
      <c r="B7" s="32" t="s">
        <v>168</v>
      </c>
      <c r="C7" s="71" t="s">
        <v>178</v>
      </c>
      <c r="D7" s="47" t="s">
        <v>181</v>
      </c>
      <c r="E7" s="42" t="s">
        <v>134</v>
      </c>
      <c r="F7" s="47" t="s">
        <v>199</v>
      </c>
      <c r="G7" s="58" t="s">
        <v>145</v>
      </c>
      <c r="H7" s="36" t="s">
        <v>184</v>
      </c>
      <c r="I7" s="25" t="s">
        <v>185</v>
      </c>
      <c r="J7" s="26" t="s">
        <v>79</v>
      </c>
      <c r="K7" s="25" t="s">
        <v>164</v>
      </c>
      <c r="L7" s="36" t="s">
        <v>1</v>
      </c>
      <c r="M7" s="25" t="s">
        <v>1</v>
      </c>
      <c r="N7" s="36" t="s">
        <v>1</v>
      </c>
      <c r="O7" s="25" t="s">
        <v>1</v>
      </c>
      <c r="P7" s="36" t="s">
        <v>1</v>
      </c>
      <c r="Q7" s="25" t="s">
        <v>1</v>
      </c>
      <c r="R7" s="36" t="s">
        <v>1</v>
      </c>
      <c r="S7" s="25" t="s">
        <v>1</v>
      </c>
      <c r="T7" s="26" t="s">
        <v>1</v>
      </c>
      <c r="U7" s="25" t="s">
        <v>1</v>
      </c>
      <c r="V7" s="36" t="s">
        <v>1</v>
      </c>
      <c r="W7" s="25" t="s">
        <v>1</v>
      </c>
      <c r="X7" s="47" t="s">
        <v>1</v>
      </c>
      <c r="Y7" s="42" t="s">
        <v>1</v>
      </c>
      <c r="Z7" s="47" t="s">
        <v>1</v>
      </c>
      <c r="AA7" s="42" t="s">
        <v>1</v>
      </c>
      <c r="AB7" s="47" t="s">
        <v>1</v>
      </c>
      <c r="AC7" s="42" t="s">
        <v>1</v>
      </c>
      <c r="AD7" s="47" t="s">
        <v>1</v>
      </c>
      <c r="AE7" s="42" t="s">
        <v>1</v>
      </c>
      <c r="AF7" s="47" t="s">
        <v>1</v>
      </c>
      <c r="AG7" s="42" t="s">
        <v>1</v>
      </c>
    </row>
    <row r="8" spans="1:33" ht="7.35" customHeight="1" x14ac:dyDescent="0.25">
      <c r="A8" s="30">
        <v>8</v>
      </c>
      <c r="B8" s="32" t="s">
        <v>169</v>
      </c>
      <c r="C8" s="71" t="s">
        <v>178</v>
      </c>
      <c r="D8" s="47" t="s">
        <v>181</v>
      </c>
      <c r="E8" s="42" t="s">
        <v>134</v>
      </c>
      <c r="F8" s="47" t="s">
        <v>199</v>
      </c>
      <c r="G8" s="58" t="s">
        <v>146</v>
      </c>
      <c r="H8" s="36" t="s">
        <v>184</v>
      </c>
      <c r="I8" s="25" t="s">
        <v>185</v>
      </c>
      <c r="J8" s="26" t="s">
        <v>79</v>
      </c>
      <c r="K8" s="25" t="s">
        <v>165</v>
      </c>
      <c r="L8" s="36" t="s">
        <v>1</v>
      </c>
      <c r="M8" s="25" t="s">
        <v>1</v>
      </c>
      <c r="N8" s="36" t="s">
        <v>1</v>
      </c>
      <c r="O8" s="25" t="s">
        <v>1</v>
      </c>
      <c r="P8" s="36" t="s">
        <v>1</v>
      </c>
      <c r="Q8" s="25" t="s">
        <v>1</v>
      </c>
      <c r="R8" s="36" t="s">
        <v>1</v>
      </c>
      <c r="S8" s="25" t="s">
        <v>1</v>
      </c>
      <c r="T8" s="26" t="s">
        <v>1</v>
      </c>
      <c r="U8" s="25" t="s">
        <v>1</v>
      </c>
      <c r="V8" s="36" t="s">
        <v>1</v>
      </c>
      <c r="W8" s="25" t="s">
        <v>1</v>
      </c>
      <c r="X8" s="47" t="s">
        <v>1</v>
      </c>
      <c r="Y8" s="42" t="s">
        <v>1</v>
      </c>
      <c r="Z8" s="47" t="s">
        <v>1</v>
      </c>
      <c r="AA8" s="42" t="s">
        <v>1</v>
      </c>
      <c r="AB8" s="47" t="s">
        <v>1</v>
      </c>
      <c r="AC8" s="42" t="s">
        <v>1</v>
      </c>
      <c r="AD8" s="47" t="s">
        <v>1</v>
      </c>
      <c r="AE8" s="42" t="s">
        <v>1</v>
      </c>
      <c r="AF8" s="47" t="s">
        <v>1</v>
      </c>
      <c r="AG8" s="42" t="s">
        <v>1</v>
      </c>
    </row>
    <row r="9" spans="1:33" ht="7.35" customHeight="1" x14ac:dyDescent="0.25">
      <c r="A9" s="30">
        <v>9</v>
      </c>
      <c r="B9" s="32" t="s">
        <v>170</v>
      </c>
      <c r="C9" s="71" t="s">
        <v>178</v>
      </c>
      <c r="D9" s="47" t="s">
        <v>181</v>
      </c>
      <c r="E9" s="42" t="s">
        <v>134</v>
      </c>
      <c r="F9" s="47" t="s">
        <v>199</v>
      </c>
      <c r="G9" s="58" t="s">
        <v>147</v>
      </c>
      <c r="H9" s="36" t="s">
        <v>184</v>
      </c>
      <c r="I9" s="25" t="s">
        <v>185</v>
      </c>
      <c r="J9" s="26" t="s">
        <v>79</v>
      </c>
      <c r="K9" s="25" t="s">
        <v>166</v>
      </c>
      <c r="L9" s="36" t="s">
        <v>1</v>
      </c>
      <c r="M9" s="25" t="s">
        <v>1</v>
      </c>
      <c r="N9" s="36" t="s">
        <v>1</v>
      </c>
      <c r="O9" s="25" t="s">
        <v>1</v>
      </c>
      <c r="P9" s="36" t="s">
        <v>1</v>
      </c>
      <c r="Q9" s="25" t="s">
        <v>1</v>
      </c>
      <c r="R9" s="36" t="s">
        <v>1</v>
      </c>
      <c r="S9" s="25" t="s">
        <v>1</v>
      </c>
      <c r="T9" s="26" t="s">
        <v>1</v>
      </c>
      <c r="U9" s="25" t="s">
        <v>1</v>
      </c>
      <c r="V9" s="36" t="s">
        <v>1</v>
      </c>
      <c r="W9" s="25" t="s">
        <v>1</v>
      </c>
      <c r="X9" s="47" t="s">
        <v>1</v>
      </c>
      <c r="Y9" s="42" t="s">
        <v>1</v>
      </c>
      <c r="Z9" s="47" t="s">
        <v>1</v>
      </c>
      <c r="AA9" s="42" t="s">
        <v>1</v>
      </c>
      <c r="AB9" s="47" t="s">
        <v>1</v>
      </c>
      <c r="AC9" s="42" t="s">
        <v>1</v>
      </c>
      <c r="AD9" s="47" t="s">
        <v>1</v>
      </c>
      <c r="AE9" s="42" t="s">
        <v>1</v>
      </c>
      <c r="AF9" s="47" t="s">
        <v>1</v>
      </c>
      <c r="AG9" s="42" t="s">
        <v>1</v>
      </c>
    </row>
    <row r="10" spans="1:33" ht="7.35" customHeight="1" x14ac:dyDescent="0.25">
      <c r="A10" s="30">
        <v>10</v>
      </c>
      <c r="B10" s="32" t="s">
        <v>171</v>
      </c>
      <c r="C10" s="71" t="s">
        <v>178</v>
      </c>
      <c r="D10" s="47" t="s">
        <v>181</v>
      </c>
      <c r="E10" s="42" t="s">
        <v>134</v>
      </c>
      <c r="F10" s="47" t="s">
        <v>199</v>
      </c>
      <c r="G10" s="58" t="s">
        <v>148</v>
      </c>
      <c r="H10" s="36" t="s">
        <v>184</v>
      </c>
      <c r="I10" s="25" t="s">
        <v>185</v>
      </c>
      <c r="J10" s="26" t="s">
        <v>79</v>
      </c>
      <c r="K10" s="25" t="s">
        <v>167</v>
      </c>
      <c r="L10" s="36" t="s">
        <v>1</v>
      </c>
      <c r="M10" s="25" t="s">
        <v>1</v>
      </c>
      <c r="N10" s="36" t="s">
        <v>1</v>
      </c>
      <c r="O10" s="25" t="s">
        <v>1</v>
      </c>
      <c r="P10" s="36" t="s">
        <v>1</v>
      </c>
      <c r="Q10" s="25" t="s">
        <v>1</v>
      </c>
      <c r="R10" s="36" t="s">
        <v>1</v>
      </c>
      <c r="S10" s="25" t="s">
        <v>1</v>
      </c>
      <c r="T10" s="26" t="s">
        <v>1</v>
      </c>
      <c r="U10" s="25" t="s">
        <v>1</v>
      </c>
      <c r="V10" s="36" t="s">
        <v>1</v>
      </c>
      <c r="W10" s="25" t="s">
        <v>1</v>
      </c>
      <c r="X10" s="47" t="s">
        <v>1</v>
      </c>
      <c r="Y10" s="42" t="s">
        <v>1</v>
      </c>
      <c r="Z10" s="47" t="s">
        <v>1</v>
      </c>
      <c r="AA10" s="42" t="s">
        <v>1</v>
      </c>
      <c r="AB10" s="47" t="s">
        <v>1</v>
      </c>
      <c r="AC10" s="42" t="s">
        <v>1</v>
      </c>
      <c r="AD10" s="47" t="s">
        <v>1</v>
      </c>
      <c r="AE10" s="42" t="s">
        <v>1</v>
      </c>
      <c r="AF10" s="47" t="s">
        <v>1</v>
      </c>
      <c r="AG10" s="42" t="s">
        <v>1</v>
      </c>
    </row>
    <row r="11" spans="1:33" ht="7.35" customHeight="1" x14ac:dyDescent="0.25">
      <c r="A11" s="30">
        <v>11</v>
      </c>
      <c r="B11" s="32" t="s">
        <v>157</v>
      </c>
      <c r="C11" s="70" t="s">
        <v>193</v>
      </c>
      <c r="D11" s="47" t="s">
        <v>181</v>
      </c>
      <c r="E11" s="42" t="s">
        <v>134</v>
      </c>
      <c r="F11" s="47" t="s">
        <v>1</v>
      </c>
      <c r="G11" s="42" t="s">
        <v>1</v>
      </c>
      <c r="H11" s="36" t="s">
        <v>184</v>
      </c>
      <c r="I11" s="25" t="s">
        <v>186</v>
      </c>
      <c r="J11" s="26" t="s">
        <v>79</v>
      </c>
      <c r="K11" s="25" t="s">
        <v>140</v>
      </c>
      <c r="L11" s="36" t="s">
        <v>1</v>
      </c>
      <c r="M11" s="25" t="s">
        <v>1</v>
      </c>
      <c r="N11" s="36" t="s">
        <v>1</v>
      </c>
      <c r="O11" s="25" t="s">
        <v>1</v>
      </c>
      <c r="P11" s="36" t="s">
        <v>1</v>
      </c>
      <c r="Q11" s="25" t="s">
        <v>1</v>
      </c>
      <c r="R11" s="36" t="s">
        <v>1</v>
      </c>
      <c r="S11" s="25" t="s">
        <v>1</v>
      </c>
      <c r="T11" s="26" t="s">
        <v>1</v>
      </c>
      <c r="U11" s="25" t="s">
        <v>1</v>
      </c>
      <c r="V11" s="36" t="s">
        <v>1</v>
      </c>
      <c r="W11" s="25" t="s">
        <v>1</v>
      </c>
      <c r="X11" s="47" t="s">
        <v>1</v>
      </c>
      <c r="Y11" s="42" t="s">
        <v>1</v>
      </c>
      <c r="Z11" s="47" t="s">
        <v>1</v>
      </c>
      <c r="AA11" s="42" t="s">
        <v>1</v>
      </c>
      <c r="AB11" s="47" t="s">
        <v>1</v>
      </c>
      <c r="AC11" s="42" t="s">
        <v>1</v>
      </c>
      <c r="AD11" s="47" t="s">
        <v>1</v>
      </c>
      <c r="AE11" s="42" t="s">
        <v>1</v>
      </c>
      <c r="AF11" s="47" t="s">
        <v>1</v>
      </c>
      <c r="AG11" s="42" t="s">
        <v>1</v>
      </c>
    </row>
    <row r="12" spans="1:33" ht="7.35" customHeight="1" x14ac:dyDescent="0.25">
      <c r="A12" s="30">
        <v>12</v>
      </c>
      <c r="B12" s="32" t="s">
        <v>156</v>
      </c>
      <c r="C12" s="70" t="s">
        <v>195</v>
      </c>
      <c r="D12" s="47" t="s">
        <v>181</v>
      </c>
      <c r="E12" s="42" t="s">
        <v>134</v>
      </c>
      <c r="F12" s="47" t="s">
        <v>1</v>
      </c>
      <c r="G12" s="42" t="s">
        <v>1</v>
      </c>
      <c r="H12" s="36" t="s">
        <v>184</v>
      </c>
      <c r="I12" s="25" t="s">
        <v>186</v>
      </c>
      <c r="J12" s="26" t="s">
        <v>79</v>
      </c>
      <c r="K12" s="25" t="s">
        <v>141</v>
      </c>
      <c r="L12" s="36" t="s">
        <v>1</v>
      </c>
      <c r="M12" s="25" t="s">
        <v>1</v>
      </c>
      <c r="N12" s="36" t="s">
        <v>1</v>
      </c>
      <c r="O12" s="25" t="s">
        <v>1</v>
      </c>
      <c r="P12" s="36" t="s">
        <v>1</v>
      </c>
      <c r="Q12" s="25" t="s">
        <v>1</v>
      </c>
      <c r="R12" s="36" t="s">
        <v>1</v>
      </c>
      <c r="S12" s="25" t="s">
        <v>1</v>
      </c>
      <c r="T12" s="26" t="s">
        <v>1</v>
      </c>
      <c r="U12" s="25" t="s">
        <v>1</v>
      </c>
      <c r="V12" s="36" t="s">
        <v>1</v>
      </c>
      <c r="W12" s="25" t="s">
        <v>1</v>
      </c>
      <c r="X12" s="47" t="s">
        <v>1</v>
      </c>
      <c r="Y12" s="42" t="s">
        <v>1</v>
      </c>
      <c r="Z12" s="47" t="s">
        <v>1</v>
      </c>
      <c r="AA12" s="42" t="s">
        <v>1</v>
      </c>
      <c r="AB12" s="47" t="s">
        <v>1</v>
      </c>
      <c r="AC12" s="42" t="s">
        <v>1</v>
      </c>
      <c r="AD12" s="47" t="s">
        <v>1</v>
      </c>
      <c r="AE12" s="42" t="s">
        <v>1</v>
      </c>
      <c r="AF12" s="47" t="s">
        <v>1</v>
      </c>
      <c r="AG12" s="42" t="s">
        <v>1</v>
      </c>
    </row>
    <row r="13" spans="1:33" ht="7.35" customHeight="1" x14ac:dyDescent="0.25">
      <c r="A13" s="30">
        <v>13</v>
      </c>
      <c r="B13" s="32" t="s">
        <v>155</v>
      </c>
      <c r="C13" s="70" t="s">
        <v>196</v>
      </c>
      <c r="D13" s="47" t="s">
        <v>181</v>
      </c>
      <c r="E13" s="42" t="s">
        <v>134</v>
      </c>
      <c r="F13" s="47" t="s">
        <v>1</v>
      </c>
      <c r="G13" s="42" t="s">
        <v>1</v>
      </c>
      <c r="H13" s="36" t="s">
        <v>184</v>
      </c>
      <c r="I13" s="25" t="s">
        <v>186</v>
      </c>
      <c r="J13" s="26" t="s">
        <v>79</v>
      </c>
      <c r="K13" s="25" t="s">
        <v>142</v>
      </c>
      <c r="L13" s="36" t="s">
        <v>1</v>
      </c>
      <c r="M13" s="25" t="s">
        <v>1</v>
      </c>
      <c r="N13" s="36" t="s">
        <v>1</v>
      </c>
      <c r="O13" s="25" t="s">
        <v>1</v>
      </c>
      <c r="P13" s="36" t="s">
        <v>1</v>
      </c>
      <c r="Q13" s="25" t="s">
        <v>1</v>
      </c>
      <c r="R13" s="36" t="s">
        <v>1</v>
      </c>
      <c r="S13" s="25" t="s">
        <v>1</v>
      </c>
      <c r="T13" s="26" t="s">
        <v>1</v>
      </c>
      <c r="U13" s="25" t="s">
        <v>1</v>
      </c>
      <c r="V13" s="36" t="s">
        <v>1</v>
      </c>
      <c r="W13" s="25" t="s">
        <v>1</v>
      </c>
      <c r="X13" s="47" t="s">
        <v>1</v>
      </c>
      <c r="Y13" s="42" t="s">
        <v>1</v>
      </c>
      <c r="Z13" s="47" t="s">
        <v>1</v>
      </c>
      <c r="AA13" s="42" t="s">
        <v>1</v>
      </c>
      <c r="AB13" s="47" t="s">
        <v>1</v>
      </c>
      <c r="AC13" s="42" t="s">
        <v>1</v>
      </c>
      <c r="AD13" s="47" t="s">
        <v>1</v>
      </c>
      <c r="AE13" s="42" t="s">
        <v>1</v>
      </c>
      <c r="AF13" s="47" t="s">
        <v>1</v>
      </c>
      <c r="AG13" s="42" t="s">
        <v>1</v>
      </c>
    </row>
    <row r="14" spans="1:33" ht="7.35" customHeight="1" x14ac:dyDescent="0.25">
      <c r="A14" s="30">
        <v>14</v>
      </c>
      <c r="B14" s="32" t="s">
        <v>154</v>
      </c>
      <c r="C14" s="70" t="s">
        <v>194</v>
      </c>
      <c r="D14" s="47" t="s">
        <v>181</v>
      </c>
      <c r="E14" s="42" t="s">
        <v>134</v>
      </c>
      <c r="F14" s="47" t="s">
        <v>1</v>
      </c>
      <c r="G14" s="42" t="s">
        <v>1</v>
      </c>
      <c r="H14" s="36" t="s">
        <v>184</v>
      </c>
      <c r="I14" s="25" t="s">
        <v>186</v>
      </c>
      <c r="J14" s="26" t="s">
        <v>79</v>
      </c>
      <c r="K14" s="25" t="s">
        <v>143</v>
      </c>
      <c r="L14" s="36" t="s">
        <v>1</v>
      </c>
      <c r="M14" s="25" t="s">
        <v>1</v>
      </c>
      <c r="N14" s="36" t="s">
        <v>1</v>
      </c>
      <c r="O14" s="25" t="s">
        <v>1</v>
      </c>
      <c r="P14" s="36" t="s">
        <v>1</v>
      </c>
      <c r="Q14" s="25" t="s">
        <v>1</v>
      </c>
      <c r="R14" s="36" t="s">
        <v>1</v>
      </c>
      <c r="S14" s="25" t="s">
        <v>1</v>
      </c>
      <c r="T14" s="26" t="s">
        <v>1</v>
      </c>
      <c r="U14" s="25" t="s">
        <v>1</v>
      </c>
      <c r="V14" s="36" t="s">
        <v>1</v>
      </c>
      <c r="W14" s="25" t="s">
        <v>1</v>
      </c>
      <c r="X14" s="47" t="s">
        <v>1</v>
      </c>
      <c r="Y14" s="42" t="s">
        <v>1</v>
      </c>
      <c r="Z14" s="47" t="s">
        <v>1</v>
      </c>
      <c r="AA14" s="42" t="s">
        <v>1</v>
      </c>
      <c r="AB14" s="47" t="s">
        <v>1</v>
      </c>
      <c r="AC14" s="42" t="s">
        <v>1</v>
      </c>
      <c r="AD14" s="47" t="s">
        <v>1</v>
      </c>
      <c r="AE14" s="42" t="s">
        <v>1</v>
      </c>
      <c r="AF14" s="47" t="s">
        <v>1</v>
      </c>
      <c r="AG14" s="42" t="s">
        <v>1</v>
      </c>
    </row>
    <row r="15" spans="1:33" ht="7.35" customHeight="1" x14ac:dyDescent="0.25">
      <c r="A15" s="30">
        <v>15</v>
      </c>
      <c r="B15" s="32" t="s">
        <v>158</v>
      </c>
      <c r="C15" s="70" t="s">
        <v>197</v>
      </c>
      <c r="D15" s="47" t="s">
        <v>181</v>
      </c>
      <c r="E15" s="42" t="s">
        <v>134</v>
      </c>
      <c r="F15" s="47" t="s">
        <v>1</v>
      </c>
      <c r="G15" s="42" t="s">
        <v>1</v>
      </c>
      <c r="H15" s="36" t="s">
        <v>184</v>
      </c>
      <c r="I15" s="25" t="s">
        <v>186</v>
      </c>
      <c r="J15" s="26" t="s">
        <v>79</v>
      </c>
      <c r="K15" s="25" t="s">
        <v>144</v>
      </c>
      <c r="L15" s="36" t="s">
        <v>1</v>
      </c>
      <c r="M15" s="25" t="s">
        <v>1</v>
      </c>
      <c r="N15" s="36" t="s">
        <v>1</v>
      </c>
      <c r="O15" s="25" t="s">
        <v>1</v>
      </c>
      <c r="P15" s="36" t="s">
        <v>1</v>
      </c>
      <c r="Q15" s="25" t="s">
        <v>1</v>
      </c>
      <c r="R15" s="36" t="s">
        <v>1</v>
      </c>
      <c r="S15" s="25" t="s">
        <v>1</v>
      </c>
      <c r="T15" s="26" t="s">
        <v>1</v>
      </c>
      <c r="U15" s="25" t="s">
        <v>1</v>
      </c>
      <c r="V15" s="36" t="s">
        <v>1</v>
      </c>
      <c r="W15" s="25" t="s">
        <v>1</v>
      </c>
      <c r="X15" s="47" t="s">
        <v>1</v>
      </c>
      <c r="Y15" s="42" t="s">
        <v>1</v>
      </c>
      <c r="Z15" s="47" t="s">
        <v>1</v>
      </c>
      <c r="AA15" s="42" t="s">
        <v>1</v>
      </c>
      <c r="AB15" s="47" t="s">
        <v>1</v>
      </c>
      <c r="AC15" s="42" t="s">
        <v>1</v>
      </c>
      <c r="AD15" s="47" t="s">
        <v>1</v>
      </c>
      <c r="AE15" s="42" t="s">
        <v>1</v>
      </c>
      <c r="AF15" s="47" t="s">
        <v>1</v>
      </c>
      <c r="AG15" s="42" t="s">
        <v>1</v>
      </c>
    </row>
    <row r="16" spans="1:33" s="67" customFormat="1" ht="6.75" customHeight="1" x14ac:dyDescent="0.2">
      <c r="A16" s="30">
        <v>16</v>
      </c>
      <c r="B16" s="62" t="s">
        <v>215</v>
      </c>
      <c r="C16" s="76" t="s">
        <v>250</v>
      </c>
      <c r="D16" s="47" t="s">
        <v>1</v>
      </c>
      <c r="E16" s="42" t="s">
        <v>1</v>
      </c>
      <c r="F16" s="47" t="s">
        <v>1</v>
      </c>
      <c r="G16" s="42" t="s">
        <v>1</v>
      </c>
      <c r="H16" s="36" t="s">
        <v>1</v>
      </c>
      <c r="I16" s="25" t="s">
        <v>1</v>
      </c>
      <c r="J16" s="64" t="s">
        <v>79</v>
      </c>
      <c r="K16" s="25" t="s">
        <v>220</v>
      </c>
      <c r="L16" s="63" t="s">
        <v>216</v>
      </c>
      <c r="M16" s="25" t="s">
        <v>217</v>
      </c>
      <c r="N16" s="63" t="s">
        <v>218</v>
      </c>
      <c r="O16" s="25" t="s">
        <v>219</v>
      </c>
      <c r="P16" s="65" t="str">
        <f t="shared" ref="P16:P20" si="0">IF(Q16="null", "null", "método.revit")</f>
        <v>método.revit</v>
      </c>
      <c r="Q16" s="66" t="s">
        <v>221</v>
      </c>
      <c r="R16" s="36" t="s">
        <v>1</v>
      </c>
      <c r="S16" s="25" t="s">
        <v>1</v>
      </c>
      <c r="T16" s="63" t="s">
        <v>1</v>
      </c>
      <c r="U16" s="25" t="s">
        <v>1</v>
      </c>
      <c r="V16" s="72" t="s">
        <v>1</v>
      </c>
      <c r="W16" s="25" t="s">
        <v>1</v>
      </c>
      <c r="X16" s="47" t="s">
        <v>1</v>
      </c>
      <c r="Y16" s="42" t="s">
        <v>1</v>
      </c>
      <c r="Z16" s="47" t="s">
        <v>1</v>
      </c>
      <c r="AA16" s="42" t="s">
        <v>1</v>
      </c>
      <c r="AB16" s="47" t="s">
        <v>1</v>
      </c>
      <c r="AC16" s="42" t="s">
        <v>1</v>
      </c>
      <c r="AD16" s="47" t="s">
        <v>1</v>
      </c>
      <c r="AE16" s="42" t="s">
        <v>1</v>
      </c>
      <c r="AF16" s="47" t="s">
        <v>1</v>
      </c>
      <c r="AG16" s="42" t="s">
        <v>1</v>
      </c>
    </row>
    <row r="17" spans="1:33" s="67" customFormat="1" ht="6.75" customHeight="1" x14ac:dyDescent="0.2">
      <c r="A17" s="30">
        <v>17</v>
      </c>
      <c r="B17" s="62" t="s">
        <v>222</v>
      </c>
      <c r="C17" s="76" t="s">
        <v>250</v>
      </c>
      <c r="D17" s="47" t="s">
        <v>1</v>
      </c>
      <c r="E17" s="42" t="s">
        <v>1</v>
      </c>
      <c r="F17" s="47" t="s">
        <v>1</v>
      </c>
      <c r="G17" s="42" t="s">
        <v>1</v>
      </c>
      <c r="H17" s="36" t="s">
        <v>1</v>
      </c>
      <c r="I17" s="25" t="s">
        <v>1</v>
      </c>
      <c r="J17" s="64" t="s">
        <v>79</v>
      </c>
      <c r="K17" s="25" t="s">
        <v>224</v>
      </c>
      <c r="L17" s="63" t="s">
        <v>216</v>
      </c>
      <c r="M17" s="25" t="s">
        <v>217</v>
      </c>
      <c r="N17" s="63" t="s">
        <v>218</v>
      </c>
      <c r="O17" s="25" t="s">
        <v>223</v>
      </c>
      <c r="P17" s="65" t="str">
        <f t="shared" si="0"/>
        <v>método.revit</v>
      </c>
      <c r="Q17" s="66" t="s">
        <v>225</v>
      </c>
      <c r="R17" s="36" t="s">
        <v>1</v>
      </c>
      <c r="S17" s="25" t="s">
        <v>1</v>
      </c>
      <c r="T17" s="63" t="s">
        <v>1</v>
      </c>
      <c r="U17" s="25" t="s">
        <v>1</v>
      </c>
      <c r="V17" s="72" t="s">
        <v>1</v>
      </c>
      <c r="W17" s="25" t="s">
        <v>1</v>
      </c>
      <c r="X17" s="47" t="s">
        <v>1</v>
      </c>
      <c r="Y17" s="42" t="s">
        <v>1</v>
      </c>
      <c r="Z17" s="47" t="s">
        <v>1</v>
      </c>
      <c r="AA17" s="42" t="s">
        <v>1</v>
      </c>
      <c r="AB17" s="47" t="s">
        <v>1</v>
      </c>
      <c r="AC17" s="42" t="s">
        <v>1</v>
      </c>
      <c r="AD17" s="47" t="s">
        <v>1</v>
      </c>
      <c r="AE17" s="42" t="s">
        <v>1</v>
      </c>
      <c r="AF17" s="47" t="s">
        <v>1</v>
      </c>
      <c r="AG17" s="42" t="s">
        <v>1</v>
      </c>
    </row>
    <row r="18" spans="1:33" s="67" customFormat="1" ht="6.75" customHeight="1" x14ac:dyDescent="0.2">
      <c r="A18" s="30">
        <v>18</v>
      </c>
      <c r="B18" s="62" t="s">
        <v>226</v>
      </c>
      <c r="C18" s="76" t="s">
        <v>250</v>
      </c>
      <c r="D18" s="47" t="s">
        <v>1</v>
      </c>
      <c r="E18" s="42" t="s">
        <v>1</v>
      </c>
      <c r="F18" s="47" t="s">
        <v>1</v>
      </c>
      <c r="G18" s="42" t="s">
        <v>1</v>
      </c>
      <c r="H18" s="36" t="s">
        <v>1</v>
      </c>
      <c r="I18" s="25" t="s">
        <v>1</v>
      </c>
      <c r="J18" s="64" t="s">
        <v>79</v>
      </c>
      <c r="K18" s="25" t="s">
        <v>228</v>
      </c>
      <c r="L18" s="63" t="s">
        <v>216</v>
      </c>
      <c r="M18" s="25" t="s">
        <v>217</v>
      </c>
      <c r="N18" s="63" t="s">
        <v>218</v>
      </c>
      <c r="O18" s="25" t="s">
        <v>227</v>
      </c>
      <c r="P18" s="65" t="str">
        <f t="shared" si="0"/>
        <v>método.revit</v>
      </c>
      <c r="Q18" s="66" t="s">
        <v>229</v>
      </c>
      <c r="R18" s="36" t="s">
        <v>1</v>
      </c>
      <c r="S18" s="25" t="s">
        <v>1</v>
      </c>
      <c r="T18" s="63" t="s">
        <v>1</v>
      </c>
      <c r="U18" s="25" t="s">
        <v>1</v>
      </c>
      <c r="V18" s="72" t="s">
        <v>1</v>
      </c>
      <c r="W18" s="25" t="s">
        <v>1</v>
      </c>
      <c r="X18" s="47" t="s">
        <v>1</v>
      </c>
      <c r="Y18" s="42" t="s">
        <v>1</v>
      </c>
      <c r="Z18" s="47" t="s">
        <v>1</v>
      </c>
      <c r="AA18" s="42" t="s">
        <v>1</v>
      </c>
      <c r="AB18" s="47" t="s">
        <v>1</v>
      </c>
      <c r="AC18" s="42" t="s">
        <v>1</v>
      </c>
      <c r="AD18" s="47" t="s">
        <v>1</v>
      </c>
      <c r="AE18" s="42" t="s">
        <v>1</v>
      </c>
      <c r="AF18" s="47" t="s">
        <v>1</v>
      </c>
      <c r="AG18" s="42" t="s">
        <v>1</v>
      </c>
    </row>
    <row r="19" spans="1:33" s="67" customFormat="1" ht="6.75" customHeight="1" x14ac:dyDescent="0.2">
      <c r="A19" s="30">
        <v>19</v>
      </c>
      <c r="B19" s="62" t="s">
        <v>230</v>
      </c>
      <c r="C19" s="76" t="s">
        <v>250</v>
      </c>
      <c r="D19" s="47" t="s">
        <v>1</v>
      </c>
      <c r="E19" s="42" t="s">
        <v>1</v>
      </c>
      <c r="F19" s="47" t="s">
        <v>1</v>
      </c>
      <c r="G19" s="42" t="s">
        <v>1</v>
      </c>
      <c r="H19" s="36" t="s">
        <v>1</v>
      </c>
      <c r="I19" s="25" t="s">
        <v>1</v>
      </c>
      <c r="J19" s="64" t="s">
        <v>79</v>
      </c>
      <c r="K19" s="25" t="s">
        <v>232</v>
      </c>
      <c r="L19" s="63" t="s">
        <v>216</v>
      </c>
      <c r="M19" s="25" t="s">
        <v>217</v>
      </c>
      <c r="N19" s="63" t="s">
        <v>218</v>
      </c>
      <c r="O19" s="25" t="s">
        <v>231</v>
      </c>
      <c r="P19" s="65" t="str">
        <f t="shared" si="0"/>
        <v>método.revit</v>
      </c>
      <c r="Q19" s="66" t="s">
        <v>233</v>
      </c>
      <c r="R19" s="36" t="s">
        <v>1</v>
      </c>
      <c r="S19" s="25" t="s">
        <v>1</v>
      </c>
      <c r="T19" s="63" t="s">
        <v>1</v>
      </c>
      <c r="U19" s="25" t="s">
        <v>1</v>
      </c>
      <c r="V19" s="72" t="s">
        <v>1</v>
      </c>
      <c r="W19" s="25" t="s">
        <v>1</v>
      </c>
      <c r="X19" s="47" t="s">
        <v>1</v>
      </c>
      <c r="Y19" s="42" t="s">
        <v>1</v>
      </c>
      <c r="Z19" s="47" t="s">
        <v>1</v>
      </c>
      <c r="AA19" s="42" t="s">
        <v>1</v>
      </c>
      <c r="AB19" s="47" t="s">
        <v>1</v>
      </c>
      <c r="AC19" s="42" t="s">
        <v>1</v>
      </c>
      <c r="AD19" s="47" t="s">
        <v>1</v>
      </c>
      <c r="AE19" s="42" t="s">
        <v>1</v>
      </c>
      <c r="AF19" s="47" t="s">
        <v>1</v>
      </c>
      <c r="AG19" s="42" t="s">
        <v>1</v>
      </c>
    </row>
    <row r="20" spans="1:33" s="67" customFormat="1" ht="6.75" customHeight="1" x14ac:dyDescent="0.2">
      <c r="A20" s="30">
        <v>20</v>
      </c>
      <c r="B20" s="62" t="s">
        <v>234</v>
      </c>
      <c r="C20" s="76" t="s">
        <v>250</v>
      </c>
      <c r="D20" s="47" t="s">
        <v>1</v>
      </c>
      <c r="E20" s="42" t="s">
        <v>1</v>
      </c>
      <c r="F20" s="47" t="s">
        <v>1</v>
      </c>
      <c r="G20" s="42" t="s">
        <v>1</v>
      </c>
      <c r="H20" s="36" t="s">
        <v>1</v>
      </c>
      <c r="I20" s="25" t="s">
        <v>1</v>
      </c>
      <c r="J20" s="64" t="s">
        <v>79</v>
      </c>
      <c r="K20" s="25" t="s">
        <v>236</v>
      </c>
      <c r="L20" s="63" t="s">
        <v>216</v>
      </c>
      <c r="M20" s="25" t="s">
        <v>217</v>
      </c>
      <c r="N20" s="63" t="s">
        <v>218</v>
      </c>
      <c r="O20" s="25" t="s">
        <v>235</v>
      </c>
      <c r="P20" s="65" t="str">
        <f t="shared" si="0"/>
        <v>método.revit</v>
      </c>
      <c r="Q20" s="66" t="s">
        <v>237</v>
      </c>
      <c r="R20" s="36" t="s">
        <v>1</v>
      </c>
      <c r="S20" s="25" t="s">
        <v>1</v>
      </c>
      <c r="T20" s="63" t="s">
        <v>1</v>
      </c>
      <c r="U20" s="25" t="s">
        <v>1</v>
      </c>
      <c r="V20" s="72" t="s">
        <v>1</v>
      </c>
      <c r="W20" s="25" t="s">
        <v>1</v>
      </c>
      <c r="X20" s="47" t="s">
        <v>1</v>
      </c>
      <c r="Y20" s="42" t="s">
        <v>1</v>
      </c>
      <c r="Z20" s="47" t="s">
        <v>1</v>
      </c>
      <c r="AA20" s="42" t="s">
        <v>1</v>
      </c>
      <c r="AB20" s="47" t="s">
        <v>1</v>
      </c>
      <c r="AC20" s="42" t="s">
        <v>1</v>
      </c>
      <c r="AD20" s="47" t="s">
        <v>1</v>
      </c>
      <c r="AE20" s="42" t="s">
        <v>1</v>
      </c>
      <c r="AF20" s="47" t="s">
        <v>1</v>
      </c>
      <c r="AG20" s="42" t="s">
        <v>1</v>
      </c>
    </row>
  </sheetData>
  <sortState xmlns:xlrd2="http://schemas.microsoft.com/office/spreadsheetml/2017/richdata2" ref="A10:W13">
    <sortCondition ref="A1:A13"/>
  </sortState>
  <phoneticPr fontId="1" type="noConversion"/>
  <conditionalFormatting sqref="B2:B6">
    <cfRule type="duplicateValues" dxfId="20" priority="1989"/>
    <cfRule type="duplicateValues" dxfId="19" priority="1990"/>
  </conditionalFormatting>
  <conditionalFormatting sqref="B7:B15 B1">
    <cfRule type="duplicateValues" dxfId="18" priority="1985"/>
    <cfRule type="duplicateValues" dxfId="17" priority="1986"/>
  </conditionalFormatting>
  <conditionalFormatting sqref="B16:B20">
    <cfRule type="duplicateValues" dxfId="16" priority="19"/>
    <cfRule type="duplicateValues" dxfId="15" priority="20"/>
  </conditionalFormatting>
  <conditionalFormatting sqref="D3:E20">
    <cfRule type="cellIs" dxfId="14" priority="8" operator="equal">
      <formula>"null"</formula>
    </cfRule>
  </conditionalFormatting>
  <conditionalFormatting sqref="D1:AG1">
    <cfRule type="cellIs" dxfId="13" priority="15" operator="equal">
      <formula>"null"</formula>
    </cfRule>
  </conditionalFormatting>
  <conditionalFormatting sqref="F3:G14 A1:B15 D2 H3:W15 A16:A20">
    <cfRule type="cellIs" dxfId="12" priority="41" operator="equal">
      <formula>"null"</formula>
    </cfRule>
  </conditionalFormatting>
  <conditionalFormatting sqref="F15:H15">
    <cfRule type="cellIs" dxfId="11" priority="61" operator="equal">
      <formula>"null"</formula>
    </cfRule>
  </conditionalFormatting>
  <conditionalFormatting sqref="F16:I20">
    <cfRule type="cellIs" dxfId="10" priority="2" operator="equal">
      <formula>"null"</formula>
    </cfRule>
  </conditionalFormatting>
  <conditionalFormatting sqref="F2:W2">
    <cfRule type="cellIs" dxfId="9" priority="38" operator="equal">
      <formula>"null"</formula>
    </cfRule>
  </conditionalFormatting>
  <conditionalFormatting sqref="G7:G10">
    <cfRule type="duplicateValues" dxfId="8" priority="21"/>
    <cfRule type="duplicateValues" dxfId="7" priority="22"/>
  </conditionalFormatting>
  <conditionalFormatting sqref="R16:W20">
    <cfRule type="cellIs" dxfId="6" priority="18" operator="equal">
      <formula>"null"</formula>
    </cfRule>
  </conditionalFormatting>
  <conditionalFormatting sqref="X2:Y1048576">
    <cfRule type="cellIs" dxfId="5" priority="3" operator="equal">
      <formula>"null"</formula>
    </cfRule>
  </conditionalFormatting>
  <conditionalFormatting sqref="Z1">
    <cfRule type="cellIs" dxfId="4" priority="14" operator="equal">
      <formula>"null"</formula>
    </cfRule>
  </conditionalFormatting>
  <conditionalFormatting sqref="Z2:AG20">
    <cfRule type="cellIs" dxfId="3" priority="4" operator="equal">
      <formula>"null"</formula>
    </cfRule>
  </conditionalFormatting>
  <conditionalFormatting sqref="AB1">
    <cfRule type="cellIs" dxfId="2" priority="13" operator="equal">
      <formula>"null"</formula>
    </cfRule>
  </conditionalFormatting>
  <conditionalFormatting sqref="AD1">
    <cfRule type="cellIs" dxfId="1" priority="12" operator="equal">
      <formula>"null"</formula>
    </cfRule>
  </conditionalFormatting>
  <conditionalFormatting sqref="AF1">
    <cfRule type="cellIs" dxfId="0" priority="1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2026-09-09T12:40:39Z</dcterms:modified>
</cp:coreProperties>
</file>