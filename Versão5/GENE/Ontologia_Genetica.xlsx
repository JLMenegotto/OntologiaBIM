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EGCO\"/>
    </mc:Choice>
  </mc:AlternateContent>
  <xr:revisionPtr revIDLastSave="0" documentId="13_ncr:1_{22DF3C5A-BC59-465A-A093-B7D2C258FDD3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30" l="1"/>
  <c r="W3" i="31"/>
  <c r="W4" i="31"/>
  <c r="W5" i="31"/>
  <c r="W6" i="31"/>
  <c r="W7" i="31"/>
  <c r="W8" i="31"/>
  <c r="W9" i="31"/>
  <c r="W10" i="31"/>
  <c r="W11" i="31"/>
  <c r="W12" i="31"/>
  <c r="W13" i="31"/>
  <c r="W2" i="31"/>
  <c r="U6" i="31"/>
  <c r="T6" i="31"/>
  <c r="S6" i="31"/>
  <c r="O6" i="31"/>
  <c r="N6" i="31"/>
  <c r="M6" i="31"/>
  <c r="L6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2" i="31"/>
  <c r="T2" i="31"/>
  <c r="S2" i="31"/>
  <c r="O2" i="31"/>
  <c r="N2" i="31"/>
  <c r="M2" i="31"/>
  <c r="L2" i="31"/>
  <c r="W9" i="30"/>
  <c r="W8" i="30"/>
  <c r="W7" i="30"/>
  <c r="U3" i="31"/>
  <c r="T3" i="31"/>
  <c r="S3" i="31"/>
  <c r="O3" i="31"/>
  <c r="N3" i="31"/>
  <c r="M3" i="31"/>
  <c r="L3" i="31"/>
  <c r="U7" i="31"/>
  <c r="T7" i="31"/>
  <c r="S7" i="31"/>
  <c r="O7" i="31"/>
  <c r="N7" i="31"/>
  <c r="M7" i="31"/>
  <c r="L7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W5" i="30"/>
  <c r="W4" i="30"/>
  <c r="B21" i="26"/>
  <c r="B20" i="26"/>
  <c r="AA3" i="31"/>
  <c r="AA4" i="31"/>
  <c r="AA12" i="31"/>
  <c r="AA8" i="31"/>
  <c r="AA5" i="31"/>
  <c r="AA13" i="31"/>
  <c r="AA6" i="31"/>
  <c r="AA9" i="31"/>
  <c r="AA7" i="31"/>
  <c r="AA10" i="31"/>
  <c r="AA11" i="31"/>
  <c r="Q3" i="31"/>
  <c r="Q11" i="31"/>
  <c r="Q4" i="31"/>
  <c r="Q12" i="31"/>
  <c r="Q5" i="31"/>
  <c r="Q13" i="31"/>
  <c r="Q6" i="31"/>
  <c r="Q7" i="31"/>
  <c r="Q8" i="31"/>
  <c r="Q9" i="31"/>
  <c r="AA2" i="31"/>
  <c r="Q2" i="31"/>
  <c r="B26" i="26"/>
  <c r="W3" i="30" l="1"/>
  <c r="W2" i="30"/>
  <c r="B18" i="26" l="1"/>
  <c r="B6" i="26" l="1"/>
  <c r="B5" i="26"/>
</calcChain>
</file>

<file path=xl/sharedStrings.xml><?xml version="1.0" encoding="utf-8"?>
<sst xmlns="http://schemas.openxmlformats.org/spreadsheetml/2006/main" count="554" uniqueCount="169">
  <si>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</si>
  <si>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</si>
  <si>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</si>
  <si>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</si>
  <si>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</si>
  <si>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</si>
  <si>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</si>
  <si>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</si>
  <si>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</si>
  <si>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</si>
  <si>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</si>
  <si>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</si>
  <si>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</si>
  <si>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</si>
  <si>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</si>
  <si>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</si>
  <si>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</si>
  <si>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</si>
  <si>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</si>
  <si>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</si>
  <si>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</si>
  <si>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</si>
  <si>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</si>
  <si>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</si>
  <si>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</si>
  <si>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</si>
  <si>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</si>
  <si>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</si>
  <si>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</si>
  <si>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</si>
  <si>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</si>
  <si>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</si>
  <si>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</si>
  <si>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</si>
  <si>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</si>
  <si>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</si>
  <si>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</si>
  <si>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</si>
  <si>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</si>
  <si>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</si>
  <si>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</si>
  <si>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</si>
  <si>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</si>
  <si>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</si>
  <si>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</si>
  <si>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</si>
  <si>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</si>
  <si>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</si>
  <si>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</si>
  <si>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</si>
  <si>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</si>
  <si>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</si>
  <si>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</si>
  <si>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</si>
  <si>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</si>
  <si>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</si>
  <si>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</si>
  <si>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</si>
  <si>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</si>
  <si>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</si>
  <si>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</si>
  <si>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</si>
  <si>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</si>
  <si>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</si>
  <si>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</si>
  <si>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</si>
  <si>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</si>
  <si>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</si>
  <si>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</si>
  <si>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</si>
  <si>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</si>
  <si>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</si>
  <si>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</si>
  <si>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</si>
  <si>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</si>
  <si>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</si>
  <si>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</si>
  <si>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</si>
  <si>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</si>
  <si>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</si>
  <si>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</si>
  <si>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</si>
  <si>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</si>
  <si>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</si>
  <si>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</si>
  <si>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</si>
  <si>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</si>
  <si>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</si>
  <si>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</si>
  <si>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</si>
  <si>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</si>
  <si>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</si>
  <si>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</si>
  <si>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</si>
  <si>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</si>
  <si>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</si>
  <si>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</si>
  <si>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</si>
  <si>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</si>
  <si>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</si>
  <si>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</si>
  <si>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</si>
  <si>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</si>
  <si>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</si>
  <si>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</si>
  <si>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</si>
  <si>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</si>
  <si>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</si>
  <si>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</si>
  <si>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</si>
  <si>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</si>
  <si>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</si>
  <si>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</si>
  <si>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</si>
  <si>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</si>
  <si>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</si>
  <si>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</si>
  <si>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</si>
  <si>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TGB</t>
  </si>
  <si>
    <t>Estrutura.Geométrica</t>
  </si>
  <si>
    <t>Movimento.Geométrico</t>
  </si>
  <si>
    <t>Translação</t>
  </si>
  <si>
    <t>Giro</t>
  </si>
  <si>
    <t>Escalar</t>
  </si>
  <si>
    <t>Reflexão</t>
  </si>
  <si>
    <t>Parâmetro.Geométrico</t>
  </si>
  <si>
    <t>Ponto.Base</t>
  </si>
  <si>
    <t>Ponto.Destino</t>
  </si>
  <si>
    <t>T</t>
  </si>
  <si>
    <t>G</t>
  </si>
  <si>
    <t>E</t>
  </si>
  <si>
    <t>R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</si>
  <si>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</si>
  <si>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</si>
  <si>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</si>
  <si>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</si>
  <si>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</si>
  <si>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</si>
  <si>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</si>
  <si>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</si>
  <si>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</si>
  <si>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</si>
  <si>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</si>
  <si>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</si>
  <si>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</si>
  <si>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</si>
  <si>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</si>
  <si>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</si>
  <si>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</si>
  <si>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</si>
  <si>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</si>
  <si>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Valor.Deslocar</t>
  </si>
  <si>
    <t xml:space="preserve">( Valor.Deslocar and Valor.Angular ) or ( Valor.X and Valor.Y and Valor.Z ) </t>
  </si>
  <si>
    <t>Valor Deslocar</t>
  </si>
  <si>
    <t>Valor Angular</t>
  </si>
  <si>
    <t>Valor Escalar</t>
  </si>
  <si>
    <t>Ponto Base</t>
  </si>
  <si>
    <t>Ponto Destino</t>
  </si>
  <si>
    <t>Translación</t>
  </si>
  <si>
    <t>Valor de X</t>
  </si>
  <si>
    <t>Valor de Y</t>
  </si>
  <si>
    <t>Valor de Z</t>
  </si>
  <si>
    <t>PB1</t>
  </si>
  <si>
    <t>Vd1</t>
  </si>
  <si>
    <t>Va1</t>
  </si>
  <si>
    <t>Va2</t>
  </si>
  <si>
    <t>valor.angular</t>
  </si>
  <si>
    <t>valor.transladar</t>
  </si>
  <si>
    <t>"Um valor do deslocamento"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</si>
</sst>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B26" sqref="B26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60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53" t="s">
        <v>104</v>
      </c>
    </row>
    <row r="2" spans="1:3" ht="6.95" customHeight="1" x14ac:dyDescent="0.25">
      <c r="A2" s="14" t="s">
        <v>60</v>
      </c>
      <c r="B2" s="14" t="s">
        <v>76</v>
      </c>
      <c r="C2" s="59" t="s">
        <v>105</v>
      </c>
    </row>
    <row r="3" spans="1:3" ht="6.95" customHeight="1" x14ac:dyDescent="0.25">
      <c r="A3" s="14" t="s">
        <v>61</v>
      </c>
      <c r="B3" s="15" t="s">
        <v>112</v>
      </c>
      <c r="C3" s="59" t="s">
        <v>105</v>
      </c>
    </row>
    <row r="4" spans="1:3" ht="6.95" customHeight="1" x14ac:dyDescent="0.25">
      <c r="A4" s="14" t="s">
        <v>52</v>
      </c>
      <c r="B4" s="14" t="s">
        <v>62</v>
      </c>
      <c r="C4" s="59" t="s">
        <v>105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59" t="s">
        <v>105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59" t="s">
        <v>105</v>
      </c>
    </row>
    <row r="7" spans="1:3" ht="6.95" customHeight="1" x14ac:dyDescent="0.25">
      <c r="A7" s="14" t="s">
        <v>55</v>
      </c>
      <c r="B7" s="14" t="s">
        <v>63</v>
      </c>
      <c r="C7" s="59" t="s">
        <v>105</v>
      </c>
    </row>
    <row r="8" spans="1:3" customFormat="1" ht="6.95" customHeight="1" x14ac:dyDescent="0.25">
      <c r="A8" s="16" t="s">
        <v>56</v>
      </c>
      <c r="B8" s="16" t="s">
        <v>103</v>
      </c>
      <c r="C8" s="59" t="s">
        <v>105</v>
      </c>
    </row>
    <row r="9" spans="1:3" ht="6.95" customHeight="1" x14ac:dyDescent="0.25">
      <c r="A9" s="14" t="s">
        <v>64</v>
      </c>
      <c r="B9" s="14" t="s">
        <v>65</v>
      </c>
      <c r="C9" s="59" t="s">
        <v>105</v>
      </c>
    </row>
    <row r="10" spans="1:3" ht="6.95" customHeight="1" x14ac:dyDescent="0.25">
      <c r="A10" s="14" t="s">
        <v>66</v>
      </c>
      <c r="B10" s="14" t="s">
        <v>38</v>
      </c>
      <c r="C10" s="59" t="s">
        <v>105</v>
      </c>
    </row>
    <row r="11" spans="1:3" ht="6.95" customHeight="1" x14ac:dyDescent="0.25">
      <c r="A11" s="14" t="s">
        <v>57</v>
      </c>
      <c r="B11" s="14" t="s">
        <v>38</v>
      </c>
      <c r="C11" s="59" t="s">
        <v>105</v>
      </c>
    </row>
    <row r="12" spans="1:3" ht="6.95" customHeight="1" x14ac:dyDescent="0.25">
      <c r="A12" s="14" t="s">
        <v>58</v>
      </c>
      <c r="B12" s="14" t="s">
        <v>38</v>
      </c>
      <c r="C12" s="59" t="s">
        <v>105</v>
      </c>
    </row>
    <row r="13" spans="1:3" ht="6.95" customHeight="1" x14ac:dyDescent="0.25">
      <c r="A13" s="14" t="s">
        <v>67</v>
      </c>
      <c r="B13" s="14" t="s">
        <v>38</v>
      </c>
      <c r="C13" s="59" t="s">
        <v>105</v>
      </c>
    </row>
    <row r="14" spans="1:3" ht="6.95" customHeight="1" x14ac:dyDescent="0.25">
      <c r="A14" s="14" t="s">
        <v>68</v>
      </c>
      <c r="B14" s="14" t="s">
        <v>38</v>
      </c>
      <c r="C14" s="59" t="s">
        <v>105</v>
      </c>
    </row>
    <row r="15" spans="1:3" ht="6.95" customHeight="1" x14ac:dyDescent="0.25">
      <c r="A15" s="14" t="s">
        <v>69</v>
      </c>
      <c r="B15" s="14" t="s">
        <v>38</v>
      </c>
      <c r="C15" s="59" t="s">
        <v>105</v>
      </c>
    </row>
    <row r="16" spans="1:3" ht="6.95" customHeight="1" x14ac:dyDescent="0.25">
      <c r="A16" s="14" t="s">
        <v>70</v>
      </c>
      <c r="B16" s="14" t="s">
        <v>38</v>
      </c>
      <c r="C16" s="59" t="s">
        <v>105</v>
      </c>
    </row>
    <row r="17" spans="1:3" ht="6.95" customHeight="1" x14ac:dyDescent="0.25">
      <c r="A17" s="14" t="s">
        <v>59</v>
      </c>
      <c r="B17" s="16" t="s">
        <v>113</v>
      </c>
      <c r="C17" s="59" t="s">
        <v>105</v>
      </c>
    </row>
    <row r="18" spans="1:3" ht="6.95" customHeight="1" x14ac:dyDescent="0.25">
      <c r="A18" s="14" t="s">
        <v>71</v>
      </c>
      <c r="B18" s="17">
        <f ca="1">NOW()</f>
        <v>46126.520989814817</v>
      </c>
      <c r="C18" s="59" t="s">
        <v>105</v>
      </c>
    </row>
    <row r="19" spans="1:3" s="45" customFormat="1" ht="6.95" customHeight="1" x14ac:dyDescent="0.25">
      <c r="A19" s="16" t="s">
        <v>110</v>
      </c>
      <c r="B19" s="61" t="s">
        <v>111</v>
      </c>
      <c r="C19" s="59" t="s">
        <v>105</v>
      </c>
    </row>
    <row r="20" spans="1:3" s="45" customFormat="1" ht="6.95" customHeight="1" x14ac:dyDescent="0.25">
      <c r="A20" s="16" t="s">
        <v>108</v>
      </c>
      <c r="B20" s="61" t="str">
        <f>_xlfn.TRANSLATE(B19,"pt","es")</f>
        <v>Traducciones integradas al español e inglés - Las traducciones deben revisarse constantemente</v>
      </c>
      <c r="C20" s="59" t="s">
        <v>106</v>
      </c>
    </row>
    <row r="21" spans="1:3" s="45" customFormat="1" ht="6.95" customHeight="1" x14ac:dyDescent="0.25">
      <c r="A21" s="16" t="s">
        <v>109</v>
      </c>
      <c r="B21" s="61" t="str">
        <f>_xlfn.TRANSLATE(B19,"pt","en")</f>
        <v>Built-in Spanish and English Translations - Translations must be constantly reviewed</v>
      </c>
      <c r="C21" s="59" t="s">
        <v>107</v>
      </c>
    </row>
    <row r="22" spans="1:3" ht="6.95" customHeight="1" x14ac:dyDescent="0.25">
      <c r="A22" s="14" t="s">
        <v>72</v>
      </c>
      <c r="B22" s="14" t="s">
        <v>38</v>
      </c>
      <c r="C22" s="59" t="s">
        <v>105</v>
      </c>
    </row>
    <row r="23" spans="1:3" ht="6.95" customHeight="1" x14ac:dyDescent="0.25">
      <c r="A23" s="14" t="s">
        <v>73</v>
      </c>
      <c r="B23" s="14" t="s">
        <v>38</v>
      </c>
      <c r="C23" s="59" t="s">
        <v>105</v>
      </c>
    </row>
    <row r="24" spans="1:3" ht="6.95" customHeight="1" x14ac:dyDescent="0.25">
      <c r="A24" s="16" t="s">
        <v>74</v>
      </c>
      <c r="B24" s="18" t="s">
        <v>114</v>
      </c>
      <c r="C24" s="59" t="s">
        <v>105</v>
      </c>
    </row>
    <row r="25" spans="1:3" ht="6.95" customHeight="1" x14ac:dyDescent="0.25">
      <c r="A25" s="16" t="s">
        <v>75</v>
      </c>
      <c r="B25" s="18" t="s">
        <v>115</v>
      </c>
      <c r="C25" s="59" t="s">
        <v>106</v>
      </c>
    </row>
    <row r="26" spans="1:3" customFormat="1" ht="6.95" customHeight="1" x14ac:dyDescent="0.25">
      <c r="A26" s="16" t="s">
        <v>102</v>
      </c>
      <c r="B26" s="18" t="str">
        <f>_xlfn.TRANSLATE(B24,"pt","en")</f>
        <v>Formalize concepts of Genetically Constructed Structures</v>
      </c>
      <c r="C26" s="59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3"/>
  <sheetViews>
    <sheetView zoomScale="265" zoomScaleNormal="265" workbookViewId="0">
      <selection activeCell="F2" sqref="F2:F13"/>
    </sheetView>
  </sheetViews>
  <sheetFormatPr defaultColWidth="9.140625" defaultRowHeight="15" x14ac:dyDescent="0.25"/>
  <cols>
    <col min="1" max="1" width="2.5703125" customWidth="1"/>
    <col min="2" max="2" width="4.5703125" customWidth="1"/>
    <col min="3" max="3" width="9.7109375" customWidth="1"/>
    <col min="4" max="4" width="5.140625" customWidth="1"/>
    <col min="5" max="5" width="11.140625" customWidth="1"/>
    <col min="6" max="6" width="6.85546875" customWidth="1"/>
    <col min="7" max="10" width="7.42578125" customWidth="1"/>
    <col min="11" max="11" width="31.28515625" customWidth="1"/>
    <col min="12" max="12" width="10" customWidth="1"/>
    <col min="13" max="13" width="3.140625" customWidth="1"/>
    <col min="14" max="14" width="10.7109375" customWidth="1"/>
    <col min="15" max="15" width="7" customWidth="1"/>
    <col min="16" max="16" width="10.28515625" customWidth="1"/>
    <col min="17" max="17" width="8.42578125" customWidth="1"/>
    <col min="18" max="18" width="5.28515625" bestFit="1" customWidth="1"/>
    <col min="19" max="19" width="10.140625" customWidth="1"/>
    <col min="20" max="20" width="5.7109375" customWidth="1"/>
    <col min="21" max="21" width="10.7109375" customWidth="1"/>
    <col min="22" max="22" width="6.85546875" customWidth="1"/>
    <col min="23" max="23" width="7" customWidth="1"/>
    <col min="24" max="26" width="6.42578125" customWidth="1"/>
    <col min="27" max="27" width="8.7109375" customWidth="1"/>
  </cols>
  <sheetData>
    <row r="1" spans="1:27" ht="55.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2" t="s">
        <v>39</v>
      </c>
      <c r="H1" s="22" t="s">
        <v>40</v>
      </c>
      <c r="I1" s="22" t="s">
        <v>41</v>
      </c>
      <c r="J1" s="22" t="s">
        <v>42</v>
      </c>
      <c r="K1" s="22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86</v>
      </c>
      <c r="Q1" s="23" t="s">
        <v>87</v>
      </c>
      <c r="R1" s="49" t="s">
        <v>88</v>
      </c>
      <c r="S1" s="23" t="s">
        <v>78</v>
      </c>
      <c r="T1" s="23" t="s">
        <v>89</v>
      </c>
      <c r="U1" s="25" t="s">
        <v>80</v>
      </c>
      <c r="V1" s="23" t="s">
        <v>79</v>
      </c>
      <c r="W1" s="24" t="s">
        <v>0</v>
      </c>
      <c r="X1" s="23" t="s">
        <v>98</v>
      </c>
      <c r="Y1" s="23" t="s">
        <v>99</v>
      </c>
      <c r="Z1" s="23" t="s">
        <v>100</v>
      </c>
      <c r="AA1" s="57" t="s">
        <v>101</v>
      </c>
    </row>
    <row r="2" spans="1:27" ht="6.6" customHeight="1" x14ac:dyDescent="0.25">
      <c r="A2" s="26">
        <v>2</v>
      </c>
      <c r="B2" s="27" t="s">
        <v>94</v>
      </c>
      <c r="C2" s="28" t="s">
        <v>119</v>
      </c>
      <c r="D2" s="29" t="s">
        <v>118</v>
      </c>
      <c r="E2" s="29" t="s">
        <v>125</v>
      </c>
      <c r="F2" s="62" t="s">
        <v>147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1" t="str">
        <f t="shared" ref="L2:L12" si="0">_xlfn.CONCAT(C2)</f>
        <v>Estrutura.Geométrica</v>
      </c>
      <c r="M2" s="31" t="str">
        <f t="shared" ref="M2" si="1">_xlfn.CONCAT("", D2)</f>
        <v>TGB</v>
      </c>
      <c r="N2" s="31" t="str">
        <f t="shared" ref="N2" si="2">_xlfn.CONCAT("", E2)</f>
        <v>Parâmetro.Geométrico</v>
      </c>
      <c r="O2" s="31" t="str">
        <f t="shared" ref="O2" si="3">_xlfn.CONCAT("", F2)</f>
        <v>Valor.X</v>
      </c>
      <c r="P2" s="31" t="s">
        <v>159</v>
      </c>
      <c r="Q2" s="31" t="str">
        <f t="shared" ref="Q2:Q13" si="4">_xlfn.TRANSLATE(P2,"pt","es")</f>
        <v>Valor X</v>
      </c>
      <c r="R2" s="50" t="s">
        <v>90</v>
      </c>
      <c r="S2" s="33" t="str">
        <f t="shared" ref="S2" si="5">SUBSTITUTE(C2, "_", " ")</f>
        <v>Estrutura.Geométrica</v>
      </c>
      <c r="T2" s="33" t="str">
        <f t="shared" ref="T2" si="6">SUBSTITUTE(D2, "_", " ")</f>
        <v>TGB</v>
      </c>
      <c r="U2" s="32" t="str">
        <f t="shared" ref="U2" si="7">SUBSTITUTE(E2, "_", " ")</f>
        <v>Parâmetro.Geométrico</v>
      </c>
      <c r="V2" s="34" t="s">
        <v>91</v>
      </c>
      <c r="W2" s="35" t="str">
        <f>CONCATENATE("Key.EGC",".",A2)</f>
        <v>Key.EGC.2</v>
      </c>
      <c r="X2" s="34" t="s">
        <v>1</v>
      </c>
      <c r="Y2" s="34" t="s">
        <v>1</v>
      </c>
      <c r="Z2" s="34" t="s">
        <v>1</v>
      </c>
      <c r="AA2" s="58" t="str">
        <f t="shared" ref="AA2:AA13" si="8">_xlfn.TRANSLATE(P2,"pt","en")</f>
        <v>X Value</v>
      </c>
    </row>
    <row r="3" spans="1:27" ht="6.6" customHeight="1" x14ac:dyDescent="0.25">
      <c r="A3" s="26">
        <v>3</v>
      </c>
      <c r="B3" s="27" t="s">
        <v>94</v>
      </c>
      <c r="C3" s="28" t="s">
        <v>119</v>
      </c>
      <c r="D3" s="29" t="s">
        <v>118</v>
      </c>
      <c r="E3" s="29" t="s">
        <v>125</v>
      </c>
      <c r="F3" s="62" t="s">
        <v>148</v>
      </c>
      <c r="G3" s="30" t="s">
        <v>1</v>
      </c>
      <c r="H3" s="30" t="s">
        <v>1</v>
      </c>
      <c r="I3" s="30" t="s">
        <v>1</v>
      </c>
      <c r="J3" s="30" t="s">
        <v>1</v>
      </c>
      <c r="K3" s="30" t="s">
        <v>1</v>
      </c>
      <c r="L3" s="31" t="str">
        <f t="shared" si="0"/>
        <v>Estrutura.Geométrica</v>
      </c>
      <c r="M3" s="31" t="str">
        <f t="shared" ref="M3:O3" si="9">_xlfn.CONCAT("", D3)</f>
        <v>TGB</v>
      </c>
      <c r="N3" s="31" t="str">
        <f t="shared" si="9"/>
        <v>Parâmetro.Geométrico</v>
      </c>
      <c r="O3" s="31" t="str">
        <f t="shared" si="9"/>
        <v>Valor.Y</v>
      </c>
      <c r="P3" s="31" t="s">
        <v>160</v>
      </c>
      <c r="Q3" s="31" t="str">
        <f t="shared" si="4"/>
        <v>Valor Y</v>
      </c>
      <c r="R3" s="50" t="s">
        <v>90</v>
      </c>
      <c r="S3" s="33" t="str">
        <f t="shared" ref="S3:U3" si="10">SUBSTITUTE(C3, "_", " ")</f>
        <v>Estrutura.Geométrica</v>
      </c>
      <c r="T3" s="33" t="str">
        <f t="shared" si="10"/>
        <v>TGB</v>
      </c>
      <c r="U3" s="32" t="str">
        <f t="shared" si="10"/>
        <v>Parâmetro.Geométrico</v>
      </c>
      <c r="V3" s="34" t="s">
        <v>91</v>
      </c>
      <c r="W3" s="35" t="str">
        <f t="shared" ref="W3:W13" si="11">CONCATENATE("Key.EGC",".",A3)</f>
        <v>Key.EGC.3</v>
      </c>
      <c r="X3" s="34" t="s">
        <v>1</v>
      </c>
      <c r="Y3" s="34" t="s">
        <v>1</v>
      </c>
      <c r="Z3" s="34" t="s">
        <v>1</v>
      </c>
      <c r="AA3" s="58" t="str">
        <f t="shared" si="8"/>
        <v>Y Value</v>
      </c>
    </row>
    <row r="4" spans="1:27" ht="6.6" customHeight="1" x14ac:dyDescent="0.25">
      <c r="A4" s="26">
        <v>4</v>
      </c>
      <c r="B4" s="27" t="s">
        <v>94</v>
      </c>
      <c r="C4" s="28" t="s">
        <v>119</v>
      </c>
      <c r="D4" s="29" t="s">
        <v>118</v>
      </c>
      <c r="E4" s="29" t="s">
        <v>125</v>
      </c>
      <c r="F4" s="62" t="s">
        <v>149</v>
      </c>
      <c r="G4" s="30" t="s">
        <v>1</v>
      </c>
      <c r="H4" s="30" t="s">
        <v>1</v>
      </c>
      <c r="I4" s="30" t="s">
        <v>1</v>
      </c>
      <c r="J4" s="30" t="s">
        <v>1</v>
      </c>
      <c r="K4" s="30" t="s">
        <v>1</v>
      </c>
      <c r="L4" s="31" t="str">
        <f t="shared" si="0"/>
        <v>Estrutura.Geométrica</v>
      </c>
      <c r="M4" s="31" t="str">
        <f t="shared" ref="M4:M9" si="12">_xlfn.CONCAT("", D4)</f>
        <v>TGB</v>
      </c>
      <c r="N4" s="31" t="str">
        <f t="shared" ref="N4:N9" si="13">_xlfn.CONCAT("", E4)</f>
        <v>Parâmetro.Geométrico</v>
      </c>
      <c r="O4" s="31" t="str">
        <f t="shared" ref="O4:O9" si="14">_xlfn.CONCAT("", F4)</f>
        <v>Valor.Z</v>
      </c>
      <c r="P4" s="31" t="s">
        <v>161</v>
      </c>
      <c r="Q4" s="31" t="str">
        <f t="shared" si="4"/>
        <v>Valor Z</v>
      </c>
      <c r="R4" s="50" t="s">
        <v>90</v>
      </c>
      <c r="S4" s="33" t="str">
        <f t="shared" ref="S4:S9" si="15">SUBSTITUTE(C4, "_", " ")</f>
        <v>Estrutura.Geométrica</v>
      </c>
      <c r="T4" s="33" t="str">
        <f t="shared" ref="T4:T9" si="16">SUBSTITUTE(D4, "_", " ")</f>
        <v>TGB</v>
      </c>
      <c r="U4" s="32" t="str">
        <f t="shared" ref="U4:U9" si="17">SUBSTITUTE(E4, "_", " ")</f>
        <v>Parâmetro.Geométrico</v>
      </c>
      <c r="V4" s="34" t="s">
        <v>91</v>
      </c>
      <c r="W4" s="35" t="str">
        <f t="shared" si="11"/>
        <v>Key.EGC.4</v>
      </c>
      <c r="X4" s="34" t="s">
        <v>1</v>
      </c>
      <c r="Y4" s="34" t="s">
        <v>1</v>
      </c>
      <c r="Z4" s="34" t="s">
        <v>1</v>
      </c>
      <c r="AA4" s="58" t="str">
        <f t="shared" si="8"/>
        <v>Z value</v>
      </c>
    </row>
    <row r="5" spans="1:27" ht="6.6" customHeight="1" x14ac:dyDescent="0.25">
      <c r="A5" s="26">
        <v>5</v>
      </c>
      <c r="B5" s="27" t="s">
        <v>94</v>
      </c>
      <c r="C5" s="28" t="s">
        <v>119</v>
      </c>
      <c r="D5" s="29" t="s">
        <v>118</v>
      </c>
      <c r="E5" s="29" t="s">
        <v>125</v>
      </c>
      <c r="F5" s="62" t="s">
        <v>151</v>
      </c>
      <c r="G5" s="30" t="s">
        <v>1</v>
      </c>
      <c r="H5" s="30" t="s">
        <v>1</v>
      </c>
      <c r="I5" s="30" t="s">
        <v>1</v>
      </c>
      <c r="J5" s="30" t="s">
        <v>1</v>
      </c>
      <c r="K5" s="30" t="s">
        <v>1</v>
      </c>
      <c r="L5" s="31" t="str">
        <f t="shared" si="0"/>
        <v>Estrutura.Geométrica</v>
      </c>
      <c r="M5" s="31" t="str">
        <f t="shared" si="12"/>
        <v>TGB</v>
      </c>
      <c r="N5" s="31" t="str">
        <f t="shared" si="13"/>
        <v>Parâmetro.Geométrico</v>
      </c>
      <c r="O5" s="31" t="str">
        <f t="shared" si="14"/>
        <v>Valor.Deslocar</v>
      </c>
      <c r="P5" s="31" t="s">
        <v>153</v>
      </c>
      <c r="Q5" s="31" t="str">
        <f t="shared" si="4"/>
        <v>Valor desplazado</v>
      </c>
      <c r="R5" s="50" t="s">
        <v>90</v>
      </c>
      <c r="S5" s="33" t="str">
        <f t="shared" si="15"/>
        <v>Estrutura.Geométrica</v>
      </c>
      <c r="T5" s="33" t="str">
        <f t="shared" si="16"/>
        <v>TGB</v>
      </c>
      <c r="U5" s="32" t="str">
        <f t="shared" si="17"/>
        <v>Parâmetro.Geométrico</v>
      </c>
      <c r="V5" s="34" t="s">
        <v>91</v>
      </c>
      <c r="W5" s="35" t="str">
        <f t="shared" si="11"/>
        <v>Key.EGC.5</v>
      </c>
      <c r="X5" s="34" t="s">
        <v>1</v>
      </c>
      <c r="Y5" s="34" t="s">
        <v>1</v>
      </c>
      <c r="Z5" s="34" t="s">
        <v>1</v>
      </c>
      <c r="AA5" s="58" t="str">
        <f t="shared" si="8"/>
        <v>Displace Value</v>
      </c>
    </row>
    <row r="6" spans="1:27" ht="6.6" customHeight="1" x14ac:dyDescent="0.25">
      <c r="A6" s="26">
        <v>6</v>
      </c>
      <c r="B6" s="27" t="s">
        <v>94</v>
      </c>
      <c r="C6" s="28" t="s">
        <v>119</v>
      </c>
      <c r="D6" s="29" t="s">
        <v>118</v>
      </c>
      <c r="E6" s="29" t="s">
        <v>125</v>
      </c>
      <c r="F6" s="62" t="s">
        <v>146</v>
      </c>
      <c r="G6" s="30" t="s">
        <v>1</v>
      </c>
      <c r="H6" s="30" t="s">
        <v>1</v>
      </c>
      <c r="I6" s="30" t="s">
        <v>1</v>
      </c>
      <c r="J6" s="30" t="s">
        <v>1</v>
      </c>
      <c r="K6" s="30" t="s">
        <v>1</v>
      </c>
      <c r="L6" s="31" t="str">
        <f t="shared" si="0"/>
        <v>Estrutura.Geométrica</v>
      </c>
      <c r="M6" s="31" t="str">
        <f t="shared" ref="M6" si="18">_xlfn.CONCAT("", D6)</f>
        <v>TGB</v>
      </c>
      <c r="N6" s="31" t="str">
        <f t="shared" ref="N6" si="19">_xlfn.CONCAT("", E6)</f>
        <v>Parâmetro.Geométrico</v>
      </c>
      <c r="O6" s="31" t="str">
        <f t="shared" ref="O6" si="20">_xlfn.CONCAT("", F6)</f>
        <v>Valor.Angular</v>
      </c>
      <c r="P6" s="31" t="s">
        <v>154</v>
      </c>
      <c r="Q6" s="31" t="str">
        <f t="shared" si="4"/>
        <v>Valor angular</v>
      </c>
      <c r="R6" s="50" t="s">
        <v>90</v>
      </c>
      <c r="S6" s="33" t="str">
        <f t="shared" ref="S6" si="21">SUBSTITUTE(C6, "_", " ")</f>
        <v>Estrutura.Geométrica</v>
      </c>
      <c r="T6" s="33" t="str">
        <f t="shared" ref="T6" si="22">SUBSTITUTE(D6, "_", " ")</f>
        <v>TGB</v>
      </c>
      <c r="U6" s="32" t="str">
        <f t="shared" ref="U6" si="23">SUBSTITUTE(E6, "_", " ")</f>
        <v>Parâmetro.Geométrico</v>
      </c>
      <c r="V6" s="34" t="s">
        <v>91</v>
      </c>
      <c r="W6" s="35" t="str">
        <f t="shared" si="11"/>
        <v>Key.EGC.6</v>
      </c>
      <c r="X6" s="34" t="s">
        <v>1</v>
      </c>
      <c r="Y6" s="34" t="s">
        <v>1</v>
      </c>
      <c r="Z6" s="34" t="s">
        <v>1</v>
      </c>
      <c r="AA6" s="58" t="str">
        <f t="shared" si="8"/>
        <v>Angular Value</v>
      </c>
    </row>
    <row r="7" spans="1:27" ht="6.6" customHeight="1" x14ac:dyDescent="0.25">
      <c r="A7" s="26">
        <v>7</v>
      </c>
      <c r="B7" s="27" t="s">
        <v>94</v>
      </c>
      <c r="C7" s="28" t="s">
        <v>119</v>
      </c>
      <c r="D7" s="29" t="s">
        <v>118</v>
      </c>
      <c r="E7" s="29" t="s">
        <v>125</v>
      </c>
      <c r="F7" s="62" t="s">
        <v>150</v>
      </c>
      <c r="G7" s="30" t="s">
        <v>1</v>
      </c>
      <c r="H7" s="30" t="s">
        <v>1</v>
      </c>
      <c r="I7" s="30" t="s">
        <v>1</v>
      </c>
      <c r="J7" s="30" t="s">
        <v>1</v>
      </c>
      <c r="K7" s="30" t="s">
        <v>1</v>
      </c>
      <c r="L7" s="31" t="str">
        <f t="shared" si="0"/>
        <v>Estrutura.Geométrica</v>
      </c>
      <c r="M7" s="31" t="str">
        <f t="shared" si="12"/>
        <v>TGB</v>
      </c>
      <c r="N7" s="31" t="str">
        <f t="shared" si="13"/>
        <v>Parâmetro.Geométrico</v>
      </c>
      <c r="O7" s="31" t="str">
        <f t="shared" si="14"/>
        <v>Valor.Escalar</v>
      </c>
      <c r="P7" s="31" t="s">
        <v>155</v>
      </c>
      <c r="Q7" s="31" t="str">
        <f t="shared" si="4"/>
        <v>Valor escalar</v>
      </c>
      <c r="R7" s="50" t="s">
        <v>90</v>
      </c>
      <c r="S7" s="33" t="str">
        <f t="shared" si="15"/>
        <v>Estrutura.Geométrica</v>
      </c>
      <c r="T7" s="33" t="str">
        <f t="shared" si="16"/>
        <v>TGB</v>
      </c>
      <c r="U7" s="32" t="str">
        <f t="shared" si="17"/>
        <v>Parâmetro.Geométrico</v>
      </c>
      <c r="V7" s="34" t="s">
        <v>91</v>
      </c>
      <c r="W7" s="35" t="str">
        <f t="shared" si="11"/>
        <v>Key.EGC.7</v>
      </c>
      <c r="X7" s="34" t="s">
        <v>1</v>
      </c>
      <c r="Y7" s="34" t="s">
        <v>1</v>
      </c>
      <c r="Z7" s="34" t="s">
        <v>1</v>
      </c>
      <c r="AA7" s="58" t="str">
        <f t="shared" si="8"/>
        <v>Scalar Value</v>
      </c>
    </row>
    <row r="8" spans="1:27" ht="6.6" customHeight="1" x14ac:dyDescent="0.25">
      <c r="A8" s="26">
        <v>8</v>
      </c>
      <c r="B8" s="27" t="s">
        <v>94</v>
      </c>
      <c r="C8" s="28" t="s">
        <v>119</v>
      </c>
      <c r="D8" s="29" t="s">
        <v>118</v>
      </c>
      <c r="E8" s="29" t="s">
        <v>125</v>
      </c>
      <c r="F8" s="62" t="s">
        <v>126</v>
      </c>
      <c r="G8" s="30" t="s">
        <v>1</v>
      </c>
      <c r="H8" s="30" t="s">
        <v>1</v>
      </c>
      <c r="I8" s="30" t="s">
        <v>1</v>
      </c>
      <c r="J8" s="30" t="s">
        <v>1</v>
      </c>
      <c r="K8" s="30" t="s">
        <v>1</v>
      </c>
      <c r="L8" s="31" t="str">
        <f t="shared" si="0"/>
        <v>Estrutura.Geométrica</v>
      </c>
      <c r="M8" s="31" t="str">
        <f t="shared" si="12"/>
        <v>TGB</v>
      </c>
      <c r="N8" s="31" t="str">
        <f t="shared" si="13"/>
        <v>Parâmetro.Geométrico</v>
      </c>
      <c r="O8" s="31" t="str">
        <f t="shared" si="14"/>
        <v>Ponto.Base</v>
      </c>
      <c r="P8" s="31" t="s">
        <v>156</v>
      </c>
      <c r="Q8" s="31" t="str">
        <f t="shared" si="4"/>
        <v>Punto base</v>
      </c>
      <c r="R8" s="50" t="s">
        <v>90</v>
      </c>
      <c r="S8" s="33" t="str">
        <f t="shared" si="15"/>
        <v>Estrutura.Geométrica</v>
      </c>
      <c r="T8" s="33" t="str">
        <f t="shared" si="16"/>
        <v>TGB</v>
      </c>
      <c r="U8" s="32" t="str">
        <f t="shared" si="17"/>
        <v>Parâmetro.Geométrico</v>
      </c>
      <c r="V8" s="34" t="s">
        <v>91</v>
      </c>
      <c r="W8" s="35" t="str">
        <f t="shared" si="11"/>
        <v>Key.EGC.8</v>
      </c>
      <c r="X8" s="34" t="s">
        <v>1</v>
      </c>
      <c r="Y8" s="34" t="s">
        <v>1</v>
      </c>
      <c r="Z8" s="34" t="s">
        <v>1</v>
      </c>
      <c r="AA8" s="58" t="str">
        <f t="shared" si="8"/>
        <v>Base Point</v>
      </c>
    </row>
    <row r="9" spans="1:27" ht="6.6" customHeight="1" x14ac:dyDescent="0.25">
      <c r="A9" s="26">
        <v>9</v>
      </c>
      <c r="B9" s="27" t="s">
        <v>94</v>
      </c>
      <c r="C9" s="28" t="s">
        <v>119</v>
      </c>
      <c r="D9" s="29" t="s">
        <v>118</v>
      </c>
      <c r="E9" s="29" t="s">
        <v>125</v>
      </c>
      <c r="F9" s="62" t="s">
        <v>127</v>
      </c>
      <c r="G9" s="30" t="s">
        <v>1</v>
      </c>
      <c r="H9" s="30" t="s">
        <v>1</v>
      </c>
      <c r="I9" s="30" t="s">
        <v>1</v>
      </c>
      <c r="J9" s="30" t="s">
        <v>1</v>
      </c>
      <c r="K9" s="30" t="s">
        <v>1</v>
      </c>
      <c r="L9" s="31" t="str">
        <f t="shared" si="0"/>
        <v>Estrutura.Geométrica</v>
      </c>
      <c r="M9" s="31" t="str">
        <f t="shared" si="12"/>
        <v>TGB</v>
      </c>
      <c r="N9" s="31" t="str">
        <f t="shared" si="13"/>
        <v>Parâmetro.Geométrico</v>
      </c>
      <c r="O9" s="31" t="str">
        <f t="shared" si="14"/>
        <v>Ponto.Destino</v>
      </c>
      <c r="P9" s="31" t="s">
        <v>157</v>
      </c>
      <c r="Q9" s="31" t="str">
        <f t="shared" si="4"/>
        <v>Punto de destino</v>
      </c>
      <c r="R9" s="50" t="s">
        <v>90</v>
      </c>
      <c r="S9" s="33" t="str">
        <f t="shared" si="15"/>
        <v>Estrutura.Geométrica</v>
      </c>
      <c r="T9" s="33" t="str">
        <f t="shared" si="16"/>
        <v>TGB</v>
      </c>
      <c r="U9" s="32" t="str">
        <f t="shared" si="17"/>
        <v>Parâmetro.Geométrico</v>
      </c>
      <c r="V9" s="34" t="s">
        <v>91</v>
      </c>
      <c r="W9" s="35" t="str">
        <f t="shared" si="11"/>
        <v>Key.EGC.9</v>
      </c>
      <c r="X9" s="34" t="s">
        <v>1</v>
      </c>
      <c r="Y9" s="34" t="s">
        <v>1</v>
      </c>
      <c r="Z9" s="34" t="s">
        <v>1</v>
      </c>
      <c r="AA9" s="58" t="str">
        <f t="shared" si="8"/>
        <v>Destination Point</v>
      </c>
    </row>
    <row r="10" spans="1:27" ht="6.6" customHeight="1" x14ac:dyDescent="0.25">
      <c r="A10" s="26">
        <v>10</v>
      </c>
      <c r="B10" s="27" t="s">
        <v>94</v>
      </c>
      <c r="C10" s="28" t="s">
        <v>119</v>
      </c>
      <c r="D10" s="29" t="s">
        <v>118</v>
      </c>
      <c r="E10" s="29" t="s">
        <v>120</v>
      </c>
      <c r="F10" s="62" t="s">
        <v>121</v>
      </c>
      <c r="G10" s="30" t="s">
        <v>1</v>
      </c>
      <c r="H10" s="30" t="s">
        <v>1</v>
      </c>
      <c r="I10" s="30" t="s">
        <v>1</v>
      </c>
      <c r="J10" s="30" t="s">
        <v>1</v>
      </c>
      <c r="K10" s="30" t="s">
        <v>152</v>
      </c>
      <c r="L10" s="31" t="str">
        <f t="shared" si="0"/>
        <v>Estrutura.Geométrica</v>
      </c>
      <c r="M10" s="31" t="str">
        <f t="shared" ref="M10:M13" si="24">_xlfn.CONCAT("", D10)</f>
        <v>TGB</v>
      </c>
      <c r="N10" s="31" t="str">
        <f t="shared" ref="N10:N13" si="25">_xlfn.CONCAT("", E10)</f>
        <v>Movimento.Geométrico</v>
      </c>
      <c r="O10" s="31" t="str">
        <f t="shared" ref="O10:O13" si="26">_xlfn.CONCAT("", F10)</f>
        <v>Translação</v>
      </c>
      <c r="P10" s="31" t="s">
        <v>121</v>
      </c>
      <c r="Q10" s="31" t="s">
        <v>158</v>
      </c>
      <c r="R10" s="50" t="s">
        <v>90</v>
      </c>
      <c r="S10" s="33" t="str">
        <f t="shared" ref="S10:S13" si="27">SUBSTITUTE(C10, "_", " ")</f>
        <v>Estrutura.Geométrica</v>
      </c>
      <c r="T10" s="33" t="str">
        <f t="shared" ref="T10:T13" si="28">SUBSTITUTE(D10, "_", " ")</f>
        <v>TGB</v>
      </c>
      <c r="U10" s="32" t="str">
        <f t="shared" ref="U10:U13" si="29">SUBSTITUTE(E10, "_", " ")</f>
        <v>Movimento.Geométrico</v>
      </c>
      <c r="V10" s="34" t="s">
        <v>91</v>
      </c>
      <c r="W10" s="35" t="str">
        <f t="shared" si="11"/>
        <v>Key.EGC.10</v>
      </c>
      <c r="X10" s="34" t="s">
        <v>1</v>
      </c>
      <c r="Y10" s="34" t="s">
        <v>1</v>
      </c>
      <c r="Z10" s="34" t="s">
        <v>1</v>
      </c>
      <c r="AA10" s="58" t="str">
        <f t="shared" si="8"/>
        <v>Translation</v>
      </c>
    </row>
    <row r="11" spans="1:27" ht="6.6" customHeight="1" x14ac:dyDescent="0.25">
      <c r="A11" s="26">
        <v>11</v>
      </c>
      <c r="B11" s="27" t="s">
        <v>94</v>
      </c>
      <c r="C11" s="28" t="s">
        <v>119</v>
      </c>
      <c r="D11" s="29" t="s">
        <v>118</v>
      </c>
      <c r="E11" s="29" t="s">
        <v>120</v>
      </c>
      <c r="F11" s="62" t="s">
        <v>122</v>
      </c>
      <c r="G11" s="30" t="s">
        <v>1</v>
      </c>
      <c r="H11" s="30" t="s">
        <v>1</v>
      </c>
      <c r="I11" s="30" t="s">
        <v>1</v>
      </c>
      <c r="J11" s="30" t="s">
        <v>1</v>
      </c>
      <c r="K11" s="30" t="s">
        <v>145</v>
      </c>
      <c r="L11" s="31" t="str">
        <f t="shared" si="0"/>
        <v>Estrutura.Geométrica</v>
      </c>
      <c r="M11" s="31" t="str">
        <f t="shared" si="24"/>
        <v>TGB</v>
      </c>
      <c r="N11" s="31" t="str">
        <f t="shared" si="25"/>
        <v>Movimento.Geométrico</v>
      </c>
      <c r="O11" s="31" t="str">
        <f t="shared" si="26"/>
        <v>Giro</v>
      </c>
      <c r="P11" s="31" t="s">
        <v>122</v>
      </c>
      <c r="Q11" s="31" t="str">
        <f t="shared" si="4"/>
        <v>Giro</v>
      </c>
      <c r="R11" s="50" t="s">
        <v>90</v>
      </c>
      <c r="S11" s="33" t="str">
        <f t="shared" si="27"/>
        <v>Estrutura.Geométrica</v>
      </c>
      <c r="T11" s="33" t="str">
        <f t="shared" si="28"/>
        <v>TGB</v>
      </c>
      <c r="U11" s="32" t="str">
        <f t="shared" si="29"/>
        <v>Movimento.Geométrico</v>
      </c>
      <c r="V11" s="34" t="s">
        <v>91</v>
      </c>
      <c r="W11" s="35" t="str">
        <f t="shared" si="11"/>
        <v>Key.EGC.11</v>
      </c>
      <c r="X11" s="34" t="s">
        <v>1</v>
      </c>
      <c r="Y11" s="34" t="s">
        <v>1</v>
      </c>
      <c r="Z11" s="34" t="s">
        <v>1</v>
      </c>
      <c r="AA11" s="58" t="str">
        <f t="shared" si="8"/>
        <v>Giro</v>
      </c>
    </row>
    <row r="12" spans="1:27" ht="6.6" customHeight="1" x14ac:dyDescent="0.25">
      <c r="A12" s="26">
        <v>12</v>
      </c>
      <c r="B12" s="27" t="s">
        <v>94</v>
      </c>
      <c r="C12" s="28" t="s">
        <v>119</v>
      </c>
      <c r="D12" s="29" t="s">
        <v>118</v>
      </c>
      <c r="E12" s="29" t="s">
        <v>120</v>
      </c>
      <c r="F12" s="62" t="s">
        <v>123</v>
      </c>
      <c r="G12" s="30" t="s">
        <v>1</v>
      </c>
      <c r="H12" s="30" t="s">
        <v>1</v>
      </c>
      <c r="I12" s="30" t="s">
        <v>1</v>
      </c>
      <c r="J12" s="30" t="s">
        <v>1</v>
      </c>
      <c r="K12" s="30" t="s">
        <v>144</v>
      </c>
      <c r="L12" s="31" t="str">
        <f t="shared" si="0"/>
        <v>Estrutura.Geométrica</v>
      </c>
      <c r="M12" s="31" t="str">
        <f t="shared" si="24"/>
        <v>TGB</v>
      </c>
      <c r="N12" s="31" t="str">
        <f t="shared" si="25"/>
        <v>Movimento.Geométrico</v>
      </c>
      <c r="O12" s="31" t="str">
        <f t="shared" si="26"/>
        <v>Escalar</v>
      </c>
      <c r="P12" s="31" t="s">
        <v>123</v>
      </c>
      <c r="Q12" s="31" t="str">
        <f t="shared" si="4"/>
        <v>Escala</v>
      </c>
      <c r="R12" s="50" t="s">
        <v>90</v>
      </c>
      <c r="S12" s="33" t="str">
        <f t="shared" si="27"/>
        <v>Estrutura.Geométrica</v>
      </c>
      <c r="T12" s="33" t="str">
        <f t="shared" si="28"/>
        <v>TGB</v>
      </c>
      <c r="U12" s="32" t="str">
        <f t="shared" si="29"/>
        <v>Movimento.Geométrico</v>
      </c>
      <c r="V12" s="34" t="s">
        <v>91</v>
      </c>
      <c r="W12" s="35" t="str">
        <f t="shared" si="11"/>
        <v>Key.EGC.12</v>
      </c>
      <c r="X12" s="34" t="s">
        <v>1</v>
      </c>
      <c r="Y12" s="34" t="s">
        <v>1</v>
      </c>
      <c r="Z12" s="34" t="s">
        <v>1</v>
      </c>
      <c r="AA12" s="58" t="str">
        <f t="shared" si="8"/>
        <v>Scale</v>
      </c>
    </row>
    <row r="13" spans="1:27" ht="6.6" customHeight="1" x14ac:dyDescent="0.25">
      <c r="A13" s="26">
        <v>13</v>
      </c>
      <c r="B13" s="27" t="s">
        <v>94</v>
      </c>
      <c r="C13" s="28" t="s">
        <v>119</v>
      </c>
      <c r="D13" s="29" t="s">
        <v>118</v>
      </c>
      <c r="E13" s="29" t="s">
        <v>120</v>
      </c>
      <c r="F13" s="62" t="s">
        <v>124</v>
      </c>
      <c r="G13" s="30" t="s">
        <v>1</v>
      </c>
      <c r="H13" s="30" t="s">
        <v>1</v>
      </c>
      <c r="I13" s="30" t="s">
        <v>1</v>
      </c>
      <c r="J13" s="30" t="s">
        <v>1</v>
      </c>
      <c r="K13" s="30" t="s">
        <v>1</v>
      </c>
      <c r="L13" s="31" t="str">
        <f t="shared" ref="L13" si="30">_xlfn.CONCAT(C13)</f>
        <v>Estrutura.Geométrica</v>
      </c>
      <c r="M13" s="31" t="str">
        <f t="shared" si="24"/>
        <v>TGB</v>
      </c>
      <c r="N13" s="31" t="str">
        <f t="shared" si="25"/>
        <v>Movimento.Geométrico</v>
      </c>
      <c r="O13" s="31" t="str">
        <f t="shared" si="26"/>
        <v>Reflexão</v>
      </c>
      <c r="P13" s="31" t="s">
        <v>124</v>
      </c>
      <c r="Q13" s="31" t="str">
        <f t="shared" si="4"/>
        <v>Reflexión</v>
      </c>
      <c r="R13" s="50" t="s">
        <v>90</v>
      </c>
      <c r="S13" s="33" t="str">
        <f t="shared" si="27"/>
        <v>Estrutura.Geométrica</v>
      </c>
      <c r="T13" s="33" t="str">
        <f t="shared" si="28"/>
        <v>TGB</v>
      </c>
      <c r="U13" s="32" t="str">
        <f t="shared" si="29"/>
        <v>Movimento.Geométrico</v>
      </c>
      <c r="V13" s="34" t="s">
        <v>91</v>
      </c>
      <c r="W13" s="35" t="str">
        <f t="shared" si="11"/>
        <v>Key.EGC.13</v>
      </c>
      <c r="X13" s="34" t="s">
        <v>1</v>
      </c>
      <c r="Y13" s="34" t="s">
        <v>1</v>
      </c>
      <c r="Z13" s="34" t="s">
        <v>1</v>
      </c>
      <c r="AA13" s="58" t="str">
        <f t="shared" si="8"/>
        <v>Reflection</v>
      </c>
    </row>
  </sheetData>
  <conditionalFormatting sqref="A1:Z1 AA1:AA13 A2:C2 A3:A13">
    <cfRule type="cellIs" dxfId="14" priority="18" operator="equal">
      <formula>"null"</formula>
    </cfRule>
  </conditionalFormatting>
  <conditionalFormatting sqref="B10:E13">
    <cfRule type="cellIs" dxfId="13" priority="9" operator="equal">
      <formula>"null"</formula>
    </cfRule>
  </conditionalFormatting>
  <conditionalFormatting sqref="D2:E9 F2:Z13 B3:C9">
    <cfRule type="cellIs" dxfId="12" priority="1" operator="equal">
      <formula>"null"</formula>
    </cfRule>
  </conditionalFormatting>
  <conditionalFormatting sqref="F2:F7">
    <cfRule type="duplicateValues" dxfId="11" priority="29"/>
  </conditionalFormatting>
  <conditionalFormatting sqref="F8:F13">
    <cfRule type="duplicateValues" dxfId="10" priority="20"/>
  </conditionalFormatting>
  <conditionalFormatting sqref="F14:F1048576 F1">
    <cfRule type="duplicateValues" dxfId="9" priority="17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3" t="s">
        <v>22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44" t="s">
        <v>21</v>
      </c>
    </row>
    <row r="2" spans="1:21" ht="9" customHeight="1" x14ac:dyDescent="0.15">
      <c r="A2" s="4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40">
        <v>1</v>
      </c>
      <c r="B1" s="41" t="s">
        <v>95</v>
      </c>
      <c r="C1" s="41" t="s">
        <v>96</v>
      </c>
    </row>
    <row r="2" spans="1:3" ht="14.45" customHeight="1" x14ac:dyDescent="0.25">
      <c r="A2" s="19">
        <v>2</v>
      </c>
      <c r="B2" s="42" t="s">
        <v>1</v>
      </c>
      <c r="C2" s="42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9"/>
  <sheetViews>
    <sheetView tabSelected="1" zoomScale="220" zoomScaleNormal="220" workbookViewId="0">
      <pane ySplit="1" topLeftCell="A2" activePane="bottomLeft" state="frozen"/>
      <selection pane="bottomLeft" activeCell="P2" sqref="P2:U2"/>
    </sheetView>
  </sheetViews>
  <sheetFormatPr defaultColWidth="9.140625" defaultRowHeight="6.75" customHeight="1" x14ac:dyDescent="0.25"/>
  <cols>
    <col min="1" max="1" width="3" customWidth="1"/>
    <col min="2" max="2" width="5.28515625" customWidth="1"/>
    <col min="3" max="3" width="7.85546875" customWidth="1"/>
    <col min="4" max="11" width="2.7109375" style="51" customWidth="1"/>
    <col min="12" max="12" width="5" customWidth="1"/>
    <col min="13" max="13" width="14.85546875" customWidth="1"/>
    <col min="14" max="14" width="9.7109375" style="45" customWidth="1"/>
    <col min="15" max="15" width="3.5703125" style="64" customWidth="1"/>
    <col min="16" max="16" width="6.7109375" style="45" customWidth="1"/>
    <col min="17" max="17" width="3.42578125" style="46" customWidth="1"/>
    <col min="18" max="18" width="6.85546875" style="46" customWidth="1"/>
    <col min="19" max="23" width="3.42578125" style="46" customWidth="1"/>
  </cols>
  <sheetData>
    <row r="1" spans="1:23" ht="45.75" customHeight="1" x14ac:dyDescent="0.25">
      <c r="A1" s="53" t="s">
        <v>92</v>
      </c>
      <c r="B1" s="37" t="s">
        <v>49</v>
      </c>
      <c r="C1" s="39" t="s">
        <v>49</v>
      </c>
      <c r="D1" s="54" t="s">
        <v>48</v>
      </c>
      <c r="E1" s="54" t="s">
        <v>93</v>
      </c>
      <c r="F1" s="54" t="s">
        <v>48</v>
      </c>
      <c r="G1" s="54" t="s">
        <v>93</v>
      </c>
      <c r="H1" s="54" t="s">
        <v>48</v>
      </c>
      <c r="I1" s="54" t="s">
        <v>93</v>
      </c>
      <c r="J1" s="54" t="s">
        <v>48</v>
      </c>
      <c r="K1" s="54" t="s">
        <v>93</v>
      </c>
      <c r="L1" s="37" t="s">
        <v>48</v>
      </c>
      <c r="M1" s="37" t="s">
        <v>93</v>
      </c>
      <c r="N1" s="39" t="s">
        <v>48</v>
      </c>
      <c r="O1" s="54" t="s">
        <v>93</v>
      </c>
      <c r="P1" s="39" t="s">
        <v>48</v>
      </c>
      <c r="Q1" s="37" t="s">
        <v>93</v>
      </c>
      <c r="R1" s="37" t="s">
        <v>48</v>
      </c>
      <c r="S1" s="37" t="s">
        <v>93</v>
      </c>
      <c r="T1" s="37" t="s">
        <v>48</v>
      </c>
      <c r="U1" s="37" t="s">
        <v>93</v>
      </c>
      <c r="V1" s="37" t="s">
        <v>48</v>
      </c>
      <c r="W1" s="37" t="s">
        <v>93</v>
      </c>
    </row>
    <row r="2" spans="1:23" s="45" customFormat="1" ht="6.75" customHeight="1" x14ac:dyDescent="0.25">
      <c r="A2" s="36">
        <v>2</v>
      </c>
      <c r="B2" s="38" t="s">
        <v>128</v>
      </c>
      <c r="C2" s="62" t="s">
        <v>121</v>
      </c>
      <c r="D2" s="55" t="s">
        <v>1</v>
      </c>
      <c r="E2" s="56" t="s">
        <v>1</v>
      </c>
      <c r="F2" s="55" t="s">
        <v>1</v>
      </c>
      <c r="G2" s="56" t="s">
        <v>1</v>
      </c>
      <c r="H2" s="55" t="s">
        <v>1</v>
      </c>
      <c r="I2" s="56" t="s">
        <v>1</v>
      </c>
      <c r="J2" s="55" t="s">
        <v>1</v>
      </c>
      <c r="K2" s="56" t="s">
        <v>1</v>
      </c>
      <c r="L2" s="47" t="s">
        <v>97</v>
      </c>
      <c r="M2" s="52" t="s">
        <v>116</v>
      </c>
      <c r="N2" s="48" t="s">
        <v>134</v>
      </c>
      <c r="O2" s="63" t="s">
        <v>135</v>
      </c>
      <c r="P2" s="48" t="s">
        <v>140</v>
      </c>
      <c r="Q2" s="63">
        <v>1.05</v>
      </c>
      <c r="R2" s="48" t="s">
        <v>141</v>
      </c>
      <c r="S2" s="63">
        <v>1.05</v>
      </c>
      <c r="T2" s="48" t="s">
        <v>142</v>
      </c>
      <c r="U2" s="63">
        <v>1.05</v>
      </c>
      <c r="V2" s="47" t="s">
        <v>1</v>
      </c>
      <c r="W2" s="52" t="str">
        <f>IF(OR(V2="rgb",V2="cmy",V2="rgba",V2="cmyb"),  SUBSTITUTE(_xlfn.CONCAT("""",O2,".",Q2,".",S2,".",U2,""""), ".null",""), V2)</f>
        <v>null</v>
      </c>
    </row>
    <row r="3" spans="1:23" s="45" customFormat="1" ht="6.75" customHeight="1" x14ac:dyDescent="0.25">
      <c r="A3" s="36">
        <v>3</v>
      </c>
      <c r="B3" s="38" t="s">
        <v>129</v>
      </c>
      <c r="C3" s="62" t="s">
        <v>122</v>
      </c>
      <c r="D3" s="55" t="s">
        <v>1</v>
      </c>
      <c r="E3" s="56" t="s">
        <v>1</v>
      </c>
      <c r="F3" s="55" t="s">
        <v>1</v>
      </c>
      <c r="G3" s="56" t="s">
        <v>1</v>
      </c>
      <c r="H3" s="55" t="s">
        <v>1</v>
      </c>
      <c r="I3" s="56" t="s">
        <v>1</v>
      </c>
      <c r="J3" s="55" t="s">
        <v>1</v>
      </c>
      <c r="K3" s="56" t="s">
        <v>1</v>
      </c>
      <c r="L3" s="47" t="s">
        <v>97</v>
      </c>
      <c r="M3" s="52" t="s">
        <v>117</v>
      </c>
      <c r="N3" s="48" t="s">
        <v>134</v>
      </c>
      <c r="O3" s="63" t="s">
        <v>136</v>
      </c>
      <c r="P3" s="48" t="s">
        <v>1</v>
      </c>
      <c r="Q3" s="52" t="s">
        <v>1</v>
      </c>
      <c r="R3" s="48" t="s">
        <v>1</v>
      </c>
      <c r="S3" s="52" t="s">
        <v>1</v>
      </c>
      <c r="T3" s="48" t="s">
        <v>1</v>
      </c>
      <c r="U3" s="52" t="s">
        <v>1</v>
      </c>
      <c r="V3" s="47" t="s">
        <v>1</v>
      </c>
      <c r="W3" s="52" t="str">
        <f t="shared" ref="W3" si="0">IF(OR(V3="rgb",V3="cmy",V3="rgba",V3="cmyb"),  SUBSTITUTE(_xlfn.CONCAT("""",O3,".",Q3,".",S3,".",U3,""""), ".null",""), V3)</f>
        <v>null</v>
      </c>
    </row>
    <row r="4" spans="1:23" s="45" customFormat="1" ht="6.75" customHeight="1" x14ac:dyDescent="0.25">
      <c r="A4" s="36">
        <v>4</v>
      </c>
      <c r="B4" s="38" t="s">
        <v>130</v>
      </c>
      <c r="C4" s="62" t="s">
        <v>123</v>
      </c>
      <c r="D4" s="55" t="s">
        <v>1</v>
      </c>
      <c r="E4" s="56" t="s">
        <v>1</v>
      </c>
      <c r="F4" s="55" t="s">
        <v>1</v>
      </c>
      <c r="G4" s="56" t="s">
        <v>1</v>
      </c>
      <c r="H4" s="55" t="s">
        <v>1</v>
      </c>
      <c r="I4" s="56" t="s">
        <v>1</v>
      </c>
      <c r="J4" s="55" t="s">
        <v>1</v>
      </c>
      <c r="K4" s="56" t="s">
        <v>1</v>
      </c>
      <c r="L4" s="47" t="s">
        <v>97</v>
      </c>
      <c r="M4" s="52" t="s">
        <v>132</v>
      </c>
      <c r="N4" s="48" t="s">
        <v>134</v>
      </c>
      <c r="O4" s="63" t="s">
        <v>137</v>
      </c>
      <c r="P4" s="48" t="s">
        <v>1</v>
      </c>
      <c r="Q4" s="52" t="s">
        <v>1</v>
      </c>
      <c r="R4" s="48" t="s">
        <v>1</v>
      </c>
      <c r="S4" s="52" t="s">
        <v>1</v>
      </c>
      <c r="T4" s="48" t="s">
        <v>1</v>
      </c>
      <c r="U4" s="52" t="s">
        <v>1</v>
      </c>
      <c r="V4" s="47" t="s">
        <v>1</v>
      </c>
      <c r="W4" s="52" t="str">
        <f>IF(OR(V4="rgb",V4="cmy",V4="rgba",V4="cmyb"),  SUBSTITUTE(_xlfn.CONCAT("""",O4,".",Q4,".",S4,".",U4,""""), ".null",""), V4)</f>
        <v>null</v>
      </c>
    </row>
    <row r="5" spans="1:23" s="45" customFormat="1" ht="6.75" customHeight="1" x14ac:dyDescent="0.25">
      <c r="A5" s="36">
        <v>5</v>
      </c>
      <c r="B5" s="38" t="s">
        <v>131</v>
      </c>
      <c r="C5" s="62" t="s">
        <v>124</v>
      </c>
      <c r="D5" s="55" t="s">
        <v>1</v>
      </c>
      <c r="E5" s="56" t="s">
        <v>1</v>
      </c>
      <c r="F5" s="55" t="s">
        <v>1</v>
      </c>
      <c r="G5" s="56" t="s">
        <v>1</v>
      </c>
      <c r="H5" s="55" t="s">
        <v>1</v>
      </c>
      <c r="I5" s="56" t="s">
        <v>1</v>
      </c>
      <c r="J5" s="55" t="s">
        <v>1</v>
      </c>
      <c r="K5" s="56" t="s">
        <v>1</v>
      </c>
      <c r="L5" s="47" t="s">
        <v>97</v>
      </c>
      <c r="M5" s="52" t="s">
        <v>133</v>
      </c>
      <c r="N5" s="48" t="s">
        <v>134</v>
      </c>
      <c r="O5" s="63" t="s">
        <v>138</v>
      </c>
      <c r="P5" s="48" t="s">
        <v>1</v>
      </c>
      <c r="Q5" s="52" t="s">
        <v>1</v>
      </c>
      <c r="R5" s="48" t="s">
        <v>1</v>
      </c>
      <c r="S5" s="52" t="s">
        <v>1</v>
      </c>
      <c r="T5" s="48" t="s">
        <v>1</v>
      </c>
      <c r="U5" s="52" t="s">
        <v>1</v>
      </c>
      <c r="V5" s="47" t="s">
        <v>1</v>
      </c>
      <c r="W5" s="52" t="str">
        <f t="shared" ref="W5:W6" si="1">IF(OR(V5="rgb",V5="cmy",V5="rgba",V5="cmyb"),  SUBSTITUTE(_xlfn.CONCAT("""",O5,".",Q5,".",S5,".",U5,""""), ".null",""), V5)</f>
        <v>null</v>
      </c>
    </row>
    <row r="6" spans="1:23" s="45" customFormat="1" ht="6.75" customHeight="1" x14ac:dyDescent="0.25">
      <c r="A6" s="36">
        <v>7</v>
      </c>
      <c r="B6" s="38" t="s">
        <v>162</v>
      </c>
      <c r="C6" s="62" t="s">
        <v>126</v>
      </c>
      <c r="D6" s="55" t="s">
        <v>1</v>
      </c>
      <c r="E6" s="56" t="s">
        <v>1</v>
      </c>
      <c r="F6" s="55" t="s">
        <v>1</v>
      </c>
      <c r="G6" s="56" t="s">
        <v>1</v>
      </c>
      <c r="H6" s="55" t="s">
        <v>1</v>
      </c>
      <c r="I6" s="56" t="s">
        <v>1</v>
      </c>
      <c r="J6" s="55" t="s">
        <v>1</v>
      </c>
      <c r="K6" s="56" t="s">
        <v>1</v>
      </c>
      <c r="L6" s="47" t="s">
        <v>97</v>
      </c>
      <c r="M6" s="52" t="s">
        <v>139</v>
      </c>
      <c r="N6" s="48" t="s">
        <v>140</v>
      </c>
      <c r="O6" s="63">
        <v>1.05</v>
      </c>
      <c r="P6" s="48" t="s">
        <v>141</v>
      </c>
      <c r="Q6" s="63">
        <v>1.05</v>
      </c>
      <c r="R6" s="48" t="s">
        <v>142</v>
      </c>
      <c r="S6" s="63">
        <v>1.05</v>
      </c>
      <c r="T6" s="48" t="s">
        <v>1</v>
      </c>
      <c r="U6" s="52" t="s">
        <v>1</v>
      </c>
      <c r="V6" s="47" t="s">
        <v>1</v>
      </c>
      <c r="W6" s="52" t="str">
        <f t="shared" si="1"/>
        <v>null</v>
      </c>
    </row>
    <row r="7" spans="1:23" s="45" customFormat="1" ht="6.75" customHeight="1" x14ac:dyDescent="0.25">
      <c r="A7" s="36">
        <v>6</v>
      </c>
      <c r="B7" s="38" t="s">
        <v>163</v>
      </c>
      <c r="C7" s="62" t="s">
        <v>151</v>
      </c>
      <c r="D7" s="55" t="s">
        <v>1</v>
      </c>
      <c r="E7" s="56" t="s">
        <v>1</v>
      </c>
      <c r="F7" s="55" t="s">
        <v>1</v>
      </c>
      <c r="G7" s="56" t="s">
        <v>1</v>
      </c>
      <c r="H7" s="55" t="s">
        <v>1</v>
      </c>
      <c r="I7" s="56" t="s">
        <v>1</v>
      </c>
      <c r="J7" s="55" t="s">
        <v>1</v>
      </c>
      <c r="K7" s="56" t="s">
        <v>1</v>
      </c>
      <c r="L7" s="47" t="s">
        <v>97</v>
      </c>
      <c r="M7" s="52" t="s">
        <v>168</v>
      </c>
      <c r="N7" s="48" t="s">
        <v>167</v>
      </c>
      <c r="O7" s="63">
        <v>10.5</v>
      </c>
      <c r="P7" s="48" t="s">
        <v>1</v>
      </c>
      <c r="Q7" s="52" t="s">
        <v>1</v>
      </c>
      <c r="R7" s="48" t="s">
        <v>1</v>
      </c>
      <c r="S7" s="52" t="s">
        <v>1</v>
      </c>
      <c r="T7" s="48" t="s">
        <v>1</v>
      </c>
      <c r="U7" s="52" t="s">
        <v>1</v>
      </c>
      <c r="V7" s="47" t="s">
        <v>1</v>
      </c>
      <c r="W7" s="52" t="str">
        <f t="shared" ref="W7" si="2">IF(OR(V7="rgb",V7="cmy",V7="rgba",V7="cmyb"),  SUBSTITUTE(_xlfn.CONCAT("""",O7,".",Q7,".",S7,".",U7,""""), ".null",""), V7)</f>
        <v>null</v>
      </c>
    </row>
    <row r="8" spans="1:23" s="45" customFormat="1" ht="6.75" customHeight="1" x14ac:dyDescent="0.25">
      <c r="A8" s="36">
        <v>8</v>
      </c>
      <c r="B8" s="38" t="s">
        <v>164</v>
      </c>
      <c r="C8" s="62" t="s">
        <v>146</v>
      </c>
      <c r="D8" s="55" t="s">
        <v>1</v>
      </c>
      <c r="E8" s="56" t="s">
        <v>1</v>
      </c>
      <c r="F8" s="55" t="s">
        <v>1</v>
      </c>
      <c r="G8" s="56" t="s">
        <v>1</v>
      </c>
      <c r="H8" s="55" t="s">
        <v>1</v>
      </c>
      <c r="I8" s="56" t="s">
        <v>1</v>
      </c>
      <c r="J8" s="55" t="s">
        <v>1</v>
      </c>
      <c r="K8" s="56" t="s">
        <v>1</v>
      </c>
      <c r="L8" s="47" t="s">
        <v>97</v>
      </c>
      <c r="M8" s="52" t="s">
        <v>143</v>
      </c>
      <c r="N8" s="48" t="s">
        <v>166</v>
      </c>
      <c r="O8" s="63">
        <v>35</v>
      </c>
      <c r="P8" s="48" t="s">
        <v>1</v>
      </c>
      <c r="Q8" s="52" t="s">
        <v>1</v>
      </c>
      <c r="R8" s="48" t="s">
        <v>1</v>
      </c>
      <c r="S8" s="52" t="s">
        <v>1</v>
      </c>
      <c r="T8" s="48" t="s">
        <v>1</v>
      </c>
      <c r="U8" s="52" t="s">
        <v>1</v>
      </c>
      <c r="V8" s="47" t="s">
        <v>1</v>
      </c>
      <c r="W8" s="52" t="str">
        <f t="shared" ref="W8" si="3">IF(OR(V8="rgb",V8="cmy",V8="rgba",V8="cmyb"),  SUBSTITUTE(_xlfn.CONCAT("""",O8,".",Q8,".",S8,".",U8,""""), ".null",""), V8)</f>
        <v>null</v>
      </c>
    </row>
    <row r="9" spans="1:23" s="45" customFormat="1" ht="6.75" customHeight="1" x14ac:dyDescent="0.25">
      <c r="A9" s="36">
        <v>9</v>
      </c>
      <c r="B9" s="38" t="s">
        <v>165</v>
      </c>
      <c r="C9" s="62" t="s">
        <v>146</v>
      </c>
      <c r="D9" s="55" t="s">
        <v>1</v>
      </c>
      <c r="E9" s="56" t="s">
        <v>1</v>
      </c>
      <c r="F9" s="55" t="s">
        <v>1</v>
      </c>
      <c r="G9" s="56" t="s">
        <v>1</v>
      </c>
      <c r="H9" s="55" t="s">
        <v>1</v>
      </c>
      <c r="I9" s="56" t="s">
        <v>1</v>
      </c>
      <c r="J9" s="55" t="s">
        <v>1</v>
      </c>
      <c r="K9" s="56" t="s">
        <v>1</v>
      </c>
      <c r="L9" s="47" t="s">
        <v>97</v>
      </c>
      <c r="M9" s="52" t="s">
        <v>143</v>
      </c>
      <c r="N9" s="48" t="s">
        <v>166</v>
      </c>
      <c r="O9" s="63">
        <v>20.2</v>
      </c>
      <c r="P9" s="48" t="s">
        <v>1</v>
      </c>
      <c r="Q9" s="52" t="s">
        <v>1</v>
      </c>
      <c r="R9" s="48" t="s">
        <v>1</v>
      </c>
      <c r="S9" s="52" t="s">
        <v>1</v>
      </c>
      <c r="T9" s="48" t="s">
        <v>1</v>
      </c>
      <c r="U9" s="52" t="s">
        <v>1</v>
      </c>
      <c r="V9" s="47" t="s">
        <v>1</v>
      </c>
      <c r="W9" s="52" t="str">
        <f t="shared" ref="W9" si="4">IF(OR(V9="rgb",V9="cmy",V9="rgba",V9="cmyb"),  SUBSTITUTE(_xlfn.CONCAT("""",O9,".",Q9,".",S9,".",U9,""""), ".null",""), V9)</f>
        <v>null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 A2:B9 A10:XFD1048576">
    <cfRule type="cellIs" dxfId="6" priority="18" operator="equal">
      <formula>"null"</formula>
    </cfRule>
  </conditionalFormatting>
  <conditionalFormatting sqref="B1:B1048576">
    <cfRule type="duplicateValues" dxfId="5" priority="17"/>
  </conditionalFormatting>
  <conditionalFormatting sqref="C2:C6">
    <cfRule type="duplicateValues" dxfId="4" priority="37"/>
  </conditionalFormatting>
  <conditionalFormatting sqref="C7">
    <cfRule type="duplicateValues" dxfId="3" priority="2"/>
  </conditionalFormatting>
  <conditionalFormatting sqref="C8">
    <cfRule type="duplicateValues" dxfId="2" priority="6"/>
  </conditionalFormatting>
  <conditionalFormatting sqref="C9">
    <cfRule type="duplicateValues" dxfId="1" priority="4"/>
  </conditionalFormatting>
  <conditionalFormatting sqref="C2:XFD9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2026-04-14T15:36:57Z</dcterms:modified>
</cp:coreProperties>
</file>