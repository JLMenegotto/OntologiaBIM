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codeName="EstaPastaDeTrabalho" defaultThemeVersion="202300"/>
  <mc:AlternateContent xmlns:mc="http://schemas.openxmlformats.org/markup-compatibility/2006">
    <mc:Choice Requires="x15">
      <x15ac:absPath xmlns:x15ac="http://schemas.microsoft.com/office/spreadsheetml/2010/11/ac" url="C:\Construtor_Onto\SIS\"/>
    </mc:Choice>
  </mc:AlternateContent>
  <xr:revisionPtr revIDLastSave="0" documentId="13_ncr:1_{A4C7D513-09FF-4227-91BF-BA6AB4DB0B26}" xr6:coauthVersionLast="47" xr6:coauthVersionMax="47" xr10:uidLastSave="{00000000-0000-0000-0000-000000000000}"/>
  <bookViews>
    <workbookView xWindow="-103" yWindow="-103" windowWidth="22149" windowHeight="13200" tabRatio="520" activeTab="1" xr2:uid="{00000000-000D-0000-FFFF-FFFF00000000}"/>
  </bookViews>
  <sheets>
    <sheet name="Projeto" sheetId="13" r:id="rId1"/>
    <sheet name="Classes" sheetId="17" r:id="rId2"/>
    <sheet name="Disjunt" sheetId="3" r:id="rId3"/>
    <sheet name="FatosIn" sheetId="25" r:id="rId4"/>
    <sheet name="Interop" sheetId="16" r:id="rId5"/>
  </sheets>
  <definedNames>
    <definedName name="_xlnm._FilterDatabase" localSheetId="1" hidden="1">Classes!#REF!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2" i="17" l="1"/>
  <c r="X3" i="17"/>
  <c r="X4" i="17"/>
  <c r="X5" i="17"/>
  <c r="X6" i="17"/>
  <c r="X7" i="17"/>
  <c r="X8" i="17"/>
  <c r="X9" i="17"/>
  <c r="X10" i="17"/>
  <c r="X11" i="17"/>
  <c r="X12" i="17"/>
  <c r="X13" i="17"/>
  <c r="X14" i="17"/>
  <c r="X15" i="17"/>
  <c r="X16" i="17"/>
  <c r="X17" i="17"/>
  <c r="X18" i="17"/>
  <c r="X19" i="17"/>
  <c r="X20" i="17"/>
  <c r="X21" i="17"/>
  <c r="X22" i="17"/>
  <c r="X23" i="17"/>
  <c r="X24" i="17"/>
  <c r="X25" i="17"/>
  <c r="X26" i="17"/>
  <c r="X27" i="17"/>
  <c r="X28" i="17"/>
  <c r="X29" i="17"/>
  <c r="X30" i="17"/>
  <c r="X31" i="17"/>
  <c r="X32" i="17"/>
  <c r="X33" i="17"/>
  <c r="X34" i="17"/>
  <c r="X35" i="17"/>
  <c r="X36" i="17"/>
  <c r="X37" i="17"/>
  <c r="X38" i="17"/>
  <c r="X39" i="17"/>
  <c r="X40" i="17"/>
  <c r="X41" i="17"/>
  <c r="X42" i="17"/>
  <c r="X43" i="17"/>
  <c r="X44" i="17"/>
  <c r="X45" i="17"/>
  <c r="X46" i="17"/>
  <c r="X47" i="17"/>
  <c r="X48" i="17"/>
  <c r="X49" i="17"/>
  <c r="X50" i="17"/>
  <c r="X51" i="17"/>
  <c r="X52" i="17"/>
  <c r="X53" i="17"/>
  <c r="X54" i="17"/>
  <c r="X55" i="17"/>
  <c r="X56" i="17"/>
  <c r="X57" i="17"/>
  <c r="X58" i="17"/>
  <c r="X59" i="17"/>
  <c r="X60" i="17"/>
  <c r="X61" i="17"/>
  <c r="X62" i="17"/>
  <c r="X63" i="17"/>
  <c r="V62" i="17"/>
  <c r="U62" i="17"/>
  <c r="T62" i="17"/>
  <c r="O62" i="17"/>
  <c r="N62" i="17"/>
  <c r="M62" i="17"/>
  <c r="L62" i="17"/>
  <c r="V61" i="17"/>
  <c r="U61" i="17"/>
  <c r="T61" i="17"/>
  <c r="O61" i="17"/>
  <c r="N61" i="17"/>
  <c r="M61" i="17"/>
  <c r="L61" i="17"/>
  <c r="V60" i="17"/>
  <c r="U60" i="17"/>
  <c r="T60" i="17"/>
  <c r="O60" i="17"/>
  <c r="N60" i="17"/>
  <c r="M60" i="17"/>
  <c r="L60" i="17"/>
  <c r="V59" i="17"/>
  <c r="U59" i="17"/>
  <c r="T59" i="17"/>
  <c r="O59" i="17"/>
  <c r="N59" i="17"/>
  <c r="M59" i="17"/>
  <c r="L59" i="17"/>
  <c r="V58" i="17"/>
  <c r="U58" i="17"/>
  <c r="T58" i="17"/>
  <c r="O58" i="17"/>
  <c r="N58" i="17"/>
  <c r="M58" i="17"/>
  <c r="L58" i="17"/>
  <c r="V57" i="17"/>
  <c r="U57" i="17"/>
  <c r="T57" i="17"/>
  <c r="O57" i="17"/>
  <c r="N57" i="17"/>
  <c r="M57" i="17"/>
  <c r="L57" i="17"/>
  <c r="V56" i="17"/>
  <c r="U56" i="17"/>
  <c r="T56" i="17"/>
  <c r="O56" i="17"/>
  <c r="N56" i="17"/>
  <c r="M56" i="17"/>
  <c r="L56" i="17"/>
  <c r="V55" i="17"/>
  <c r="U55" i="17"/>
  <c r="T55" i="17"/>
  <c r="O55" i="17"/>
  <c r="N55" i="17"/>
  <c r="M55" i="17"/>
  <c r="L55" i="17"/>
  <c r="V54" i="17"/>
  <c r="U54" i="17"/>
  <c r="T54" i="17"/>
  <c r="O54" i="17"/>
  <c r="N54" i="17"/>
  <c r="M54" i="17"/>
  <c r="L54" i="17"/>
  <c r="V53" i="17"/>
  <c r="U53" i="17"/>
  <c r="T53" i="17"/>
  <c r="O53" i="17"/>
  <c r="N53" i="17"/>
  <c r="M53" i="17"/>
  <c r="L53" i="17"/>
  <c r="V52" i="17"/>
  <c r="U52" i="17"/>
  <c r="T52" i="17"/>
  <c r="O52" i="17"/>
  <c r="N52" i="17"/>
  <c r="M52" i="17"/>
  <c r="L52" i="17"/>
  <c r="V51" i="17"/>
  <c r="U51" i="17"/>
  <c r="T51" i="17"/>
  <c r="O51" i="17"/>
  <c r="N51" i="17"/>
  <c r="M51" i="17"/>
  <c r="L51" i="17"/>
  <c r="V50" i="17"/>
  <c r="U50" i="17"/>
  <c r="T50" i="17"/>
  <c r="O50" i="17"/>
  <c r="N50" i="17"/>
  <c r="M50" i="17"/>
  <c r="L50" i="17"/>
  <c r="V49" i="17"/>
  <c r="U49" i="17"/>
  <c r="T49" i="17"/>
  <c r="O49" i="17"/>
  <c r="N49" i="17"/>
  <c r="M49" i="17"/>
  <c r="L49" i="17"/>
  <c r="V48" i="17"/>
  <c r="U48" i="17"/>
  <c r="T48" i="17"/>
  <c r="O48" i="17"/>
  <c r="N48" i="17"/>
  <c r="M48" i="17"/>
  <c r="L48" i="17"/>
  <c r="V47" i="17"/>
  <c r="U47" i="17"/>
  <c r="T47" i="17"/>
  <c r="O47" i="17"/>
  <c r="N47" i="17"/>
  <c r="M47" i="17"/>
  <c r="L47" i="17"/>
  <c r="V46" i="17"/>
  <c r="U46" i="17"/>
  <c r="T46" i="17"/>
  <c r="O46" i="17"/>
  <c r="N46" i="17"/>
  <c r="M46" i="17"/>
  <c r="L46" i="17"/>
  <c r="V45" i="17"/>
  <c r="U45" i="17"/>
  <c r="T45" i="17"/>
  <c r="O45" i="17"/>
  <c r="N45" i="17"/>
  <c r="M45" i="17"/>
  <c r="L45" i="17"/>
  <c r="V44" i="17"/>
  <c r="U44" i="17"/>
  <c r="T44" i="17"/>
  <c r="O44" i="17"/>
  <c r="N44" i="17"/>
  <c r="M44" i="17"/>
  <c r="L44" i="17"/>
  <c r="V43" i="17"/>
  <c r="U43" i="17"/>
  <c r="T43" i="17"/>
  <c r="O43" i="17"/>
  <c r="N43" i="17"/>
  <c r="M43" i="17"/>
  <c r="L43" i="17"/>
  <c r="V42" i="17"/>
  <c r="U42" i="17"/>
  <c r="T42" i="17"/>
  <c r="O42" i="17"/>
  <c r="N42" i="17"/>
  <c r="M42" i="17"/>
  <c r="L42" i="17"/>
  <c r="V41" i="17"/>
  <c r="U41" i="17"/>
  <c r="T41" i="17"/>
  <c r="O41" i="17"/>
  <c r="N41" i="17"/>
  <c r="M41" i="17"/>
  <c r="L41" i="17"/>
  <c r="V40" i="17"/>
  <c r="U40" i="17"/>
  <c r="T40" i="17"/>
  <c r="O40" i="17"/>
  <c r="N40" i="17"/>
  <c r="M40" i="17"/>
  <c r="L40" i="17"/>
  <c r="V39" i="17"/>
  <c r="U39" i="17"/>
  <c r="T39" i="17"/>
  <c r="O39" i="17"/>
  <c r="N39" i="17"/>
  <c r="M39" i="17"/>
  <c r="L39" i="17"/>
  <c r="V38" i="17"/>
  <c r="U38" i="17"/>
  <c r="T38" i="17"/>
  <c r="O38" i="17"/>
  <c r="N38" i="17"/>
  <c r="M38" i="17"/>
  <c r="L38" i="17"/>
  <c r="V37" i="17"/>
  <c r="U37" i="17"/>
  <c r="T37" i="17"/>
  <c r="O37" i="17"/>
  <c r="N37" i="17"/>
  <c r="M37" i="17"/>
  <c r="L37" i="17"/>
  <c r="V36" i="17"/>
  <c r="U36" i="17"/>
  <c r="T36" i="17"/>
  <c r="O36" i="17"/>
  <c r="N36" i="17"/>
  <c r="M36" i="17"/>
  <c r="L36" i="17"/>
  <c r="V35" i="17"/>
  <c r="U35" i="17"/>
  <c r="T35" i="17"/>
  <c r="O35" i="17"/>
  <c r="N35" i="17"/>
  <c r="M35" i="17"/>
  <c r="L35" i="17"/>
  <c r="V34" i="17"/>
  <c r="U34" i="17"/>
  <c r="T34" i="17"/>
  <c r="O34" i="17"/>
  <c r="N34" i="17"/>
  <c r="M34" i="17"/>
  <c r="L34" i="17"/>
  <c r="V33" i="17"/>
  <c r="U33" i="17"/>
  <c r="T33" i="17"/>
  <c r="O33" i="17"/>
  <c r="N33" i="17"/>
  <c r="M33" i="17"/>
  <c r="L33" i="17"/>
  <c r="V32" i="17"/>
  <c r="U32" i="17"/>
  <c r="T32" i="17"/>
  <c r="O32" i="17"/>
  <c r="N32" i="17"/>
  <c r="M32" i="17"/>
  <c r="L32" i="17"/>
  <c r="V31" i="17"/>
  <c r="U31" i="17"/>
  <c r="T31" i="17"/>
  <c r="O31" i="17"/>
  <c r="N31" i="17"/>
  <c r="M31" i="17"/>
  <c r="L31" i="17"/>
  <c r="V30" i="17"/>
  <c r="U30" i="17"/>
  <c r="T30" i="17"/>
  <c r="O30" i="17"/>
  <c r="N30" i="17"/>
  <c r="M30" i="17"/>
  <c r="L30" i="17"/>
  <c r="V29" i="17"/>
  <c r="U29" i="17"/>
  <c r="T29" i="17"/>
  <c r="O29" i="17"/>
  <c r="N29" i="17"/>
  <c r="M29" i="17"/>
  <c r="L29" i="17"/>
  <c r="V28" i="17"/>
  <c r="U28" i="17"/>
  <c r="T28" i="17"/>
  <c r="O28" i="17"/>
  <c r="N28" i="17"/>
  <c r="M28" i="17"/>
  <c r="L28" i="17"/>
  <c r="V27" i="17"/>
  <c r="U27" i="17"/>
  <c r="T27" i="17"/>
  <c r="O27" i="17"/>
  <c r="N27" i="17"/>
  <c r="M27" i="17"/>
  <c r="L27" i="17"/>
  <c r="V26" i="17"/>
  <c r="U26" i="17"/>
  <c r="T26" i="17"/>
  <c r="O26" i="17"/>
  <c r="N26" i="17"/>
  <c r="M26" i="17"/>
  <c r="L26" i="17"/>
  <c r="V25" i="17"/>
  <c r="U25" i="17"/>
  <c r="T25" i="17"/>
  <c r="O25" i="17"/>
  <c r="N25" i="17"/>
  <c r="M25" i="17"/>
  <c r="L25" i="17"/>
  <c r="V24" i="17"/>
  <c r="U24" i="17"/>
  <c r="T24" i="17"/>
  <c r="O24" i="17"/>
  <c r="N24" i="17"/>
  <c r="M24" i="17"/>
  <c r="L24" i="17"/>
  <c r="V23" i="17"/>
  <c r="U23" i="17"/>
  <c r="T23" i="17"/>
  <c r="O23" i="17"/>
  <c r="N23" i="17"/>
  <c r="M23" i="17"/>
  <c r="L23" i="17"/>
  <c r="V22" i="17"/>
  <c r="U22" i="17"/>
  <c r="T22" i="17"/>
  <c r="O22" i="17"/>
  <c r="N22" i="17"/>
  <c r="M22" i="17"/>
  <c r="L22" i="17"/>
  <c r="V21" i="17"/>
  <c r="U21" i="17"/>
  <c r="T21" i="17"/>
  <c r="O21" i="17"/>
  <c r="N21" i="17"/>
  <c r="M21" i="17"/>
  <c r="L21" i="17"/>
  <c r="V20" i="17"/>
  <c r="U20" i="17"/>
  <c r="T20" i="17"/>
  <c r="O20" i="17"/>
  <c r="N20" i="17"/>
  <c r="M20" i="17"/>
  <c r="L20" i="17"/>
  <c r="V19" i="17"/>
  <c r="U19" i="17"/>
  <c r="T19" i="17"/>
  <c r="O19" i="17"/>
  <c r="N19" i="17"/>
  <c r="M19" i="17"/>
  <c r="L19" i="17"/>
  <c r="V18" i="17"/>
  <c r="U18" i="17"/>
  <c r="T18" i="17"/>
  <c r="O18" i="17"/>
  <c r="N18" i="17"/>
  <c r="M18" i="17"/>
  <c r="L18" i="17"/>
  <c r="V17" i="17"/>
  <c r="U17" i="17"/>
  <c r="T17" i="17"/>
  <c r="O17" i="17"/>
  <c r="N17" i="17"/>
  <c r="M17" i="17"/>
  <c r="L17" i="17"/>
  <c r="V16" i="17"/>
  <c r="U16" i="17"/>
  <c r="T16" i="17"/>
  <c r="O16" i="17"/>
  <c r="N16" i="17"/>
  <c r="M16" i="17"/>
  <c r="L16" i="17"/>
  <c r="V15" i="17"/>
  <c r="U15" i="17"/>
  <c r="T15" i="17"/>
  <c r="O15" i="17"/>
  <c r="N15" i="17"/>
  <c r="M15" i="17"/>
  <c r="L15" i="17"/>
  <c r="V14" i="17"/>
  <c r="U14" i="17"/>
  <c r="T14" i="17"/>
  <c r="O14" i="17"/>
  <c r="N14" i="17"/>
  <c r="M14" i="17"/>
  <c r="L14" i="17"/>
  <c r="V13" i="17"/>
  <c r="U13" i="17"/>
  <c r="T13" i="17"/>
  <c r="O13" i="17"/>
  <c r="N13" i="17"/>
  <c r="M13" i="17"/>
  <c r="L13" i="17"/>
  <c r="V12" i="17"/>
  <c r="U12" i="17"/>
  <c r="T12" i="17"/>
  <c r="O12" i="17"/>
  <c r="N12" i="17"/>
  <c r="M12" i="17"/>
  <c r="L12" i="17"/>
  <c r="V11" i="17"/>
  <c r="U11" i="17"/>
  <c r="T11" i="17"/>
  <c r="O11" i="17"/>
  <c r="N11" i="17"/>
  <c r="M11" i="17"/>
  <c r="L11" i="17"/>
  <c r="V10" i="17"/>
  <c r="U10" i="17"/>
  <c r="T10" i="17"/>
  <c r="O10" i="17"/>
  <c r="N10" i="17"/>
  <c r="M10" i="17"/>
  <c r="L10" i="17"/>
  <c r="V9" i="17"/>
  <c r="U9" i="17"/>
  <c r="T9" i="17"/>
  <c r="O9" i="17"/>
  <c r="N9" i="17"/>
  <c r="M9" i="17"/>
  <c r="L9" i="17"/>
  <c r="V8" i="17"/>
  <c r="U8" i="17"/>
  <c r="T8" i="17"/>
  <c r="O8" i="17"/>
  <c r="N8" i="17"/>
  <c r="M8" i="17"/>
  <c r="L8" i="17"/>
  <c r="V7" i="17"/>
  <c r="U7" i="17"/>
  <c r="T7" i="17"/>
  <c r="O7" i="17"/>
  <c r="N7" i="17"/>
  <c r="M7" i="17"/>
  <c r="L7" i="17"/>
  <c r="V6" i="17"/>
  <c r="U6" i="17"/>
  <c r="T6" i="17"/>
  <c r="O6" i="17"/>
  <c r="N6" i="17"/>
  <c r="M6" i="17"/>
  <c r="L6" i="17"/>
  <c r="V5" i="17"/>
  <c r="U5" i="17"/>
  <c r="T5" i="17"/>
  <c r="O5" i="17"/>
  <c r="N5" i="17"/>
  <c r="M5" i="17"/>
  <c r="L5" i="17"/>
  <c r="V4" i="17"/>
  <c r="U4" i="17"/>
  <c r="T4" i="17"/>
  <c r="O4" i="17"/>
  <c r="N4" i="17"/>
  <c r="M4" i="17"/>
  <c r="L4" i="17"/>
  <c r="V3" i="17"/>
  <c r="U3" i="17"/>
  <c r="T3" i="17"/>
  <c r="O3" i="17"/>
  <c r="N3" i="17"/>
  <c r="M3" i="17"/>
  <c r="L3" i="17"/>
  <c r="V2" i="17"/>
  <c r="U2" i="17"/>
  <c r="T2" i="17"/>
  <c r="O2" i="17"/>
  <c r="N2" i="17"/>
  <c r="M2" i="17"/>
  <c r="L2" i="17"/>
  <c r="X109" i="17" l="1"/>
  <c r="X110" i="17"/>
  <c r="X111" i="17"/>
  <c r="X112" i="17"/>
  <c r="X113" i="17"/>
  <c r="V113" i="17"/>
  <c r="U113" i="17"/>
  <c r="T113" i="17"/>
  <c r="O113" i="17"/>
  <c r="N113" i="17"/>
  <c r="M113" i="17"/>
  <c r="L113" i="17"/>
  <c r="V112" i="17"/>
  <c r="U112" i="17"/>
  <c r="T112" i="17"/>
  <c r="O112" i="17"/>
  <c r="N112" i="17"/>
  <c r="M112" i="17"/>
  <c r="L112" i="17"/>
  <c r="V111" i="17"/>
  <c r="U111" i="17"/>
  <c r="T111" i="17"/>
  <c r="O111" i="17"/>
  <c r="N111" i="17"/>
  <c r="M111" i="17"/>
  <c r="L111" i="17"/>
  <c r="V110" i="17"/>
  <c r="U110" i="17"/>
  <c r="T110" i="17"/>
  <c r="O110" i="17"/>
  <c r="N110" i="17"/>
  <c r="M110" i="17"/>
  <c r="L110" i="17"/>
  <c r="V109" i="17"/>
  <c r="U109" i="17"/>
  <c r="T109" i="17"/>
  <c r="O109" i="17"/>
  <c r="N109" i="17"/>
  <c r="M109" i="17"/>
  <c r="L109" i="17"/>
  <c r="X107" i="17" l="1"/>
  <c r="X108" i="17"/>
  <c r="X67" i="17" l="1"/>
  <c r="V67" i="17"/>
  <c r="O67" i="17"/>
  <c r="N67" i="17"/>
  <c r="M67" i="17"/>
  <c r="L67" i="17"/>
  <c r="V108" i="17"/>
  <c r="O108" i="17"/>
  <c r="N108" i="17"/>
  <c r="M108" i="17"/>
  <c r="L108" i="17"/>
  <c r="V107" i="17"/>
  <c r="O107" i="17"/>
  <c r="N107" i="17"/>
  <c r="M107" i="17"/>
  <c r="L107" i="17"/>
  <c r="X106" i="17"/>
  <c r="V106" i="17"/>
  <c r="O106" i="17"/>
  <c r="N106" i="17"/>
  <c r="M106" i="17"/>
  <c r="L106" i="17"/>
  <c r="X105" i="17"/>
  <c r="V105" i="17"/>
  <c r="O105" i="17"/>
  <c r="N105" i="17"/>
  <c r="M105" i="17"/>
  <c r="L105" i="17"/>
  <c r="X104" i="17"/>
  <c r="V104" i="17"/>
  <c r="O104" i="17"/>
  <c r="N104" i="17"/>
  <c r="M104" i="17"/>
  <c r="L104" i="17"/>
  <c r="X64" i="17"/>
  <c r="V64" i="17"/>
  <c r="O64" i="17"/>
  <c r="N64" i="17"/>
  <c r="M64" i="17"/>
  <c r="L64" i="17"/>
  <c r="X65" i="17"/>
  <c r="X66" i="17"/>
  <c r="X68" i="17"/>
  <c r="X69" i="17"/>
  <c r="X70" i="17"/>
  <c r="X71" i="17"/>
  <c r="X72" i="17"/>
  <c r="X73" i="17"/>
  <c r="X74" i="17"/>
  <c r="X75" i="17"/>
  <c r="X76" i="17"/>
  <c r="X77" i="17"/>
  <c r="X78" i="17"/>
  <c r="X79" i="17"/>
  <c r="X80" i="17"/>
  <c r="X81" i="17"/>
  <c r="X82" i="17"/>
  <c r="X83" i="17"/>
  <c r="X84" i="17"/>
  <c r="X85" i="17"/>
  <c r="X86" i="17"/>
  <c r="X87" i="17"/>
  <c r="X88" i="17"/>
  <c r="X89" i="17"/>
  <c r="X90" i="17"/>
  <c r="X91" i="17"/>
  <c r="X92" i="17"/>
  <c r="X93" i="17"/>
  <c r="X94" i="17"/>
  <c r="X95" i="17"/>
  <c r="X96" i="17"/>
  <c r="X97" i="17"/>
  <c r="X98" i="17"/>
  <c r="X99" i="17"/>
  <c r="X100" i="17"/>
  <c r="X101" i="17"/>
  <c r="X102" i="17"/>
  <c r="X103" i="17"/>
  <c r="V63" i="17"/>
  <c r="O63" i="17"/>
  <c r="N63" i="17"/>
  <c r="M63" i="17"/>
  <c r="L63" i="17"/>
  <c r="O65" i="17" l="1"/>
  <c r="O66" i="17"/>
  <c r="O68" i="17"/>
  <c r="O69" i="17"/>
  <c r="O70" i="17"/>
  <c r="O71" i="17"/>
  <c r="O72" i="17"/>
  <c r="O73" i="17"/>
  <c r="O74" i="17"/>
  <c r="O75" i="17"/>
  <c r="O76" i="17"/>
  <c r="O77" i="17"/>
  <c r="O78" i="17"/>
  <c r="O79" i="17"/>
  <c r="O80" i="17"/>
  <c r="O81" i="17"/>
  <c r="O82" i="17"/>
  <c r="O83" i="17"/>
  <c r="O84" i="17"/>
  <c r="O85" i="17"/>
  <c r="O86" i="17"/>
  <c r="O87" i="17"/>
  <c r="O88" i="17"/>
  <c r="O89" i="17"/>
  <c r="O90" i="17"/>
  <c r="O91" i="17"/>
  <c r="O92" i="17"/>
  <c r="O93" i="17"/>
  <c r="O94" i="17"/>
  <c r="O95" i="17"/>
  <c r="O96" i="17"/>
  <c r="O97" i="17"/>
  <c r="O98" i="17"/>
  <c r="O99" i="17"/>
  <c r="O100" i="17"/>
  <c r="O101" i="17"/>
  <c r="O102" i="17"/>
  <c r="O103" i="17"/>
  <c r="V74" i="17"/>
  <c r="N74" i="17"/>
  <c r="M74" i="17"/>
  <c r="L74" i="17"/>
  <c r="V73" i="17"/>
  <c r="N73" i="17"/>
  <c r="M73" i="17"/>
  <c r="L73" i="17"/>
  <c r="V72" i="17" l="1"/>
  <c r="N72" i="17"/>
  <c r="M72" i="17"/>
  <c r="L72" i="17"/>
  <c r="V89" i="17"/>
  <c r="N89" i="17"/>
  <c r="M89" i="17"/>
  <c r="L89" i="17"/>
  <c r="V90" i="17"/>
  <c r="N90" i="17"/>
  <c r="M90" i="17"/>
  <c r="L90" i="17"/>
  <c r="V88" i="17"/>
  <c r="N88" i="17"/>
  <c r="M88" i="17"/>
  <c r="L88" i="17"/>
  <c r="V87" i="17"/>
  <c r="N87" i="17"/>
  <c r="M87" i="17"/>
  <c r="L87" i="17"/>
  <c r="V86" i="17"/>
  <c r="N86" i="17"/>
  <c r="M86" i="17"/>
  <c r="L86" i="17"/>
  <c r="V85" i="17"/>
  <c r="N85" i="17"/>
  <c r="M85" i="17"/>
  <c r="L85" i="17"/>
  <c r="L91" i="17"/>
  <c r="M91" i="17"/>
  <c r="N91" i="17"/>
  <c r="V91" i="17"/>
  <c r="L92" i="17"/>
  <c r="M92" i="17"/>
  <c r="N92" i="17"/>
  <c r="V92" i="17"/>
  <c r="L93" i="17"/>
  <c r="M93" i="17"/>
  <c r="N93" i="17"/>
  <c r="V93" i="17"/>
  <c r="L94" i="17"/>
  <c r="M94" i="17"/>
  <c r="N94" i="17"/>
  <c r="V94" i="17"/>
  <c r="L95" i="17"/>
  <c r="M95" i="17"/>
  <c r="N95" i="17"/>
  <c r="V95" i="17"/>
  <c r="V75" i="17"/>
  <c r="N75" i="17"/>
  <c r="M75" i="17"/>
  <c r="L75" i="17"/>
  <c r="V71" i="17"/>
  <c r="N71" i="17"/>
  <c r="M71" i="17"/>
  <c r="L71" i="17"/>
  <c r="V70" i="17"/>
  <c r="N70" i="17"/>
  <c r="M70" i="17"/>
  <c r="L70" i="17"/>
  <c r="V69" i="17"/>
  <c r="N69" i="17"/>
  <c r="M69" i="17"/>
  <c r="L69" i="17"/>
  <c r="V68" i="17"/>
  <c r="N68" i="17"/>
  <c r="M68" i="17"/>
  <c r="L68" i="17"/>
  <c r="V103" i="17"/>
  <c r="N103" i="17"/>
  <c r="M103" i="17"/>
  <c r="L103" i="17"/>
  <c r="V66" i="17"/>
  <c r="N66" i="17"/>
  <c r="M66" i="17"/>
  <c r="L66" i="17"/>
  <c r="V65" i="17"/>
  <c r="N65" i="17"/>
  <c r="M65" i="17"/>
  <c r="L65" i="17"/>
  <c r="V84" i="17"/>
  <c r="N84" i="17"/>
  <c r="M84" i="17"/>
  <c r="L84" i="17"/>
  <c r="V83" i="17"/>
  <c r="N83" i="17"/>
  <c r="M83" i="17"/>
  <c r="L83" i="17"/>
  <c r="V82" i="17"/>
  <c r="N82" i="17"/>
  <c r="M82" i="17"/>
  <c r="L82" i="17"/>
  <c r="V81" i="17"/>
  <c r="N81" i="17"/>
  <c r="M81" i="17"/>
  <c r="L81" i="17"/>
  <c r="V80" i="17"/>
  <c r="N80" i="17"/>
  <c r="M80" i="17"/>
  <c r="L80" i="17"/>
  <c r="V79" i="17"/>
  <c r="N79" i="17"/>
  <c r="M79" i="17"/>
  <c r="L79" i="17"/>
  <c r="V78" i="17"/>
  <c r="N78" i="17"/>
  <c r="M78" i="17"/>
  <c r="L78" i="17"/>
  <c r="V77" i="17"/>
  <c r="N77" i="17"/>
  <c r="M77" i="17"/>
  <c r="L77" i="17"/>
  <c r="V76" i="17"/>
  <c r="N76" i="17"/>
  <c r="M76" i="17"/>
  <c r="L76" i="17"/>
  <c r="V101" i="17" l="1"/>
  <c r="N101" i="17"/>
  <c r="M101" i="17"/>
  <c r="L101" i="17"/>
  <c r="V97" i="17"/>
  <c r="N97" i="17"/>
  <c r="M97" i="17"/>
  <c r="L97" i="17"/>
  <c r="V99" i="17"/>
  <c r="N99" i="17"/>
  <c r="M99" i="17"/>
  <c r="L99" i="17"/>
  <c r="V100" i="17"/>
  <c r="N100" i="17"/>
  <c r="M100" i="17"/>
  <c r="L100" i="17"/>
  <c r="V102" i="17"/>
  <c r="N102" i="17"/>
  <c r="M102" i="17"/>
  <c r="L102" i="17"/>
  <c r="V98" i="17"/>
  <c r="N98" i="17"/>
  <c r="M98" i="17"/>
  <c r="L98" i="17"/>
  <c r="V96" i="17"/>
  <c r="N96" i="17"/>
  <c r="M96" i="17"/>
  <c r="L96" i="17"/>
  <c r="B24" i="13" l="1"/>
  <c r="B18" i="13" l="1"/>
  <c r="B6" i="13"/>
  <c r="B5" i="13"/>
</calcChain>
</file>

<file path=xl/sharedStrings.xml><?xml version="1.0" encoding="utf-8"?>
<sst xmlns="http://schemas.openxmlformats.org/spreadsheetml/2006/main" count="2938" uniqueCount="648">
  <si>
    <t>EquivalentTo: 
Raiz
Condições 
necessárias</t>
  </si>
  <si>
    <t>EquivalentTo: 
Classe2
Condições 
necessárias</t>
  </si>
  <si>
    <t>EquivalentTo: 
Classe3
Condições 
necessárias</t>
  </si>
  <si>
    <t>EquivalentTo: 
Classe4 
Condições 
necessárias</t>
  </si>
  <si>
    <t>EquivalentTo: 
Classe5
Condições 
necessárias</t>
  </si>
  <si>
    <t>Anotações 
de ajuda
Classe 2</t>
  </si>
  <si>
    <t>Anotações 
de ajuda
Classe 3</t>
  </si>
  <si>
    <t>Anotações 
de ajuda
Classe 5</t>
  </si>
  <si>
    <t>Key</t>
  </si>
  <si>
    <t>null</t>
  </si>
  <si>
    <t>N°</t>
  </si>
  <si>
    <t>1</t>
  </si>
  <si>
    <t>Disjunta 1</t>
  </si>
  <si>
    <t>Disjunta 2</t>
  </si>
  <si>
    <t>Disjunta 3</t>
  </si>
  <si>
    <t>Disjunta 4</t>
  </si>
  <si>
    <t>Disjunta 5</t>
  </si>
  <si>
    <t>Disjunta 6</t>
  </si>
  <si>
    <t>Disjunta 7</t>
  </si>
  <si>
    <t>Disjunta 8</t>
  </si>
  <si>
    <t>Disjunta 9</t>
  </si>
  <si>
    <t>Disjunta 10</t>
  </si>
  <si>
    <t>Disjunta 11</t>
  </si>
  <si>
    <t>Disjunta 12</t>
  </si>
  <si>
    <t>Disjunta 13</t>
  </si>
  <si>
    <t>Disjunta 14</t>
  </si>
  <si>
    <t>Disjunta 15</t>
  </si>
  <si>
    <t>Disjunta 16</t>
  </si>
  <si>
    <t>Disjunta 17</t>
  </si>
  <si>
    <t>Disjunta 18</t>
  </si>
  <si>
    <t>Disjunta 19</t>
  </si>
  <si>
    <t>Disjunta 20</t>
  </si>
  <si>
    <t>BIM</t>
  </si>
  <si>
    <t>Natureza</t>
  </si>
  <si>
    <t>Disciplina</t>
  </si>
  <si>
    <t>Tema</t>
  </si>
  <si>
    <t>00 Super
Class
5</t>
  </si>
  <si>
    <t>000 Tradução Classe 5</t>
  </si>
  <si>
    <t>Especie</t>
  </si>
  <si>
    <t>00Super
Class
4</t>
  </si>
  <si>
    <t>00Super
Class
2</t>
  </si>
  <si>
    <t>00Super
Class
3</t>
  </si>
  <si>
    <t>00Raiz</t>
  </si>
  <si>
    <t>000 Traducción Classe 5</t>
  </si>
  <si>
    <t>Chave</t>
  </si>
  <si>
    <t>Valor</t>
  </si>
  <si>
    <t>OntologiaPrefixo</t>
  </si>
  <si>
    <t>bim:</t>
  </si>
  <si>
    <t>OntologiaTema</t>
  </si>
  <si>
    <t>RaizClass</t>
  </si>
  <si>
    <t>RaizProp</t>
  </si>
  <si>
    <t>RaizData</t>
  </si>
  <si>
    <t>URI</t>
  </si>
  <si>
    <t>https://github.com/JLMenegotto/RepoOnto#</t>
  </si>
  <si>
    <t>Autor</t>
  </si>
  <si>
    <t>Organização</t>
  </si>
  <si>
    <t>Escola Politécnica da UFRJ</t>
  </si>
  <si>
    <t>NormaNúmero</t>
  </si>
  <si>
    <t>-</t>
  </si>
  <si>
    <t>Edição</t>
  </si>
  <si>
    <t>ISBN</t>
  </si>
  <si>
    <t>NormaEscopo</t>
  </si>
  <si>
    <t>NormaReferência1</t>
  </si>
  <si>
    <t>NormaReferência2</t>
  </si>
  <si>
    <t>NormaReferência3</t>
  </si>
  <si>
    <t>Observações</t>
  </si>
  <si>
    <t>DataHora</t>
  </si>
  <si>
    <t>Advertência1</t>
  </si>
  <si>
    <t>Algumas traduções podem precisar de revisão - Traducción al español incorporada</t>
  </si>
  <si>
    <t>Prédio</t>
  </si>
  <si>
    <t>Cidade</t>
  </si>
  <si>
    <t>Explicação</t>
  </si>
  <si>
    <t>Explicación</t>
  </si>
  <si>
    <t>Indivíduo</t>
  </si>
  <si>
    <t>Classe</t>
  </si>
  <si>
    <t>Fato</t>
  </si>
  <si>
    <t>Fato
(14)</t>
  </si>
  <si>
    <t>descrição</t>
  </si>
  <si>
    <t>Val</t>
  </si>
  <si>
    <t>0-Classe Ifc</t>
  </si>
  <si>
    <t>0-Categoria Equivalente</t>
  </si>
  <si>
    <t>0-CategoriaEquivalente</t>
  </si>
  <si>
    <t>é.dentro.de</t>
  </si>
  <si>
    <t>ABNT</t>
  </si>
  <si>
    <t>000 Translate Classe 5</t>
  </si>
  <si>
    <t>Prof. José Luis Menegotto DEG/POLI/UFRJ</t>
  </si>
  <si>
    <t>Explanation</t>
  </si>
  <si>
    <t>Idioma</t>
  </si>
  <si>
    <t>pt</t>
  </si>
  <si>
    <t>es</t>
  </si>
  <si>
    <t>en</t>
  </si>
  <si>
    <t>0</t>
  </si>
  <si>
    <t>Anotações 
de ajuda
Classe 1</t>
  </si>
  <si>
    <t>Interop</t>
  </si>
  <si>
    <t>CTI_Projeto_01</t>
  </si>
  <si>
    <t>código.abnt</t>
  </si>
  <si>
    <t>"Nome da empresa vendedora do produto."</t>
  </si>
  <si>
    <t>classe.ifc</t>
  </si>
  <si>
    <t>categoria.revit</t>
  </si>
  <si>
    <t>Coletor.Predial</t>
  </si>
  <si>
    <t>Coletor.Andar</t>
  </si>
  <si>
    <t>Tubo.de.Queda</t>
  </si>
  <si>
    <t>Caixa.de.Inspeção</t>
  </si>
  <si>
    <t>Poço.de.Visita</t>
  </si>
  <si>
    <t>Caixa.de.Gordura</t>
  </si>
  <si>
    <t>Caixa.de.Areia</t>
  </si>
  <si>
    <t>Caixa.Sifonada</t>
  </si>
  <si>
    <t>Ventilação.Esgoto</t>
  </si>
  <si>
    <t>Coletor Sifonado como um ralo sifonado</t>
  </si>
  <si>
    <t>Coletor Local como um ralo seco ou Válvula de Lavatório</t>
  </si>
  <si>
    <t xml:space="preserve">Ramal de coleta horizontal do andar </t>
  </si>
  <si>
    <t>Ramal de coleta horizonta do prédio</t>
  </si>
  <si>
    <t>Tubo vertical de queda</t>
  </si>
  <si>
    <t>Sifões</t>
  </si>
  <si>
    <t>Caixas de Areia</t>
  </si>
  <si>
    <t>Caixas de Gordura</t>
  </si>
  <si>
    <t>Caixas de Inspeção</t>
  </si>
  <si>
    <t>Caixas Sifonadas</t>
  </si>
  <si>
    <t>Poços de Visita</t>
  </si>
  <si>
    <t>Colector local como válvula de drenaje seco o de cuenca</t>
  </si>
  <si>
    <t>Colector sifonado como drenaje sifonado</t>
  </si>
  <si>
    <t>Sifones</t>
  </si>
  <si>
    <t>Cajas de arena</t>
  </si>
  <si>
    <t>Trampas de grasa</t>
  </si>
  <si>
    <t>Cajas de sifón</t>
  </si>
  <si>
    <t>Pozo de visita</t>
  </si>
  <si>
    <t>[ 3E.42.04 ]</t>
  </si>
  <si>
    <t>"Tigre"</t>
  </si>
  <si>
    <t>"[ 3E.42.04 ]"</t>
  </si>
  <si>
    <t>é.pertencente.a</t>
  </si>
  <si>
    <t>"Sistema de Esgoto da coluna 1 do Predio"</t>
  </si>
  <si>
    <t>Tubulação.Reuso</t>
  </si>
  <si>
    <t>Cisterna.Superior</t>
  </si>
  <si>
    <t>Cisterna.Inferior</t>
  </si>
  <si>
    <t>Boiler</t>
  </si>
  <si>
    <t>Caldeira</t>
  </si>
  <si>
    <t>Tubulação.AQ</t>
  </si>
  <si>
    <t>Tubulação.AF</t>
  </si>
  <si>
    <t>Cisterna Superior</t>
  </si>
  <si>
    <t>Cisterna Inferior</t>
  </si>
  <si>
    <t>Aquecedor.de.Agua</t>
  </si>
  <si>
    <t>Aquecedor de água</t>
  </si>
  <si>
    <t>Tubulação de Água Fria</t>
  </si>
  <si>
    <t>Tubulação de Água Quente</t>
  </si>
  <si>
    <t>Tubulação de Água de Reuso</t>
  </si>
  <si>
    <t>Tubería de agua de reuso</t>
  </si>
  <si>
    <t>Calefón</t>
  </si>
  <si>
    <t>Cisterna Intermediária</t>
  </si>
  <si>
    <t>Ventilação de Esgoto</t>
  </si>
  <si>
    <t>Ventilación de Esgoto</t>
  </si>
  <si>
    <t>Tubulações</t>
  </si>
  <si>
    <t>Hidrossanitária</t>
  </si>
  <si>
    <t>Instalações</t>
  </si>
  <si>
    <t>Sistema.ESG</t>
  </si>
  <si>
    <t>[ 3E.38.02 ]</t>
  </si>
  <si>
    <t>Acessório.Sanitário</t>
  </si>
  <si>
    <t>Accesorio del sistema de desagüe como soportes, ganchos, pedestales, etc.</t>
  </si>
  <si>
    <t>"Instância de Ralo sifonado que pertence ao sistema ESG_01 pode ser individualizado pelo ID de Revit ou pelo indentificador IfcGlobalId de IFC"</t>
  </si>
  <si>
    <t>"Instância de Tubulação que pertence ao sistema AF01 pode ser individualizado pelo ID de Revit ou pelo indentificador IfcGlobalId de IFC"</t>
  </si>
  <si>
    <t>Ralo.Sifonado</t>
  </si>
  <si>
    <t>Ralo.Seco</t>
  </si>
  <si>
    <t>Chuveiro</t>
  </si>
  <si>
    <t>Torneira</t>
  </si>
  <si>
    <t>Misturador</t>
  </si>
  <si>
    <t>Válvula</t>
  </si>
  <si>
    <t>Registro</t>
  </si>
  <si>
    <t>Lavatório</t>
  </si>
  <si>
    <t>Bidet</t>
  </si>
  <si>
    <t>Vaso.Sanitário</t>
  </si>
  <si>
    <t>Cuba.Sanitária</t>
  </si>
  <si>
    <t>Pia.Sanitária</t>
  </si>
  <si>
    <t>Banheira</t>
  </si>
  <si>
    <t>Ducha</t>
  </si>
  <si>
    <t>Ducha manual</t>
  </si>
  <si>
    <t>Canilla</t>
  </si>
  <si>
    <t>Vaso Sanitário</t>
  </si>
  <si>
    <t>Pia Sanitária</t>
  </si>
  <si>
    <t>Cuba Sanitária</t>
  </si>
  <si>
    <t>Inodoro</t>
  </si>
  <si>
    <t>Tanque</t>
  </si>
  <si>
    <t>Bacha Sanitaria</t>
  </si>
  <si>
    <t>[ OST_PlumbingFixtures ]</t>
  </si>
  <si>
    <t>[ IfcSanitaryTerminal ]</t>
  </si>
  <si>
    <t>[ IfcValve ]</t>
  </si>
  <si>
    <t>[ IfcTank ]</t>
  </si>
  <si>
    <t>[ IfcBoiler ]</t>
  </si>
  <si>
    <t>[ IfcEnergyConversionDevice ]</t>
  </si>
  <si>
    <t>"Instância de Tubulação que pertence ao sistema AQ01 pode ser individualizado pelo ID de Revit ou pelo indentificador IfcGlobalId de IFC"</t>
  </si>
  <si>
    <t>[ OST_PipingSystem ]</t>
  </si>
  <si>
    <t>"[ 3E.38.02 ]"</t>
  </si>
  <si>
    <t>Ralo_ID_453908</t>
  </si>
  <si>
    <t>Ralo_ID_453909</t>
  </si>
  <si>
    <t>Tubo_ID_334250</t>
  </si>
  <si>
    <t>Tubo_ID_334251</t>
  </si>
  <si>
    <t>Tubo_ID_334252</t>
  </si>
  <si>
    <t>Tubo_ID_334253</t>
  </si>
  <si>
    <t>Tubo_ID_334254</t>
  </si>
  <si>
    <t>Tubo_ID_334255</t>
  </si>
  <si>
    <t>Tubo_ID_334256</t>
  </si>
  <si>
    <t>Tubo_ID_334257</t>
  </si>
  <si>
    <t>Tubo_ID_334258</t>
  </si>
  <si>
    <t>Tubo_ID_334259</t>
  </si>
  <si>
    <t>Tubo_ID_334260</t>
  </si>
  <si>
    <t>Tubo_ID_334261</t>
  </si>
  <si>
    <t>Objetos_de_Hidrossanitária</t>
  </si>
  <si>
    <t>Formalizar elementos do projeto BIM. Objetos específicos de Hidráulica e Esgoto Sanitário</t>
  </si>
  <si>
    <t>Formalizar elementos de proyecto BIM. Objetos específicos de Hidráulica e Desagües sanitarios</t>
  </si>
  <si>
    <t>Objetos de Sistemas de Hidráulica e Esgoto Sanitário</t>
  </si>
  <si>
    <t>Sis_ESG_01</t>
  </si>
  <si>
    <t>Sis_AFR_01</t>
  </si>
  <si>
    <t>Fecho.Hidráulico</t>
  </si>
  <si>
    <t>Acessório.Hidraúlico</t>
  </si>
  <si>
    <t>Tubulação.Agua.Fria</t>
  </si>
  <si>
    <t>Tubulação.Agua.Quente</t>
  </si>
  <si>
    <t>Peças.Sanitárias</t>
  </si>
  <si>
    <t>Esgoto.Coletores</t>
  </si>
  <si>
    <t>Esgoto.Visitas</t>
  </si>
  <si>
    <t>Esgoto.Acessórios</t>
  </si>
  <si>
    <t>Peças.Hidráulicas</t>
  </si>
  <si>
    <t>Sistema.AFR</t>
  </si>
  <si>
    <t>Sistema.AQT</t>
  </si>
  <si>
    <t>Sis_AQT_01</t>
  </si>
  <si>
    <t>Acessório do sistema de agua como suportes, ganchos, pedestais, etc.</t>
  </si>
  <si>
    <t>Acessório do sistema de esgoto sanitário como suportes, ganchos, pedestais, etc.</t>
  </si>
  <si>
    <t>[ IfcDistributionSystemDOMESTICCOLDWATER ]</t>
  </si>
  <si>
    <t>[ IfcDistributionSystemDOMESTICHOTWATER ]</t>
  </si>
  <si>
    <t>[ IfcDistributionSystemDRAINAGE ]</t>
  </si>
  <si>
    <t>"[ OST_PipingSystem ]"</t>
  </si>
  <si>
    <t>Cisterna.Intermediária</t>
  </si>
  <si>
    <t>[ IfcFlowMeter ]</t>
  </si>
  <si>
    <t>Medidor.de.Água</t>
  </si>
  <si>
    <t>Medidores de Água</t>
  </si>
  <si>
    <t>Medidores de agua</t>
  </si>
  <si>
    <t>Water Meters</t>
  </si>
  <si>
    <t>[ IfcDiscreteAccessory ]</t>
  </si>
  <si>
    <t>[ OST_PipeAccessory ]</t>
  </si>
  <si>
    <t>Cajas de inspección</t>
  </si>
  <si>
    <t>Ramal colector horizontal de un piso del edifício</t>
  </si>
  <si>
    <t>Ramal colector horizontal del edificio</t>
  </si>
  <si>
    <t>Tubo colector vertical</t>
  </si>
  <si>
    <t>[ OST_PipeFitting ]</t>
  </si>
  <si>
    <t>quem.fabricou</t>
  </si>
  <si>
    <t>quem.forneceu</t>
  </si>
  <si>
    <t>Conceitos</t>
  </si>
  <si>
    <t>Sistemas.Prediais</t>
  </si>
  <si>
    <t>Elementos.Hidráulicos</t>
  </si>
  <si>
    <t>Sistemas.Hidrossanitários</t>
  </si>
  <si>
    <t>[ OST_PipingSystem : OST_PipeSegments : OST_PipeFitting : OST_PipeCurves : OST_PipeConnections : OST_PipeFittingInsulation ]</t>
  </si>
  <si>
    <t>[ IfcPipeSegment : IfcPipeFitting ]</t>
  </si>
  <si>
    <t>"Indivíduo de Sistemas Prediais de um projeto"</t>
  </si>
  <si>
    <t>"Indivíduo que representa um sistema de Esgoto do projeto"</t>
  </si>
  <si>
    <t>"Indivíduo que representa um sistema de Hidráulica do projeto"</t>
  </si>
  <si>
    <t>"[ OST_PipeSegments : OST_PipeFitting ]"</t>
  </si>
  <si>
    <t>"[ IfcPipeSegment : IfcPipeFitting ]"</t>
  </si>
  <si>
    <t>Sistemas.Sanitários</t>
  </si>
  <si>
    <t>Sistemas.Hidráulicos</t>
  </si>
  <si>
    <t>Sistema.VEN</t>
  </si>
  <si>
    <t>[ IfcDistributionSystemVENT ]</t>
  </si>
  <si>
    <t>Sistema de ventilación de desagües.</t>
  </si>
  <si>
    <t>Sistema de desagües del edificio.</t>
  </si>
  <si>
    <t>Sistema de agua fria del edificio.</t>
  </si>
  <si>
    <t>Sistema de agua caliente del edificio.</t>
  </si>
  <si>
    <t>Sistema.PLU</t>
  </si>
  <si>
    <t>Sistema de desagüe pluvial.</t>
  </si>
  <si>
    <t>Sistema de ventilação do esgoto predial.</t>
  </si>
  <si>
    <t>Sistema de esgoto predial.</t>
  </si>
  <si>
    <t>Sistema de água fria predial.</t>
  </si>
  <si>
    <t>Sistema de água quente predial.</t>
  </si>
  <si>
    <t>Sistemas.Pluviais</t>
  </si>
  <si>
    <t>Projeto</t>
  </si>
  <si>
    <t>De.Tubulações</t>
  </si>
  <si>
    <t>Esgoto</t>
  </si>
  <si>
    <t>AF</t>
  </si>
  <si>
    <t>AQ</t>
  </si>
  <si>
    <t>Pluvial</t>
  </si>
  <si>
    <t>Elementos.de.Instalações</t>
  </si>
  <si>
    <t>Instalação.De</t>
  </si>
  <si>
    <t>Ventilação</t>
  </si>
  <si>
    <t>Ventilação de la instalação de desague.</t>
  </si>
  <si>
    <t>Instalação de Esgoto</t>
  </si>
  <si>
    <t>Instalação de água fria</t>
  </si>
  <si>
    <t>Instalação de água caliente</t>
  </si>
  <si>
    <t>Instalação de águas pluviais.</t>
  </si>
  <si>
    <t>Mezclador</t>
  </si>
  <si>
    <t>Accesorios para sistemas de agua como soportes, ganchos, pedestales, etc.</t>
  </si>
  <si>
    <t>Cisterna intermedia</t>
  </si>
  <si>
    <t>Tubería de agua fría</t>
  </si>
  <si>
    <t>Caldera</t>
  </si>
  <si>
    <t>Tubería de agua caliente</t>
  </si>
  <si>
    <t>Bidé</t>
  </si>
  <si>
    <t>Lavabo</t>
  </si>
  <si>
    <t>Bañera</t>
  </si>
  <si>
    <t>Instalación de alcantarillado</t>
  </si>
  <si>
    <t>Instalación de agua fría</t>
  </si>
  <si>
    <t>Instalación de agua caliente</t>
  </si>
  <si>
    <t>Instalación de agua de lluvia.</t>
  </si>
  <si>
    <t>Ventilación de la instalación del desagüe.</t>
  </si>
  <si>
    <t>Building sewer system.</t>
  </si>
  <si>
    <t>Building sewer ventilation system.</t>
  </si>
  <si>
    <t>Building cold water system.</t>
  </si>
  <si>
    <t>Building hot water system.</t>
  </si>
  <si>
    <t>Rainwater drainage system.</t>
  </si>
  <si>
    <t>Tap</t>
  </si>
  <si>
    <t>Mixer</t>
  </si>
  <si>
    <t>Registration</t>
  </si>
  <si>
    <t>Valve</t>
  </si>
  <si>
    <t>Shower</t>
  </si>
  <si>
    <t>Manual shower</t>
  </si>
  <si>
    <t>Water system accessory like brackets, hooks, pedestals, etc.</t>
  </si>
  <si>
    <t>Upper Cistern</t>
  </si>
  <si>
    <t>Intermediate Cistern</t>
  </si>
  <si>
    <t>Lower Cistern</t>
  </si>
  <si>
    <t>Cold Water Pipe</t>
  </si>
  <si>
    <t>Water heater</t>
  </si>
  <si>
    <t>Hot Water Pipe</t>
  </si>
  <si>
    <t>Reuse Water Pipe</t>
  </si>
  <si>
    <t>Toilet</t>
  </si>
  <si>
    <t>Sanitary Sink</t>
  </si>
  <si>
    <t>Washbasin</t>
  </si>
  <si>
    <t>Sanitary Bowl</t>
  </si>
  <si>
    <t>Bathtub</t>
  </si>
  <si>
    <t>Sewer Ventilation</t>
  </si>
  <si>
    <t>Local Collector as a Dry Drain or Basin Valve</t>
  </si>
  <si>
    <t>Siphoned Collector as a Siphoned Drain</t>
  </si>
  <si>
    <t>Floor Horizontal Collection Branch</t>
  </si>
  <si>
    <t>Horizontal collection branch of the building</t>
  </si>
  <si>
    <t>Downpipe</t>
  </si>
  <si>
    <t>Siphons</t>
  </si>
  <si>
    <t>Sandboxes</t>
  </si>
  <si>
    <t>Grease Traps</t>
  </si>
  <si>
    <t>Manholes</t>
  </si>
  <si>
    <t>Siphon Boxes</t>
  </si>
  <si>
    <t>Sanitary sewer system accessory like brackets, hooks, pedestals, etc.</t>
  </si>
  <si>
    <t>Sewer Installation</t>
  </si>
  <si>
    <t>Cold water installation</t>
  </si>
  <si>
    <t>Installation of hot water</t>
  </si>
  <si>
    <t>Rainwater installation.</t>
  </si>
  <si>
    <t>Ventilation of the drain installation.</t>
  </si>
  <si>
    <t>Atributo IFC</t>
  </si>
  <si>
    <t>Classe IFC</t>
  </si>
  <si>
    <t>Categoria Rvt</t>
  </si>
  <si>
    <t>Parâmetro Rvt</t>
  </si>
  <si>
    <t>De.API</t>
  </si>
  <si>
    <t>Métodos</t>
  </si>
  <si>
    <t>Macros</t>
  </si>
  <si>
    <t>Função.Auxiliar</t>
  </si>
  <si>
    <t>Define uma Função Auxiliar (helper) numa aplicação</t>
  </si>
  <si>
    <t>Defina un rol de ayudante en una aplicación</t>
  </si>
  <si>
    <t>Define a Helper Role in an application</t>
  </si>
  <si>
    <t>Função.Global</t>
  </si>
  <si>
    <t>Define uma Função Global numa aplicação</t>
  </si>
  <si>
    <t>Defina un rol global en una aplicación</t>
  </si>
  <si>
    <t>Define a Global Role in an application</t>
  </si>
  <si>
    <t>Função.Local</t>
  </si>
  <si>
    <t>Define uma Função Local numa aplicação</t>
  </si>
  <si>
    <t>Defina un rol local en una aplicación</t>
  </si>
  <si>
    <t>Define a Local Role in an application</t>
  </si>
  <si>
    <t>Função.Filtro</t>
  </si>
  <si>
    <t>Define uma Função para filtrar objetos numa aplicação</t>
  </si>
  <si>
    <t>Defina una función para filtrar objetos en una aplicación</t>
  </si>
  <si>
    <t>Define a Function to filter objects in an application</t>
  </si>
  <si>
    <t>Códigos.Visuais</t>
  </si>
  <si>
    <t>Bloco.de.Código</t>
  </si>
  <si>
    <t>Define um Código escrito em sistemas de programação visual</t>
  </si>
  <si>
    <t>Define un código escrito en sistemas de programación visual</t>
  </si>
  <si>
    <t>Defines a Code written in visual programming systems</t>
  </si>
  <si>
    <t>KML</t>
  </si>
  <si>
    <t>De.Materialidade</t>
  </si>
  <si>
    <t>[ IfcMaterial ]</t>
  </si>
  <si>
    <t>[ 0M.20.20.01.01 ]</t>
  </si>
  <si>
    <t>Tubo.de.Aço.Costura</t>
  </si>
  <si>
    <t>Tubo.de.Cobre</t>
  </si>
  <si>
    <t>[ 0M.20.20.05 ]</t>
  </si>
  <si>
    <t>Tubo.de.FoFo</t>
  </si>
  <si>
    <t>[ 0M.20.20.01.07.03 ]</t>
  </si>
  <si>
    <t>Tubo.de.Latão</t>
  </si>
  <si>
    <t>[ 0M.20.20.05.01 ]</t>
  </si>
  <si>
    <t>Tubo.de.PEAD</t>
  </si>
  <si>
    <t>[ 0M.20.60.07.09 ]</t>
  </si>
  <si>
    <t>Tubo.de.PVC</t>
  </si>
  <si>
    <t>[ 0M.20.60.07.16 ]</t>
  </si>
  <si>
    <t>Tubo.de.PVCO</t>
  </si>
  <si>
    <t>Material.Construtivo</t>
  </si>
  <si>
    <t>Argamassas</t>
  </si>
  <si>
    <t>Argamassa.Baritada</t>
  </si>
  <si>
    <t>Material construtivo usado para proteger da emissão de radiação em salas radiológicas de ambientes hospitalares (salas de radioterapia, radiologia, medicina nuclear de centros de saúde).</t>
  </si>
  <si>
    <t>Material de construcción utilizado para proteger contra la emisión de radiación en salas radiológicas en entornos hospitalarios (radioterapia, radiología, salas de medicina nuclear de centros de salud).</t>
  </si>
  <si>
    <t>Construction material used to protect from radiation emission in radiological rooms in hospital environments (radiotherapy, radiology, nuclear medicine rooms of health centers).</t>
  </si>
  <si>
    <t>[ OST_Materials : OST_Parts : OST_WallsSubstrate : OST_FloorsSubstrate : OST_WallsInsulation : OST_FloorsInsulation ]</t>
  </si>
  <si>
    <t>[ IfcCoveringINSULATION ]</t>
  </si>
  <si>
    <t>[ 3E.16.02 ]</t>
  </si>
  <si>
    <t>Argamassa.Colante</t>
  </si>
  <si>
    <t>Material construtivo usado para colar peças cerámicas ou porcelanatos em paredes ou pisos.</t>
  </si>
  <si>
    <t>Material de construcción utilizado para pegar azulejos cerámicos o de porcelana a paredes o suelos.</t>
  </si>
  <si>
    <t>Construction material used to glue ceramic or porcelain tiles to walls or floors.</t>
  </si>
  <si>
    <t>[ IfcCoveringMEMBRANE ]</t>
  </si>
  <si>
    <t>Argamassa.Isolante</t>
  </si>
  <si>
    <t>Material construtivo usado para as camadas com isolamento polimérico.</t>
  </si>
  <si>
    <t>Material de construcción utilizado para las capas con aislamiento polimérico.</t>
  </si>
  <si>
    <t>Construction material used for the layers with polymeric insulation.</t>
  </si>
  <si>
    <t>Argamassa.Lastro</t>
  </si>
  <si>
    <t>Material construtivo usado para a formação de contrapisos ou camadas de lastro em pisos ou nas vias de tránsito e tráfego.</t>
  </si>
  <si>
    <t>Material de construcción utilizado para la formación de subsuelos o capas de lastre en suelos o en tráfico y rutas de tráfico.</t>
  </si>
  <si>
    <t>Construction material used for the formation of subfloors or ballast layers on floors or on traffic and traffic routes.</t>
  </si>
  <si>
    <t>[ 3E.14.02 ]</t>
  </si>
  <si>
    <t>Argamassa.Regular</t>
  </si>
  <si>
    <t>Material construtivo usado para regularizar e acabar as alvenarias. Incluem os chapiscos, emboços e rebocos.</t>
  </si>
  <si>
    <t>Material de construcción utilizado para regularizar y acabar la mampostería. Incluyen fundiciones en bruto, yesos y yesos.</t>
  </si>
  <si>
    <t>Construction material used to regularize and finish the masonry. They include roughcasts, plasters and plasters.</t>
  </si>
  <si>
    <t>Caixas.Metálicas</t>
  </si>
  <si>
    <t>Caixa.Metálica.de.Elétrica</t>
  </si>
  <si>
    <t>Material construtivo usado para terminais metálicos ou caixas metálicas de distribuição de elétrica.</t>
  </si>
  <si>
    <t>Material de construcción utilizado para terminales metálicos o cajas metálicas de distribución eléctrica.</t>
  </si>
  <si>
    <t>Construction material used for metal terminals or metal electrical distribution boxes.</t>
  </si>
  <si>
    <t>[ OST_Materials : OST_WireMaterials ]</t>
  </si>
  <si>
    <t>[ 0M.20.20 ]</t>
  </si>
  <si>
    <t>Caixa.Metálica.de.Telecom</t>
  </si>
  <si>
    <t>Material construtivo usado para terminais metálicos ou caixas metálicas de distribuição de redes de dados e telecomunicações.</t>
  </si>
  <si>
    <t>Material de construcción utilizado para terminales metálicos o cajas metálicas para la distribución de redes de datos y telecomunicaciones.</t>
  </si>
  <si>
    <t>Construction material used for metal terminals or metal boxes for distribution of data and telecommunications networks.</t>
  </si>
  <si>
    <t>Caixas.Plásticas</t>
  </si>
  <si>
    <t>Caixa.PVC.de.Elétrica</t>
  </si>
  <si>
    <t>Material construtivo usado para terminais plásticos ou caixas de plásticos de distribuição de elétrica.</t>
  </si>
  <si>
    <t>Material de construcción utilizado para terminales de plástico o cajas de distribución eléctrica de plástico.</t>
  </si>
  <si>
    <t>Construction material used for plastic terminals or plastic electrical distribution boxes.</t>
  </si>
  <si>
    <t>Caixa.PVC.de.Telecom</t>
  </si>
  <si>
    <t>Material construtivo usado para terminais plásticos ou caixas de plásticos de distribuição de redes de dados e telecomunicações.</t>
  </si>
  <si>
    <t>Material de construcción utilizado para terminales o cajas de plástico para la distribución de redes de datos y telecomunicaciones.</t>
  </si>
  <si>
    <t>Construction material used for plastic terminals or plastic boxes for distribution of data and telecommunications networks.</t>
  </si>
  <si>
    <t>Calhas.Metálicas</t>
  </si>
  <si>
    <t>Calha.de.Elétrica</t>
  </si>
  <si>
    <t>Material construtivo usado para conduzir a fiação dentro de calhas de calhas de elétrica.</t>
  </si>
  <si>
    <t>Material de construcción utilizado para conducir el cableado dentro de canalones eléctricos.</t>
  </si>
  <si>
    <t>Construction material used to conduct wiring inside electrical gutters.</t>
  </si>
  <si>
    <t>Calha.de.Telecom</t>
  </si>
  <si>
    <t>Material construtivo usado para conduzir a fiação dentro de calhas de rede de dados e telecomunicações.</t>
  </si>
  <si>
    <t>Material de construcción utilizado para realizar cableado dentro de las vías de la red de datos y telecomunicaciones.</t>
  </si>
  <si>
    <t>Construction material used to conduct wiring within data and telecommunications network rails.</t>
  </si>
  <si>
    <t>Calha.Leito.de.Elétrica</t>
  </si>
  <si>
    <t>Material construtivo usado para conduzir a fiação de elétrica.</t>
  </si>
  <si>
    <t>Material de construcción utilizado para conducir el cableado eléctrico.</t>
  </si>
  <si>
    <t>Construction material used to conduct electrical wiring.</t>
  </si>
  <si>
    <t>Calha.Leito.de.Telecom</t>
  </si>
  <si>
    <t>Material construtivo usado para conduzir a fiação das redes de dados e telecomunicações.</t>
  </si>
  <si>
    <t>Material de construcción utilizado para realizar el cableado de redes de datos y telecomunicaciones.</t>
  </si>
  <si>
    <t>Construction material used to conduct the wiring of data and telecommunications networks.</t>
  </si>
  <si>
    <t>Calhas.Plásticas</t>
  </si>
  <si>
    <t>Canaleta.de.Elétrica</t>
  </si>
  <si>
    <t>Material construtivo usado para conduzir canaletas de elétrica.</t>
  </si>
  <si>
    <t>Material de construcción utilizado para accionar canales eléctricos.</t>
  </si>
  <si>
    <t>Construction material used to drive electric channels.</t>
  </si>
  <si>
    <t>Canaleta.de.Telecom</t>
  </si>
  <si>
    <t>Material construtivo usado para conduzir canaletas de rede de dados e telecomunicações.</t>
  </si>
  <si>
    <t>Material de construcción utilizado para realizar canales de datos y redes de telecomunicaciones.</t>
  </si>
  <si>
    <t>Construction material used to conduct data and telecommunications network channels.</t>
  </si>
  <si>
    <t>Conduítes.Flex</t>
  </si>
  <si>
    <t>Conduíte.Flexível.de.Elétrica</t>
  </si>
  <si>
    <t>Material construtivo usado para conduzir a fiação elétrica em eletrodutos flexíveis.</t>
  </si>
  <si>
    <t>Material de construcción utilizado para conducir el cableado eléctrico en conductos flexibles.</t>
  </si>
  <si>
    <t>Construction material used to conduct electrical wiring in flexible conduits.</t>
  </si>
  <si>
    <t>Conduíte.Flexível.de.Telecom</t>
  </si>
  <si>
    <t>Material construtivo usado para conduzir a fiação da rede de dados e telecomunicações em condutos flexíveis.</t>
  </si>
  <si>
    <t>Material de construcción utilizado para conducir el cableado de la red de datos y telecomunicaciones en conductos flexibles.</t>
  </si>
  <si>
    <t>Construction material used to conduct the wiring of the data and telecommunications network in flexible conduits.</t>
  </si>
  <si>
    <t>Conduítes.Rígidos</t>
  </si>
  <si>
    <t>Conduíte.Rígido.de.Elétrica</t>
  </si>
  <si>
    <t>Material construtivo usado para conduzir a fiação elétrica em eletrodutos rígidos.</t>
  </si>
  <si>
    <t>Material de construcción utilizado para conducir el cableado eléctrico en conductos rígidos.</t>
  </si>
  <si>
    <t>Construction material used to conduct electrical wiring in rigid conduits.</t>
  </si>
  <si>
    <t>Conduíte.Rígido.de.Telecom</t>
  </si>
  <si>
    <t>Material construtivo usado para conduzir a fiação de rede de dados e telecomunicações em condutos rígidos.</t>
  </si>
  <si>
    <t>Material de construcción utilizado para realizar el cableado de redes de datos y telecomunicaciones en conductos rígidos.</t>
  </si>
  <si>
    <t>Construction material used to conduct data and telecommunications network wiring in rigid conduits.</t>
  </si>
  <si>
    <t>Fiações.Metálicas</t>
  </si>
  <si>
    <t>Fiação.de.Elétrica</t>
  </si>
  <si>
    <t>Material construtivo usado para a fiação nos cabos de elétrica.</t>
  </si>
  <si>
    <t>Material de construcción utilizado para cablear cables eléctricos.</t>
  </si>
  <si>
    <t>Construction material used for wiring in electrical cables.</t>
  </si>
  <si>
    <t>Fiação.de.Telecom</t>
  </si>
  <si>
    <t>Material construtivo usado para a fiação nos cabos de rede de dados e telecomunicações.</t>
  </si>
  <si>
    <t>Material de construcción utilizado para cablear cables de redes de datos y telecomunicaciones.</t>
  </si>
  <si>
    <t>Construction material used for wiring in data network and telecommunications cables.</t>
  </si>
  <si>
    <t>Ligas.Estruturais</t>
  </si>
  <si>
    <t>Aço.Estrutural</t>
  </si>
  <si>
    <t>Material construtivo usado para a estrutura são ligas de aços estruturais.</t>
  </si>
  <si>
    <t>Material de construcción utilizado para la estructura. Son aleaciones de aceros estructurales.</t>
  </si>
  <si>
    <t>Construction material used for the structure are structural steel alloys.</t>
  </si>
  <si>
    <t>[ OST_Materials : OST_Rebar : OST_AreaRein : OST_StructuralFoundation : OST_StructuralColumns : OST_StructuralFraming : OST_StructuralTendons : OST_StructuralStiffener : OST_StructuralTruss : OST_StructConnectionAnchors : OST_StructConnectionBolts : OST_StructConnectionPlates : OST_StructConnectionShearStuds : OST_HorizontalBracing : OST_VerticalBracing : OST_KickerBracing ]</t>
  </si>
  <si>
    <t>[ IfcMaterial : IfcReinforcingBar : IfcStructuralSurfaceMember : IfcFooting : IfcColumn : IfcBeam : IfcMember : IfcElementAssembly  : IfcMechanicalFastener ]</t>
  </si>
  <si>
    <t>Alumínio.Estrutural</t>
  </si>
  <si>
    <t>Material construtivo usado para a estrutura são ligas de alumínios estruturais.</t>
  </si>
  <si>
    <t>Material de construcción utilizado para la estructura. Son aleaciones de aluminios estructurales.</t>
  </si>
  <si>
    <t>Construction material used for the structure are structural aluminum alloys.</t>
  </si>
  <si>
    <t>Materiais.Adesivos</t>
  </si>
  <si>
    <t>Cola.Espuma</t>
  </si>
  <si>
    <t>Material construtivo usado para aderir espumas.</t>
  </si>
  <si>
    <t>Material de construcción utilizado para adherir espumas.</t>
  </si>
  <si>
    <t>Construction material used to adhere foams.</t>
  </si>
  <si>
    <t>[ OST_Materials : OST_Parts : OST_FloorsSubstrate : OST_WallsSubstrate : OST_CeilingsSubstrate  ]</t>
  </si>
  <si>
    <t>[ IfcFastener ]</t>
  </si>
  <si>
    <t>Cola.Louça</t>
  </si>
  <si>
    <t>Material construtivo usado para aderir louças.</t>
  </si>
  <si>
    <t>Material de construcción utilizado para adherir la vajilla.</t>
  </si>
  <si>
    <t>Construction material used to adhere crockery.</t>
  </si>
  <si>
    <t>Cola.Madeira</t>
  </si>
  <si>
    <t>Material construtivo usado para aderir madeiras.</t>
  </si>
  <si>
    <t>Material de construcción utilizado para adherir madera.</t>
  </si>
  <si>
    <t>Construction material used to adhere wood.</t>
  </si>
  <si>
    <t>Cola.Metal</t>
  </si>
  <si>
    <t>Material construtivo usado para aderir metais.</t>
  </si>
  <si>
    <t>Material de construcción utilizado para adherir metales.</t>
  </si>
  <si>
    <t>Construction material used to adhere metals.</t>
  </si>
  <si>
    <t>Cola.Textil</t>
  </si>
  <si>
    <t>Material construtivo usado para aderir texteis.</t>
  </si>
  <si>
    <t>Material de construcción utilizado para unir textiles.</t>
  </si>
  <si>
    <t>Construction material used to bond textiles.</t>
  </si>
  <si>
    <t>Materiais.Espumados</t>
  </si>
  <si>
    <t>Espuma.Expandida</t>
  </si>
  <si>
    <t>Material construtivo usado para tampar as frestas ou cobrir em tubulações pré-isoladas e impedir a troca de calor.</t>
  </si>
  <si>
    <t>Material de construcción utilizado para tapar huecos o cubrir tuberías preaisladas y evitar el intercambio de calor.</t>
  </si>
  <si>
    <t>Construction material used to plug gaps or cover in pre-insulated pipes and prevent heat exchange.</t>
  </si>
  <si>
    <t>[ OST_Materials : OST_PipeMaterials : OST_DuctInsulations : OST_DuctLinings : OST_FabricationDuctwork ]</t>
  </si>
  <si>
    <t>Espuma.MPU</t>
  </si>
  <si>
    <t>Material construtivo usado para fazer placas rígidas pré-fabricadas e montadas para formar os dutos de AVAC. Substituem o duto metálico tradicional, agregando isolamento térmico no próprio painel e reduzindo o peso estrutural.</t>
  </si>
  <si>
    <t>Material de construcción utilizado para fabricar placas rígidas prefabricadas y ensambladas para formar conductos HVAC. Sustituyen al conducto metálico tradicional, añadiendo aislamiento térmico al propio panel y reduciendo el peso estructural.</t>
  </si>
  <si>
    <t>Construction material used to make prefabricated and assembled rigid plates to form HVAC ducts. They replace the traditional metal duct, adding thermal insulation to the panel itself and reducing structural weight.</t>
  </si>
  <si>
    <t>Espuma.PIR</t>
  </si>
  <si>
    <t>Material construtivo usado para fazer placas rígidas por poliisocianurato revestidas por lâminas de alumínio em ambas as faces. Para fechamentos como paredes e coberturas.</t>
  </si>
  <si>
    <t>Material de construcción utilizado para fabricar placas rígidas de poliisocianurato recubiertas con láminas de aluminio en ambos lados. Para recintos como paredes y tejados.</t>
  </si>
  <si>
    <t>Construction material used to make rigid polyisocyanurate plates coated with aluminum sheets on both sides. For enclosures such as walls and roofs.</t>
  </si>
  <si>
    <t>Espuma.PUR</t>
  </si>
  <si>
    <t>Material construtivo usado para fazer placas rígidas por poliuretano revestidas por lâminas de alumínio em ambas as faces. Para fechamentos como paredes e coberturas.</t>
  </si>
  <si>
    <t>Material de construcción utilizado para fabricar placas rígidas de poliuretano recubiertas con láminas de aluminio en ambos lados. Para cierres como paredes y tejados.</t>
  </si>
  <si>
    <t>Construction material used to make rigid polyurethane plates coated with aluminum sheets on both sides. For closures such as walls and roofs.</t>
  </si>
  <si>
    <t>Materiais.Isolantes</t>
  </si>
  <si>
    <t xml:space="preserve">Lã.de.Rocha </t>
  </si>
  <si>
    <t>Material construtivo usado para fazer mantas rígidas ou flexíveis aplicadas ao redor de dutos metálicos ou tubulações de grande porte para isolamento térmico e acústico, resistência ao fogo.</t>
  </si>
  <si>
    <t>Material de construcción utilizado para fabricar mantas rígidas o flexibles que se aplican alrededor de conductos metálicos o tuberías grandes para aislamiento térmico y acústico, resistencia al fuego.</t>
  </si>
  <si>
    <t>Construction material used to make rigid or flexible blankets applied around metal ducts or large pipes for thermal and acoustic insulation, fire resistance.</t>
  </si>
  <si>
    <t xml:space="preserve">Lã.de.Vidro </t>
  </si>
  <si>
    <t>Material construtivo usado para cobrir serpentinas de alumínio com lã de vidro e filme plástico externo. Utilizadas nas conexões finais entre os dutos rígidos e os difusores de ar.</t>
  </si>
  <si>
    <t>Material de construcción utilizado para cubrir bobinas de aluminio con lana de vidrio y película plástica externa. Utilizado en las conexiones finales entre conductos rígidos y difusores de aire.</t>
  </si>
  <si>
    <t>Construction material used to cover aluminum coils with glass wool and external plastic film. Used in the final connections between rigid ducts and air diffusers.</t>
  </si>
  <si>
    <t>Borracha.Antivibratória</t>
  </si>
  <si>
    <t>Material construtivo usado para absorver vibrações  dos compressores e ventiladores. Colocado em cantoneiras, tirantes e suportes de fixação impedindo a transmissão de ruído para a estrutura do edifício.</t>
  </si>
  <si>
    <t>Material de construcción utilizado para absorber las vibraciones de compresores y ventiladores. Se colocan en ángulos, barras de dirección y soportes de fijación para evitar la transmisión de ruido a la estructura del edificio.</t>
  </si>
  <si>
    <t>Construction material used to absorb vibrations from compressors and fans. Placed on angles, tie rods and fixing brackets preventing the transmission of noise to the building structure.</t>
  </si>
  <si>
    <t>Borracha.Elastomérica</t>
  </si>
  <si>
    <t>Material construtivo usado para isolar tubulações de refrigerante e água gelada. Material de estrutura celular fechada flexível. Evita a condensação superficial e a perda de eficiência.</t>
  </si>
  <si>
    <t>Material de construcción utilizado para aislar tuberías de refrigerante y agua fría. Material flexible de estructura de celda cerrada. Evita la condensación superficial y la pérdida de eficiencia.</t>
  </si>
  <si>
    <t>Construction material used to insulate refrigerant and chilled water pipes. Flexible closed cell structure material. Avoids surface condensation and loss of efficiency.</t>
  </si>
  <si>
    <t>Materiais.Selantes</t>
  </si>
  <si>
    <t>Vedante.Mastique</t>
  </si>
  <si>
    <t>Material construtivo usado para selar e ser flexível, resistente a temperatura e umidade. Aplicados em junção de dutos e passagens de tubulações para evitar vazamentos de ar.</t>
  </si>
  <si>
    <t>Material de construcción utilizado para sellar y ser flexible, resistente a la temperatura y la humedad. Se aplica en la unión de conductos y conductos de tubería para evitar fugas de aire.</t>
  </si>
  <si>
    <t>Construction material used to seal and be flexible, resistant to temperature and humidity. Applied at the junction of ducts and pipe passages to prevent air leaks.</t>
  </si>
  <si>
    <t>Vedante.Plástico.ABS</t>
  </si>
  <si>
    <t>Material construtivo usado para fabricar grelhas, difusores e tomadas de ar externo pela durabilidade e facilidade de acabamento.</t>
  </si>
  <si>
    <t>Material de construcción utilizado para fabricar rejillas, difusores y tomas de aire externas debido a su durabilidad y facilidad de acabado.</t>
  </si>
  <si>
    <t>Construction material used to manufacture grilles, diffusers and external air intakes due to its durability and ease of finishing.</t>
  </si>
  <si>
    <t>Vedante.de.Silicone</t>
  </si>
  <si>
    <t>Materiais.em.Peças.Metálicas</t>
  </si>
  <si>
    <t>Alumínio.Anodizado</t>
  </si>
  <si>
    <t>Material construtivo usado para fazer grelhas, difusores e tomadas de ar externo pela durabilidade e facilidade de acabamento.</t>
  </si>
  <si>
    <t>Material de construcción utilizado para fabricar rejillas, difusores y tomas de aire exteriores para mayor durabilidad y facilidad de acabado.</t>
  </si>
  <si>
    <t>Construction material used to make grilles, diffusers and external air intakes for durability and ease of finishing.</t>
  </si>
  <si>
    <t>Quadros.Metálicos</t>
  </si>
  <si>
    <t>Quadro.Metálico.Elétrica</t>
  </si>
  <si>
    <t>Material construtivo usado para quadros de passagem ou distribuição metálicos para elétrica.</t>
  </si>
  <si>
    <t>Material de construcción utilizado para pasadizos metálicos a eléctricos o tableros de distribución.</t>
  </si>
  <si>
    <t>Construction material used for metallic to electrical passage or distribution boards.</t>
  </si>
  <si>
    <t>Quadro.Metálico.Telecom</t>
  </si>
  <si>
    <t>Material construtivo usado para quadros de passagem ou distribuição metálicos para rede de dados e telecomunicações.</t>
  </si>
  <si>
    <t>Material de construcción utilizado para pasos metálicos o paneles de distribución para redes de datos y telecomunicaciones.</t>
  </si>
  <si>
    <t>Construction material used for metal passage or distribution boards for data and telecommunications network.</t>
  </si>
  <si>
    <t>Quadros.Plásticos</t>
  </si>
  <si>
    <t>Quadro.PVC.Elétrica</t>
  </si>
  <si>
    <t>Material construtivo usado para quadros de passagem ou distribuição em PVC para elétrica.</t>
  </si>
  <si>
    <t>Material de construcción utilizado para pasajes de PVC o paneles de distribución para electricidad.</t>
  </si>
  <si>
    <t>Construction material used for PVC passage or distribution boards for electrical.</t>
  </si>
  <si>
    <t>Quadro.PVC.Telecom</t>
  </si>
  <si>
    <t>Material construtivo usado para quadros de passagem ou distribuição em PVC para rede de dados e telecomunicações.</t>
  </si>
  <si>
    <t>Material de construcción utilizado para pasaportes de PVC o placas de distribución para redes de datos y telecomunicaciones.</t>
  </si>
  <si>
    <t>Construction material used for PVC passage or distribution boards for data and telecommunications network.</t>
  </si>
  <si>
    <t>Tubos.Compostos</t>
  </si>
  <si>
    <t>Tubo.de.Multicamada</t>
  </si>
  <si>
    <t>Material construtivo usado para conduzir água. Tubos compostos por uma camada interna de plástico (PEX), uma camada intermediária de alumínio contínuo (Al) e uma camada externa de plástico protetor. Tubo flexível conectado por crimpagem.</t>
  </si>
  <si>
    <t>Material de construcción utilizado para conducir agua. Tubos compuestos por una capa interior de plástico (PEX), una capa intermedia de aluminio continuo (Al) y una capa exterior de plástico protector. Tubo flexible conectado mediante crimping.</t>
  </si>
  <si>
    <t>Construction material used to conduct water. Tubes composed of an inner layer of plastic (PEX), an intermediate layer of continuous aluminium (Al) and an outer layer of protective plastic. Flexible tube connected by crimping.</t>
  </si>
  <si>
    <t>Tubos.Metálicos</t>
  </si>
  <si>
    <t>Tubo.de.Aço.Carbono</t>
  </si>
  <si>
    <t>Material construtivo usado para conduzir água gelada e água de condensação em diâmetros maiores, devido ao baixo custo em larga escala e alta resistência mecânica em sistemas de AVAC centralizados e chillers.</t>
  </si>
  <si>
    <t>Material de construcción utilizado para conducir agua fría y agua de condensación en diámetros mayores, debido al bajo coste a gran escala y la alta resistencia mecánica en sistemas centralizados de climatización y enfriadores.</t>
  </si>
  <si>
    <t>Construction material used to conduct chilled water and condensation water in larger diameters, due to the low large-scale cost and high mechanical strength in centralized HVAC systems and chillers.</t>
  </si>
  <si>
    <t>Material construtivo usado para canalizações de aço com costura (especificações NBR 5580 ou NBR 5590).</t>
  </si>
  <si>
    <t>Material de construcción utilizado para tuberías de acero soldadas (especificaciones NBR 5580 o NBR 5590).</t>
  </si>
  <si>
    <t>Construction material used for welded steel pipes (NBR 5580 or NBR 5590 specifications).</t>
  </si>
  <si>
    <t>Tubo.de.Aço.Galvanizado</t>
  </si>
  <si>
    <t>Material construtivo usado para fazer as chapas metálicas para fabricar dutos de distribuição de ar. O revestimento de zinco protege o aço contra ferrugem em ambientes internos padrão.</t>
  </si>
  <si>
    <t>Material de construcción utilizado para fabricar las chapas metálicas para fabricar conductos de distribución de aire. El recubrimiento de zinc protege el acero del óxido en ambientes interiores estándar.</t>
  </si>
  <si>
    <t>Construction material used to make the metal sheets to manufacture air distribution ducts. The zinc coating protects the steel from rust in standard indoor environments.</t>
  </si>
  <si>
    <t>Tubo.de.Aço.Inoxidável</t>
  </si>
  <si>
    <t>Material construtivo usado para as instalações industriais, farmacêuticas ou alimentícias que exigem extrema resistência à corrosão, além de alta higiene e longa durabilidade.</t>
  </si>
  <si>
    <t>Material de construcción utilizado en instalaciones industriales, farmacéuticas o alimentarias que requieren una resistencia extrema a la corrosión, así como alta higiene y larga durabilidad.</t>
  </si>
  <si>
    <t>Construction material used for industrial, pharmaceutical or food facilities that require extreme resistance to corrosion, as well as high hygiene and long durability.</t>
  </si>
  <si>
    <t>Tubo.de.Alumínio</t>
  </si>
  <si>
    <t>Material construtivo usado para proteger os tubos e dutos leves das condições ambientais de maior umidade ou presença de agentes corrosivos (como regiões litorâneas ou laboratórios).</t>
  </si>
  <si>
    <t>Material de construcción utilizado para proteger tuberías y conductos de luz de condiciones ambientales de mayor humedad o de la presencia de agentes corrosivos (como regiones costeras o laboratorios).</t>
  </si>
  <si>
    <t>Construction material used to protect light pipes and ducts from environmental conditions of greater humidity or the presence of corrosive agents (such as coastal regions or laboratories).</t>
  </si>
  <si>
    <t>Material construtivo usado para canalizações e redes de água quente ou gás. o cobre também é material de tubulações refrigerantes (linhas de líquido e sucção). Possui excelente condutividade térmica, alta resistência à corrosão interna e boa maleabilidade para dobras e soldagem a prata/foscoper.</t>
  </si>
  <si>
    <t>Material de construcción utilizado para fontanería y redes de agua caliente o gas. El cobre también es un material para tuberías refrigerantes (líquidos y tuberías de succión). Tiene una excelente conductividad térmica, alta resistencia a la corrosión interna y buena maleabilidad para doblar y soldar con plata/fósforo.</t>
  </si>
  <si>
    <t>Construction material used for plumbing and hot water or gas networks. Copper is also a material for refrigerant pipes (liquid and suction lines). It has excellent thermal conductivity, high resistance to internal corrosion and good malleability for bending and silver/phosphor welding.</t>
  </si>
  <si>
    <t>Material construtivo usado para canalizações de saneamento básico de ferro fundido.</t>
  </si>
  <si>
    <t>Material de construcción utilizado para tuberías básicas de hierro fundido.</t>
  </si>
  <si>
    <t>Construction material used for cast iron basic sanitation pipes.</t>
  </si>
  <si>
    <t>Material construtivo usado para as redes de água o latão.</t>
  </si>
  <si>
    <t>Material de construcción utilizado en redes de agua: latón.</t>
  </si>
  <si>
    <t>Construction material used for water networks: brass.</t>
  </si>
  <si>
    <t>Tubos.Plásticos</t>
  </si>
  <si>
    <t>Material construtivo usado para conduzir as redes de agua e esgoto doméstica. PVC (Policloreto de Vinila).</t>
  </si>
  <si>
    <t>Material de construcción utilizado para conducir redes domésticas de agua y alcantarillado. PVC (cloruro de polivinilo).</t>
  </si>
  <si>
    <t>Construction material used to conduct domestic water and sewage networks. PVC (Polyvinyl Chloride).</t>
  </si>
  <si>
    <t>Material construtivo usado para conduzir as redes de agua e esgoto doméstica. PVC Orientado (Policloreto de Vinila). Material mais resistente que PVC.</t>
  </si>
  <si>
    <t>Material de construcción utilizado para conducir redes de agua y alcantarillado domésticas. PVC orientado (cloruro de polivinilo). Material más resistente que el PVC.</t>
  </si>
  <si>
    <t>Construction material used to conduct domestic water and sewage networks. Oriented PVC (Polyvinyl Chloride). Material more resistant than PVC.</t>
  </si>
  <si>
    <t>Tubos.Termoplásticos</t>
  </si>
  <si>
    <t>Material construtivo usado para conduzir redes de água, gás, saneamento, irrigação. Termofusão PEAD (Polietileno de Alta Densidade) é um polímero termoplástico derivado do petróleo.</t>
  </si>
  <si>
    <t>Material de construcción utilizado para conducir agua, gas, saneamiento y redes de riego. La termofusión de HDPE (polietileno de alta densidad) es un polímero termoplástico derivado del petróleo.</t>
  </si>
  <si>
    <t>Construction material used to conduct water, gas, sanitation, irrigation networks. HDPE (High Density Polyethylene) thermofusion is a thermoplastic polymer derived from petroleum.</t>
  </si>
  <si>
    <t>Tubo.de.PEX</t>
  </si>
  <si>
    <t>Material construtivo usado para conduzir água gelada ou quente e em linhas de drenagem de condensado, pois são imunes à corrosão e evitam o incrustamento interno.</t>
  </si>
  <si>
    <t>Material de construcción utilizado para conducir agua fría o caliente y en las tuberías de drenaje de condensados, ya que son inmunes a la corrosión y evitan el ensuciamiento interno.</t>
  </si>
  <si>
    <t>Construction material used to conduct chilled or hot water and in condensate drainage lines, as they are immune to corrosion and prevent internal fouling.</t>
  </si>
  <si>
    <t>Tubo.de.PPR</t>
  </si>
  <si>
    <t>Material.Catalogado</t>
  </si>
  <si>
    <t>Catálogos.de.Materiais</t>
  </si>
  <si>
    <t>Catálogo.de.Fabricante</t>
  </si>
  <si>
    <t>Catálogo de materiais e produtos construtivos usado para explicar os modelos ou produtos produzidos por um fabricante. Normalmente com dados de propriedades técnicas dos produtos.</t>
  </si>
  <si>
    <t>Catálogo de construcción utilizado para explicar los modelos o productos fabricados por un fabricante. Normalmente con datos sobre las propiedades técnicas de los productos.</t>
  </si>
  <si>
    <t>Catalog of material used to explain the models or products produced by a manufacturer. Usually with data on the technical properties of the products.</t>
  </si>
  <si>
    <t>Catálogo.de.Fornecedor</t>
  </si>
  <si>
    <t>Catálogo de materiais e produtos construtivos usado para explicar os modelos ou produtos vendidos por um fornecedor. Pode misturar produtos de vários fabricantes e ter finalidade ilustrativa comercial.</t>
  </si>
  <si>
    <t>Catálogo de construcción utilizado para explicar los modelos o productos vendidos por un proveedor. Puede mezclar productos de varios fabricantes y tener un propósito ilustrativo comercial.</t>
  </si>
  <si>
    <t>Catalog of material used to explain the models or products sold by a supplier. It can mix products from several manufacturers and have a commercial illustrative purpose.</t>
  </si>
  <si>
    <t>Catálogo.de.Construtor</t>
  </si>
  <si>
    <t>Catálogo de materiais e produtos construtivos criado pelo construtor para cadastrar os produtos.</t>
  </si>
  <si>
    <t>Catálogo de materiales y productos constructivos creado por el constructor para cadastrar los productos usados en la obra.</t>
  </si>
  <si>
    <t>Catalog of construction materials and products prepared by the contractor to record all items used in the construction work.</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</si>
</sst>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3" x14ac:knownFonts="1">
    <font>
      <sz val="11"/>
      <color rgb="FF000000"/>
      <name val="Aptos Narrow"/>
      <family val="2"/>
      <charset val="1"/>
    </font>
    <font>
      <sz val="8"/>
      <name val="Aptos Narrow"/>
      <family val="2"/>
      <charset val="1"/>
    </font>
    <font>
      <sz val="6"/>
      <color rgb="FF000000"/>
      <name val="Arial Nova Cond Light"/>
      <family val="2"/>
    </font>
    <font>
      <b/>
      <sz val="6"/>
      <color rgb="FF000000"/>
      <name val="Arial Nova Cond Light"/>
      <family val="2"/>
    </font>
    <font>
      <sz val="6"/>
      <name val="Arial Nova Cond Light"/>
      <family val="2"/>
    </font>
    <font>
      <b/>
      <sz val="6"/>
      <name val="Arial Nova Cond Light"/>
      <family val="2"/>
    </font>
    <font>
      <sz val="6"/>
      <color theme="1"/>
      <name val="Arial Nova Cond Light"/>
      <family val="2"/>
    </font>
    <font>
      <i/>
      <sz val="6"/>
      <name val="Arial Nova Cond Light"/>
      <family val="2"/>
    </font>
    <font>
      <b/>
      <sz val="6"/>
      <color theme="1"/>
      <name val="Arial Nova Cond Light"/>
      <family val="2"/>
    </font>
    <font>
      <b/>
      <sz val="5"/>
      <color rgb="FF000000"/>
      <name val="Arial Nova Cond Light"/>
      <family val="2"/>
    </font>
    <font>
      <sz val="8"/>
      <color theme="1"/>
      <name val="Arial Nova Cond"/>
      <family val="2"/>
    </font>
    <font>
      <sz val="8"/>
      <color theme="1"/>
      <name val="Arial Nova Cond Light"/>
      <family val="2"/>
    </font>
    <font>
      <sz val="6"/>
      <color rgb="FF000000"/>
      <name val="Aptos Narrow"/>
      <family val="2"/>
      <charset val="1"/>
    </font>
  </fonts>
  <fills count="25">
    <fill>
      <patternFill patternType="none"/>
    </fill>
    <fill>
      <patternFill patternType="gray125"/>
    </fill>
    <fill>
      <patternFill patternType="solid">
        <fgColor rgb="FFFFC000"/>
        <bgColor rgb="FFFF9900"/>
      </patternFill>
    </fill>
    <fill>
      <patternFill patternType="solid">
        <fgColor rgb="FFF2AA84"/>
        <bgColor rgb="FFF6C6AD"/>
      </patternFill>
    </fill>
    <fill>
      <patternFill patternType="solid">
        <fgColor rgb="FFD9D9D9"/>
        <bgColor rgb="FFD1D1D1"/>
      </patternFill>
    </fill>
    <fill>
      <patternFill patternType="solid">
        <fgColor rgb="FFFBE79D"/>
        <bgColor indexed="64"/>
      </patternFill>
    </fill>
    <fill>
      <patternFill patternType="solid">
        <fgColor rgb="FFAEAAAA"/>
        <bgColor rgb="FF000000"/>
      </patternFill>
    </fill>
    <fill>
      <patternFill patternType="solid">
        <fgColor rgb="FFFFFFFF"/>
        <bgColor rgb="FF000000"/>
      </patternFill>
    </fill>
    <fill>
      <patternFill patternType="solid">
        <fgColor theme="2" tint="-0.249977111117893"/>
        <bgColor indexed="64"/>
      </patternFill>
    </fill>
    <fill>
      <patternFill patternType="solid">
        <fgColor theme="0" tint="-0.14999847407452621"/>
        <bgColor rgb="FFFEF2CB"/>
      </patternFill>
    </fill>
    <fill>
      <patternFill patternType="solid">
        <fgColor rgb="FFFF99FF"/>
        <bgColor rgb="FFFFFFCC"/>
      </patternFill>
    </fill>
    <fill>
      <patternFill patternType="solid">
        <fgColor theme="9" tint="0.59999389629810485"/>
        <bgColor rgb="FFFEF2CB"/>
      </patternFill>
    </fill>
    <fill>
      <patternFill patternType="solid">
        <fgColor theme="9" tint="0.79998168889431442"/>
        <bgColor indexed="64"/>
      </patternFill>
    </fill>
    <fill>
      <patternFill patternType="solid">
        <fgColor theme="9" tint="0.59999389629810485"/>
        <bgColor indexed="64"/>
      </patternFill>
    </fill>
    <fill>
      <patternFill patternType="solid">
        <fgColor theme="5" tint="0.59999389629810485"/>
        <bgColor rgb="FFFF9900"/>
      </patternFill>
    </fill>
    <fill>
      <patternFill patternType="solid">
        <fgColor theme="5" tint="0.59999389629810485"/>
        <bgColor rgb="FFC0C0C0"/>
      </patternFill>
    </fill>
    <fill>
      <patternFill patternType="solid">
        <fgColor theme="5" tint="0.79998168889431442"/>
        <bgColor indexed="64"/>
      </patternFill>
    </fill>
    <fill>
      <patternFill patternType="solid">
        <fgColor theme="0" tint="-0.14999847407452621"/>
        <bgColor indexed="64"/>
      </patternFill>
    </fill>
    <fill>
      <patternFill patternType="solid">
        <fgColor theme="5" tint="0.79998168889431442"/>
        <bgColor rgb="FFFFC7CE"/>
      </patternFill>
    </fill>
    <fill>
      <patternFill patternType="solid">
        <fgColor theme="8" tint="0.79998168889431442"/>
        <bgColor rgb="FFFFFFCC"/>
      </patternFill>
    </fill>
    <fill>
      <patternFill patternType="solid">
        <fgColor theme="8" tint="0.79998168889431442"/>
        <bgColor indexed="64"/>
      </patternFill>
    </fill>
    <fill>
      <patternFill patternType="solid">
        <fgColor theme="3" tint="0.749992370372631"/>
        <bgColor indexed="64"/>
      </patternFill>
    </fill>
    <fill>
      <patternFill patternType="solid">
        <fgColor theme="0" tint="-0.34998626667073579"/>
        <bgColor indexed="64"/>
      </patternFill>
    </fill>
    <fill>
      <patternFill patternType="solid">
        <fgColor theme="5" tint="0.79998168889431442"/>
        <bgColor rgb="FFD9F2D0"/>
      </patternFill>
    </fill>
    <fill>
      <patternFill patternType="solid">
        <fgColor theme="5" tint="0.79998168889431442"/>
        <bgColor rgb="FFFEF2CB"/>
      </patternFill>
    </fill>
  </fills>
  <borders count="9">
    <border>
      <left/>
      <right/>
      <top/>
      <bottom/>
      <diagonal/>
    </border>
    <border>
      <left/>
      <right style="thin">
        <color auto="1"/>
      </right>
      <top style="thin">
        <color auto="1"/>
      </top>
      <bottom style="thin">
        <color auto="1"/>
      </bottom>
      <diagonal/>
    </border>
    <border>
      <left style="thin">
        <color auto="1"/>
      </left>
      <right style="thin">
        <color auto="1"/>
      </right>
      <top/>
      <bottom style="thin">
        <color auto="1"/>
      </bottom>
      <diagonal/>
    </border>
    <border>
      <left style="thin">
        <color auto="1"/>
      </left>
      <right/>
      <top/>
      <bottom style="thin">
        <color auto="1"/>
      </bottom>
      <diagonal/>
    </border>
    <border>
      <left style="thin">
        <color auto="1"/>
      </left>
      <right style="thin">
        <color auto="1"/>
      </right>
      <top style="thin">
        <color auto="1"/>
      </top>
      <bottom style="thin">
        <color auto="1"/>
      </bottom>
      <diagonal/>
    </border>
    <border>
      <left style="thin">
        <color auto="1"/>
      </left>
      <right/>
      <top style="thin">
        <color auto="1"/>
      </top>
      <bottom style="thin">
        <color auto="1"/>
      </bottom>
      <diagonal/>
    </border>
    <border>
      <left/>
      <right style="thin">
        <color auto="1"/>
      </right>
      <top/>
      <bottom style="thin">
        <color auto="1"/>
      </bottom>
      <diagonal/>
    </border>
    <border>
      <left style="thin">
        <color indexed="64"/>
      </left>
      <right/>
      <top style="thin">
        <color indexed="64"/>
      </top>
      <bottom/>
      <diagonal/>
    </border>
    <border>
      <left style="thin">
        <color indexed="64"/>
      </left>
      <right style="thin">
        <color indexed="64"/>
      </right>
      <top style="thin">
        <color indexed="64"/>
      </top>
      <bottom/>
      <diagonal/>
    </border>
  </borders>
  <cellStyleXfs count="1">
    <xf numFmtId="0" fontId="0" fillId="0" borderId="0"/>
  </cellStyleXfs>
  <cellXfs count="71">
    <xf numFmtId="0" fontId="0" fillId="0" borderId="0" xfId="0"/>
    <xf numFmtId="0" fontId="2" fillId="5" borderId="4" xfId="0" applyFont="1" applyFill="1" applyBorder="1" applyAlignment="1">
      <alignment horizontal="left" vertical="center"/>
    </xf>
    <xf numFmtId="0" fontId="7" fillId="4" borderId="6" xfId="0" applyFont="1" applyFill="1" applyBorder="1" applyAlignment="1">
      <alignment horizontal="center" vertical="center" wrapText="1"/>
    </xf>
    <xf numFmtId="0" fontId="5" fillId="4" borderId="2" xfId="0" applyFont="1" applyFill="1" applyBorder="1" applyAlignment="1">
      <alignment horizontal="left" vertical="center" wrapText="1"/>
    </xf>
    <xf numFmtId="0" fontId="4" fillId="0" borderId="0" xfId="0" applyFont="1" applyAlignment="1">
      <alignment horizontal="left"/>
    </xf>
    <xf numFmtId="0" fontId="5" fillId="4" borderId="3" xfId="0" applyFont="1" applyFill="1" applyBorder="1" applyAlignment="1">
      <alignment horizontal="left" vertical="center" wrapText="1"/>
    </xf>
    <xf numFmtId="0" fontId="7" fillId="4" borderId="1" xfId="0" applyFont="1" applyFill="1" applyBorder="1" applyAlignment="1">
      <alignment horizontal="center" vertical="center" wrapText="1"/>
    </xf>
    <xf numFmtId="0" fontId="4" fillId="2" borderId="4" xfId="0" applyFont="1" applyFill="1" applyBorder="1" applyAlignment="1">
      <alignment vertical="center"/>
    </xf>
    <xf numFmtId="0" fontId="4" fillId="0" borderId="0" xfId="0" applyFont="1"/>
    <xf numFmtId="0" fontId="4" fillId="0" borderId="0" xfId="0" applyFont="1" applyAlignment="1">
      <alignment horizontal="center" vertical="center"/>
    </xf>
    <xf numFmtId="0" fontId="4" fillId="0" borderId="0" xfId="0" applyFont="1" applyAlignment="1">
      <alignment vertical="center"/>
    </xf>
    <xf numFmtId="0" fontId="3" fillId="6" borderId="4" xfId="0" applyFont="1" applyFill="1" applyBorder="1" applyAlignment="1">
      <alignment vertical="center"/>
    </xf>
    <xf numFmtId="0" fontId="2" fillId="7" borderId="4" xfId="0" applyFont="1" applyFill="1" applyBorder="1" applyAlignment="1">
      <alignment vertical="center"/>
    </xf>
    <xf numFmtId="0" fontId="6" fillId="0" borderId="4" xfId="0" applyFont="1" applyBorder="1" applyAlignment="1">
      <alignment vertical="center"/>
    </xf>
    <xf numFmtId="22" fontId="6" fillId="0" borderId="4" xfId="0" applyNumberFormat="1" applyFont="1" applyBorder="1" applyAlignment="1">
      <alignment horizontal="left" vertical="center"/>
    </xf>
    <xf numFmtId="0" fontId="6" fillId="0" borderId="4" xfId="0" applyFont="1" applyBorder="1" applyAlignment="1">
      <alignment vertical="center" wrapText="1"/>
    </xf>
    <xf numFmtId="0" fontId="8" fillId="8" borderId="4" xfId="0" applyFont="1" applyFill="1" applyBorder="1" applyAlignment="1">
      <alignment horizontal="center" vertical="center"/>
    </xf>
    <xf numFmtId="0" fontId="8" fillId="8" borderId="4" xfId="0" applyFont="1" applyFill="1" applyBorder="1" applyAlignment="1">
      <alignment horizontal="left" vertical="center"/>
    </xf>
    <xf numFmtId="0" fontId="8" fillId="8" borderId="4" xfId="0" applyFont="1" applyFill="1" applyBorder="1" applyAlignment="1">
      <alignment vertical="center"/>
    </xf>
    <xf numFmtId="0" fontId="4" fillId="9" borderId="4" xfId="0" applyFont="1" applyFill="1" applyBorder="1" applyAlignment="1">
      <alignment horizontal="center" vertical="center"/>
    </xf>
    <xf numFmtId="0" fontId="2" fillId="10" borderId="4" xfId="0" applyFont="1" applyFill="1" applyBorder="1" applyAlignment="1">
      <alignment vertical="center"/>
    </xf>
    <xf numFmtId="0" fontId="4" fillId="11" borderId="4" xfId="0" applyFont="1" applyFill="1" applyBorder="1" applyAlignment="1">
      <alignment vertical="center"/>
    </xf>
    <xf numFmtId="0" fontId="6" fillId="12" borderId="4" xfId="0" applyFont="1" applyFill="1" applyBorder="1" applyAlignment="1">
      <alignment horizontal="left" vertical="center"/>
    </xf>
    <xf numFmtId="0" fontId="4" fillId="12" borderId="4" xfId="0" applyFont="1" applyFill="1" applyBorder="1" applyAlignment="1">
      <alignment vertical="center"/>
    </xf>
    <xf numFmtId="0" fontId="2" fillId="0" borderId="0" xfId="0" applyFont="1" applyAlignment="1">
      <alignment horizontal="left" vertical="center"/>
    </xf>
    <xf numFmtId="0" fontId="2" fillId="0" borderId="0" xfId="0" applyFont="1" applyAlignment="1">
      <alignment horizontal="center" vertical="center"/>
    </xf>
    <xf numFmtId="0" fontId="3" fillId="14" borderId="4" xfId="0" applyFont="1" applyFill="1" applyBorder="1" applyAlignment="1">
      <alignment horizontal="left" vertical="center" wrapText="1"/>
    </xf>
    <xf numFmtId="0" fontId="3" fillId="15" borderId="4" xfId="0" applyFont="1" applyFill="1" applyBorder="1" applyAlignment="1">
      <alignment horizontal="left" vertical="center" wrapText="1"/>
    </xf>
    <xf numFmtId="0" fontId="2" fillId="16" borderId="4" xfId="0" applyFont="1" applyFill="1" applyBorder="1" applyAlignment="1">
      <alignment horizontal="left" vertical="center" wrapText="1"/>
    </xf>
    <xf numFmtId="0" fontId="2" fillId="16" borderId="4" xfId="0" applyFont="1" applyFill="1" applyBorder="1" applyAlignment="1">
      <alignment horizontal="left" vertical="center"/>
    </xf>
    <xf numFmtId="0" fontId="3" fillId="14" borderId="4" xfId="0" applyFont="1" applyFill="1" applyBorder="1" applyAlignment="1">
      <alignment horizontal="center" vertical="center" wrapText="1"/>
    </xf>
    <xf numFmtId="0" fontId="2" fillId="17" borderId="4" xfId="0" applyFont="1" applyFill="1" applyBorder="1" applyAlignment="1">
      <alignment horizontal="center" vertical="center"/>
    </xf>
    <xf numFmtId="0" fontId="2" fillId="18" borderId="4" xfId="0" applyFont="1" applyFill="1" applyBorder="1" applyAlignment="1">
      <alignment horizontal="left" vertical="center"/>
    </xf>
    <xf numFmtId="0" fontId="2" fillId="19" borderId="4" xfId="0" applyFont="1" applyFill="1" applyBorder="1" applyAlignment="1">
      <alignment vertical="center"/>
    </xf>
    <xf numFmtId="0" fontId="3" fillId="3" borderId="7" xfId="0" applyFont="1" applyFill="1" applyBorder="1" applyAlignment="1">
      <alignment horizontal="left" vertical="center" wrapText="1"/>
    </xf>
    <xf numFmtId="0" fontId="9" fillId="3" borderId="4" xfId="0" applyFont="1" applyFill="1" applyBorder="1" applyAlignment="1">
      <alignment horizontal="left" vertical="center" wrapText="1"/>
    </xf>
    <xf numFmtId="0" fontId="6" fillId="0" borderId="4" xfId="0" applyFont="1" applyBorder="1" applyAlignment="1">
      <alignment horizontal="left" vertical="center"/>
    </xf>
    <xf numFmtId="0" fontId="10" fillId="0" borderId="0" xfId="0" applyFont="1" applyAlignment="1">
      <alignment vertical="center"/>
    </xf>
    <xf numFmtId="0" fontId="8" fillId="22" borderId="4" xfId="0" applyFont="1" applyFill="1" applyBorder="1" applyAlignment="1">
      <alignment horizontal="center" vertical="center"/>
    </xf>
    <xf numFmtId="0" fontId="6" fillId="0" borderId="4" xfId="0" applyFont="1" applyBorder="1" applyAlignment="1">
      <alignment horizontal="center" vertical="center"/>
    </xf>
    <xf numFmtId="0" fontId="11" fillId="0" borderId="0" xfId="0" applyFont="1" applyAlignment="1">
      <alignment vertical="center"/>
    </xf>
    <xf numFmtId="0" fontId="2" fillId="5" borderId="5" xfId="0" applyFont="1" applyFill="1" applyBorder="1" applyAlignment="1">
      <alignment horizontal="left" vertical="center"/>
    </xf>
    <xf numFmtId="0" fontId="3" fillId="2" borderId="7" xfId="0" applyFont="1" applyFill="1" applyBorder="1" applyAlignment="1">
      <alignment horizontal="center" vertical="center" wrapText="1"/>
    </xf>
    <xf numFmtId="0" fontId="3" fillId="2" borderId="7" xfId="0" applyFont="1" applyFill="1" applyBorder="1" applyAlignment="1">
      <alignment horizontal="left" vertical="center" wrapText="1"/>
    </xf>
    <xf numFmtId="0" fontId="5" fillId="2" borderId="7" xfId="0" applyFont="1" applyFill="1" applyBorder="1" applyAlignment="1">
      <alignment horizontal="left" vertical="center" wrapText="1"/>
    </xf>
    <xf numFmtId="0" fontId="3" fillId="3" borderId="8" xfId="0" applyFont="1" applyFill="1" applyBorder="1" applyAlignment="1">
      <alignment horizontal="left" vertical="center" wrapText="1"/>
    </xf>
    <xf numFmtId="0" fontId="2" fillId="10" borderId="4" xfId="0" applyFont="1" applyFill="1" applyBorder="1" applyAlignment="1">
      <alignment vertical="center" wrapText="1"/>
    </xf>
    <xf numFmtId="0" fontId="8" fillId="8" borderId="4" xfId="0" applyFont="1" applyFill="1" applyBorder="1" applyAlignment="1">
      <alignment vertical="center" wrapText="1"/>
    </xf>
    <xf numFmtId="0" fontId="6" fillId="13" borderId="4" xfId="0" applyFont="1" applyFill="1" applyBorder="1" applyAlignment="1">
      <alignment vertical="center"/>
    </xf>
    <xf numFmtId="0" fontId="4" fillId="21" borderId="4" xfId="0" applyFont="1" applyFill="1" applyBorder="1" applyAlignment="1">
      <alignment vertical="center"/>
    </xf>
    <xf numFmtId="0" fontId="4" fillId="20" borderId="4" xfId="0" applyFont="1" applyFill="1" applyBorder="1" applyAlignment="1">
      <alignment vertical="center"/>
    </xf>
    <xf numFmtId="0" fontId="2" fillId="16" borderId="5" xfId="0" applyFont="1" applyFill="1" applyBorder="1" applyAlignment="1">
      <alignment horizontal="left" vertical="center"/>
    </xf>
    <xf numFmtId="0" fontId="0" fillId="0" borderId="0" xfId="0" applyAlignment="1">
      <alignment horizontal="left"/>
    </xf>
    <xf numFmtId="0" fontId="0" fillId="0" borderId="0" xfId="0" applyAlignment="1">
      <alignment horizontal="left" vertical="center"/>
    </xf>
    <xf numFmtId="0" fontId="0" fillId="0" borderId="0" xfId="0" applyAlignment="1">
      <alignment vertical="center"/>
    </xf>
    <xf numFmtId="0" fontId="3" fillId="2" borderId="8" xfId="0" applyFont="1" applyFill="1" applyBorder="1" applyAlignment="1">
      <alignment horizontal="left" vertical="center" wrapText="1"/>
    </xf>
    <xf numFmtId="0" fontId="2" fillId="17" borderId="4" xfId="0" applyFont="1" applyFill="1" applyBorder="1" applyAlignment="1">
      <alignment horizontal="right" vertical="center"/>
    </xf>
    <xf numFmtId="0" fontId="2" fillId="23" borderId="4" xfId="0" applyFont="1" applyFill="1" applyBorder="1" applyAlignment="1">
      <alignment horizontal="left" vertical="center"/>
    </xf>
    <xf numFmtId="0" fontId="4" fillId="2" borderId="4" xfId="0" applyFont="1" applyFill="1" applyBorder="1" applyAlignment="1">
      <alignment horizontal="left" vertical="center"/>
    </xf>
    <xf numFmtId="0" fontId="12" fillId="0" borderId="0" xfId="0" applyFont="1" applyAlignment="1">
      <alignment horizontal="left" vertical="center"/>
    </xf>
    <xf numFmtId="0" fontId="2" fillId="16" borderId="4" xfId="0" applyFont="1" applyFill="1" applyBorder="1" applyAlignment="1">
      <alignment vertical="center"/>
    </xf>
    <xf numFmtId="0" fontId="4" fillId="24" borderId="4" xfId="0" applyFont="1" applyFill="1" applyBorder="1" applyAlignment="1">
      <alignment horizontal="left" vertical="center"/>
    </xf>
    <xf numFmtId="0" fontId="11" fillId="0" borderId="0" xfId="0" applyFont="1" applyAlignment="1">
      <alignment horizontal="left"/>
    </xf>
    <xf numFmtId="0" fontId="6" fillId="5" borderId="4" xfId="0" applyFont="1" applyFill="1" applyBorder="1" applyAlignment="1">
      <alignment horizontal="left" vertical="center"/>
    </xf>
    <xf numFmtId="0" fontId="2" fillId="5" borderId="4" xfId="0" applyFont="1" applyFill="1" applyBorder="1" applyAlignment="1">
      <alignment horizontal="left" vertical="center" wrapText="1"/>
    </xf>
    <xf numFmtId="0" fontId="6" fillId="16" borderId="4" xfId="0" applyFont="1" applyFill="1" applyBorder="1" applyAlignment="1">
      <alignment horizontal="left" vertical="center"/>
    </xf>
    <xf numFmtId="0" fontId="2" fillId="5" borderId="4" xfId="0" applyFont="1" applyFill="1" applyBorder="1" applyAlignment="1">
      <alignment vertical="center"/>
    </xf>
    <xf numFmtId="0" fontId="2" fillId="16" borderId="4" xfId="0" applyFont="1" applyFill="1" applyBorder="1" applyAlignment="1">
      <alignment horizontal="center" vertical="center"/>
    </xf>
    <xf numFmtId="0" fontId="2" fillId="0" borderId="0" xfId="0" applyFont="1" applyAlignment="1">
      <alignment vertical="center"/>
    </xf>
    <xf numFmtId="0" fontId="3" fillId="3" borderId="7" xfId="0" applyFont="1" applyFill="1" applyBorder="1" applyAlignment="1">
      <alignment horizontal="center" vertical="center" wrapText="1"/>
    </xf>
    <xf numFmtId="0" fontId="0" fillId="0" borderId="0" xfId="0" applyAlignment="1">
      <alignment horizontal="center"/>
    </xf>
  </cellXfs>
  <cellStyles count="1">
    <cellStyle name="Normal" xfId="0" builtinId="0"/>
  </cellStyles>
  <dxfs count="35">
    <dxf>
      <font>
        <b val="0"/>
        <i/>
        <strike val="0"/>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theme="0" tint="-0.499984740745262"/>
      </font>
    </dxf>
    <dxf>
      <font>
        <color rgb="FF9C0006"/>
      </font>
      <fill>
        <patternFill>
          <bgColor rgb="FFFFC7CE"/>
        </patternFill>
      </fill>
    </dxf>
    <dxf>
      <font>
        <b val="0"/>
        <i/>
        <strike val="0"/>
        <color rgb="FFFFFFFF"/>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008000"/>
      <rgbColor rgb="FF000080"/>
      <rgbColor rgb="FF808000"/>
      <rgbColor rgb="FF800080"/>
      <rgbColor rgb="FF008080"/>
      <rgbColor rgb="FFD9D9D9"/>
      <rgbColor rgb="FF747474"/>
      <rgbColor rgb="FF9999FF"/>
      <rgbColor rgb="FF993366"/>
      <rgbColor rgb="FFFFCCCC"/>
      <rgbColor rgb="FFDCEAF7"/>
      <rgbColor rgb="FF660066"/>
      <rgbColor rgb="FFF2AA84"/>
      <rgbColor rgb="FF0066CC"/>
      <rgbColor rgb="FFD1D1D1"/>
      <rgbColor rgb="FF000080"/>
      <rgbColor rgb="FFFF00FF"/>
      <rgbColor rgb="FFFFFF00"/>
      <rgbColor rgb="FF00FFFF"/>
      <rgbColor rgb="FF800080"/>
      <rgbColor rgb="FF800000"/>
      <rgbColor rgb="FF008080"/>
      <rgbColor rgb="FF0000FF"/>
      <rgbColor rgb="FF00CCFF"/>
      <rgbColor rgb="FFB4E5A2"/>
      <rgbColor rgb="FFD9F2D0"/>
      <rgbColor rgb="FFF6E896"/>
      <rgbColor rgb="FFA6CAEC"/>
      <rgbColor rgb="FFE59EDD"/>
      <rgbColor rgb="FFFFC7CE"/>
      <rgbColor rgb="FFF6C6AD"/>
      <rgbColor rgb="FF3366FF"/>
      <rgbColor rgb="FF46B1E1"/>
      <rgbColor rgb="FF8ED973"/>
      <rgbColor rgb="FFFFC000"/>
      <rgbColor rgb="FFFF9900"/>
      <rgbColor rgb="FFFF6600"/>
      <rgbColor rgb="FF66669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mruColors>
      <color rgb="FFFBE79D"/>
      <color rgb="FFFDF2CB"/>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a4" displayName="Tabla4" ref="A1:U2" totalsRowShown="0">
  <tableColumns count="21">
    <tableColumn id="1" xr3:uid="{00000000-0010-0000-0000-000001000000}" name="1"/>
    <tableColumn id="2" xr3:uid="{00000000-0010-0000-0000-000002000000}" name="Disjunta 1"/>
    <tableColumn id="3" xr3:uid="{00000000-0010-0000-0000-000003000000}" name="Disjunta 2"/>
    <tableColumn id="4" xr3:uid="{00000000-0010-0000-0000-000004000000}" name="Disjunta 3"/>
    <tableColumn id="5" xr3:uid="{00000000-0010-0000-0000-000005000000}" name="Disjunta 4"/>
    <tableColumn id="6" xr3:uid="{00000000-0010-0000-0000-000006000000}" name="Disjunta 5"/>
    <tableColumn id="7" xr3:uid="{00000000-0010-0000-0000-000007000000}" name="Disjunta 6"/>
    <tableColumn id="8" xr3:uid="{00000000-0010-0000-0000-000008000000}" name="Disjunta 7"/>
    <tableColumn id="9" xr3:uid="{00000000-0010-0000-0000-000009000000}" name="Disjunta 8"/>
    <tableColumn id="10" xr3:uid="{00000000-0010-0000-0000-00000A000000}" name="Disjunta 9"/>
    <tableColumn id="11" xr3:uid="{00000000-0010-0000-0000-00000B000000}" name="Disjunta 10"/>
    <tableColumn id="12" xr3:uid="{00000000-0010-0000-0000-00000C000000}" name="Disjunta 11"/>
    <tableColumn id="13" xr3:uid="{00000000-0010-0000-0000-00000D000000}" name="Disjunta 12"/>
    <tableColumn id="14" xr3:uid="{00000000-0010-0000-0000-00000E000000}" name="Disjunta 13"/>
    <tableColumn id="15" xr3:uid="{00000000-0010-0000-0000-00000F000000}" name="Disjunta 14"/>
    <tableColumn id="16" xr3:uid="{00000000-0010-0000-0000-000010000000}" name="Disjunta 15"/>
    <tableColumn id="17" xr3:uid="{00000000-0010-0000-0000-000011000000}" name="Disjunta 16"/>
    <tableColumn id="18" xr3:uid="{00000000-0010-0000-0000-000012000000}" name="Disjunta 17"/>
    <tableColumn id="19" xr3:uid="{00000000-0010-0000-0000-000013000000}" name="Disjunta 18"/>
    <tableColumn id="20" xr3:uid="{00000000-0010-0000-0000-000014000000}" name="Disjunta 19"/>
    <tableColumn id="21" xr3:uid="{00000000-0010-0000-0000-000015000000}" name="Disjunta 20"/>
  </tableColumns>
  <tableStyleInfo showFirstColumn="0" showLastColumn="0" showRowStripes="1" showColumnStripes="0"/>
</table>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3.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D84A63-55AB-497E-9EBD-4681BB9AFAFF}">
  <sheetPr codeName="Planilha1"/>
  <dimension ref="A1:C24"/>
  <sheetViews>
    <sheetView zoomScale="175" zoomScaleNormal="175" workbookViewId="0">
      <pane ySplit="1" topLeftCell="A2" activePane="bottomLeft" state="frozen"/>
      <selection pane="bottomLeft" activeCell="B4" sqref="B4"/>
    </sheetView>
  </sheetViews>
  <sheetFormatPr defaultColWidth="9.15234375" defaultRowHeight="9.75" customHeight="1" x14ac:dyDescent="0.4"/>
  <cols>
    <col min="1" max="1" width="8.69140625" style="54" customWidth="1"/>
    <col min="2" max="2" width="40.15234375" style="54" customWidth="1"/>
    <col min="3" max="3" width="3.3828125" style="40" bestFit="1" customWidth="1"/>
    <col min="4" max="16384" width="9.15234375" style="54"/>
  </cols>
  <sheetData>
    <row r="1" spans="1:3" ht="20.25" customHeight="1" x14ac:dyDescent="0.4">
      <c r="A1" s="11" t="s">
        <v>44</v>
      </c>
      <c r="B1" s="11" t="s">
        <v>45</v>
      </c>
      <c r="C1" s="38" t="s">
        <v>87</v>
      </c>
    </row>
    <row r="2" spans="1:3" ht="9" customHeight="1" x14ac:dyDescent="0.4">
      <c r="A2" s="12" t="s">
        <v>46</v>
      </c>
      <c r="B2" s="12" t="s">
        <v>47</v>
      </c>
      <c r="C2" s="39" t="s">
        <v>88</v>
      </c>
    </row>
    <row r="3" spans="1:3" ht="9" customHeight="1" x14ac:dyDescent="0.4">
      <c r="A3" s="12" t="s">
        <v>48</v>
      </c>
      <c r="B3" s="12" t="s">
        <v>204</v>
      </c>
      <c r="C3" s="39" t="s">
        <v>88</v>
      </c>
    </row>
    <row r="4" spans="1:3" ht="9" customHeight="1" x14ac:dyDescent="0.4">
      <c r="A4" s="13" t="s">
        <v>49</v>
      </c>
      <c r="B4" s="13" t="s">
        <v>32</v>
      </c>
      <c r="C4" s="39" t="s">
        <v>88</v>
      </c>
    </row>
    <row r="5" spans="1:3" ht="9" customHeight="1" x14ac:dyDescent="0.4">
      <c r="A5" s="13" t="s">
        <v>50</v>
      </c>
      <c r="B5" s="13" t="str">
        <f>_xlfn.CONCAT(B4,"Prop")</f>
        <v>BIMProp</v>
      </c>
      <c r="C5" s="39" t="s">
        <v>88</v>
      </c>
    </row>
    <row r="6" spans="1:3" ht="9" customHeight="1" x14ac:dyDescent="0.4">
      <c r="A6" s="13" t="s">
        <v>51</v>
      </c>
      <c r="B6" s="13" t="str">
        <f>_xlfn.CONCAT(B4,"Data")</f>
        <v>BIMData</v>
      </c>
      <c r="C6" s="39" t="s">
        <v>88</v>
      </c>
    </row>
    <row r="7" spans="1:3" ht="9" customHeight="1" x14ac:dyDescent="0.4">
      <c r="A7" s="13" t="s">
        <v>52</v>
      </c>
      <c r="B7" s="13" t="s">
        <v>53</v>
      </c>
      <c r="C7" s="39" t="s">
        <v>88</v>
      </c>
    </row>
    <row r="8" spans="1:3" s="37" customFormat="1" ht="9" customHeight="1" x14ac:dyDescent="0.4">
      <c r="A8" s="36" t="s">
        <v>54</v>
      </c>
      <c r="B8" s="36" t="s">
        <v>85</v>
      </c>
      <c r="C8" s="39" t="s">
        <v>88</v>
      </c>
    </row>
    <row r="9" spans="1:3" ht="9" customHeight="1" x14ac:dyDescent="0.4">
      <c r="A9" s="13" t="s">
        <v>55</v>
      </c>
      <c r="B9" s="13" t="s">
        <v>56</v>
      </c>
      <c r="C9" s="39" t="s">
        <v>88</v>
      </c>
    </row>
    <row r="10" spans="1:3" ht="9" customHeight="1" x14ac:dyDescent="0.4">
      <c r="A10" s="13" t="s">
        <v>57</v>
      </c>
      <c r="B10" s="13" t="s">
        <v>58</v>
      </c>
      <c r="C10" s="39" t="s">
        <v>88</v>
      </c>
    </row>
    <row r="11" spans="1:3" ht="9" customHeight="1" x14ac:dyDescent="0.4">
      <c r="A11" s="13" t="s">
        <v>59</v>
      </c>
      <c r="B11" s="13" t="s">
        <v>58</v>
      </c>
      <c r="C11" s="39" t="s">
        <v>88</v>
      </c>
    </row>
    <row r="12" spans="1:3" ht="9" customHeight="1" x14ac:dyDescent="0.4">
      <c r="A12" s="13" t="s">
        <v>60</v>
      </c>
      <c r="B12" s="13" t="s">
        <v>58</v>
      </c>
      <c r="C12" s="39" t="s">
        <v>88</v>
      </c>
    </row>
    <row r="13" spans="1:3" ht="9" customHeight="1" x14ac:dyDescent="0.4">
      <c r="A13" s="13" t="s">
        <v>61</v>
      </c>
      <c r="B13" s="13" t="s">
        <v>58</v>
      </c>
      <c r="C13" s="39" t="s">
        <v>88</v>
      </c>
    </row>
    <row r="14" spans="1:3" ht="9" customHeight="1" x14ac:dyDescent="0.4">
      <c r="A14" s="13" t="s">
        <v>62</v>
      </c>
      <c r="B14" s="13" t="s">
        <v>58</v>
      </c>
      <c r="C14" s="39" t="s">
        <v>88</v>
      </c>
    </row>
    <row r="15" spans="1:3" ht="9" customHeight="1" x14ac:dyDescent="0.4">
      <c r="A15" s="13" t="s">
        <v>63</v>
      </c>
      <c r="B15" s="13" t="s">
        <v>58</v>
      </c>
      <c r="C15" s="39" t="s">
        <v>88</v>
      </c>
    </row>
    <row r="16" spans="1:3" ht="9" customHeight="1" x14ac:dyDescent="0.4">
      <c r="A16" s="13" t="s">
        <v>64</v>
      </c>
      <c r="B16" s="13" t="s">
        <v>58</v>
      </c>
      <c r="C16" s="39" t="s">
        <v>88</v>
      </c>
    </row>
    <row r="17" spans="1:3" ht="9" customHeight="1" x14ac:dyDescent="0.4">
      <c r="A17" s="13" t="s">
        <v>65</v>
      </c>
      <c r="B17" s="13" t="s">
        <v>207</v>
      </c>
      <c r="C17" s="39" t="s">
        <v>88</v>
      </c>
    </row>
    <row r="18" spans="1:3" ht="9" customHeight="1" x14ac:dyDescent="0.4">
      <c r="A18" s="13" t="s">
        <v>66</v>
      </c>
      <c r="B18" s="14">
        <f ca="1">NOW()</f>
        <v>46271.547334953706</v>
      </c>
      <c r="C18" s="39" t="s">
        <v>88</v>
      </c>
    </row>
    <row r="19" spans="1:3" ht="9" customHeight="1" x14ac:dyDescent="0.4">
      <c r="A19" s="13" t="s">
        <v>67</v>
      </c>
      <c r="B19" s="14" t="s">
        <v>68</v>
      </c>
      <c r="C19" s="39" t="s">
        <v>88</v>
      </c>
    </row>
    <row r="20" spans="1:3" ht="9" customHeight="1" x14ac:dyDescent="0.4">
      <c r="A20" s="13" t="s">
        <v>69</v>
      </c>
      <c r="B20" s="13" t="s">
        <v>58</v>
      </c>
      <c r="C20" s="39" t="s">
        <v>88</v>
      </c>
    </row>
    <row r="21" spans="1:3" ht="9" customHeight="1" x14ac:dyDescent="0.4">
      <c r="A21" s="13" t="s">
        <v>70</v>
      </c>
      <c r="B21" s="13" t="s">
        <v>58</v>
      </c>
      <c r="C21" s="39" t="s">
        <v>88</v>
      </c>
    </row>
    <row r="22" spans="1:3" ht="9" customHeight="1" x14ac:dyDescent="0.4">
      <c r="A22" s="13" t="s">
        <v>71</v>
      </c>
      <c r="B22" s="15" t="s">
        <v>205</v>
      </c>
      <c r="C22" s="39" t="s">
        <v>88</v>
      </c>
    </row>
    <row r="23" spans="1:3" ht="9" customHeight="1" x14ac:dyDescent="0.4">
      <c r="A23" s="13" t="s">
        <v>72</v>
      </c>
      <c r="B23" s="15" t="s">
        <v>206</v>
      </c>
      <c r="C23" s="39" t="s">
        <v>89</v>
      </c>
    </row>
    <row r="24" spans="1:3" s="37" customFormat="1" ht="9" customHeight="1" x14ac:dyDescent="0.4">
      <c r="A24" s="13" t="s">
        <v>86</v>
      </c>
      <c r="B24" s="15" t="str">
        <f>_xlfn.TRANSLATE(B22,"pt","en")</f>
        <v>Formalize elements of the BIM project. Specific Objects of Hydraulics and Sanitary Sewer</v>
      </c>
      <c r="C24" s="39" t="s">
        <v>90</v>
      </c>
    </row>
  </sheetData>
  <pageMargins left="0.511811024" right="0.511811024" top="0.78740157499999996" bottom="0.78740157499999996" header="0.31496062000000002" footer="0.3149606200000000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052D63-9637-42D9-866B-0BB924A50D8C}">
  <sheetPr codeName="Planilha2"/>
  <dimension ref="A1:AD113"/>
  <sheetViews>
    <sheetView tabSelected="1" zoomScale="205" zoomScaleNormal="205" workbookViewId="0">
      <pane ySplit="1" topLeftCell="A53" activePane="bottomLeft" state="frozen"/>
      <selection activeCell="A179" sqref="A179:XFD190"/>
      <selection pane="bottomLeft" activeCell="F56" sqref="F56"/>
    </sheetView>
  </sheetViews>
  <sheetFormatPr defaultColWidth="9.15234375" defaultRowHeight="6.65" customHeight="1" x14ac:dyDescent="0.4"/>
  <cols>
    <col min="1" max="1" width="1.921875" bestFit="1" customWidth="1"/>
    <col min="2" max="2" width="4.23046875" style="52" bestFit="1" customWidth="1"/>
    <col min="3" max="3" width="7.15234375" style="52" bestFit="1" customWidth="1"/>
    <col min="4" max="4" width="10.23046875" style="52" bestFit="1" customWidth="1"/>
    <col min="5" max="5" width="11.53515625" style="52" bestFit="1" customWidth="1"/>
    <col min="6" max="6" width="11.69140625" style="59" bestFit="1" customWidth="1"/>
    <col min="7" max="11" width="6.4609375" style="52" bestFit="1" customWidth="1"/>
    <col min="12" max="12" width="7.15234375" style="52" bestFit="1" customWidth="1"/>
    <col min="13" max="13" width="10.23046875" style="52" bestFit="1" customWidth="1"/>
    <col min="14" max="14" width="11.61328125" style="52" bestFit="1" customWidth="1"/>
    <col min="15" max="15" width="11.84375" style="52" bestFit="1" customWidth="1"/>
    <col min="16" max="16" width="114.61328125" style="52" bestFit="1" customWidth="1"/>
    <col min="17" max="17" width="120.53515625" style="52" bestFit="1" customWidth="1"/>
    <col min="18" max="18" width="108.3046875" style="52" bestFit="1" customWidth="1"/>
    <col min="19" max="19" width="3.69140625" style="70" bestFit="1" customWidth="1"/>
    <col min="20" max="20" width="6.921875" style="52" bestFit="1" customWidth="1"/>
    <col min="21" max="21" width="8.07421875" style="52" bestFit="1" customWidth="1"/>
    <col min="22" max="22" width="11.61328125" style="52" bestFit="1" customWidth="1"/>
    <col min="23" max="23" width="7.3046875" style="52" customWidth="1"/>
    <col min="24" max="24" width="6.69140625" style="52" customWidth="1"/>
    <col min="25" max="25" width="155.3828125" style="52" bestFit="1" customWidth="1"/>
    <col min="26" max="26" width="6.765625" style="52" bestFit="1" customWidth="1"/>
    <col min="27" max="27" width="60.07421875" style="53" bestFit="1" customWidth="1"/>
    <col min="28" max="28" width="6" style="52" bestFit="1" customWidth="1"/>
    <col min="29" max="29" width="8.84375" style="52" bestFit="1" customWidth="1"/>
    <col min="30" max="30" width="2.53515625" style="52" bestFit="1" customWidth="1"/>
    <col min="31" max="16384" width="9.15234375" style="52"/>
  </cols>
  <sheetData>
    <row r="1" spans="1:30" ht="38.700000000000003" customHeight="1" x14ac:dyDescent="0.4">
      <c r="A1" s="42" t="s">
        <v>91</v>
      </c>
      <c r="B1" s="43" t="s">
        <v>42</v>
      </c>
      <c r="C1" s="43" t="s">
        <v>40</v>
      </c>
      <c r="D1" s="43" t="s">
        <v>41</v>
      </c>
      <c r="E1" s="43" t="s">
        <v>39</v>
      </c>
      <c r="F1" s="43" t="s">
        <v>36</v>
      </c>
      <c r="G1" s="44" t="s">
        <v>0</v>
      </c>
      <c r="H1" s="44" t="s">
        <v>1</v>
      </c>
      <c r="I1" s="44" t="s">
        <v>2</v>
      </c>
      <c r="J1" s="44" t="s">
        <v>3</v>
      </c>
      <c r="K1" s="44" t="s">
        <v>4</v>
      </c>
      <c r="L1" s="34" t="s">
        <v>92</v>
      </c>
      <c r="M1" s="34" t="s">
        <v>5</v>
      </c>
      <c r="N1" s="34" t="s">
        <v>6</v>
      </c>
      <c r="O1" s="34" t="s">
        <v>7</v>
      </c>
      <c r="P1" s="34" t="s">
        <v>37</v>
      </c>
      <c r="Q1" s="34" t="s">
        <v>43</v>
      </c>
      <c r="R1" s="35" t="s">
        <v>84</v>
      </c>
      <c r="S1" s="69" t="s">
        <v>93</v>
      </c>
      <c r="T1" s="34" t="s">
        <v>33</v>
      </c>
      <c r="U1" s="34" t="s">
        <v>38</v>
      </c>
      <c r="V1" s="45" t="s">
        <v>35</v>
      </c>
      <c r="W1" s="34" t="s">
        <v>34</v>
      </c>
      <c r="X1" s="55" t="s">
        <v>8</v>
      </c>
      <c r="Y1" s="34" t="s">
        <v>340</v>
      </c>
      <c r="Z1" s="34" t="s">
        <v>341</v>
      </c>
      <c r="AA1" s="34" t="s">
        <v>339</v>
      </c>
      <c r="AB1" s="34" t="s">
        <v>338</v>
      </c>
      <c r="AC1" s="34" t="s">
        <v>83</v>
      </c>
      <c r="AD1" s="34" t="s">
        <v>366</v>
      </c>
    </row>
    <row r="2" spans="1:30" s="53" customFormat="1" ht="6" customHeight="1" x14ac:dyDescent="0.4">
      <c r="A2" s="56">
        <v>2</v>
      </c>
      <c r="B2" s="1" t="s">
        <v>243</v>
      </c>
      <c r="C2" s="1" t="s">
        <v>367</v>
      </c>
      <c r="D2" s="1" t="s">
        <v>382</v>
      </c>
      <c r="E2" s="1" t="s">
        <v>383</v>
      </c>
      <c r="F2" s="66" t="s">
        <v>384</v>
      </c>
      <c r="G2" s="7" t="s">
        <v>9</v>
      </c>
      <c r="H2" s="7" t="s">
        <v>9</v>
      </c>
      <c r="I2" s="7" t="s">
        <v>9</v>
      </c>
      <c r="J2" s="7" t="s">
        <v>9</v>
      </c>
      <c r="K2" s="7" t="s">
        <v>9</v>
      </c>
      <c r="L2" s="32" t="str">
        <f t="shared" ref="L2:M6" si="0">CONCATENATE("", C2)</f>
        <v>De.Materialidade</v>
      </c>
      <c r="M2" s="32" t="str">
        <f t="shared" si="0"/>
        <v>Material.Construtivo</v>
      </c>
      <c r="N2" s="32" t="str">
        <f t="shared" ref="N2:O6" si="1">(SUBSTITUTE(SUBSTITUTE(CONCATENATE("",E2),"."," ")," De "," de "))</f>
        <v>Argamassas</v>
      </c>
      <c r="O2" s="32" t="str">
        <f t="shared" si="1"/>
        <v>Argamassa Baritada</v>
      </c>
      <c r="P2" s="60" t="s">
        <v>385</v>
      </c>
      <c r="Q2" s="65" t="s">
        <v>386</v>
      </c>
      <c r="R2" s="65" t="s">
        <v>387</v>
      </c>
      <c r="S2" s="67" t="s">
        <v>9</v>
      </c>
      <c r="T2" s="60" t="str">
        <f t="shared" ref="T2:V17" si="2">SUBSTITUTE(C2, ".", " ")</f>
        <v>De Materialidade</v>
      </c>
      <c r="U2" s="60" t="str">
        <f t="shared" si="2"/>
        <v>Material Construtivo</v>
      </c>
      <c r="V2" s="60" t="str">
        <f t="shared" si="2"/>
        <v>Argamassas</v>
      </c>
      <c r="W2" s="29" t="s">
        <v>152</v>
      </c>
      <c r="X2" s="57" t="str">
        <f t="shared" ref="X2:X63" si="3">CONCATENATE("Key-HIDR-",A2)</f>
        <v>Key-HIDR-2</v>
      </c>
      <c r="Y2" s="29" t="s">
        <v>388</v>
      </c>
      <c r="Z2" s="60" t="s">
        <v>9</v>
      </c>
      <c r="AA2" s="60" t="s">
        <v>389</v>
      </c>
      <c r="AB2" s="60" t="s">
        <v>9</v>
      </c>
      <c r="AC2" s="60" t="s">
        <v>390</v>
      </c>
      <c r="AD2" s="60" t="s">
        <v>9</v>
      </c>
    </row>
    <row r="3" spans="1:30" s="53" customFormat="1" ht="6" customHeight="1" x14ac:dyDescent="0.4">
      <c r="A3" s="56">
        <v>3</v>
      </c>
      <c r="B3" s="1" t="s">
        <v>243</v>
      </c>
      <c r="C3" s="1" t="s">
        <v>367</v>
      </c>
      <c r="D3" s="1" t="s">
        <v>382</v>
      </c>
      <c r="E3" s="1" t="s">
        <v>383</v>
      </c>
      <c r="F3" s="64" t="s">
        <v>391</v>
      </c>
      <c r="G3" s="7" t="s">
        <v>9</v>
      </c>
      <c r="H3" s="7" t="s">
        <v>9</v>
      </c>
      <c r="I3" s="7" t="s">
        <v>9</v>
      </c>
      <c r="J3" s="7" t="s">
        <v>9</v>
      </c>
      <c r="K3" s="7" t="s">
        <v>9</v>
      </c>
      <c r="L3" s="32" t="str">
        <f t="shared" si="0"/>
        <v>De.Materialidade</v>
      </c>
      <c r="M3" s="32" t="str">
        <f t="shared" si="0"/>
        <v>Material.Construtivo</v>
      </c>
      <c r="N3" s="32" t="str">
        <f t="shared" si="1"/>
        <v>Argamassas</v>
      </c>
      <c r="O3" s="32" t="str">
        <f t="shared" si="1"/>
        <v>Argamassa Colante</v>
      </c>
      <c r="P3" s="28" t="s">
        <v>392</v>
      </c>
      <c r="Q3" s="65" t="s">
        <v>393</v>
      </c>
      <c r="R3" s="65" t="s">
        <v>394</v>
      </c>
      <c r="S3" s="67" t="s">
        <v>9</v>
      </c>
      <c r="T3" s="60" t="str">
        <f t="shared" si="2"/>
        <v>De Materialidade</v>
      </c>
      <c r="U3" s="60" t="str">
        <f t="shared" si="2"/>
        <v>Material Construtivo</v>
      </c>
      <c r="V3" s="60" t="str">
        <f t="shared" si="2"/>
        <v>Argamassas</v>
      </c>
      <c r="W3" s="29" t="s">
        <v>152</v>
      </c>
      <c r="X3" s="57" t="str">
        <f t="shared" si="3"/>
        <v>Key-HIDR-3</v>
      </c>
      <c r="Y3" s="29" t="s">
        <v>388</v>
      </c>
      <c r="Z3" s="60" t="s">
        <v>9</v>
      </c>
      <c r="AA3" s="60" t="s">
        <v>395</v>
      </c>
      <c r="AB3" s="60" t="s">
        <v>9</v>
      </c>
      <c r="AC3" s="60" t="s">
        <v>390</v>
      </c>
      <c r="AD3" s="60" t="s">
        <v>9</v>
      </c>
    </row>
    <row r="4" spans="1:30" s="53" customFormat="1" ht="6" customHeight="1" x14ac:dyDescent="0.4">
      <c r="A4" s="56">
        <v>4</v>
      </c>
      <c r="B4" s="1" t="s">
        <v>243</v>
      </c>
      <c r="C4" s="1" t="s">
        <v>367</v>
      </c>
      <c r="D4" s="1" t="s">
        <v>382</v>
      </c>
      <c r="E4" s="1" t="s">
        <v>383</v>
      </c>
      <c r="F4" s="66" t="s">
        <v>396</v>
      </c>
      <c r="G4" s="7" t="s">
        <v>9</v>
      </c>
      <c r="H4" s="7" t="s">
        <v>9</v>
      </c>
      <c r="I4" s="7" t="s">
        <v>9</v>
      </c>
      <c r="J4" s="7" t="s">
        <v>9</v>
      </c>
      <c r="K4" s="7" t="s">
        <v>9</v>
      </c>
      <c r="L4" s="32" t="str">
        <f t="shared" si="0"/>
        <v>De.Materialidade</v>
      </c>
      <c r="M4" s="32" t="str">
        <f t="shared" si="0"/>
        <v>Material.Construtivo</v>
      </c>
      <c r="N4" s="32" t="str">
        <f t="shared" si="1"/>
        <v>Argamassas</v>
      </c>
      <c r="O4" s="32" t="str">
        <f t="shared" si="1"/>
        <v>Argamassa Isolante</v>
      </c>
      <c r="P4" s="60" t="s">
        <v>397</v>
      </c>
      <c r="Q4" s="65" t="s">
        <v>398</v>
      </c>
      <c r="R4" s="65" t="s">
        <v>399</v>
      </c>
      <c r="S4" s="67" t="s">
        <v>9</v>
      </c>
      <c r="T4" s="60" t="str">
        <f t="shared" si="2"/>
        <v>De Materialidade</v>
      </c>
      <c r="U4" s="60" t="str">
        <f t="shared" si="2"/>
        <v>Material Construtivo</v>
      </c>
      <c r="V4" s="60" t="str">
        <f t="shared" si="2"/>
        <v>Argamassas</v>
      </c>
      <c r="W4" s="29" t="s">
        <v>152</v>
      </c>
      <c r="X4" s="57" t="str">
        <f t="shared" si="3"/>
        <v>Key-HIDR-4</v>
      </c>
      <c r="Y4" s="29" t="s">
        <v>388</v>
      </c>
      <c r="Z4" s="60" t="s">
        <v>9</v>
      </c>
      <c r="AA4" s="60" t="s">
        <v>389</v>
      </c>
      <c r="AB4" s="60" t="s">
        <v>9</v>
      </c>
      <c r="AC4" s="60" t="s">
        <v>390</v>
      </c>
      <c r="AD4" s="60" t="s">
        <v>9</v>
      </c>
    </row>
    <row r="5" spans="1:30" s="53" customFormat="1" ht="6" customHeight="1" x14ac:dyDescent="0.4">
      <c r="A5" s="56">
        <v>5</v>
      </c>
      <c r="B5" s="1" t="s">
        <v>243</v>
      </c>
      <c r="C5" s="1" t="s">
        <v>367</v>
      </c>
      <c r="D5" s="1" t="s">
        <v>382</v>
      </c>
      <c r="E5" s="1" t="s">
        <v>383</v>
      </c>
      <c r="F5" s="1" t="s">
        <v>400</v>
      </c>
      <c r="G5" s="7" t="s">
        <v>9</v>
      </c>
      <c r="H5" s="7" t="s">
        <v>9</v>
      </c>
      <c r="I5" s="7" t="s">
        <v>9</v>
      </c>
      <c r="J5" s="7" t="s">
        <v>9</v>
      </c>
      <c r="K5" s="7" t="s">
        <v>9</v>
      </c>
      <c r="L5" s="32" t="str">
        <f t="shared" si="0"/>
        <v>De.Materialidade</v>
      </c>
      <c r="M5" s="32" t="str">
        <f t="shared" si="0"/>
        <v>Material.Construtivo</v>
      </c>
      <c r="N5" s="32" t="str">
        <f t="shared" si="1"/>
        <v>Argamassas</v>
      </c>
      <c r="O5" s="32" t="str">
        <f t="shared" si="1"/>
        <v>Argamassa Lastro</v>
      </c>
      <c r="P5" s="29" t="s">
        <v>401</v>
      </c>
      <c r="Q5" s="65" t="s">
        <v>402</v>
      </c>
      <c r="R5" s="65" t="s">
        <v>403</v>
      </c>
      <c r="S5" s="67" t="s">
        <v>9</v>
      </c>
      <c r="T5" s="60" t="str">
        <f t="shared" si="2"/>
        <v>De Materialidade</v>
      </c>
      <c r="U5" s="60" t="str">
        <f t="shared" si="2"/>
        <v>Material Construtivo</v>
      </c>
      <c r="V5" s="60" t="str">
        <f t="shared" si="2"/>
        <v>Argamassas</v>
      </c>
      <c r="W5" s="29" t="s">
        <v>152</v>
      </c>
      <c r="X5" s="57" t="str">
        <f t="shared" si="3"/>
        <v>Key-HIDR-5</v>
      </c>
      <c r="Y5" s="29" t="s">
        <v>388</v>
      </c>
      <c r="Z5" s="60" t="s">
        <v>9</v>
      </c>
      <c r="AA5" s="60" t="s">
        <v>395</v>
      </c>
      <c r="AB5" s="60" t="s">
        <v>9</v>
      </c>
      <c r="AC5" s="60" t="s">
        <v>404</v>
      </c>
      <c r="AD5" s="60" t="s">
        <v>9</v>
      </c>
    </row>
    <row r="6" spans="1:30" s="53" customFormat="1" ht="6" customHeight="1" x14ac:dyDescent="0.4">
      <c r="A6" s="56">
        <v>6</v>
      </c>
      <c r="B6" s="1" t="s">
        <v>243</v>
      </c>
      <c r="C6" s="1" t="s">
        <v>367</v>
      </c>
      <c r="D6" s="1" t="s">
        <v>382</v>
      </c>
      <c r="E6" s="1" t="s">
        <v>383</v>
      </c>
      <c r="F6" s="66" t="s">
        <v>405</v>
      </c>
      <c r="G6" s="7" t="s">
        <v>9</v>
      </c>
      <c r="H6" s="7" t="s">
        <v>9</v>
      </c>
      <c r="I6" s="7" t="s">
        <v>9</v>
      </c>
      <c r="J6" s="7" t="s">
        <v>9</v>
      </c>
      <c r="K6" s="7" t="s">
        <v>9</v>
      </c>
      <c r="L6" s="32" t="str">
        <f t="shared" si="0"/>
        <v>De.Materialidade</v>
      </c>
      <c r="M6" s="32" t="str">
        <f t="shared" si="0"/>
        <v>Material.Construtivo</v>
      </c>
      <c r="N6" s="32" t="str">
        <f t="shared" si="1"/>
        <v>Argamassas</v>
      </c>
      <c r="O6" s="32" t="str">
        <f t="shared" si="1"/>
        <v>Argamassa Regular</v>
      </c>
      <c r="P6" s="60" t="s">
        <v>406</v>
      </c>
      <c r="Q6" s="65" t="s">
        <v>407</v>
      </c>
      <c r="R6" s="65" t="s">
        <v>408</v>
      </c>
      <c r="S6" s="67" t="s">
        <v>9</v>
      </c>
      <c r="T6" s="60" t="str">
        <f t="shared" si="2"/>
        <v>De Materialidade</v>
      </c>
      <c r="U6" s="60" t="str">
        <f t="shared" si="2"/>
        <v>Material Construtivo</v>
      </c>
      <c r="V6" s="60" t="str">
        <f t="shared" si="2"/>
        <v>Argamassas</v>
      </c>
      <c r="W6" s="29" t="s">
        <v>152</v>
      </c>
      <c r="X6" s="57" t="str">
        <f t="shared" si="3"/>
        <v>Key-HIDR-6</v>
      </c>
      <c r="Y6" s="29" t="s">
        <v>388</v>
      </c>
      <c r="Z6" s="60" t="s">
        <v>9</v>
      </c>
      <c r="AA6" s="60" t="s">
        <v>389</v>
      </c>
      <c r="AB6" s="60" t="s">
        <v>9</v>
      </c>
      <c r="AC6" s="60" t="s">
        <v>390</v>
      </c>
      <c r="AD6" s="60" t="s">
        <v>9</v>
      </c>
    </row>
    <row r="7" spans="1:30" s="53" customFormat="1" ht="6" customHeight="1" x14ac:dyDescent="0.4">
      <c r="A7" s="56">
        <v>7</v>
      </c>
      <c r="B7" s="1" t="s">
        <v>243</v>
      </c>
      <c r="C7" s="1" t="s">
        <v>367</v>
      </c>
      <c r="D7" s="1" t="s">
        <v>382</v>
      </c>
      <c r="E7" s="1" t="s">
        <v>409</v>
      </c>
      <c r="F7" s="64" t="s">
        <v>410</v>
      </c>
      <c r="G7" s="58" t="s">
        <v>9</v>
      </c>
      <c r="H7" s="58" t="s">
        <v>9</v>
      </c>
      <c r="I7" s="58" t="s">
        <v>9</v>
      </c>
      <c r="J7" s="58" t="s">
        <v>9</v>
      </c>
      <c r="K7" s="58" t="s">
        <v>9</v>
      </c>
      <c r="L7" s="32" t="str">
        <f t="shared" ref="L7:O22" si="4">SUBSTITUTE(CONCATENATE("", C7), ".", " ")</f>
        <v>De Materialidade</v>
      </c>
      <c r="M7" s="32" t="str">
        <f t="shared" si="4"/>
        <v>Material Construtivo</v>
      </c>
      <c r="N7" s="32" t="str">
        <f t="shared" si="4"/>
        <v>Caixas Metálicas</v>
      </c>
      <c r="O7" s="32" t="str">
        <f t="shared" si="4"/>
        <v>Caixa Metálica de Elétrica</v>
      </c>
      <c r="P7" s="65" t="s">
        <v>411</v>
      </c>
      <c r="Q7" s="65" t="s">
        <v>412</v>
      </c>
      <c r="R7" s="65" t="s">
        <v>413</v>
      </c>
      <c r="S7" s="67" t="s">
        <v>9</v>
      </c>
      <c r="T7" s="29" t="str">
        <f t="shared" si="2"/>
        <v>De Materialidade</v>
      </c>
      <c r="U7" s="29" t="str">
        <f t="shared" si="2"/>
        <v>Material Construtivo</v>
      </c>
      <c r="V7" s="29" t="str">
        <f t="shared" si="2"/>
        <v>Caixas Metálicas</v>
      </c>
      <c r="W7" s="29" t="s">
        <v>152</v>
      </c>
      <c r="X7" s="57" t="str">
        <f t="shared" si="3"/>
        <v>Key-HIDR-7</v>
      </c>
      <c r="Y7" s="29" t="s">
        <v>414</v>
      </c>
      <c r="Z7" s="61" t="s">
        <v>9</v>
      </c>
      <c r="AA7" s="29" t="s">
        <v>368</v>
      </c>
      <c r="AB7" s="61" t="s">
        <v>9</v>
      </c>
      <c r="AC7" s="29" t="s">
        <v>415</v>
      </c>
      <c r="AD7" s="61" t="s">
        <v>9</v>
      </c>
    </row>
    <row r="8" spans="1:30" s="53" customFormat="1" ht="6" customHeight="1" x14ac:dyDescent="0.4">
      <c r="A8" s="56">
        <v>8</v>
      </c>
      <c r="B8" s="1" t="s">
        <v>243</v>
      </c>
      <c r="C8" s="1" t="s">
        <v>367</v>
      </c>
      <c r="D8" s="1" t="s">
        <v>382</v>
      </c>
      <c r="E8" s="1" t="s">
        <v>409</v>
      </c>
      <c r="F8" s="64" t="s">
        <v>416</v>
      </c>
      <c r="G8" s="58" t="s">
        <v>9</v>
      </c>
      <c r="H8" s="58" t="s">
        <v>9</v>
      </c>
      <c r="I8" s="58" t="s">
        <v>9</v>
      </c>
      <c r="J8" s="58" t="s">
        <v>9</v>
      </c>
      <c r="K8" s="58" t="s">
        <v>9</v>
      </c>
      <c r="L8" s="32" t="str">
        <f t="shared" si="4"/>
        <v>De Materialidade</v>
      </c>
      <c r="M8" s="32" t="str">
        <f t="shared" si="4"/>
        <v>Material Construtivo</v>
      </c>
      <c r="N8" s="32" t="str">
        <f t="shared" si="4"/>
        <v>Caixas Metálicas</v>
      </c>
      <c r="O8" s="32" t="str">
        <f t="shared" si="4"/>
        <v>Caixa Metálica de Telecom</v>
      </c>
      <c r="P8" s="65" t="s">
        <v>417</v>
      </c>
      <c r="Q8" s="65" t="s">
        <v>418</v>
      </c>
      <c r="R8" s="65" t="s">
        <v>419</v>
      </c>
      <c r="S8" s="67" t="s">
        <v>9</v>
      </c>
      <c r="T8" s="29" t="str">
        <f t="shared" si="2"/>
        <v>De Materialidade</v>
      </c>
      <c r="U8" s="29" t="str">
        <f t="shared" si="2"/>
        <v>Material Construtivo</v>
      </c>
      <c r="V8" s="29" t="str">
        <f t="shared" si="2"/>
        <v>Caixas Metálicas</v>
      </c>
      <c r="W8" s="29" t="s">
        <v>152</v>
      </c>
      <c r="X8" s="57" t="str">
        <f t="shared" si="3"/>
        <v>Key-HIDR-8</v>
      </c>
      <c r="Y8" s="29" t="s">
        <v>414</v>
      </c>
      <c r="Z8" s="61" t="s">
        <v>9</v>
      </c>
      <c r="AA8" s="29" t="s">
        <v>368</v>
      </c>
      <c r="AB8" s="61" t="s">
        <v>9</v>
      </c>
      <c r="AC8" s="29" t="s">
        <v>415</v>
      </c>
      <c r="AD8" s="61" t="s">
        <v>9</v>
      </c>
    </row>
    <row r="9" spans="1:30" s="53" customFormat="1" ht="6" customHeight="1" x14ac:dyDescent="0.4">
      <c r="A9" s="56">
        <v>9</v>
      </c>
      <c r="B9" s="1" t="s">
        <v>243</v>
      </c>
      <c r="C9" s="1" t="s">
        <v>367</v>
      </c>
      <c r="D9" s="1" t="s">
        <v>382</v>
      </c>
      <c r="E9" s="1" t="s">
        <v>420</v>
      </c>
      <c r="F9" s="64" t="s">
        <v>421</v>
      </c>
      <c r="G9" s="58" t="s">
        <v>9</v>
      </c>
      <c r="H9" s="58" t="s">
        <v>9</v>
      </c>
      <c r="I9" s="58" t="s">
        <v>9</v>
      </c>
      <c r="J9" s="58" t="s">
        <v>9</v>
      </c>
      <c r="K9" s="58" t="s">
        <v>9</v>
      </c>
      <c r="L9" s="32" t="str">
        <f t="shared" si="4"/>
        <v>De Materialidade</v>
      </c>
      <c r="M9" s="32" t="str">
        <f t="shared" si="4"/>
        <v>Material Construtivo</v>
      </c>
      <c r="N9" s="32" t="str">
        <f t="shared" si="4"/>
        <v>Caixas Plásticas</v>
      </c>
      <c r="O9" s="32" t="str">
        <f t="shared" si="4"/>
        <v>Caixa PVC de Elétrica</v>
      </c>
      <c r="P9" s="65" t="s">
        <v>422</v>
      </c>
      <c r="Q9" s="65" t="s">
        <v>423</v>
      </c>
      <c r="R9" s="65" t="s">
        <v>424</v>
      </c>
      <c r="S9" s="67" t="s">
        <v>9</v>
      </c>
      <c r="T9" s="29" t="str">
        <f t="shared" si="2"/>
        <v>De Materialidade</v>
      </c>
      <c r="U9" s="29" t="str">
        <f t="shared" si="2"/>
        <v>Material Construtivo</v>
      </c>
      <c r="V9" s="29" t="str">
        <f t="shared" si="2"/>
        <v>Caixas Plásticas</v>
      </c>
      <c r="W9" s="29" t="s">
        <v>152</v>
      </c>
      <c r="X9" s="57" t="str">
        <f t="shared" si="3"/>
        <v>Key-HIDR-9</v>
      </c>
      <c r="Y9" s="29" t="s">
        <v>414</v>
      </c>
      <c r="Z9" s="61" t="s">
        <v>9</v>
      </c>
      <c r="AA9" s="29" t="s">
        <v>368</v>
      </c>
      <c r="AB9" s="61" t="s">
        <v>9</v>
      </c>
      <c r="AC9" s="29" t="s">
        <v>415</v>
      </c>
      <c r="AD9" s="61" t="s">
        <v>9</v>
      </c>
    </row>
    <row r="10" spans="1:30" s="53" customFormat="1" ht="6" customHeight="1" x14ac:dyDescent="0.4">
      <c r="A10" s="56">
        <v>10</v>
      </c>
      <c r="B10" s="1" t="s">
        <v>243</v>
      </c>
      <c r="C10" s="1" t="s">
        <v>367</v>
      </c>
      <c r="D10" s="1" t="s">
        <v>382</v>
      </c>
      <c r="E10" s="1" t="s">
        <v>420</v>
      </c>
      <c r="F10" s="64" t="s">
        <v>425</v>
      </c>
      <c r="G10" s="58" t="s">
        <v>9</v>
      </c>
      <c r="H10" s="58" t="s">
        <v>9</v>
      </c>
      <c r="I10" s="58" t="s">
        <v>9</v>
      </c>
      <c r="J10" s="58" t="s">
        <v>9</v>
      </c>
      <c r="K10" s="58" t="s">
        <v>9</v>
      </c>
      <c r="L10" s="32" t="str">
        <f t="shared" si="4"/>
        <v>De Materialidade</v>
      </c>
      <c r="M10" s="32" t="str">
        <f t="shared" si="4"/>
        <v>Material Construtivo</v>
      </c>
      <c r="N10" s="32" t="str">
        <f t="shared" si="4"/>
        <v>Caixas Plásticas</v>
      </c>
      <c r="O10" s="32" t="str">
        <f t="shared" si="4"/>
        <v>Caixa PVC de Telecom</v>
      </c>
      <c r="P10" s="65" t="s">
        <v>426</v>
      </c>
      <c r="Q10" s="65" t="s">
        <v>427</v>
      </c>
      <c r="R10" s="65" t="s">
        <v>428</v>
      </c>
      <c r="S10" s="67" t="s">
        <v>9</v>
      </c>
      <c r="T10" s="29" t="str">
        <f t="shared" si="2"/>
        <v>De Materialidade</v>
      </c>
      <c r="U10" s="29" t="str">
        <f t="shared" si="2"/>
        <v>Material Construtivo</v>
      </c>
      <c r="V10" s="29" t="str">
        <f t="shared" si="2"/>
        <v>Caixas Plásticas</v>
      </c>
      <c r="W10" s="29" t="s">
        <v>152</v>
      </c>
      <c r="X10" s="57" t="str">
        <f t="shared" si="3"/>
        <v>Key-HIDR-10</v>
      </c>
      <c r="Y10" s="29" t="s">
        <v>414</v>
      </c>
      <c r="Z10" s="61" t="s">
        <v>9</v>
      </c>
      <c r="AA10" s="29" t="s">
        <v>368</v>
      </c>
      <c r="AB10" s="61" t="s">
        <v>9</v>
      </c>
      <c r="AC10" s="29" t="s">
        <v>415</v>
      </c>
      <c r="AD10" s="61" t="s">
        <v>9</v>
      </c>
    </row>
    <row r="11" spans="1:30" s="53" customFormat="1" ht="6" customHeight="1" x14ac:dyDescent="0.4">
      <c r="A11" s="56">
        <v>11</v>
      </c>
      <c r="B11" s="1" t="s">
        <v>243</v>
      </c>
      <c r="C11" s="1" t="s">
        <v>367</v>
      </c>
      <c r="D11" s="1" t="s">
        <v>382</v>
      </c>
      <c r="E11" s="1" t="s">
        <v>429</v>
      </c>
      <c r="F11" s="64" t="s">
        <v>430</v>
      </c>
      <c r="G11" s="58" t="s">
        <v>9</v>
      </c>
      <c r="H11" s="58" t="s">
        <v>9</v>
      </c>
      <c r="I11" s="58" t="s">
        <v>9</v>
      </c>
      <c r="J11" s="58" t="s">
        <v>9</v>
      </c>
      <c r="K11" s="58" t="s">
        <v>9</v>
      </c>
      <c r="L11" s="32" t="str">
        <f t="shared" si="4"/>
        <v>De Materialidade</v>
      </c>
      <c r="M11" s="32" t="str">
        <f t="shared" si="4"/>
        <v>Material Construtivo</v>
      </c>
      <c r="N11" s="32" t="str">
        <f t="shared" si="4"/>
        <v>Calhas Metálicas</v>
      </c>
      <c r="O11" s="32" t="str">
        <f t="shared" si="4"/>
        <v>Calha de Elétrica</v>
      </c>
      <c r="P11" s="65" t="s">
        <v>431</v>
      </c>
      <c r="Q11" s="65" t="s">
        <v>432</v>
      </c>
      <c r="R11" s="65" t="s">
        <v>433</v>
      </c>
      <c r="S11" s="67" t="s">
        <v>9</v>
      </c>
      <c r="T11" s="29" t="str">
        <f t="shared" si="2"/>
        <v>De Materialidade</v>
      </c>
      <c r="U11" s="29" t="str">
        <f t="shared" si="2"/>
        <v>Material Construtivo</v>
      </c>
      <c r="V11" s="29" t="str">
        <f t="shared" si="2"/>
        <v>Calhas Metálicas</v>
      </c>
      <c r="W11" s="29" t="s">
        <v>152</v>
      </c>
      <c r="X11" s="57" t="str">
        <f t="shared" si="3"/>
        <v>Key-HIDR-11</v>
      </c>
      <c r="Y11" s="29" t="s">
        <v>414</v>
      </c>
      <c r="Z11" s="61" t="s">
        <v>9</v>
      </c>
      <c r="AA11" s="29" t="s">
        <v>368</v>
      </c>
      <c r="AB11" s="61" t="s">
        <v>9</v>
      </c>
      <c r="AC11" s="29" t="s">
        <v>415</v>
      </c>
      <c r="AD11" s="61" t="s">
        <v>9</v>
      </c>
    </row>
    <row r="12" spans="1:30" s="53" customFormat="1" ht="6" customHeight="1" x14ac:dyDescent="0.4">
      <c r="A12" s="56">
        <v>12</v>
      </c>
      <c r="B12" s="1" t="s">
        <v>243</v>
      </c>
      <c r="C12" s="1" t="s">
        <v>367</v>
      </c>
      <c r="D12" s="1" t="s">
        <v>382</v>
      </c>
      <c r="E12" s="1" t="s">
        <v>429</v>
      </c>
      <c r="F12" s="64" t="s">
        <v>434</v>
      </c>
      <c r="G12" s="58" t="s">
        <v>9</v>
      </c>
      <c r="H12" s="58" t="s">
        <v>9</v>
      </c>
      <c r="I12" s="58" t="s">
        <v>9</v>
      </c>
      <c r="J12" s="58" t="s">
        <v>9</v>
      </c>
      <c r="K12" s="58" t="s">
        <v>9</v>
      </c>
      <c r="L12" s="32" t="str">
        <f t="shared" si="4"/>
        <v>De Materialidade</v>
      </c>
      <c r="M12" s="32" t="str">
        <f t="shared" si="4"/>
        <v>Material Construtivo</v>
      </c>
      <c r="N12" s="32" t="str">
        <f t="shared" si="4"/>
        <v>Calhas Metálicas</v>
      </c>
      <c r="O12" s="32" t="str">
        <f t="shared" si="4"/>
        <v>Calha de Telecom</v>
      </c>
      <c r="P12" s="65" t="s">
        <v>435</v>
      </c>
      <c r="Q12" s="65" t="s">
        <v>436</v>
      </c>
      <c r="R12" s="65" t="s">
        <v>437</v>
      </c>
      <c r="S12" s="67" t="s">
        <v>9</v>
      </c>
      <c r="T12" s="29" t="str">
        <f t="shared" si="2"/>
        <v>De Materialidade</v>
      </c>
      <c r="U12" s="29" t="str">
        <f t="shared" si="2"/>
        <v>Material Construtivo</v>
      </c>
      <c r="V12" s="29" t="str">
        <f t="shared" si="2"/>
        <v>Calhas Metálicas</v>
      </c>
      <c r="W12" s="29" t="s">
        <v>152</v>
      </c>
      <c r="X12" s="57" t="str">
        <f t="shared" si="3"/>
        <v>Key-HIDR-12</v>
      </c>
      <c r="Y12" s="29" t="s">
        <v>414</v>
      </c>
      <c r="Z12" s="61" t="s">
        <v>9</v>
      </c>
      <c r="AA12" s="29" t="s">
        <v>368</v>
      </c>
      <c r="AB12" s="61" t="s">
        <v>9</v>
      </c>
      <c r="AC12" s="29" t="s">
        <v>415</v>
      </c>
      <c r="AD12" s="61" t="s">
        <v>9</v>
      </c>
    </row>
    <row r="13" spans="1:30" s="53" customFormat="1" ht="6" customHeight="1" x14ac:dyDescent="0.4">
      <c r="A13" s="56">
        <v>13</v>
      </c>
      <c r="B13" s="1" t="s">
        <v>243</v>
      </c>
      <c r="C13" s="1" t="s">
        <v>367</v>
      </c>
      <c r="D13" s="1" t="s">
        <v>382</v>
      </c>
      <c r="E13" s="1" t="s">
        <v>429</v>
      </c>
      <c r="F13" s="64" t="s">
        <v>438</v>
      </c>
      <c r="G13" s="58" t="s">
        <v>9</v>
      </c>
      <c r="H13" s="58" t="s">
        <v>9</v>
      </c>
      <c r="I13" s="58" t="s">
        <v>9</v>
      </c>
      <c r="J13" s="58" t="s">
        <v>9</v>
      </c>
      <c r="K13" s="58" t="s">
        <v>9</v>
      </c>
      <c r="L13" s="32" t="str">
        <f t="shared" si="4"/>
        <v>De Materialidade</v>
      </c>
      <c r="M13" s="32" t="str">
        <f t="shared" si="4"/>
        <v>Material Construtivo</v>
      </c>
      <c r="N13" s="32" t="str">
        <f t="shared" si="4"/>
        <v>Calhas Metálicas</v>
      </c>
      <c r="O13" s="32" t="str">
        <f t="shared" si="4"/>
        <v>Calha Leito de Elétrica</v>
      </c>
      <c r="P13" s="65" t="s">
        <v>439</v>
      </c>
      <c r="Q13" s="65" t="s">
        <v>440</v>
      </c>
      <c r="R13" s="65" t="s">
        <v>441</v>
      </c>
      <c r="S13" s="67" t="s">
        <v>9</v>
      </c>
      <c r="T13" s="29" t="str">
        <f t="shared" si="2"/>
        <v>De Materialidade</v>
      </c>
      <c r="U13" s="29" t="str">
        <f t="shared" si="2"/>
        <v>Material Construtivo</v>
      </c>
      <c r="V13" s="29" t="str">
        <f t="shared" si="2"/>
        <v>Calhas Metálicas</v>
      </c>
      <c r="W13" s="29" t="s">
        <v>152</v>
      </c>
      <c r="X13" s="57" t="str">
        <f t="shared" si="3"/>
        <v>Key-HIDR-13</v>
      </c>
      <c r="Y13" s="29" t="s">
        <v>414</v>
      </c>
      <c r="Z13" s="61" t="s">
        <v>9</v>
      </c>
      <c r="AA13" s="29" t="s">
        <v>368</v>
      </c>
      <c r="AB13" s="61" t="s">
        <v>9</v>
      </c>
      <c r="AC13" s="29" t="s">
        <v>415</v>
      </c>
      <c r="AD13" s="61" t="s">
        <v>9</v>
      </c>
    </row>
    <row r="14" spans="1:30" s="53" customFormat="1" ht="6" customHeight="1" x14ac:dyDescent="0.4">
      <c r="A14" s="56">
        <v>14</v>
      </c>
      <c r="B14" s="1" t="s">
        <v>243</v>
      </c>
      <c r="C14" s="1" t="s">
        <v>367</v>
      </c>
      <c r="D14" s="1" t="s">
        <v>382</v>
      </c>
      <c r="E14" s="1" t="s">
        <v>429</v>
      </c>
      <c r="F14" s="64" t="s">
        <v>442</v>
      </c>
      <c r="G14" s="58" t="s">
        <v>9</v>
      </c>
      <c r="H14" s="58" t="s">
        <v>9</v>
      </c>
      <c r="I14" s="58" t="s">
        <v>9</v>
      </c>
      <c r="J14" s="58" t="s">
        <v>9</v>
      </c>
      <c r="K14" s="58" t="s">
        <v>9</v>
      </c>
      <c r="L14" s="32" t="str">
        <f t="shared" si="4"/>
        <v>De Materialidade</v>
      </c>
      <c r="M14" s="32" t="str">
        <f t="shared" si="4"/>
        <v>Material Construtivo</v>
      </c>
      <c r="N14" s="32" t="str">
        <f t="shared" si="4"/>
        <v>Calhas Metálicas</v>
      </c>
      <c r="O14" s="32" t="str">
        <f t="shared" si="4"/>
        <v>Calha Leito de Telecom</v>
      </c>
      <c r="P14" s="65" t="s">
        <v>443</v>
      </c>
      <c r="Q14" s="65" t="s">
        <v>444</v>
      </c>
      <c r="R14" s="65" t="s">
        <v>445</v>
      </c>
      <c r="S14" s="67" t="s">
        <v>9</v>
      </c>
      <c r="T14" s="29" t="str">
        <f t="shared" si="2"/>
        <v>De Materialidade</v>
      </c>
      <c r="U14" s="29" t="str">
        <f t="shared" si="2"/>
        <v>Material Construtivo</v>
      </c>
      <c r="V14" s="29" t="str">
        <f t="shared" si="2"/>
        <v>Calhas Metálicas</v>
      </c>
      <c r="W14" s="29" t="s">
        <v>152</v>
      </c>
      <c r="X14" s="57" t="str">
        <f t="shared" si="3"/>
        <v>Key-HIDR-14</v>
      </c>
      <c r="Y14" s="29" t="s">
        <v>414</v>
      </c>
      <c r="Z14" s="61" t="s">
        <v>9</v>
      </c>
      <c r="AA14" s="29" t="s">
        <v>368</v>
      </c>
      <c r="AB14" s="61" t="s">
        <v>9</v>
      </c>
      <c r="AC14" s="29" t="s">
        <v>415</v>
      </c>
      <c r="AD14" s="61" t="s">
        <v>9</v>
      </c>
    </row>
    <row r="15" spans="1:30" s="53" customFormat="1" ht="6" customHeight="1" x14ac:dyDescent="0.4">
      <c r="A15" s="56">
        <v>15</v>
      </c>
      <c r="B15" s="1" t="s">
        <v>243</v>
      </c>
      <c r="C15" s="1" t="s">
        <v>367</v>
      </c>
      <c r="D15" s="1" t="s">
        <v>382</v>
      </c>
      <c r="E15" s="1" t="s">
        <v>446</v>
      </c>
      <c r="F15" s="64" t="s">
        <v>447</v>
      </c>
      <c r="G15" s="58" t="s">
        <v>9</v>
      </c>
      <c r="H15" s="58" t="s">
        <v>9</v>
      </c>
      <c r="I15" s="58" t="s">
        <v>9</v>
      </c>
      <c r="J15" s="58" t="s">
        <v>9</v>
      </c>
      <c r="K15" s="58" t="s">
        <v>9</v>
      </c>
      <c r="L15" s="32" t="str">
        <f t="shared" si="4"/>
        <v>De Materialidade</v>
      </c>
      <c r="M15" s="32" t="str">
        <f t="shared" si="4"/>
        <v>Material Construtivo</v>
      </c>
      <c r="N15" s="32" t="str">
        <f t="shared" si="4"/>
        <v>Calhas Plásticas</v>
      </c>
      <c r="O15" s="32" t="str">
        <f t="shared" si="4"/>
        <v>Canaleta de Elétrica</v>
      </c>
      <c r="P15" s="65" t="s">
        <v>448</v>
      </c>
      <c r="Q15" s="65" t="s">
        <v>449</v>
      </c>
      <c r="R15" s="65" t="s">
        <v>450</v>
      </c>
      <c r="S15" s="67" t="s">
        <v>9</v>
      </c>
      <c r="T15" s="29" t="str">
        <f t="shared" si="2"/>
        <v>De Materialidade</v>
      </c>
      <c r="U15" s="29" t="str">
        <f t="shared" si="2"/>
        <v>Material Construtivo</v>
      </c>
      <c r="V15" s="29" t="str">
        <f t="shared" si="2"/>
        <v>Calhas Plásticas</v>
      </c>
      <c r="W15" s="29" t="s">
        <v>152</v>
      </c>
      <c r="X15" s="57" t="str">
        <f t="shared" si="3"/>
        <v>Key-HIDR-15</v>
      </c>
      <c r="Y15" s="29" t="s">
        <v>414</v>
      </c>
      <c r="Z15" s="61" t="s">
        <v>9</v>
      </c>
      <c r="AA15" s="29" t="s">
        <v>368</v>
      </c>
      <c r="AB15" s="61" t="s">
        <v>9</v>
      </c>
      <c r="AC15" s="29" t="s">
        <v>415</v>
      </c>
      <c r="AD15" s="61" t="s">
        <v>9</v>
      </c>
    </row>
    <row r="16" spans="1:30" s="53" customFormat="1" ht="6" customHeight="1" x14ac:dyDescent="0.4">
      <c r="A16" s="56">
        <v>16</v>
      </c>
      <c r="B16" s="1" t="s">
        <v>243</v>
      </c>
      <c r="C16" s="1" t="s">
        <v>367</v>
      </c>
      <c r="D16" s="1" t="s">
        <v>382</v>
      </c>
      <c r="E16" s="1" t="s">
        <v>446</v>
      </c>
      <c r="F16" s="64" t="s">
        <v>451</v>
      </c>
      <c r="G16" s="58" t="s">
        <v>9</v>
      </c>
      <c r="H16" s="58" t="s">
        <v>9</v>
      </c>
      <c r="I16" s="58" t="s">
        <v>9</v>
      </c>
      <c r="J16" s="58" t="s">
        <v>9</v>
      </c>
      <c r="K16" s="58" t="s">
        <v>9</v>
      </c>
      <c r="L16" s="32" t="str">
        <f t="shared" si="4"/>
        <v>De Materialidade</v>
      </c>
      <c r="M16" s="32" t="str">
        <f t="shared" si="4"/>
        <v>Material Construtivo</v>
      </c>
      <c r="N16" s="32" t="str">
        <f t="shared" si="4"/>
        <v>Calhas Plásticas</v>
      </c>
      <c r="O16" s="32" t="str">
        <f t="shared" si="4"/>
        <v>Canaleta de Telecom</v>
      </c>
      <c r="P16" s="65" t="s">
        <v>452</v>
      </c>
      <c r="Q16" s="65" t="s">
        <v>453</v>
      </c>
      <c r="R16" s="65" t="s">
        <v>454</v>
      </c>
      <c r="S16" s="67" t="s">
        <v>9</v>
      </c>
      <c r="T16" s="29" t="str">
        <f t="shared" si="2"/>
        <v>De Materialidade</v>
      </c>
      <c r="U16" s="29" t="str">
        <f t="shared" si="2"/>
        <v>Material Construtivo</v>
      </c>
      <c r="V16" s="29" t="str">
        <f t="shared" si="2"/>
        <v>Calhas Plásticas</v>
      </c>
      <c r="W16" s="29" t="s">
        <v>152</v>
      </c>
      <c r="X16" s="57" t="str">
        <f t="shared" si="3"/>
        <v>Key-HIDR-16</v>
      </c>
      <c r="Y16" s="29" t="s">
        <v>414</v>
      </c>
      <c r="Z16" s="61" t="s">
        <v>9</v>
      </c>
      <c r="AA16" s="29" t="s">
        <v>368</v>
      </c>
      <c r="AB16" s="61" t="s">
        <v>9</v>
      </c>
      <c r="AC16" s="29" t="s">
        <v>415</v>
      </c>
      <c r="AD16" s="61" t="s">
        <v>9</v>
      </c>
    </row>
    <row r="17" spans="1:30" s="53" customFormat="1" ht="6" customHeight="1" x14ac:dyDescent="0.4">
      <c r="A17" s="56">
        <v>17</v>
      </c>
      <c r="B17" s="1" t="s">
        <v>243</v>
      </c>
      <c r="C17" s="1" t="s">
        <v>367</v>
      </c>
      <c r="D17" s="1" t="s">
        <v>382</v>
      </c>
      <c r="E17" s="1" t="s">
        <v>455</v>
      </c>
      <c r="F17" s="64" t="s">
        <v>456</v>
      </c>
      <c r="G17" s="58" t="s">
        <v>9</v>
      </c>
      <c r="H17" s="58" t="s">
        <v>9</v>
      </c>
      <c r="I17" s="58" t="s">
        <v>9</v>
      </c>
      <c r="J17" s="58" t="s">
        <v>9</v>
      </c>
      <c r="K17" s="58" t="s">
        <v>9</v>
      </c>
      <c r="L17" s="32" t="str">
        <f t="shared" si="4"/>
        <v>De Materialidade</v>
      </c>
      <c r="M17" s="32" t="str">
        <f t="shared" si="4"/>
        <v>Material Construtivo</v>
      </c>
      <c r="N17" s="32" t="str">
        <f t="shared" si="4"/>
        <v>Conduítes Flex</v>
      </c>
      <c r="O17" s="32" t="str">
        <f t="shared" si="4"/>
        <v>Conduíte Flexível de Elétrica</v>
      </c>
      <c r="P17" s="65" t="s">
        <v>457</v>
      </c>
      <c r="Q17" s="65" t="s">
        <v>458</v>
      </c>
      <c r="R17" s="65" t="s">
        <v>459</v>
      </c>
      <c r="S17" s="67" t="s">
        <v>9</v>
      </c>
      <c r="T17" s="29" t="str">
        <f t="shared" si="2"/>
        <v>De Materialidade</v>
      </c>
      <c r="U17" s="29" t="str">
        <f t="shared" si="2"/>
        <v>Material Construtivo</v>
      </c>
      <c r="V17" s="29" t="str">
        <f t="shared" si="2"/>
        <v>Conduítes Flex</v>
      </c>
      <c r="W17" s="29" t="s">
        <v>152</v>
      </c>
      <c r="X17" s="57" t="str">
        <f t="shared" si="3"/>
        <v>Key-HIDR-17</v>
      </c>
      <c r="Y17" s="29" t="s">
        <v>414</v>
      </c>
      <c r="Z17" s="61" t="s">
        <v>9</v>
      </c>
      <c r="AA17" s="29" t="s">
        <v>368</v>
      </c>
      <c r="AB17" s="61" t="s">
        <v>9</v>
      </c>
      <c r="AC17" s="29" t="s">
        <v>415</v>
      </c>
      <c r="AD17" s="61" t="s">
        <v>9</v>
      </c>
    </row>
    <row r="18" spans="1:30" s="53" customFormat="1" ht="6" customHeight="1" x14ac:dyDescent="0.4">
      <c r="A18" s="56">
        <v>18</v>
      </c>
      <c r="B18" s="1" t="s">
        <v>243</v>
      </c>
      <c r="C18" s="1" t="s">
        <v>367</v>
      </c>
      <c r="D18" s="1" t="s">
        <v>382</v>
      </c>
      <c r="E18" s="1" t="s">
        <v>455</v>
      </c>
      <c r="F18" s="64" t="s">
        <v>460</v>
      </c>
      <c r="G18" s="58" t="s">
        <v>9</v>
      </c>
      <c r="H18" s="58" t="s">
        <v>9</v>
      </c>
      <c r="I18" s="58" t="s">
        <v>9</v>
      </c>
      <c r="J18" s="58" t="s">
        <v>9</v>
      </c>
      <c r="K18" s="58" t="s">
        <v>9</v>
      </c>
      <c r="L18" s="32" t="str">
        <f t="shared" si="4"/>
        <v>De Materialidade</v>
      </c>
      <c r="M18" s="32" t="str">
        <f t="shared" si="4"/>
        <v>Material Construtivo</v>
      </c>
      <c r="N18" s="32" t="str">
        <f t="shared" si="4"/>
        <v>Conduítes Flex</v>
      </c>
      <c r="O18" s="32" t="str">
        <f t="shared" si="4"/>
        <v>Conduíte Flexível de Telecom</v>
      </c>
      <c r="P18" s="65" t="s">
        <v>461</v>
      </c>
      <c r="Q18" s="65" t="s">
        <v>462</v>
      </c>
      <c r="R18" s="65" t="s">
        <v>463</v>
      </c>
      <c r="S18" s="67" t="s">
        <v>9</v>
      </c>
      <c r="T18" s="29" t="str">
        <f t="shared" ref="T18:V49" si="5">SUBSTITUTE(C18, ".", " ")</f>
        <v>De Materialidade</v>
      </c>
      <c r="U18" s="29" t="str">
        <f t="shared" si="5"/>
        <v>Material Construtivo</v>
      </c>
      <c r="V18" s="29" t="str">
        <f t="shared" si="5"/>
        <v>Conduítes Flex</v>
      </c>
      <c r="W18" s="29" t="s">
        <v>152</v>
      </c>
      <c r="X18" s="57" t="str">
        <f t="shared" si="3"/>
        <v>Key-HIDR-18</v>
      </c>
      <c r="Y18" s="29" t="s">
        <v>414</v>
      </c>
      <c r="Z18" s="61" t="s">
        <v>9</v>
      </c>
      <c r="AA18" s="29" t="s">
        <v>368</v>
      </c>
      <c r="AB18" s="61" t="s">
        <v>9</v>
      </c>
      <c r="AC18" s="29" t="s">
        <v>415</v>
      </c>
      <c r="AD18" s="61" t="s">
        <v>9</v>
      </c>
    </row>
    <row r="19" spans="1:30" s="53" customFormat="1" ht="6" customHeight="1" x14ac:dyDescent="0.4">
      <c r="A19" s="56">
        <v>19</v>
      </c>
      <c r="B19" s="1" t="s">
        <v>243</v>
      </c>
      <c r="C19" s="1" t="s">
        <v>367</v>
      </c>
      <c r="D19" s="1" t="s">
        <v>382</v>
      </c>
      <c r="E19" s="1" t="s">
        <v>464</v>
      </c>
      <c r="F19" s="64" t="s">
        <v>465</v>
      </c>
      <c r="G19" s="58" t="s">
        <v>9</v>
      </c>
      <c r="H19" s="58" t="s">
        <v>9</v>
      </c>
      <c r="I19" s="58" t="s">
        <v>9</v>
      </c>
      <c r="J19" s="58" t="s">
        <v>9</v>
      </c>
      <c r="K19" s="58" t="s">
        <v>9</v>
      </c>
      <c r="L19" s="32" t="str">
        <f t="shared" si="4"/>
        <v>De Materialidade</v>
      </c>
      <c r="M19" s="32" t="str">
        <f t="shared" si="4"/>
        <v>Material Construtivo</v>
      </c>
      <c r="N19" s="32" t="str">
        <f t="shared" si="4"/>
        <v>Conduítes Rígidos</v>
      </c>
      <c r="O19" s="32" t="str">
        <f t="shared" si="4"/>
        <v>Conduíte Rígido de Elétrica</v>
      </c>
      <c r="P19" s="65" t="s">
        <v>466</v>
      </c>
      <c r="Q19" s="65" t="s">
        <v>467</v>
      </c>
      <c r="R19" s="65" t="s">
        <v>468</v>
      </c>
      <c r="S19" s="67" t="s">
        <v>9</v>
      </c>
      <c r="T19" s="29" t="str">
        <f t="shared" si="5"/>
        <v>De Materialidade</v>
      </c>
      <c r="U19" s="29" t="str">
        <f t="shared" si="5"/>
        <v>Material Construtivo</v>
      </c>
      <c r="V19" s="29" t="str">
        <f t="shared" si="5"/>
        <v>Conduítes Rígidos</v>
      </c>
      <c r="W19" s="29" t="s">
        <v>152</v>
      </c>
      <c r="X19" s="57" t="str">
        <f t="shared" si="3"/>
        <v>Key-HIDR-19</v>
      </c>
      <c r="Y19" s="29" t="s">
        <v>414</v>
      </c>
      <c r="Z19" s="61" t="s">
        <v>9</v>
      </c>
      <c r="AA19" s="29" t="s">
        <v>368</v>
      </c>
      <c r="AB19" s="61" t="s">
        <v>9</v>
      </c>
      <c r="AC19" s="29" t="s">
        <v>415</v>
      </c>
      <c r="AD19" s="61" t="s">
        <v>9</v>
      </c>
    </row>
    <row r="20" spans="1:30" s="53" customFormat="1" ht="6" customHeight="1" x14ac:dyDescent="0.4">
      <c r="A20" s="56">
        <v>20</v>
      </c>
      <c r="B20" s="1" t="s">
        <v>243</v>
      </c>
      <c r="C20" s="1" t="s">
        <v>367</v>
      </c>
      <c r="D20" s="1" t="s">
        <v>382</v>
      </c>
      <c r="E20" s="1" t="s">
        <v>464</v>
      </c>
      <c r="F20" s="64" t="s">
        <v>469</v>
      </c>
      <c r="G20" s="58" t="s">
        <v>9</v>
      </c>
      <c r="H20" s="58" t="s">
        <v>9</v>
      </c>
      <c r="I20" s="58" t="s">
        <v>9</v>
      </c>
      <c r="J20" s="58" t="s">
        <v>9</v>
      </c>
      <c r="K20" s="58" t="s">
        <v>9</v>
      </c>
      <c r="L20" s="32" t="str">
        <f t="shared" si="4"/>
        <v>De Materialidade</v>
      </c>
      <c r="M20" s="32" t="str">
        <f t="shared" si="4"/>
        <v>Material Construtivo</v>
      </c>
      <c r="N20" s="32" t="str">
        <f t="shared" si="4"/>
        <v>Conduítes Rígidos</v>
      </c>
      <c r="O20" s="32" t="str">
        <f t="shared" si="4"/>
        <v>Conduíte Rígido de Telecom</v>
      </c>
      <c r="P20" s="65" t="s">
        <v>470</v>
      </c>
      <c r="Q20" s="65" t="s">
        <v>471</v>
      </c>
      <c r="R20" s="65" t="s">
        <v>472</v>
      </c>
      <c r="S20" s="67" t="s">
        <v>9</v>
      </c>
      <c r="T20" s="29" t="str">
        <f t="shared" si="5"/>
        <v>De Materialidade</v>
      </c>
      <c r="U20" s="29" t="str">
        <f t="shared" si="5"/>
        <v>Material Construtivo</v>
      </c>
      <c r="V20" s="29" t="str">
        <f t="shared" si="5"/>
        <v>Conduítes Rígidos</v>
      </c>
      <c r="W20" s="29" t="s">
        <v>152</v>
      </c>
      <c r="X20" s="57" t="str">
        <f t="shared" si="3"/>
        <v>Key-HIDR-20</v>
      </c>
      <c r="Y20" s="29" t="s">
        <v>414</v>
      </c>
      <c r="Z20" s="61" t="s">
        <v>9</v>
      </c>
      <c r="AA20" s="29" t="s">
        <v>368</v>
      </c>
      <c r="AB20" s="61" t="s">
        <v>9</v>
      </c>
      <c r="AC20" s="29" t="s">
        <v>415</v>
      </c>
      <c r="AD20" s="61" t="s">
        <v>9</v>
      </c>
    </row>
    <row r="21" spans="1:30" s="53" customFormat="1" ht="6" customHeight="1" x14ac:dyDescent="0.4">
      <c r="A21" s="56">
        <v>21</v>
      </c>
      <c r="B21" s="1" t="s">
        <v>243</v>
      </c>
      <c r="C21" s="1" t="s">
        <v>367</v>
      </c>
      <c r="D21" s="1" t="s">
        <v>382</v>
      </c>
      <c r="E21" s="1" t="s">
        <v>473</v>
      </c>
      <c r="F21" s="64" t="s">
        <v>474</v>
      </c>
      <c r="G21" s="58" t="s">
        <v>9</v>
      </c>
      <c r="H21" s="58" t="s">
        <v>9</v>
      </c>
      <c r="I21" s="58" t="s">
        <v>9</v>
      </c>
      <c r="J21" s="58" t="s">
        <v>9</v>
      </c>
      <c r="K21" s="58" t="s">
        <v>9</v>
      </c>
      <c r="L21" s="32" t="str">
        <f t="shared" si="4"/>
        <v>De Materialidade</v>
      </c>
      <c r="M21" s="32" t="str">
        <f t="shared" si="4"/>
        <v>Material Construtivo</v>
      </c>
      <c r="N21" s="32" t="str">
        <f t="shared" si="4"/>
        <v>Fiações Metálicas</v>
      </c>
      <c r="O21" s="32" t="str">
        <f t="shared" si="4"/>
        <v>Fiação de Elétrica</v>
      </c>
      <c r="P21" s="65" t="s">
        <v>475</v>
      </c>
      <c r="Q21" s="65" t="s">
        <v>476</v>
      </c>
      <c r="R21" s="65" t="s">
        <v>477</v>
      </c>
      <c r="S21" s="67" t="s">
        <v>9</v>
      </c>
      <c r="T21" s="29" t="str">
        <f t="shared" si="5"/>
        <v>De Materialidade</v>
      </c>
      <c r="U21" s="29" t="str">
        <f t="shared" si="5"/>
        <v>Material Construtivo</v>
      </c>
      <c r="V21" s="29" t="str">
        <f t="shared" si="5"/>
        <v>Fiações Metálicas</v>
      </c>
      <c r="W21" s="29" t="s">
        <v>152</v>
      </c>
      <c r="X21" s="57" t="str">
        <f t="shared" si="3"/>
        <v>Key-HIDR-21</v>
      </c>
      <c r="Y21" s="29" t="s">
        <v>414</v>
      </c>
      <c r="Z21" s="61" t="s">
        <v>9</v>
      </c>
      <c r="AA21" s="29" t="s">
        <v>368</v>
      </c>
      <c r="AB21" s="61" t="s">
        <v>9</v>
      </c>
      <c r="AC21" s="29" t="s">
        <v>415</v>
      </c>
      <c r="AD21" s="61" t="s">
        <v>9</v>
      </c>
    </row>
    <row r="22" spans="1:30" s="53" customFormat="1" ht="6" customHeight="1" x14ac:dyDescent="0.4">
      <c r="A22" s="56">
        <v>22</v>
      </c>
      <c r="B22" s="1" t="s">
        <v>243</v>
      </c>
      <c r="C22" s="1" t="s">
        <v>367</v>
      </c>
      <c r="D22" s="1" t="s">
        <v>382</v>
      </c>
      <c r="E22" s="1" t="s">
        <v>473</v>
      </c>
      <c r="F22" s="64" t="s">
        <v>478</v>
      </c>
      <c r="G22" s="58" t="s">
        <v>9</v>
      </c>
      <c r="H22" s="58" t="s">
        <v>9</v>
      </c>
      <c r="I22" s="58" t="s">
        <v>9</v>
      </c>
      <c r="J22" s="58" t="s">
        <v>9</v>
      </c>
      <c r="K22" s="58" t="s">
        <v>9</v>
      </c>
      <c r="L22" s="32" t="str">
        <f t="shared" si="4"/>
        <v>De Materialidade</v>
      </c>
      <c r="M22" s="32" t="str">
        <f t="shared" si="4"/>
        <v>Material Construtivo</v>
      </c>
      <c r="N22" s="32" t="str">
        <f t="shared" si="4"/>
        <v>Fiações Metálicas</v>
      </c>
      <c r="O22" s="32" t="str">
        <f t="shared" si="4"/>
        <v>Fiação de Telecom</v>
      </c>
      <c r="P22" s="65" t="s">
        <v>479</v>
      </c>
      <c r="Q22" s="65" t="s">
        <v>480</v>
      </c>
      <c r="R22" s="65" t="s">
        <v>481</v>
      </c>
      <c r="S22" s="67" t="s">
        <v>9</v>
      </c>
      <c r="T22" s="29" t="str">
        <f t="shared" si="5"/>
        <v>De Materialidade</v>
      </c>
      <c r="U22" s="29" t="str">
        <f t="shared" si="5"/>
        <v>Material Construtivo</v>
      </c>
      <c r="V22" s="29" t="str">
        <f t="shared" si="5"/>
        <v>Fiações Metálicas</v>
      </c>
      <c r="W22" s="29" t="s">
        <v>152</v>
      </c>
      <c r="X22" s="57" t="str">
        <f t="shared" si="3"/>
        <v>Key-HIDR-22</v>
      </c>
      <c r="Y22" s="29" t="s">
        <v>414</v>
      </c>
      <c r="Z22" s="61" t="s">
        <v>9</v>
      </c>
      <c r="AA22" s="29" t="s">
        <v>368</v>
      </c>
      <c r="AB22" s="61" t="s">
        <v>9</v>
      </c>
      <c r="AC22" s="29" t="s">
        <v>415</v>
      </c>
      <c r="AD22" s="61" t="s">
        <v>9</v>
      </c>
    </row>
    <row r="23" spans="1:30" s="53" customFormat="1" ht="6" customHeight="1" x14ac:dyDescent="0.4">
      <c r="A23" s="56">
        <v>23</v>
      </c>
      <c r="B23" s="1" t="s">
        <v>243</v>
      </c>
      <c r="C23" s="1" t="s">
        <v>367</v>
      </c>
      <c r="D23" s="1" t="s">
        <v>382</v>
      </c>
      <c r="E23" s="1" t="s">
        <v>482</v>
      </c>
      <c r="F23" s="63" t="s">
        <v>483</v>
      </c>
      <c r="G23" s="58" t="s">
        <v>9</v>
      </c>
      <c r="H23" s="58" t="s">
        <v>9</v>
      </c>
      <c r="I23" s="58" t="s">
        <v>9</v>
      </c>
      <c r="J23" s="58" t="s">
        <v>9</v>
      </c>
      <c r="K23" s="58" t="s">
        <v>9</v>
      </c>
      <c r="L23" s="65" t="str">
        <f>_xlfn.CONCAT(SUBSTITUTE(C23,"1.",""))</f>
        <v>De.Materialidade</v>
      </c>
      <c r="M23" s="65" t="str">
        <f t="shared" ref="M23:O24" si="6">_xlfn.CONCAT(SUBSTITUTE(D23,"."," "))</f>
        <v>Material Construtivo</v>
      </c>
      <c r="N23" s="65" t="str">
        <f t="shared" si="6"/>
        <v>Ligas Estruturais</v>
      </c>
      <c r="O23" s="65" t="str">
        <f t="shared" si="6"/>
        <v>Aço Estrutural</v>
      </c>
      <c r="P23" s="65" t="s">
        <v>484</v>
      </c>
      <c r="Q23" s="65" t="s">
        <v>485</v>
      </c>
      <c r="R23" s="65" t="s">
        <v>486</v>
      </c>
      <c r="S23" s="67" t="s">
        <v>9</v>
      </c>
      <c r="T23" s="29" t="str">
        <f t="shared" si="5"/>
        <v>De Materialidade</v>
      </c>
      <c r="U23" s="29" t="str">
        <f t="shared" si="5"/>
        <v>Material Construtivo</v>
      </c>
      <c r="V23" s="29" t="str">
        <f t="shared" si="5"/>
        <v>Ligas Estruturais</v>
      </c>
      <c r="W23" s="29" t="s">
        <v>152</v>
      </c>
      <c r="X23" s="57" t="str">
        <f t="shared" si="3"/>
        <v>Key-HIDR-23</v>
      </c>
      <c r="Y23" s="29" t="s">
        <v>487</v>
      </c>
      <c r="Z23" s="61" t="s">
        <v>9</v>
      </c>
      <c r="AA23" s="29" t="s">
        <v>488</v>
      </c>
      <c r="AB23" s="61" t="s">
        <v>9</v>
      </c>
      <c r="AC23" s="29" t="s">
        <v>9</v>
      </c>
      <c r="AD23" s="29" t="s">
        <v>9</v>
      </c>
    </row>
    <row r="24" spans="1:30" s="53" customFormat="1" ht="6" customHeight="1" x14ac:dyDescent="0.4">
      <c r="A24" s="56">
        <v>24</v>
      </c>
      <c r="B24" s="1" t="s">
        <v>243</v>
      </c>
      <c r="C24" s="1" t="s">
        <v>367</v>
      </c>
      <c r="D24" s="1" t="s">
        <v>382</v>
      </c>
      <c r="E24" s="1" t="s">
        <v>482</v>
      </c>
      <c r="F24" s="63" t="s">
        <v>489</v>
      </c>
      <c r="G24" s="58" t="s">
        <v>9</v>
      </c>
      <c r="H24" s="58" t="s">
        <v>9</v>
      </c>
      <c r="I24" s="58" t="s">
        <v>9</v>
      </c>
      <c r="J24" s="58" t="s">
        <v>9</v>
      </c>
      <c r="K24" s="58" t="s">
        <v>9</v>
      </c>
      <c r="L24" s="65" t="str">
        <f>_xlfn.CONCAT(SUBSTITUTE(C24,"1.",""))</f>
        <v>De.Materialidade</v>
      </c>
      <c r="M24" s="65" t="str">
        <f t="shared" si="6"/>
        <v>Material Construtivo</v>
      </c>
      <c r="N24" s="65" t="str">
        <f t="shared" si="6"/>
        <v>Ligas Estruturais</v>
      </c>
      <c r="O24" s="65" t="str">
        <f t="shared" si="6"/>
        <v>Alumínio Estrutural</v>
      </c>
      <c r="P24" s="65" t="s">
        <v>490</v>
      </c>
      <c r="Q24" s="65" t="s">
        <v>491</v>
      </c>
      <c r="R24" s="65" t="s">
        <v>492</v>
      </c>
      <c r="S24" s="67" t="s">
        <v>9</v>
      </c>
      <c r="T24" s="29" t="str">
        <f t="shared" si="5"/>
        <v>De Materialidade</v>
      </c>
      <c r="U24" s="29" t="str">
        <f t="shared" si="5"/>
        <v>Material Construtivo</v>
      </c>
      <c r="V24" s="29" t="str">
        <f t="shared" si="5"/>
        <v>Ligas Estruturais</v>
      </c>
      <c r="W24" s="29" t="s">
        <v>152</v>
      </c>
      <c r="X24" s="57" t="str">
        <f t="shared" si="3"/>
        <v>Key-HIDR-24</v>
      </c>
      <c r="Y24" s="29" t="s">
        <v>487</v>
      </c>
      <c r="Z24" s="61" t="s">
        <v>9</v>
      </c>
      <c r="AA24" s="29" t="s">
        <v>488</v>
      </c>
      <c r="AB24" s="61" t="s">
        <v>9</v>
      </c>
      <c r="AC24" s="29" t="s">
        <v>9</v>
      </c>
      <c r="AD24" s="29" t="s">
        <v>9</v>
      </c>
    </row>
    <row r="25" spans="1:30" s="53" customFormat="1" ht="6" customHeight="1" x14ac:dyDescent="0.4">
      <c r="A25" s="56">
        <v>25</v>
      </c>
      <c r="B25" s="1" t="s">
        <v>243</v>
      </c>
      <c r="C25" s="1" t="s">
        <v>367</v>
      </c>
      <c r="D25" s="1" t="s">
        <v>382</v>
      </c>
      <c r="E25" s="1" t="s">
        <v>493</v>
      </c>
      <c r="F25" s="64" t="s">
        <v>494</v>
      </c>
      <c r="G25" s="7" t="s">
        <v>9</v>
      </c>
      <c r="H25" s="7" t="s">
        <v>9</v>
      </c>
      <c r="I25" s="7" t="s">
        <v>9</v>
      </c>
      <c r="J25" s="7" t="s">
        <v>9</v>
      </c>
      <c r="K25" s="7" t="s">
        <v>9</v>
      </c>
      <c r="L25" s="32" t="str">
        <f t="shared" ref="L25:M29" si="7">CONCATENATE("", C25)</f>
        <v>De.Materialidade</v>
      </c>
      <c r="M25" s="32" t="str">
        <f t="shared" si="7"/>
        <v>Material.Construtivo</v>
      </c>
      <c r="N25" s="32" t="str">
        <f t="shared" ref="N25:O29" si="8">(SUBSTITUTE(SUBSTITUTE(CONCATENATE("",E25),"."," ")," De "," de "))</f>
        <v>Materiais Adesivos</v>
      </c>
      <c r="O25" s="32" t="str">
        <f t="shared" si="8"/>
        <v>Cola Espuma</v>
      </c>
      <c r="P25" s="28" t="s">
        <v>495</v>
      </c>
      <c r="Q25" s="65" t="s">
        <v>496</v>
      </c>
      <c r="R25" s="65" t="s">
        <v>497</v>
      </c>
      <c r="S25" s="67" t="s">
        <v>9</v>
      </c>
      <c r="T25" s="60" t="str">
        <f t="shared" si="5"/>
        <v>De Materialidade</v>
      </c>
      <c r="U25" s="60" t="str">
        <f t="shared" si="5"/>
        <v>Material Construtivo</v>
      </c>
      <c r="V25" s="60" t="str">
        <f t="shared" si="5"/>
        <v>Materiais Adesivos</v>
      </c>
      <c r="W25" s="29" t="s">
        <v>152</v>
      </c>
      <c r="X25" s="57" t="str">
        <f t="shared" si="3"/>
        <v>Key-HIDR-25</v>
      </c>
      <c r="Y25" s="29" t="s">
        <v>498</v>
      </c>
      <c r="Z25" s="60" t="s">
        <v>9</v>
      </c>
      <c r="AA25" s="60" t="s">
        <v>499</v>
      </c>
      <c r="AB25" s="60" t="s">
        <v>9</v>
      </c>
      <c r="AC25" s="60" t="s">
        <v>390</v>
      </c>
      <c r="AD25" s="60" t="s">
        <v>9</v>
      </c>
    </row>
    <row r="26" spans="1:30" s="53" customFormat="1" ht="6" customHeight="1" x14ac:dyDescent="0.4">
      <c r="A26" s="56">
        <v>26</v>
      </c>
      <c r="B26" s="1" t="s">
        <v>243</v>
      </c>
      <c r="C26" s="1" t="s">
        <v>367</v>
      </c>
      <c r="D26" s="1" t="s">
        <v>382</v>
      </c>
      <c r="E26" s="1" t="s">
        <v>493</v>
      </c>
      <c r="F26" s="64" t="s">
        <v>500</v>
      </c>
      <c r="G26" s="7" t="s">
        <v>9</v>
      </c>
      <c r="H26" s="7" t="s">
        <v>9</v>
      </c>
      <c r="I26" s="7" t="s">
        <v>9</v>
      </c>
      <c r="J26" s="7" t="s">
        <v>9</v>
      </c>
      <c r="K26" s="7" t="s">
        <v>9</v>
      </c>
      <c r="L26" s="32" t="str">
        <f t="shared" si="7"/>
        <v>De.Materialidade</v>
      </c>
      <c r="M26" s="32" t="str">
        <f t="shared" si="7"/>
        <v>Material.Construtivo</v>
      </c>
      <c r="N26" s="32" t="str">
        <f t="shared" si="8"/>
        <v>Materiais Adesivos</v>
      </c>
      <c r="O26" s="32" t="str">
        <f t="shared" si="8"/>
        <v>Cola Louça</v>
      </c>
      <c r="P26" s="28" t="s">
        <v>501</v>
      </c>
      <c r="Q26" s="65" t="s">
        <v>502</v>
      </c>
      <c r="R26" s="65" t="s">
        <v>503</v>
      </c>
      <c r="S26" s="67" t="s">
        <v>9</v>
      </c>
      <c r="T26" s="60" t="str">
        <f t="shared" si="5"/>
        <v>De Materialidade</v>
      </c>
      <c r="U26" s="60" t="str">
        <f t="shared" si="5"/>
        <v>Material Construtivo</v>
      </c>
      <c r="V26" s="60" t="str">
        <f t="shared" si="5"/>
        <v>Materiais Adesivos</v>
      </c>
      <c r="W26" s="29" t="s">
        <v>152</v>
      </c>
      <c r="X26" s="57" t="str">
        <f t="shared" si="3"/>
        <v>Key-HIDR-26</v>
      </c>
      <c r="Y26" s="29" t="s">
        <v>498</v>
      </c>
      <c r="Z26" s="60" t="s">
        <v>9</v>
      </c>
      <c r="AA26" s="60" t="s">
        <v>499</v>
      </c>
      <c r="AB26" s="60" t="s">
        <v>9</v>
      </c>
      <c r="AC26" s="60" t="s">
        <v>390</v>
      </c>
      <c r="AD26" s="60" t="s">
        <v>9</v>
      </c>
    </row>
    <row r="27" spans="1:30" s="53" customFormat="1" ht="6" customHeight="1" x14ac:dyDescent="0.4">
      <c r="A27" s="56">
        <v>27</v>
      </c>
      <c r="B27" s="1" t="s">
        <v>243</v>
      </c>
      <c r="C27" s="1" t="s">
        <v>367</v>
      </c>
      <c r="D27" s="1" t="s">
        <v>382</v>
      </c>
      <c r="E27" s="1" t="s">
        <v>493</v>
      </c>
      <c r="F27" s="64" t="s">
        <v>504</v>
      </c>
      <c r="G27" s="7" t="s">
        <v>9</v>
      </c>
      <c r="H27" s="7" t="s">
        <v>9</v>
      </c>
      <c r="I27" s="7" t="s">
        <v>9</v>
      </c>
      <c r="J27" s="7" t="s">
        <v>9</v>
      </c>
      <c r="K27" s="7" t="s">
        <v>9</v>
      </c>
      <c r="L27" s="32" t="str">
        <f t="shared" si="7"/>
        <v>De.Materialidade</v>
      </c>
      <c r="M27" s="32" t="str">
        <f t="shared" si="7"/>
        <v>Material.Construtivo</v>
      </c>
      <c r="N27" s="32" t="str">
        <f t="shared" si="8"/>
        <v>Materiais Adesivos</v>
      </c>
      <c r="O27" s="32" t="str">
        <f t="shared" si="8"/>
        <v>Cola Madeira</v>
      </c>
      <c r="P27" s="28" t="s">
        <v>505</v>
      </c>
      <c r="Q27" s="65" t="s">
        <v>506</v>
      </c>
      <c r="R27" s="65" t="s">
        <v>507</v>
      </c>
      <c r="S27" s="67" t="s">
        <v>9</v>
      </c>
      <c r="T27" s="60" t="str">
        <f t="shared" si="5"/>
        <v>De Materialidade</v>
      </c>
      <c r="U27" s="60" t="str">
        <f t="shared" si="5"/>
        <v>Material Construtivo</v>
      </c>
      <c r="V27" s="60" t="str">
        <f t="shared" si="5"/>
        <v>Materiais Adesivos</v>
      </c>
      <c r="W27" s="29" t="s">
        <v>152</v>
      </c>
      <c r="X27" s="57" t="str">
        <f t="shared" si="3"/>
        <v>Key-HIDR-27</v>
      </c>
      <c r="Y27" s="29" t="s">
        <v>498</v>
      </c>
      <c r="Z27" s="60" t="s">
        <v>9</v>
      </c>
      <c r="AA27" s="60" t="s">
        <v>499</v>
      </c>
      <c r="AB27" s="60" t="s">
        <v>9</v>
      </c>
      <c r="AC27" s="60" t="s">
        <v>390</v>
      </c>
      <c r="AD27" s="60" t="s">
        <v>9</v>
      </c>
    </row>
    <row r="28" spans="1:30" s="53" customFormat="1" ht="6" customHeight="1" x14ac:dyDescent="0.4">
      <c r="A28" s="56">
        <v>28</v>
      </c>
      <c r="B28" s="1" t="s">
        <v>243</v>
      </c>
      <c r="C28" s="1" t="s">
        <v>367</v>
      </c>
      <c r="D28" s="1" t="s">
        <v>382</v>
      </c>
      <c r="E28" s="1" t="s">
        <v>493</v>
      </c>
      <c r="F28" s="64" t="s">
        <v>508</v>
      </c>
      <c r="G28" s="7" t="s">
        <v>9</v>
      </c>
      <c r="H28" s="7" t="s">
        <v>9</v>
      </c>
      <c r="I28" s="7" t="s">
        <v>9</v>
      </c>
      <c r="J28" s="7" t="s">
        <v>9</v>
      </c>
      <c r="K28" s="7" t="s">
        <v>9</v>
      </c>
      <c r="L28" s="32" t="str">
        <f t="shared" si="7"/>
        <v>De.Materialidade</v>
      </c>
      <c r="M28" s="32" t="str">
        <f t="shared" si="7"/>
        <v>Material.Construtivo</v>
      </c>
      <c r="N28" s="32" t="str">
        <f t="shared" si="8"/>
        <v>Materiais Adesivos</v>
      </c>
      <c r="O28" s="32" t="str">
        <f t="shared" si="8"/>
        <v>Cola Metal</v>
      </c>
      <c r="P28" s="28" t="s">
        <v>509</v>
      </c>
      <c r="Q28" s="65" t="s">
        <v>510</v>
      </c>
      <c r="R28" s="65" t="s">
        <v>511</v>
      </c>
      <c r="S28" s="67" t="s">
        <v>9</v>
      </c>
      <c r="T28" s="60" t="str">
        <f t="shared" si="5"/>
        <v>De Materialidade</v>
      </c>
      <c r="U28" s="60" t="str">
        <f t="shared" si="5"/>
        <v>Material Construtivo</v>
      </c>
      <c r="V28" s="60" t="str">
        <f t="shared" si="5"/>
        <v>Materiais Adesivos</v>
      </c>
      <c r="W28" s="29" t="s">
        <v>152</v>
      </c>
      <c r="X28" s="57" t="str">
        <f t="shared" si="3"/>
        <v>Key-HIDR-28</v>
      </c>
      <c r="Y28" s="29" t="s">
        <v>498</v>
      </c>
      <c r="Z28" s="60" t="s">
        <v>9</v>
      </c>
      <c r="AA28" s="60" t="s">
        <v>499</v>
      </c>
      <c r="AB28" s="60" t="s">
        <v>9</v>
      </c>
      <c r="AC28" s="60" t="s">
        <v>390</v>
      </c>
      <c r="AD28" s="60" t="s">
        <v>9</v>
      </c>
    </row>
    <row r="29" spans="1:30" s="68" customFormat="1" ht="6" customHeight="1" x14ac:dyDescent="0.4">
      <c r="A29" s="56">
        <v>29</v>
      </c>
      <c r="B29" s="1" t="s">
        <v>243</v>
      </c>
      <c r="C29" s="1" t="s">
        <v>367</v>
      </c>
      <c r="D29" s="1" t="s">
        <v>382</v>
      </c>
      <c r="E29" s="1" t="s">
        <v>493</v>
      </c>
      <c r="F29" s="64" t="s">
        <v>512</v>
      </c>
      <c r="G29" s="7" t="s">
        <v>9</v>
      </c>
      <c r="H29" s="7" t="s">
        <v>9</v>
      </c>
      <c r="I29" s="7" t="s">
        <v>9</v>
      </c>
      <c r="J29" s="7" t="s">
        <v>9</v>
      </c>
      <c r="K29" s="7" t="s">
        <v>9</v>
      </c>
      <c r="L29" s="32" t="str">
        <f t="shared" si="7"/>
        <v>De.Materialidade</v>
      </c>
      <c r="M29" s="32" t="str">
        <f t="shared" si="7"/>
        <v>Material.Construtivo</v>
      </c>
      <c r="N29" s="32" t="str">
        <f t="shared" si="8"/>
        <v>Materiais Adesivos</v>
      </c>
      <c r="O29" s="32" t="str">
        <f t="shared" si="8"/>
        <v>Cola Textil</v>
      </c>
      <c r="P29" s="28" t="s">
        <v>513</v>
      </c>
      <c r="Q29" s="65" t="s">
        <v>514</v>
      </c>
      <c r="R29" s="65" t="s">
        <v>515</v>
      </c>
      <c r="S29" s="67" t="s">
        <v>9</v>
      </c>
      <c r="T29" s="60" t="str">
        <f t="shared" si="5"/>
        <v>De Materialidade</v>
      </c>
      <c r="U29" s="60" t="str">
        <f t="shared" si="5"/>
        <v>Material Construtivo</v>
      </c>
      <c r="V29" s="60" t="str">
        <f t="shared" si="5"/>
        <v>Materiais Adesivos</v>
      </c>
      <c r="W29" s="29" t="s">
        <v>152</v>
      </c>
      <c r="X29" s="57" t="str">
        <f t="shared" si="3"/>
        <v>Key-HIDR-29</v>
      </c>
      <c r="Y29" s="29" t="s">
        <v>498</v>
      </c>
      <c r="Z29" s="60" t="s">
        <v>9</v>
      </c>
      <c r="AA29" s="60" t="s">
        <v>499</v>
      </c>
      <c r="AB29" s="60" t="s">
        <v>9</v>
      </c>
      <c r="AC29" s="60" t="s">
        <v>390</v>
      </c>
      <c r="AD29" s="60" t="s">
        <v>9</v>
      </c>
    </row>
    <row r="30" spans="1:30" s="68" customFormat="1" ht="6" customHeight="1" x14ac:dyDescent="0.4">
      <c r="A30" s="56">
        <v>30</v>
      </c>
      <c r="B30" s="1" t="s">
        <v>243</v>
      </c>
      <c r="C30" s="1" t="s">
        <v>367</v>
      </c>
      <c r="D30" s="1" t="s">
        <v>382</v>
      </c>
      <c r="E30" s="1" t="s">
        <v>516</v>
      </c>
      <c r="F30" s="66" t="s">
        <v>517</v>
      </c>
      <c r="G30" s="58" t="s">
        <v>9</v>
      </c>
      <c r="H30" s="58" t="s">
        <v>9</v>
      </c>
      <c r="I30" s="58" t="s">
        <v>9</v>
      </c>
      <c r="J30" s="58" t="s">
        <v>9</v>
      </c>
      <c r="K30" s="58" t="s">
        <v>9</v>
      </c>
      <c r="L30" s="32" t="str">
        <f t="shared" ref="L30:O62" si="9">SUBSTITUTE(CONCATENATE("", C30), ".", " ")</f>
        <v>De Materialidade</v>
      </c>
      <c r="M30" s="32" t="str">
        <f t="shared" si="9"/>
        <v>Material Construtivo</v>
      </c>
      <c r="N30" s="32" t="str">
        <f t="shared" si="9"/>
        <v>Materiais Espumados</v>
      </c>
      <c r="O30" s="32" t="str">
        <f t="shared" si="9"/>
        <v>Espuma Expandida</v>
      </c>
      <c r="P30" s="60" t="s">
        <v>518</v>
      </c>
      <c r="Q30" s="65" t="s">
        <v>519</v>
      </c>
      <c r="R30" s="65" t="s">
        <v>520</v>
      </c>
      <c r="S30" s="67" t="s">
        <v>9</v>
      </c>
      <c r="T30" s="29" t="str">
        <f t="shared" si="5"/>
        <v>De Materialidade</v>
      </c>
      <c r="U30" s="29" t="str">
        <f t="shared" si="5"/>
        <v>Material Construtivo</v>
      </c>
      <c r="V30" s="29" t="str">
        <f t="shared" si="5"/>
        <v>Materiais Espumados</v>
      </c>
      <c r="W30" s="29" t="s">
        <v>152</v>
      </c>
      <c r="X30" s="57" t="str">
        <f t="shared" si="3"/>
        <v>Key-HIDR-30</v>
      </c>
      <c r="Y30" s="29" t="s">
        <v>521</v>
      </c>
      <c r="Z30" s="61" t="s">
        <v>9</v>
      </c>
      <c r="AA30" s="29" t="s">
        <v>368</v>
      </c>
      <c r="AB30" s="61" t="s">
        <v>9</v>
      </c>
      <c r="AC30" s="29" t="s">
        <v>378</v>
      </c>
      <c r="AD30" s="61" t="s">
        <v>9</v>
      </c>
    </row>
    <row r="31" spans="1:30" s="68" customFormat="1" ht="6" customHeight="1" x14ac:dyDescent="0.4">
      <c r="A31" s="56">
        <v>31</v>
      </c>
      <c r="B31" s="1" t="s">
        <v>243</v>
      </c>
      <c r="C31" s="1" t="s">
        <v>367</v>
      </c>
      <c r="D31" s="1" t="s">
        <v>382</v>
      </c>
      <c r="E31" s="1" t="s">
        <v>516</v>
      </c>
      <c r="F31" s="66" t="s">
        <v>522</v>
      </c>
      <c r="G31" s="58" t="s">
        <v>9</v>
      </c>
      <c r="H31" s="58" t="s">
        <v>9</v>
      </c>
      <c r="I31" s="58" t="s">
        <v>9</v>
      </c>
      <c r="J31" s="58" t="s">
        <v>9</v>
      </c>
      <c r="K31" s="58" t="s">
        <v>9</v>
      </c>
      <c r="L31" s="32" t="str">
        <f t="shared" si="9"/>
        <v>De Materialidade</v>
      </c>
      <c r="M31" s="32" t="str">
        <f t="shared" si="9"/>
        <v>Material Construtivo</v>
      </c>
      <c r="N31" s="32" t="str">
        <f t="shared" si="9"/>
        <v>Materiais Espumados</v>
      </c>
      <c r="O31" s="32" t="str">
        <f t="shared" si="9"/>
        <v>Espuma MPU</v>
      </c>
      <c r="P31" s="60" t="s">
        <v>523</v>
      </c>
      <c r="Q31" s="65" t="s">
        <v>524</v>
      </c>
      <c r="R31" s="65" t="s">
        <v>525</v>
      </c>
      <c r="S31" s="67" t="s">
        <v>9</v>
      </c>
      <c r="T31" s="29" t="str">
        <f t="shared" si="5"/>
        <v>De Materialidade</v>
      </c>
      <c r="U31" s="29" t="str">
        <f t="shared" si="5"/>
        <v>Material Construtivo</v>
      </c>
      <c r="V31" s="29" t="str">
        <f t="shared" si="5"/>
        <v>Materiais Espumados</v>
      </c>
      <c r="W31" s="29" t="s">
        <v>152</v>
      </c>
      <c r="X31" s="57" t="str">
        <f t="shared" si="3"/>
        <v>Key-HIDR-31</v>
      </c>
      <c r="Y31" s="29" t="s">
        <v>521</v>
      </c>
      <c r="Z31" s="61" t="s">
        <v>9</v>
      </c>
      <c r="AA31" s="29" t="s">
        <v>368</v>
      </c>
      <c r="AB31" s="61" t="s">
        <v>9</v>
      </c>
      <c r="AC31" s="29" t="s">
        <v>378</v>
      </c>
      <c r="AD31" s="61" t="s">
        <v>9</v>
      </c>
    </row>
    <row r="32" spans="1:30" s="68" customFormat="1" ht="6" customHeight="1" x14ac:dyDescent="0.4">
      <c r="A32" s="56">
        <v>32</v>
      </c>
      <c r="B32" s="1" t="s">
        <v>243</v>
      </c>
      <c r="C32" s="1" t="s">
        <v>367</v>
      </c>
      <c r="D32" s="1" t="s">
        <v>382</v>
      </c>
      <c r="E32" s="1" t="s">
        <v>516</v>
      </c>
      <c r="F32" s="66" t="s">
        <v>526</v>
      </c>
      <c r="G32" s="58" t="s">
        <v>9</v>
      </c>
      <c r="H32" s="58" t="s">
        <v>9</v>
      </c>
      <c r="I32" s="58" t="s">
        <v>9</v>
      </c>
      <c r="J32" s="58" t="s">
        <v>9</v>
      </c>
      <c r="K32" s="58" t="s">
        <v>9</v>
      </c>
      <c r="L32" s="32" t="str">
        <f t="shared" si="9"/>
        <v>De Materialidade</v>
      </c>
      <c r="M32" s="32" t="str">
        <f t="shared" si="9"/>
        <v>Material Construtivo</v>
      </c>
      <c r="N32" s="32" t="str">
        <f t="shared" si="9"/>
        <v>Materiais Espumados</v>
      </c>
      <c r="O32" s="32" t="str">
        <f t="shared" si="9"/>
        <v>Espuma PIR</v>
      </c>
      <c r="P32" s="60" t="s">
        <v>527</v>
      </c>
      <c r="Q32" s="65" t="s">
        <v>528</v>
      </c>
      <c r="R32" s="65" t="s">
        <v>529</v>
      </c>
      <c r="S32" s="67" t="s">
        <v>9</v>
      </c>
      <c r="T32" s="29" t="str">
        <f t="shared" si="5"/>
        <v>De Materialidade</v>
      </c>
      <c r="U32" s="29" t="str">
        <f t="shared" si="5"/>
        <v>Material Construtivo</v>
      </c>
      <c r="V32" s="29" t="str">
        <f t="shared" si="5"/>
        <v>Materiais Espumados</v>
      </c>
      <c r="W32" s="29" t="s">
        <v>152</v>
      </c>
      <c r="X32" s="57" t="str">
        <f t="shared" si="3"/>
        <v>Key-HIDR-32</v>
      </c>
      <c r="Y32" s="29" t="s">
        <v>521</v>
      </c>
      <c r="Z32" s="61" t="s">
        <v>9</v>
      </c>
      <c r="AA32" s="29" t="s">
        <v>368</v>
      </c>
      <c r="AB32" s="61" t="s">
        <v>9</v>
      </c>
      <c r="AC32" s="29" t="s">
        <v>378</v>
      </c>
      <c r="AD32" s="61" t="s">
        <v>9</v>
      </c>
    </row>
    <row r="33" spans="1:30" s="68" customFormat="1" ht="6" customHeight="1" x14ac:dyDescent="0.4">
      <c r="A33" s="56">
        <v>33</v>
      </c>
      <c r="B33" s="1" t="s">
        <v>243</v>
      </c>
      <c r="C33" s="1" t="s">
        <v>367</v>
      </c>
      <c r="D33" s="1" t="s">
        <v>382</v>
      </c>
      <c r="E33" s="1" t="s">
        <v>516</v>
      </c>
      <c r="F33" s="66" t="s">
        <v>530</v>
      </c>
      <c r="G33" s="58" t="s">
        <v>9</v>
      </c>
      <c r="H33" s="58" t="s">
        <v>9</v>
      </c>
      <c r="I33" s="58" t="s">
        <v>9</v>
      </c>
      <c r="J33" s="58" t="s">
        <v>9</v>
      </c>
      <c r="K33" s="58" t="s">
        <v>9</v>
      </c>
      <c r="L33" s="32" t="str">
        <f t="shared" si="9"/>
        <v>De Materialidade</v>
      </c>
      <c r="M33" s="32" t="str">
        <f t="shared" si="9"/>
        <v>Material Construtivo</v>
      </c>
      <c r="N33" s="32" t="str">
        <f t="shared" si="9"/>
        <v>Materiais Espumados</v>
      </c>
      <c r="O33" s="32" t="str">
        <f t="shared" si="9"/>
        <v>Espuma PUR</v>
      </c>
      <c r="P33" s="60" t="s">
        <v>531</v>
      </c>
      <c r="Q33" s="65" t="s">
        <v>532</v>
      </c>
      <c r="R33" s="65" t="s">
        <v>533</v>
      </c>
      <c r="S33" s="67" t="s">
        <v>9</v>
      </c>
      <c r="T33" s="29" t="str">
        <f t="shared" si="5"/>
        <v>De Materialidade</v>
      </c>
      <c r="U33" s="29" t="str">
        <f t="shared" si="5"/>
        <v>Material Construtivo</v>
      </c>
      <c r="V33" s="29" t="str">
        <f t="shared" si="5"/>
        <v>Materiais Espumados</v>
      </c>
      <c r="W33" s="29" t="s">
        <v>152</v>
      </c>
      <c r="X33" s="57" t="str">
        <f t="shared" si="3"/>
        <v>Key-HIDR-33</v>
      </c>
      <c r="Y33" s="29" t="s">
        <v>521</v>
      </c>
      <c r="Z33" s="61" t="s">
        <v>9</v>
      </c>
      <c r="AA33" s="29" t="s">
        <v>368</v>
      </c>
      <c r="AB33" s="61" t="s">
        <v>9</v>
      </c>
      <c r="AC33" s="29" t="s">
        <v>378</v>
      </c>
      <c r="AD33" s="61" t="s">
        <v>9</v>
      </c>
    </row>
    <row r="34" spans="1:30" s="68" customFormat="1" ht="6" customHeight="1" x14ac:dyDescent="0.4">
      <c r="A34" s="56">
        <v>34</v>
      </c>
      <c r="B34" s="1" t="s">
        <v>243</v>
      </c>
      <c r="C34" s="1" t="s">
        <v>367</v>
      </c>
      <c r="D34" s="1" t="s">
        <v>382</v>
      </c>
      <c r="E34" s="1" t="s">
        <v>534</v>
      </c>
      <c r="F34" s="66" t="s">
        <v>535</v>
      </c>
      <c r="G34" s="58" t="s">
        <v>9</v>
      </c>
      <c r="H34" s="58" t="s">
        <v>9</v>
      </c>
      <c r="I34" s="58" t="s">
        <v>9</v>
      </c>
      <c r="J34" s="58" t="s">
        <v>9</v>
      </c>
      <c r="K34" s="58" t="s">
        <v>9</v>
      </c>
      <c r="L34" s="32" t="str">
        <f t="shared" si="9"/>
        <v>De Materialidade</v>
      </c>
      <c r="M34" s="32" t="str">
        <f t="shared" si="9"/>
        <v>Material Construtivo</v>
      </c>
      <c r="N34" s="32" t="str">
        <f t="shared" si="9"/>
        <v>Materiais Isolantes</v>
      </c>
      <c r="O34" s="32" t="str">
        <f t="shared" si="9"/>
        <v xml:space="preserve">Lã de Rocha </v>
      </c>
      <c r="P34" s="60" t="s">
        <v>536</v>
      </c>
      <c r="Q34" s="65" t="s">
        <v>537</v>
      </c>
      <c r="R34" s="65" t="s">
        <v>538</v>
      </c>
      <c r="S34" s="67" t="s">
        <v>9</v>
      </c>
      <c r="T34" s="29" t="str">
        <f t="shared" si="5"/>
        <v>De Materialidade</v>
      </c>
      <c r="U34" s="29" t="str">
        <f t="shared" si="5"/>
        <v>Material Construtivo</v>
      </c>
      <c r="V34" s="29" t="str">
        <f t="shared" si="5"/>
        <v>Materiais Isolantes</v>
      </c>
      <c r="W34" s="29" t="s">
        <v>152</v>
      </c>
      <c r="X34" s="57" t="str">
        <f t="shared" si="3"/>
        <v>Key-HIDR-34</v>
      </c>
      <c r="Y34" s="29" t="s">
        <v>521</v>
      </c>
      <c r="Z34" s="61" t="s">
        <v>9</v>
      </c>
      <c r="AA34" s="29" t="s">
        <v>368</v>
      </c>
      <c r="AB34" s="61" t="s">
        <v>9</v>
      </c>
      <c r="AC34" s="29" t="s">
        <v>378</v>
      </c>
      <c r="AD34" s="61" t="s">
        <v>9</v>
      </c>
    </row>
    <row r="35" spans="1:30" s="68" customFormat="1" ht="6" customHeight="1" x14ac:dyDescent="0.4">
      <c r="A35" s="56">
        <v>35</v>
      </c>
      <c r="B35" s="1" t="s">
        <v>243</v>
      </c>
      <c r="C35" s="1" t="s">
        <v>367</v>
      </c>
      <c r="D35" s="1" t="s">
        <v>382</v>
      </c>
      <c r="E35" s="1" t="s">
        <v>534</v>
      </c>
      <c r="F35" s="66" t="s">
        <v>539</v>
      </c>
      <c r="G35" s="58" t="s">
        <v>9</v>
      </c>
      <c r="H35" s="58" t="s">
        <v>9</v>
      </c>
      <c r="I35" s="58" t="s">
        <v>9</v>
      </c>
      <c r="J35" s="58" t="s">
        <v>9</v>
      </c>
      <c r="K35" s="58" t="s">
        <v>9</v>
      </c>
      <c r="L35" s="32" t="str">
        <f t="shared" si="9"/>
        <v>De Materialidade</v>
      </c>
      <c r="M35" s="32" t="str">
        <f t="shared" si="9"/>
        <v>Material Construtivo</v>
      </c>
      <c r="N35" s="32" t="str">
        <f t="shared" si="9"/>
        <v>Materiais Isolantes</v>
      </c>
      <c r="O35" s="32" t="str">
        <f t="shared" si="9"/>
        <v xml:space="preserve">Lã de Vidro </v>
      </c>
      <c r="P35" s="60" t="s">
        <v>540</v>
      </c>
      <c r="Q35" s="65" t="s">
        <v>541</v>
      </c>
      <c r="R35" s="65" t="s">
        <v>542</v>
      </c>
      <c r="S35" s="67" t="s">
        <v>9</v>
      </c>
      <c r="T35" s="29" t="str">
        <f t="shared" si="5"/>
        <v>De Materialidade</v>
      </c>
      <c r="U35" s="29" t="str">
        <f t="shared" si="5"/>
        <v>Material Construtivo</v>
      </c>
      <c r="V35" s="29" t="str">
        <f t="shared" si="5"/>
        <v>Materiais Isolantes</v>
      </c>
      <c r="W35" s="29" t="s">
        <v>152</v>
      </c>
      <c r="X35" s="57" t="str">
        <f t="shared" si="3"/>
        <v>Key-HIDR-35</v>
      </c>
      <c r="Y35" s="29" t="s">
        <v>521</v>
      </c>
      <c r="Z35" s="61" t="s">
        <v>9</v>
      </c>
      <c r="AA35" s="29" t="s">
        <v>368</v>
      </c>
      <c r="AB35" s="61" t="s">
        <v>9</v>
      </c>
      <c r="AC35" s="29" t="s">
        <v>378</v>
      </c>
      <c r="AD35" s="61" t="s">
        <v>9</v>
      </c>
    </row>
    <row r="36" spans="1:30" s="68" customFormat="1" ht="6" customHeight="1" x14ac:dyDescent="0.4">
      <c r="A36" s="56">
        <v>36</v>
      </c>
      <c r="B36" s="1" t="s">
        <v>243</v>
      </c>
      <c r="C36" s="1" t="s">
        <v>367</v>
      </c>
      <c r="D36" s="1" t="s">
        <v>382</v>
      </c>
      <c r="E36" s="1" t="s">
        <v>534</v>
      </c>
      <c r="F36" s="66" t="s">
        <v>543</v>
      </c>
      <c r="G36" s="58" t="s">
        <v>9</v>
      </c>
      <c r="H36" s="58" t="s">
        <v>9</v>
      </c>
      <c r="I36" s="58" t="s">
        <v>9</v>
      </c>
      <c r="J36" s="58" t="s">
        <v>9</v>
      </c>
      <c r="K36" s="58" t="s">
        <v>9</v>
      </c>
      <c r="L36" s="32" t="str">
        <f t="shared" si="9"/>
        <v>De Materialidade</v>
      </c>
      <c r="M36" s="32" t="str">
        <f t="shared" si="9"/>
        <v>Material Construtivo</v>
      </c>
      <c r="N36" s="32" t="str">
        <f t="shared" si="9"/>
        <v>Materiais Isolantes</v>
      </c>
      <c r="O36" s="32" t="str">
        <f t="shared" si="9"/>
        <v>Borracha Antivibratória</v>
      </c>
      <c r="P36" s="60" t="s">
        <v>544</v>
      </c>
      <c r="Q36" s="65" t="s">
        <v>545</v>
      </c>
      <c r="R36" s="65" t="s">
        <v>546</v>
      </c>
      <c r="S36" s="67" t="s">
        <v>9</v>
      </c>
      <c r="T36" s="29" t="str">
        <f t="shared" si="5"/>
        <v>De Materialidade</v>
      </c>
      <c r="U36" s="29" t="str">
        <f t="shared" si="5"/>
        <v>Material Construtivo</v>
      </c>
      <c r="V36" s="29" t="str">
        <f t="shared" si="5"/>
        <v>Materiais Isolantes</v>
      </c>
      <c r="W36" s="29" t="s">
        <v>152</v>
      </c>
      <c r="X36" s="57" t="str">
        <f t="shared" si="3"/>
        <v>Key-HIDR-36</v>
      </c>
      <c r="Y36" s="29" t="s">
        <v>521</v>
      </c>
      <c r="Z36" s="61" t="s">
        <v>9</v>
      </c>
      <c r="AA36" s="29" t="s">
        <v>368</v>
      </c>
      <c r="AB36" s="61" t="s">
        <v>9</v>
      </c>
      <c r="AC36" s="29" t="s">
        <v>378</v>
      </c>
      <c r="AD36" s="61" t="s">
        <v>9</v>
      </c>
    </row>
    <row r="37" spans="1:30" s="68" customFormat="1" ht="6" customHeight="1" x14ac:dyDescent="0.4">
      <c r="A37" s="56">
        <v>37</v>
      </c>
      <c r="B37" s="1" t="s">
        <v>243</v>
      </c>
      <c r="C37" s="1" t="s">
        <v>367</v>
      </c>
      <c r="D37" s="1" t="s">
        <v>382</v>
      </c>
      <c r="E37" s="1" t="s">
        <v>534</v>
      </c>
      <c r="F37" s="66" t="s">
        <v>547</v>
      </c>
      <c r="G37" s="58" t="s">
        <v>9</v>
      </c>
      <c r="H37" s="58" t="s">
        <v>9</v>
      </c>
      <c r="I37" s="58" t="s">
        <v>9</v>
      </c>
      <c r="J37" s="58" t="s">
        <v>9</v>
      </c>
      <c r="K37" s="58" t="s">
        <v>9</v>
      </c>
      <c r="L37" s="32" t="str">
        <f t="shared" si="9"/>
        <v>De Materialidade</v>
      </c>
      <c r="M37" s="32" t="str">
        <f t="shared" si="9"/>
        <v>Material Construtivo</v>
      </c>
      <c r="N37" s="32" t="str">
        <f t="shared" si="9"/>
        <v>Materiais Isolantes</v>
      </c>
      <c r="O37" s="32" t="str">
        <f t="shared" si="9"/>
        <v>Borracha Elastomérica</v>
      </c>
      <c r="P37" s="60" t="s">
        <v>548</v>
      </c>
      <c r="Q37" s="65" t="s">
        <v>549</v>
      </c>
      <c r="R37" s="65" t="s">
        <v>550</v>
      </c>
      <c r="S37" s="67" t="s">
        <v>9</v>
      </c>
      <c r="T37" s="29" t="str">
        <f t="shared" si="5"/>
        <v>De Materialidade</v>
      </c>
      <c r="U37" s="29" t="str">
        <f t="shared" si="5"/>
        <v>Material Construtivo</v>
      </c>
      <c r="V37" s="29" t="str">
        <f t="shared" si="5"/>
        <v>Materiais Isolantes</v>
      </c>
      <c r="W37" s="29" t="s">
        <v>152</v>
      </c>
      <c r="X37" s="57" t="str">
        <f t="shared" si="3"/>
        <v>Key-HIDR-37</v>
      </c>
      <c r="Y37" s="29" t="s">
        <v>521</v>
      </c>
      <c r="Z37" s="61" t="s">
        <v>9</v>
      </c>
      <c r="AA37" s="29" t="s">
        <v>368</v>
      </c>
      <c r="AB37" s="61" t="s">
        <v>9</v>
      </c>
      <c r="AC37" s="29" t="s">
        <v>378</v>
      </c>
      <c r="AD37" s="61" t="s">
        <v>9</v>
      </c>
    </row>
    <row r="38" spans="1:30" s="68" customFormat="1" ht="6" customHeight="1" x14ac:dyDescent="0.4">
      <c r="A38" s="56">
        <v>38</v>
      </c>
      <c r="B38" s="1" t="s">
        <v>243</v>
      </c>
      <c r="C38" s="1" t="s">
        <v>367</v>
      </c>
      <c r="D38" s="1" t="s">
        <v>382</v>
      </c>
      <c r="E38" s="1" t="s">
        <v>551</v>
      </c>
      <c r="F38" s="66" t="s">
        <v>552</v>
      </c>
      <c r="G38" s="58" t="s">
        <v>9</v>
      </c>
      <c r="H38" s="58" t="s">
        <v>9</v>
      </c>
      <c r="I38" s="58" t="s">
        <v>9</v>
      </c>
      <c r="J38" s="58" t="s">
        <v>9</v>
      </c>
      <c r="K38" s="58" t="s">
        <v>9</v>
      </c>
      <c r="L38" s="32" t="str">
        <f t="shared" si="9"/>
        <v>De Materialidade</v>
      </c>
      <c r="M38" s="32" t="str">
        <f t="shared" si="9"/>
        <v>Material Construtivo</v>
      </c>
      <c r="N38" s="32" t="str">
        <f t="shared" si="9"/>
        <v>Materiais Selantes</v>
      </c>
      <c r="O38" s="32" t="str">
        <f t="shared" si="9"/>
        <v>Vedante Mastique</v>
      </c>
      <c r="P38" s="60" t="s">
        <v>553</v>
      </c>
      <c r="Q38" s="65" t="s">
        <v>554</v>
      </c>
      <c r="R38" s="65" t="s">
        <v>555</v>
      </c>
      <c r="S38" s="67" t="s">
        <v>9</v>
      </c>
      <c r="T38" s="29" t="str">
        <f t="shared" si="5"/>
        <v>De Materialidade</v>
      </c>
      <c r="U38" s="29" t="str">
        <f t="shared" si="5"/>
        <v>Material Construtivo</v>
      </c>
      <c r="V38" s="29" t="str">
        <f t="shared" si="5"/>
        <v>Materiais Selantes</v>
      </c>
      <c r="W38" s="29" t="s">
        <v>152</v>
      </c>
      <c r="X38" s="57" t="str">
        <f t="shared" si="3"/>
        <v>Key-HIDR-38</v>
      </c>
      <c r="Y38" s="29" t="s">
        <v>521</v>
      </c>
      <c r="Z38" s="61" t="s">
        <v>9</v>
      </c>
      <c r="AA38" s="29" t="s">
        <v>368</v>
      </c>
      <c r="AB38" s="61" t="s">
        <v>9</v>
      </c>
      <c r="AC38" s="29" t="s">
        <v>378</v>
      </c>
      <c r="AD38" s="61" t="s">
        <v>9</v>
      </c>
    </row>
    <row r="39" spans="1:30" s="68" customFormat="1" ht="6" customHeight="1" x14ac:dyDescent="0.4">
      <c r="A39" s="56">
        <v>39</v>
      </c>
      <c r="B39" s="1" t="s">
        <v>243</v>
      </c>
      <c r="C39" s="1" t="s">
        <v>367</v>
      </c>
      <c r="D39" s="1" t="s">
        <v>382</v>
      </c>
      <c r="E39" s="1" t="s">
        <v>551</v>
      </c>
      <c r="F39" s="66" t="s">
        <v>556</v>
      </c>
      <c r="G39" s="58" t="s">
        <v>9</v>
      </c>
      <c r="H39" s="58" t="s">
        <v>9</v>
      </c>
      <c r="I39" s="58" t="s">
        <v>9</v>
      </c>
      <c r="J39" s="58" t="s">
        <v>9</v>
      </c>
      <c r="K39" s="58" t="s">
        <v>9</v>
      </c>
      <c r="L39" s="32" t="str">
        <f t="shared" si="9"/>
        <v>De Materialidade</v>
      </c>
      <c r="M39" s="32" t="str">
        <f t="shared" si="9"/>
        <v>Material Construtivo</v>
      </c>
      <c r="N39" s="32" t="str">
        <f t="shared" si="9"/>
        <v>Materiais Selantes</v>
      </c>
      <c r="O39" s="32" t="str">
        <f t="shared" si="9"/>
        <v>Vedante Plástico ABS</v>
      </c>
      <c r="P39" s="60" t="s">
        <v>557</v>
      </c>
      <c r="Q39" s="65" t="s">
        <v>558</v>
      </c>
      <c r="R39" s="65" t="s">
        <v>559</v>
      </c>
      <c r="S39" s="67" t="s">
        <v>9</v>
      </c>
      <c r="T39" s="29" t="str">
        <f t="shared" si="5"/>
        <v>De Materialidade</v>
      </c>
      <c r="U39" s="29" t="str">
        <f t="shared" si="5"/>
        <v>Material Construtivo</v>
      </c>
      <c r="V39" s="29" t="str">
        <f t="shared" si="5"/>
        <v>Materiais Selantes</v>
      </c>
      <c r="W39" s="29" t="s">
        <v>152</v>
      </c>
      <c r="X39" s="57" t="str">
        <f t="shared" si="3"/>
        <v>Key-HIDR-39</v>
      </c>
      <c r="Y39" s="29" t="s">
        <v>521</v>
      </c>
      <c r="Z39" s="61" t="s">
        <v>9</v>
      </c>
      <c r="AA39" s="29" t="s">
        <v>368</v>
      </c>
      <c r="AB39" s="61" t="s">
        <v>9</v>
      </c>
      <c r="AC39" s="29" t="s">
        <v>378</v>
      </c>
      <c r="AD39" s="61" t="s">
        <v>9</v>
      </c>
    </row>
    <row r="40" spans="1:30" s="68" customFormat="1" ht="6" customHeight="1" x14ac:dyDescent="0.4">
      <c r="A40" s="56">
        <v>40</v>
      </c>
      <c r="B40" s="1" t="s">
        <v>243</v>
      </c>
      <c r="C40" s="1" t="s">
        <v>367</v>
      </c>
      <c r="D40" s="1" t="s">
        <v>382</v>
      </c>
      <c r="E40" s="1" t="s">
        <v>551</v>
      </c>
      <c r="F40" s="66" t="s">
        <v>560</v>
      </c>
      <c r="G40" s="58" t="s">
        <v>9</v>
      </c>
      <c r="H40" s="58" t="s">
        <v>9</v>
      </c>
      <c r="I40" s="58" t="s">
        <v>9</v>
      </c>
      <c r="J40" s="58" t="s">
        <v>9</v>
      </c>
      <c r="K40" s="58" t="s">
        <v>9</v>
      </c>
      <c r="L40" s="32" t="str">
        <f t="shared" si="9"/>
        <v>De Materialidade</v>
      </c>
      <c r="M40" s="32" t="str">
        <f t="shared" si="9"/>
        <v>Material Construtivo</v>
      </c>
      <c r="N40" s="32" t="str">
        <f t="shared" si="9"/>
        <v>Materiais Selantes</v>
      </c>
      <c r="O40" s="32" t="str">
        <f t="shared" si="9"/>
        <v>Vedante de Silicone</v>
      </c>
      <c r="P40" s="60" t="s">
        <v>553</v>
      </c>
      <c r="Q40" s="65" t="s">
        <v>554</v>
      </c>
      <c r="R40" s="65" t="s">
        <v>555</v>
      </c>
      <c r="S40" s="67" t="s">
        <v>9</v>
      </c>
      <c r="T40" s="29" t="str">
        <f t="shared" si="5"/>
        <v>De Materialidade</v>
      </c>
      <c r="U40" s="29" t="str">
        <f t="shared" si="5"/>
        <v>Material Construtivo</v>
      </c>
      <c r="V40" s="29" t="str">
        <f t="shared" si="5"/>
        <v>Materiais Selantes</v>
      </c>
      <c r="W40" s="29" t="s">
        <v>152</v>
      </c>
      <c r="X40" s="57" t="str">
        <f t="shared" si="3"/>
        <v>Key-HIDR-40</v>
      </c>
      <c r="Y40" s="29" t="s">
        <v>521</v>
      </c>
      <c r="Z40" s="61" t="s">
        <v>9</v>
      </c>
      <c r="AA40" s="29" t="s">
        <v>368</v>
      </c>
      <c r="AB40" s="61" t="s">
        <v>9</v>
      </c>
      <c r="AC40" s="29" t="s">
        <v>378</v>
      </c>
      <c r="AD40" s="61" t="s">
        <v>9</v>
      </c>
    </row>
    <row r="41" spans="1:30" s="68" customFormat="1" ht="6" customHeight="1" x14ac:dyDescent="0.4">
      <c r="A41" s="56">
        <v>41</v>
      </c>
      <c r="B41" s="1" t="s">
        <v>243</v>
      </c>
      <c r="C41" s="1" t="s">
        <v>367</v>
      </c>
      <c r="D41" s="1" t="s">
        <v>382</v>
      </c>
      <c r="E41" s="1" t="s">
        <v>561</v>
      </c>
      <c r="F41" s="66" t="s">
        <v>562</v>
      </c>
      <c r="G41" s="58" t="s">
        <v>9</v>
      </c>
      <c r="H41" s="58" t="s">
        <v>9</v>
      </c>
      <c r="I41" s="58" t="s">
        <v>9</v>
      </c>
      <c r="J41" s="58" t="s">
        <v>9</v>
      </c>
      <c r="K41" s="58" t="s">
        <v>9</v>
      </c>
      <c r="L41" s="32" t="str">
        <f t="shared" si="9"/>
        <v>De Materialidade</v>
      </c>
      <c r="M41" s="32" t="str">
        <f t="shared" si="9"/>
        <v>Material Construtivo</v>
      </c>
      <c r="N41" s="32" t="str">
        <f t="shared" si="9"/>
        <v>Materiais em Peças Metálicas</v>
      </c>
      <c r="O41" s="32" t="str">
        <f t="shared" si="9"/>
        <v>Alumínio Anodizado</v>
      </c>
      <c r="P41" s="60" t="s">
        <v>563</v>
      </c>
      <c r="Q41" s="65" t="s">
        <v>564</v>
      </c>
      <c r="R41" s="65" t="s">
        <v>565</v>
      </c>
      <c r="S41" s="67" t="s">
        <v>9</v>
      </c>
      <c r="T41" s="29" t="str">
        <f t="shared" si="5"/>
        <v>De Materialidade</v>
      </c>
      <c r="U41" s="29" t="str">
        <f t="shared" si="5"/>
        <v>Material Construtivo</v>
      </c>
      <c r="V41" s="29" t="str">
        <f t="shared" si="5"/>
        <v>Materiais em Peças Metálicas</v>
      </c>
      <c r="W41" s="29" t="s">
        <v>152</v>
      </c>
      <c r="X41" s="57" t="str">
        <f t="shared" si="3"/>
        <v>Key-HIDR-41</v>
      </c>
      <c r="Y41" s="29" t="s">
        <v>521</v>
      </c>
      <c r="Z41" s="61" t="s">
        <v>9</v>
      </c>
      <c r="AA41" s="29" t="s">
        <v>368</v>
      </c>
      <c r="AB41" s="61" t="s">
        <v>9</v>
      </c>
      <c r="AC41" s="29" t="s">
        <v>378</v>
      </c>
      <c r="AD41" s="61" t="s">
        <v>9</v>
      </c>
    </row>
    <row r="42" spans="1:30" s="68" customFormat="1" ht="6" customHeight="1" x14ac:dyDescent="0.4">
      <c r="A42" s="56">
        <v>42</v>
      </c>
      <c r="B42" s="1" t="s">
        <v>243</v>
      </c>
      <c r="C42" s="1" t="s">
        <v>367</v>
      </c>
      <c r="D42" s="1" t="s">
        <v>382</v>
      </c>
      <c r="E42" s="1" t="s">
        <v>566</v>
      </c>
      <c r="F42" s="64" t="s">
        <v>567</v>
      </c>
      <c r="G42" s="58" t="s">
        <v>9</v>
      </c>
      <c r="H42" s="58" t="s">
        <v>9</v>
      </c>
      <c r="I42" s="58" t="s">
        <v>9</v>
      </c>
      <c r="J42" s="58" t="s">
        <v>9</v>
      </c>
      <c r="K42" s="58" t="s">
        <v>9</v>
      </c>
      <c r="L42" s="32" t="str">
        <f t="shared" si="9"/>
        <v>De Materialidade</v>
      </c>
      <c r="M42" s="32" t="str">
        <f t="shared" si="9"/>
        <v>Material Construtivo</v>
      </c>
      <c r="N42" s="32" t="str">
        <f t="shared" si="9"/>
        <v>Quadros Metálicos</v>
      </c>
      <c r="O42" s="32" t="str">
        <f t="shared" si="9"/>
        <v>Quadro Metálico Elétrica</v>
      </c>
      <c r="P42" s="65" t="s">
        <v>568</v>
      </c>
      <c r="Q42" s="65" t="s">
        <v>569</v>
      </c>
      <c r="R42" s="65" t="s">
        <v>570</v>
      </c>
      <c r="S42" s="67" t="s">
        <v>9</v>
      </c>
      <c r="T42" s="29" t="str">
        <f t="shared" si="5"/>
        <v>De Materialidade</v>
      </c>
      <c r="U42" s="29" t="str">
        <f t="shared" si="5"/>
        <v>Material Construtivo</v>
      </c>
      <c r="V42" s="29" t="str">
        <f t="shared" si="5"/>
        <v>Quadros Metálicos</v>
      </c>
      <c r="W42" s="29" t="s">
        <v>152</v>
      </c>
      <c r="X42" s="57" t="str">
        <f t="shared" si="3"/>
        <v>Key-HIDR-42</v>
      </c>
      <c r="Y42" s="29" t="s">
        <v>414</v>
      </c>
      <c r="Z42" s="61" t="s">
        <v>9</v>
      </c>
      <c r="AA42" s="29" t="s">
        <v>368</v>
      </c>
      <c r="AB42" s="61" t="s">
        <v>9</v>
      </c>
      <c r="AC42" s="29" t="s">
        <v>415</v>
      </c>
      <c r="AD42" s="61" t="s">
        <v>9</v>
      </c>
    </row>
    <row r="43" spans="1:30" s="68" customFormat="1" ht="6" customHeight="1" x14ac:dyDescent="0.4">
      <c r="A43" s="56">
        <v>43</v>
      </c>
      <c r="B43" s="1" t="s">
        <v>243</v>
      </c>
      <c r="C43" s="1" t="s">
        <v>367</v>
      </c>
      <c r="D43" s="1" t="s">
        <v>382</v>
      </c>
      <c r="E43" s="1" t="s">
        <v>566</v>
      </c>
      <c r="F43" s="64" t="s">
        <v>571</v>
      </c>
      <c r="G43" s="58" t="s">
        <v>9</v>
      </c>
      <c r="H43" s="58" t="s">
        <v>9</v>
      </c>
      <c r="I43" s="58" t="s">
        <v>9</v>
      </c>
      <c r="J43" s="58" t="s">
        <v>9</v>
      </c>
      <c r="K43" s="58" t="s">
        <v>9</v>
      </c>
      <c r="L43" s="32" t="str">
        <f t="shared" si="9"/>
        <v>De Materialidade</v>
      </c>
      <c r="M43" s="32" t="str">
        <f t="shared" si="9"/>
        <v>Material Construtivo</v>
      </c>
      <c r="N43" s="32" t="str">
        <f t="shared" si="9"/>
        <v>Quadros Metálicos</v>
      </c>
      <c r="O43" s="32" t="str">
        <f t="shared" si="9"/>
        <v>Quadro Metálico Telecom</v>
      </c>
      <c r="P43" s="65" t="s">
        <v>572</v>
      </c>
      <c r="Q43" s="65" t="s">
        <v>573</v>
      </c>
      <c r="R43" s="65" t="s">
        <v>574</v>
      </c>
      <c r="S43" s="67" t="s">
        <v>9</v>
      </c>
      <c r="T43" s="29" t="str">
        <f t="shared" si="5"/>
        <v>De Materialidade</v>
      </c>
      <c r="U43" s="29" t="str">
        <f t="shared" si="5"/>
        <v>Material Construtivo</v>
      </c>
      <c r="V43" s="29" t="str">
        <f t="shared" si="5"/>
        <v>Quadros Metálicos</v>
      </c>
      <c r="W43" s="29" t="s">
        <v>152</v>
      </c>
      <c r="X43" s="57" t="str">
        <f t="shared" si="3"/>
        <v>Key-HIDR-43</v>
      </c>
      <c r="Y43" s="29" t="s">
        <v>414</v>
      </c>
      <c r="Z43" s="61" t="s">
        <v>9</v>
      </c>
      <c r="AA43" s="29" t="s">
        <v>368</v>
      </c>
      <c r="AB43" s="61" t="s">
        <v>9</v>
      </c>
      <c r="AC43" s="29" t="s">
        <v>415</v>
      </c>
      <c r="AD43" s="61" t="s">
        <v>9</v>
      </c>
    </row>
    <row r="44" spans="1:30" s="68" customFormat="1" ht="6" customHeight="1" x14ac:dyDescent="0.4">
      <c r="A44" s="56">
        <v>44</v>
      </c>
      <c r="B44" s="1" t="s">
        <v>243</v>
      </c>
      <c r="C44" s="1" t="s">
        <v>367</v>
      </c>
      <c r="D44" s="1" t="s">
        <v>382</v>
      </c>
      <c r="E44" s="1" t="s">
        <v>575</v>
      </c>
      <c r="F44" s="64" t="s">
        <v>576</v>
      </c>
      <c r="G44" s="58" t="s">
        <v>9</v>
      </c>
      <c r="H44" s="58" t="s">
        <v>9</v>
      </c>
      <c r="I44" s="58" t="s">
        <v>9</v>
      </c>
      <c r="J44" s="58" t="s">
        <v>9</v>
      </c>
      <c r="K44" s="58" t="s">
        <v>9</v>
      </c>
      <c r="L44" s="32" t="str">
        <f t="shared" si="9"/>
        <v>De Materialidade</v>
      </c>
      <c r="M44" s="32" t="str">
        <f t="shared" si="9"/>
        <v>Material Construtivo</v>
      </c>
      <c r="N44" s="32" t="str">
        <f t="shared" si="9"/>
        <v>Quadros Plásticos</v>
      </c>
      <c r="O44" s="32" t="str">
        <f t="shared" si="9"/>
        <v>Quadro PVC Elétrica</v>
      </c>
      <c r="P44" s="65" t="s">
        <v>577</v>
      </c>
      <c r="Q44" s="65" t="s">
        <v>578</v>
      </c>
      <c r="R44" s="65" t="s">
        <v>579</v>
      </c>
      <c r="S44" s="67" t="s">
        <v>9</v>
      </c>
      <c r="T44" s="29" t="str">
        <f t="shared" si="5"/>
        <v>De Materialidade</v>
      </c>
      <c r="U44" s="29" t="str">
        <f t="shared" si="5"/>
        <v>Material Construtivo</v>
      </c>
      <c r="V44" s="29" t="str">
        <f t="shared" si="5"/>
        <v>Quadros Plásticos</v>
      </c>
      <c r="W44" s="29" t="s">
        <v>152</v>
      </c>
      <c r="X44" s="57" t="str">
        <f t="shared" si="3"/>
        <v>Key-HIDR-44</v>
      </c>
      <c r="Y44" s="29" t="s">
        <v>414</v>
      </c>
      <c r="Z44" s="61" t="s">
        <v>9</v>
      </c>
      <c r="AA44" s="29" t="s">
        <v>368</v>
      </c>
      <c r="AB44" s="61" t="s">
        <v>9</v>
      </c>
      <c r="AC44" s="29" t="s">
        <v>415</v>
      </c>
      <c r="AD44" s="61" t="s">
        <v>9</v>
      </c>
    </row>
    <row r="45" spans="1:30" s="53" customFormat="1" ht="6" customHeight="1" x14ac:dyDescent="0.4">
      <c r="A45" s="56">
        <v>45</v>
      </c>
      <c r="B45" s="1" t="s">
        <v>243</v>
      </c>
      <c r="C45" s="1" t="s">
        <v>367</v>
      </c>
      <c r="D45" s="1" t="s">
        <v>382</v>
      </c>
      <c r="E45" s="1" t="s">
        <v>575</v>
      </c>
      <c r="F45" s="64" t="s">
        <v>580</v>
      </c>
      <c r="G45" s="58" t="s">
        <v>9</v>
      </c>
      <c r="H45" s="58" t="s">
        <v>9</v>
      </c>
      <c r="I45" s="58" t="s">
        <v>9</v>
      </c>
      <c r="J45" s="58" t="s">
        <v>9</v>
      </c>
      <c r="K45" s="58" t="s">
        <v>9</v>
      </c>
      <c r="L45" s="32" t="str">
        <f t="shared" si="9"/>
        <v>De Materialidade</v>
      </c>
      <c r="M45" s="32" t="str">
        <f t="shared" si="9"/>
        <v>Material Construtivo</v>
      </c>
      <c r="N45" s="32" t="str">
        <f t="shared" si="9"/>
        <v>Quadros Plásticos</v>
      </c>
      <c r="O45" s="32" t="str">
        <f t="shared" si="9"/>
        <v>Quadro PVC Telecom</v>
      </c>
      <c r="P45" s="65" t="s">
        <v>581</v>
      </c>
      <c r="Q45" s="65" t="s">
        <v>582</v>
      </c>
      <c r="R45" s="65" t="s">
        <v>583</v>
      </c>
      <c r="S45" s="67" t="s">
        <v>9</v>
      </c>
      <c r="T45" s="29" t="str">
        <f t="shared" si="5"/>
        <v>De Materialidade</v>
      </c>
      <c r="U45" s="29" t="str">
        <f t="shared" si="5"/>
        <v>Material Construtivo</v>
      </c>
      <c r="V45" s="29" t="str">
        <f t="shared" si="5"/>
        <v>Quadros Plásticos</v>
      </c>
      <c r="W45" s="29" t="s">
        <v>152</v>
      </c>
      <c r="X45" s="57" t="str">
        <f t="shared" si="3"/>
        <v>Key-HIDR-45</v>
      </c>
      <c r="Y45" s="29" t="s">
        <v>414</v>
      </c>
      <c r="Z45" s="61" t="s">
        <v>9</v>
      </c>
      <c r="AA45" s="29" t="s">
        <v>368</v>
      </c>
      <c r="AB45" s="61" t="s">
        <v>9</v>
      </c>
      <c r="AC45" s="29" t="s">
        <v>415</v>
      </c>
      <c r="AD45" s="61" t="s">
        <v>9</v>
      </c>
    </row>
    <row r="46" spans="1:30" s="53" customFormat="1" ht="6" customHeight="1" x14ac:dyDescent="0.4">
      <c r="A46" s="56">
        <v>46</v>
      </c>
      <c r="B46" s="1" t="s">
        <v>243</v>
      </c>
      <c r="C46" s="1" t="s">
        <v>367</v>
      </c>
      <c r="D46" s="1" t="s">
        <v>382</v>
      </c>
      <c r="E46" s="1" t="s">
        <v>584</v>
      </c>
      <c r="F46" s="64" t="s">
        <v>585</v>
      </c>
      <c r="G46" s="58" t="s">
        <v>9</v>
      </c>
      <c r="H46" s="58" t="s">
        <v>9</v>
      </c>
      <c r="I46" s="58" t="s">
        <v>9</v>
      </c>
      <c r="J46" s="58" t="s">
        <v>9</v>
      </c>
      <c r="K46" s="58" t="s">
        <v>9</v>
      </c>
      <c r="L46" s="32" t="str">
        <f t="shared" si="9"/>
        <v>De Materialidade</v>
      </c>
      <c r="M46" s="32" t="str">
        <f t="shared" si="9"/>
        <v>Material Construtivo</v>
      </c>
      <c r="N46" s="32" t="str">
        <f t="shared" si="9"/>
        <v>Tubos Compostos</v>
      </c>
      <c r="O46" s="32" t="str">
        <f t="shared" si="9"/>
        <v>Tubo de Multicamada</v>
      </c>
      <c r="P46" s="65" t="s">
        <v>586</v>
      </c>
      <c r="Q46" s="65" t="s">
        <v>587</v>
      </c>
      <c r="R46" s="65" t="s">
        <v>588</v>
      </c>
      <c r="S46" s="67" t="s">
        <v>9</v>
      </c>
      <c r="T46" s="29" t="str">
        <f t="shared" si="5"/>
        <v>De Materialidade</v>
      </c>
      <c r="U46" s="29" t="str">
        <f t="shared" si="5"/>
        <v>Material Construtivo</v>
      </c>
      <c r="V46" s="29" t="str">
        <f t="shared" si="5"/>
        <v>Tubos Compostos</v>
      </c>
      <c r="W46" s="29" t="s">
        <v>152</v>
      </c>
      <c r="X46" s="57" t="str">
        <f t="shared" si="3"/>
        <v>Key-HIDR-46</v>
      </c>
      <c r="Y46" s="29" t="s">
        <v>521</v>
      </c>
      <c r="Z46" s="61" t="s">
        <v>9</v>
      </c>
      <c r="AA46" s="29" t="s">
        <v>368</v>
      </c>
      <c r="AB46" s="61" t="s">
        <v>9</v>
      </c>
      <c r="AC46" s="29" t="s">
        <v>378</v>
      </c>
      <c r="AD46" s="61" t="s">
        <v>9</v>
      </c>
    </row>
    <row r="47" spans="1:30" s="53" customFormat="1" ht="6" customHeight="1" x14ac:dyDescent="0.4">
      <c r="A47" s="56">
        <v>47</v>
      </c>
      <c r="B47" s="1" t="s">
        <v>243</v>
      </c>
      <c r="C47" s="1" t="s">
        <v>367</v>
      </c>
      <c r="D47" s="1" t="s">
        <v>382</v>
      </c>
      <c r="E47" s="1" t="s">
        <v>589</v>
      </c>
      <c r="F47" s="66" t="s">
        <v>590</v>
      </c>
      <c r="G47" s="58" t="s">
        <v>9</v>
      </c>
      <c r="H47" s="58" t="s">
        <v>9</v>
      </c>
      <c r="I47" s="58" t="s">
        <v>9</v>
      </c>
      <c r="J47" s="58" t="s">
        <v>9</v>
      </c>
      <c r="K47" s="58" t="s">
        <v>9</v>
      </c>
      <c r="L47" s="32" t="str">
        <f t="shared" si="9"/>
        <v>De Materialidade</v>
      </c>
      <c r="M47" s="32" t="str">
        <f t="shared" si="9"/>
        <v>Material Construtivo</v>
      </c>
      <c r="N47" s="32" t="str">
        <f t="shared" si="9"/>
        <v>Tubos Metálicos</v>
      </c>
      <c r="O47" s="32" t="str">
        <f t="shared" si="9"/>
        <v>Tubo de Aço Carbono</v>
      </c>
      <c r="P47" s="60" t="s">
        <v>591</v>
      </c>
      <c r="Q47" s="65" t="s">
        <v>592</v>
      </c>
      <c r="R47" s="65" t="s">
        <v>593</v>
      </c>
      <c r="S47" s="67" t="s">
        <v>9</v>
      </c>
      <c r="T47" s="29" t="str">
        <f t="shared" si="5"/>
        <v>De Materialidade</v>
      </c>
      <c r="U47" s="29" t="str">
        <f t="shared" si="5"/>
        <v>Material Construtivo</v>
      </c>
      <c r="V47" s="29" t="str">
        <f t="shared" si="5"/>
        <v>Tubos Metálicos</v>
      </c>
      <c r="W47" s="29" t="s">
        <v>152</v>
      </c>
      <c r="X47" s="57" t="str">
        <f t="shared" si="3"/>
        <v>Key-HIDR-47</v>
      </c>
      <c r="Y47" s="29" t="s">
        <v>521</v>
      </c>
      <c r="Z47" s="61" t="s">
        <v>9</v>
      </c>
      <c r="AA47" s="29" t="s">
        <v>368</v>
      </c>
      <c r="AB47" s="61" t="s">
        <v>9</v>
      </c>
      <c r="AC47" s="29" t="s">
        <v>378</v>
      </c>
      <c r="AD47" s="61" t="s">
        <v>9</v>
      </c>
    </row>
    <row r="48" spans="1:30" s="53" customFormat="1" ht="6" customHeight="1" x14ac:dyDescent="0.4">
      <c r="A48" s="56">
        <v>48</v>
      </c>
      <c r="B48" s="1" t="s">
        <v>243</v>
      </c>
      <c r="C48" s="1" t="s">
        <v>367</v>
      </c>
      <c r="D48" s="1" t="s">
        <v>382</v>
      </c>
      <c r="E48" s="1" t="s">
        <v>589</v>
      </c>
      <c r="F48" s="64" t="s">
        <v>370</v>
      </c>
      <c r="G48" s="58" t="s">
        <v>9</v>
      </c>
      <c r="H48" s="58" t="s">
        <v>9</v>
      </c>
      <c r="I48" s="58" t="s">
        <v>9</v>
      </c>
      <c r="J48" s="58" t="s">
        <v>9</v>
      </c>
      <c r="K48" s="58" t="s">
        <v>9</v>
      </c>
      <c r="L48" s="32" t="str">
        <f t="shared" si="9"/>
        <v>De Materialidade</v>
      </c>
      <c r="M48" s="32" t="str">
        <f t="shared" si="9"/>
        <v>Material Construtivo</v>
      </c>
      <c r="N48" s="32" t="str">
        <f t="shared" si="9"/>
        <v>Tubos Metálicos</v>
      </c>
      <c r="O48" s="32" t="str">
        <f t="shared" si="9"/>
        <v>Tubo de Aço Costura</v>
      </c>
      <c r="P48" s="65" t="s">
        <v>594</v>
      </c>
      <c r="Q48" s="65" t="s">
        <v>595</v>
      </c>
      <c r="R48" s="65" t="s">
        <v>596</v>
      </c>
      <c r="S48" s="67" t="s">
        <v>9</v>
      </c>
      <c r="T48" s="29" t="str">
        <f t="shared" si="5"/>
        <v>De Materialidade</v>
      </c>
      <c r="U48" s="29" t="str">
        <f t="shared" si="5"/>
        <v>Material Construtivo</v>
      </c>
      <c r="V48" s="29" t="str">
        <f t="shared" si="5"/>
        <v>Tubos Metálicos</v>
      </c>
      <c r="W48" s="29" t="s">
        <v>152</v>
      </c>
      <c r="X48" s="57" t="str">
        <f t="shared" si="3"/>
        <v>Key-HIDR-48</v>
      </c>
      <c r="Y48" s="29" t="s">
        <v>521</v>
      </c>
      <c r="Z48" s="61" t="s">
        <v>9</v>
      </c>
      <c r="AA48" s="29" t="s">
        <v>368</v>
      </c>
      <c r="AB48" s="61" t="s">
        <v>9</v>
      </c>
      <c r="AC48" s="29" t="s">
        <v>369</v>
      </c>
      <c r="AD48" s="61" t="s">
        <v>9</v>
      </c>
    </row>
    <row r="49" spans="1:30" s="53" customFormat="1" ht="6" customHeight="1" x14ac:dyDescent="0.4">
      <c r="A49" s="56">
        <v>49</v>
      </c>
      <c r="B49" s="1" t="s">
        <v>243</v>
      </c>
      <c r="C49" s="1" t="s">
        <v>367</v>
      </c>
      <c r="D49" s="1" t="s">
        <v>382</v>
      </c>
      <c r="E49" s="1" t="s">
        <v>589</v>
      </c>
      <c r="F49" s="66" t="s">
        <v>597</v>
      </c>
      <c r="G49" s="58" t="s">
        <v>9</v>
      </c>
      <c r="H49" s="58" t="s">
        <v>9</v>
      </c>
      <c r="I49" s="58" t="s">
        <v>9</v>
      </c>
      <c r="J49" s="58" t="s">
        <v>9</v>
      </c>
      <c r="K49" s="58" t="s">
        <v>9</v>
      </c>
      <c r="L49" s="32" t="str">
        <f t="shared" si="9"/>
        <v>De Materialidade</v>
      </c>
      <c r="M49" s="32" t="str">
        <f t="shared" si="9"/>
        <v>Material Construtivo</v>
      </c>
      <c r="N49" s="32" t="str">
        <f t="shared" si="9"/>
        <v>Tubos Metálicos</v>
      </c>
      <c r="O49" s="32" t="str">
        <f t="shared" si="9"/>
        <v>Tubo de Aço Galvanizado</v>
      </c>
      <c r="P49" s="60" t="s">
        <v>598</v>
      </c>
      <c r="Q49" s="65" t="s">
        <v>599</v>
      </c>
      <c r="R49" s="65" t="s">
        <v>600</v>
      </c>
      <c r="S49" s="67" t="s">
        <v>9</v>
      </c>
      <c r="T49" s="29" t="str">
        <f t="shared" si="5"/>
        <v>De Materialidade</v>
      </c>
      <c r="U49" s="29" t="str">
        <f t="shared" si="5"/>
        <v>Material Construtivo</v>
      </c>
      <c r="V49" s="29" t="str">
        <f t="shared" si="5"/>
        <v>Tubos Metálicos</v>
      </c>
      <c r="W49" s="29" t="s">
        <v>152</v>
      </c>
      <c r="X49" s="57" t="str">
        <f t="shared" si="3"/>
        <v>Key-HIDR-49</v>
      </c>
      <c r="Y49" s="29" t="s">
        <v>521</v>
      </c>
      <c r="Z49" s="61" t="s">
        <v>9</v>
      </c>
      <c r="AA49" s="29" t="s">
        <v>368</v>
      </c>
      <c r="AB49" s="61" t="s">
        <v>9</v>
      </c>
      <c r="AC49" s="29" t="s">
        <v>378</v>
      </c>
      <c r="AD49" s="61" t="s">
        <v>9</v>
      </c>
    </row>
    <row r="50" spans="1:30" s="53" customFormat="1" ht="6" customHeight="1" x14ac:dyDescent="0.4">
      <c r="A50" s="56">
        <v>50</v>
      </c>
      <c r="B50" s="1" t="s">
        <v>243</v>
      </c>
      <c r="C50" s="1" t="s">
        <v>367</v>
      </c>
      <c r="D50" s="1" t="s">
        <v>382</v>
      </c>
      <c r="E50" s="1" t="s">
        <v>589</v>
      </c>
      <c r="F50" s="66" t="s">
        <v>601</v>
      </c>
      <c r="G50" s="58" t="s">
        <v>9</v>
      </c>
      <c r="H50" s="58" t="s">
        <v>9</v>
      </c>
      <c r="I50" s="58" t="s">
        <v>9</v>
      </c>
      <c r="J50" s="58" t="s">
        <v>9</v>
      </c>
      <c r="K50" s="58" t="s">
        <v>9</v>
      </c>
      <c r="L50" s="32" t="str">
        <f t="shared" si="9"/>
        <v>De Materialidade</v>
      </c>
      <c r="M50" s="32" t="str">
        <f t="shared" si="9"/>
        <v>Material Construtivo</v>
      </c>
      <c r="N50" s="32" t="str">
        <f t="shared" si="9"/>
        <v>Tubos Metálicos</v>
      </c>
      <c r="O50" s="32" t="str">
        <f t="shared" si="9"/>
        <v>Tubo de Aço Inoxidável</v>
      </c>
      <c r="P50" s="60" t="s">
        <v>602</v>
      </c>
      <c r="Q50" s="65" t="s">
        <v>603</v>
      </c>
      <c r="R50" s="65" t="s">
        <v>604</v>
      </c>
      <c r="S50" s="67" t="s">
        <v>9</v>
      </c>
      <c r="T50" s="29" t="str">
        <f t="shared" ref="T50:V62" si="10">SUBSTITUTE(C50, ".", " ")</f>
        <v>De Materialidade</v>
      </c>
      <c r="U50" s="29" t="str">
        <f t="shared" si="10"/>
        <v>Material Construtivo</v>
      </c>
      <c r="V50" s="29" t="str">
        <f t="shared" si="10"/>
        <v>Tubos Metálicos</v>
      </c>
      <c r="W50" s="29" t="s">
        <v>152</v>
      </c>
      <c r="X50" s="57" t="str">
        <f t="shared" si="3"/>
        <v>Key-HIDR-50</v>
      </c>
      <c r="Y50" s="29" t="s">
        <v>521</v>
      </c>
      <c r="Z50" s="61" t="s">
        <v>9</v>
      </c>
      <c r="AA50" s="29" t="s">
        <v>368</v>
      </c>
      <c r="AB50" s="61" t="s">
        <v>9</v>
      </c>
      <c r="AC50" s="29" t="s">
        <v>378</v>
      </c>
      <c r="AD50" s="61" t="s">
        <v>9</v>
      </c>
    </row>
    <row r="51" spans="1:30" s="54" customFormat="1" ht="6" customHeight="1" x14ac:dyDescent="0.4">
      <c r="A51" s="56">
        <v>51</v>
      </c>
      <c r="B51" s="1" t="s">
        <v>243</v>
      </c>
      <c r="C51" s="1" t="s">
        <v>367</v>
      </c>
      <c r="D51" s="1" t="s">
        <v>382</v>
      </c>
      <c r="E51" s="1" t="s">
        <v>589</v>
      </c>
      <c r="F51" s="66" t="s">
        <v>605</v>
      </c>
      <c r="G51" s="58" t="s">
        <v>9</v>
      </c>
      <c r="H51" s="58" t="s">
        <v>9</v>
      </c>
      <c r="I51" s="58" t="s">
        <v>9</v>
      </c>
      <c r="J51" s="58" t="s">
        <v>9</v>
      </c>
      <c r="K51" s="58" t="s">
        <v>9</v>
      </c>
      <c r="L51" s="32" t="str">
        <f t="shared" si="9"/>
        <v>De Materialidade</v>
      </c>
      <c r="M51" s="32" t="str">
        <f t="shared" si="9"/>
        <v>Material Construtivo</v>
      </c>
      <c r="N51" s="32" t="str">
        <f t="shared" si="9"/>
        <v>Tubos Metálicos</v>
      </c>
      <c r="O51" s="32" t="str">
        <f t="shared" si="9"/>
        <v>Tubo de Alumínio</v>
      </c>
      <c r="P51" s="60" t="s">
        <v>606</v>
      </c>
      <c r="Q51" s="65" t="s">
        <v>607</v>
      </c>
      <c r="R51" s="65" t="s">
        <v>608</v>
      </c>
      <c r="S51" s="67" t="s">
        <v>9</v>
      </c>
      <c r="T51" s="29" t="str">
        <f t="shared" si="10"/>
        <v>De Materialidade</v>
      </c>
      <c r="U51" s="29" t="str">
        <f t="shared" si="10"/>
        <v>Material Construtivo</v>
      </c>
      <c r="V51" s="29" t="str">
        <f t="shared" si="10"/>
        <v>Tubos Metálicos</v>
      </c>
      <c r="W51" s="29" t="s">
        <v>152</v>
      </c>
      <c r="X51" s="57" t="str">
        <f t="shared" si="3"/>
        <v>Key-HIDR-51</v>
      </c>
      <c r="Y51" s="29" t="s">
        <v>521</v>
      </c>
      <c r="Z51" s="61" t="s">
        <v>9</v>
      </c>
      <c r="AA51" s="29" t="s">
        <v>368</v>
      </c>
      <c r="AB51" s="61" t="s">
        <v>9</v>
      </c>
      <c r="AC51" s="29" t="s">
        <v>378</v>
      </c>
      <c r="AD51" s="61" t="s">
        <v>9</v>
      </c>
    </row>
    <row r="52" spans="1:30" s="54" customFormat="1" ht="6" customHeight="1" x14ac:dyDescent="0.4">
      <c r="A52" s="56">
        <v>52</v>
      </c>
      <c r="B52" s="1" t="s">
        <v>243</v>
      </c>
      <c r="C52" s="1" t="s">
        <v>367</v>
      </c>
      <c r="D52" s="1" t="s">
        <v>382</v>
      </c>
      <c r="E52" s="1" t="s">
        <v>589</v>
      </c>
      <c r="F52" s="64" t="s">
        <v>371</v>
      </c>
      <c r="G52" s="58" t="s">
        <v>9</v>
      </c>
      <c r="H52" s="58" t="s">
        <v>9</v>
      </c>
      <c r="I52" s="58" t="s">
        <v>9</v>
      </c>
      <c r="J52" s="58" t="s">
        <v>9</v>
      </c>
      <c r="K52" s="58" t="s">
        <v>9</v>
      </c>
      <c r="L52" s="32" t="str">
        <f t="shared" si="9"/>
        <v>De Materialidade</v>
      </c>
      <c r="M52" s="32" t="str">
        <f t="shared" si="9"/>
        <v>Material Construtivo</v>
      </c>
      <c r="N52" s="32" t="str">
        <f t="shared" si="9"/>
        <v>Tubos Metálicos</v>
      </c>
      <c r="O52" s="32" t="str">
        <f t="shared" si="9"/>
        <v>Tubo de Cobre</v>
      </c>
      <c r="P52" s="65" t="s">
        <v>609</v>
      </c>
      <c r="Q52" s="65" t="s">
        <v>610</v>
      </c>
      <c r="R52" s="65" t="s">
        <v>611</v>
      </c>
      <c r="S52" s="67" t="s">
        <v>9</v>
      </c>
      <c r="T52" s="29" t="str">
        <f t="shared" si="10"/>
        <v>De Materialidade</v>
      </c>
      <c r="U52" s="29" t="str">
        <f t="shared" si="10"/>
        <v>Material Construtivo</v>
      </c>
      <c r="V52" s="29" t="str">
        <f t="shared" si="10"/>
        <v>Tubos Metálicos</v>
      </c>
      <c r="W52" s="29" t="s">
        <v>152</v>
      </c>
      <c r="X52" s="57" t="str">
        <f t="shared" si="3"/>
        <v>Key-HIDR-52</v>
      </c>
      <c r="Y52" s="29" t="s">
        <v>521</v>
      </c>
      <c r="Z52" s="61" t="s">
        <v>9</v>
      </c>
      <c r="AA52" s="29" t="s">
        <v>368</v>
      </c>
      <c r="AB52" s="61" t="s">
        <v>9</v>
      </c>
      <c r="AC52" s="29" t="s">
        <v>372</v>
      </c>
      <c r="AD52" s="61" t="s">
        <v>9</v>
      </c>
    </row>
    <row r="53" spans="1:30" s="54" customFormat="1" ht="6" customHeight="1" x14ac:dyDescent="0.4">
      <c r="A53" s="56">
        <v>53</v>
      </c>
      <c r="B53" s="1" t="s">
        <v>243</v>
      </c>
      <c r="C53" s="1" t="s">
        <v>367</v>
      </c>
      <c r="D53" s="1" t="s">
        <v>382</v>
      </c>
      <c r="E53" s="1" t="s">
        <v>589</v>
      </c>
      <c r="F53" s="64" t="s">
        <v>373</v>
      </c>
      <c r="G53" s="58" t="s">
        <v>9</v>
      </c>
      <c r="H53" s="58" t="s">
        <v>9</v>
      </c>
      <c r="I53" s="58" t="s">
        <v>9</v>
      </c>
      <c r="J53" s="58" t="s">
        <v>9</v>
      </c>
      <c r="K53" s="58" t="s">
        <v>9</v>
      </c>
      <c r="L53" s="32" t="str">
        <f t="shared" si="9"/>
        <v>De Materialidade</v>
      </c>
      <c r="M53" s="32" t="str">
        <f t="shared" si="9"/>
        <v>Material Construtivo</v>
      </c>
      <c r="N53" s="32" t="str">
        <f t="shared" si="9"/>
        <v>Tubos Metálicos</v>
      </c>
      <c r="O53" s="32" t="str">
        <f t="shared" si="9"/>
        <v>Tubo de FoFo</v>
      </c>
      <c r="P53" s="65" t="s">
        <v>612</v>
      </c>
      <c r="Q53" s="65" t="s">
        <v>613</v>
      </c>
      <c r="R53" s="65" t="s">
        <v>614</v>
      </c>
      <c r="S53" s="67" t="s">
        <v>9</v>
      </c>
      <c r="T53" s="29" t="str">
        <f t="shared" si="10"/>
        <v>De Materialidade</v>
      </c>
      <c r="U53" s="29" t="str">
        <f t="shared" si="10"/>
        <v>Material Construtivo</v>
      </c>
      <c r="V53" s="29" t="str">
        <f t="shared" si="10"/>
        <v>Tubos Metálicos</v>
      </c>
      <c r="W53" s="29" t="s">
        <v>152</v>
      </c>
      <c r="X53" s="57" t="str">
        <f t="shared" si="3"/>
        <v>Key-HIDR-53</v>
      </c>
      <c r="Y53" s="29" t="s">
        <v>521</v>
      </c>
      <c r="Z53" s="61" t="s">
        <v>9</v>
      </c>
      <c r="AA53" s="29" t="s">
        <v>368</v>
      </c>
      <c r="AB53" s="61" t="s">
        <v>9</v>
      </c>
      <c r="AC53" s="29" t="s">
        <v>374</v>
      </c>
      <c r="AD53" s="61" t="s">
        <v>9</v>
      </c>
    </row>
    <row r="54" spans="1:30" s="54" customFormat="1" ht="6" customHeight="1" x14ac:dyDescent="0.4">
      <c r="A54" s="56">
        <v>54</v>
      </c>
      <c r="B54" s="1" t="s">
        <v>243</v>
      </c>
      <c r="C54" s="1" t="s">
        <v>367</v>
      </c>
      <c r="D54" s="1" t="s">
        <v>382</v>
      </c>
      <c r="E54" s="1" t="s">
        <v>589</v>
      </c>
      <c r="F54" s="64" t="s">
        <v>375</v>
      </c>
      <c r="G54" s="58" t="s">
        <v>9</v>
      </c>
      <c r="H54" s="58" t="s">
        <v>9</v>
      </c>
      <c r="I54" s="58" t="s">
        <v>9</v>
      </c>
      <c r="J54" s="58" t="s">
        <v>9</v>
      </c>
      <c r="K54" s="58" t="s">
        <v>9</v>
      </c>
      <c r="L54" s="32" t="str">
        <f t="shared" si="9"/>
        <v>De Materialidade</v>
      </c>
      <c r="M54" s="32" t="str">
        <f t="shared" si="9"/>
        <v>Material Construtivo</v>
      </c>
      <c r="N54" s="32" t="str">
        <f t="shared" si="9"/>
        <v>Tubos Metálicos</v>
      </c>
      <c r="O54" s="32" t="str">
        <f t="shared" si="9"/>
        <v>Tubo de Latão</v>
      </c>
      <c r="P54" s="65" t="s">
        <v>615</v>
      </c>
      <c r="Q54" s="65" t="s">
        <v>616</v>
      </c>
      <c r="R54" s="65" t="s">
        <v>617</v>
      </c>
      <c r="S54" s="67" t="s">
        <v>9</v>
      </c>
      <c r="T54" s="29" t="str">
        <f t="shared" si="10"/>
        <v>De Materialidade</v>
      </c>
      <c r="U54" s="29" t="str">
        <f t="shared" si="10"/>
        <v>Material Construtivo</v>
      </c>
      <c r="V54" s="29" t="str">
        <f t="shared" si="10"/>
        <v>Tubos Metálicos</v>
      </c>
      <c r="W54" s="29" t="s">
        <v>152</v>
      </c>
      <c r="X54" s="57" t="str">
        <f t="shared" si="3"/>
        <v>Key-HIDR-54</v>
      </c>
      <c r="Y54" s="29" t="s">
        <v>521</v>
      </c>
      <c r="Z54" s="61" t="s">
        <v>9</v>
      </c>
      <c r="AA54" s="29" t="s">
        <v>368</v>
      </c>
      <c r="AB54" s="61" t="s">
        <v>9</v>
      </c>
      <c r="AC54" s="29" t="s">
        <v>376</v>
      </c>
      <c r="AD54" s="61" t="s">
        <v>9</v>
      </c>
    </row>
    <row r="55" spans="1:30" s="54" customFormat="1" ht="6" customHeight="1" x14ac:dyDescent="0.4">
      <c r="A55" s="56">
        <v>55</v>
      </c>
      <c r="B55" s="1" t="s">
        <v>243</v>
      </c>
      <c r="C55" s="1" t="s">
        <v>367</v>
      </c>
      <c r="D55" s="1" t="s">
        <v>382</v>
      </c>
      <c r="E55" s="1" t="s">
        <v>618</v>
      </c>
      <c r="F55" s="64" t="s">
        <v>379</v>
      </c>
      <c r="G55" s="58" t="s">
        <v>9</v>
      </c>
      <c r="H55" s="58" t="s">
        <v>9</v>
      </c>
      <c r="I55" s="58" t="s">
        <v>9</v>
      </c>
      <c r="J55" s="58" t="s">
        <v>9</v>
      </c>
      <c r="K55" s="58" t="s">
        <v>9</v>
      </c>
      <c r="L55" s="32" t="str">
        <f t="shared" si="9"/>
        <v>De Materialidade</v>
      </c>
      <c r="M55" s="32" t="str">
        <f t="shared" si="9"/>
        <v>Material Construtivo</v>
      </c>
      <c r="N55" s="32" t="str">
        <f t="shared" si="9"/>
        <v>Tubos Plásticos</v>
      </c>
      <c r="O55" s="32" t="str">
        <f t="shared" si="9"/>
        <v>Tubo de PVC</v>
      </c>
      <c r="P55" s="65" t="s">
        <v>619</v>
      </c>
      <c r="Q55" s="65" t="s">
        <v>620</v>
      </c>
      <c r="R55" s="65" t="s">
        <v>621</v>
      </c>
      <c r="S55" s="67" t="s">
        <v>9</v>
      </c>
      <c r="T55" s="29" t="str">
        <f t="shared" si="10"/>
        <v>De Materialidade</v>
      </c>
      <c r="U55" s="29" t="str">
        <f t="shared" si="10"/>
        <v>Material Construtivo</v>
      </c>
      <c r="V55" s="29" t="str">
        <f t="shared" si="10"/>
        <v>Tubos Plásticos</v>
      </c>
      <c r="W55" s="29" t="s">
        <v>152</v>
      </c>
      <c r="X55" s="57" t="str">
        <f t="shared" si="3"/>
        <v>Key-HIDR-55</v>
      </c>
      <c r="Y55" s="29" t="s">
        <v>521</v>
      </c>
      <c r="Z55" s="61" t="s">
        <v>9</v>
      </c>
      <c r="AA55" s="29" t="s">
        <v>368</v>
      </c>
      <c r="AB55" s="61" t="s">
        <v>9</v>
      </c>
      <c r="AC55" s="29" t="s">
        <v>380</v>
      </c>
      <c r="AD55" s="61" t="s">
        <v>9</v>
      </c>
    </row>
    <row r="56" spans="1:30" s="54" customFormat="1" ht="6" customHeight="1" x14ac:dyDescent="0.4">
      <c r="A56" s="56">
        <v>56</v>
      </c>
      <c r="B56" s="1" t="s">
        <v>243</v>
      </c>
      <c r="C56" s="1" t="s">
        <v>367</v>
      </c>
      <c r="D56" s="1" t="s">
        <v>382</v>
      </c>
      <c r="E56" s="1" t="s">
        <v>618</v>
      </c>
      <c r="F56" s="64" t="s">
        <v>381</v>
      </c>
      <c r="G56" s="58" t="s">
        <v>9</v>
      </c>
      <c r="H56" s="58" t="s">
        <v>9</v>
      </c>
      <c r="I56" s="58" t="s">
        <v>9</v>
      </c>
      <c r="J56" s="58" t="s">
        <v>9</v>
      </c>
      <c r="K56" s="58" t="s">
        <v>9</v>
      </c>
      <c r="L56" s="32" t="str">
        <f t="shared" si="9"/>
        <v>De Materialidade</v>
      </c>
      <c r="M56" s="32" t="str">
        <f t="shared" si="9"/>
        <v>Material Construtivo</v>
      </c>
      <c r="N56" s="32" t="str">
        <f t="shared" si="9"/>
        <v>Tubos Plásticos</v>
      </c>
      <c r="O56" s="32" t="str">
        <f t="shared" si="9"/>
        <v>Tubo de PVCO</v>
      </c>
      <c r="P56" s="65" t="s">
        <v>622</v>
      </c>
      <c r="Q56" s="65" t="s">
        <v>623</v>
      </c>
      <c r="R56" s="65" t="s">
        <v>624</v>
      </c>
      <c r="S56" s="67" t="s">
        <v>9</v>
      </c>
      <c r="T56" s="29" t="str">
        <f t="shared" si="10"/>
        <v>De Materialidade</v>
      </c>
      <c r="U56" s="29" t="str">
        <f t="shared" si="10"/>
        <v>Material Construtivo</v>
      </c>
      <c r="V56" s="29" t="str">
        <f t="shared" si="10"/>
        <v>Tubos Plásticos</v>
      </c>
      <c r="W56" s="29" t="s">
        <v>152</v>
      </c>
      <c r="X56" s="57" t="str">
        <f t="shared" si="3"/>
        <v>Key-HIDR-56</v>
      </c>
      <c r="Y56" s="29" t="s">
        <v>521</v>
      </c>
      <c r="Z56" s="61" t="s">
        <v>9</v>
      </c>
      <c r="AA56" s="29" t="s">
        <v>368</v>
      </c>
      <c r="AB56" s="61" t="s">
        <v>9</v>
      </c>
      <c r="AC56" s="29" t="s">
        <v>380</v>
      </c>
      <c r="AD56" s="61" t="s">
        <v>9</v>
      </c>
    </row>
    <row r="57" spans="1:30" s="54" customFormat="1" ht="6" customHeight="1" x14ac:dyDescent="0.4">
      <c r="A57" s="56">
        <v>57</v>
      </c>
      <c r="B57" s="1" t="s">
        <v>243</v>
      </c>
      <c r="C57" s="1" t="s">
        <v>367</v>
      </c>
      <c r="D57" s="1" t="s">
        <v>382</v>
      </c>
      <c r="E57" s="1" t="s">
        <v>625</v>
      </c>
      <c r="F57" s="64" t="s">
        <v>377</v>
      </c>
      <c r="G57" s="58" t="s">
        <v>9</v>
      </c>
      <c r="H57" s="58" t="s">
        <v>9</v>
      </c>
      <c r="I57" s="58" t="s">
        <v>9</v>
      </c>
      <c r="J57" s="58" t="s">
        <v>9</v>
      </c>
      <c r="K57" s="58" t="s">
        <v>9</v>
      </c>
      <c r="L57" s="32" t="str">
        <f t="shared" si="9"/>
        <v>De Materialidade</v>
      </c>
      <c r="M57" s="32" t="str">
        <f t="shared" si="9"/>
        <v>Material Construtivo</v>
      </c>
      <c r="N57" s="32" t="str">
        <f t="shared" si="9"/>
        <v>Tubos Termoplásticos</v>
      </c>
      <c r="O57" s="32" t="str">
        <f t="shared" si="9"/>
        <v>Tubo de PEAD</v>
      </c>
      <c r="P57" s="65" t="s">
        <v>626</v>
      </c>
      <c r="Q57" s="65" t="s">
        <v>627</v>
      </c>
      <c r="R57" s="65" t="s">
        <v>628</v>
      </c>
      <c r="S57" s="67" t="s">
        <v>9</v>
      </c>
      <c r="T57" s="29" t="str">
        <f t="shared" si="10"/>
        <v>De Materialidade</v>
      </c>
      <c r="U57" s="29" t="str">
        <f t="shared" si="10"/>
        <v>Material Construtivo</v>
      </c>
      <c r="V57" s="29" t="str">
        <f t="shared" si="10"/>
        <v>Tubos Termoplásticos</v>
      </c>
      <c r="W57" s="29" t="s">
        <v>152</v>
      </c>
      <c r="X57" s="57" t="str">
        <f t="shared" si="3"/>
        <v>Key-HIDR-57</v>
      </c>
      <c r="Y57" s="29" t="s">
        <v>521</v>
      </c>
      <c r="Z57" s="61" t="s">
        <v>9</v>
      </c>
      <c r="AA57" s="29" t="s">
        <v>368</v>
      </c>
      <c r="AB57" s="61" t="s">
        <v>9</v>
      </c>
      <c r="AC57" s="29" t="s">
        <v>378</v>
      </c>
      <c r="AD57" s="61" t="s">
        <v>9</v>
      </c>
    </row>
    <row r="58" spans="1:30" s="54" customFormat="1" ht="6" customHeight="1" x14ac:dyDescent="0.4">
      <c r="A58" s="56">
        <v>58</v>
      </c>
      <c r="B58" s="1" t="s">
        <v>243</v>
      </c>
      <c r="C58" s="1" t="s">
        <v>367</v>
      </c>
      <c r="D58" s="1" t="s">
        <v>382</v>
      </c>
      <c r="E58" s="1" t="s">
        <v>625</v>
      </c>
      <c r="F58" s="66" t="s">
        <v>629</v>
      </c>
      <c r="G58" s="58" t="s">
        <v>9</v>
      </c>
      <c r="H58" s="58" t="s">
        <v>9</v>
      </c>
      <c r="I58" s="58" t="s">
        <v>9</v>
      </c>
      <c r="J58" s="58" t="s">
        <v>9</v>
      </c>
      <c r="K58" s="58" t="s">
        <v>9</v>
      </c>
      <c r="L58" s="32" t="str">
        <f t="shared" si="9"/>
        <v>De Materialidade</v>
      </c>
      <c r="M58" s="32" t="str">
        <f t="shared" si="9"/>
        <v>Material Construtivo</v>
      </c>
      <c r="N58" s="32" t="str">
        <f t="shared" si="9"/>
        <v>Tubos Termoplásticos</v>
      </c>
      <c r="O58" s="32" t="str">
        <f t="shared" si="9"/>
        <v>Tubo de PEX</v>
      </c>
      <c r="P58" s="60" t="s">
        <v>630</v>
      </c>
      <c r="Q58" s="65" t="s">
        <v>631</v>
      </c>
      <c r="R58" s="65" t="s">
        <v>632</v>
      </c>
      <c r="S58" s="67" t="s">
        <v>9</v>
      </c>
      <c r="T58" s="29" t="str">
        <f t="shared" si="10"/>
        <v>De Materialidade</v>
      </c>
      <c r="U58" s="29" t="str">
        <f t="shared" si="10"/>
        <v>Material Construtivo</v>
      </c>
      <c r="V58" s="29" t="str">
        <f t="shared" si="10"/>
        <v>Tubos Termoplásticos</v>
      </c>
      <c r="W58" s="29" t="s">
        <v>152</v>
      </c>
      <c r="X58" s="57" t="str">
        <f t="shared" si="3"/>
        <v>Key-HIDR-58</v>
      </c>
      <c r="Y58" s="29" t="s">
        <v>521</v>
      </c>
      <c r="Z58" s="61" t="s">
        <v>9</v>
      </c>
      <c r="AA58" s="29" t="s">
        <v>368</v>
      </c>
      <c r="AB58" s="61" t="s">
        <v>9</v>
      </c>
      <c r="AC58" s="29" t="s">
        <v>378</v>
      </c>
      <c r="AD58" s="61" t="s">
        <v>9</v>
      </c>
    </row>
    <row r="59" spans="1:30" s="54" customFormat="1" ht="6" customHeight="1" x14ac:dyDescent="0.4">
      <c r="A59" s="56">
        <v>59</v>
      </c>
      <c r="B59" s="1" t="s">
        <v>243</v>
      </c>
      <c r="C59" s="1" t="s">
        <v>367</v>
      </c>
      <c r="D59" s="1" t="s">
        <v>382</v>
      </c>
      <c r="E59" s="1" t="s">
        <v>625</v>
      </c>
      <c r="F59" s="66" t="s">
        <v>633</v>
      </c>
      <c r="G59" s="58" t="s">
        <v>9</v>
      </c>
      <c r="H59" s="58" t="s">
        <v>9</v>
      </c>
      <c r="I59" s="58" t="s">
        <v>9</v>
      </c>
      <c r="J59" s="58" t="s">
        <v>9</v>
      </c>
      <c r="K59" s="58" t="s">
        <v>9</v>
      </c>
      <c r="L59" s="32" t="str">
        <f t="shared" si="9"/>
        <v>De Materialidade</v>
      </c>
      <c r="M59" s="32" t="str">
        <f t="shared" si="9"/>
        <v>Material Construtivo</v>
      </c>
      <c r="N59" s="32" t="str">
        <f t="shared" si="9"/>
        <v>Tubos Termoplásticos</v>
      </c>
      <c r="O59" s="32" t="str">
        <f t="shared" si="9"/>
        <v>Tubo de PPR</v>
      </c>
      <c r="P59" s="60" t="s">
        <v>630</v>
      </c>
      <c r="Q59" s="65" t="s">
        <v>631</v>
      </c>
      <c r="R59" s="65" t="s">
        <v>632</v>
      </c>
      <c r="S59" s="67" t="s">
        <v>9</v>
      </c>
      <c r="T59" s="29" t="str">
        <f t="shared" si="10"/>
        <v>De Materialidade</v>
      </c>
      <c r="U59" s="29" t="str">
        <f t="shared" si="10"/>
        <v>Material Construtivo</v>
      </c>
      <c r="V59" s="29" t="str">
        <f t="shared" si="10"/>
        <v>Tubos Termoplásticos</v>
      </c>
      <c r="W59" s="29" t="s">
        <v>152</v>
      </c>
      <c r="X59" s="57" t="str">
        <f t="shared" si="3"/>
        <v>Key-HIDR-59</v>
      </c>
      <c r="Y59" s="29" t="s">
        <v>521</v>
      </c>
      <c r="Z59" s="61" t="s">
        <v>9</v>
      </c>
      <c r="AA59" s="29" t="s">
        <v>368</v>
      </c>
      <c r="AB59" s="61" t="s">
        <v>9</v>
      </c>
      <c r="AC59" s="29" t="s">
        <v>378</v>
      </c>
      <c r="AD59" s="61" t="s">
        <v>9</v>
      </c>
    </row>
    <row r="60" spans="1:30" s="54" customFormat="1" ht="6" customHeight="1" x14ac:dyDescent="0.4">
      <c r="A60" s="56">
        <v>60</v>
      </c>
      <c r="B60" s="1" t="s">
        <v>243</v>
      </c>
      <c r="C60" s="1" t="s">
        <v>367</v>
      </c>
      <c r="D60" s="1" t="s">
        <v>634</v>
      </c>
      <c r="E60" s="1" t="s">
        <v>635</v>
      </c>
      <c r="F60" s="66" t="s">
        <v>636</v>
      </c>
      <c r="G60" s="58" t="s">
        <v>9</v>
      </c>
      <c r="H60" s="58" t="s">
        <v>9</v>
      </c>
      <c r="I60" s="58" t="s">
        <v>9</v>
      </c>
      <c r="J60" s="58" t="s">
        <v>9</v>
      </c>
      <c r="K60" s="58" t="s">
        <v>9</v>
      </c>
      <c r="L60" s="32" t="str">
        <f t="shared" si="9"/>
        <v>De Materialidade</v>
      </c>
      <c r="M60" s="32" t="str">
        <f t="shared" si="9"/>
        <v>Material Catalogado</v>
      </c>
      <c r="N60" s="32" t="str">
        <f t="shared" si="9"/>
        <v>Catálogos de Materiais</v>
      </c>
      <c r="O60" s="32" t="str">
        <f t="shared" si="9"/>
        <v>Catálogo de Fabricante</v>
      </c>
      <c r="P60" s="60" t="s">
        <v>637</v>
      </c>
      <c r="Q60" s="65" t="s">
        <v>638</v>
      </c>
      <c r="R60" s="65" t="s">
        <v>639</v>
      </c>
      <c r="S60" s="67" t="s">
        <v>9</v>
      </c>
      <c r="T60" s="29" t="str">
        <f t="shared" si="10"/>
        <v>De Materialidade</v>
      </c>
      <c r="U60" s="29" t="str">
        <f t="shared" si="10"/>
        <v>Material Catalogado</v>
      </c>
      <c r="V60" s="29" t="str">
        <f t="shared" si="10"/>
        <v>Catálogos de Materiais</v>
      </c>
      <c r="W60" s="29" t="s">
        <v>152</v>
      </c>
      <c r="X60" s="57" t="str">
        <f t="shared" si="3"/>
        <v>Key-HIDR-60</v>
      </c>
      <c r="Y60" s="29" t="s">
        <v>521</v>
      </c>
      <c r="Z60" s="61" t="s">
        <v>9</v>
      </c>
      <c r="AA60" s="29" t="s">
        <v>368</v>
      </c>
      <c r="AB60" s="61" t="s">
        <v>9</v>
      </c>
      <c r="AC60" s="29" t="s">
        <v>378</v>
      </c>
      <c r="AD60" s="61" t="s">
        <v>9</v>
      </c>
    </row>
    <row r="61" spans="1:30" s="54" customFormat="1" ht="6" customHeight="1" x14ac:dyDescent="0.4">
      <c r="A61" s="56">
        <v>61</v>
      </c>
      <c r="B61" s="1" t="s">
        <v>243</v>
      </c>
      <c r="C61" s="1" t="s">
        <v>367</v>
      </c>
      <c r="D61" s="1" t="s">
        <v>634</v>
      </c>
      <c r="E61" s="1" t="s">
        <v>635</v>
      </c>
      <c r="F61" s="66" t="s">
        <v>640</v>
      </c>
      <c r="G61" s="58" t="s">
        <v>9</v>
      </c>
      <c r="H61" s="58" t="s">
        <v>9</v>
      </c>
      <c r="I61" s="58" t="s">
        <v>9</v>
      </c>
      <c r="J61" s="58" t="s">
        <v>9</v>
      </c>
      <c r="K61" s="58" t="s">
        <v>9</v>
      </c>
      <c r="L61" s="32" t="str">
        <f t="shared" si="9"/>
        <v>De Materialidade</v>
      </c>
      <c r="M61" s="32" t="str">
        <f t="shared" si="9"/>
        <v>Material Catalogado</v>
      </c>
      <c r="N61" s="32" t="str">
        <f t="shared" si="9"/>
        <v>Catálogos de Materiais</v>
      </c>
      <c r="O61" s="32" t="str">
        <f t="shared" si="9"/>
        <v>Catálogo de Fornecedor</v>
      </c>
      <c r="P61" s="60" t="s">
        <v>641</v>
      </c>
      <c r="Q61" s="65" t="s">
        <v>642</v>
      </c>
      <c r="R61" s="65" t="s">
        <v>643</v>
      </c>
      <c r="S61" s="67" t="s">
        <v>9</v>
      </c>
      <c r="T61" s="29" t="str">
        <f t="shared" si="10"/>
        <v>De Materialidade</v>
      </c>
      <c r="U61" s="29" t="str">
        <f t="shared" si="10"/>
        <v>Material Catalogado</v>
      </c>
      <c r="V61" s="29" t="str">
        <f t="shared" si="10"/>
        <v>Catálogos de Materiais</v>
      </c>
      <c r="W61" s="29" t="s">
        <v>152</v>
      </c>
      <c r="X61" s="57" t="str">
        <f t="shared" si="3"/>
        <v>Key-HIDR-61</v>
      </c>
      <c r="Y61" s="29" t="s">
        <v>521</v>
      </c>
      <c r="Z61" s="61" t="s">
        <v>9</v>
      </c>
      <c r="AA61" s="29" t="s">
        <v>368</v>
      </c>
      <c r="AB61" s="61" t="s">
        <v>9</v>
      </c>
      <c r="AC61" s="29" t="s">
        <v>378</v>
      </c>
      <c r="AD61" s="61" t="s">
        <v>9</v>
      </c>
    </row>
    <row r="62" spans="1:30" s="54" customFormat="1" ht="6" customHeight="1" x14ac:dyDescent="0.4">
      <c r="A62" s="56">
        <v>62</v>
      </c>
      <c r="B62" s="1" t="s">
        <v>243</v>
      </c>
      <c r="C62" s="1" t="s">
        <v>367</v>
      </c>
      <c r="D62" s="1" t="s">
        <v>634</v>
      </c>
      <c r="E62" s="1" t="s">
        <v>635</v>
      </c>
      <c r="F62" s="66" t="s">
        <v>644</v>
      </c>
      <c r="G62" s="58" t="s">
        <v>9</v>
      </c>
      <c r="H62" s="58" t="s">
        <v>9</v>
      </c>
      <c r="I62" s="58" t="s">
        <v>9</v>
      </c>
      <c r="J62" s="58" t="s">
        <v>9</v>
      </c>
      <c r="K62" s="58" t="s">
        <v>9</v>
      </c>
      <c r="L62" s="32" t="str">
        <f t="shared" si="9"/>
        <v>De Materialidade</v>
      </c>
      <c r="M62" s="32" t="str">
        <f t="shared" si="9"/>
        <v>Material Catalogado</v>
      </c>
      <c r="N62" s="32" t="str">
        <f t="shared" si="9"/>
        <v>Catálogos de Materiais</v>
      </c>
      <c r="O62" s="32" t="str">
        <f t="shared" si="9"/>
        <v>Catálogo de Construtor</v>
      </c>
      <c r="P62" s="60" t="s">
        <v>645</v>
      </c>
      <c r="Q62" s="60" t="s">
        <v>646</v>
      </c>
      <c r="R62" s="65" t="s">
        <v>647</v>
      </c>
      <c r="S62" s="67" t="s">
        <v>9</v>
      </c>
      <c r="T62" s="29" t="str">
        <f t="shared" si="10"/>
        <v>De Materialidade</v>
      </c>
      <c r="U62" s="29" t="str">
        <f t="shared" si="10"/>
        <v>Material Catalogado</v>
      </c>
      <c r="V62" s="29" t="str">
        <f t="shared" si="10"/>
        <v>Catálogos de Materiais</v>
      </c>
      <c r="W62" s="29" t="s">
        <v>152</v>
      </c>
      <c r="X62" s="57" t="str">
        <f t="shared" si="3"/>
        <v>Key-HIDR-62</v>
      </c>
      <c r="Y62" s="29" t="s">
        <v>521</v>
      </c>
      <c r="Z62" s="61" t="s">
        <v>9</v>
      </c>
      <c r="AA62" s="29" t="s">
        <v>368</v>
      </c>
      <c r="AB62" s="61" t="s">
        <v>9</v>
      </c>
      <c r="AC62" s="29" t="s">
        <v>378</v>
      </c>
      <c r="AD62" s="61" t="s">
        <v>9</v>
      </c>
    </row>
    <row r="63" spans="1:30" ht="6.65" customHeight="1" x14ac:dyDescent="0.4">
      <c r="A63" s="56">
        <v>63</v>
      </c>
      <c r="B63" s="1" t="s">
        <v>243</v>
      </c>
      <c r="C63" s="41" t="s">
        <v>244</v>
      </c>
      <c r="D63" s="41" t="s">
        <v>246</v>
      </c>
      <c r="E63" s="41" t="s">
        <v>254</v>
      </c>
      <c r="F63" s="41" t="s">
        <v>153</v>
      </c>
      <c r="G63" s="58" t="s">
        <v>9</v>
      </c>
      <c r="H63" s="58" t="s">
        <v>9</v>
      </c>
      <c r="I63" s="58" t="s">
        <v>9</v>
      </c>
      <c r="J63" s="58" t="s">
        <v>9</v>
      </c>
      <c r="K63" s="58" t="s">
        <v>9</v>
      </c>
      <c r="L63" s="32" t="str">
        <f t="shared" ref="L63:L64" si="11">CONCATENATE("", C63)</f>
        <v>Sistemas.Prediais</v>
      </c>
      <c r="M63" s="32" t="str">
        <f t="shared" ref="M63:M64" si="12">CONCATENATE("", D63)</f>
        <v>Sistemas.Hidrossanitários</v>
      </c>
      <c r="N63" s="32" t="str">
        <f t="shared" ref="N63:N64" si="13">(SUBSTITUTE(SUBSTITUTE(CONCATENATE("",E63),"."," ")," De "," de "))</f>
        <v>Sistemas Sanitários</v>
      </c>
      <c r="O63" s="29" t="str">
        <f t="shared" ref="O63:O64" si="14">IF(ISNUMBER(FIND("Ifc",F63)),CONCATENATE("Classe IFC:   ",F63),CONCATENATE("",F63))</f>
        <v>Sistema.ESG</v>
      </c>
      <c r="P63" s="51" t="s">
        <v>265</v>
      </c>
      <c r="Q63" s="51" t="s">
        <v>259</v>
      </c>
      <c r="R63" s="29" t="s">
        <v>297</v>
      </c>
      <c r="S63" s="67" t="s">
        <v>9</v>
      </c>
      <c r="T63" s="29" t="s">
        <v>151</v>
      </c>
      <c r="U63" s="29" t="s">
        <v>150</v>
      </c>
      <c r="V63" s="29" t="str">
        <f t="shared" ref="V63:V64" si="15">SUBSTITUTE(E63, "_", " ")</f>
        <v>Sistemas.Sanitários</v>
      </c>
      <c r="W63" s="29" t="s">
        <v>152</v>
      </c>
      <c r="X63" s="57" t="str">
        <f t="shared" si="3"/>
        <v>Key-HIDR-63</v>
      </c>
      <c r="Y63" s="28" t="s">
        <v>188</v>
      </c>
      <c r="Z63" s="61" t="s">
        <v>9</v>
      </c>
      <c r="AA63" s="28" t="s">
        <v>226</v>
      </c>
      <c r="AB63" s="61" t="s">
        <v>9</v>
      </c>
      <c r="AC63" s="29" t="s">
        <v>126</v>
      </c>
      <c r="AD63" s="61" t="s">
        <v>9</v>
      </c>
    </row>
    <row r="64" spans="1:30" ht="6.65" customHeight="1" x14ac:dyDescent="0.4">
      <c r="A64" s="56">
        <v>64</v>
      </c>
      <c r="B64" s="1" t="s">
        <v>243</v>
      </c>
      <c r="C64" s="41" t="s">
        <v>244</v>
      </c>
      <c r="D64" s="41" t="s">
        <v>246</v>
      </c>
      <c r="E64" s="41" t="s">
        <v>254</v>
      </c>
      <c r="F64" s="41" t="s">
        <v>256</v>
      </c>
      <c r="G64" s="58" t="s">
        <v>9</v>
      </c>
      <c r="H64" s="58" t="s">
        <v>9</v>
      </c>
      <c r="I64" s="58" t="s">
        <v>9</v>
      </c>
      <c r="J64" s="58" t="s">
        <v>9</v>
      </c>
      <c r="K64" s="58" t="s">
        <v>9</v>
      </c>
      <c r="L64" s="32" t="str">
        <f t="shared" si="11"/>
        <v>Sistemas.Prediais</v>
      </c>
      <c r="M64" s="32" t="str">
        <f t="shared" si="12"/>
        <v>Sistemas.Hidrossanitários</v>
      </c>
      <c r="N64" s="32" t="str">
        <f t="shared" si="13"/>
        <v>Sistemas Sanitários</v>
      </c>
      <c r="O64" s="29" t="str">
        <f t="shared" si="14"/>
        <v>Sistema.VEN</v>
      </c>
      <c r="P64" s="51" t="s">
        <v>264</v>
      </c>
      <c r="Q64" s="51" t="s">
        <v>258</v>
      </c>
      <c r="R64" s="29" t="s">
        <v>298</v>
      </c>
      <c r="S64" s="67" t="s">
        <v>9</v>
      </c>
      <c r="T64" s="29" t="s">
        <v>151</v>
      </c>
      <c r="U64" s="29" t="s">
        <v>150</v>
      </c>
      <c r="V64" s="29" t="str">
        <f t="shared" si="15"/>
        <v>Sistemas.Sanitários</v>
      </c>
      <c r="W64" s="29" t="s">
        <v>152</v>
      </c>
      <c r="X64" s="57" t="str">
        <f t="shared" ref="X64" si="16">CONCATENATE("Key-HIDR-",A64)</f>
        <v>Key-HIDR-64</v>
      </c>
      <c r="Y64" s="28" t="s">
        <v>188</v>
      </c>
      <c r="Z64" s="61" t="s">
        <v>9</v>
      </c>
      <c r="AA64" s="28" t="s">
        <v>257</v>
      </c>
      <c r="AB64" s="61" t="s">
        <v>9</v>
      </c>
      <c r="AC64" s="29" t="s">
        <v>126</v>
      </c>
      <c r="AD64" s="61" t="s">
        <v>9</v>
      </c>
    </row>
    <row r="65" spans="1:30" ht="6.65" customHeight="1" x14ac:dyDescent="0.4">
      <c r="A65" s="56">
        <v>65</v>
      </c>
      <c r="B65" s="1" t="s">
        <v>243</v>
      </c>
      <c r="C65" s="41" t="s">
        <v>244</v>
      </c>
      <c r="D65" s="41" t="s">
        <v>246</v>
      </c>
      <c r="E65" s="41" t="s">
        <v>255</v>
      </c>
      <c r="F65" s="41" t="s">
        <v>219</v>
      </c>
      <c r="G65" s="58" t="s">
        <v>9</v>
      </c>
      <c r="H65" s="58" t="s">
        <v>9</v>
      </c>
      <c r="I65" s="58" t="s">
        <v>9</v>
      </c>
      <c r="J65" s="58" t="s">
        <v>9</v>
      </c>
      <c r="K65" s="58" t="s">
        <v>9</v>
      </c>
      <c r="L65" s="32" t="str">
        <f t="shared" ref="L65:L75" si="17">CONCATENATE("", C65)</f>
        <v>Sistemas.Prediais</v>
      </c>
      <c r="M65" s="32" t="str">
        <f t="shared" ref="M65:M75" si="18">CONCATENATE("", D65)</f>
        <v>Sistemas.Hidrossanitários</v>
      </c>
      <c r="N65" s="32" t="str">
        <f t="shared" ref="N65:N75" si="19">(SUBSTITUTE(SUBSTITUTE(CONCATENATE("",E65),"."," ")," De "," de "))</f>
        <v>Sistemas Hidráulicos</v>
      </c>
      <c r="O65" s="29" t="str">
        <f t="shared" ref="O65:O103" si="20">IF(ISNUMBER(FIND("Ifc",F65)),CONCATENATE("Classe IFC:   ",F65),CONCATENATE("",F65))</f>
        <v>Sistema.AFR</v>
      </c>
      <c r="P65" s="51" t="s">
        <v>266</v>
      </c>
      <c r="Q65" s="51" t="s">
        <v>260</v>
      </c>
      <c r="R65" s="29" t="s">
        <v>299</v>
      </c>
      <c r="S65" s="67" t="s">
        <v>9</v>
      </c>
      <c r="T65" s="29" t="s">
        <v>151</v>
      </c>
      <c r="U65" s="29" t="s">
        <v>150</v>
      </c>
      <c r="V65" s="29" t="str">
        <f t="shared" ref="V65:V75" si="21">SUBSTITUTE(E65, "_", " ")</f>
        <v>Sistemas.Hidráulicos</v>
      </c>
      <c r="W65" s="29" t="s">
        <v>152</v>
      </c>
      <c r="X65" s="57" t="str">
        <f t="shared" ref="X65:X103" si="22">CONCATENATE("Key-HIDR-",A65)</f>
        <v>Key-HIDR-65</v>
      </c>
      <c r="Y65" s="28" t="s">
        <v>188</v>
      </c>
      <c r="Z65" s="61" t="s">
        <v>9</v>
      </c>
      <c r="AA65" s="28" t="s">
        <v>224</v>
      </c>
      <c r="AB65" s="61" t="s">
        <v>9</v>
      </c>
      <c r="AC65" s="29" t="s">
        <v>154</v>
      </c>
      <c r="AD65" s="61" t="s">
        <v>9</v>
      </c>
    </row>
    <row r="66" spans="1:30" ht="6.65" customHeight="1" x14ac:dyDescent="0.4">
      <c r="A66" s="56">
        <v>66</v>
      </c>
      <c r="B66" s="1" t="s">
        <v>243</v>
      </c>
      <c r="C66" s="41" t="s">
        <v>244</v>
      </c>
      <c r="D66" s="41" t="s">
        <v>246</v>
      </c>
      <c r="E66" s="41" t="s">
        <v>255</v>
      </c>
      <c r="F66" s="41" t="s">
        <v>220</v>
      </c>
      <c r="G66" s="58" t="s">
        <v>9</v>
      </c>
      <c r="H66" s="58" t="s">
        <v>9</v>
      </c>
      <c r="I66" s="58" t="s">
        <v>9</v>
      </c>
      <c r="J66" s="58" t="s">
        <v>9</v>
      </c>
      <c r="K66" s="58" t="s">
        <v>9</v>
      </c>
      <c r="L66" s="32" t="str">
        <f t="shared" si="17"/>
        <v>Sistemas.Prediais</v>
      </c>
      <c r="M66" s="32" t="str">
        <f t="shared" si="18"/>
        <v>Sistemas.Hidrossanitários</v>
      </c>
      <c r="N66" s="32" t="str">
        <f t="shared" si="19"/>
        <v>Sistemas Hidráulicos</v>
      </c>
      <c r="O66" s="29" t="str">
        <f t="shared" si="20"/>
        <v>Sistema.AQT</v>
      </c>
      <c r="P66" s="51" t="s">
        <v>267</v>
      </c>
      <c r="Q66" s="51" t="s">
        <v>261</v>
      </c>
      <c r="R66" s="29" t="s">
        <v>300</v>
      </c>
      <c r="S66" s="67" t="s">
        <v>9</v>
      </c>
      <c r="T66" s="29" t="s">
        <v>151</v>
      </c>
      <c r="U66" s="29" t="s">
        <v>150</v>
      </c>
      <c r="V66" s="29" t="str">
        <f t="shared" si="21"/>
        <v>Sistemas.Hidráulicos</v>
      </c>
      <c r="W66" s="29" t="s">
        <v>152</v>
      </c>
      <c r="X66" s="57" t="str">
        <f t="shared" si="22"/>
        <v>Key-HIDR-66</v>
      </c>
      <c r="Y66" s="28" t="s">
        <v>188</v>
      </c>
      <c r="Z66" s="61" t="s">
        <v>9</v>
      </c>
      <c r="AA66" s="28" t="s">
        <v>225</v>
      </c>
      <c r="AB66" s="61" t="s">
        <v>9</v>
      </c>
      <c r="AC66" s="29" t="s">
        <v>154</v>
      </c>
      <c r="AD66" s="61" t="s">
        <v>9</v>
      </c>
    </row>
    <row r="67" spans="1:30" ht="6.65" customHeight="1" x14ac:dyDescent="0.4">
      <c r="A67" s="56">
        <v>67</v>
      </c>
      <c r="B67" s="1" t="s">
        <v>243</v>
      </c>
      <c r="C67" s="41" t="s">
        <v>244</v>
      </c>
      <c r="D67" s="41" t="s">
        <v>246</v>
      </c>
      <c r="E67" s="41" t="s">
        <v>268</v>
      </c>
      <c r="F67" s="41" t="s">
        <v>262</v>
      </c>
      <c r="G67" s="58" t="s">
        <v>9</v>
      </c>
      <c r="H67" s="58" t="s">
        <v>9</v>
      </c>
      <c r="I67" s="58" t="s">
        <v>9</v>
      </c>
      <c r="J67" s="58" t="s">
        <v>9</v>
      </c>
      <c r="K67" s="58" t="s">
        <v>9</v>
      </c>
      <c r="L67" s="32" t="str">
        <f t="shared" si="17"/>
        <v>Sistemas.Prediais</v>
      </c>
      <c r="M67" s="32" t="str">
        <f t="shared" si="18"/>
        <v>Sistemas.Hidrossanitários</v>
      </c>
      <c r="N67" s="32" t="str">
        <f t="shared" si="19"/>
        <v>Sistemas Pluviais</v>
      </c>
      <c r="O67" s="29" t="str">
        <f t="shared" ref="O67" si="23">IF(ISNUMBER(FIND("Ifc",F67)),CONCATENATE("Classe IFC:   ",F67),CONCATENATE("",F67))</f>
        <v>Sistema.PLU</v>
      </c>
      <c r="P67" s="51" t="s">
        <v>263</v>
      </c>
      <c r="Q67" s="51" t="s">
        <v>263</v>
      </c>
      <c r="R67" s="29" t="s">
        <v>301</v>
      </c>
      <c r="S67" s="67" t="s">
        <v>9</v>
      </c>
      <c r="T67" s="29" t="s">
        <v>151</v>
      </c>
      <c r="U67" s="29" t="s">
        <v>150</v>
      </c>
      <c r="V67" s="29" t="str">
        <f t="shared" si="21"/>
        <v>Sistemas.Pluviais</v>
      </c>
      <c r="W67" s="29" t="s">
        <v>152</v>
      </c>
      <c r="X67" s="57" t="str">
        <f t="shared" ref="X67" si="24">CONCATENATE("Key-HIDR-",A67)</f>
        <v>Key-HIDR-67</v>
      </c>
      <c r="Y67" s="28" t="s">
        <v>188</v>
      </c>
      <c r="Z67" s="61" t="s">
        <v>9</v>
      </c>
      <c r="AA67" s="28" t="s">
        <v>257</v>
      </c>
      <c r="AB67" s="61" t="s">
        <v>9</v>
      </c>
      <c r="AC67" s="29" t="s">
        <v>126</v>
      </c>
      <c r="AD67" s="61" t="s">
        <v>9</v>
      </c>
    </row>
    <row r="68" spans="1:30" ht="6.65" customHeight="1" x14ac:dyDescent="0.4">
      <c r="A68" s="56">
        <v>68</v>
      </c>
      <c r="B68" s="1" t="s">
        <v>243</v>
      </c>
      <c r="C68" s="41" t="s">
        <v>244</v>
      </c>
      <c r="D68" s="1" t="s">
        <v>245</v>
      </c>
      <c r="E68" s="41" t="s">
        <v>218</v>
      </c>
      <c r="F68" s="41" t="s">
        <v>162</v>
      </c>
      <c r="G68" s="58" t="s">
        <v>9</v>
      </c>
      <c r="H68" s="58" t="s">
        <v>9</v>
      </c>
      <c r="I68" s="58" t="s">
        <v>9</v>
      </c>
      <c r="J68" s="58" t="s">
        <v>9</v>
      </c>
      <c r="K68" s="58" t="s">
        <v>9</v>
      </c>
      <c r="L68" s="32" t="str">
        <f t="shared" si="17"/>
        <v>Sistemas.Prediais</v>
      </c>
      <c r="M68" s="32" t="str">
        <f t="shared" si="18"/>
        <v>Elementos.Hidráulicos</v>
      </c>
      <c r="N68" s="32" t="str">
        <f t="shared" si="19"/>
        <v>Peças Hidráulicas</v>
      </c>
      <c r="O68" s="29" t="str">
        <f t="shared" si="20"/>
        <v>Torneira</v>
      </c>
      <c r="P68" s="51" t="s">
        <v>162</v>
      </c>
      <c r="Q68" s="29" t="s">
        <v>174</v>
      </c>
      <c r="R68" s="29" t="s">
        <v>302</v>
      </c>
      <c r="S68" s="67" t="s">
        <v>9</v>
      </c>
      <c r="T68" s="29" t="s">
        <v>151</v>
      </c>
      <c r="U68" s="29" t="s">
        <v>150</v>
      </c>
      <c r="V68" s="29" t="str">
        <f t="shared" si="21"/>
        <v>Peças.Hidráulicas</v>
      </c>
      <c r="W68" s="29" t="s">
        <v>152</v>
      </c>
      <c r="X68" s="57" t="str">
        <f t="shared" si="22"/>
        <v>Key-HIDR-68</v>
      </c>
      <c r="Y68" s="28" t="s">
        <v>181</v>
      </c>
      <c r="Z68" s="61" t="s">
        <v>9</v>
      </c>
      <c r="AA68" s="28" t="s">
        <v>183</v>
      </c>
      <c r="AB68" s="61" t="s">
        <v>9</v>
      </c>
      <c r="AC68" s="29" t="s">
        <v>154</v>
      </c>
      <c r="AD68" s="61" t="s">
        <v>9</v>
      </c>
    </row>
    <row r="69" spans="1:30" ht="6.65" customHeight="1" x14ac:dyDescent="0.4">
      <c r="A69" s="56">
        <v>69</v>
      </c>
      <c r="B69" s="1" t="s">
        <v>243</v>
      </c>
      <c r="C69" s="41" t="s">
        <v>244</v>
      </c>
      <c r="D69" s="1" t="s">
        <v>245</v>
      </c>
      <c r="E69" s="41" t="s">
        <v>218</v>
      </c>
      <c r="F69" s="41" t="s">
        <v>163</v>
      </c>
      <c r="G69" s="58" t="s">
        <v>9</v>
      </c>
      <c r="H69" s="58" t="s">
        <v>9</v>
      </c>
      <c r="I69" s="58" t="s">
        <v>9</v>
      </c>
      <c r="J69" s="58" t="s">
        <v>9</v>
      </c>
      <c r="K69" s="58" t="s">
        <v>9</v>
      </c>
      <c r="L69" s="32" t="str">
        <f t="shared" si="17"/>
        <v>Sistemas.Prediais</v>
      </c>
      <c r="M69" s="32" t="str">
        <f t="shared" si="18"/>
        <v>Elementos.Hidráulicos</v>
      </c>
      <c r="N69" s="32" t="str">
        <f t="shared" si="19"/>
        <v>Peças Hidráulicas</v>
      </c>
      <c r="O69" s="29" t="str">
        <f t="shared" si="20"/>
        <v>Misturador</v>
      </c>
      <c r="P69" s="51" t="s">
        <v>163</v>
      </c>
      <c r="Q69" s="29" t="s">
        <v>283</v>
      </c>
      <c r="R69" s="29" t="s">
        <v>303</v>
      </c>
      <c r="S69" s="67" t="s">
        <v>9</v>
      </c>
      <c r="T69" s="29" t="s">
        <v>151</v>
      </c>
      <c r="U69" s="29" t="s">
        <v>150</v>
      </c>
      <c r="V69" s="29" t="str">
        <f t="shared" si="21"/>
        <v>Peças.Hidráulicas</v>
      </c>
      <c r="W69" s="29" t="s">
        <v>152</v>
      </c>
      <c r="X69" s="57" t="str">
        <f t="shared" si="22"/>
        <v>Key-HIDR-69</v>
      </c>
      <c r="Y69" s="28" t="s">
        <v>181</v>
      </c>
      <c r="Z69" s="61" t="s">
        <v>9</v>
      </c>
      <c r="AA69" s="28" t="s">
        <v>183</v>
      </c>
      <c r="AB69" s="61" t="s">
        <v>9</v>
      </c>
      <c r="AC69" s="29" t="s">
        <v>154</v>
      </c>
      <c r="AD69" s="61" t="s">
        <v>9</v>
      </c>
    </row>
    <row r="70" spans="1:30" ht="6.65" customHeight="1" x14ac:dyDescent="0.4">
      <c r="A70" s="56">
        <v>70</v>
      </c>
      <c r="B70" s="1" t="s">
        <v>243</v>
      </c>
      <c r="C70" s="41" t="s">
        <v>244</v>
      </c>
      <c r="D70" s="1" t="s">
        <v>245</v>
      </c>
      <c r="E70" s="41" t="s">
        <v>218</v>
      </c>
      <c r="F70" s="41" t="s">
        <v>165</v>
      </c>
      <c r="G70" s="58" t="s">
        <v>9</v>
      </c>
      <c r="H70" s="58" t="s">
        <v>9</v>
      </c>
      <c r="I70" s="58" t="s">
        <v>9</v>
      </c>
      <c r="J70" s="58" t="s">
        <v>9</v>
      </c>
      <c r="K70" s="58" t="s">
        <v>9</v>
      </c>
      <c r="L70" s="32" t="str">
        <f t="shared" si="17"/>
        <v>Sistemas.Prediais</v>
      </c>
      <c r="M70" s="32" t="str">
        <f t="shared" si="18"/>
        <v>Elementos.Hidráulicos</v>
      </c>
      <c r="N70" s="32" t="str">
        <f t="shared" si="19"/>
        <v>Peças Hidráulicas</v>
      </c>
      <c r="O70" s="29" t="str">
        <f t="shared" si="20"/>
        <v>Registro</v>
      </c>
      <c r="P70" s="51" t="s">
        <v>165</v>
      </c>
      <c r="Q70" s="29" t="s">
        <v>165</v>
      </c>
      <c r="R70" s="29" t="s">
        <v>304</v>
      </c>
      <c r="S70" s="67" t="s">
        <v>9</v>
      </c>
      <c r="T70" s="29" t="s">
        <v>151</v>
      </c>
      <c r="U70" s="29" t="s">
        <v>150</v>
      </c>
      <c r="V70" s="29" t="str">
        <f t="shared" si="21"/>
        <v>Peças.Hidráulicas</v>
      </c>
      <c r="W70" s="29" t="s">
        <v>152</v>
      </c>
      <c r="X70" s="57" t="str">
        <f t="shared" si="22"/>
        <v>Key-HIDR-70</v>
      </c>
      <c r="Y70" s="28" t="s">
        <v>181</v>
      </c>
      <c r="Z70" s="61" t="s">
        <v>9</v>
      </c>
      <c r="AA70" s="28" t="s">
        <v>183</v>
      </c>
      <c r="AB70" s="61" t="s">
        <v>9</v>
      </c>
      <c r="AC70" s="29" t="s">
        <v>154</v>
      </c>
      <c r="AD70" s="61" t="s">
        <v>9</v>
      </c>
    </row>
    <row r="71" spans="1:30" ht="6.65" customHeight="1" x14ac:dyDescent="0.4">
      <c r="A71" s="56">
        <v>71</v>
      </c>
      <c r="B71" s="1" t="s">
        <v>243</v>
      </c>
      <c r="C71" s="41" t="s">
        <v>244</v>
      </c>
      <c r="D71" s="1" t="s">
        <v>245</v>
      </c>
      <c r="E71" s="41" t="s">
        <v>218</v>
      </c>
      <c r="F71" s="41" t="s">
        <v>164</v>
      </c>
      <c r="G71" s="58" t="s">
        <v>9</v>
      </c>
      <c r="H71" s="58" t="s">
        <v>9</v>
      </c>
      <c r="I71" s="58" t="s">
        <v>9</v>
      </c>
      <c r="J71" s="58" t="s">
        <v>9</v>
      </c>
      <c r="K71" s="58" t="s">
        <v>9</v>
      </c>
      <c r="L71" s="32" t="str">
        <f t="shared" si="17"/>
        <v>Sistemas.Prediais</v>
      </c>
      <c r="M71" s="32" t="str">
        <f t="shared" si="18"/>
        <v>Elementos.Hidráulicos</v>
      </c>
      <c r="N71" s="32" t="str">
        <f t="shared" si="19"/>
        <v>Peças Hidráulicas</v>
      </c>
      <c r="O71" s="29" t="str">
        <f t="shared" si="20"/>
        <v>Válvula</v>
      </c>
      <c r="P71" s="51" t="s">
        <v>164</v>
      </c>
      <c r="Q71" s="29" t="s">
        <v>164</v>
      </c>
      <c r="R71" s="29" t="s">
        <v>305</v>
      </c>
      <c r="S71" s="67" t="s">
        <v>9</v>
      </c>
      <c r="T71" s="29" t="s">
        <v>151</v>
      </c>
      <c r="U71" s="29" t="s">
        <v>150</v>
      </c>
      <c r="V71" s="29" t="str">
        <f t="shared" si="21"/>
        <v>Peças.Hidráulicas</v>
      </c>
      <c r="W71" s="29" t="s">
        <v>152</v>
      </c>
      <c r="X71" s="57" t="str">
        <f t="shared" si="22"/>
        <v>Key-HIDR-71</v>
      </c>
      <c r="Y71" s="28" t="s">
        <v>181</v>
      </c>
      <c r="Z71" s="61" t="s">
        <v>9</v>
      </c>
      <c r="AA71" s="28" t="s">
        <v>183</v>
      </c>
      <c r="AB71" s="61" t="s">
        <v>9</v>
      </c>
      <c r="AC71" s="29" t="s">
        <v>154</v>
      </c>
      <c r="AD71" s="61" t="s">
        <v>9</v>
      </c>
    </row>
    <row r="72" spans="1:30" ht="6.65" customHeight="1" x14ac:dyDescent="0.4">
      <c r="A72" s="56">
        <v>72</v>
      </c>
      <c r="B72" s="1" t="s">
        <v>243</v>
      </c>
      <c r="C72" s="41" t="s">
        <v>244</v>
      </c>
      <c r="D72" s="1" t="s">
        <v>245</v>
      </c>
      <c r="E72" s="41" t="s">
        <v>218</v>
      </c>
      <c r="F72" s="41" t="s">
        <v>161</v>
      </c>
      <c r="G72" s="58" t="s">
        <v>9</v>
      </c>
      <c r="H72" s="58" t="s">
        <v>9</v>
      </c>
      <c r="I72" s="58" t="s">
        <v>9</v>
      </c>
      <c r="J72" s="58" t="s">
        <v>9</v>
      </c>
      <c r="K72" s="58" t="s">
        <v>9</v>
      </c>
      <c r="L72" s="32" t="str">
        <f t="shared" ref="L72:L74" si="25">CONCATENATE("", C72)</f>
        <v>Sistemas.Prediais</v>
      </c>
      <c r="M72" s="32" t="str">
        <f t="shared" ref="M72:M74" si="26">CONCATENATE("", D72)</f>
        <v>Elementos.Hidráulicos</v>
      </c>
      <c r="N72" s="32" t="str">
        <f t="shared" ref="N72:N74" si="27">(SUBSTITUTE(SUBSTITUTE(CONCATENATE("",E72),"."," ")," De "," de "))</f>
        <v>Peças Hidráulicas</v>
      </c>
      <c r="O72" s="29" t="str">
        <f t="shared" si="20"/>
        <v>Chuveiro</v>
      </c>
      <c r="P72" s="51" t="s">
        <v>161</v>
      </c>
      <c r="Q72" s="29" t="s">
        <v>172</v>
      </c>
      <c r="R72" s="29" t="s">
        <v>306</v>
      </c>
      <c r="S72" s="67" t="s">
        <v>9</v>
      </c>
      <c r="T72" s="29" t="s">
        <v>151</v>
      </c>
      <c r="U72" s="29" t="s">
        <v>150</v>
      </c>
      <c r="V72" s="29" t="str">
        <f t="shared" ref="V72:V74" si="28">SUBSTITUTE(E72, "_", " ")</f>
        <v>Peças.Hidráulicas</v>
      </c>
      <c r="W72" s="29" t="s">
        <v>152</v>
      </c>
      <c r="X72" s="57" t="str">
        <f t="shared" si="22"/>
        <v>Key-HIDR-72</v>
      </c>
      <c r="Y72" s="28" t="s">
        <v>181</v>
      </c>
      <c r="Z72" s="61" t="s">
        <v>9</v>
      </c>
      <c r="AA72" s="28" t="s">
        <v>182</v>
      </c>
      <c r="AB72" s="61" t="s">
        <v>9</v>
      </c>
      <c r="AC72" s="29" t="s">
        <v>154</v>
      </c>
      <c r="AD72" s="61" t="s">
        <v>9</v>
      </c>
    </row>
    <row r="73" spans="1:30" ht="6.65" customHeight="1" x14ac:dyDescent="0.4">
      <c r="A73" s="56">
        <v>73</v>
      </c>
      <c r="B73" s="1" t="s">
        <v>243</v>
      </c>
      <c r="C73" s="41" t="s">
        <v>244</v>
      </c>
      <c r="D73" s="1" t="s">
        <v>245</v>
      </c>
      <c r="E73" s="41" t="s">
        <v>218</v>
      </c>
      <c r="F73" s="41" t="s">
        <v>172</v>
      </c>
      <c r="G73" s="58" t="s">
        <v>9</v>
      </c>
      <c r="H73" s="58" t="s">
        <v>9</v>
      </c>
      <c r="I73" s="58" t="s">
        <v>9</v>
      </c>
      <c r="J73" s="58" t="s">
        <v>9</v>
      </c>
      <c r="K73" s="58" t="s">
        <v>9</v>
      </c>
      <c r="L73" s="32" t="str">
        <f t="shared" si="25"/>
        <v>Sistemas.Prediais</v>
      </c>
      <c r="M73" s="32" t="str">
        <f t="shared" si="26"/>
        <v>Elementos.Hidráulicos</v>
      </c>
      <c r="N73" s="32" t="str">
        <f t="shared" si="27"/>
        <v>Peças Hidráulicas</v>
      </c>
      <c r="O73" s="29" t="str">
        <f t="shared" si="20"/>
        <v>Ducha</v>
      </c>
      <c r="P73" s="51" t="s">
        <v>173</v>
      </c>
      <c r="Q73" s="29" t="s">
        <v>173</v>
      </c>
      <c r="R73" s="29" t="s">
        <v>307</v>
      </c>
      <c r="S73" s="67" t="s">
        <v>9</v>
      </c>
      <c r="T73" s="29" t="s">
        <v>151</v>
      </c>
      <c r="U73" s="29" t="s">
        <v>150</v>
      </c>
      <c r="V73" s="29" t="str">
        <f t="shared" si="28"/>
        <v>Peças.Hidráulicas</v>
      </c>
      <c r="W73" s="29" t="s">
        <v>152</v>
      </c>
      <c r="X73" s="57" t="str">
        <f t="shared" si="22"/>
        <v>Key-HIDR-73</v>
      </c>
      <c r="Y73" s="28" t="s">
        <v>181</v>
      </c>
      <c r="Z73" s="61" t="s">
        <v>9</v>
      </c>
      <c r="AA73" s="28" t="s">
        <v>182</v>
      </c>
      <c r="AB73" s="61" t="s">
        <v>9</v>
      </c>
      <c r="AC73" s="29" t="s">
        <v>154</v>
      </c>
      <c r="AD73" s="61" t="s">
        <v>9</v>
      </c>
    </row>
    <row r="74" spans="1:30" ht="6.65" customHeight="1" x14ac:dyDescent="0.4">
      <c r="A74" s="56">
        <v>74</v>
      </c>
      <c r="B74" s="1" t="s">
        <v>243</v>
      </c>
      <c r="C74" s="41" t="s">
        <v>244</v>
      </c>
      <c r="D74" s="1" t="s">
        <v>245</v>
      </c>
      <c r="E74" s="41" t="s">
        <v>218</v>
      </c>
      <c r="F74" s="41" t="s">
        <v>230</v>
      </c>
      <c r="G74" s="58" t="s">
        <v>9</v>
      </c>
      <c r="H74" s="58" t="s">
        <v>9</v>
      </c>
      <c r="I74" s="58" t="s">
        <v>9</v>
      </c>
      <c r="J74" s="58" t="s">
        <v>9</v>
      </c>
      <c r="K74" s="58" t="s">
        <v>9</v>
      </c>
      <c r="L74" s="32" t="str">
        <f t="shared" si="25"/>
        <v>Sistemas.Prediais</v>
      </c>
      <c r="M74" s="32" t="str">
        <f t="shared" si="26"/>
        <v>Elementos.Hidráulicos</v>
      </c>
      <c r="N74" s="32" t="str">
        <f t="shared" si="27"/>
        <v>Peças Hidráulicas</v>
      </c>
      <c r="O74" s="29" t="str">
        <f t="shared" si="20"/>
        <v>Medidor.de.Água</v>
      </c>
      <c r="P74" s="51" t="s">
        <v>231</v>
      </c>
      <c r="Q74" s="51" t="s">
        <v>232</v>
      </c>
      <c r="R74" s="29" t="s">
        <v>233</v>
      </c>
      <c r="S74" s="67" t="s">
        <v>9</v>
      </c>
      <c r="T74" s="29" t="s">
        <v>151</v>
      </c>
      <c r="U74" s="29" t="s">
        <v>150</v>
      </c>
      <c r="V74" s="29" t="str">
        <f t="shared" si="28"/>
        <v>Peças.Hidráulicas</v>
      </c>
      <c r="W74" s="29" t="s">
        <v>152</v>
      </c>
      <c r="X74" s="57" t="str">
        <f t="shared" si="22"/>
        <v>Key-HIDR-74</v>
      </c>
      <c r="Y74" s="28" t="s">
        <v>240</v>
      </c>
      <c r="Z74" s="61" t="s">
        <v>9</v>
      </c>
      <c r="AA74" s="28" t="s">
        <v>229</v>
      </c>
      <c r="AB74" s="61" t="s">
        <v>9</v>
      </c>
      <c r="AC74" s="29" t="s">
        <v>154</v>
      </c>
      <c r="AD74" s="61" t="s">
        <v>9</v>
      </c>
    </row>
    <row r="75" spans="1:30" ht="6.65" customHeight="1" x14ac:dyDescent="0.4">
      <c r="A75" s="56">
        <v>75</v>
      </c>
      <c r="B75" s="1" t="s">
        <v>243</v>
      </c>
      <c r="C75" s="41" t="s">
        <v>244</v>
      </c>
      <c r="D75" s="1" t="s">
        <v>245</v>
      </c>
      <c r="E75" s="41" t="s">
        <v>218</v>
      </c>
      <c r="F75" s="41" t="s">
        <v>211</v>
      </c>
      <c r="G75" s="58" t="s">
        <v>9</v>
      </c>
      <c r="H75" s="58" t="s">
        <v>9</v>
      </c>
      <c r="I75" s="58" t="s">
        <v>9</v>
      </c>
      <c r="J75" s="58" t="s">
        <v>9</v>
      </c>
      <c r="K75" s="58" t="s">
        <v>9</v>
      </c>
      <c r="L75" s="32" t="str">
        <f t="shared" si="17"/>
        <v>Sistemas.Prediais</v>
      </c>
      <c r="M75" s="32" t="str">
        <f t="shared" si="18"/>
        <v>Elementos.Hidráulicos</v>
      </c>
      <c r="N75" s="32" t="str">
        <f t="shared" si="19"/>
        <v>Peças Hidráulicas</v>
      </c>
      <c r="O75" s="29" t="str">
        <f t="shared" si="20"/>
        <v>Acessório.Hidraúlico</v>
      </c>
      <c r="P75" s="51" t="s">
        <v>222</v>
      </c>
      <c r="Q75" s="29" t="s">
        <v>284</v>
      </c>
      <c r="R75" s="29" t="s">
        <v>308</v>
      </c>
      <c r="S75" s="67" t="s">
        <v>9</v>
      </c>
      <c r="T75" s="29" t="s">
        <v>151</v>
      </c>
      <c r="U75" s="29" t="s">
        <v>150</v>
      </c>
      <c r="V75" s="29" t="str">
        <f t="shared" si="21"/>
        <v>Peças.Hidráulicas</v>
      </c>
      <c r="W75" s="29" t="s">
        <v>152</v>
      </c>
      <c r="X75" s="57" t="str">
        <f t="shared" si="22"/>
        <v>Key-HIDR-75</v>
      </c>
      <c r="Y75" s="28" t="s">
        <v>235</v>
      </c>
      <c r="Z75" s="61" t="s">
        <v>9</v>
      </c>
      <c r="AA75" s="28" t="s">
        <v>234</v>
      </c>
      <c r="AB75" s="61" t="s">
        <v>9</v>
      </c>
      <c r="AC75" s="29" t="s">
        <v>154</v>
      </c>
      <c r="AD75" s="61" t="s">
        <v>9</v>
      </c>
    </row>
    <row r="76" spans="1:30" ht="6.65" customHeight="1" x14ac:dyDescent="0.4">
      <c r="A76" s="56">
        <v>76</v>
      </c>
      <c r="B76" s="1" t="s">
        <v>243</v>
      </c>
      <c r="C76" s="41" t="s">
        <v>244</v>
      </c>
      <c r="D76" s="1" t="s">
        <v>245</v>
      </c>
      <c r="E76" s="41" t="s">
        <v>212</v>
      </c>
      <c r="F76" s="41" t="s">
        <v>132</v>
      </c>
      <c r="G76" s="58" t="s">
        <v>9</v>
      </c>
      <c r="H76" s="58" t="s">
        <v>9</v>
      </c>
      <c r="I76" s="58" t="s">
        <v>9</v>
      </c>
      <c r="J76" s="58" t="s">
        <v>9</v>
      </c>
      <c r="K76" s="58" t="s">
        <v>9</v>
      </c>
      <c r="L76" s="32" t="str">
        <f t="shared" ref="L76:L95" si="29">CONCATENATE("", C76)</f>
        <v>Sistemas.Prediais</v>
      </c>
      <c r="M76" s="32" t="str">
        <f t="shared" ref="M76:M95" si="30">CONCATENATE("", D76)</f>
        <v>Elementos.Hidráulicos</v>
      </c>
      <c r="N76" s="32" t="str">
        <f t="shared" ref="N76:N95" si="31">(SUBSTITUTE(SUBSTITUTE(CONCATENATE("",E76),"."," ")," De "," de "))</f>
        <v>Tubulação Agua Fria</v>
      </c>
      <c r="O76" s="29" t="str">
        <f t="shared" si="20"/>
        <v>Cisterna.Superior</v>
      </c>
      <c r="P76" s="51" t="s">
        <v>138</v>
      </c>
      <c r="Q76" s="29" t="s">
        <v>138</v>
      </c>
      <c r="R76" s="29" t="s">
        <v>309</v>
      </c>
      <c r="S76" s="67" t="s">
        <v>9</v>
      </c>
      <c r="T76" s="29" t="s">
        <v>151</v>
      </c>
      <c r="U76" s="29" t="s">
        <v>150</v>
      </c>
      <c r="V76" s="29" t="str">
        <f t="shared" ref="V76:V95" si="32">SUBSTITUTE(E76, "_", " ")</f>
        <v>Tubulação.Agua.Fria</v>
      </c>
      <c r="W76" s="29" t="s">
        <v>152</v>
      </c>
      <c r="X76" s="57" t="str">
        <f t="shared" si="22"/>
        <v>Key-HIDR-76</v>
      </c>
      <c r="Y76" s="28" t="s">
        <v>247</v>
      </c>
      <c r="Z76" s="61" t="s">
        <v>9</v>
      </c>
      <c r="AA76" s="28" t="s">
        <v>184</v>
      </c>
      <c r="AB76" s="61" t="s">
        <v>9</v>
      </c>
      <c r="AC76" s="29" t="s">
        <v>154</v>
      </c>
      <c r="AD76" s="61" t="s">
        <v>9</v>
      </c>
    </row>
    <row r="77" spans="1:30" ht="6.65" customHeight="1" x14ac:dyDescent="0.4">
      <c r="A77" s="56">
        <v>77</v>
      </c>
      <c r="B77" s="1" t="s">
        <v>243</v>
      </c>
      <c r="C77" s="41" t="s">
        <v>244</v>
      </c>
      <c r="D77" s="1" t="s">
        <v>245</v>
      </c>
      <c r="E77" s="41" t="s">
        <v>212</v>
      </c>
      <c r="F77" s="41" t="s">
        <v>228</v>
      </c>
      <c r="G77" s="58" t="s">
        <v>9</v>
      </c>
      <c r="H77" s="58" t="s">
        <v>9</v>
      </c>
      <c r="I77" s="58" t="s">
        <v>9</v>
      </c>
      <c r="J77" s="58" t="s">
        <v>9</v>
      </c>
      <c r="K77" s="58" t="s">
        <v>9</v>
      </c>
      <c r="L77" s="32" t="str">
        <f t="shared" si="29"/>
        <v>Sistemas.Prediais</v>
      </c>
      <c r="M77" s="32" t="str">
        <f t="shared" si="30"/>
        <v>Elementos.Hidráulicos</v>
      </c>
      <c r="N77" s="32" t="str">
        <f t="shared" si="31"/>
        <v>Tubulação Agua Fria</v>
      </c>
      <c r="O77" s="29" t="str">
        <f t="shared" si="20"/>
        <v>Cisterna.Intermediária</v>
      </c>
      <c r="P77" s="51" t="s">
        <v>147</v>
      </c>
      <c r="Q77" s="29" t="s">
        <v>285</v>
      </c>
      <c r="R77" s="29" t="s">
        <v>310</v>
      </c>
      <c r="S77" s="67" t="s">
        <v>9</v>
      </c>
      <c r="T77" s="29" t="s">
        <v>151</v>
      </c>
      <c r="U77" s="29" t="s">
        <v>150</v>
      </c>
      <c r="V77" s="29" t="str">
        <f t="shared" si="32"/>
        <v>Tubulação.Agua.Fria</v>
      </c>
      <c r="W77" s="29" t="s">
        <v>152</v>
      </c>
      <c r="X77" s="57" t="str">
        <f t="shared" si="22"/>
        <v>Key-HIDR-77</v>
      </c>
      <c r="Y77" s="28" t="s">
        <v>247</v>
      </c>
      <c r="Z77" s="61" t="s">
        <v>9</v>
      </c>
      <c r="AA77" s="28" t="s">
        <v>184</v>
      </c>
      <c r="AB77" s="61" t="s">
        <v>9</v>
      </c>
      <c r="AC77" s="29" t="s">
        <v>154</v>
      </c>
      <c r="AD77" s="61" t="s">
        <v>9</v>
      </c>
    </row>
    <row r="78" spans="1:30" ht="6.65" customHeight="1" x14ac:dyDescent="0.4">
      <c r="A78" s="56">
        <v>78</v>
      </c>
      <c r="B78" s="1" t="s">
        <v>243</v>
      </c>
      <c r="C78" s="41" t="s">
        <v>244</v>
      </c>
      <c r="D78" s="1" t="s">
        <v>245</v>
      </c>
      <c r="E78" s="41" t="s">
        <v>212</v>
      </c>
      <c r="F78" s="41" t="s">
        <v>133</v>
      </c>
      <c r="G78" s="58" t="s">
        <v>9</v>
      </c>
      <c r="H78" s="58" t="s">
        <v>9</v>
      </c>
      <c r="I78" s="58" t="s">
        <v>9</v>
      </c>
      <c r="J78" s="58" t="s">
        <v>9</v>
      </c>
      <c r="K78" s="58" t="s">
        <v>9</v>
      </c>
      <c r="L78" s="32" t="str">
        <f t="shared" si="29"/>
        <v>Sistemas.Prediais</v>
      </c>
      <c r="M78" s="32" t="str">
        <f t="shared" si="30"/>
        <v>Elementos.Hidráulicos</v>
      </c>
      <c r="N78" s="32" t="str">
        <f t="shared" si="31"/>
        <v>Tubulação Agua Fria</v>
      </c>
      <c r="O78" s="29" t="str">
        <f t="shared" si="20"/>
        <v>Cisterna.Inferior</v>
      </c>
      <c r="P78" s="51" t="s">
        <v>139</v>
      </c>
      <c r="Q78" s="29" t="s">
        <v>139</v>
      </c>
      <c r="R78" s="29" t="s">
        <v>311</v>
      </c>
      <c r="S78" s="67" t="s">
        <v>9</v>
      </c>
      <c r="T78" s="29" t="s">
        <v>151</v>
      </c>
      <c r="U78" s="29" t="s">
        <v>150</v>
      </c>
      <c r="V78" s="29" t="str">
        <f t="shared" si="32"/>
        <v>Tubulação.Agua.Fria</v>
      </c>
      <c r="W78" s="29" t="s">
        <v>152</v>
      </c>
      <c r="X78" s="57" t="str">
        <f t="shared" si="22"/>
        <v>Key-HIDR-78</v>
      </c>
      <c r="Y78" s="28" t="s">
        <v>247</v>
      </c>
      <c r="Z78" s="61" t="s">
        <v>9</v>
      </c>
      <c r="AA78" s="28" t="s">
        <v>184</v>
      </c>
      <c r="AB78" s="61" t="s">
        <v>9</v>
      </c>
      <c r="AC78" s="29" t="s">
        <v>154</v>
      </c>
      <c r="AD78" s="61" t="s">
        <v>9</v>
      </c>
    </row>
    <row r="79" spans="1:30" ht="6.65" customHeight="1" x14ac:dyDescent="0.4">
      <c r="A79" s="56">
        <v>79</v>
      </c>
      <c r="B79" s="1" t="s">
        <v>243</v>
      </c>
      <c r="C79" s="41" t="s">
        <v>244</v>
      </c>
      <c r="D79" s="1" t="s">
        <v>245</v>
      </c>
      <c r="E79" s="41" t="s">
        <v>212</v>
      </c>
      <c r="F79" s="41" t="s">
        <v>137</v>
      </c>
      <c r="G79" s="58" t="s">
        <v>9</v>
      </c>
      <c r="H79" s="58" t="s">
        <v>9</v>
      </c>
      <c r="I79" s="58" t="s">
        <v>9</v>
      </c>
      <c r="J79" s="58" t="s">
        <v>9</v>
      </c>
      <c r="K79" s="58" t="s">
        <v>9</v>
      </c>
      <c r="L79" s="32" t="str">
        <f t="shared" si="29"/>
        <v>Sistemas.Prediais</v>
      </c>
      <c r="M79" s="32" t="str">
        <f t="shared" si="30"/>
        <v>Elementos.Hidráulicos</v>
      </c>
      <c r="N79" s="32" t="str">
        <f t="shared" si="31"/>
        <v>Tubulação Agua Fria</v>
      </c>
      <c r="O79" s="29" t="str">
        <f t="shared" si="20"/>
        <v>Tubulação.AF</v>
      </c>
      <c r="P79" s="51" t="s">
        <v>142</v>
      </c>
      <c r="Q79" s="29" t="s">
        <v>286</v>
      </c>
      <c r="R79" s="29" t="s">
        <v>312</v>
      </c>
      <c r="S79" s="67" t="s">
        <v>9</v>
      </c>
      <c r="T79" s="29" t="s">
        <v>151</v>
      </c>
      <c r="U79" s="29" t="s">
        <v>150</v>
      </c>
      <c r="V79" s="29" t="str">
        <f t="shared" si="32"/>
        <v>Tubulação.Agua.Fria</v>
      </c>
      <c r="W79" s="29" t="s">
        <v>152</v>
      </c>
      <c r="X79" s="57" t="str">
        <f t="shared" si="22"/>
        <v>Key-HIDR-79</v>
      </c>
      <c r="Y79" s="28" t="s">
        <v>247</v>
      </c>
      <c r="Z79" s="61" t="s">
        <v>9</v>
      </c>
      <c r="AA79" s="28" t="s">
        <v>248</v>
      </c>
      <c r="AB79" s="61" t="s">
        <v>9</v>
      </c>
      <c r="AC79" s="29" t="s">
        <v>154</v>
      </c>
      <c r="AD79" s="61" t="s">
        <v>9</v>
      </c>
    </row>
    <row r="80" spans="1:30" ht="6.65" customHeight="1" x14ac:dyDescent="0.4">
      <c r="A80" s="56">
        <v>80</v>
      </c>
      <c r="B80" s="1" t="s">
        <v>243</v>
      </c>
      <c r="C80" s="41" t="s">
        <v>244</v>
      </c>
      <c r="D80" s="1" t="s">
        <v>245</v>
      </c>
      <c r="E80" s="41" t="s">
        <v>213</v>
      </c>
      <c r="F80" s="41" t="s">
        <v>140</v>
      </c>
      <c r="G80" s="58" t="s">
        <v>9</v>
      </c>
      <c r="H80" s="58" t="s">
        <v>9</v>
      </c>
      <c r="I80" s="58" t="s">
        <v>9</v>
      </c>
      <c r="J80" s="58" t="s">
        <v>9</v>
      </c>
      <c r="K80" s="58" t="s">
        <v>9</v>
      </c>
      <c r="L80" s="32" t="str">
        <f t="shared" si="29"/>
        <v>Sistemas.Prediais</v>
      </c>
      <c r="M80" s="32" t="str">
        <f t="shared" si="30"/>
        <v>Elementos.Hidráulicos</v>
      </c>
      <c r="N80" s="32" t="str">
        <f t="shared" si="31"/>
        <v>Tubulação Agua Quente</v>
      </c>
      <c r="O80" s="29" t="str">
        <f t="shared" si="20"/>
        <v>Aquecedor.de.Agua</v>
      </c>
      <c r="P80" s="51" t="s">
        <v>141</v>
      </c>
      <c r="Q80" s="29" t="s">
        <v>146</v>
      </c>
      <c r="R80" s="29" t="s">
        <v>313</v>
      </c>
      <c r="S80" s="67" t="s">
        <v>9</v>
      </c>
      <c r="T80" s="29" t="s">
        <v>151</v>
      </c>
      <c r="U80" s="29" t="s">
        <v>150</v>
      </c>
      <c r="V80" s="29" t="str">
        <f t="shared" si="32"/>
        <v>Tubulação.Agua.Quente</v>
      </c>
      <c r="W80" s="29" t="s">
        <v>152</v>
      </c>
      <c r="X80" s="57" t="str">
        <f t="shared" si="22"/>
        <v>Key-HIDR-80</v>
      </c>
      <c r="Y80" s="28" t="s">
        <v>181</v>
      </c>
      <c r="Z80" s="61" t="s">
        <v>9</v>
      </c>
      <c r="AA80" s="28" t="s">
        <v>185</v>
      </c>
      <c r="AB80" s="61" t="s">
        <v>9</v>
      </c>
      <c r="AC80" s="29" t="s">
        <v>154</v>
      </c>
      <c r="AD80" s="61" t="s">
        <v>9</v>
      </c>
    </row>
    <row r="81" spans="1:30" ht="6.65" customHeight="1" x14ac:dyDescent="0.4">
      <c r="A81" s="56">
        <v>81</v>
      </c>
      <c r="B81" s="1" t="s">
        <v>243</v>
      </c>
      <c r="C81" s="41" t="s">
        <v>244</v>
      </c>
      <c r="D81" s="1" t="s">
        <v>245</v>
      </c>
      <c r="E81" s="41" t="s">
        <v>213</v>
      </c>
      <c r="F81" s="41" t="s">
        <v>134</v>
      </c>
      <c r="G81" s="58" t="s">
        <v>9</v>
      </c>
      <c r="H81" s="58" t="s">
        <v>9</v>
      </c>
      <c r="I81" s="58" t="s">
        <v>9</v>
      </c>
      <c r="J81" s="58" t="s">
        <v>9</v>
      </c>
      <c r="K81" s="58" t="s">
        <v>9</v>
      </c>
      <c r="L81" s="32" t="str">
        <f t="shared" si="29"/>
        <v>Sistemas.Prediais</v>
      </c>
      <c r="M81" s="32" t="str">
        <f t="shared" si="30"/>
        <v>Elementos.Hidráulicos</v>
      </c>
      <c r="N81" s="32" t="str">
        <f t="shared" si="31"/>
        <v>Tubulação Agua Quente</v>
      </c>
      <c r="O81" s="29" t="str">
        <f t="shared" si="20"/>
        <v>Boiler</v>
      </c>
      <c r="P81" s="51" t="s">
        <v>134</v>
      </c>
      <c r="Q81" s="29" t="s">
        <v>134</v>
      </c>
      <c r="R81" s="29" t="s">
        <v>134</v>
      </c>
      <c r="S81" s="67" t="s">
        <v>9</v>
      </c>
      <c r="T81" s="29" t="s">
        <v>151</v>
      </c>
      <c r="U81" s="29" t="s">
        <v>150</v>
      </c>
      <c r="V81" s="29" t="str">
        <f t="shared" si="32"/>
        <v>Tubulação.Agua.Quente</v>
      </c>
      <c r="W81" s="29" t="s">
        <v>152</v>
      </c>
      <c r="X81" s="57" t="str">
        <f t="shared" si="22"/>
        <v>Key-HIDR-81</v>
      </c>
      <c r="Y81" s="28" t="s">
        <v>181</v>
      </c>
      <c r="Z81" s="61" t="s">
        <v>9</v>
      </c>
      <c r="AA81" s="28" t="s">
        <v>185</v>
      </c>
      <c r="AB81" s="61" t="s">
        <v>9</v>
      </c>
      <c r="AC81" s="29" t="s">
        <v>154</v>
      </c>
      <c r="AD81" s="61" t="s">
        <v>9</v>
      </c>
    </row>
    <row r="82" spans="1:30" ht="6.65" customHeight="1" x14ac:dyDescent="0.4">
      <c r="A82" s="56">
        <v>82</v>
      </c>
      <c r="B82" s="1" t="s">
        <v>243</v>
      </c>
      <c r="C82" s="41" t="s">
        <v>244</v>
      </c>
      <c r="D82" s="1" t="s">
        <v>245</v>
      </c>
      <c r="E82" s="41" t="s">
        <v>213</v>
      </c>
      <c r="F82" s="41" t="s">
        <v>135</v>
      </c>
      <c r="G82" s="58" t="s">
        <v>9</v>
      </c>
      <c r="H82" s="58" t="s">
        <v>9</v>
      </c>
      <c r="I82" s="58" t="s">
        <v>9</v>
      </c>
      <c r="J82" s="58" t="s">
        <v>9</v>
      </c>
      <c r="K82" s="58" t="s">
        <v>9</v>
      </c>
      <c r="L82" s="32" t="str">
        <f t="shared" si="29"/>
        <v>Sistemas.Prediais</v>
      </c>
      <c r="M82" s="32" t="str">
        <f t="shared" si="30"/>
        <v>Elementos.Hidráulicos</v>
      </c>
      <c r="N82" s="32" t="str">
        <f t="shared" si="31"/>
        <v>Tubulação Agua Quente</v>
      </c>
      <c r="O82" s="29" t="str">
        <f t="shared" si="20"/>
        <v>Caldeira</v>
      </c>
      <c r="P82" s="51" t="s">
        <v>135</v>
      </c>
      <c r="Q82" s="29" t="s">
        <v>287</v>
      </c>
      <c r="R82" s="29" t="s">
        <v>134</v>
      </c>
      <c r="S82" s="67" t="s">
        <v>9</v>
      </c>
      <c r="T82" s="29" t="s">
        <v>151</v>
      </c>
      <c r="U82" s="29" t="s">
        <v>150</v>
      </c>
      <c r="V82" s="29" t="str">
        <f t="shared" si="32"/>
        <v>Tubulação.Agua.Quente</v>
      </c>
      <c r="W82" s="29" t="s">
        <v>152</v>
      </c>
      <c r="X82" s="57" t="str">
        <f t="shared" si="22"/>
        <v>Key-HIDR-82</v>
      </c>
      <c r="Y82" s="28" t="s">
        <v>181</v>
      </c>
      <c r="Z82" s="61" t="s">
        <v>9</v>
      </c>
      <c r="AA82" s="28" t="s">
        <v>186</v>
      </c>
      <c r="AB82" s="61" t="s">
        <v>9</v>
      </c>
      <c r="AC82" s="29" t="s">
        <v>154</v>
      </c>
      <c r="AD82" s="61" t="s">
        <v>9</v>
      </c>
    </row>
    <row r="83" spans="1:30" ht="6.65" customHeight="1" x14ac:dyDescent="0.4">
      <c r="A83" s="56">
        <v>83</v>
      </c>
      <c r="B83" s="1" t="s">
        <v>243</v>
      </c>
      <c r="C83" s="41" t="s">
        <v>244</v>
      </c>
      <c r="D83" s="1" t="s">
        <v>245</v>
      </c>
      <c r="E83" s="41" t="s">
        <v>213</v>
      </c>
      <c r="F83" s="41" t="s">
        <v>136</v>
      </c>
      <c r="G83" s="58" t="s">
        <v>9</v>
      </c>
      <c r="H83" s="58" t="s">
        <v>9</v>
      </c>
      <c r="I83" s="58" t="s">
        <v>9</v>
      </c>
      <c r="J83" s="58" t="s">
        <v>9</v>
      </c>
      <c r="K83" s="58" t="s">
        <v>9</v>
      </c>
      <c r="L83" s="32" t="str">
        <f t="shared" si="29"/>
        <v>Sistemas.Prediais</v>
      </c>
      <c r="M83" s="32" t="str">
        <f t="shared" si="30"/>
        <v>Elementos.Hidráulicos</v>
      </c>
      <c r="N83" s="32" t="str">
        <f t="shared" si="31"/>
        <v>Tubulação Agua Quente</v>
      </c>
      <c r="O83" s="29" t="str">
        <f t="shared" si="20"/>
        <v>Tubulação.AQ</v>
      </c>
      <c r="P83" s="51" t="s">
        <v>143</v>
      </c>
      <c r="Q83" s="29" t="s">
        <v>288</v>
      </c>
      <c r="R83" s="29" t="s">
        <v>314</v>
      </c>
      <c r="S83" s="67" t="s">
        <v>9</v>
      </c>
      <c r="T83" s="29" t="s">
        <v>151</v>
      </c>
      <c r="U83" s="29" t="s">
        <v>150</v>
      </c>
      <c r="V83" s="29" t="str">
        <f t="shared" si="32"/>
        <v>Tubulação.Agua.Quente</v>
      </c>
      <c r="W83" s="29" t="s">
        <v>152</v>
      </c>
      <c r="X83" s="57" t="str">
        <f t="shared" si="22"/>
        <v>Key-HIDR-83</v>
      </c>
      <c r="Y83" s="28" t="s">
        <v>247</v>
      </c>
      <c r="Z83" s="61" t="s">
        <v>9</v>
      </c>
      <c r="AA83" s="28" t="s">
        <v>248</v>
      </c>
      <c r="AB83" s="61" t="s">
        <v>9</v>
      </c>
      <c r="AC83" s="29" t="s">
        <v>154</v>
      </c>
      <c r="AD83" s="61" t="s">
        <v>9</v>
      </c>
    </row>
    <row r="84" spans="1:30" ht="6.65" customHeight="1" x14ac:dyDescent="0.4">
      <c r="A84" s="56">
        <v>84</v>
      </c>
      <c r="B84" s="1" t="s">
        <v>243</v>
      </c>
      <c r="C84" s="41" t="s">
        <v>244</v>
      </c>
      <c r="D84" s="1" t="s">
        <v>245</v>
      </c>
      <c r="E84" s="41" t="s">
        <v>213</v>
      </c>
      <c r="F84" s="41" t="s">
        <v>131</v>
      </c>
      <c r="G84" s="58" t="s">
        <v>9</v>
      </c>
      <c r="H84" s="58" t="s">
        <v>9</v>
      </c>
      <c r="I84" s="58" t="s">
        <v>9</v>
      </c>
      <c r="J84" s="58" t="s">
        <v>9</v>
      </c>
      <c r="K84" s="58" t="s">
        <v>9</v>
      </c>
      <c r="L84" s="32" t="str">
        <f t="shared" si="29"/>
        <v>Sistemas.Prediais</v>
      </c>
      <c r="M84" s="32" t="str">
        <f t="shared" si="30"/>
        <v>Elementos.Hidráulicos</v>
      </c>
      <c r="N84" s="32" t="str">
        <f t="shared" si="31"/>
        <v>Tubulação Agua Quente</v>
      </c>
      <c r="O84" s="29" t="str">
        <f t="shared" si="20"/>
        <v>Tubulação.Reuso</v>
      </c>
      <c r="P84" s="51" t="s">
        <v>144</v>
      </c>
      <c r="Q84" s="51" t="s">
        <v>145</v>
      </c>
      <c r="R84" s="29" t="s">
        <v>315</v>
      </c>
      <c r="S84" s="67" t="s">
        <v>9</v>
      </c>
      <c r="T84" s="29" t="s">
        <v>151</v>
      </c>
      <c r="U84" s="29" t="s">
        <v>150</v>
      </c>
      <c r="V84" s="29" t="str">
        <f t="shared" si="32"/>
        <v>Tubulação.Agua.Quente</v>
      </c>
      <c r="W84" s="29" t="s">
        <v>152</v>
      </c>
      <c r="X84" s="57" t="str">
        <f t="shared" si="22"/>
        <v>Key-HIDR-84</v>
      </c>
      <c r="Y84" s="28" t="s">
        <v>247</v>
      </c>
      <c r="Z84" s="61" t="s">
        <v>9</v>
      </c>
      <c r="AA84" s="28" t="s">
        <v>248</v>
      </c>
      <c r="AB84" s="61" t="s">
        <v>9</v>
      </c>
      <c r="AC84" s="29" t="s">
        <v>154</v>
      </c>
      <c r="AD84" s="61" t="s">
        <v>9</v>
      </c>
    </row>
    <row r="85" spans="1:30" ht="6.65" customHeight="1" x14ac:dyDescent="0.4">
      <c r="A85" s="56">
        <v>85</v>
      </c>
      <c r="B85" s="1" t="s">
        <v>243</v>
      </c>
      <c r="C85" s="41" t="s">
        <v>244</v>
      </c>
      <c r="D85" s="1" t="s">
        <v>245</v>
      </c>
      <c r="E85" s="41" t="s">
        <v>214</v>
      </c>
      <c r="F85" s="41" t="s">
        <v>168</v>
      </c>
      <c r="G85" s="58" t="s">
        <v>9</v>
      </c>
      <c r="H85" s="58" t="s">
        <v>9</v>
      </c>
      <c r="I85" s="58" t="s">
        <v>9</v>
      </c>
      <c r="J85" s="58" t="s">
        <v>9</v>
      </c>
      <c r="K85" s="58" t="s">
        <v>9</v>
      </c>
      <c r="L85" s="32" t="str">
        <f t="shared" si="29"/>
        <v>Sistemas.Prediais</v>
      </c>
      <c r="M85" s="32" t="str">
        <f t="shared" si="30"/>
        <v>Elementos.Hidráulicos</v>
      </c>
      <c r="N85" s="32" t="str">
        <f t="shared" si="31"/>
        <v>Peças Sanitárias</v>
      </c>
      <c r="O85" s="29" t="str">
        <f t="shared" si="20"/>
        <v>Vaso.Sanitário</v>
      </c>
      <c r="P85" s="51" t="s">
        <v>175</v>
      </c>
      <c r="Q85" s="29" t="s">
        <v>178</v>
      </c>
      <c r="R85" s="29" t="s">
        <v>316</v>
      </c>
      <c r="S85" s="67" t="s">
        <v>9</v>
      </c>
      <c r="T85" s="29" t="s">
        <v>151</v>
      </c>
      <c r="U85" s="29" t="s">
        <v>150</v>
      </c>
      <c r="V85" s="29" t="str">
        <f t="shared" si="32"/>
        <v>Peças.Sanitárias</v>
      </c>
      <c r="W85" s="29" t="s">
        <v>152</v>
      </c>
      <c r="X85" s="57" t="str">
        <f t="shared" si="22"/>
        <v>Key-HIDR-85</v>
      </c>
      <c r="Y85" s="28" t="s">
        <v>181</v>
      </c>
      <c r="Z85" s="61" t="s">
        <v>9</v>
      </c>
      <c r="AA85" s="28" t="s">
        <v>182</v>
      </c>
      <c r="AB85" s="61" t="s">
        <v>9</v>
      </c>
      <c r="AC85" s="29" t="s">
        <v>154</v>
      </c>
      <c r="AD85" s="61" t="s">
        <v>9</v>
      </c>
    </row>
    <row r="86" spans="1:30" ht="6.65" customHeight="1" x14ac:dyDescent="0.4">
      <c r="A86" s="56">
        <v>86</v>
      </c>
      <c r="B86" s="1" t="s">
        <v>243</v>
      </c>
      <c r="C86" s="41" t="s">
        <v>244</v>
      </c>
      <c r="D86" s="1" t="s">
        <v>245</v>
      </c>
      <c r="E86" s="41" t="s">
        <v>214</v>
      </c>
      <c r="F86" s="41" t="s">
        <v>167</v>
      </c>
      <c r="G86" s="58" t="s">
        <v>9</v>
      </c>
      <c r="H86" s="58" t="s">
        <v>9</v>
      </c>
      <c r="I86" s="58" t="s">
        <v>9</v>
      </c>
      <c r="J86" s="58" t="s">
        <v>9</v>
      </c>
      <c r="K86" s="58" t="s">
        <v>9</v>
      </c>
      <c r="L86" s="32" t="str">
        <f t="shared" si="29"/>
        <v>Sistemas.Prediais</v>
      </c>
      <c r="M86" s="32" t="str">
        <f t="shared" si="30"/>
        <v>Elementos.Hidráulicos</v>
      </c>
      <c r="N86" s="32" t="str">
        <f t="shared" si="31"/>
        <v>Peças Sanitárias</v>
      </c>
      <c r="O86" s="29" t="str">
        <f t="shared" si="20"/>
        <v>Bidet</v>
      </c>
      <c r="P86" s="51" t="s">
        <v>167</v>
      </c>
      <c r="Q86" s="29" t="s">
        <v>289</v>
      </c>
      <c r="R86" s="29" t="s">
        <v>167</v>
      </c>
      <c r="S86" s="67" t="s">
        <v>9</v>
      </c>
      <c r="T86" s="29" t="s">
        <v>151</v>
      </c>
      <c r="U86" s="29" t="s">
        <v>150</v>
      </c>
      <c r="V86" s="29" t="str">
        <f t="shared" si="32"/>
        <v>Peças.Sanitárias</v>
      </c>
      <c r="W86" s="29" t="s">
        <v>152</v>
      </c>
      <c r="X86" s="57" t="str">
        <f t="shared" si="22"/>
        <v>Key-HIDR-86</v>
      </c>
      <c r="Y86" s="28" t="s">
        <v>181</v>
      </c>
      <c r="Z86" s="61" t="s">
        <v>9</v>
      </c>
      <c r="AA86" s="28" t="s">
        <v>182</v>
      </c>
      <c r="AB86" s="61" t="s">
        <v>9</v>
      </c>
      <c r="AC86" s="29" t="s">
        <v>154</v>
      </c>
      <c r="AD86" s="61" t="s">
        <v>9</v>
      </c>
    </row>
    <row r="87" spans="1:30" ht="6.65" customHeight="1" x14ac:dyDescent="0.4">
      <c r="A87" s="56">
        <v>87</v>
      </c>
      <c r="B87" s="1" t="s">
        <v>243</v>
      </c>
      <c r="C87" s="41" t="s">
        <v>244</v>
      </c>
      <c r="D87" s="1" t="s">
        <v>245</v>
      </c>
      <c r="E87" s="41" t="s">
        <v>214</v>
      </c>
      <c r="F87" s="41" t="s">
        <v>170</v>
      </c>
      <c r="G87" s="58" t="s">
        <v>9</v>
      </c>
      <c r="H87" s="58" t="s">
        <v>9</v>
      </c>
      <c r="I87" s="58" t="s">
        <v>9</v>
      </c>
      <c r="J87" s="58" t="s">
        <v>9</v>
      </c>
      <c r="K87" s="58" t="s">
        <v>9</v>
      </c>
      <c r="L87" s="32" t="str">
        <f t="shared" si="29"/>
        <v>Sistemas.Prediais</v>
      </c>
      <c r="M87" s="32" t="str">
        <f t="shared" si="30"/>
        <v>Elementos.Hidráulicos</v>
      </c>
      <c r="N87" s="32" t="str">
        <f t="shared" si="31"/>
        <v>Peças Sanitárias</v>
      </c>
      <c r="O87" s="29" t="str">
        <f t="shared" si="20"/>
        <v>Pia.Sanitária</v>
      </c>
      <c r="P87" s="51" t="s">
        <v>176</v>
      </c>
      <c r="Q87" s="29" t="s">
        <v>180</v>
      </c>
      <c r="R87" s="29" t="s">
        <v>317</v>
      </c>
      <c r="S87" s="67" t="s">
        <v>9</v>
      </c>
      <c r="T87" s="29" t="s">
        <v>151</v>
      </c>
      <c r="U87" s="29" t="s">
        <v>150</v>
      </c>
      <c r="V87" s="29" t="str">
        <f t="shared" si="32"/>
        <v>Peças.Sanitárias</v>
      </c>
      <c r="W87" s="29" t="s">
        <v>152</v>
      </c>
      <c r="X87" s="57" t="str">
        <f t="shared" si="22"/>
        <v>Key-HIDR-87</v>
      </c>
      <c r="Y87" s="28" t="s">
        <v>181</v>
      </c>
      <c r="Z87" s="61" t="s">
        <v>9</v>
      </c>
      <c r="AA87" s="28" t="s">
        <v>182</v>
      </c>
      <c r="AB87" s="61" t="s">
        <v>9</v>
      </c>
      <c r="AC87" s="29" t="s">
        <v>154</v>
      </c>
      <c r="AD87" s="61" t="s">
        <v>9</v>
      </c>
    </row>
    <row r="88" spans="1:30" ht="6.65" customHeight="1" x14ac:dyDescent="0.4">
      <c r="A88" s="56">
        <v>88</v>
      </c>
      <c r="B88" s="1" t="s">
        <v>243</v>
      </c>
      <c r="C88" s="41" t="s">
        <v>244</v>
      </c>
      <c r="D88" s="1" t="s">
        <v>245</v>
      </c>
      <c r="E88" s="41" t="s">
        <v>214</v>
      </c>
      <c r="F88" s="41" t="s">
        <v>166</v>
      </c>
      <c r="G88" s="58" t="s">
        <v>9</v>
      </c>
      <c r="H88" s="58" t="s">
        <v>9</v>
      </c>
      <c r="I88" s="58" t="s">
        <v>9</v>
      </c>
      <c r="J88" s="58" t="s">
        <v>9</v>
      </c>
      <c r="K88" s="58" t="s">
        <v>9</v>
      </c>
      <c r="L88" s="32" t="str">
        <f t="shared" si="29"/>
        <v>Sistemas.Prediais</v>
      </c>
      <c r="M88" s="32" t="str">
        <f t="shared" si="30"/>
        <v>Elementos.Hidráulicos</v>
      </c>
      <c r="N88" s="32" t="str">
        <f t="shared" si="31"/>
        <v>Peças Sanitárias</v>
      </c>
      <c r="O88" s="29" t="str">
        <f t="shared" si="20"/>
        <v>Lavatório</v>
      </c>
      <c r="P88" s="51" t="s">
        <v>166</v>
      </c>
      <c r="Q88" s="29" t="s">
        <v>290</v>
      </c>
      <c r="R88" s="29" t="s">
        <v>318</v>
      </c>
      <c r="S88" s="67" t="s">
        <v>9</v>
      </c>
      <c r="T88" s="29" t="s">
        <v>151</v>
      </c>
      <c r="U88" s="29" t="s">
        <v>150</v>
      </c>
      <c r="V88" s="29" t="str">
        <f t="shared" si="32"/>
        <v>Peças.Sanitárias</v>
      </c>
      <c r="W88" s="29" t="s">
        <v>152</v>
      </c>
      <c r="X88" s="57" t="str">
        <f t="shared" si="22"/>
        <v>Key-HIDR-88</v>
      </c>
      <c r="Y88" s="28" t="s">
        <v>181</v>
      </c>
      <c r="Z88" s="61" t="s">
        <v>9</v>
      </c>
      <c r="AA88" s="28" t="s">
        <v>182</v>
      </c>
      <c r="AB88" s="61" t="s">
        <v>9</v>
      </c>
      <c r="AC88" s="29" t="s">
        <v>154</v>
      </c>
      <c r="AD88" s="61" t="s">
        <v>9</v>
      </c>
    </row>
    <row r="89" spans="1:30" ht="6.65" customHeight="1" x14ac:dyDescent="0.4">
      <c r="A89" s="56">
        <v>89</v>
      </c>
      <c r="B89" s="1" t="s">
        <v>243</v>
      </c>
      <c r="C89" s="41" t="s">
        <v>244</v>
      </c>
      <c r="D89" s="1" t="s">
        <v>245</v>
      </c>
      <c r="E89" s="41" t="s">
        <v>214</v>
      </c>
      <c r="F89" s="41" t="s">
        <v>169</v>
      </c>
      <c r="G89" s="58" t="s">
        <v>9</v>
      </c>
      <c r="H89" s="58" t="s">
        <v>9</v>
      </c>
      <c r="I89" s="58" t="s">
        <v>9</v>
      </c>
      <c r="J89" s="58" t="s">
        <v>9</v>
      </c>
      <c r="K89" s="58" t="s">
        <v>9</v>
      </c>
      <c r="L89" s="32" t="str">
        <f t="shared" ref="L89" si="33">CONCATENATE("", C89)</f>
        <v>Sistemas.Prediais</v>
      </c>
      <c r="M89" s="32" t="str">
        <f t="shared" ref="M89" si="34">CONCATENATE("", D89)</f>
        <v>Elementos.Hidráulicos</v>
      </c>
      <c r="N89" s="32" t="str">
        <f t="shared" ref="N89" si="35">(SUBSTITUTE(SUBSTITUTE(CONCATENATE("",E89),"."," ")," De "," de "))</f>
        <v>Peças Sanitárias</v>
      </c>
      <c r="O89" s="29" t="str">
        <f t="shared" si="20"/>
        <v>Cuba.Sanitária</v>
      </c>
      <c r="P89" s="51" t="s">
        <v>177</v>
      </c>
      <c r="Q89" s="29" t="s">
        <v>179</v>
      </c>
      <c r="R89" s="29" t="s">
        <v>319</v>
      </c>
      <c r="S89" s="67" t="s">
        <v>9</v>
      </c>
      <c r="T89" s="29" t="s">
        <v>151</v>
      </c>
      <c r="U89" s="29" t="s">
        <v>150</v>
      </c>
      <c r="V89" s="29" t="str">
        <f t="shared" ref="V89" si="36">SUBSTITUTE(E89, "_", " ")</f>
        <v>Peças.Sanitárias</v>
      </c>
      <c r="W89" s="29" t="s">
        <v>152</v>
      </c>
      <c r="X89" s="57" t="str">
        <f t="shared" si="22"/>
        <v>Key-HIDR-89</v>
      </c>
      <c r="Y89" s="28" t="s">
        <v>181</v>
      </c>
      <c r="Z89" s="61" t="s">
        <v>9</v>
      </c>
      <c r="AA89" s="28" t="s">
        <v>182</v>
      </c>
      <c r="AB89" s="61" t="s">
        <v>9</v>
      </c>
      <c r="AC89" s="29" t="s">
        <v>154</v>
      </c>
      <c r="AD89" s="61" t="s">
        <v>9</v>
      </c>
    </row>
    <row r="90" spans="1:30" ht="6.65" customHeight="1" x14ac:dyDescent="0.4">
      <c r="A90" s="56">
        <v>90</v>
      </c>
      <c r="B90" s="1" t="s">
        <v>243</v>
      </c>
      <c r="C90" s="41" t="s">
        <v>244</v>
      </c>
      <c r="D90" s="1" t="s">
        <v>245</v>
      </c>
      <c r="E90" s="41" t="s">
        <v>214</v>
      </c>
      <c r="F90" s="41" t="s">
        <v>171</v>
      </c>
      <c r="G90" s="58" t="s">
        <v>9</v>
      </c>
      <c r="H90" s="58" t="s">
        <v>9</v>
      </c>
      <c r="I90" s="58" t="s">
        <v>9</v>
      </c>
      <c r="J90" s="58" t="s">
        <v>9</v>
      </c>
      <c r="K90" s="58" t="s">
        <v>9</v>
      </c>
      <c r="L90" s="32" t="str">
        <f t="shared" si="29"/>
        <v>Sistemas.Prediais</v>
      </c>
      <c r="M90" s="32" t="str">
        <f t="shared" si="30"/>
        <v>Elementos.Hidráulicos</v>
      </c>
      <c r="N90" s="32" t="str">
        <f t="shared" si="31"/>
        <v>Peças Sanitárias</v>
      </c>
      <c r="O90" s="29" t="str">
        <f t="shared" si="20"/>
        <v>Banheira</v>
      </c>
      <c r="P90" s="51" t="s">
        <v>171</v>
      </c>
      <c r="Q90" s="29" t="s">
        <v>291</v>
      </c>
      <c r="R90" s="29" t="s">
        <v>320</v>
      </c>
      <c r="S90" s="67" t="s">
        <v>9</v>
      </c>
      <c r="T90" s="29" t="s">
        <v>151</v>
      </c>
      <c r="U90" s="29" t="s">
        <v>150</v>
      </c>
      <c r="V90" s="29" t="str">
        <f t="shared" si="32"/>
        <v>Peças.Sanitárias</v>
      </c>
      <c r="W90" s="29" t="s">
        <v>152</v>
      </c>
      <c r="X90" s="57" t="str">
        <f t="shared" si="22"/>
        <v>Key-HIDR-90</v>
      </c>
      <c r="Y90" s="28" t="s">
        <v>181</v>
      </c>
      <c r="Z90" s="61" t="s">
        <v>9</v>
      </c>
      <c r="AA90" s="28" t="s">
        <v>182</v>
      </c>
      <c r="AB90" s="61" t="s">
        <v>9</v>
      </c>
      <c r="AC90" s="29" t="s">
        <v>154</v>
      </c>
      <c r="AD90" s="61" t="s">
        <v>9</v>
      </c>
    </row>
    <row r="91" spans="1:30" ht="6.65" customHeight="1" x14ac:dyDescent="0.4">
      <c r="A91" s="56">
        <v>91</v>
      </c>
      <c r="B91" s="1" t="s">
        <v>243</v>
      </c>
      <c r="C91" s="41" t="s">
        <v>244</v>
      </c>
      <c r="D91" s="1" t="s">
        <v>245</v>
      </c>
      <c r="E91" s="41" t="s">
        <v>215</v>
      </c>
      <c r="F91" s="41" t="s">
        <v>107</v>
      </c>
      <c r="G91" s="58" t="s">
        <v>9</v>
      </c>
      <c r="H91" s="58" t="s">
        <v>9</v>
      </c>
      <c r="I91" s="58" t="s">
        <v>9</v>
      </c>
      <c r="J91" s="58" t="s">
        <v>9</v>
      </c>
      <c r="K91" s="58" t="s">
        <v>9</v>
      </c>
      <c r="L91" s="32" t="str">
        <f t="shared" ref="L91" si="37">CONCATENATE("", C91)</f>
        <v>Sistemas.Prediais</v>
      </c>
      <c r="M91" s="32" t="str">
        <f t="shared" ref="M91" si="38">CONCATENATE("", D91)</f>
        <v>Elementos.Hidráulicos</v>
      </c>
      <c r="N91" s="32" t="str">
        <f t="shared" ref="N91" si="39">(SUBSTITUTE(SUBSTITUTE(CONCATENATE("",E91),"."," ")," De "," de "))</f>
        <v>Esgoto Coletores</v>
      </c>
      <c r="O91" s="29" t="str">
        <f t="shared" si="20"/>
        <v>Ventilação.Esgoto</v>
      </c>
      <c r="P91" s="51" t="s">
        <v>148</v>
      </c>
      <c r="Q91" s="51" t="s">
        <v>149</v>
      </c>
      <c r="R91" s="29" t="s">
        <v>321</v>
      </c>
      <c r="S91" s="67" t="s">
        <v>9</v>
      </c>
      <c r="T91" s="29" t="s">
        <v>151</v>
      </c>
      <c r="U91" s="29" t="s">
        <v>150</v>
      </c>
      <c r="V91" s="29" t="str">
        <f t="shared" ref="V91" si="40">SUBSTITUTE(E91, "_", " ")</f>
        <v>Esgoto.Coletores</v>
      </c>
      <c r="W91" s="29" t="s">
        <v>152</v>
      </c>
      <c r="X91" s="57" t="str">
        <f t="shared" si="22"/>
        <v>Key-HIDR-91</v>
      </c>
      <c r="Y91" s="28" t="s">
        <v>247</v>
      </c>
      <c r="Z91" s="61" t="s">
        <v>9</v>
      </c>
      <c r="AA91" s="28" t="s">
        <v>248</v>
      </c>
      <c r="AB91" s="61" t="s">
        <v>9</v>
      </c>
      <c r="AC91" s="29" t="s">
        <v>126</v>
      </c>
      <c r="AD91" s="61" t="s">
        <v>9</v>
      </c>
    </row>
    <row r="92" spans="1:30" ht="6.65" customHeight="1" x14ac:dyDescent="0.4">
      <c r="A92" s="56">
        <v>92</v>
      </c>
      <c r="B92" s="1" t="s">
        <v>243</v>
      </c>
      <c r="C92" s="41" t="s">
        <v>244</v>
      </c>
      <c r="D92" s="1" t="s">
        <v>245</v>
      </c>
      <c r="E92" s="41" t="s">
        <v>215</v>
      </c>
      <c r="F92" s="41" t="s">
        <v>160</v>
      </c>
      <c r="G92" s="58" t="s">
        <v>9</v>
      </c>
      <c r="H92" s="58" t="s">
        <v>9</v>
      </c>
      <c r="I92" s="58" t="s">
        <v>9</v>
      </c>
      <c r="J92" s="58" t="s">
        <v>9</v>
      </c>
      <c r="K92" s="58" t="s">
        <v>9</v>
      </c>
      <c r="L92" s="32" t="str">
        <f t="shared" si="29"/>
        <v>Sistemas.Prediais</v>
      </c>
      <c r="M92" s="32" t="str">
        <f t="shared" si="30"/>
        <v>Elementos.Hidráulicos</v>
      </c>
      <c r="N92" s="32" t="str">
        <f t="shared" si="31"/>
        <v>Esgoto Coletores</v>
      </c>
      <c r="O92" s="29" t="str">
        <f t="shared" si="20"/>
        <v>Ralo.Seco</v>
      </c>
      <c r="P92" s="51" t="s">
        <v>109</v>
      </c>
      <c r="Q92" s="29" t="s">
        <v>119</v>
      </c>
      <c r="R92" s="29" t="s">
        <v>322</v>
      </c>
      <c r="S92" s="67" t="s">
        <v>9</v>
      </c>
      <c r="T92" s="29" t="s">
        <v>151</v>
      </c>
      <c r="U92" s="29" t="s">
        <v>150</v>
      </c>
      <c r="V92" s="29" t="str">
        <f t="shared" si="32"/>
        <v>Esgoto.Coletores</v>
      </c>
      <c r="W92" s="29" t="s">
        <v>152</v>
      </c>
      <c r="X92" s="57" t="str">
        <f t="shared" si="22"/>
        <v>Key-HIDR-92</v>
      </c>
      <c r="Y92" s="28" t="s">
        <v>247</v>
      </c>
      <c r="Z92" s="61" t="s">
        <v>9</v>
      </c>
      <c r="AA92" s="28" t="s">
        <v>248</v>
      </c>
      <c r="AB92" s="61" t="s">
        <v>9</v>
      </c>
      <c r="AC92" s="29" t="s">
        <v>126</v>
      </c>
      <c r="AD92" s="61" t="s">
        <v>9</v>
      </c>
    </row>
    <row r="93" spans="1:30" ht="6.65" customHeight="1" x14ac:dyDescent="0.4">
      <c r="A93" s="56">
        <v>93</v>
      </c>
      <c r="B93" s="1" t="s">
        <v>243</v>
      </c>
      <c r="C93" s="41" t="s">
        <v>244</v>
      </c>
      <c r="D93" s="1" t="s">
        <v>245</v>
      </c>
      <c r="E93" s="41" t="s">
        <v>215</v>
      </c>
      <c r="F93" s="41" t="s">
        <v>159</v>
      </c>
      <c r="G93" s="58" t="s">
        <v>9</v>
      </c>
      <c r="H93" s="58" t="s">
        <v>9</v>
      </c>
      <c r="I93" s="58" t="s">
        <v>9</v>
      </c>
      <c r="J93" s="58" t="s">
        <v>9</v>
      </c>
      <c r="K93" s="58" t="s">
        <v>9</v>
      </c>
      <c r="L93" s="32" t="str">
        <f t="shared" si="29"/>
        <v>Sistemas.Prediais</v>
      </c>
      <c r="M93" s="32" t="str">
        <f t="shared" si="30"/>
        <v>Elementos.Hidráulicos</v>
      </c>
      <c r="N93" s="32" t="str">
        <f t="shared" si="31"/>
        <v>Esgoto Coletores</v>
      </c>
      <c r="O93" s="29" t="str">
        <f t="shared" si="20"/>
        <v>Ralo.Sifonado</v>
      </c>
      <c r="P93" s="51" t="s">
        <v>108</v>
      </c>
      <c r="Q93" s="29" t="s">
        <v>120</v>
      </c>
      <c r="R93" s="29" t="s">
        <v>323</v>
      </c>
      <c r="S93" s="67" t="s">
        <v>9</v>
      </c>
      <c r="T93" s="29" t="s">
        <v>151</v>
      </c>
      <c r="U93" s="29" t="s">
        <v>150</v>
      </c>
      <c r="V93" s="29" t="str">
        <f t="shared" si="32"/>
        <v>Esgoto.Coletores</v>
      </c>
      <c r="W93" s="29" t="s">
        <v>152</v>
      </c>
      <c r="X93" s="57" t="str">
        <f t="shared" si="22"/>
        <v>Key-HIDR-93</v>
      </c>
      <c r="Y93" s="28" t="s">
        <v>247</v>
      </c>
      <c r="Z93" s="61" t="s">
        <v>9</v>
      </c>
      <c r="AA93" s="28" t="s">
        <v>248</v>
      </c>
      <c r="AB93" s="61" t="s">
        <v>9</v>
      </c>
      <c r="AC93" s="29" t="s">
        <v>126</v>
      </c>
      <c r="AD93" s="61" t="s">
        <v>9</v>
      </c>
    </row>
    <row r="94" spans="1:30" ht="6.65" customHeight="1" x14ac:dyDescent="0.4">
      <c r="A94" s="56">
        <v>94</v>
      </c>
      <c r="B94" s="1" t="s">
        <v>243</v>
      </c>
      <c r="C94" s="41" t="s">
        <v>244</v>
      </c>
      <c r="D94" s="1" t="s">
        <v>245</v>
      </c>
      <c r="E94" s="41" t="s">
        <v>215</v>
      </c>
      <c r="F94" s="41" t="s">
        <v>100</v>
      </c>
      <c r="G94" s="58" t="s">
        <v>9</v>
      </c>
      <c r="H94" s="58" t="s">
        <v>9</v>
      </c>
      <c r="I94" s="58" t="s">
        <v>9</v>
      </c>
      <c r="J94" s="58" t="s">
        <v>9</v>
      </c>
      <c r="K94" s="58" t="s">
        <v>9</v>
      </c>
      <c r="L94" s="32" t="str">
        <f t="shared" si="29"/>
        <v>Sistemas.Prediais</v>
      </c>
      <c r="M94" s="32" t="str">
        <f t="shared" si="30"/>
        <v>Elementos.Hidráulicos</v>
      </c>
      <c r="N94" s="32" t="str">
        <f t="shared" si="31"/>
        <v>Esgoto Coletores</v>
      </c>
      <c r="O94" s="29" t="str">
        <f t="shared" si="20"/>
        <v>Coletor.Andar</v>
      </c>
      <c r="P94" s="51" t="s">
        <v>110</v>
      </c>
      <c r="Q94" s="29" t="s">
        <v>237</v>
      </c>
      <c r="R94" s="29" t="s">
        <v>324</v>
      </c>
      <c r="S94" s="67" t="s">
        <v>9</v>
      </c>
      <c r="T94" s="29" t="s">
        <v>151</v>
      </c>
      <c r="U94" s="29" t="s">
        <v>150</v>
      </c>
      <c r="V94" s="29" t="str">
        <f t="shared" si="32"/>
        <v>Esgoto.Coletores</v>
      </c>
      <c r="W94" s="29" t="s">
        <v>152</v>
      </c>
      <c r="X94" s="57" t="str">
        <f t="shared" si="22"/>
        <v>Key-HIDR-94</v>
      </c>
      <c r="Y94" s="28" t="s">
        <v>247</v>
      </c>
      <c r="Z94" s="61" t="s">
        <v>9</v>
      </c>
      <c r="AA94" s="28" t="s">
        <v>248</v>
      </c>
      <c r="AB94" s="61" t="s">
        <v>9</v>
      </c>
      <c r="AC94" s="29" t="s">
        <v>126</v>
      </c>
      <c r="AD94" s="61" t="s">
        <v>9</v>
      </c>
    </row>
    <row r="95" spans="1:30" ht="6.65" customHeight="1" x14ac:dyDescent="0.4">
      <c r="A95" s="56">
        <v>95</v>
      </c>
      <c r="B95" s="1" t="s">
        <v>243</v>
      </c>
      <c r="C95" s="41" t="s">
        <v>244</v>
      </c>
      <c r="D95" s="1" t="s">
        <v>245</v>
      </c>
      <c r="E95" s="41" t="s">
        <v>215</v>
      </c>
      <c r="F95" s="41" t="s">
        <v>99</v>
      </c>
      <c r="G95" s="58" t="s">
        <v>9</v>
      </c>
      <c r="H95" s="58" t="s">
        <v>9</v>
      </c>
      <c r="I95" s="58" t="s">
        <v>9</v>
      </c>
      <c r="J95" s="58" t="s">
        <v>9</v>
      </c>
      <c r="K95" s="58" t="s">
        <v>9</v>
      </c>
      <c r="L95" s="32" t="str">
        <f t="shared" si="29"/>
        <v>Sistemas.Prediais</v>
      </c>
      <c r="M95" s="32" t="str">
        <f t="shared" si="30"/>
        <v>Elementos.Hidráulicos</v>
      </c>
      <c r="N95" s="32" t="str">
        <f t="shared" si="31"/>
        <v>Esgoto Coletores</v>
      </c>
      <c r="O95" s="29" t="str">
        <f t="shared" si="20"/>
        <v>Coletor.Predial</v>
      </c>
      <c r="P95" s="51" t="s">
        <v>111</v>
      </c>
      <c r="Q95" s="29" t="s">
        <v>238</v>
      </c>
      <c r="R95" s="29" t="s">
        <v>325</v>
      </c>
      <c r="S95" s="67" t="s">
        <v>9</v>
      </c>
      <c r="T95" s="29" t="s">
        <v>151</v>
      </c>
      <c r="U95" s="29" t="s">
        <v>150</v>
      </c>
      <c r="V95" s="29" t="str">
        <f t="shared" si="32"/>
        <v>Esgoto.Coletores</v>
      </c>
      <c r="W95" s="29" t="s">
        <v>152</v>
      </c>
      <c r="X95" s="57" t="str">
        <f t="shared" si="22"/>
        <v>Key-HIDR-95</v>
      </c>
      <c r="Y95" s="28" t="s">
        <v>247</v>
      </c>
      <c r="Z95" s="61" t="s">
        <v>9</v>
      </c>
      <c r="AA95" s="28" t="s">
        <v>248</v>
      </c>
      <c r="AB95" s="61" t="s">
        <v>9</v>
      </c>
      <c r="AC95" s="29" t="s">
        <v>126</v>
      </c>
      <c r="AD95" s="61" t="s">
        <v>9</v>
      </c>
    </row>
    <row r="96" spans="1:30" ht="6.65" customHeight="1" x14ac:dyDescent="0.4">
      <c r="A96" s="56">
        <v>96</v>
      </c>
      <c r="B96" s="1" t="s">
        <v>243</v>
      </c>
      <c r="C96" s="41" t="s">
        <v>244</v>
      </c>
      <c r="D96" s="1" t="s">
        <v>245</v>
      </c>
      <c r="E96" s="41" t="s">
        <v>215</v>
      </c>
      <c r="F96" s="41" t="s">
        <v>101</v>
      </c>
      <c r="G96" s="58" t="s">
        <v>9</v>
      </c>
      <c r="H96" s="58" t="s">
        <v>9</v>
      </c>
      <c r="I96" s="58" t="s">
        <v>9</v>
      </c>
      <c r="J96" s="58" t="s">
        <v>9</v>
      </c>
      <c r="K96" s="58" t="s">
        <v>9</v>
      </c>
      <c r="L96" s="32" t="str">
        <f t="shared" ref="L96" si="41">CONCATENATE("", C96)</f>
        <v>Sistemas.Prediais</v>
      </c>
      <c r="M96" s="32" t="str">
        <f t="shared" ref="M96" si="42">CONCATENATE("", D96)</f>
        <v>Elementos.Hidráulicos</v>
      </c>
      <c r="N96" s="32" t="str">
        <f t="shared" ref="N96" si="43">(SUBSTITUTE(SUBSTITUTE(CONCATENATE("",E96),"."," ")," De "," de "))</f>
        <v>Esgoto Coletores</v>
      </c>
      <c r="O96" s="29" t="str">
        <f t="shared" si="20"/>
        <v>Tubo.de.Queda</v>
      </c>
      <c r="P96" s="51" t="s">
        <v>112</v>
      </c>
      <c r="Q96" s="29" t="s">
        <v>239</v>
      </c>
      <c r="R96" s="29" t="s">
        <v>326</v>
      </c>
      <c r="S96" s="67" t="s">
        <v>9</v>
      </c>
      <c r="T96" s="29" t="s">
        <v>151</v>
      </c>
      <c r="U96" s="29" t="s">
        <v>150</v>
      </c>
      <c r="V96" s="29" t="str">
        <f t="shared" ref="V96" si="44">SUBSTITUTE(E96, "_", " ")</f>
        <v>Esgoto.Coletores</v>
      </c>
      <c r="W96" s="29" t="s">
        <v>152</v>
      </c>
      <c r="X96" s="57" t="str">
        <f t="shared" si="22"/>
        <v>Key-HIDR-96</v>
      </c>
      <c r="Y96" s="28" t="s">
        <v>247</v>
      </c>
      <c r="Z96" s="61" t="s">
        <v>9</v>
      </c>
      <c r="AA96" s="28" t="s">
        <v>248</v>
      </c>
      <c r="AB96" s="61" t="s">
        <v>9</v>
      </c>
      <c r="AC96" s="29" t="s">
        <v>126</v>
      </c>
      <c r="AD96" s="61" t="s">
        <v>9</v>
      </c>
    </row>
    <row r="97" spans="1:30" ht="6.65" customHeight="1" x14ac:dyDescent="0.4">
      <c r="A97" s="56">
        <v>97</v>
      </c>
      <c r="B97" s="1" t="s">
        <v>243</v>
      </c>
      <c r="C97" s="41" t="s">
        <v>244</v>
      </c>
      <c r="D97" s="1" t="s">
        <v>245</v>
      </c>
      <c r="E97" s="41" t="s">
        <v>215</v>
      </c>
      <c r="F97" s="41" t="s">
        <v>210</v>
      </c>
      <c r="G97" s="58" t="s">
        <v>9</v>
      </c>
      <c r="H97" s="58" t="s">
        <v>9</v>
      </c>
      <c r="I97" s="58" t="s">
        <v>9</v>
      </c>
      <c r="J97" s="58" t="s">
        <v>9</v>
      </c>
      <c r="K97" s="58" t="s">
        <v>9</v>
      </c>
      <c r="L97" s="32" t="str">
        <f t="shared" ref="L97" si="45">CONCATENATE("", C97)</f>
        <v>Sistemas.Prediais</v>
      </c>
      <c r="M97" s="32" t="str">
        <f t="shared" ref="M97" si="46">CONCATENATE("", D97)</f>
        <v>Elementos.Hidráulicos</v>
      </c>
      <c r="N97" s="32" t="str">
        <f t="shared" ref="N97" si="47">(SUBSTITUTE(SUBSTITUTE(CONCATENATE("",E97),"."," ")," De "," de "))</f>
        <v>Esgoto Coletores</v>
      </c>
      <c r="O97" s="29" t="str">
        <f t="shared" si="20"/>
        <v>Fecho.Hidráulico</v>
      </c>
      <c r="P97" s="51" t="s">
        <v>113</v>
      </c>
      <c r="Q97" s="29" t="s">
        <v>121</v>
      </c>
      <c r="R97" s="29" t="s">
        <v>327</v>
      </c>
      <c r="S97" s="67" t="s">
        <v>9</v>
      </c>
      <c r="T97" s="29" t="s">
        <v>151</v>
      </c>
      <c r="U97" s="29" t="s">
        <v>150</v>
      </c>
      <c r="V97" s="29" t="str">
        <f t="shared" ref="V97" si="48">SUBSTITUTE(E97, "_", " ")</f>
        <v>Esgoto.Coletores</v>
      </c>
      <c r="W97" s="29" t="s">
        <v>152</v>
      </c>
      <c r="X97" s="57" t="str">
        <f t="shared" si="22"/>
        <v>Key-HIDR-97</v>
      </c>
      <c r="Y97" s="28" t="s">
        <v>247</v>
      </c>
      <c r="Z97" s="61" t="s">
        <v>9</v>
      </c>
      <c r="AA97" s="28" t="s">
        <v>248</v>
      </c>
      <c r="AB97" s="61" t="s">
        <v>9</v>
      </c>
      <c r="AC97" s="29" t="s">
        <v>126</v>
      </c>
      <c r="AD97" s="61" t="s">
        <v>9</v>
      </c>
    </row>
    <row r="98" spans="1:30" ht="6.65" customHeight="1" x14ac:dyDescent="0.4">
      <c r="A98" s="56">
        <v>98</v>
      </c>
      <c r="B98" s="1" t="s">
        <v>243</v>
      </c>
      <c r="C98" s="41" t="s">
        <v>244</v>
      </c>
      <c r="D98" s="1" t="s">
        <v>245</v>
      </c>
      <c r="E98" s="41" t="s">
        <v>216</v>
      </c>
      <c r="F98" s="41" t="s">
        <v>105</v>
      </c>
      <c r="G98" s="58" t="s">
        <v>9</v>
      </c>
      <c r="H98" s="58" t="s">
        <v>9</v>
      </c>
      <c r="I98" s="58" t="s">
        <v>9</v>
      </c>
      <c r="J98" s="58" t="s">
        <v>9</v>
      </c>
      <c r="K98" s="58" t="s">
        <v>9</v>
      </c>
      <c r="L98" s="32" t="str">
        <f t="shared" ref="L98:L102" si="49">CONCATENATE("", C98)</f>
        <v>Sistemas.Prediais</v>
      </c>
      <c r="M98" s="32" t="str">
        <f t="shared" ref="M98:M102" si="50">CONCATENATE("", D98)</f>
        <v>Elementos.Hidráulicos</v>
      </c>
      <c r="N98" s="32" t="str">
        <f t="shared" ref="N98:N102" si="51">(SUBSTITUTE(SUBSTITUTE(CONCATENATE("",E98),"."," ")," De "," de "))</f>
        <v>Esgoto Visitas</v>
      </c>
      <c r="O98" s="29" t="str">
        <f t="shared" si="20"/>
        <v>Caixa.de.Areia</v>
      </c>
      <c r="P98" s="51" t="s">
        <v>114</v>
      </c>
      <c r="Q98" s="29" t="s">
        <v>122</v>
      </c>
      <c r="R98" s="29" t="s">
        <v>328</v>
      </c>
      <c r="S98" s="67" t="s">
        <v>9</v>
      </c>
      <c r="T98" s="29" t="s">
        <v>151</v>
      </c>
      <c r="U98" s="29" t="s">
        <v>150</v>
      </c>
      <c r="V98" s="29" t="str">
        <f t="shared" ref="V98:V102" si="52">SUBSTITUTE(E98, "_", " ")</f>
        <v>Esgoto.Visitas</v>
      </c>
      <c r="W98" s="29" t="s">
        <v>152</v>
      </c>
      <c r="X98" s="57" t="str">
        <f t="shared" si="22"/>
        <v>Key-HIDR-98</v>
      </c>
      <c r="Y98" s="28" t="s">
        <v>247</v>
      </c>
      <c r="Z98" s="61" t="s">
        <v>9</v>
      </c>
      <c r="AA98" s="28" t="s">
        <v>248</v>
      </c>
      <c r="AB98" s="61" t="s">
        <v>9</v>
      </c>
      <c r="AC98" s="29" t="s">
        <v>126</v>
      </c>
      <c r="AD98" s="61" t="s">
        <v>9</v>
      </c>
    </row>
    <row r="99" spans="1:30" ht="6.65" customHeight="1" x14ac:dyDescent="0.4">
      <c r="A99" s="56">
        <v>99</v>
      </c>
      <c r="B99" s="1" t="s">
        <v>243</v>
      </c>
      <c r="C99" s="41" t="s">
        <v>244</v>
      </c>
      <c r="D99" s="1" t="s">
        <v>245</v>
      </c>
      <c r="E99" s="41" t="s">
        <v>216</v>
      </c>
      <c r="F99" s="41" t="s">
        <v>104</v>
      </c>
      <c r="G99" s="58" t="s">
        <v>9</v>
      </c>
      <c r="H99" s="58" t="s">
        <v>9</v>
      </c>
      <c r="I99" s="58" t="s">
        <v>9</v>
      </c>
      <c r="J99" s="58" t="s">
        <v>9</v>
      </c>
      <c r="K99" s="58" t="s">
        <v>9</v>
      </c>
      <c r="L99" s="32" t="str">
        <f t="shared" si="49"/>
        <v>Sistemas.Prediais</v>
      </c>
      <c r="M99" s="32" t="str">
        <f t="shared" si="50"/>
        <v>Elementos.Hidráulicos</v>
      </c>
      <c r="N99" s="32" t="str">
        <f t="shared" si="51"/>
        <v>Esgoto Visitas</v>
      </c>
      <c r="O99" s="29" t="str">
        <f t="shared" si="20"/>
        <v>Caixa.de.Gordura</v>
      </c>
      <c r="P99" s="51" t="s">
        <v>115</v>
      </c>
      <c r="Q99" s="29" t="s">
        <v>123</v>
      </c>
      <c r="R99" s="29" t="s">
        <v>329</v>
      </c>
      <c r="S99" s="67" t="s">
        <v>9</v>
      </c>
      <c r="T99" s="29" t="s">
        <v>151</v>
      </c>
      <c r="U99" s="29" t="s">
        <v>150</v>
      </c>
      <c r="V99" s="29" t="str">
        <f t="shared" si="52"/>
        <v>Esgoto.Visitas</v>
      </c>
      <c r="W99" s="29" t="s">
        <v>152</v>
      </c>
      <c r="X99" s="57" t="str">
        <f t="shared" si="22"/>
        <v>Key-HIDR-99</v>
      </c>
      <c r="Y99" s="28" t="s">
        <v>247</v>
      </c>
      <c r="Z99" s="61" t="s">
        <v>9</v>
      </c>
      <c r="AA99" s="28" t="s">
        <v>248</v>
      </c>
      <c r="AB99" s="61" t="s">
        <v>9</v>
      </c>
      <c r="AC99" s="29" t="s">
        <v>126</v>
      </c>
      <c r="AD99" s="61" t="s">
        <v>9</v>
      </c>
    </row>
    <row r="100" spans="1:30" ht="6.65" customHeight="1" x14ac:dyDescent="0.4">
      <c r="A100" s="56">
        <v>100</v>
      </c>
      <c r="B100" s="1" t="s">
        <v>243</v>
      </c>
      <c r="C100" s="41" t="s">
        <v>244</v>
      </c>
      <c r="D100" s="1" t="s">
        <v>245</v>
      </c>
      <c r="E100" s="41" t="s">
        <v>216</v>
      </c>
      <c r="F100" s="41" t="s">
        <v>102</v>
      </c>
      <c r="G100" s="58" t="s">
        <v>9</v>
      </c>
      <c r="H100" s="58" t="s">
        <v>9</v>
      </c>
      <c r="I100" s="58" t="s">
        <v>9</v>
      </c>
      <c r="J100" s="58" t="s">
        <v>9</v>
      </c>
      <c r="K100" s="58" t="s">
        <v>9</v>
      </c>
      <c r="L100" s="32" t="str">
        <f t="shared" ref="L100:L101" si="53">CONCATENATE("", C100)</f>
        <v>Sistemas.Prediais</v>
      </c>
      <c r="M100" s="32" t="str">
        <f t="shared" ref="M100:M101" si="54">CONCATENATE("", D100)</f>
        <v>Elementos.Hidráulicos</v>
      </c>
      <c r="N100" s="32" t="str">
        <f t="shared" ref="N100:N101" si="55">(SUBSTITUTE(SUBSTITUTE(CONCATENATE("",E100),"."," ")," De "," de "))</f>
        <v>Esgoto Visitas</v>
      </c>
      <c r="O100" s="29" t="str">
        <f t="shared" si="20"/>
        <v>Caixa.de.Inspeção</v>
      </c>
      <c r="P100" s="51" t="s">
        <v>116</v>
      </c>
      <c r="Q100" s="29" t="s">
        <v>236</v>
      </c>
      <c r="R100" s="29" t="s">
        <v>330</v>
      </c>
      <c r="S100" s="67" t="s">
        <v>9</v>
      </c>
      <c r="T100" s="29" t="s">
        <v>151</v>
      </c>
      <c r="U100" s="29" t="s">
        <v>150</v>
      </c>
      <c r="V100" s="29" t="str">
        <f t="shared" ref="V100:V101" si="56">SUBSTITUTE(E100, "_", " ")</f>
        <v>Esgoto.Visitas</v>
      </c>
      <c r="W100" s="29" t="s">
        <v>152</v>
      </c>
      <c r="X100" s="57" t="str">
        <f t="shared" si="22"/>
        <v>Key-HIDR-100</v>
      </c>
      <c r="Y100" s="28" t="s">
        <v>247</v>
      </c>
      <c r="Z100" s="61" t="s">
        <v>9</v>
      </c>
      <c r="AA100" s="28" t="s">
        <v>248</v>
      </c>
      <c r="AB100" s="61" t="s">
        <v>9</v>
      </c>
      <c r="AC100" s="29" t="s">
        <v>126</v>
      </c>
      <c r="AD100" s="61" t="s">
        <v>9</v>
      </c>
    </row>
    <row r="101" spans="1:30" ht="6.65" customHeight="1" x14ac:dyDescent="0.4">
      <c r="A101" s="56">
        <v>101</v>
      </c>
      <c r="B101" s="1" t="s">
        <v>243</v>
      </c>
      <c r="C101" s="41" t="s">
        <v>244</v>
      </c>
      <c r="D101" s="1" t="s">
        <v>245</v>
      </c>
      <c r="E101" s="41" t="s">
        <v>216</v>
      </c>
      <c r="F101" s="41" t="s">
        <v>106</v>
      </c>
      <c r="G101" s="58" t="s">
        <v>9</v>
      </c>
      <c r="H101" s="58" t="s">
        <v>9</v>
      </c>
      <c r="I101" s="58" t="s">
        <v>9</v>
      </c>
      <c r="J101" s="58" t="s">
        <v>9</v>
      </c>
      <c r="K101" s="58" t="s">
        <v>9</v>
      </c>
      <c r="L101" s="32" t="str">
        <f t="shared" si="53"/>
        <v>Sistemas.Prediais</v>
      </c>
      <c r="M101" s="32" t="str">
        <f t="shared" si="54"/>
        <v>Elementos.Hidráulicos</v>
      </c>
      <c r="N101" s="32" t="str">
        <f t="shared" si="55"/>
        <v>Esgoto Visitas</v>
      </c>
      <c r="O101" s="29" t="str">
        <f t="shared" si="20"/>
        <v>Caixa.Sifonada</v>
      </c>
      <c r="P101" s="51" t="s">
        <v>117</v>
      </c>
      <c r="Q101" s="29" t="s">
        <v>124</v>
      </c>
      <c r="R101" s="29" t="s">
        <v>331</v>
      </c>
      <c r="S101" s="67" t="s">
        <v>9</v>
      </c>
      <c r="T101" s="29" t="s">
        <v>151</v>
      </c>
      <c r="U101" s="29" t="s">
        <v>150</v>
      </c>
      <c r="V101" s="29" t="str">
        <f t="shared" si="56"/>
        <v>Esgoto.Visitas</v>
      </c>
      <c r="W101" s="29" t="s">
        <v>152</v>
      </c>
      <c r="X101" s="57" t="str">
        <f t="shared" si="22"/>
        <v>Key-HIDR-101</v>
      </c>
      <c r="Y101" s="28" t="s">
        <v>247</v>
      </c>
      <c r="Z101" s="61" t="s">
        <v>9</v>
      </c>
      <c r="AA101" s="28" t="s">
        <v>248</v>
      </c>
      <c r="AB101" s="61" t="s">
        <v>9</v>
      </c>
      <c r="AC101" s="29" t="s">
        <v>126</v>
      </c>
      <c r="AD101" s="61" t="s">
        <v>9</v>
      </c>
    </row>
    <row r="102" spans="1:30" ht="6.65" customHeight="1" x14ac:dyDescent="0.4">
      <c r="A102" s="56">
        <v>102</v>
      </c>
      <c r="B102" s="1" t="s">
        <v>243</v>
      </c>
      <c r="C102" s="41" t="s">
        <v>244</v>
      </c>
      <c r="D102" s="1" t="s">
        <v>245</v>
      </c>
      <c r="E102" s="41" t="s">
        <v>216</v>
      </c>
      <c r="F102" s="41" t="s">
        <v>103</v>
      </c>
      <c r="G102" s="58" t="s">
        <v>9</v>
      </c>
      <c r="H102" s="58" t="s">
        <v>9</v>
      </c>
      <c r="I102" s="58" t="s">
        <v>9</v>
      </c>
      <c r="J102" s="58" t="s">
        <v>9</v>
      </c>
      <c r="K102" s="58" t="s">
        <v>9</v>
      </c>
      <c r="L102" s="32" t="str">
        <f t="shared" si="49"/>
        <v>Sistemas.Prediais</v>
      </c>
      <c r="M102" s="32" t="str">
        <f t="shared" si="50"/>
        <v>Elementos.Hidráulicos</v>
      </c>
      <c r="N102" s="32" t="str">
        <f t="shared" si="51"/>
        <v>Esgoto Visitas</v>
      </c>
      <c r="O102" s="29" t="str">
        <f t="shared" si="20"/>
        <v>Poço.de.Visita</v>
      </c>
      <c r="P102" s="51" t="s">
        <v>118</v>
      </c>
      <c r="Q102" s="29" t="s">
        <v>125</v>
      </c>
      <c r="R102" s="29" t="s">
        <v>330</v>
      </c>
      <c r="S102" s="67" t="s">
        <v>9</v>
      </c>
      <c r="T102" s="29" t="s">
        <v>151</v>
      </c>
      <c r="U102" s="29" t="s">
        <v>150</v>
      </c>
      <c r="V102" s="29" t="str">
        <f t="shared" si="52"/>
        <v>Esgoto.Visitas</v>
      </c>
      <c r="W102" s="29" t="s">
        <v>152</v>
      </c>
      <c r="X102" s="57" t="str">
        <f t="shared" si="22"/>
        <v>Key-HIDR-102</v>
      </c>
      <c r="Y102" s="28" t="s">
        <v>247</v>
      </c>
      <c r="Z102" s="61" t="s">
        <v>9</v>
      </c>
      <c r="AA102" s="28" t="s">
        <v>248</v>
      </c>
      <c r="AB102" s="61" t="s">
        <v>9</v>
      </c>
      <c r="AC102" s="29" t="s">
        <v>126</v>
      </c>
      <c r="AD102" s="61" t="s">
        <v>9</v>
      </c>
    </row>
    <row r="103" spans="1:30" ht="6.65" customHeight="1" x14ac:dyDescent="0.4">
      <c r="A103" s="56">
        <v>103</v>
      </c>
      <c r="B103" s="1" t="s">
        <v>243</v>
      </c>
      <c r="C103" s="41" t="s">
        <v>244</v>
      </c>
      <c r="D103" s="1" t="s">
        <v>245</v>
      </c>
      <c r="E103" s="41" t="s">
        <v>217</v>
      </c>
      <c r="F103" s="41" t="s">
        <v>155</v>
      </c>
      <c r="G103" s="58" t="s">
        <v>9</v>
      </c>
      <c r="H103" s="58" t="s">
        <v>9</v>
      </c>
      <c r="I103" s="58" t="s">
        <v>9</v>
      </c>
      <c r="J103" s="58" t="s">
        <v>9</v>
      </c>
      <c r="K103" s="58" t="s">
        <v>9</v>
      </c>
      <c r="L103" s="32" t="str">
        <f t="shared" ref="L103" si="57">CONCATENATE("", C103)</f>
        <v>Sistemas.Prediais</v>
      </c>
      <c r="M103" s="32" t="str">
        <f t="shared" ref="M103" si="58">CONCATENATE("", D103)</f>
        <v>Elementos.Hidráulicos</v>
      </c>
      <c r="N103" s="32" t="str">
        <f t="shared" ref="N103" si="59">(SUBSTITUTE(SUBSTITUTE(CONCATENATE("",E103),"."," ")," De "," de "))</f>
        <v>Esgoto Acessórios</v>
      </c>
      <c r="O103" s="29" t="str">
        <f t="shared" si="20"/>
        <v>Acessório.Sanitário</v>
      </c>
      <c r="P103" s="51" t="s">
        <v>223</v>
      </c>
      <c r="Q103" s="51" t="s">
        <v>156</v>
      </c>
      <c r="R103" s="29" t="s">
        <v>332</v>
      </c>
      <c r="S103" s="67" t="s">
        <v>9</v>
      </c>
      <c r="T103" s="29" t="s">
        <v>151</v>
      </c>
      <c r="U103" s="29" t="s">
        <v>150</v>
      </c>
      <c r="V103" s="29" t="str">
        <f t="shared" ref="V103" si="60">SUBSTITUTE(E103, "_", " ")</f>
        <v>Esgoto.Acessórios</v>
      </c>
      <c r="W103" s="29" t="s">
        <v>152</v>
      </c>
      <c r="X103" s="57" t="str">
        <f t="shared" si="22"/>
        <v>Key-HIDR-103</v>
      </c>
      <c r="Y103" s="28" t="s">
        <v>235</v>
      </c>
      <c r="Z103" s="61" t="s">
        <v>9</v>
      </c>
      <c r="AA103" s="28" t="s">
        <v>234</v>
      </c>
      <c r="AB103" s="61" t="s">
        <v>9</v>
      </c>
      <c r="AC103" s="29" t="s">
        <v>126</v>
      </c>
      <c r="AD103" s="61" t="s">
        <v>9</v>
      </c>
    </row>
    <row r="104" spans="1:30" ht="6.65" customHeight="1" x14ac:dyDescent="0.4">
      <c r="A104" s="56">
        <v>104</v>
      </c>
      <c r="B104" s="1" t="s">
        <v>269</v>
      </c>
      <c r="C104" s="41" t="s">
        <v>270</v>
      </c>
      <c r="D104" s="1" t="s">
        <v>275</v>
      </c>
      <c r="E104" s="41" t="s">
        <v>276</v>
      </c>
      <c r="F104" s="41" t="s">
        <v>271</v>
      </c>
      <c r="G104" s="58" t="s">
        <v>9</v>
      </c>
      <c r="H104" s="58" t="s">
        <v>9</v>
      </c>
      <c r="I104" s="58" t="s">
        <v>9</v>
      </c>
      <c r="J104" s="58" t="s">
        <v>9</v>
      </c>
      <c r="K104" s="58" t="s">
        <v>9</v>
      </c>
      <c r="L104" s="32" t="str">
        <f t="shared" ref="L104" si="61">CONCATENATE("", C104)</f>
        <v>De.Tubulações</v>
      </c>
      <c r="M104" s="32" t="str">
        <f t="shared" ref="M104" si="62">CONCATENATE("", D104)</f>
        <v>Elementos.de.Instalações</v>
      </c>
      <c r="N104" s="32" t="str">
        <f t="shared" ref="N104" si="63">(SUBSTITUTE(SUBSTITUTE(CONCATENATE("",E104),"."," ")," De "," de "))</f>
        <v>Instalação De</v>
      </c>
      <c r="O104" s="29" t="str">
        <f t="shared" ref="O104" si="64">IF(ISNUMBER(FIND("Ifc",F104)),CONCATENATE("Classe IFC:   ",F104),CONCATENATE("",F104))</f>
        <v>Esgoto</v>
      </c>
      <c r="P104" s="51" t="s">
        <v>279</v>
      </c>
      <c r="Q104" s="51" t="s">
        <v>292</v>
      </c>
      <c r="R104" s="29" t="s">
        <v>333</v>
      </c>
      <c r="S104" s="67" t="s">
        <v>9</v>
      </c>
      <c r="T104" s="29" t="s">
        <v>151</v>
      </c>
      <c r="U104" s="29" t="s">
        <v>150</v>
      </c>
      <c r="V104" s="29" t="str">
        <f t="shared" ref="V104" si="65">SUBSTITUTE(E104, "_", " ")</f>
        <v>Instalação.De</v>
      </c>
      <c r="W104" s="29" t="s">
        <v>152</v>
      </c>
      <c r="X104" s="57" t="str">
        <f t="shared" ref="X104" si="66">CONCATENATE("Key-HIDR-",A104)</f>
        <v>Key-HIDR-104</v>
      </c>
      <c r="Y104" s="28" t="s">
        <v>247</v>
      </c>
      <c r="Z104" s="61" t="s">
        <v>9</v>
      </c>
      <c r="AA104" s="28" t="s">
        <v>248</v>
      </c>
      <c r="AB104" s="61" t="s">
        <v>9</v>
      </c>
      <c r="AC104" s="29" t="s">
        <v>126</v>
      </c>
      <c r="AD104" s="61" t="s">
        <v>9</v>
      </c>
    </row>
    <row r="105" spans="1:30" ht="6.65" customHeight="1" x14ac:dyDescent="0.4">
      <c r="A105" s="56">
        <v>105</v>
      </c>
      <c r="B105" s="1" t="s">
        <v>269</v>
      </c>
      <c r="C105" s="41" t="s">
        <v>270</v>
      </c>
      <c r="D105" s="1" t="s">
        <v>275</v>
      </c>
      <c r="E105" s="41" t="s">
        <v>276</v>
      </c>
      <c r="F105" s="41" t="s">
        <v>272</v>
      </c>
      <c r="G105" s="58" t="s">
        <v>9</v>
      </c>
      <c r="H105" s="58" t="s">
        <v>9</v>
      </c>
      <c r="I105" s="58" t="s">
        <v>9</v>
      </c>
      <c r="J105" s="58" t="s">
        <v>9</v>
      </c>
      <c r="K105" s="58" t="s">
        <v>9</v>
      </c>
      <c r="L105" s="32" t="str">
        <f t="shared" ref="L105:L107" si="67">CONCATENATE("", C105)</f>
        <v>De.Tubulações</v>
      </c>
      <c r="M105" s="32" t="str">
        <f t="shared" ref="M105:M107" si="68">CONCATENATE("", D105)</f>
        <v>Elementos.de.Instalações</v>
      </c>
      <c r="N105" s="32" t="str">
        <f t="shared" ref="N105:N107" si="69">(SUBSTITUTE(SUBSTITUTE(CONCATENATE("",E105),"."," ")," De "," de "))</f>
        <v>Instalação De</v>
      </c>
      <c r="O105" s="29" t="str">
        <f t="shared" ref="O105:O107" si="70">IF(ISNUMBER(FIND("Ifc",F105)),CONCATENATE("Classe IFC:   ",F105),CONCATENATE("",F105))</f>
        <v>AF</v>
      </c>
      <c r="P105" s="51" t="s">
        <v>280</v>
      </c>
      <c r="Q105" s="51" t="s">
        <v>293</v>
      </c>
      <c r="R105" s="29" t="s">
        <v>334</v>
      </c>
      <c r="S105" s="67" t="s">
        <v>9</v>
      </c>
      <c r="T105" s="29" t="s">
        <v>151</v>
      </c>
      <c r="U105" s="29" t="s">
        <v>150</v>
      </c>
      <c r="V105" s="29" t="str">
        <f t="shared" ref="V105:V107" si="71">SUBSTITUTE(E105, "_", " ")</f>
        <v>Instalação.De</v>
      </c>
      <c r="W105" s="29" t="s">
        <v>152</v>
      </c>
      <c r="X105" s="57" t="str">
        <f t="shared" ref="X105:X113" si="72">CONCATENATE("Key-HIDR-",A105)</f>
        <v>Key-HIDR-105</v>
      </c>
      <c r="Y105" s="28" t="s">
        <v>247</v>
      </c>
      <c r="Z105" s="61" t="s">
        <v>9</v>
      </c>
      <c r="AA105" s="28" t="s">
        <v>248</v>
      </c>
      <c r="AB105" s="61" t="s">
        <v>9</v>
      </c>
      <c r="AC105" s="29" t="s">
        <v>154</v>
      </c>
      <c r="AD105" s="61" t="s">
        <v>9</v>
      </c>
    </row>
    <row r="106" spans="1:30" ht="6.65" customHeight="1" x14ac:dyDescent="0.4">
      <c r="A106" s="56">
        <v>106</v>
      </c>
      <c r="B106" s="1" t="s">
        <v>269</v>
      </c>
      <c r="C106" s="41" t="s">
        <v>270</v>
      </c>
      <c r="D106" s="1" t="s">
        <v>275</v>
      </c>
      <c r="E106" s="41" t="s">
        <v>276</v>
      </c>
      <c r="F106" s="41" t="s">
        <v>273</v>
      </c>
      <c r="G106" s="58" t="s">
        <v>9</v>
      </c>
      <c r="H106" s="58" t="s">
        <v>9</v>
      </c>
      <c r="I106" s="58" t="s">
        <v>9</v>
      </c>
      <c r="J106" s="58" t="s">
        <v>9</v>
      </c>
      <c r="K106" s="58" t="s">
        <v>9</v>
      </c>
      <c r="L106" s="32" t="str">
        <f t="shared" si="67"/>
        <v>De.Tubulações</v>
      </c>
      <c r="M106" s="32" t="str">
        <f t="shared" si="68"/>
        <v>Elementos.de.Instalações</v>
      </c>
      <c r="N106" s="32" t="str">
        <f t="shared" si="69"/>
        <v>Instalação De</v>
      </c>
      <c r="O106" s="29" t="str">
        <f t="shared" si="70"/>
        <v>AQ</v>
      </c>
      <c r="P106" s="51" t="s">
        <v>281</v>
      </c>
      <c r="Q106" s="51" t="s">
        <v>294</v>
      </c>
      <c r="R106" s="29" t="s">
        <v>335</v>
      </c>
      <c r="S106" s="67" t="s">
        <v>9</v>
      </c>
      <c r="T106" s="29" t="s">
        <v>151</v>
      </c>
      <c r="U106" s="29" t="s">
        <v>150</v>
      </c>
      <c r="V106" s="29" t="str">
        <f t="shared" si="71"/>
        <v>Instalação.De</v>
      </c>
      <c r="W106" s="29" t="s">
        <v>152</v>
      </c>
      <c r="X106" s="57" t="str">
        <f t="shared" si="72"/>
        <v>Key-HIDR-106</v>
      </c>
      <c r="Y106" s="28" t="s">
        <v>247</v>
      </c>
      <c r="Z106" s="61" t="s">
        <v>9</v>
      </c>
      <c r="AA106" s="28" t="s">
        <v>248</v>
      </c>
      <c r="AB106" s="61" t="s">
        <v>9</v>
      </c>
      <c r="AC106" s="29" t="s">
        <v>154</v>
      </c>
      <c r="AD106" s="61" t="s">
        <v>9</v>
      </c>
    </row>
    <row r="107" spans="1:30" ht="6.65" customHeight="1" x14ac:dyDescent="0.4">
      <c r="A107" s="56">
        <v>107</v>
      </c>
      <c r="B107" s="1" t="s">
        <v>269</v>
      </c>
      <c r="C107" s="41" t="s">
        <v>270</v>
      </c>
      <c r="D107" s="1" t="s">
        <v>275</v>
      </c>
      <c r="E107" s="41" t="s">
        <v>276</v>
      </c>
      <c r="F107" s="41" t="s">
        <v>274</v>
      </c>
      <c r="G107" s="58" t="s">
        <v>9</v>
      </c>
      <c r="H107" s="58" t="s">
        <v>9</v>
      </c>
      <c r="I107" s="58" t="s">
        <v>9</v>
      </c>
      <c r="J107" s="58" t="s">
        <v>9</v>
      </c>
      <c r="K107" s="58" t="s">
        <v>9</v>
      </c>
      <c r="L107" s="32" t="str">
        <f t="shared" si="67"/>
        <v>De.Tubulações</v>
      </c>
      <c r="M107" s="32" t="str">
        <f t="shared" si="68"/>
        <v>Elementos.de.Instalações</v>
      </c>
      <c r="N107" s="32" t="str">
        <f t="shared" si="69"/>
        <v>Instalação De</v>
      </c>
      <c r="O107" s="29" t="str">
        <f t="shared" si="70"/>
        <v>Pluvial</v>
      </c>
      <c r="P107" s="51" t="s">
        <v>282</v>
      </c>
      <c r="Q107" s="51" t="s">
        <v>295</v>
      </c>
      <c r="R107" s="29" t="s">
        <v>336</v>
      </c>
      <c r="S107" s="67" t="s">
        <v>9</v>
      </c>
      <c r="T107" s="29" t="s">
        <v>151</v>
      </c>
      <c r="U107" s="29" t="s">
        <v>150</v>
      </c>
      <c r="V107" s="29" t="str">
        <f t="shared" si="71"/>
        <v>Instalação.De</v>
      </c>
      <c r="W107" s="29" t="s">
        <v>152</v>
      </c>
      <c r="X107" s="57" t="str">
        <f t="shared" si="72"/>
        <v>Key-HIDR-107</v>
      </c>
      <c r="Y107" s="28" t="s">
        <v>247</v>
      </c>
      <c r="Z107" s="61" t="s">
        <v>9</v>
      </c>
      <c r="AA107" s="28" t="s">
        <v>248</v>
      </c>
      <c r="AB107" s="61" t="s">
        <v>9</v>
      </c>
      <c r="AC107" s="29" t="s">
        <v>126</v>
      </c>
      <c r="AD107" s="61" t="s">
        <v>9</v>
      </c>
    </row>
    <row r="108" spans="1:30" ht="6.65" customHeight="1" x14ac:dyDescent="0.4">
      <c r="A108" s="56">
        <v>108</v>
      </c>
      <c r="B108" s="1" t="s">
        <v>269</v>
      </c>
      <c r="C108" s="41" t="s">
        <v>270</v>
      </c>
      <c r="D108" s="1" t="s">
        <v>275</v>
      </c>
      <c r="E108" s="41" t="s">
        <v>276</v>
      </c>
      <c r="F108" s="41" t="s">
        <v>277</v>
      </c>
      <c r="G108" s="58" t="s">
        <v>9</v>
      </c>
      <c r="H108" s="58" t="s">
        <v>9</v>
      </c>
      <c r="I108" s="58" t="s">
        <v>9</v>
      </c>
      <c r="J108" s="58" t="s">
        <v>9</v>
      </c>
      <c r="K108" s="58" t="s">
        <v>9</v>
      </c>
      <c r="L108" s="32" t="str">
        <f t="shared" ref="L108" si="73">CONCATENATE("", C108)</f>
        <v>De.Tubulações</v>
      </c>
      <c r="M108" s="32" t="str">
        <f t="shared" ref="M108" si="74">CONCATENATE("", D108)</f>
        <v>Elementos.de.Instalações</v>
      </c>
      <c r="N108" s="32" t="str">
        <f t="shared" ref="N108" si="75">(SUBSTITUTE(SUBSTITUTE(CONCATENATE("",E108),"."," ")," De "," de "))</f>
        <v>Instalação De</v>
      </c>
      <c r="O108" s="29" t="str">
        <f t="shared" ref="O108" si="76">IF(ISNUMBER(FIND("Ifc",F108)),CONCATENATE("Classe IFC:   ",F108),CONCATENATE("",F108))</f>
        <v>Ventilação</v>
      </c>
      <c r="P108" s="51" t="s">
        <v>278</v>
      </c>
      <c r="Q108" s="51" t="s">
        <v>296</v>
      </c>
      <c r="R108" s="29" t="s">
        <v>337</v>
      </c>
      <c r="S108" s="67" t="s">
        <v>9</v>
      </c>
      <c r="T108" s="29" t="s">
        <v>151</v>
      </c>
      <c r="U108" s="29" t="s">
        <v>150</v>
      </c>
      <c r="V108" s="29" t="str">
        <f t="shared" ref="V108" si="77">SUBSTITUTE(E108, "_", " ")</f>
        <v>Instalação.De</v>
      </c>
      <c r="W108" s="29" t="s">
        <v>152</v>
      </c>
      <c r="X108" s="57" t="str">
        <f t="shared" si="72"/>
        <v>Key-HIDR-108</v>
      </c>
      <c r="Y108" s="28" t="s">
        <v>247</v>
      </c>
      <c r="Z108" s="61" t="s">
        <v>9</v>
      </c>
      <c r="AA108" s="28" t="s">
        <v>248</v>
      </c>
      <c r="AB108" s="61" t="s">
        <v>9</v>
      </c>
      <c r="AC108" s="29" t="s">
        <v>126</v>
      </c>
      <c r="AD108" s="61" t="s">
        <v>9</v>
      </c>
    </row>
    <row r="109" spans="1:30" s="62" customFormat="1" ht="6.75" customHeight="1" x14ac:dyDescent="0.25">
      <c r="A109" s="56">
        <v>109</v>
      </c>
      <c r="B109" s="1" t="s">
        <v>269</v>
      </c>
      <c r="C109" s="63" t="s">
        <v>342</v>
      </c>
      <c r="D109" s="63" t="s">
        <v>344</v>
      </c>
      <c r="E109" s="63" t="s">
        <v>343</v>
      </c>
      <c r="F109" s="63" t="s">
        <v>345</v>
      </c>
      <c r="G109" s="58" t="s">
        <v>9</v>
      </c>
      <c r="H109" s="58" t="s">
        <v>9</v>
      </c>
      <c r="I109" s="58" t="s">
        <v>9</v>
      </c>
      <c r="J109" s="58" t="s">
        <v>9</v>
      </c>
      <c r="K109" s="58" t="s">
        <v>9</v>
      </c>
      <c r="L109" s="32" t="str">
        <f t="shared" ref="L109:O113" si="78">SUBSTITUTE(CONCATENATE("", C109), ".", " ")</f>
        <v>De API</v>
      </c>
      <c r="M109" s="32" t="str">
        <f t="shared" si="78"/>
        <v>Macros</v>
      </c>
      <c r="N109" s="32" t="str">
        <f t="shared" si="78"/>
        <v>Métodos</v>
      </c>
      <c r="O109" s="32" t="str">
        <f t="shared" si="78"/>
        <v>Função Auxiliar</v>
      </c>
      <c r="P109" s="29" t="s">
        <v>346</v>
      </c>
      <c r="Q109" s="29" t="s">
        <v>347</v>
      </c>
      <c r="R109" s="29" t="s">
        <v>348</v>
      </c>
      <c r="S109" s="67" t="s">
        <v>9</v>
      </c>
      <c r="T109" s="29" t="str">
        <f t="shared" ref="T109:V113" si="79">SUBSTITUTE(C109, ".", " ")</f>
        <v>De API</v>
      </c>
      <c r="U109" s="29" t="str">
        <f t="shared" si="79"/>
        <v>Macros</v>
      </c>
      <c r="V109" s="60" t="str">
        <f t="shared" si="79"/>
        <v>Métodos</v>
      </c>
      <c r="W109" s="29" t="s">
        <v>152</v>
      </c>
      <c r="X109" s="57" t="str">
        <f t="shared" si="72"/>
        <v>Key-HIDR-109</v>
      </c>
      <c r="Y109" s="61" t="s">
        <v>9</v>
      </c>
      <c r="Z109" s="61" t="s">
        <v>9</v>
      </c>
      <c r="AA109" s="61" t="s">
        <v>9</v>
      </c>
      <c r="AB109" s="61" t="s">
        <v>9</v>
      </c>
      <c r="AC109" s="61" t="s">
        <v>9</v>
      </c>
      <c r="AD109" s="61" t="s">
        <v>9</v>
      </c>
    </row>
    <row r="110" spans="1:30" s="62" customFormat="1" ht="6.75" customHeight="1" x14ac:dyDescent="0.25">
      <c r="A110" s="56">
        <v>110</v>
      </c>
      <c r="B110" s="1" t="s">
        <v>269</v>
      </c>
      <c r="C110" s="63" t="s">
        <v>342</v>
      </c>
      <c r="D110" s="63" t="s">
        <v>344</v>
      </c>
      <c r="E110" s="63" t="s">
        <v>343</v>
      </c>
      <c r="F110" s="63" t="s">
        <v>349</v>
      </c>
      <c r="G110" s="58" t="s">
        <v>9</v>
      </c>
      <c r="H110" s="58" t="s">
        <v>9</v>
      </c>
      <c r="I110" s="58" t="s">
        <v>9</v>
      </c>
      <c r="J110" s="58" t="s">
        <v>9</v>
      </c>
      <c r="K110" s="58" t="s">
        <v>9</v>
      </c>
      <c r="L110" s="32" t="str">
        <f t="shared" si="78"/>
        <v>De API</v>
      </c>
      <c r="M110" s="32" t="str">
        <f t="shared" si="78"/>
        <v>Macros</v>
      </c>
      <c r="N110" s="32" t="str">
        <f t="shared" si="78"/>
        <v>Métodos</v>
      </c>
      <c r="O110" s="32" t="str">
        <f t="shared" si="78"/>
        <v>Função Global</v>
      </c>
      <c r="P110" s="29" t="s">
        <v>350</v>
      </c>
      <c r="Q110" s="29" t="s">
        <v>351</v>
      </c>
      <c r="R110" s="29" t="s">
        <v>352</v>
      </c>
      <c r="S110" s="67" t="s">
        <v>9</v>
      </c>
      <c r="T110" s="29" t="str">
        <f t="shared" si="79"/>
        <v>De API</v>
      </c>
      <c r="U110" s="29" t="str">
        <f t="shared" si="79"/>
        <v>Macros</v>
      </c>
      <c r="V110" s="60" t="str">
        <f t="shared" si="79"/>
        <v>Métodos</v>
      </c>
      <c r="W110" s="29" t="s">
        <v>152</v>
      </c>
      <c r="X110" s="57" t="str">
        <f t="shared" si="72"/>
        <v>Key-HIDR-110</v>
      </c>
      <c r="Y110" s="61" t="s">
        <v>9</v>
      </c>
      <c r="Z110" s="61" t="s">
        <v>9</v>
      </c>
      <c r="AA110" s="61" t="s">
        <v>9</v>
      </c>
      <c r="AB110" s="61" t="s">
        <v>9</v>
      </c>
      <c r="AC110" s="61" t="s">
        <v>9</v>
      </c>
      <c r="AD110" s="61" t="s">
        <v>9</v>
      </c>
    </row>
    <row r="111" spans="1:30" s="62" customFormat="1" ht="6.75" customHeight="1" x14ac:dyDescent="0.25">
      <c r="A111" s="56">
        <v>111</v>
      </c>
      <c r="B111" s="1" t="s">
        <v>269</v>
      </c>
      <c r="C111" s="63" t="s">
        <v>342</v>
      </c>
      <c r="D111" s="63" t="s">
        <v>344</v>
      </c>
      <c r="E111" s="63" t="s">
        <v>343</v>
      </c>
      <c r="F111" s="63" t="s">
        <v>353</v>
      </c>
      <c r="G111" s="58" t="s">
        <v>9</v>
      </c>
      <c r="H111" s="58" t="s">
        <v>9</v>
      </c>
      <c r="I111" s="58" t="s">
        <v>9</v>
      </c>
      <c r="J111" s="58" t="s">
        <v>9</v>
      </c>
      <c r="K111" s="58" t="s">
        <v>9</v>
      </c>
      <c r="L111" s="32" t="str">
        <f t="shared" si="78"/>
        <v>De API</v>
      </c>
      <c r="M111" s="32" t="str">
        <f t="shared" si="78"/>
        <v>Macros</v>
      </c>
      <c r="N111" s="32" t="str">
        <f t="shared" si="78"/>
        <v>Métodos</v>
      </c>
      <c r="O111" s="32" t="str">
        <f t="shared" si="78"/>
        <v>Função Local</v>
      </c>
      <c r="P111" s="29" t="s">
        <v>354</v>
      </c>
      <c r="Q111" s="29" t="s">
        <v>355</v>
      </c>
      <c r="R111" s="29" t="s">
        <v>356</v>
      </c>
      <c r="S111" s="67" t="s">
        <v>9</v>
      </c>
      <c r="T111" s="29" t="str">
        <f t="shared" si="79"/>
        <v>De API</v>
      </c>
      <c r="U111" s="29" t="str">
        <f t="shared" si="79"/>
        <v>Macros</v>
      </c>
      <c r="V111" s="60" t="str">
        <f t="shared" si="79"/>
        <v>Métodos</v>
      </c>
      <c r="W111" s="29" t="s">
        <v>152</v>
      </c>
      <c r="X111" s="57" t="str">
        <f t="shared" si="72"/>
        <v>Key-HIDR-111</v>
      </c>
      <c r="Y111" s="61" t="s">
        <v>9</v>
      </c>
      <c r="Z111" s="61" t="s">
        <v>9</v>
      </c>
      <c r="AA111" s="61" t="s">
        <v>9</v>
      </c>
      <c r="AB111" s="61" t="s">
        <v>9</v>
      </c>
      <c r="AC111" s="61" t="s">
        <v>9</v>
      </c>
      <c r="AD111" s="61" t="s">
        <v>9</v>
      </c>
    </row>
    <row r="112" spans="1:30" s="62" customFormat="1" ht="6.75" customHeight="1" x14ac:dyDescent="0.25">
      <c r="A112" s="56">
        <v>112</v>
      </c>
      <c r="B112" s="1" t="s">
        <v>269</v>
      </c>
      <c r="C112" s="63" t="s">
        <v>342</v>
      </c>
      <c r="D112" s="63" t="s">
        <v>344</v>
      </c>
      <c r="E112" s="63" t="s">
        <v>343</v>
      </c>
      <c r="F112" s="63" t="s">
        <v>357</v>
      </c>
      <c r="G112" s="58" t="s">
        <v>9</v>
      </c>
      <c r="H112" s="58" t="s">
        <v>9</v>
      </c>
      <c r="I112" s="58" t="s">
        <v>9</v>
      </c>
      <c r="J112" s="58" t="s">
        <v>9</v>
      </c>
      <c r="K112" s="58" t="s">
        <v>9</v>
      </c>
      <c r="L112" s="32" t="str">
        <f t="shared" si="78"/>
        <v>De API</v>
      </c>
      <c r="M112" s="32" t="str">
        <f t="shared" si="78"/>
        <v>Macros</v>
      </c>
      <c r="N112" s="32" t="str">
        <f t="shared" si="78"/>
        <v>Métodos</v>
      </c>
      <c r="O112" s="32" t="str">
        <f t="shared" si="78"/>
        <v>Função Filtro</v>
      </c>
      <c r="P112" s="29" t="s">
        <v>358</v>
      </c>
      <c r="Q112" s="29" t="s">
        <v>359</v>
      </c>
      <c r="R112" s="29" t="s">
        <v>360</v>
      </c>
      <c r="S112" s="67" t="s">
        <v>9</v>
      </c>
      <c r="T112" s="29" t="str">
        <f t="shared" si="79"/>
        <v>De API</v>
      </c>
      <c r="U112" s="29" t="str">
        <f t="shared" si="79"/>
        <v>Macros</v>
      </c>
      <c r="V112" s="60" t="str">
        <f t="shared" si="79"/>
        <v>Métodos</v>
      </c>
      <c r="W112" s="29" t="s">
        <v>152</v>
      </c>
      <c r="X112" s="57" t="str">
        <f t="shared" si="72"/>
        <v>Key-HIDR-112</v>
      </c>
      <c r="Y112" s="61" t="s">
        <v>9</v>
      </c>
      <c r="Z112" s="61" t="s">
        <v>9</v>
      </c>
      <c r="AA112" s="61" t="s">
        <v>9</v>
      </c>
      <c r="AB112" s="61" t="s">
        <v>9</v>
      </c>
      <c r="AC112" s="61" t="s">
        <v>9</v>
      </c>
      <c r="AD112" s="61" t="s">
        <v>9</v>
      </c>
    </row>
    <row r="113" spans="1:30" s="62" customFormat="1" ht="6.75" customHeight="1" x14ac:dyDescent="0.25">
      <c r="A113" s="56">
        <v>113</v>
      </c>
      <c r="B113" s="1" t="s">
        <v>269</v>
      </c>
      <c r="C113" s="63" t="s">
        <v>342</v>
      </c>
      <c r="D113" s="63" t="s">
        <v>344</v>
      </c>
      <c r="E113" s="63" t="s">
        <v>361</v>
      </c>
      <c r="F113" s="63" t="s">
        <v>362</v>
      </c>
      <c r="G113" s="58" t="s">
        <v>9</v>
      </c>
      <c r="H113" s="58" t="s">
        <v>9</v>
      </c>
      <c r="I113" s="58" t="s">
        <v>9</v>
      </c>
      <c r="J113" s="58" t="s">
        <v>9</v>
      </c>
      <c r="K113" s="58" t="s">
        <v>9</v>
      </c>
      <c r="L113" s="32" t="str">
        <f t="shared" si="78"/>
        <v>De API</v>
      </c>
      <c r="M113" s="32" t="str">
        <f t="shared" si="78"/>
        <v>Macros</v>
      </c>
      <c r="N113" s="32" t="str">
        <f t="shared" si="78"/>
        <v>Códigos Visuais</v>
      </c>
      <c r="O113" s="32" t="str">
        <f t="shared" si="78"/>
        <v>Bloco de Código</v>
      </c>
      <c r="P113" s="29" t="s">
        <v>363</v>
      </c>
      <c r="Q113" s="29" t="s">
        <v>364</v>
      </c>
      <c r="R113" s="29" t="s">
        <v>365</v>
      </c>
      <c r="S113" s="67" t="s">
        <v>9</v>
      </c>
      <c r="T113" s="29" t="str">
        <f t="shared" si="79"/>
        <v>De API</v>
      </c>
      <c r="U113" s="29" t="str">
        <f t="shared" si="79"/>
        <v>Macros</v>
      </c>
      <c r="V113" s="60" t="str">
        <f t="shared" si="79"/>
        <v>Códigos Visuais</v>
      </c>
      <c r="W113" s="29" t="s">
        <v>152</v>
      </c>
      <c r="X113" s="57" t="str">
        <f t="shared" si="72"/>
        <v>Key-HIDR-113</v>
      </c>
      <c r="Y113" s="61" t="s">
        <v>9</v>
      </c>
      <c r="Z113" s="61" t="s">
        <v>9</v>
      </c>
      <c r="AA113" s="61" t="s">
        <v>9</v>
      </c>
      <c r="AB113" s="61" t="s">
        <v>9</v>
      </c>
      <c r="AC113" s="61" t="s">
        <v>9</v>
      </c>
      <c r="AD113" s="61" t="s">
        <v>9</v>
      </c>
    </row>
  </sheetData>
  <sortState xmlns:xlrd2="http://schemas.microsoft.com/office/spreadsheetml/2017/richdata2" ref="A65:AC994">
    <sortCondition ref="F65:F994"/>
  </sortState>
  <phoneticPr fontId="1" type="noConversion"/>
  <conditionalFormatting sqref="E113:F113">
    <cfRule type="duplicateValues" dxfId="34" priority="24"/>
  </conditionalFormatting>
  <conditionalFormatting sqref="F1">
    <cfRule type="duplicateValues" dxfId="33" priority="1534"/>
  </conditionalFormatting>
  <conditionalFormatting sqref="F2:F62">
    <cfRule type="duplicateValues" dxfId="32" priority="1"/>
  </conditionalFormatting>
  <conditionalFormatting sqref="F74">
    <cfRule type="duplicateValues" dxfId="31" priority="64"/>
  </conditionalFormatting>
  <conditionalFormatting sqref="F93">
    <cfRule type="duplicateValues" dxfId="30" priority="84"/>
  </conditionalFormatting>
  <conditionalFormatting sqref="F96 F75:F91 F98:F108 F1 F114:F1048576 F63:F73">
    <cfRule type="duplicateValues" dxfId="29" priority="86"/>
  </conditionalFormatting>
  <conditionalFormatting sqref="F109:F112">
    <cfRule type="duplicateValues" dxfId="28" priority="25"/>
  </conditionalFormatting>
  <conditionalFormatting sqref="F114:F1048576 F1 F63:F108">
    <cfRule type="duplicateValues" dxfId="27" priority="62"/>
  </conditionalFormatting>
  <conditionalFormatting sqref="F114:F1048576">
    <cfRule type="duplicateValues" dxfId="26" priority="291"/>
    <cfRule type="duplicateValues" dxfId="25" priority="293"/>
    <cfRule type="duplicateValues" dxfId="24" priority="1506"/>
    <cfRule type="duplicateValues" dxfId="23" priority="1527"/>
  </conditionalFormatting>
  <conditionalFormatting sqref="F1:O1 A1:D1">
    <cfRule type="cellIs" dxfId="22" priority="98" operator="equal">
      <formula>"null"</formula>
    </cfRule>
  </conditionalFormatting>
  <conditionalFormatting sqref="P63:P67">
    <cfRule type="duplicateValues" dxfId="21" priority="1559"/>
  </conditionalFormatting>
  <conditionalFormatting sqref="P68:P73 P75:P84">
    <cfRule type="duplicateValues" dxfId="20" priority="1547"/>
  </conditionalFormatting>
  <conditionalFormatting sqref="P85:P90">
    <cfRule type="duplicateValues" dxfId="19" priority="67"/>
  </conditionalFormatting>
  <conditionalFormatting sqref="P91">
    <cfRule type="duplicateValues" dxfId="18" priority="1540"/>
  </conditionalFormatting>
  <conditionalFormatting sqref="Q62">
    <cfRule type="cellIs" dxfId="17" priority="2" operator="equal">
      <formula>"null"</formula>
    </cfRule>
  </conditionalFormatting>
  <conditionalFormatting sqref="Q63:Q66">
    <cfRule type="duplicateValues" dxfId="16" priority="68"/>
  </conditionalFormatting>
  <conditionalFormatting sqref="Q67">
    <cfRule type="duplicateValues" dxfId="15" priority="39"/>
  </conditionalFormatting>
  <conditionalFormatting sqref="Q84">
    <cfRule type="duplicateValues" dxfId="14" priority="70"/>
  </conditionalFormatting>
  <conditionalFormatting sqref="Q91">
    <cfRule type="duplicateValues" dxfId="13" priority="1541"/>
  </conditionalFormatting>
  <conditionalFormatting sqref="Q1:Z1">
    <cfRule type="cellIs" dxfId="12" priority="37" operator="equal">
      <formula>"null"</formula>
    </cfRule>
  </conditionalFormatting>
  <conditionalFormatting sqref="Y2:Y26 AA2:AA26 AC2:AC26 Q2:R61 A2:B113 R62:R108">
    <cfRule type="cellIs" dxfId="11" priority="3" operator="equal">
      <formula>"null"</formula>
    </cfRule>
  </conditionalFormatting>
  <conditionalFormatting sqref="Y29:Y50 AC29:AC50">
    <cfRule type="cellIs" dxfId="10" priority="5" operator="equal">
      <formula>"null"</formula>
    </cfRule>
  </conditionalFormatting>
  <conditionalFormatting sqref="AA29:AA62 E51:E62 L51:P62 T51:V62 AE51:XFD62">
    <cfRule type="cellIs" dxfId="9" priority="4" operator="equal">
      <formula>"null"</formula>
    </cfRule>
  </conditionalFormatting>
  <conditionalFormatting sqref="AB1:AD1">
    <cfRule type="cellIs" dxfId="8" priority="63" operator="equal">
      <formula>"null"</formula>
    </cfRule>
  </conditionalFormatting>
  <pageMargins left="0.511811024" right="0.511811024" top="0.78740157499999996" bottom="0.78740157499999996" header="0.31496062000000002" footer="0.31496062000000002"/>
  <ignoredErrors>
    <ignoredError sqref="A1" numberStoredAsText="1"/>
  </ignoredError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Planilha3"/>
  <dimension ref="A1:U2"/>
  <sheetViews>
    <sheetView zoomScale="180" zoomScaleNormal="180" workbookViewId="0">
      <selection activeCell="A3" sqref="A3:XFD3"/>
    </sheetView>
  </sheetViews>
  <sheetFormatPr defaultColWidth="11.15234375" defaultRowHeight="7.75" x14ac:dyDescent="0.2"/>
  <cols>
    <col min="1" max="1" width="2.84375" style="9" customWidth="1"/>
    <col min="2" max="10" width="6.53515625" style="10" customWidth="1"/>
    <col min="11" max="21" width="6.53515625" style="8" customWidth="1"/>
    <col min="22" max="16384" width="11.15234375" style="8"/>
  </cols>
  <sheetData>
    <row r="1" spans="1:21" s="4" customFormat="1" x14ac:dyDescent="0.2">
      <c r="A1" s="2" t="s">
        <v>11</v>
      </c>
      <c r="B1" s="3" t="s">
        <v>12</v>
      </c>
      <c r="C1" s="3" t="s">
        <v>13</v>
      </c>
      <c r="D1" s="3" t="s">
        <v>14</v>
      </c>
      <c r="E1" s="3" t="s">
        <v>15</v>
      </c>
      <c r="F1" s="3" t="s">
        <v>16</v>
      </c>
      <c r="G1" s="3" t="s">
        <v>17</v>
      </c>
      <c r="H1" s="3" t="s">
        <v>18</v>
      </c>
      <c r="I1" s="3" t="s">
        <v>19</v>
      </c>
      <c r="J1" s="3" t="s">
        <v>20</v>
      </c>
      <c r="K1" s="3" t="s">
        <v>21</v>
      </c>
      <c r="L1" s="3" t="s">
        <v>22</v>
      </c>
      <c r="M1" s="3" t="s">
        <v>23</v>
      </c>
      <c r="N1" s="3" t="s">
        <v>24</v>
      </c>
      <c r="O1" s="3" t="s">
        <v>25</v>
      </c>
      <c r="P1" s="3" t="s">
        <v>26</v>
      </c>
      <c r="Q1" s="3" t="s">
        <v>27</v>
      </c>
      <c r="R1" s="3" t="s">
        <v>28</v>
      </c>
      <c r="S1" s="3" t="s">
        <v>29</v>
      </c>
      <c r="T1" s="3" t="s">
        <v>30</v>
      </c>
      <c r="U1" s="5" t="s">
        <v>31</v>
      </c>
    </row>
    <row r="2" spans="1:21" s="4" customFormat="1" ht="10.5" customHeight="1" x14ac:dyDescent="0.2">
      <c r="A2" s="6">
        <v>2</v>
      </c>
      <c r="B2" s="7" t="s">
        <v>9</v>
      </c>
      <c r="C2" s="7" t="s">
        <v>9</v>
      </c>
      <c r="D2" s="7" t="s">
        <v>9</v>
      </c>
      <c r="E2" s="7" t="s">
        <v>9</v>
      </c>
      <c r="F2" s="7" t="s">
        <v>9</v>
      </c>
      <c r="G2" s="7" t="s">
        <v>9</v>
      </c>
      <c r="H2" s="7" t="s">
        <v>9</v>
      </c>
      <c r="I2" s="7" t="s">
        <v>9</v>
      </c>
      <c r="J2" s="7" t="s">
        <v>9</v>
      </c>
      <c r="K2" s="7" t="s">
        <v>9</v>
      </c>
      <c r="L2" s="7" t="s">
        <v>9</v>
      </c>
      <c r="M2" s="7" t="s">
        <v>9</v>
      </c>
      <c r="N2" s="7" t="s">
        <v>9</v>
      </c>
      <c r="O2" s="7" t="s">
        <v>9</v>
      </c>
      <c r="P2" s="7" t="s">
        <v>9</v>
      </c>
      <c r="Q2" s="7" t="s">
        <v>9</v>
      </c>
      <c r="R2" s="7" t="s">
        <v>9</v>
      </c>
      <c r="S2" s="7" t="s">
        <v>9</v>
      </c>
      <c r="T2" s="7" t="s">
        <v>9</v>
      </c>
      <c r="U2" s="7" t="s">
        <v>9</v>
      </c>
    </row>
  </sheetData>
  <conditionalFormatting sqref="A1:XFD1048576">
    <cfRule type="cellIs" dxfId="7" priority="2" operator="equal">
      <formula>"null"</formula>
    </cfRule>
  </conditionalFormatting>
  <pageMargins left="0.51180555555555596" right="0.51180555555555596" top="0.78749999999999998" bottom="0.78749999999999998" header="0.511811023622047" footer="0.511811023622047"/>
  <pageSetup paperSize="9" orientation="portrait" horizontalDpi="300" verticalDpi="300"/>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CB0525-EDFB-44CB-9009-6752AEDD7340}">
  <sheetPr codeName="Planilha4"/>
  <dimension ref="A1:S19"/>
  <sheetViews>
    <sheetView zoomScale="190" zoomScaleNormal="190" workbookViewId="0">
      <pane ySplit="1" topLeftCell="A2" activePane="bottomLeft" state="frozen"/>
      <selection pane="bottomLeft" activeCell="A2" sqref="A2"/>
    </sheetView>
  </sheetViews>
  <sheetFormatPr defaultColWidth="11.53515625" defaultRowHeight="7.95" customHeight="1" x14ac:dyDescent="0.4"/>
  <cols>
    <col min="1" max="1" width="2.53515625" bestFit="1" customWidth="1"/>
    <col min="2" max="2" width="9.3046875" bestFit="1" customWidth="1"/>
    <col min="3" max="3" width="13.3046875" bestFit="1" customWidth="1"/>
    <col min="4" max="4" width="8.69140625" bestFit="1" customWidth="1"/>
    <col min="5" max="5" width="7.84375" customWidth="1"/>
    <col min="6" max="6" width="6" bestFit="1" customWidth="1"/>
    <col min="7" max="7" width="60.15234375" customWidth="1"/>
    <col min="8" max="8" width="6" bestFit="1" customWidth="1"/>
    <col min="9" max="9" width="19.3828125" customWidth="1"/>
    <col min="10" max="10" width="8.3046875" bestFit="1" customWidth="1"/>
    <col min="11" max="11" width="4.84375" bestFit="1" customWidth="1"/>
    <col min="12" max="12" width="8.3828125" bestFit="1" customWidth="1"/>
    <col min="13" max="13" width="24" bestFit="1" customWidth="1"/>
    <col min="14" max="14" width="8.3828125" bestFit="1" customWidth="1"/>
    <col min="15" max="15" width="23.84375" bestFit="1" customWidth="1"/>
    <col min="16" max="16" width="5.69140625" bestFit="1" customWidth="1"/>
    <col min="17" max="17" width="19.69140625" bestFit="1" customWidth="1"/>
    <col min="18" max="18" width="7.3046875" bestFit="1" customWidth="1"/>
    <col min="19" max="19" width="8.3828125" bestFit="1" customWidth="1"/>
  </cols>
  <sheetData>
    <row r="1" spans="1:19" ht="14.7" customHeight="1" x14ac:dyDescent="0.4">
      <c r="A1" s="16" t="s">
        <v>10</v>
      </c>
      <c r="B1" s="17" t="s">
        <v>73</v>
      </c>
      <c r="C1" s="17" t="s">
        <v>74</v>
      </c>
      <c r="D1" s="18" t="s">
        <v>75</v>
      </c>
      <c r="E1" s="18" t="s">
        <v>78</v>
      </c>
      <c r="F1" s="18" t="s">
        <v>75</v>
      </c>
      <c r="G1" s="18" t="s">
        <v>78</v>
      </c>
      <c r="H1" s="47" t="s">
        <v>76</v>
      </c>
      <c r="I1" s="18" t="s">
        <v>78</v>
      </c>
      <c r="J1" s="18" t="s">
        <v>75</v>
      </c>
      <c r="K1" s="18" t="s">
        <v>78</v>
      </c>
      <c r="L1" s="18" t="s">
        <v>75</v>
      </c>
      <c r="M1" s="18" t="s">
        <v>78</v>
      </c>
      <c r="N1" s="18" t="s">
        <v>75</v>
      </c>
      <c r="O1" s="18" t="s">
        <v>78</v>
      </c>
      <c r="P1" s="18" t="s">
        <v>75</v>
      </c>
      <c r="Q1" s="18" t="s">
        <v>78</v>
      </c>
      <c r="R1" s="18" t="s">
        <v>75</v>
      </c>
      <c r="S1" s="18" t="s">
        <v>78</v>
      </c>
    </row>
    <row r="2" spans="1:19" ht="7.95" customHeight="1" x14ac:dyDescent="0.4">
      <c r="A2" s="19">
        <v>1</v>
      </c>
      <c r="B2" s="20" t="s">
        <v>94</v>
      </c>
      <c r="C2" s="41" t="s">
        <v>244</v>
      </c>
      <c r="D2" s="49" t="s">
        <v>9</v>
      </c>
      <c r="E2" s="50" t="s">
        <v>9</v>
      </c>
      <c r="F2" s="21" t="s">
        <v>77</v>
      </c>
      <c r="G2" s="22" t="s">
        <v>249</v>
      </c>
      <c r="H2" s="48" t="s">
        <v>9</v>
      </c>
      <c r="I2" s="23" t="s">
        <v>9</v>
      </c>
      <c r="J2" s="48" t="s">
        <v>9</v>
      </c>
      <c r="K2" s="23" t="s">
        <v>9</v>
      </c>
      <c r="L2" s="48" t="s">
        <v>9</v>
      </c>
      <c r="M2" s="23" t="s">
        <v>9</v>
      </c>
      <c r="N2" s="48" t="s">
        <v>9</v>
      </c>
      <c r="O2" s="23" t="s">
        <v>9</v>
      </c>
      <c r="P2" s="48" t="s">
        <v>9</v>
      </c>
      <c r="Q2" s="23" t="s">
        <v>9</v>
      </c>
      <c r="R2" s="48" t="s">
        <v>9</v>
      </c>
      <c r="S2" s="23" t="s">
        <v>9</v>
      </c>
    </row>
    <row r="3" spans="1:19" ht="7.95" customHeight="1" x14ac:dyDescent="0.4">
      <c r="A3" s="19">
        <v>2</v>
      </c>
      <c r="B3" s="20" t="s">
        <v>208</v>
      </c>
      <c r="C3" s="41" t="s">
        <v>153</v>
      </c>
      <c r="D3" s="49" t="s">
        <v>82</v>
      </c>
      <c r="E3" s="33" t="s">
        <v>94</v>
      </c>
      <c r="F3" s="21" t="s">
        <v>77</v>
      </c>
      <c r="G3" s="22" t="s">
        <v>250</v>
      </c>
      <c r="H3" s="48" t="s">
        <v>77</v>
      </c>
      <c r="I3" s="23" t="s">
        <v>130</v>
      </c>
      <c r="J3" s="48" t="s">
        <v>9</v>
      </c>
      <c r="K3" s="23" t="s">
        <v>9</v>
      </c>
      <c r="L3" s="48" t="s">
        <v>9</v>
      </c>
      <c r="M3" s="23" t="s">
        <v>9</v>
      </c>
      <c r="N3" s="48" t="s">
        <v>9</v>
      </c>
      <c r="O3" s="23" t="s">
        <v>227</v>
      </c>
      <c r="P3" s="48" t="s">
        <v>9</v>
      </c>
      <c r="Q3" s="23" t="s">
        <v>9</v>
      </c>
      <c r="R3" s="48" t="s">
        <v>9</v>
      </c>
      <c r="S3" s="23" t="s">
        <v>9</v>
      </c>
    </row>
    <row r="4" spans="1:19" ht="7.95" customHeight="1" x14ac:dyDescent="0.4">
      <c r="A4" s="19">
        <v>3</v>
      </c>
      <c r="B4" s="20" t="s">
        <v>209</v>
      </c>
      <c r="C4" s="41" t="s">
        <v>219</v>
      </c>
      <c r="D4" s="49" t="s">
        <v>82</v>
      </c>
      <c r="E4" s="33" t="s">
        <v>94</v>
      </c>
      <c r="F4" s="21" t="s">
        <v>77</v>
      </c>
      <c r="G4" s="22" t="s">
        <v>251</v>
      </c>
      <c r="H4" s="48" t="s">
        <v>77</v>
      </c>
      <c r="I4" s="23" t="s">
        <v>130</v>
      </c>
      <c r="J4" s="48" t="s">
        <v>9</v>
      </c>
      <c r="K4" s="23" t="s">
        <v>9</v>
      </c>
      <c r="L4" s="48" t="s">
        <v>9</v>
      </c>
      <c r="M4" s="23" t="s">
        <v>9</v>
      </c>
      <c r="N4" s="48" t="s">
        <v>9</v>
      </c>
      <c r="O4" s="23" t="s">
        <v>227</v>
      </c>
      <c r="P4" s="48" t="s">
        <v>9</v>
      </c>
      <c r="Q4" s="23" t="s">
        <v>9</v>
      </c>
      <c r="R4" s="48" t="s">
        <v>9</v>
      </c>
      <c r="S4" s="23" t="s">
        <v>9</v>
      </c>
    </row>
    <row r="5" spans="1:19" ht="7.95" customHeight="1" x14ac:dyDescent="0.4">
      <c r="A5" s="19">
        <v>4</v>
      </c>
      <c r="B5" s="20" t="s">
        <v>221</v>
      </c>
      <c r="C5" s="41" t="s">
        <v>220</v>
      </c>
      <c r="D5" s="49" t="s">
        <v>82</v>
      </c>
      <c r="E5" s="33" t="s">
        <v>94</v>
      </c>
      <c r="F5" s="21" t="s">
        <v>77</v>
      </c>
      <c r="G5" s="22" t="s">
        <v>251</v>
      </c>
      <c r="H5" s="48" t="s">
        <v>77</v>
      </c>
      <c r="I5" s="23" t="s">
        <v>130</v>
      </c>
      <c r="J5" s="48" t="s">
        <v>9</v>
      </c>
      <c r="K5" s="23" t="s">
        <v>9</v>
      </c>
      <c r="L5" s="48" t="s">
        <v>9</v>
      </c>
      <c r="M5" s="23" t="s">
        <v>9</v>
      </c>
      <c r="N5" s="48" t="s">
        <v>9</v>
      </c>
      <c r="O5" s="23" t="s">
        <v>227</v>
      </c>
      <c r="P5" s="48" t="s">
        <v>9</v>
      </c>
      <c r="Q5" s="23" t="s">
        <v>9</v>
      </c>
      <c r="R5" s="48" t="s">
        <v>9</v>
      </c>
      <c r="S5" s="23" t="s">
        <v>9</v>
      </c>
    </row>
    <row r="6" spans="1:19" ht="7.95" customHeight="1" x14ac:dyDescent="0.4">
      <c r="A6" s="19">
        <v>5</v>
      </c>
      <c r="B6" s="46" t="s">
        <v>190</v>
      </c>
      <c r="C6" s="41" t="s">
        <v>159</v>
      </c>
      <c r="D6" s="49" t="s">
        <v>129</v>
      </c>
      <c r="E6" s="33" t="s">
        <v>208</v>
      </c>
      <c r="F6" s="21" t="s">
        <v>77</v>
      </c>
      <c r="G6" s="22" t="s">
        <v>157</v>
      </c>
      <c r="H6" s="48" t="s">
        <v>9</v>
      </c>
      <c r="I6" s="23" t="s">
        <v>9</v>
      </c>
      <c r="J6" s="48" t="s">
        <v>241</v>
      </c>
      <c r="K6" s="23" t="s">
        <v>127</v>
      </c>
      <c r="L6" s="48" t="s">
        <v>242</v>
      </c>
      <c r="M6" s="23" t="s">
        <v>96</v>
      </c>
      <c r="N6" s="48" t="s">
        <v>98</v>
      </c>
      <c r="O6" s="23" t="s">
        <v>252</v>
      </c>
      <c r="P6" s="48" t="s">
        <v>97</v>
      </c>
      <c r="Q6" s="23" t="s">
        <v>253</v>
      </c>
      <c r="R6" s="48" t="s">
        <v>95</v>
      </c>
      <c r="S6" s="23" t="s">
        <v>128</v>
      </c>
    </row>
    <row r="7" spans="1:19" ht="7.95" customHeight="1" x14ac:dyDescent="0.4">
      <c r="A7" s="19">
        <v>6</v>
      </c>
      <c r="B7" s="46" t="s">
        <v>191</v>
      </c>
      <c r="C7" s="41" t="s">
        <v>159</v>
      </c>
      <c r="D7" s="49" t="s">
        <v>129</v>
      </c>
      <c r="E7" s="33" t="s">
        <v>208</v>
      </c>
      <c r="F7" s="21" t="s">
        <v>77</v>
      </c>
      <c r="G7" s="22" t="s">
        <v>157</v>
      </c>
      <c r="H7" s="48" t="s">
        <v>9</v>
      </c>
      <c r="I7" s="23" t="s">
        <v>9</v>
      </c>
      <c r="J7" s="48" t="s">
        <v>241</v>
      </c>
      <c r="K7" s="23" t="s">
        <v>127</v>
      </c>
      <c r="L7" s="48" t="s">
        <v>242</v>
      </c>
      <c r="M7" s="23" t="s">
        <v>96</v>
      </c>
      <c r="N7" s="48" t="s">
        <v>98</v>
      </c>
      <c r="O7" s="23" t="s">
        <v>252</v>
      </c>
      <c r="P7" s="48" t="s">
        <v>97</v>
      </c>
      <c r="Q7" s="23" t="s">
        <v>253</v>
      </c>
      <c r="R7" s="48" t="s">
        <v>95</v>
      </c>
      <c r="S7" s="23" t="s">
        <v>128</v>
      </c>
    </row>
    <row r="8" spans="1:19" ht="7.95" customHeight="1" x14ac:dyDescent="0.4">
      <c r="A8" s="19">
        <v>7</v>
      </c>
      <c r="B8" s="46" t="s">
        <v>192</v>
      </c>
      <c r="C8" s="41" t="s">
        <v>212</v>
      </c>
      <c r="D8" s="49" t="s">
        <v>129</v>
      </c>
      <c r="E8" s="33" t="s">
        <v>209</v>
      </c>
      <c r="F8" s="21" t="s">
        <v>77</v>
      </c>
      <c r="G8" s="22" t="s">
        <v>158</v>
      </c>
      <c r="H8" s="48" t="s">
        <v>9</v>
      </c>
      <c r="I8" s="23" t="s">
        <v>9</v>
      </c>
      <c r="J8" s="48" t="s">
        <v>241</v>
      </c>
      <c r="K8" s="23" t="s">
        <v>127</v>
      </c>
      <c r="L8" s="48" t="s">
        <v>242</v>
      </c>
      <c r="M8" s="23" t="s">
        <v>96</v>
      </c>
      <c r="N8" s="48" t="s">
        <v>98</v>
      </c>
      <c r="O8" s="23" t="s">
        <v>252</v>
      </c>
      <c r="P8" s="48" t="s">
        <v>97</v>
      </c>
      <c r="Q8" s="23" t="s">
        <v>253</v>
      </c>
      <c r="R8" s="48" t="s">
        <v>95</v>
      </c>
      <c r="S8" s="23" t="s">
        <v>189</v>
      </c>
    </row>
    <row r="9" spans="1:19" ht="7.95" customHeight="1" x14ac:dyDescent="0.4">
      <c r="A9" s="19">
        <v>8</v>
      </c>
      <c r="B9" s="46" t="s">
        <v>193</v>
      </c>
      <c r="C9" s="41" t="s">
        <v>212</v>
      </c>
      <c r="D9" s="49" t="s">
        <v>129</v>
      </c>
      <c r="E9" s="33" t="s">
        <v>209</v>
      </c>
      <c r="F9" s="21" t="s">
        <v>77</v>
      </c>
      <c r="G9" s="22" t="s">
        <v>158</v>
      </c>
      <c r="H9" s="48" t="s">
        <v>9</v>
      </c>
      <c r="I9" s="23" t="s">
        <v>9</v>
      </c>
      <c r="J9" s="48" t="s">
        <v>241</v>
      </c>
      <c r="K9" s="23" t="s">
        <v>127</v>
      </c>
      <c r="L9" s="48" t="s">
        <v>242</v>
      </c>
      <c r="M9" s="23" t="s">
        <v>96</v>
      </c>
      <c r="N9" s="48" t="s">
        <v>98</v>
      </c>
      <c r="O9" s="23" t="s">
        <v>252</v>
      </c>
      <c r="P9" s="48" t="s">
        <v>97</v>
      </c>
      <c r="Q9" s="23" t="s">
        <v>253</v>
      </c>
      <c r="R9" s="48" t="s">
        <v>95</v>
      </c>
      <c r="S9" s="23" t="s">
        <v>189</v>
      </c>
    </row>
    <row r="10" spans="1:19" ht="7.95" customHeight="1" x14ac:dyDescent="0.4">
      <c r="A10" s="19">
        <v>9</v>
      </c>
      <c r="B10" s="46" t="s">
        <v>194</v>
      </c>
      <c r="C10" s="41" t="s">
        <v>212</v>
      </c>
      <c r="D10" s="49" t="s">
        <v>129</v>
      </c>
      <c r="E10" s="33" t="s">
        <v>209</v>
      </c>
      <c r="F10" s="21" t="s">
        <v>77</v>
      </c>
      <c r="G10" s="22" t="s">
        <v>158</v>
      </c>
      <c r="H10" s="48" t="s">
        <v>9</v>
      </c>
      <c r="I10" s="23" t="s">
        <v>9</v>
      </c>
      <c r="J10" s="48" t="s">
        <v>241</v>
      </c>
      <c r="K10" s="23" t="s">
        <v>127</v>
      </c>
      <c r="L10" s="48" t="s">
        <v>242</v>
      </c>
      <c r="M10" s="23" t="s">
        <v>96</v>
      </c>
      <c r="N10" s="48" t="s">
        <v>98</v>
      </c>
      <c r="O10" s="23" t="s">
        <v>252</v>
      </c>
      <c r="P10" s="48" t="s">
        <v>97</v>
      </c>
      <c r="Q10" s="23" t="s">
        <v>253</v>
      </c>
      <c r="R10" s="48" t="s">
        <v>95</v>
      </c>
      <c r="S10" s="23" t="s">
        <v>189</v>
      </c>
    </row>
    <row r="11" spans="1:19" ht="7.95" customHeight="1" x14ac:dyDescent="0.4">
      <c r="A11" s="19">
        <v>10</v>
      </c>
      <c r="B11" s="46" t="s">
        <v>195</v>
      </c>
      <c r="C11" s="41" t="s">
        <v>212</v>
      </c>
      <c r="D11" s="49" t="s">
        <v>129</v>
      </c>
      <c r="E11" s="33" t="s">
        <v>209</v>
      </c>
      <c r="F11" s="21" t="s">
        <v>77</v>
      </c>
      <c r="G11" s="22" t="s">
        <v>158</v>
      </c>
      <c r="H11" s="48" t="s">
        <v>9</v>
      </c>
      <c r="I11" s="23" t="s">
        <v>9</v>
      </c>
      <c r="J11" s="48" t="s">
        <v>241</v>
      </c>
      <c r="K11" s="23" t="s">
        <v>127</v>
      </c>
      <c r="L11" s="48" t="s">
        <v>242</v>
      </c>
      <c r="M11" s="23" t="s">
        <v>96</v>
      </c>
      <c r="N11" s="48" t="s">
        <v>98</v>
      </c>
      <c r="O11" s="23" t="s">
        <v>252</v>
      </c>
      <c r="P11" s="48" t="s">
        <v>97</v>
      </c>
      <c r="Q11" s="23" t="s">
        <v>253</v>
      </c>
      <c r="R11" s="48" t="s">
        <v>95</v>
      </c>
      <c r="S11" s="23" t="s">
        <v>189</v>
      </c>
    </row>
    <row r="12" spans="1:19" ht="7.95" customHeight="1" x14ac:dyDescent="0.4">
      <c r="A12" s="19">
        <v>11</v>
      </c>
      <c r="B12" s="46" t="s">
        <v>196</v>
      </c>
      <c r="C12" s="41" t="s">
        <v>212</v>
      </c>
      <c r="D12" s="49" t="s">
        <v>129</v>
      </c>
      <c r="E12" s="33" t="s">
        <v>209</v>
      </c>
      <c r="F12" s="21" t="s">
        <v>77</v>
      </c>
      <c r="G12" s="22" t="s">
        <v>158</v>
      </c>
      <c r="H12" s="48" t="s">
        <v>9</v>
      </c>
      <c r="I12" s="23" t="s">
        <v>9</v>
      </c>
      <c r="J12" s="48" t="s">
        <v>241</v>
      </c>
      <c r="K12" s="23" t="s">
        <v>127</v>
      </c>
      <c r="L12" s="48" t="s">
        <v>242</v>
      </c>
      <c r="M12" s="23" t="s">
        <v>96</v>
      </c>
      <c r="N12" s="48" t="s">
        <v>98</v>
      </c>
      <c r="O12" s="23" t="s">
        <v>252</v>
      </c>
      <c r="P12" s="48" t="s">
        <v>97</v>
      </c>
      <c r="Q12" s="23" t="s">
        <v>253</v>
      </c>
      <c r="R12" s="48" t="s">
        <v>95</v>
      </c>
      <c r="S12" s="23" t="s">
        <v>189</v>
      </c>
    </row>
    <row r="13" spans="1:19" ht="7.95" customHeight="1" x14ac:dyDescent="0.4">
      <c r="A13" s="19">
        <v>12</v>
      </c>
      <c r="B13" s="46" t="s">
        <v>197</v>
      </c>
      <c r="C13" s="41" t="s">
        <v>212</v>
      </c>
      <c r="D13" s="49" t="s">
        <v>129</v>
      </c>
      <c r="E13" s="33" t="s">
        <v>209</v>
      </c>
      <c r="F13" s="21" t="s">
        <v>77</v>
      </c>
      <c r="G13" s="22" t="s">
        <v>158</v>
      </c>
      <c r="H13" s="48" t="s">
        <v>9</v>
      </c>
      <c r="I13" s="23" t="s">
        <v>9</v>
      </c>
      <c r="J13" s="48" t="s">
        <v>241</v>
      </c>
      <c r="K13" s="23" t="s">
        <v>127</v>
      </c>
      <c r="L13" s="48" t="s">
        <v>242</v>
      </c>
      <c r="M13" s="23" t="s">
        <v>96</v>
      </c>
      <c r="N13" s="48" t="s">
        <v>98</v>
      </c>
      <c r="O13" s="23" t="s">
        <v>252</v>
      </c>
      <c r="P13" s="48" t="s">
        <v>97</v>
      </c>
      <c r="Q13" s="23" t="s">
        <v>253</v>
      </c>
      <c r="R13" s="48" t="s">
        <v>95</v>
      </c>
      <c r="S13" s="23" t="s">
        <v>189</v>
      </c>
    </row>
    <row r="14" spans="1:19" ht="7.95" customHeight="1" x14ac:dyDescent="0.4">
      <c r="A14" s="19">
        <v>13</v>
      </c>
      <c r="B14" s="46" t="s">
        <v>198</v>
      </c>
      <c r="C14" s="41" t="s">
        <v>213</v>
      </c>
      <c r="D14" s="49" t="s">
        <v>129</v>
      </c>
      <c r="E14" s="33" t="s">
        <v>221</v>
      </c>
      <c r="F14" s="21" t="s">
        <v>77</v>
      </c>
      <c r="G14" s="22" t="s">
        <v>187</v>
      </c>
      <c r="H14" s="48" t="s">
        <v>9</v>
      </c>
      <c r="I14" s="23" t="s">
        <v>9</v>
      </c>
      <c r="J14" s="48" t="s">
        <v>241</v>
      </c>
      <c r="K14" s="23" t="s">
        <v>127</v>
      </c>
      <c r="L14" s="48" t="s">
        <v>242</v>
      </c>
      <c r="M14" s="23" t="s">
        <v>96</v>
      </c>
      <c r="N14" s="48" t="s">
        <v>98</v>
      </c>
      <c r="O14" s="23" t="s">
        <v>252</v>
      </c>
      <c r="P14" s="48" t="s">
        <v>97</v>
      </c>
      <c r="Q14" s="23" t="s">
        <v>253</v>
      </c>
      <c r="R14" s="48" t="s">
        <v>95</v>
      </c>
      <c r="S14" s="23" t="s">
        <v>189</v>
      </c>
    </row>
    <row r="15" spans="1:19" ht="7.95" customHeight="1" x14ac:dyDescent="0.4">
      <c r="A15" s="19">
        <v>14</v>
      </c>
      <c r="B15" s="46" t="s">
        <v>199</v>
      </c>
      <c r="C15" s="41" t="s">
        <v>213</v>
      </c>
      <c r="D15" s="49" t="s">
        <v>129</v>
      </c>
      <c r="E15" s="33" t="s">
        <v>221</v>
      </c>
      <c r="F15" s="21" t="s">
        <v>77</v>
      </c>
      <c r="G15" s="22" t="s">
        <v>187</v>
      </c>
      <c r="H15" s="48" t="s">
        <v>9</v>
      </c>
      <c r="I15" s="23" t="s">
        <v>9</v>
      </c>
      <c r="J15" s="48" t="s">
        <v>241</v>
      </c>
      <c r="K15" s="23" t="s">
        <v>127</v>
      </c>
      <c r="L15" s="48" t="s">
        <v>242</v>
      </c>
      <c r="M15" s="23" t="s">
        <v>96</v>
      </c>
      <c r="N15" s="48" t="s">
        <v>98</v>
      </c>
      <c r="O15" s="23" t="s">
        <v>252</v>
      </c>
      <c r="P15" s="48" t="s">
        <v>97</v>
      </c>
      <c r="Q15" s="23" t="s">
        <v>253</v>
      </c>
      <c r="R15" s="48" t="s">
        <v>95</v>
      </c>
      <c r="S15" s="23" t="s">
        <v>189</v>
      </c>
    </row>
    <row r="16" spans="1:19" ht="7.95" customHeight="1" x14ac:dyDescent="0.4">
      <c r="A16" s="19">
        <v>15</v>
      </c>
      <c r="B16" s="46" t="s">
        <v>200</v>
      </c>
      <c r="C16" s="41" t="s">
        <v>213</v>
      </c>
      <c r="D16" s="49" t="s">
        <v>129</v>
      </c>
      <c r="E16" s="33" t="s">
        <v>221</v>
      </c>
      <c r="F16" s="21" t="s">
        <v>77</v>
      </c>
      <c r="G16" s="22" t="s">
        <v>187</v>
      </c>
      <c r="H16" s="48" t="s">
        <v>9</v>
      </c>
      <c r="I16" s="23" t="s">
        <v>9</v>
      </c>
      <c r="J16" s="48" t="s">
        <v>241</v>
      </c>
      <c r="K16" s="23" t="s">
        <v>127</v>
      </c>
      <c r="L16" s="48" t="s">
        <v>242</v>
      </c>
      <c r="M16" s="23" t="s">
        <v>96</v>
      </c>
      <c r="N16" s="48" t="s">
        <v>98</v>
      </c>
      <c r="O16" s="23" t="s">
        <v>252</v>
      </c>
      <c r="P16" s="48" t="s">
        <v>97</v>
      </c>
      <c r="Q16" s="23" t="s">
        <v>253</v>
      </c>
      <c r="R16" s="48" t="s">
        <v>95</v>
      </c>
      <c r="S16" s="23" t="s">
        <v>189</v>
      </c>
    </row>
    <row r="17" spans="1:19" ht="7.95" customHeight="1" x14ac:dyDescent="0.4">
      <c r="A17" s="19">
        <v>16</v>
      </c>
      <c r="B17" s="46" t="s">
        <v>201</v>
      </c>
      <c r="C17" s="41" t="s">
        <v>213</v>
      </c>
      <c r="D17" s="49" t="s">
        <v>129</v>
      </c>
      <c r="E17" s="33" t="s">
        <v>221</v>
      </c>
      <c r="F17" s="21" t="s">
        <v>77</v>
      </c>
      <c r="G17" s="22" t="s">
        <v>187</v>
      </c>
      <c r="H17" s="48" t="s">
        <v>9</v>
      </c>
      <c r="I17" s="23" t="s">
        <v>9</v>
      </c>
      <c r="J17" s="48" t="s">
        <v>241</v>
      </c>
      <c r="K17" s="23" t="s">
        <v>127</v>
      </c>
      <c r="L17" s="48" t="s">
        <v>242</v>
      </c>
      <c r="M17" s="23" t="s">
        <v>96</v>
      </c>
      <c r="N17" s="48" t="s">
        <v>98</v>
      </c>
      <c r="O17" s="23" t="s">
        <v>252</v>
      </c>
      <c r="P17" s="48" t="s">
        <v>97</v>
      </c>
      <c r="Q17" s="23" t="s">
        <v>253</v>
      </c>
      <c r="R17" s="48" t="s">
        <v>95</v>
      </c>
      <c r="S17" s="23" t="s">
        <v>189</v>
      </c>
    </row>
    <row r="18" spans="1:19" ht="7.95" customHeight="1" x14ac:dyDescent="0.4">
      <c r="A18" s="19">
        <v>17</v>
      </c>
      <c r="B18" s="46" t="s">
        <v>202</v>
      </c>
      <c r="C18" s="41" t="s">
        <v>213</v>
      </c>
      <c r="D18" s="49" t="s">
        <v>129</v>
      </c>
      <c r="E18" s="33" t="s">
        <v>221</v>
      </c>
      <c r="F18" s="21" t="s">
        <v>77</v>
      </c>
      <c r="G18" s="22" t="s">
        <v>187</v>
      </c>
      <c r="H18" s="48" t="s">
        <v>9</v>
      </c>
      <c r="I18" s="23" t="s">
        <v>9</v>
      </c>
      <c r="J18" s="48" t="s">
        <v>241</v>
      </c>
      <c r="K18" s="23" t="s">
        <v>127</v>
      </c>
      <c r="L18" s="48" t="s">
        <v>242</v>
      </c>
      <c r="M18" s="23" t="s">
        <v>96</v>
      </c>
      <c r="N18" s="48" t="s">
        <v>98</v>
      </c>
      <c r="O18" s="23" t="s">
        <v>252</v>
      </c>
      <c r="P18" s="48" t="s">
        <v>97</v>
      </c>
      <c r="Q18" s="23" t="s">
        <v>253</v>
      </c>
      <c r="R18" s="48" t="s">
        <v>95</v>
      </c>
      <c r="S18" s="23" t="s">
        <v>189</v>
      </c>
    </row>
    <row r="19" spans="1:19" ht="7.95" customHeight="1" x14ac:dyDescent="0.4">
      <c r="A19" s="19">
        <v>18</v>
      </c>
      <c r="B19" s="46" t="s">
        <v>203</v>
      </c>
      <c r="C19" s="41" t="s">
        <v>213</v>
      </c>
      <c r="D19" s="49" t="s">
        <v>129</v>
      </c>
      <c r="E19" s="33" t="s">
        <v>221</v>
      </c>
      <c r="F19" s="21" t="s">
        <v>77</v>
      </c>
      <c r="G19" s="22" t="s">
        <v>187</v>
      </c>
      <c r="H19" s="48" t="s">
        <v>9</v>
      </c>
      <c r="I19" s="23" t="s">
        <v>9</v>
      </c>
      <c r="J19" s="48" t="s">
        <v>241</v>
      </c>
      <c r="K19" s="23" t="s">
        <v>127</v>
      </c>
      <c r="L19" s="48" t="s">
        <v>242</v>
      </c>
      <c r="M19" s="23" t="s">
        <v>96</v>
      </c>
      <c r="N19" s="48" t="s">
        <v>98</v>
      </c>
      <c r="O19" s="23" t="s">
        <v>252</v>
      </c>
      <c r="P19" s="48" t="s">
        <v>97</v>
      </c>
      <c r="Q19" s="23" t="s">
        <v>253</v>
      </c>
      <c r="R19" s="48" t="s">
        <v>95</v>
      </c>
      <c r="S19" s="23" t="s">
        <v>189</v>
      </c>
    </row>
  </sheetData>
  <phoneticPr fontId="1" type="noConversion"/>
  <conditionalFormatting sqref="C3:C5">
    <cfRule type="duplicateValues" dxfId="6" priority="1"/>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FE5EC8-1387-4A67-960C-C64BD1326958}">
  <sheetPr codeName="Planilha5"/>
  <dimension ref="A1:G2"/>
  <sheetViews>
    <sheetView zoomScale="280" zoomScaleNormal="280" workbookViewId="0">
      <pane ySplit="1" topLeftCell="A2" activePane="bottomLeft" state="frozen"/>
      <selection activeCell="B1" sqref="B1"/>
      <selection pane="bottomLeft" activeCell="E7" sqref="E7"/>
    </sheetView>
  </sheetViews>
  <sheetFormatPr defaultColWidth="9.15234375" defaultRowHeight="8.25" customHeight="1" x14ac:dyDescent="0.4"/>
  <cols>
    <col min="1" max="1" width="2.15234375" style="25" customWidth="1"/>
    <col min="2" max="2" width="5.84375" style="24" bestFit="1" customWidth="1"/>
    <col min="3" max="3" width="11.3046875" style="24" bestFit="1" customWidth="1"/>
    <col min="4" max="7" width="10.84375" style="24" bestFit="1" customWidth="1"/>
  </cols>
  <sheetData>
    <row r="1" spans="1:7" ht="33" customHeight="1" x14ac:dyDescent="0.4">
      <c r="A1" s="30">
        <v>0</v>
      </c>
      <c r="B1" s="26" t="s">
        <v>79</v>
      </c>
      <c r="C1" s="27" t="s">
        <v>80</v>
      </c>
      <c r="D1" s="27" t="s">
        <v>81</v>
      </c>
      <c r="E1" s="27" t="s">
        <v>81</v>
      </c>
      <c r="F1" s="27" t="s">
        <v>81</v>
      </c>
      <c r="G1" s="27" t="s">
        <v>81</v>
      </c>
    </row>
    <row r="2" spans="1:7" ht="8.25" customHeight="1" x14ac:dyDescent="0.4">
      <c r="A2" s="31">
        <v>2</v>
      </c>
      <c r="B2" s="29" t="s">
        <v>9</v>
      </c>
      <c r="C2" s="29" t="s">
        <v>9</v>
      </c>
      <c r="D2" s="29" t="s">
        <v>9</v>
      </c>
      <c r="E2" s="29" t="s">
        <v>9</v>
      </c>
      <c r="F2" s="29" t="s">
        <v>9</v>
      </c>
      <c r="G2" s="29" t="s">
        <v>9</v>
      </c>
    </row>
  </sheetData>
  <sortState xmlns:xlrd2="http://schemas.microsoft.com/office/spreadsheetml/2017/richdata2" ref="A2:G2">
    <sortCondition ref="A1:A2"/>
  </sortState>
  <phoneticPr fontId="1" type="noConversion"/>
  <conditionalFormatting sqref="A1:G1 B3:G1048576">
    <cfRule type="containsText" dxfId="5" priority="5" operator="containsText" text="null">
      <formula>NOT(ISERROR(SEARCH("null",A1)))</formula>
    </cfRule>
  </conditionalFormatting>
  <conditionalFormatting sqref="B2">
    <cfRule type="duplicateValues" dxfId="4" priority="1449"/>
    <cfRule type="duplicateValues" dxfId="3" priority="1450"/>
  </conditionalFormatting>
  <conditionalFormatting sqref="B3:B1048576 A1:B1">
    <cfRule type="duplicateValues" dxfId="2" priority="6"/>
  </conditionalFormatting>
  <conditionalFormatting sqref="B3:B1048576 B1">
    <cfRule type="duplicateValues" dxfId="1" priority="4"/>
  </conditionalFormatting>
  <conditionalFormatting sqref="B2:G2">
    <cfRule type="containsText" dxfId="0" priority="2" operator="containsText" text="null">
      <formula>NOT(ISERROR(SEARCH("null",B2)))</formula>
    </cfRule>
  </conditionalFormatting>
  <pageMargins left="0.511811024" right="0.511811024" top="0.78740157499999996" bottom="0.78740157499999996" header="0.31496062000000002" footer="0.31496062000000002"/>
</worksheet>
</file>

<file path=docProps/app.xml><?xml version="1.0" encoding="utf-8"?>
<Properties xmlns="http://schemas.openxmlformats.org/officeDocument/2006/extended-properties" xmlns:vt="http://schemas.openxmlformats.org/officeDocument/2006/docPropsVTypes">
  <Template/>
  <TotalTime>411</TotalTime>
  <Application>Microsoft Excel</Application>
  <DocSecurity>0</DocSecurity>
  <ScaleCrop>false</ScaleCrop>
  <HeadingPairs>
    <vt:vector size="2" baseType="variant">
      <vt:variant>
        <vt:lpstr>Planilhas</vt:lpstr>
      </vt:variant>
      <vt:variant>
        <vt:i4>5</vt:i4>
      </vt:variant>
    </vt:vector>
  </HeadingPairs>
  <TitlesOfParts>
    <vt:vector size="5" baseType="lpstr">
      <vt:lpstr>Projeto</vt:lpstr>
      <vt:lpstr>Classes</vt:lpstr>
      <vt:lpstr>Disjunt</vt:lpstr>
      <vt:lpstr>FatosIn</vt:lpstr>
      <vt:lpstr>Interop</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José Luis Menegotto</dc:creator>
  <dc:description/>
  <cp:lastModifiedBy>José Luis Menegotto</cp:lastModifiedBy>
  <cp:revision>26</cp:revision>
  <dcterms:created xsi:type="dcterms:W3CDTF">2024-12-02T13:09:25Z</dcterms:created>
  <dcterms:modified xsi:type="dcterms:W3CDTF">2026-09-06T16:11:05Z</dcterms:modified>
  <dc:language>pt-BR</dc:language>
</cp:coreProperties>
</file>