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TUBO\"/>
    </mc:Choice>
  </mc:AlternateContent>
  <xr:revisionPtr revIDLastSave="0" documentId="13_ncr:1_{8D6692FF-5062-4060-BE95-FDB97D4F2D60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26" r:id="rId2"/>
    <sheet name="Disjunt" sheetId="3" r:id="rId3"/>
    <sheet name="FatosIn" sheetId="25" r:id="rId4"/>
    <sheet name="Interop" sheetId="16" r:id="rId5"/>
  </sheets>
  <definedNames>
    <definedName name="_xlnm._FilterDatabase" localSheetId="4" hidden="1">Interop!$B$1:$B$15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6" l="1"/>
  <c r="W4" i="26"/>
  <c r="W5" i="26"/>
  <c r="W6" i="26"/>
  <c r="W7" i="26"/>
  <c r="W8" i="26"/>
  <c r="W9" i="26"/>
  <c r="W10" i="26"/>
  <c r="W11" i="26"/>
  <c r="W12" i="26"/>
  <c r="W13" i="26"/>
  <c r="W14" i="26"/>
  <c r="W15" i="26"/>
  <c r="W16" i="26"/>
  <c r="W17" i="26"/>
  <c r="W18" i="26"/>
  <c r="W19" i="26"/>
  <c r="W20" i="26"/>
  <c r="W21" i="26"/>
  <c r="W22" i="26"/>
  <c r="W23" i="26"/>
  <c r="W24" i="26"/>
  <c r="W25" i="26"/>
  <c r="W26" i="26"/>
  <c r="W27" i="26"/>
  <c r="W28" i="26"/>
  <c r="W29" i="26"/>
  <c r="W30" i="26"/>
  <c r="W31" i="26"/>
  <c r="W32" i="26"/>
  <c r="W33" i="26"/>
  <c r="W34" i="26"/>
  <c r="W35" i="26"/>
  <c r="W36" i="26"/>
  <c r="W37" i="26"/>
  <c r="W38" i="26"/>
  <c r="W39" i="26"/>
  <c r="W40" i="26"/>
  <c r="W41" i="26"/>
  <c r="W42" i="26"/>
  <c r="W43" i="26"/>
  <c r="W44" i="26"/>
  <c r="W45" i="26"/>
  <c r="W46" i="26"/>
  <c r="W47" i="26"/>
  <c r="W48" i="26"/>
  <c r="W49" i="26"/>
  <c r="W50" i="26"/>
  <c r="W51" i="26"/>
  <c r="W52" i="26"/>
  <c r="W53" i="26"/>
  <c r="W54" i="26"/>
  <c r="W55" i="26"/>
  <c r="W56" i="26"/>
  <c r="W57" i="26"/>
  <c r="W58" i="26"/>
  <c r="W59" i="26"/>
  <c r="W60" i="26"/>
  <c r="W61" i="26"/>
  <c r="W62" i="26"/>
  <c r="W63" i="26"/>
  <c r="W64" i="26"/>
  <c r="W65" i="26"/>
  <c r="W66" i="26"/>
  <c r="W67" i="26"/>
  <c r="W68" i="26"/>
  <c r="W69" i="26"/>
  <c r="W70" i="26"/>
  <c r="W71" i="26"/>
  <c r="W72" i="26"/>
  <c r="W73" i="26"/>
  <c r="W74" i="26"/>
  <c r="W75" i="26"/>
  <c r="W76" i="26"/>
  <c r="W77" i="26"/>
  <c r="W78" i="26"/>
  <c r="W79" i="26"/>
  <c r="W80" i="26"/>
  <c r="W81" i="26"/>
  <c r="W82" i="26"/>
  <c r="W83" i="26"/>
  <c r="W84" i="26"/>
  <c r="W85" i="26"/>
  <c r="W86" i="26"/>
  <c r="W87" i="26"/>
  <c r="W88" i="26"/>
  <c r="W89" i="26"/>
  <c r="W90" i="26"/>
  <c r="W91" i="26"/>
  <c r="W92" i="26"/>
  <c r="W93" i="26"/>
  <c r="W94" i="26"/>
  <c r="W95" i="26"/>
  <c r="W96" i="26"/>
  <c r="W97" i="26"/>
  <c r="W98" i="26"/>
  <c r="W99" i="26"/>
  <c r="W100" i="26"/>
  <c r="W101" i="26"/>
  <c r="W102" i="26"/>
  <c r="W103" i="26"/>
  <c r="W104" i="26"/>
  <c r="W105" i="26"/>
  <c r="W106" i="26"/>
  <c r="W107" i="26"/>
  <c r="W108" i="26"/>
  <c r="W109" i="26"/>
  <c r="W110" i="26"/>
  <c r="W111" i="26"/>
  <c r="W112" i="26"/>
  <c r="W113" i="26"/>
  <c r="W114" i="26"/>
  <c r="W115" i="26"/>
  <c r="W116" i="26"/>
  <c r="W117" i="26"/>
  <c r="W118" i="26"/>
  <c r="W119" i="26"/>
  <c r="W120" i="26"/>
  <c r="W121" i="26"/>
  <c r="W122" i="26"/>
  <c r="W123" i="26"/>
  <c r="W124" i="26"/>
  <c r="W125" i="26"/>
  <c r="W126" i="26"/>
  <c r="W2" i="26"/>
  <c r="U6" i="26"/>
  <c r="T6" i="26"/>
  <c r="S6" i="26"/>
  <c r="O6" i="26"/>
  <c r="N6" i="26"/>
  <c r="M6" i="26"/>
  <c r="L6" i="26"/>
  <c r="U5" i="26"/>
  <c r="T5" i="26"/>
  <c r="S5" i="26"/>
  <c r="O5" i="26"/>
  <c r="N5" i="26"/>
  <c r="M5" i="26"/>
  <c r="L5" i="26"/>
  <c r="U4" i="26"/>
  <c r="T4" i="26"/>
  <c r="S4" i="26"/>
  <c r="O4" i="26"/>
  <c r="N4" i="26"/>
  <c r="M4" i="26"/>
  <c r="L4" i="26"/>
  <c r="U3" i="26"/>
  <c r="T3" i="26"/>
  <c r="S3" i="26"/>
  <c r="O3" i="26"/>
  <c r="N3" i="26"/>
  <c r="M3" i="26"/>
  <c r="L3" i="26"/>
  <c r="U2" i="26"/>
  <c r="T2" i="26"/>
  <c r="S2" i="26"/>
  <c r="O2" i="26"/>
  <c r="N2" i="26"/>
  <c r="M2" i="26"/>
  <c r="L2" i="26"/>
  <c r="AA6" i="26"/>
  <c r="AA5" i="26"/>
  <c r="AA4" i="26"/>
  <c r="AA2" i="26"/>
  <c r="AA3" i="26"/>
  <c r="L119" i="26" l="1"/>
  <c r="L120" i="26"/>
  <c r="L121" i="26"/>
  <c r="L122" i="26"/>
  <c r="L123" i="26"/>
  <c r="L124" i="26"/>
  <c r="L125" i="26"/>
  <c r="L126" i="26"/>
  <c r="M119" i="26"/>
  <c r="M120" i="26"/>
  <c r="M121" i="26"/>
  <c r="M122" i="26"/>
  <c r="M123" i="26"/>
  <c r="M124" i="26"/>
  <c r="M125" i="26"/>
  <c r="M126" i="26"/>
  <c r="N119" i="26"/>
  <c r="N120" i="26"/>
  <c r="N121" i="26"/>
  <c r="N122" i="26"/>
  <c r="N123" i="26"/>
  <c r="N124" i="26"/>
  <c r="N125" i="26"/>
  <c r="N126" i="26"/>
  <c r="O120" i="26"/>
  <c r="O121" i="26"/>
  <c r="O122" i="26"/>
  <c r="O123" i="26"/>
  <c r="O124" i="26"/>
  <c r="O125" i="26"/>
  <c r="O126" i="26"/>
  <c r="B20" i="25"/>
  <c r="B52" i="25"/>
  <c r="B53" i="25"/>
  <c r="B54" i="25"/>
  <c r="B55" i="25"/>
  <c r="B56" i="25"/>
  <c r="B57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34" i="25"/>
  <c r="B24" i="13"/>
  <c r="U121" i="26" l="1"/>
  <c r="T121" i="26"/>
  <c r="S121" i="26"/>
  <c r="U120" i="26"/>
  <c r="T120" i="26"/>
  <c r="S120" i="26"/>
  <c r="U119" i="26"/>
  <c r="T119" i="26"/>
  <c r="S119" i="26"/>
  <c r="O119" i="26"/>
  <c r="U118" i="26"/>
  <c r="T118" i="26"/>
  <c r="S118" i="26"/>
  <c r="O118" i="26"/>
  <c r="N118" i="26"/>
  <c r="M118" i="26"/>
  <c r="L118" i="26"/>
  <c r="U117" i="26"/>
  <c r="T117" i="26"/>
  <c r="S117" i="26"/>
  <c r="O117" i="26"/>
  <c r="N117" i="26"/>
  <c r="M117" i="26"/>
  <c r="L117" i="26"/>
  <c r="U116" i="26"/>
  <c r="T116" i="26"/>
  <c r="S116" i="26"/>
  <c r="O116" i="26"/>
  <c r="N116" i="26"/>
  <c r="M116" i="26"/>
  <c r="L116" i="26"/>
  <c r="U115" i="26"/>
  <c r="T115" i="26"/>
  <c r="S115" i="26"/>
  <c r="O115" i="26"/>
  <c r="N115" i="26"/>
  <c r="M115" i="26"/>
  <c r="L115" i="26"/>
  <c r="U114" i="26"/>
  <c r="T114" i="26"/>
  <c r="S114" i="26"/>
  <c r="O114" i="26"/>
  <c r="N114" i="26"/>
  <c r="M114" i="26"/>
  <c r="L114" i="26"/>
  <c r="U113" i="26"/>
  <c r="T113" i="26"/>
  <c r="S113" i="26"/>
  <c r="O113" i="26"/>
  <c r="N113" i="26"/>
  <c r="M113" i="26"/>
  <c r="L113" i="26"/>
  <c r="U112" i="26"/>
  <c r="T112" i="26"/>
  <c r="S112" i="26"/>
  <c r="O112" i="26"/>
  <c r="N112" i="26"/>
  <c r="M112" i="26"/>
  <c r="L112" i="26"/>
  <c r="U111" i="26"/>
  <c r="T111" i="26"/>
  <c r="S111" i="26"/>
  <c r="O111" i="26"/>
  <c r="N111" i="26"/>
  <c r="M111" i="26"/>
  <c r="L111" i="26"/>
  <c r="U110" i="26"/>
  <c r="T110" i="26"/>
  <c r="S110" i="26"/>
  <c r="O110" i="26"/>
  <c r="N110" i="26"/>
  <c r="M110" i="26"/>
  <c r="L110" i="26"/>
  <c r="U109" i="26"/>
  <c r="T109" i="26"/>
  <c r="S109" i="26"/>
  <c r="O109" i="26"/>
  <c r="N109" i="26"/>
  <c r="M109" i="26"/>
  <c r="L109" i="26"/>
  <c r="U108" i="26"/>
  <c r="T108" i="26"/>
  <c r="S108" i="26"/>
  <c r="O108" i="26"/>
  <c r="N108" i="26"/>
  <c r="M108" i="26"/>
  <c r="L108" i="26"/>
  <c r="U107" i="26"/>
  <c r="T107" i="26"/>
  <c r="S107" i="26"/>
  <c r="O107" i="26"/>
  <c r="N107" i="26"/>
  <c r="M107" i="26"/>
  <c r="L107" i="26"/>
  <c r="U106" i="26"/>
  <c r="T106" i="26"/>
  <c r="S106" i="26"/>
  <c r="O106" i="26"/>
  <c r="N106" i="26"/>
  <c r="M106" i="26"/>
  <c r="L106" i="26"/>
  <c r="U105" i="26"/>
  <c r="T105" i="26"/>
  <c r="S105" i="26"/>
  <c r="O105" i="26"/>
  <c r="N105" i="26"/>
  <c r="M105" i="26"/>
  <c r="L105" i="26"/>
  <c r="U104" i="26"/>
  <c r="T104" i="26"/>
  <c r="S104" i="26"/>
  <c r="O104" i="26"/>
  <c r="N104" i="26"/>
  <c r="M104" i="26"/>
  <c r="L104" i="26"/>
  <c r="U103" i="26"/>
  <c r="T103" i="26"/>
  <c r="S103" i="26"/>
  <c r="O103" i="26"/>
  <c r="N103" i="26"/>
  <c r="M103" i="26"/>
  <c r="L103" i="26"/>
  <c r="U102" i="26"/>
  <c r="T102" i="26"/>
  <c r="S102" i="26"/>
  <c r="O102" i="26"/>
  <c r="N102" i="26"/>
  <c r="M102" i="26"/>
  <c r="L102" i="26"/>
  <c r="U101" i="26"/>
  <c r="T101" i="26"/>
  <c r="S101" i="26"/>
  <c r="O101" i="26"/>
  <c r="N101" i="26"/>
  <c r="M101" i="26"/>
  <c r="L101" i="26"/>
  <c r="U100" i="26"/>
  <c r="T100" i="26"/>
  <c r="S100" i="26"/>
  <c r="O100" i="26"/>
  <c r="N100" i="26"/>
  <c r="M100" i="26"/>
  <c r="L100" i="26"/>
  <c r="U99" i="26"/>
  <c r="T99" i="26"/>
  <c r="S99" i="26"/>
  <c r="O99" i="26"/>
  <c r="N99" i="26"/>
  <c r="M99" i="26"/>
  <c r="L99" i="26"/>
  <c r="U98" i="26"/>
  <c r="T98" i="26"/>
  <c r="S98" i="26"/>
  <c r="O98" i="26"/>
  <c r="N98" i="26"/>
  <c r="M98" i="26"/>
  <c r="L98" i="26"/>
  <c r="U97" i="26"/>
  <c r="T97" i="26"/>
  <c r="S97" i="26"/>
  <c r="O97" i="26"/>
  <c r="N97" i="26"/>
  <c r="M97" i="26"/>
  <c r="L97" i="26"/>
  <c r="U96" i="26"/>
  <c r="T96" i="26"/>
  <c r="S96" i="26"/>
  <c r="O96" i="26"/>
  <c r="N96" i="26"/>
  <c r="M96" i="26"/>
  <c r="L96" i="26"/>
  <c r="U95" i="26"/>
  <c r="T95" i="26"/>
  <c r="S95" i="26"/>
  <c r="O95" i="26"/>
  <c r="N95" i="26"/>
  <c r="M95" i="26"/>
  <c r="L95" i="26"/>
  <c r="U94" i="26"/>
  <c r="T94" i="26"/>
  <c r="S94" i="26"/>
  <c r="O94" i="26"/>
  <c r="N94" i="26"/>
  <c r="M94" i="26"/>
  <c r="L94" i="26"/>
  <c r="U93" i="26"/>
  <c r="T93" i="26"/>
  <c r="S93" i="26"/>
  <c r="O93" i="26"/>
  <c r="N93" i="26"/>
  <c r="M93" i="26"/>
  <c r="L93" i="26"/>
  <c r="U92" i="26"/>
  <c r="T92" i="26"/>
  <c r="S92" i="26"/>
  <c r="O92" i="26"/>
  <c r="N92" i="26"/>
  <c r="M92" i="26"/>
  <c r="L92" i="26"/>
  <c r="U91" i="26"/>
  <c r="T91" i="26"/>
  <c r="S91" i="26"/>
  <c r="O91" i="26"/>
  <c r="N91" i="26"/>
  <c r="M91" i="26"/>
  <c r="L91" i="26"/>
  <c r="U90" i="26"/>
  <c r="T90" i="26"/>
  <c r="S90" i="26"/>
  <c r="O90" i="26"/>
  <c r="N90" i="26"/>
  <c r="M90" i="26"/>
  <c r="L90" i="26"/>
  <c r="U89" i="26"/>
  <c r="T89" i="26"/>
  <c r="S89" i="26"/>
  <c r="O89" i="26"/>
  <c r="N89" i="26"/>
  <c r="M89" i="26"/>
  <c r="L89" i="26"/>
  <c r="U88" i="26"/>
  <c r="T88" i="26"/>
  <c r="S88" i="26"/>
  <c r="O88" i="26"/>
  <c r="N88" i="26"/>
  <c r="M88" i="26"/>
  <c r="L88" i="26"/>
  <c r="U87" i="26"/>
  <c r="T87" i="26"/>
  <c r="S87" i="26"/>
  <c r="O87" i="26"/>
  <c r="N87" i="26"/>
  <c r="M87" i="26"/>
  <c r="L87" i="26"/>
  <c r="U86" i="26"/>
  <c r="T86" i="26"/>
  <c r="S86" i="26"/>
  <c r="O86" i="26"/>
  <c r="N86" i="26"/>
  <c r="M86" i="26"/>
  <c r="L86" i="26"/>
  <c r="U85" i="26"/>
  <c r="T85" i="26"/>
  <c r="S85" i="26"/>
  <c r="O85" i="26"/>
  <c r="N85" i="26"/>
  <c r="M85" i="26"/>
  <c r="L85" i="26"/>
  <c r="U84" i="26"/>
  <c r="T84" i="26"/>
  <c r="S84" i="26"/>
  <c r="O84" i="26"/>
  <c r="N84" i="26"/>
  <c r="M84" i="26"/>
  <c r="L84" i="26"/>
  <c r="U83" i="26"/>
  <c r="T83" i="26"/>
  <c r="S83" i="26"/>
  <c r="O83" i="26"/>
  <c r="N83" i="26"/>
  <c r="M83" i="26"/>
  <c r="L83" i="26"/>
  <c r="U82" i="26"/>
  <c r="T82" i="26"/>
  <c r="S82" i="26"/>
  <c r="O82" i="26"/>
  <c r="N82" i="26"/>
  <c r="M82" i="26"/>
  <c r="L82" i="26"/>
  <c r="U81" i="26"/>
  <c r="T81" i="26"/>
  <c r="S81" i="26"/>
  <c r="O81" i="26"/>
  <c r="N81" i="26"/>
  <c r="M81" i="26"/>
  <c r="L81" i="26"/>
  <c r="U80" i="26"/>
  <c r="T80" i="26"/>
  <c r="S80" i="26"/>
  <c r="O80" i="26"/>
  <c r="N80" i="26"/>
  <c r="M80" i="26"/>
  <c r="L80" i="26"/>
  <c r="U79" i="26"/>
  <c r="T79" i="26"/>
  <c r="S79" i="26"/>
  <c r="O79" i="26"/>
  <c r="N79" i="26"/>
  <c r="M79" i="26"/>
  <c r="L79" i="26"/>
  <c r="U78" i="26"/>
  <c r="T78" i="26"/>
  <c r="S78" i="26"/>
  <c r="O78" i="26"/>
  <c r="N78" i="26"/>
  <c r="M78" i="26"/>
  <c r="L78" i="26"/>
  <c r="U77" i="26"/>
  <c r="T77" i="26"/>
  <c r="S77" i="26"/>
  <c r="O77" i="26"/>
  <c r="N77" i="26"/>
  <c r="M77" i="26"/>
  <c r="L77" i="26"/>
  <c r="U76" i="26"/>
  <c r="T76" i="26"/>
  <c r="S76" i="26"/>
  <c r="O76" i="26"/>
  <c r="N76" i="26"/>
  <c r="M76" i="26"/>
  <c r="L76" i="26"/>
  <c r="U75" i="26"/>
  <c r="T75" i="26"/>
  <c r="S75" i="26"/>
  <c r="O75" i="26"/>
  <c r="N75" i="26"/>
  <c r="M75" i="26"/>
  <c r="L75" i="26"/>
  <c r="U74" i="26"/>
  <c r="T74" i="26"/>
  <c r="S74" i="26"/>
  <c r="O74" i="26"/>
  <c r="N74" i="26"/>
  <c r="M74" i="26"/>
  <c r="L74" i="26"/>
  <c r="U73" i="26"/>
  <c r="T73" i="26"/>
  <c r="S73" i="26"/>
  <c r="O73" i="26"/>
  <c r="N73" i="26"/>
  <c r="M73" i="26"/>
  <c r="L73" i="26"/>
  <c r="U72" i="26"/>
  <c r="T72" i="26"/>
  <c r="S72" i="26"/>
  <c r="O72" i="26"/>
  <c r="N72" i="26"/>
  <c r="M72" i="26"/>
  <c r="L72" i="26"/>
  <c r="U71" i="26"/>
  <c r="T71" i="26"/>
  <c r="S71" i="26"/>
  <c r="O71" i="26"/>
  <c r="N71" i="26"/>
  <c r="M71" i="26"/>
  <c r="L71" i="26"/>
  <c r="U70" i="26"/>
  <c r="T70" i="26"/>
  <c r="S70" i="26"/>
  <c r="O70" i="26"/>
  <c r="N70" i="26"/>
  <c r="M70" i="26"/>
  <c r="L70" i="26"/>
  <c r="U69" i="26"/>
  <c r="T69" i="26"/>
  <c r="S69" i="26"/>
  <c r="O69" i="26"/>
  <c r="N69" i="26"/>
  <c r="M69" i="26"/>
  <c r="L69" i="26"/>
  <c r="U68" i="26"/>
  <c r="T68" i="26"/>
  <c r="S68" i="26"/>
  <c r="O68" i="26"/>
  <c r="N68" i="26"/>
  <c r="M68" i="26"/>
  <c r="L68" i="26"/>
  <c r="U67" i="26"/>
  <c r="T67" i="26"/>
  <c r="S67" i="26"/>
  <c r="O67" i="26"/>
  <c r="N67" i="26"/>
  <c r="M67" i="26"/>
  <c r="L67" i="26"/>
  <c r="U66" i="26"/>
  <c r="T66" i="26"/>
  <c r="S66" i="26"/>
  <c r="O66" i="26"/>
  <c r="N66" i="26"/>
  <c r="M66" i="26"/>
  <c r="L66" i="26"/>
  <c r="U65" i="26"/>
  <c r="T65" i="26"/>
  <c r="S65" i="26"/>
  <c r="O65" i="26"/>
  <c r="N65" i="26"/>
  <c r="M65" i="26"/>
  <c r="L65" i="26"/>
  <c r="U64" i="26"/>
  <c r="T64" i="26"/>
  <c r="S64" i="26"/>
  <c r="O64" i="26"/>
  <c r="N64" i="26"/>
  <c r="M64" i="26"/>
  <c r="L64" i="26"/>
  <c r="U63" i="26"/>
  <c r="T63" i="26"/>
  <c r="S63" i="26"/>
  <c r="O63" i="26"/>
  <c r="N63" i="26"/>
  <c r="M63" i="26"/>
  <c r="L63" i="26"/>
  <c r="U62" i="26"/>
  <c r="T62" i="26"/>
  <c r="S62" i="26"/>
  <c r="O62" i="26"/>
  <c r="N62" i="26"/>
  <c r="M62" i="26"/>
  <c r="L62" i="26"/>
  <c r="U61" i="26"/>
  <c r="T61" i="26"/>
  <c r="S61" i="26"/>
  <c r="O61" i="26"/>
  <c r="N61" i="26"/>
  <c r="M61" i="26"/>
  <c r="L61" i="26"/>
  <c r="U60" i="26"/>
  <c r="T60" i="26"/>
  <c r="S60" i="26"/>
  <c r="O60" i="26"/>
  <c r="N60" i="26"/>
  <c r="M60" i="26"/>
  <c r="L60" i="26"/>
  <c r="U59" i="26"/>
  <c r="T59" i="26"/>
  <c r="S59" i="26"/>
  <c r="O59" i="26"/>
  <c r="N59" i="26"/>
  <c r="M59" i="26"/>
  <c r="L59" i="26"/>
  <c r="U58" i="26"/>
  <c r="T58" i="26"/>
  <c r="S58" i="26"/>
  <c r="O58" i="26"/>
  <c r="N58" i="26"/>
  <c r="M58" i="26"/>
  <c r="L58" i="26"/>
  <c r="U57" i="26"/>
  <c r="T57" i="26"/>
  <c r="S57" i="26"/>
  <c r="O57" i="26"/>
  <c r="N57" i="26"/>
  <c r="M57" i="26"/>
  <c r="L57" i="26"/>
  <c r="U56" i="26"/>
  <c r="T56" i="26"/>
  <c r="S56" i="26"/>
  <c r="O56" i="26"/>
  <c r="N56" i="26"/>
  <c r="M56" i="26"/>
  <c r="L56" i="26"/>
  <c r="U55" i="26"/>
  <c r="T55" i="26"/>
  <c r="S55" i="26"/>
  <c r="O55" i="26"/>
  <c r="N55" i="26"/>
  <c r="M55" i="26"/>
  <c r="L55" i="26"/>
  <c r="U54" i="26"/>
  <c r="T54" i="26"/>
  <c r="S54" i="26"/>
  <c r="O54" i="26"/>
  <c r="N54" i="26"/>
  <c r="M54" i="26"/>
  <c r="L54" i="26"/>
  <c r="U53" i="26"/>
  <c r="T53" i="26"/>
  <c r="S53" i="26"/>
  <c r="O53" i="26"/>
  <c r="N53" i="26"/>
  <c r="M53" i="26"/>
  <c r="L53" i="26"/>
  <c r="U52" i="26"/>
  <c r="T52" i="26"/>
  <c r="S52" i="26"/>
  <c r="O52" i="26"/>
  <c r="N52" i="26"/>
  <c r="M52" i="26"/>
  <c r="L52" i="26"/>
  <c r="U51" i="26"/>
  <c r="T51" i="26"/>
  <c r="S51" i="26"/>
  <c r="O51" i="26"/>
  <c r="N51" i="26"/>
  <c r="M51" i="26"/>
  <c r="L51" i="26"/>
  <c r="U50" i="26"/>
  <c r="T50" i="26"/>
  <c r="S50" i="26"/>
  <c r="O50" i="26"/>
  <c r="N50" i="26"/>
  <c r="M50" i="26"/>
  <c r="L50" i="26"/>
  <c r="U49" i="26"/>
  <c r="T49" i="26"/>
  <c r="S49" i="26"/>
  <c r="O49" i="26"/>
  <c r="N49" i="26"/>
  <c r="M49" i="26"/>
  <c r="L49" i="26"/>
  <c r="U48" i="26"/>
  <c r="T48" i="26"/>
  <c r="S48" i="26"/>
  <c r="O48" i="26"/>
  <c r="N48" i="26"/>
  <c r="M48" i="26"/>
  <c r="L48" i="26"/>
  <c r="U47" i="26"/>
  <c r="T47" i="26"/>
  <c r="S47" i="26"/>
  <c r="O47" i="26"/>
  <c r="N47" i="26"/>
  <c r="M47" i="26"/>
  <c r="L47" i="26"/>
  <c r="U46" i="26"/>
  <c r="T46" i="26"/>
  <c r="S46" i="26"/>
  <c r="O46" i="26"/>
  <c r="N46" i="26"/>
  <c r="M46" i="26"/>
  <c r="L46" i="26"/>
  <c r="U45" i="26"/>
  <c r="T45" i="26"/>
  <c r="S45" i="26"/>
  <c r="O45" i="26"/>
  <c r="N45" i="26"/>
  <c r="M45" i="26"/>
  <c r="L45" i="26"/>
  <c r="U44" i="26"/>
  <c r="T44" i="26"/>
  <c r="S44" i="26"/>
  <c r="O44" i="26"/>
  <c r="N44" i="26"/>
  <c r="M44" i="26"/>
  <c r="L44" i="26"/>
  <c r="U43" i="26"/>
  <c r="T43" i="26"/>
  <c r="S43" i="26"/>
  <c r="O43" i="26"/>
  <c r="N43" i="26"/>
  <c r="M43" i="26"/>
  <c r="L43" i="26"/>
  <c r="U42" i="26"/>
  <c r="T42" i="26"/>
  <c r="S42" i="26"/>
  <c r="O42" i="26"/>
  <c r="N42" i="26"/>
  <c r="M42" i="26"/>
  <c r="L42" i="26"/>
  <c r="U41" i="26"/>
  <c r="T41" i="26"/>
  <c r="S41" i="26"/>
  <c r="O41" i="26"/>
  <c r="N41" i="26"/>
  <c r="M41" i="26"/>
  <c r="L41" i="26"/>
  <c r="U40" i="26"/>
  <c r="T40" i="26"/>
  <c r="S40" i="26"/>
  <c r="O40" i="26"/>
  <c r="N40" i="26"/>
  <c r="M40" i="26"/>
  <c r="L40" i="26"/>
  <c r="U39" i="26"/>
  <c r="T39" i="26"/>
  <c r="S39" i="26"/>
  <c r="O39" i="26"/>
  <c r="N39" i="26"/>
  <c r="M39" i="26"/>
  <c r="L39" i="26"/>
  <c r="U38" i="26"/>
  <c r="T38" i="26"/>
  <c r="S38" i="26"/>
  <c r="O38" i="26"/>
  <c r="N38" i="26"/>
  <c r="M38" i="26"/>
  <c r="L38" i="26"/>
  <c r="U37" i="26"/>
  <c r="T37" i="26"/>
  <c r="S37" i="26"/>
  <c r="O37" i="26"/>
  <c r="N37" i="26"/>
  <c r="M37" i="26"/>
  <c r="L37" i="26"/>
  <c r="U36" i="26"/>
  <c r="T36" i="26"/>
  <c r="S36" i="26"/>
  <c r="O36" i="26"/>
  <c r="N36" i="26"/>
  <c r="M36" i="26"/>
  <c r="L36" i="26"/>
  <c r="U35" i="26"/>
  <c r="T35" i="26"/>
  <c r="S35" i="26"/>
  <c r="O35" i="26"/>
  <c r="N35" i="26"/>
  <c r="M35" i="26"/>
  <c r="L35" i="26"/>
  <c r="U34" i="26"/>
  <c r="T34" i="26"/>
  <c r="S34" i="26"/>
  <c r="O34" i="26"/>
  <c r="N34" i="26"/>
  <c r="M34" i="26"/>
  <c r="L34" i="26"/>
  <c r="U33" i="26"/>
  <c r="T33" i="26"/>
  <c r="S33" i="26"/>
  <c r="O33" i="26"/>
  <c r="N33" i="26"/>
  <c r="M33" i="26"/>
  <c r="L33" i="26"/>
  <c r="U32" i="26"/>
  <c r="T32" i="26"/>
  <c r="S32" i="26"/>
  <c r="O32" i="26"/>
  <c r="N32" i="26"/>
  <c r="M32" i="26"/>
  <c r="L32" i="26"/>
  <c r="U31" i="26"/>
  <c r="T31" i="26"/>
  <c r="S31" i="26"/>
  <c r="O31" i="26"/>
  <c r="N31" i="26"/>
  <c r="M31" i="26"/>
  <c r="L31" i="26"/>
  <c r="U30" i="26"/>
  <c r="T30" i="26"/>
  <c r="S30" i="26"/>
  <c r="O30" i="26"/>
  <c r="N30" i="26"/>
  <c r="M30" i="26"/>
  <c r="L30" i="26"/>
  <c r="U29" i="26"/>
  <c r="T29" i="26"/>
  <c r="S29" i="26"/>
  <c r="O29" i="26"/>
  <c r="N29" i="26"/>
  <c r="M29" i="26"/>
  <c r="L29" i="26"/>
  <c r="U28" i="26"/>
  <c r="T28" i="26"/>
  <c r="S28" i="26"/>
  <c r="O28" i="26"/>
  <c r="N28" i="26"/>
  <c r="M28" i="26"/>
  <c r="L28" i="26"/>
  <c r="U27" i="26"/>
  <c r="T27" i="26"/>
  <c r="S27" i="26"/>
  <c r="O27" i="26"/>
  <c r="N27" i="26"/>
  <c r="M27" i="26"/>
  <c r="L27" i="26"/>
  <c r="U26" i="26"/>
  <c r="T26" i="26"/>
  <c r="S26" i="26"/>
  <c r="O26" i="26"/>
  <c r="N26" i="26"/>
  <c r="M26" i="26"/>
  <c r="L26" i="26"/>
  <c r="U25" i="26"/>
  <c r="T25" i="26"/>
  <c r="S25" i="26"/>
  <c r="O25" i="26"/>
  <c r="N25" i="26"/>
  <c r="M25" i="26"/>
  <c r="L25" i="26"/>
  <c r="U24" i="26"/>
  <c r="T24" i="26"/>
  <c r="S24" i="26"/>
  <c r="O24" i="26"/>
  <c r="N24" i="26"/>
  <c r="M24" i="26"/>
  <c r="L24" i="26"/>
  <c r="U23" i="26"/>
  <c r="T23" i="26"/>
  <c r="S23" i="26"/>
  <c r="O23" i="26"/>
  <c r="N23" i="26"/>
  <c r="M23" i="26"/>
  <c r="L23" i="26"/>
  <c r="U22" i="26"/>
  <c r="T22" i="26"/>
  <c r="S22" i="26"/>
  <c r="O22" i="26"/>
  <c r="N22" i="26"/>
  <c r="M22" i="26"/>
  <c r="L22" i="26"/>
  <c r="U21" i="26"/>
  <c r="T21" i="26"/>
  <c r="S21" i="26"/>
  <c r="O21" i="26"/>
  <c r="N21" i="26"/>
  <c r="M21" i="26"/>
  <c r="L21" i="26"/>
  <c r="U20" i="26"/>
  <c r="T20" i="26"/>
  <c r="S20" i="26"/>
  <c r="O20" i="26"/>
  <c r="N20" i="26"/>
  <c r="M20" i="26"/>
  <c r="L20" i="26"/>
  <c r="U19" i="26"/>
  <c r="T19" i="26"/>
  <c r="S19" i="26"/>
  <c r="O19" i="26"/>
  <c r="N19" i="26"/>
  <c r="M19" i="26"/>
  <c r="L19" i="26"/>
  <c r="U18" i="26"/>
  <c r="T18" i="26"/>
  <c r="S18" i="26"/>
  <c r="O18" i="26"/>
  <c r="N18" i="26"/>
  <c r="M18" i="26"/>
  <c r="L18" i="26"/>
  <c r="U17" i="26"/>
  <c r="T17" i="26"/>
  <c r="S17" i="26"/>
  <c r="O17" i="26"/>
  <c r="N17" i="26"/>
  <c r="M17" i="26"/>
  <c r="L17" i="26"/>
  <c r="U16" i="26"/>
  <c r="T16" i="26"/>
  <c r="S16" i="26"/>
  <c r="O16" i="26"/>
  <c r="N16" i="26"/>
  <c r="M16" i="26"/>
  <c r="L16" i="26"/>
  <c r="U15" i="26"/>
  <c r="T15" i="26"/>
  <c r="S15" i="26"/>
  <c r="O15" i="26"/>
  <c r="N15" i="26"/>
  <c r="M15" i="26"/>
  <c r="L15" i="26"/>
  <c r="U14" i="26"/>
  <c r="T14" i="26"/>
  <c r="S14" i="26"/>
  <c r="O14" i="26"/>
  <c r="N14" i="26"/>
  <c r="M14" i="26"/>
  <c r="L14" i="26"/>
  <c r="U13" i="26"/>
  <c r="T13" i="26"/>
  <c r="S13" i="26"/>
  <c r="O13" i="26"/>
  <c r="N13" i="26"/>
  <c r="M13" i="26"/>
  <c r="L13" i="26"/>
  <c r="U12" i="26"/>
  <c r="T12" i="26"/>
  <c r="S12" i="26"/>
  <c r="O12" i="26"/>
  <c r="N12" i="26"/>
  <c r="M12" i="26"/>
  <c r="L12" i="26"/>
  <c r="U11" i="26"/>
  <c r="T11" i="26"/>
  <c r="S11" i="26"/>
  <c r="O11" i="26"/>
  <c r="N11" i="26"/>
  <c r="M11" i="26"/>
  <c r="L11" i="26"/>
  <c r="U10" i="26"/>
  <c r="T10" i="26"/>
  <c r="S10" i="26"/>
  <c r="O10" i="26"/>
  <c r="N10" i="26"/>
  <c r="M10" i="26"/>
  <c r="L10" i="26"/>
  <c r="U9" i="26"/>
  <c r="T9" i="26"/>
  <c r="S9" i="26"/>
  <c r="O9" i="26"/>
  <c r="N9" i="26"/>
  <c r="M9" i="26"/>
  <c r="L9" i="26"/>
  <c r="U8" i="26"/>
  <c r="T8" i="26"/>
  <c r="S8" i="26"/>
  <c r="O8" i="26"/>
  <c r="N8" i="26"/>
  <c r="M8" i="26"/>
  <c r="L8" i="26"/>
  <c r="U7" i="26"/>
  <c r="T7" i="26"/>
  <c r="S7" i="26"/>
  <c r="O7" i="26"/>
  <c r="N7" i="26"/>
  <c r="M7" i="26"/>
  <c r="L7" i="26"/>
  <c r="B6" i="25" l="1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5" i="25"/>
  <c r="B18" i="13" l="1"/>
  <c r="B6" i="13"/>
  <c r="B5" i="13"/>
</calcChain>
</file>

<file path=xl/sharedStrings.xml><?xml version="1.0" encoding="utf-8"?>
<sst xmlns="http://schemas.openxmlformats.org/spreadsheetml/2006/main" count="4606" uniqueCount="839">
  <si>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</si>
  <si>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</si>
  <si>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</si>
  <si>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</si>
  <si>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</si>
  <si>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</si>
  <si>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</si>
  <si>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</si>
  <si>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</si>
  <si>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</si>
  <si>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</si>
  <si>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</si>
  <si>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</si>
  <si>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</si>
  <si>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</si>
  <si>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</si>
  <si>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</si>
  <si>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</si>
  <si>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</si>
  <si>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</si>
  <si>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</si>
  <si>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</si>
  <si>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</si>
  <si>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</si>
  <si>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</si>
  <si>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</si>
  <si>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</si>
  <si>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</si>
  <si>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</si>
  <si>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</si>
  <si>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</si>
  <si>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</si>
  <si>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</si>
  <si>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</si>
  <si>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</si>
  <si>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</si>
  <si>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</si>
  <si>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</si>
  <si>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</si>
  <si>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</si>
  <si>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</si>
  <si>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</si>
  <si>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</si>
  <si>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</si>
  <si>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</si>
  <si>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</si>
  <si>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</si>
  <si>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</si>
  <si>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</si>
  <si>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</si>
  <si>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</si>
  <si>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</si>
  <si>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</si>
  <si>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</si>
  <si>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</si>
  <si>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</si>
  <si>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</si>
  <si>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</si>
  <si>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</si>
  <si>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</si>
  <si>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</si>
  <si>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</si>
  <si>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</si>
  <si>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</si>
  <si>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</si>
  <si>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</si>
  <si>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</si>
  <si>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</si>
  <si>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</si>
  <si>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</si>
  <si>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</si>
  <si>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</si>
  <si>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</si>
  <si>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</si>
  <si>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</si>
  <si>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</si>
  <si>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</si>
  <si>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Val</t>
  </si>
  <si>
    <t>Conexão de entrada, normalmente desconectado numa porta e conectado a sistema de distribuição de fluxo.</t>
  </si>
  <si>
    <t>Conexão de saída, normalmente desconectado numa porta e conectado a sistema de distribuição de fluxo.</t>
  </si>
  <si>
    <t>Válvula é usada em sistema de distribuição de canalização para serviços de construção.</t>
  </si>
  <si>
    <t>Válvula usada para liberar ar de um tubo ou conexão.</t>
  </si>
  <si>
    <t>Válvula que se abre para admitir ar quando a pressão desce abaixo da pressão atmosférica.</t>
  </si>
  <si>
    <t>Válvula que permite a troca de fluxo entre tubulações (3 ou 4 portas).</t>
  </si>
  <si>
    <t>Válvula que permite que a água flua em apenas uma direção e é fechada quando não há fluxo (2 portas).</t>
  </si>
  <si>
    <t>Válvula usada para facilitar o comissionamento de sistema (2 portas).</t>
  </si>
  <si>
    <t>Válvula que permite que o fluxo seja desviado de um ramo de uma tubulação para outro (3 portas).</t>
  </si>
  <si>
    <t>Conjunto que incorpora duas válvulas usadas para evitar o refluxo.</t>
  </si>
  <si>
    <t>Válvula usada para facilitar a regulação do fluxo de fluidos num sistema.</t>
  </si>
  <si>
    <t>Válvula usada para remover fluido de sistema de tubulação.</t>
  </si>
  <si>
    <t>Válvula de torneira normalmente usada como descarga de fluxo.</t>
  </si>
  <si>
    <t>Válvula que libera uma quantidade predeterminada de água para limpar um vaso sanitário, mictório, etc.</t>
  </si>
  <si>
    <t>Válvula usada para controlar o fluxo de gás.</t>
  </si>
  <si>
    <t>Torneira de gás é normalmente usada para ventilar ou descarregar gás de um sistema.</t>
  </si>
  <si>
    <t>Válvula que fecha o fluxo numa tubulação.</t>
  </si>
  <si>
    <t>Válvula que permite misturar o fluxo de dois ramais de uma tubulação (3 portas).</t>
  </si>
  <si>
    <t>Válvula que reduz a pressão de um fluido imediatamente a jusante de sua posição numa tubulação.</t>
  </si>
  <si>
    <t>Válvula carregada por mola ou peso que descarrega automaticamente para um local seguro o fluido.</t>
  </si>
  <si>
    <t>Válvula usada para facilitar a regulação do fluxo de fluido num sistema.</t>
  </si>
  <si>
    <t>Válvula que restringe o fluxo de vapor, permitindo a passagem dos condensados.</t>
  </si>
  <si>
    <t>0-Classe Ifc</t>
  </si>
  <si>
    <t>0-Categoria Equivalente</t>
  </si>
  <si>
    <t>0-CategoriaEquivalente</t>
  </si>
  <si>
    <t>Anotações 
de ajuda
Classe 4</t>
  </si>
  <si>
    <t>Tubo.Flexível</t>
  </si>
  <si>
    <t>Interop.</t>
  </si>
  <si>
    <t>espessura</t>
  </si>
  <si>
    <t>peso.por.metro</t>
  </si>
  <si>
    <t>dn</t>
  </si>
  <si>
    <t>Tubulações</t>
  </si>
  <si>
    <t>profundidade.da.bolsa</t>
  </si>
  <si>
    <t>cordão.de.solda</t>
  </si>
  <si>
    <t>produto</t>
  </si>
  <si>
    <t>"Tubo Bioon Ponta e Bolsa K7"</t>
  </si>
  <si>
    <t>descrição</t>
  </si>
  <si>
    <t>Ontologia para incorporar tubulações.</t>
  </si>
  <si>
    <t xml:space="preserve">Formalizar elementos de tubulações em projeto BIM. Ontologia orientativa da relação de correspondência entre Classes IFC e categorias Revit. </t>
  </si>
  <si>
    <t xml:space="preserve">Formalización  de elementos de canalizaciones en un projeto BIM. Ontología orientativa de la relación de correspondencia entre Clases IFC y categorías de Revit. </t>
  </si>
  <si>
    <t>pn</t>
  </si>
  <si>
    <t>massa</t>
  </si>
  <si>
    <t>altura</t>
  </si>
  <si>
    <t>largura</t>
  </si>
  <si>
    <t>espessura.do.flange</t>
  </si>
  <si>
    <t>"Válvula de gaveta Euro 21 com cunha revestida de borracha, atendendo as pressões nominais 10 e 16 nos DNs 50 a 300 de acordo com padrão construtivo ABNT NBR 14968"</t>
  </si>
  <si>
    <t>altura.ao.eixo</t>
  </si>
  <si>
    <t>voltas.do.fecho</t>
  </si>
  <si>
    <t>"Válvula Euro 21"</t>
  </si>
  <si>
    <t>"Saint Gobain Canalizações"</t>
  </si>
  <si>
    <t>"Tubo ponta e bolsa para adução e distribuição de água bruta ou tratada, conforme ABNT NBR 7675"</t>
  </si>
  <si>
    <t>"Válvula Euro 22"</t>
  </si>
  <si>
    <t>"Válvula de gaveta Euro 22 com cunha revestida de borracha, nos DN 80 a 300mm. Atende aos ensaios definidos na norma ABNT NBR 14968."</t>
  </si>
  <si>
    <t>"Tubo Bioon Ponta e Bolsa K9"</t>
  </si>
  <si>
    <t>material</t>
  </si>
  <si>
    <t>"FoFo, Ferro Fundido Dúctil"</t>
  </si>
  <si>
    <t>é.pertencente.a</t>
  </si>
  <si>
    <t>"Catálogo de produtos de tubulações para saneamento básico da Saint Gobain Canalizações"</t>
  </si>
  <si>
    <t>Informação</t>
  </si>
  <si>
    <t>Contêiner</t>
  </si>
  <si>
    <t>classe</t>
  </si>
  <si>
    <t>SGC.Catálogo</t>
  </si>
  <si>
    <t>139.8</t>
  </si>
  <si>
    <t>191.4</t>
  </si>
  <si>
    <t>241.8</t>
  </si>
  <si>
    <t>298.8</t>
  </si>
  <si>
    <t>389.4</t>
  </si>
  <si>
    <t>467.4</t>
  </si>
  <si>
    <t>550.2</t>
  </si>
  <si>
    <t>636.6</t>
  </si>
  <si>
    <t>827.4</t>
  </si>
  <si>
    <t>1235.5</t>
  </si>
  <si>
    <t>1514.1</t>
  </si>
  <si>
    <t>1815.8</t>
  </si>
  <si>
    <t>2213.4</t>
  </si>
  <si>
    <t>2883.3</t>
  </si>
  <si>
    <t>108.6</t>
  </si>
  <si>
    <t>220.2</t>
  </si>
  <si>
    <t>362.4</t>
  </si>
  <si>
    <t>478.2</t>
  </si>
  <si>
    <t>568.2</t>
  </si>
  <si>
    <t>670.8</t>
  </si>
  <si>
    <t>775.8</t>
  </si>
  <si>
    <t>1010.4</t>
  </si>
  <si>
    <t>1505.7</t>
  </si>
  <si>
    <t>1848.7</t>
  </si>
  <si>
    <t>2220.4</t>
  </si>
  <si>
    <t>3537.1</t>
  </si>
  <si>
    <t>16.6</t>
  </si>
  <si>
    <t>20.8</t>
  </si>
  <si>
    <t>36.3</t>
  </si>
  <si>
    <t>21.5</t>
  </si>
  <si>
    <t>23.6</t>
  </si>
  <si>
    <t>41.6</t>
  </si>
  <si>
    <t>54.5</t>
  </si>
  <si>
    <t>97.7</t>
  </si>
  <si>
    <t>23.3</t>
  </si>
  <si>
    <t>31.9</t>
  </si>
  <si>
    <t>40.3</t>
  </si>
  <si>
    <t>49.8</t>
  </si>
  <si>
    <t>64.9</t>
  </si>
  <si>
    <t>77.9</t>
  </si>
  <si>
    <t>91.7</t>
  </si>
  <si>
    <t>106.1</t>
  </si>
  <si>
    <t>137.9</t>
  </si>
  <si>
    <t>176.5</t>
  </si>
  <si>
    <t>216.3</t>
  </si>
  <si>
    <t>259.4</t>
  </si>
  <si>
    <t>316.2</t>
  </si>
  <si>
    <t>411.9</t>
  </si>
  <si>
    <t>14.5</t>
  </si>
  <si>
    <t>18.1</t>
  </si>
  <si>
    <t>36.7</t>
  </si>
  <si>
    <t>60.4</t>
  </si>
  <si>
    <t>79.7</t>
  </si>
  <si>
    <t>94.7</t>
  </si>
  <si>
    <t>111.8</t>
  </si>
  <si>
    <t>129.3</t>
  </si>
  <si>
    <t>168.4</t>
  </si>
  <si>
    <t>215.1</t>
  </si>
  <si>
    <t>264.1</t>
  </si>
  <si>
    <t>317.2</t>
  </si>
  <si>
    <t>505.3</t>
  </si>
  <si>
    <t>12.5</t>
  </si>
  <si>
    <t>41.5</t>
  </si>
  <si>
    <t>5.2</t>
  </si>
  <si>
    <t>5.4</t>
  </si>
  <si>
    <t>5.5</t>
  </si>
  <si>
    <t>5.7</t>
  </si>
  <si>
    <t>5.9</t>
  </si>
  <si>
    <t>6.3</t>
  </si>
  <si>
    <t>6.6</t>
  </si>
  <si>
    <t>7.7</t>
  </si>
  <si>
    <t>8.4</t>
  </si>
  <si>
    <t>9.1</t>
  </si>
  <si>
    <t>9.8</t>
  </si>
  <si>
    <t>10.5</t>
  </si>
  <si>
    <t>11.9</t>
  </si>
  <si>
    <t>6.8</t>
  </si>
  <si>
    <t>7.2</t>
  </si>
  <si>
    <t>8.1</t>
  </si>
  <si>
    <t>8.6</t>
  </si>
  <si>
    <t>9.9</t>
  </si>
  <si>
    <t>10.8</t>
  </si>
  <si>
    <t>11.7</t>
  </si>
  <si>
    <t>12.6</t>
  </si>
  <si>
    <t>13.5</t>
  </si>
  <si>
    <t>15.3</t>
  </si>
  <si>
    <t>24.5</t>
  </si>
  <si>
    <t>100.5</t>
  </si>
  <si>
    <t>106.5</t>
  </si>
  <si>
    <t>105.5</t>
  </si>
  <si>
    <t>107.5</t>
  </si>
  <si>
    <t>110.5</t>
  </si>
  <si>
    <t>112.5</t>
  </si>
  <si>
    <t>115.5</t>
  </si>
  <si>
    <t>117.5</t>
  </si>
  <si>
    <t>122.5</t>
  </si>
  <si>
    <t>147.5</t>
  </si>
  <si>
    <t>157.5</t>
  </si>
  <si>
    <t>167.5</t>
  </si>
  <si>
    <t>92.5</t>
  </si>
  <si>
    <t>94.5</t>
  </si>
  <si>
    <t>220.8</t>
  </si>
  <si>
    <t>275.1</t>
  </si>
  <si>
    <t>328.6</t>
  </si>
  <si>
    <t>144.1</t>
  </si>
  <si>
    <t>166.9</t>
  </si>
  <si>
    <t>largura.do.corpo</t>
  </si>
  <si>
    <t>profundidade.do.corpo</t>
  </si>
  <si>
    <t>tipo</t>
  </si>
  <si>
    <t>comprimento</t>
  </si>
  <si>
    <t>categoria.revit</t>
  </si>
  <si>
    <t>classe.ifc</t>
  </si>
  <si>
    <t>Torneira</t>
  </si>
  <si>
    <t>Luva</t>
  </si>
  <si>
    <t>Té</t>
  </si>
  <si>
    <t>Entrada</t>
  </si>
  <si>
    <t>Saída</t>
  </si>
  <si>
    <t>Transição</t>
  </si>
  <si>
    <t>Junção</t>
  </si>
  <si>
    <t>Cruzeta</t>
  </si>
  <si>
    <t>Cap</t>
  </si>
  <si>
    <t>Conexão utilizada para mudar a direção da tubulação 90° longa.</t>
  </si>
  <si>
    <t>Conexão utilizada para mudar a direção da tubulação 90° curta.</t>
  </si>
  <si>
    <t>Conexão utilizada para mudar a direção da tubulação a 45°.</t>
  </si>
  <si>
    <t>Conexão utilizada para mudar a direção da tubulação a 22.5°.</t>
  </si>
  <si>
    <t>Conexão utilizada para mudar a direção da tubulação a 11.25°.</t>
  </si>
  <si>
    <t>Conexão utilizada para mudar a direção da tubulação a 90°.</t>
  </si>
  <si>
    <t>Luva.de.Correr</t>
  </si>
  <si>
    <t>Conexões de tubulação que permitem alterar as conexões ou materiais.</t>
  </si>
  <si>
    <t>Tubo.Rígido</t>
  </si>
  <si>
    <t>Conexão usada para unir duas peças do mesmo diámetro.</t>
  </si>
  <si>
    <t>Conexão usada normalmente para reparar um tubo.</t>
  </si>
  <si>
    <t>Conexão usada para redistribuir o fluxo e/ou alterar diámetros.</t>
  </si>
  <si>
    <t>Válvula de saneamento básico Linha Euro 20.</t>
  </si>
  <si>
    <t>Tubo ponta e bolsa.</t>
  </si>
  <si>
    <t>Tubo ponta e flange.</t>
  </si>
  <si>
    <t>Tubo ponta e ponta.</t>
  </si>
  <si>
    <t>Tubo flange e flange.</t>
  </si>
  <si>
    <t>Segmento rígido de tubulação.</t>
  </si>
  <si>
    <t>Segmentos flexível de tubo.</t>
  </si>
  <si>
    <t>Conexões de fechamento da tubulação.</t>
  </si>
  <si>
    <t>Tubo rosca e rosca.</t>
  </si>
  <si>
    <t>Tubo de termofusão PEAD (Polietileno de Alta Densidade).</t>
  </si>
  <si>
    <t>Tubo de Ferro Fundido para redes de agua e esgoto de saneamento básico.</t>
  </si>
  <si>
    <t>Tubo de latão para redes de água.</t>
  </si>
  <si>
    <t>Tubo de PVC (Policloreto de Vinila) para redes de agua e esgoto doméstica.</t>
  </si>
  <si>
    <t>Junta flangeada.</t>
  </si>
  <si>
    <t>Junta com abraçadeira linha SMU da Saint Gobain.</t>
  </si>
  <si>
    <t>Junta soldável.</t>
  </si>
  <si>
    <t>Junta roscável.</t>
  </si>
  <si>
    <t>Junta soldável por termofusão.</t>
  </si>
  <si>
    <t>Redução.Concêntrica</t>
  </si>
  <si>
    <t>Redução.Excêntrica</t>
  </si>
  <si>
    <t>Conexão utilizada para mudar a direção da tubulação 90° com visita.</t>
  </si>
  <si>
    <t>Junta de pressão.</t>
  </si>
  <si>
    <t>Abraçadeira</t>
  </si>
  <si>
    <t>Haste</t>
  </si>
  <si>
    <t>Volante</t>
  </si>
  <si>
    <t>Acessório tipo abraçadeira para pendurar a tubulação.</t>
  </si>
  <si>
    <t>Acessório tipo haste de manobra.</t>
  </si>
  <si>
    <t>Acessório tipo volante de manobra.</t>
  </si>
  <si>
    <t>Tubo de cobre para redes de água quente ou gás.</t>
  </si>
  <si>
    <t xml:space="preserve">Tubo de PVC Orientado (Policloreto de Vinila). Material mais resistente que PVC normal para redes de água e esgoto. </t>
  </si>
  <si>
    <t>Conexão que tem normalmente duas juntas de tamanhos diferentes. Posicionadas concêntricas no eixo da peça.</t>
  </si>
  <si>
    <t>Conexão que tem normalmente duas juntas de tamanhos diferentes. Posicionadas excêntricas no eixo da peça.</t>
  </si>
  <si>
    <t>CategoriaRvt</t>
  </si>
  <si>
    <t>ClasseIfc</t>
  </si>
  <si>
    <t>Sistema de ventilação do esgoto predial.</t>
  </si>
  <si>
    <t>Sistema de tubulação predial pluvial (agua de chuva que cai diretamente sobre uma parcela).</t>
  </si>
  <si>
    <t>Sistema urbano de coleta de esgotos.</t>
  </si>
  <si>
    <t>Sistema urbano de águas pluviais (aguas de tormentas que correm pela superfície urbana).</t>
  </si>
  <si>
    <t>Sistema de aguas de reciclagem (água que foi afetada negativamente por influência antropogênica).</t>
  </si>
  <si>
    <t>Sistema urbana de rede de água.</t>
  </si>
  <si>
    <t>Rede.de.Substâncias</t>
  </si>
  <si>
    <t>Rede.de.Descartes</t>
  </si>
  <si>
    <t>Sistema de rede de fornecimento de substâncias (combustíveis, por exemplo).</t>
  </si>
  <si>
    <t>Sistema de rede de esgoto de substâncias (substâncias especiais, por exemplo).</t>
  </si>
  <si>
    <t>Sistema de substâncias operacionais (combustíveis, líquidos hospitalares, etc.).</t>
  </si>
  <si>
    <t>Sistema de rede de combustíveis.</t>
  </si>
  <si>
    <t>Sistema de rede de gás ou líquido hospitalar.</t>
  </si>
  <si>
    <t>Rede.de.Combustíveis</t>
  </si>
  <si>
    <t>Rede.de.Alta.Tensão</t>
  </si>
  <si>
    <t>Ralos</t>
  </si>
  <si>
    <t>Ralo.Sifonado</t>
  </si>
  <si>
    <t>Ralo.Sifonado.Prolongado</t>
  </si>
  <si>
    <t>Ralo.Seco</t>
  </si>
  <si>
    <t>Ralo.Pluvial.Hemisfêrico</t>
  </si>
  <si>
    <t>Ralo.Lineal</t>
  </si>
  <si>
    <t>Ralo que possui um sifão interno que forma o chamado fecho hídrico.</t>
  </si>
  <si>
    <t>Ralo simples sem sifão para coletar agua de chuveiros e direcionar para um ralo sifonado.</t>
  </si>
  <si>
    <t>Ralo que possui um sifão interno que forma o chamado fecho hídrico e uma extensão para contrapisos profundos.</t>
  </si>
  <si>
    <t>Ralo com grelha de drenagem de formato de meia esfera (cúpula), para facilitar o escoamento da água pluvial e evitar entupimentos causados por folhas, resíduos sólidos ou objetos maiores.</t>
  </si>
  <si>
    <t>Juntas</t>
  </si>
  <si>
    <t>Tubos</t>
  </si>
  <si>
    <t>Conexões</t>
  </si>
  <si>
    <t>Válvulas</t>
  </si>
  <si>
    <t>Acessórios</t>
  </si>
  <si>
    <t>Rede.de.Agua</t>
  </si>
  <si>
    <t>Rede.de.Esgoto</t>
  </si>
  <si>
    <t>Rede.de.Tormenta</t>
  </si>
  <si>
    <t>Rede.de.Operacionalização</t>
  </si>
  <si>
    <t>Rede.de.Hospitalares</t>
  </si>
  <si>
    <t>Redes.Fornecedoras</t>
  </si>
  <si>
    <t>Redes.Coletoras</t>
  </si>
  <si>
    <t>Alimentadores.Prediais</t>
  </si>
  <si>
    <t>Coletores.Prediais</t>
  </si>
  <si>
    <t>Sistema de alimentação de água potável da rua.</t>
  </si>
  <si>
    <t>Sistema de distribuição de água quente.</t>
  </si>
  <si>
    <t>Tubo de aço para canalizações.</t>
  </si>
  <si>
    <t>Materiais</t>
  </si>
  <si>
    <t>Redes.Elétricas</t>
  </si>
  <si>
    <t>Redes.Telecom</t>
  </si>
  <si>
    <t>Redes.de.Transmissão</t>
  </si>
  <si>
    <t>Rede.de.MT.Aérea</t>
  </si>
  <si>
    <t>Rede.de.MT.Subterrânea</t>
  </si>
  <si>
    <t>Rede.de.BT.Subterrânea</t>
  </si>
  <si>
    <t>Rede.de.BT.Aérea</t>
  </si>
  <si>
    <t>Rede elétrica aérea de Baixa Tensão até 1.000 volts (1Kv).</t>
  </si>
  <si>
    <t>Rede elétrica subterrânea de Baixa Tensão até 1.000 volts (1Kv).</t>
  </si>
  <si>
    <t>Rede elétrica aérea de Média Tensão entre 1 kV e 69 kV.</t>
  </si>
  <si>
    <t>Rede elétrica subterrânea de Média Tensão  entre 1 kV e 69 kV.</t>
  </si>
  <si>
    <t>Linha elétrica de transmissão de Alta Tensão com mais de 69 kV.</t>
  </si>
  <si>
    <t>Redes.de.Distribuição</t>
  </si>
  <si>
    <t>Redes.Fluídos</t>
  </si>
  <si>
    <t>Redes.Aéreas</t>
  </si>
  <si>
    <t>Redes.Subterrâneas</t>
  </si>
  <si>
    <t>Rede.de.Fibra.Ótica.Aérea</t>
  </si>
  <si>
    <t>Rede.Aérea.de.Telefonia</t>
  </si>
  <si>
    <t>Rede.Aérea.de.Net.Fixa</t>
  </si>
  <si>
    <t>Rede.Aérea.de.Net.Móvel</t>
  </si>
  <si>
    <t>Rede.Subte.de.Fibra.Ótica</t>
  </si>
  <si>
    <t>Rede.Subte.de.Dados</t>
  </si>
  <si>
    <t>Rede.Subte.de.Net.Fixa</t>
  </si>
  <si>
    <t>Rede.Subte.de.Net.Móvel</t>
  </si>
  <si>
    <t>Rede.Aérea.de.Dados</t>
  </si>
  <si>
    <t>Rede.de.Agua.Residual</t>
  </si>
  <si>
    <t>Sistema de elétrica predial.</t>
  </si>
  <si>
    <t>Sistema de dados predial.</t>
  </si>
  <si>
    <t>Rede de Fibra Ótica aérea.</t>
  </si>
  <si>
    <t>Rede de telefonia aérea.</t>
  </si>
  <si>
    <t>Rede dados lógica aérea.</t>
  </si>
  <si>
    <t>Rede Internet Fixa aérea.</t>
  </si>
  <si>
    <t>Rede Internet Móvel aérea.</t>
  </si>
  <si>
    <t>Rede de telefonia subterrânea.</t>
  </si>
  <si>
    <t>Rede dados lógica subterrânea.</t>
  </si>
  <si>
    <t>Rede Internet Fixa subterrânea.</t>
  </si>
  <si>
    <t>Rede Internet Móvel subterrânea.</t>
  </si>
  <si>
    <t>Sistema de distribuição de água fria.</t>
  </si>
  <si>
    <t>Sistema de tubulação de gás.</t>
  </si>
  <si>
    <t>Sistema de esgoto primário predial.</t>
  </si>
  <si>
    <t>Sistema de esgoto secundário predial.</t>
  </si>
  <si>
    <t>Sistema.de.Gas</t>
  </si>
  <si>
    <t>Sistema.de.Agua</t>
  </si>
  <si>
    <t>Sistema.de.Agua.Fria</t>
  </si>
  <si>
    <t>Sistema.de.Agua.Quente</t>
  </si>
  <si>
    <t>Sistema.de.Elétrica</t>
  </si>
  <si>
    <t>Sistema.de.Dados</t>
  </si>
  <si>
    <t>Sistema.de.Esgoto.Primário</t>
  </si>
  <si>
    <t>Sistema.de.Esgoto.Secundário</t>
  </si>
  <si>
    <t>Sistema.de.Ventilação</t>
  </si>
  <si>
    <t>Sistema.de.Pluvial</t>
  </si>
  <si>
    <t>Sistemas.Prediais</t>
  </si>
  <si>
    <t>Redes.Urbanas</t>
  </si>
  <si>
    <t>Proteção.Descargas</t>
  </si>
  <si>
    <t>Sistema.de.Pararaios</t>
  </si>
  <si>
    <t>Sistema.de.Aterramento</t>
  </si>
  <si>
    <t>Sistema de pararaios.</t>
  </si>
  <si>
    <t>Sistema de aterramento.</t>
  </si>
  <si>
    <t>Redes.de.Iluminação</t>
  </si>
  <si>
    <t>Rede.de.Iluminação.Pública</t>
  </si>
  <si>
    <t>Rede.de.Sinalização.Pública</t>
  </si>
  <si>
    <t>Rede elétrica de iluminação pública urbana.</t>
  </si>
  <si>
    <t>Rede elétrica de sinalização pública urbana (Sinais de trânsito e totems).</t>
  </si>
  <si>
    <t>Caixas.Pluviais</t>
  </si>
  <si>
    <t>Caixa.Areia.Pluvial</t>
  </si>
  <si>
    <t>Ralo sem sifão em formato retangular e alongado. Instalado rente ao piso pode ter diversos comprimentos, adaptando-se ao espaço disponível.</t>
  </si>
  <si>
    <t>Tanque.de.Detenção</t>
  </si>
  <si>
    <t>Tanque.de.Atenuação</t>
  </si>
  <si>
    <t>Caixa.de.Gordura</t>
  </si>
  <si>
    <t>Caixa.de.Passagem</t>
  </si>
  <si>
    <t>Caixa.de.Inspecção</t>
  </si>
  <si>
    <t>Caixa utilizada nos condutores horizontais destinadas a permitir o acesso às tubulações para manutenção e verificação.</t>
  </si>
  <si>
    <t>Caixa utilizada nos condutores horizontais destinadas a interligar trechos da tubulação e direcionar o traçado.</t>
  </si>
  <si>
    <t>Caixa utilizada nos condutores horizontais destinadas a armazenar água e liberá-la lentamente para imitar os padrões naturais de fluxo.</t>
  </si>
  <si>
    <t>Caixa utilizada nos condutores horizontais destinadas a armazenar água temporariamente e liberá-la em uma taxa controlada.</t>
  </si>
  <si>
    <t>Caixa utilizada nos condutores horizontais destinadas a recolher detritos por deposição. NBR 10844.</t>
  </si>
  <si>
    <t>Caixa utilizada nos condutores horizontais destinadas a retér óleos e gorduras por decantação antes que alcancem a rede principal, evitando entupimentos.</t>
  </si>
  <si>
    <t>é.a.jusante.de</t>
  </si>
  <si>
    <t>CxaPa_01</t>
  </si>
  <si>
    <t>CxaPa_02</t>
  </si>
  <si>
    <t>CxaPa_03</t>
  </si>
  <si>
    <t>CxaPa_04</t>
  </si>
  <si>
    <t>Traçados</t>
  </si>
  <si>
    <t>Caixas.Desagües</t>
  </si>
  <si>
    <t>Uniões</t>
  </si>
  <si>
    <t>Tubo.Rígido.PB</t>
  </si>
  <si>
    <t>Tubo.Rígido.PF</t>
  </si>
  <si>
    <t>Tubo.Rígido.FF</t>
  </si>
  <si>
    <t>Tubo.Rígido.PP</t>
  </si>
  <si>
    <t>Tubo.Rígido.RR</t>
  </si>
  <si>
    <t>Curva.90.Com.Pé</t>
  </si>
  <si>
    <t>Curva.90.Com.Visita</t>
  </si>
  <si>
    <t>Curva.90.Curta</t>
  </si>
  <si>
    <t>Curva.90.Longa</t>
  </si>
  <si>
    <t>Curva.90</t>
  </si>
  <si>
    <t>Curva.45</t>
  </si>
  <si>
    <t>Curva.22</t>
  </si>
  <si>
    <t>Curva.11</t>
  </si>
  <si>
    <t>Conexão utilizada para mudar a direção da tubulação 90° com pé usada na base de uma coluna de descarga vertical.</t>
  </si>
  <si>
    <t>Junta.Flangeada</t>
  </si>
  <si>
    <t>Junta.Elástica</t>
  </si>
  <si>
    <t>Junta.Travada.Interna</t>
  </si>
  <si>
    <t>Junta.Travada.Externa</t>
  </si>
  <si>
    <t>Junta.Mecânica</t>
  </si>
  <si>
    <t>Junta.SMU</t>
  </si>
  <si>
    <t>Junta.Roscável</t>
  </si>
  <si>
    <t>Junta.Soldável</t>
  </si>
  <si>
    <t>Junta.TermoFusão</t>
  </si>
  <si>
    <t>Junta.Pressão</t>
  </si>
  <si>
    <t>Junta elástica tipo JGS de tubos de FoFo.</t>
  </si>
  <si>
    <t>Junta travada internamente tipo JTI de tubos de FoFo.</t>
  </si>
  <si>
    <t>Junta travada externamente tipo JTE de tubos de FoFo..</t>
  </si>
  <si>
    <t>Junta travada mecanicamente tipo JM de tubos de FoFo.</t>
  </si>
  <si>
    <t>Válvula.Euro20</t>
  </si>
  <si>
    <t>Válvula.Borboleta</t>
  </si>
  <si>
    <t>Válvula.de.Globo</t>
  </si>
  <si>
    <t>Válvula.de.Vácuo</t>
  </si>
  <si>
    <t>Válvula.de.Desvio</t>
  </si>
  <si>
    <t>Válvula.de.Retenção</t>
  </si>
  <si>
    <t xml:space="preserve">Válvula.de.Isolamento </t>
  </si>
  <si>
    <t xml:space="preserve">Válvula.de.Fluxo </t>
  </si>
  <si>
    <t>Válvula.de.Antirrefluxo.Dupla</t>
  </si>
  <si>
    <t>Válvula.de.Regulação</t>
  </si>
  <si>
    <t>Válvula.de.Descarga</t>
  </si>
  <si>
    <t>Válvula.de.Gás</t>
  </si>
  <si>
    <t>Válvula.de.Segurança</t>
  </si>
  <si>
    <t>Válvula.Ventosa</t>
  </si>
  <si>
    <t>Válvula.Ventosa.Tríplice</t>
  </si>
  <si>
    <t>Válvula.de.Pressão</t>
  </si>
  <si>
    <t>Válvula.de.Alívio</t>
  </si>
  <si>
    <t>Válvula.de.Controle</t>
  </si>
  <si>
    <t>Válvula.de.Purga</t>
  </si>
  <si>
    <t>Válvula.de.Purga.Vapor</t>
  </si>
  <si>
    <t>"K7"</t>
  </si>
  <si>
    <t>"K9"</t>
  </si>
  <si>
    <t>"EURO21"</t>
  </si>
  <si>
    <t>"EURO22"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</si>
  <si>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</si>
  <si>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</si>
  <si>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</si>
  <si>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</si>
  <si>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</si>
  <si>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</si>
  <si>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</si>
  <si>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</si>
  <si>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Canalizações Prediais</t>
  </si>
  <si>
    <t>Gasoduto</t>
  </si>
  <si>
    <t>Oleoduto</t>
  </si>
  <si>
    <t>Complexos.de.Dutos</t>
  </si>
  <si>
    <t>Mineroduto</t>
  </si>
  <si>
    <t>Carboduto</t>
  </si>
  <si>
    <t>Poliduto</t>
  </si>
  <si>
    <t>Transporta gás natural ou gases industriais.</t>
  </si>
  <si>
    <t>Transporta diferentes líquidos (óleo diesel, biodiesel, etanol, gasolina) na mesma tubulação.</t>
  </si>
  <si>
    <t>Transporta petróleo bruto ou derivados como gasolina, diesel, querosene, nafta. Pode transportar também biocombustíveis como etanol e biodiesel.</t>
  </si>
  <si>
    <t>Transporta especificamente carvão mineral.</t>
  </si>
  <si>
    <t>Transporta polpas minerais (minério de ferro, fosfato, sal-gema) misturadas com água.</t>
  </si>
  <si>
    <t>Dutos.de.Transporte</t>
  </si>
  <si>
    <t>Tubo.de.FoFo</t>
  </si>
  <si>
    <t>Tubo.de.PVC</t>
  </si>
  <si>
    <t>Tubo.de.Latão</t>
  </si>
  <si>
    <t>Tubo.de.Cobre</t>
  </si>
  <si>
    <t>Tubo.de.PEAD</t>
  </si>
  <si>
    <t>Tubo.de.Aço</t>
  </si>
  <si>
    <t>Tubo.de.PVCO</t>
  </si>
  <si>
    <t>De.Tubulações</t>
  </si>
  <si>
    <t>Redes.Prediais</t>
  </si>
  <si>
    <t>Redes.Industriais</t>
  </si>
  <si>
    <t>Materialidades</t>
  </si>
  <si>
    <t>SGC.Catálogo.Seção.Tubos</t>
  </si>
  <si>
    <t>SGC.Catálogo.Seção.Válvulas</t>
  </si>
  <si>
    <t>"Seção de Tubos do Catálogo de produtos de tubulações para saneamento básico da Saint Gobain Canalizações"</t>
  </si>
  <si>
    <t>"Seção de Válvulas do Catálogo de produtos de tubulações para saneamento básico da Saint Gobain Canalizações"</t>
  </si>
  <si>
    <t>"Tigre"</t>
  </si>
  <si>
    <t>"Uma caixa de passagem da Tigre"</t>
  </si>
  <si>
    <t>Define um contêiner de informação de acordo à norma NBR 19650-1. Definição do Projeto.</t>
  </si>
  <si>
    <t>Define un contenedor de información de acuerdo con la norma NBR 19650-1.</t>
  </si>
  <si>
    <t>Instalações</t>
  </si>
  <si>
    <t>[ OST_PipeMaterials ]</t>
  </si>
  <si>
    <t>[ IfcMaterial ]</t>
  </si>
  <si>
    <t>[ OST_PipingSystem ]</t>
  </si>
  <si>
    <t>[ IfcDistributionSystemWATERSUPPLY ]</t>
  </si>
  <si>
    <t>[ 3E.42 ]</t>
  </si>
  <si>
    <t>[ IfcDistributionSystemCONVEYING ]</t>
  </si>
  <si>
    <t>[ IfcDistributionSystemFUEL ]</t>
  </si>
  <si>
    <t>[ IfcDistributionSystemOPERATIONAL ]</t>
  </si>
  <si>
    <t>[ IfcDistributionSystemSTORMWATER ]</t>
  </si>
  <si>
    <t>[ IfcDistributionSystemWASTEWATER ]</t>
  </si>
  <si>
    <t>[ IfcDistributionSystemSEWAGE ]</t>
  </si>
  <si>
    <t>[ IfcDistributionSystemDISPOSAL ]</t>
  </si>
  <si>
    <t>[ IfcDistributionSystemHAZARDOUS ]</t>
  </si>
  <si>
    <t>[ OST_ElecDistributionSys ]</t>
  </si>
  <si>
    <t>[ IfcDistributionSystemCATENARY_SYSTEM ]</t>
  </si>
  <si>
    <t>[ 3E.26.12 ]</t>
  </si>
  <si>
    <t>[ IfcDistributionSystemLIGHTING ]</t>
  </si>
  <si>
    <t>[ IfcDistributionSystemSIGNAL ]</t>
  </si>
  <si>
    <t>[ IfcDistributionSystemTELEPHONE ]</t>
  </si>
  <si>
    <t>[ IfcDistributionSystemDATA ]</t>
  </si>
  <si>
    <t>[ IfcDistributionSystemFIXEDTRANSMISSIONNETWORK ]</t>
  </si>
  <si>
    <t>[ IfcDistributionSystemMOBILENETWORK ]</t>
  </si>
  <si>
    <t>[ IfcDistributionSystemDOMESTICCOLDWATER ]</t>
  </si>
  <si>
    <t>[ IfcDistributionSystemDOMESTICHOTWATER ]</t>
  </si>
  <si>
    <t>[ IfcDistributionSystemGAS ]</t>
  </si>
  <si>
    <t>[ IfcDistributionSystemELECTRICAL ]</t>
  </si>
  <si>
    <t>[ IfcDistributionSystemVENT ]</t>
  </si>
  <si>
    <t>[ IfcDistributionSystemRAINWATER ]</t>
  </si>
  <si>
    <t>[ IfcDistributionSystemEARTHING ]</t>
  </si>
  <si>
    <t>[ IfcDistributionSystemLIGHTNINGPROTECTION ]</t>
  </si>
  <si>
    <t>[ OST_PipeConnections ]</t>
  </si>
  <si>
    <t>[ IfcPipeFittingCONNECTOR ]</t>
  </si>
  <si>
    <t>[ OST_PipeFitting ]</t>
  </si>
  <si>
    <t>[ IfcWasteTerminal ]</t>
  </si>
  <si>
    <t>[ OST_PipeSegments ]</t>
  </si>
  <si>
    <t>[ IfcPipeSegmentFLEXIBLESEGMENT ]</t>
  </si>
  <si>
    <t>[ IfcPipeSegmentRIGIDSEGMENT ]</t>
  </si>
  <si>
    <t>[ IfcPipeFittingBEND ]</t>
  </si>
  <si>
    <t>[ IfcPipeFittingJUNCTION ]</t>
  </si>
  <si>
    <t>[ IfcPipeFittingTRANSITION ]</t>
  </si>
  <si>
    <t>[ IfcPipeFittingOBSTRUCTION ]</t>
  </si>
  <si>
    <t>[ IfcPipeFittingENTRY ]</t>
  </si>
  <si>
    <t>[ IfcPipeFittingEXIT ]</t>
  </si>
  <si>
    <t>[ IfcValve ]</t>
  </si>
  <si>
    <t>[ OST_PipeAccessory ]</t>
  </si>
  <si>
    <t>[ IfcDiscreteAccessoryBRACKET ]</t>
  </si>
  <si>
    <t>[ IfcDiscreteAccessory ]</t>
  </si>
  <si>
    <t>[ 0M.20.60.07.16 ]</t>
  </si>
  <si>
    <t>[ 0M.20.20.01.07.03 ]</t>
  </si>
  <si>
    <t>[ 0M.20.20.01.01 ]</t>
  </si>
  <si>
    <t>[ 0M.20.20.05.01 ]</t>
  </si>
  <si>
    <t>[ 0M.20.20.05 ]</t>
  </si>
  <si>
    <t>[ 0M.20.60.07.09 ]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</si>
  <si>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</si>
  <si>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</si>
  <si>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</si>
  <si>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</si>
  <si>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</si>
  <si>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</si>
  <si>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</si>
  <si>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</si>
  <si>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</si>
  <si>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Tubería de hierro fundido para redes de agua y alcantarillado de saneamiento básico.</t>
  </si>
  <si>
    <t>Tubería de PVC (cloruro de polivinilo) para redes domésticas de agua y alcantarillado.</t>
  </si>
  <si>
    <t>Tubería de PVC orientada (cloruro de polivinilo). Material más resistente que el PVC normal para redes de agua y alcantarillado.</t>
  </si>
  <si>
    <t>Tubería de latón para redes de agua.</t>
  </si>
  <si>
    <t>Tubería de cobre para agua caliente o redes de gas.</t>
  </si>
  <si>
    <t>Tubo de termofusión HDPE (Polietileno de Alta Densidad).</t>
  </si>
  <si>
    <t>Tubería de acero para fontanería.</t>
  </si>
  <si>
    <t>Sistema de red de agua urbana.</t>
  </si>
  <si>
    <t>Un sistema de red para el suministro de sustancias (por ejemplo, combustibles).</t>
  </si>
  <si>
    <t>Sistema de red de combustible.</t>
  </si>
  <si>
    <t>Sistema de sustancias operativas (combustibles, fluidos hospitalarios, etc.).</t>
  </si>
  <si>
    <t>Sistema de agua de lluvia urbana (agua pluvial que corre por la superficie urbana).</t>
  </si>
  <si>
    <t>Sistema de reciclaje de agua (agua que ha sido afectada negativamente por influencia antropogénica).</t>
  </si>
  <si>
    <t>Sistema de recogida de aguas residuales urbanas.</t>
  </si>
  <si>
    <t>Sistema de alcantarillado para sustancias (por ejemplo, sustancias especiales).</t>
  </si>
  <si>
    <t>Sistema de red de gas o líquido del hospital.</t>
  </si>
  <si>
    <t>Línea de transmisión de alta tensión con más de 69 kV.</t>
  </si>
  <si>
    <t>Red eléctrica aérea de media tensión entre 1 kV y 69 kV.</t>
  </si>
  <si>
    <t>Red eléctrica subterránea de media tensión entre 1 kV y 69 kV.</t>
  </si>
  <si>
    <t>Red eléctrica aérea de baja tensión de hasta 1.000 voltios (1 Kv).</t>
  </si>
  <si>
    <t>Red eléctrica subterránea de baja tensión de hasta 1.000 voltios (1Kv).</t>
  </si>
  <si>
    <t>Iluminación pública urbana, red eléctrica.</t>
  </si>
  <si>
    <t>Señalización pública urbana, red eléctrica (semáforos y tótems).</t>
  </si>
  <si>
    <t>Red de fibra óptica aérea.</t>
  </si>
  <si>
    <t>Red de telefonía aérea.</t>
  </si>
  <si>
    <t>Lógica de sobrecarga de datos de red.</t>
  </si>
  <si>
    <t>Red de Internet fija aérea.</t>
  </si>
  <si>
    <t>Red de Internet Móvil Aérea.</t>
  </si>
  <si>
    <t>Red telefónica subterránea.</t>
  </si>
  <si>
    <t>Lógica subterránea de datos de red.</t>
  </si>
  <si>
    <t>Red de Internet Fija Subterránea.</t>
  </si>
  <si>
    <t>Red de Internet Móvil Subterránea.</t>
  </si>
  <si>
    <t>Sistema de suministro de agua potable en la calle.</t>
  </si>
  <si>
    <t>Sistema de distribución de agua fría.</t>
  </si>
  <si>
    <t>Sistema de distribución de agua caliente.</t>
  </si>
  <si>
    <t>Sistema de tuberías de gas.</t>
  </si>
  <si>
    <t>Sistema eléctrico del edificio.</t>
  </si>
  <si>
    <t>Edificio sistema de datos.</t>
  </si>
  <si>
    <t>Construcción del sistema principal de alcantarillado.</t>
  </si>
  <si>
    <t>Construcción de un sistema secundario de alcantarillado.</t>
  </si>
  <si>
    <t>Sistema de ventilación de alcantarillado del edificio.</t>
  </si>
  <si>
    <t>Sistema de tuberías de agua de lluvia (agua de lluvia que cae directamente sobre una parcela).</t>
  </si>
  <si>
    <t>Sistema de toma de tierra.</t>
  </si>
  <si>
    <t>Sistema de pararrayos.</t>
  </si>
  <si>
    <t>Junta con brida.</t>
  </si>
  <si>
    <t>Junta elástica tipo JGS de tuberías FoFo.</t>
  </si>
  <si>
    <t>Junta JTI de tubería FoFo con bloqueo interno.</t>
  </si>
  <si>
    <t>Junta bloqueada externamente tipo JTE de tuberías FoFo...</t>
  </si>
  <si>
    <t>Junta mecánicamente bloqueada tipo JM de tuberías FoFo.</t>
  </si>
  <si>
    <t>Junta con línea SMU de abrazadera de Saint Gobain.</t>
  </si>
  <si>
    <t>Articulación roscada.</t>
  </si>
  <si>
    <t>Articulación soldable.</t>
  </si>
  <si>
    <t>Junta soldable por termofusión.</t>
  </si>
  <si>
    <t>Junta de presión.</t>
  </si>
  <si>
    <t>Caja utilizada en conductores horizontales destinada a recoger residuos mediante deposición. NBR 10844.</t>
  </si>
  <si>
    <t>Caja utilizada en los conductores horizontales destinada a almacenar agua temporalmente y liberarla a una velocidad controlada.</t>
  </si>
  <si>
    <t>Caja utilizada en los conductores horizontales destinada a almacenar agua y liberarla lentamente para imitar patrones naturales de flujo.</t>
  </si>
  <si>
    <t>Caja utilizada en conductores horizontales destinada a retener aceites y grasas por decantación antes de que lleguen a la red principal, evitando obstrucciones.</t>
  </si>
  <si>
    <t>Caja utilizada en conductores horizontales destinada a interconectar secciones de la tubería y dirigir la ruta.</t>
  </si>
  <si>
    <t>Caja utilizada en los conductores horizontales destinada a permitir el acceso a las tuberías para mantenimiento y comprobación.</t>
  </si>
  <si>
    <t>Desagüe sencillo sin sifón para recoger el agua de las duchas y dirigirla a un desagüe sifonado.</t>
  </si>
  <si>
    <t>Drenaje que tiene un sifón interno que forma el llamado cierre de agua.</t>
  </si>
  <si>
    <t>Un desagüe que tiene un sifón interno que forma el llamado cierre de agua y una extensión para los subsuelos profundos.</t>
  </si>
  <si>
    <t>Drenar con una rejilla de drenaje de media esfera (cúpula), para facilitar el drenaje del agua de lluvia y evitar obstrucciones causadas por hojas, residuos sólidos u objetos más grandes.</t>
  </si>
  <si>
    <t>Desagüe sin sifón en forma rectangular y alargada. Instalado a ras con el suelo, puede tener diferentes longitudes, adaptándose al espacio disponible.</t>
  </si>
  <si>
    <t>Segmentos flexibles de tubería.</t>
  </si>
  <si>
    <t>Segmento rígido de tubería.</t>
  </si>
  <si>
    <t>Punta de tubo y bolsa.</t>
  </si>
  <si>
    <t>Punta y brida del tubo.</t>
  </si>
  <si>
    <t>Brida y brida de tubería.</t>
  </si>
  <si>
    <t>Punta y punta de tubo.</t>
  </si>
  <si>
    <t>Hilo y rosco de tubería.</t>
  </si>
  <si>
    <t>Conexión utilizada para cambiar la dirección del tubo de 90° con el pie en la base de una columna de descarga vertical.</t>
  </si>
  <si>
    <t>La conexión se utiliza para cambiar la dirección de la tubería de 90° con la visita.</t>
  </si>
  <si>
    <t>La conexión se utiliza para cambiar la dirección del tubo 90° corto.</t>
  </si>
  <si>
    <t>La conexión se utiliza para cambiar la dirección del tubo a 90° de longitud.</t>
  </si>
  <si>
    <t>La conexión se utiliza para cambiar la dirección de la tubería a 90°.</t>
  </si>
  <si>
    <t>Conexión usada para cambiar la dirección de la tubería a 45°.</t>
  </si>
  <si>
    <t>La conexión se usa para cambiar la dirección de la tubería a 22,5°.</t>
  </si>
  <si>
    <t>La conexión se utiliza para cambiar la dirección de la tubería a 11,25°.</t>
  </si>
  <si>
    <t>Conexión utilizada para unir dos piezas del mismo diámetro.</t>
  </si>
  <si>
    <t>Un accesorio que normalmente se usa para reparar una tubería.</t>
  </si>
  <si>
    <t>Conexión utilizada para redistribuir el flujo y/o cambiar los diámetros.</t>
  </si>
  <si>
    <t>Conexión que normalmente tiene dos uniones de diferentes tamaños. Posicionada concéntricamente sobre el eje de la pieza.</t>
  </si>
  <si>
    <t>Conexión que normalmente tiene dos uniones de diferentes tamaños. Posicionada excéntrica sobre el eje de la pieza de trabajo.</t>
  </si>
  <si>
    <t>Conexiones de tubería que permiten cambiar las conexiones o los materiales.</t>
  </si>
  <si>
    <t>Conexiones de cierre de tuberías.</t>
  </si>
  <si>
    <t>Conexión de entrada, normalmente desconectada en un puerto y conectada a un sistema de distribución de flujo.</t>
  </si>
  <si>
    <t>Conexión de salida, normalmente desconectada en un puerto y conectada a un sistema de distribución de flujo.</t>
  </si>
  <si>
    <t>La válvula de grifo se utiliza normalmente como descarga de flujo.</t>
  </si>
  <si>
    <t>Línea Euro 20 de válvula básica de saneamiento.</t>
  </si>
  <si>
    <t>La válvula se utiliza en sistemas de distribución de fontanería para servicios de construcción.</t>
  </si>
  <si>
    <t>Válvula que cierra el flujo en una tubería.</t>
  </si>
  <si>
    <t>Válvula que se abre para admitir aire cuando la presión baja por debajo de la presión atmosférica.</t>
  </si>
  <si>
    <t>Válvula que permite el intercambio de flujo entre tuberías (3 o 4 puertos).</t>
  </si>
  <si>
    <t>Válvula que permite que el agua fluya solo en una dirección y se cierra cuando no hay flujo (2 puertos).</t>
  </si>
  <si>
    <t>Válvula utilizada para facilitar la puesta en marcha del sistema (2 puertos).</t>
  </si>
  <si>
    <t>Válvula que permite desviar el flujo de una rama de una tubería a otra (3 puertos).</t>
  </si>
  <si>
    <t>Un conjunto que incorpora dos válvulas que se usan para evitar el reflujo de combustible.</t>
  </si>
  <si>
    <t>Válvula utilizada para facilitar la regulación del flujo de fluidos en un sistema.</t>
  </si>
  <si>
    <t>Válvula que libera una cantidad predeterminada de agua para limpiar un inodoro, urinario, etc.</t>
  </si>
  <si>
    <t>Válvula usada para controlar el flujo de gas.</t>
  </si>
  <si>
    <t>El grifo de gas se utiliza normalmente para ventilar o expulsar gas de un sistema.</t>
  </si>
  <si>
    <t>Válvula utilizada para liberar aire de una tubería o accesorio.</t>
  </si>
  <si>
    <t>Válvula que permite mezclar el flujo de dos ramas de un tubo (3 puertos).</t>
  </si>
  <si>
    <t>Una válvula que reduce la presión de un fluido inmediatamente aguas abajo de su posición en una tubería.</t>
  </si>
  <si>
    <t>Válvula cargada con muelle o peso que descarga automáticamente el fluido a un lugar seguro.</t>
  </si>
  <si>
    <t>Válvula utilizada para extraer fluido del sistema de tuberías.</t>
  </si>
  <si>
    <t>Válvula que restringe el flujo de vapor, permitiendo que el condensado pase.</t>
  </si>
  <si>
    <t>Accesorio tipo abrazadera para colgar la tubería.</t>
  </si>
  <si>
    <t>Accesorio tipo varilla de maniobra.</t>
  </si>
  <si>
    <t>Tipo accesorio tipo volante.</t>
  </si>
  <si>
    <t>Transporta gas natural o gases industriales.</t>
  </si>
  <si>
    <t>Transporta crudo o derivados como gasolina, diésel, queroseno y nafta. También puede transportar biocombustibles como etanol y biodiésel.</t>
  </si>
  <si>
    <t>Transporta lodos minerales (mineral de hierro, fosfato, sal gema) mezclados con agua.</t>
  </si>
  <si>
    <t>Transporta específicamente carbón.</t>
  </si>
  <si>
    <t>Transporta diferentes líquidos (gasóleo, biodiésel, etanol, gasolina) en la misma oleoducción.</t>
  </si>
  <si>
    <t>Spring or weight‑loaded valve that automatically discharges the fluid to a safe location.</t>
  </si>
  <si>
    <t>Cast Iron Pipe for water and sewage networks of basic sanitation.</t>
  </si>
  <si>
    <t>PVC (Polyvinyl Chloride) pipe for domestic water and sewage networks.</t>
  </si>
  <si>
    <t>Oriented PVC Pipe (Polyvinyl Chloride). Material more resistant than normal PVC for water and sewage networks.</t>
  </si>
  <si>
    <t>Brass pipe for water networks.</t>
  </si>
  <si>
    <t>Copper pipe for hot water or gas networks.</t>
  </si>
  <si>
    <t>HDPE (High Density Polyethylene) thermofusion tube.</t>
  </si>
  <si>
    <t>Steel pipe for plumbing.</t>
  </si>
  <si>
    <t>Urban water network system.</t>
  </si>
  <si>
    <t>A network system for the supply of substances (e.g. fuels).</t>
  </si>
  <si>
    <t>Fuel network system.</t>
  </si>
  <si>
    <t>System of operational substances (fuels, hospital fluids, etc.).</t>
  </si>
  <si>
    <t>Urban rainwater system (storm water that runs across the urban surface).</t>
  </si>
  <si>
    <t>Recycling water system (water that has been negatively affected by anthropogenic influence).</t>
  </si>
  <si>
    <t>Urban sewage collection system.</t>
  </si>
  <si>
    <t>Sewage system for substances (special substances, for example).</t>
  </si>
  <si>
    <t>Hospital gas or liquid network system.</t>
  </si>
  <si>
    <t>High Voltage transmission power line with more than 69 kV.</t>
  </si>
  <si>
    <t>Medium Voltage overhead power grid between 1 kV and 69 kV.</t>
  </si>
  <si>
    <t>Medium Voltage underground electrical network between 1 kV and 69 kV.</t>
  </si>
  <si>
    <t>Low Voltage overhead power grid up to 1,000 volts (1Kv).</t>
  </si>
  <si>
    <t>Low Voltage underground electrical network up to 1,000 volts (1Kv).</t>
  </si>
  <si>
    <t>Urban public lighting electrical network.</t>
  </si>
  <si>
    <t>Urban public signaling electrical network (traffic signals and totems).</t>
  </si>
  <si>
    <t>Aerial Fiber Optic Network.</t>
  </si>
  <si>
    <t>Air telephone network.</t>
  </si>
  <si>
    <t>Network data overhead logic.</t>
  </si>
  <si>
    <t>Aerial Fixed Internet Network.</t>
  </si>
  <si>
    <t>Aerial Mobile Internet Network.</t>
  </si>
  <si>
    <t>Underground telephone network.</t>
  </si>
  <si>
    <t>Network data underground logic.</t>
  </si>
  <si>
    <t>Underground Fixed Internet Network.</t>
  </si>
  <si>
    <t>Underground Mobile Internet Network.</t>
  </si>
  <si>
    <t>Street drinking water supply system.</t>
  </si>
  <si>
    <t>Cold water distribution system.</t>
  </si>
  <si>
    <t>Hot water distribution system.</t>
  </si>
  <si>
    <t>Gas piping system.</t>
  </si>
  <si>
    <t>Building electrical system.</t>
  </si>
  <si>
    <t>Building data system.</t>
  </si>
  <si>
    <t>Building primary sewage system.</t>
  </si>
  <si>
    <t>Building secondary sewage system.</t>
  </si>
  <si>
    <t>Building sewer ventilation system.</t>
  </si>
  <si>
    <t>Rainwater piping system (rainwater that falls directly on a plot).</t>
  </si>
  <si>
    <t>Grounding system.</t>
  </si>
  <si>
    <t>Lightning rod system.</t>
  </si>
  <si>
    <t>Flanged joint.</t>
  </si>
  <si>
    <t>JGS type elastic joint of FoFo pipes.</t>
  </si>
  <si>
    <t>Internally locked joint type JTI of FoFo pipes.</t>
  </si>
  <si>
    <t>Externally locked joint type JTE of FoFo pipes..</t>
  </si>
  <si>
    <t>Mechanically locked joint type JM of FoFo pipes.</t>
  </si>
  <si>
    <t>Gasket with clamp SMU line from Saint Gobain.</t>
  </si>
  <si>
    <t>Threaded joint.</t>
  </si>
  <si>
    <t>Weldable joint.</t>
  </si>
  <si>
    <t>Weldable joint by thermofusion.</t>
  </si>
  <si>
    <t>Pressure gasket.</t>
  </si>
  <si>
    <t>Box used in horizontal conductors intended to collect debris by deposition. NBR 10844.</t>
  </si>
  <si>
    <t>Box used in the horizontal conductors intended to temporarily store water and release it at a controlled rate.</t>
  </si>
  <si>
    <t>Box used in the horizontal conductors intended to store water and release it slowly to mimic natural flow patterns.</t>
  </si>
  <si>
    <t>Box used in horizontal conductors intended to retain oils and fats by decantation before they reach the main network, avoiding clogging.</t>
  </si>
  <si>
    <t>Box used in horizontal conductors intended to interconnect sections of the pipe and direct the route.</t>
  </si>
  <si>
    <t>Box used in the horizontal conductors intended to allow access to the pipes for maintenance and checking.</t>
  </si>
  <si>
    <t>Simple drain without siphon to collect water from showers and direct it to a siphoned drain.</t>
  </si>
  <si>
    <t>Drain that has an internal siphon that forms the so-called water closure.</t>
  </si>
  <si>
    <t>Drain that has an internal siphon that forms the so-called water closure and an extension for deep subfloors.</t>
  </si>
  <si>
    <t>Drain with half-sphere (dome) drainage grid, to facilitate the drainage of rainwater and avoid clogs caused by leaves, solid residues or larger objects.</t>
  </si>
  <si>
    <t>Drain without siphon in rectangular and elongated shape. Installed flush with the floor, it can have different lengths, adapting to the available space.</t>
  </si>
  <si>
    <t>Flexible pipe segments.</t>
  </si>
  <si>
    <t>Rigid pipe segment.</t>
  </si>
  <si>
    <t>Tube tip and bag.</t>
  </si>
  <si>
    <t>Tube tip and flange.</t>
  </si>
  <si>
    <t>Pipe flange and flange.</t>
  </si>
  <si>
    <t>Tube tip and tip.</t>
  </si>
  <si>
    <t>Pipe thread and thread.</t>
  </si>
  <si>
    <t>Connection used to change the direction of the 90° tubing with foot used at the base of a vertical discharge column.</t>
  </si>
  <si>
    <t>Connection used to change the direction of the 90° pipe with visit.</t>
  </si>
  <si>
    <t>Connection used to change the direction of the tubing 90° short.</t>
  </si>
  <si>
    <t>Connection used to change the direction of the tubing 90° long.</t>
  </si>
  <si>
    <t>Connection used to change the direction of the pipe at 90°.</t>
  </si>
  <si>
    <t>Connection used to change the direction of the pipe at 45°.</t>
  </si>
  <si>
    <t>Connection used to change the direction of the pipe at 22.5°.</t>
  </si>
  <si>
    <t>Connection used to change the direction of the pipe to 11.25°.</t>
  </si>
  <si>
    <t>Connection used to join two pieces of the same diameter.</t>
  </si>
  <si>
    <t>Fitting normally used to repair a pipe.</t>
  </si>
  <si>
    <t>Connection used to redistribute flow and/or change diameters.</t>
  </si>
  <si>
    <t>Connection that usually has two joints of different sizes. Positioned concentrically on the axis of the part.</t>
  </si>
  <si>
    <t>Connection that usually has two joints of different sizes. Positioned eccentrically on the axis of the workpiece.</t>
  </si>
  <si>
    <t>Pipe connections that allow you to change the connections or materials.</t>
  </si>
  <si>
    <t>Pipe closing connections.</t>
  </si>
  <si>
    <t>Inlet connection, usually disconnected into a port and connected to a flow distribution system.</t>
  </si>
  <si>
    <t>Output connection, usually disconnected into a port and connected to a flow distribution system.</t>
  </si>
  <si>
    <t>Faucet valve typically used as a flow discharge.</t>
  </si>
  <si>
    <t>Basic sanitation valve Euro 20 line.</t>
  </si>
  <si>
    <t>Valve is used in plumbing distribution system for construction services.</t>
  </si>
  <si>
    <t>Valve that shuts off the flow in a pipeline.</t>
  </si>
  <si>
    <t>Valve that opens to admit air when the pressure drops below atmospheric pressure.</t>
  </si>
  <si>
    <t>Valve that allows the flow exchange between pipes (3 or 4 ports).</t>
  </si>
  <si>
    <t>Valve that allows water to flow in only one direction and is closed when there is no flow (2 ports).</t>
  </si>
  <si>
    <t>Valve used to facilitate system commissioning (2 ports).</t>
  </si>
  <si>
    <t>Valve that allows flow to be diverted from one branch of a pipe to another (3 ports).</t>
  </si>
  <si>
    <t>Set that incorporates two valves used to prevent backflow.</t>
  </si>
  <si>
    <t>Valve used to facilitate the regulation of fluid flow in a system.</t>
  </si>
  <si>
    <t>Valve that releases a predetermined amount of water to clean a toilet, urinal, etc.</t>
  </si>
  <si>
    <t>Valve used to control the flow of gas.</t>
  </si>
  <si>
    <t>Gas faucet is typically used to vent or discharge gas from a system.</t>
  </si>
  <si>
    <t>Valve used to release air from a pipe or fitting.</t>
  </si>
  <si>
    <t>Valve that allows mixing the flow of two branches of a pipe (3 ports).</t>
  </si>
  <si>
    <t>A valve that reduces the pressure of a fluid immediately downstream of its position in a pipeline.</t>
  </si>
  <si>
    <t>Valve used to remove fluid from piping system.</t>
  </si>
  <si>
    <t>Valve that restricts the flow of steam, allowing condensate to pass through.</t>
  </si>
  <si>
    <t>Clamp type accessory to hang the pipe.</t>
  </si>
  <si>
    <t>Maneuvering rod type accessory.</t>
  </si>
  <si>
    <t>Steering wheel type accessory.</t>
  </si>
  <si>
    <t>It transports natural gas or industrial gases.</t>
  </si>
  <si>
    <t>It transports crude oil or derivatives such as gasoline, diesel, kerosene, naphtha. It can also transport biofuels such as ethanol and biodiesel.</t>
  </si>
  <si>
    <t>It transports mineral slurries (iron ore, phosphate, rock salt) mixed with water.</t>
  </si>
  <si>
    <t>It specifically transports coal.</t>
  </si>
  <si>
    <t>It transports different liquids (diesel oil, biodiesel, ethanol, gasoline) in the same pipeline.</t>
  </si>
  <si>
    <t>diâmetro.da.ponta</t>
  </si>
  <si>
    <t>diâmetro</t>
  </si>
  <si>
    <t>quem.fabricou</t>
  </si>
  <si>
    <t>código.abnt</t>
  </si>
  <si>
    <t>"[ 0M.20.20.01.07.03 ]"</t>
  </si>
  <si>
    <t>Contêineres</t>
  </si>
  <si>
    <t>[ 5I ]</t>
  </si>
  <si>
    <t>diâmetro.da.bolsa.externo</t>
  </si>
  <si>
    <t>diâmetro.da.bolsa.interno</t>
  </si>
  <si>
    <t>"[ OST_PipeSegments ]"</t>
  </si>
  <si>
    <t>"[ OST_PipeFitting ]"</t>
  </si>
  <si>
    <t>"[ IfcPipeSegment ]"</t>
  </si>
  <si>
    <t>"[ IfcValve ]"</t>
  </si>
  <si>
    <t>"[ IfcWasteTerminal ]"</t>
  </si>
  <si>
    <t>Conceitos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</si>
</sst>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sz val="5"/>
      <color rgb="FF000000"/>
      <name val="Arial Nova Cond Light"/>
      <family val="2"/>
    </font>
    <font>
      <sz val="5"/>
      <name val="Arial Nova Cond Light"/>
      <family val="2"/>
    </font>
    <font>
      <sz val="11"/>
      <name val="Aptos Narrow"/>
      <family val="2"/>
      <charset val="1"/>
    </font>
    <font>
      <sz val="6"/>
      <color rgb="FF424242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b/>
      <sz val="6"/>
      <color theme="1"/>
      <name val="Arial Nova Cond Light"/>
      <family val="2"/>
    </font>
    <font>
      <sz val="8"/>
      <color theme="1"/>
      <name val="Arial Nova Cond Light"/>
      <family val="2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E49EDD"/>
        <bgColor rgb="FFFFFFCC"/>
      </patternFill>
    </fill>
    <fill>
      <patternFill patternType="solid">
        <fgColor theme="5" tint="0.79998168889431442"/>
        <bgColor rgb="FFD9F2D0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4" fillId="9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3" borderId="4" xfId="0" applyFont="1" applyFill="1" applyBorder="1" applyAlignment="1">
      <alignment horizontal="left" vertical="center" wrapText="1"/>
    </xf>
    <xf numFmtId="0" fontId="3" fillId="14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 wrapText="1"/>
    </xf>
    <xf numFmtId="0" fontId="2" fillId="17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22" fontId="6" fillId="0" borderId="4" xfId="0" applyNumberFormat="1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vertical="center"/>
    </xf>
    <xf numFmtId="0" fontId="5" fillId="8" borderId="4" xfId="0" applyFont="1" applyFill="1" applyBorder="1" applyAlignment="1">
      <alignment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10" borderId="4" xfId="0" applyFont="1" applyFill="1" applyBorder="1" applyAlignment="1">
      <alignment vertical="center"/>
    </xf>
    <xf numFmtId="0" fontId="4" fillId="12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11" borderId="4" xfId="0" applyFont="1" applyFill="1" applyBorder="1" applyAlignment="1">
      <alignment horizontal="center" vertical="center" wrapText="1"/>
    </xf>
    <xf numFmtId="0" fontId="4" fillId="18" borderId="4" xfId="0" applyFont="1" applyFill="1" applyBorder="1" applyAlignment="1">
      <alignment horizontal="left" vertical="center"/>
    </xf>
    <xf numFmtId="0" fontId="4" fillId="18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/>
    </xf>
    <xf numFmtId="0" fontId="4" fillId="11" borderId="4" xfId="0" applyFont="1" applyFill="1" applyBorder="1" applyAlignment="1">
      <alignment horizontal="left" vertical="center"/>
    </xf>
    <xf numFmtId="0" fontId="4" fillId="19" borderId="4" xfId="0" applyFont="1" applyFill="1" applyBorder="1" applyAlignment="1">
      <alignment vertical="center" wrapText="1"/>
    </xf>
    <xf numFmtId="0" fontId="4" fillId="1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4" fillId="2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11" borderId="4" xfId="0" applyFont="1" applyFill="1" applyBorder="1" applyAlignment="1">
      <alignment horizontal="left" vertical="center" wrapText="1"/>
    </xf>
    <xf numFmtId="0" fontId="4" fillId="11" borderId="7" xfId="0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  <xf numFmtId="0" fontId="4" fillId="21" borderId="4" xfId="0" applyFont="1" applyFill="1" applyBorder="1" applyAlignment="1">
      <alignment vertical="center" wrapText="1"/>
    </xf>
    <xf numFmtId="0" fontId="4" fillId="11" borderId="4" xfId="0" applyFont="1" applyFill="1" applyBorder="1" applyAlignment="1">
      <alignment vertical="center" wrapText="1"/>
    </xf>
    <xf numFmtId="0" fontId="4" fillId="22" borderId="4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2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2" fillId="23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 wrapText="1"/>
    </xf>
    <xf numFmtId="0" fontId="6" fillId="15" borderId="4" xfId="0" applyFont="1" applyFill="1" applyBorder="1" applyAlignment="1">
      <alignment horizontal="left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49EDD"/>
      <color rgb="FFFDF2CB"/>
      <color rgb="FFFBE7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17" activePane="bottomLeft" state="frozen"/>
      <selection pane="bottomLeft" activeCell="C8" sqref="C8"/>
    </sheetView>
  </sheetViews>
  <sheetFormatPr defaultColWidth="9.15234375" defaultRowHeight="9.75" customHeight="1" x14ac:dyDescent="0.4"/>
  <cols>
    <col min="1" max="1" width="9.3046875" style="29" customWidth="1"/>
    <col min="2" max="2" width="66.53515625" style="29" customWidth="1"/>
    <col min="3" max="3" width="3.3828125" style="62" bestFit="1" customWidth="1"/>
    <col min="4" max="16384" width="9.15234375" style="29"/>
  </cols>
  <sheetData>
    <row r="1" spans="1:3" ht="20.25" customHeight="1" x14ac:dyDescent="0.4">
      <c r="A1" s="12" t="s">
        <v>44</v>
      </c>
      <c r="B1" s="12" t="s">
        <v>45</v>
      </c>
      <c r="C1" s="60" t="s">
        <v>491</v>
      </c>
    </row>
    <row r="2" spans="1:3" ht="9.75" customHeight="1" x14ac:dyDescent="0.4">
      <c r="A2" s="13" t="s">
        <v>46</v>
      </c>
      <c r="B2" s="13" t="s">
        <v>47</v>
      </c>
      <c r="C2" s="61" t="s">
        <v>492</v>
      </c>
    </row>
    <row r="3" spans="1:3" ht="9.75" customHeight="1" x14ac:dyDescent="0.4">
      <c r="A3" s="13" t="s">
        <v>48</v>
      </c>
      <c r="B3" s="13" t="s">
        <v>109</v>
      </c>
      <c r="C3" s="61" t="s">
        <v>492</v>
      </c>
    </row>
    <row r="4" spans="1:3" ht="9.75" customHeight="1" x14ac:dyDescent="0.4">
      <c r="A4" s="14" t="s">
        <v>49</v>
      </c>
      <c r="B4" s="14" t="s">
        <v>32</v>
      </c>
      <c r="C4" s="61" t="s">
        <v>492</v>
      </c>
    </row>
    <row r="5" spans="1:3" ht="9.75" customHeight="1" x14ac:dyDescent="0.4">
      <c r="A5" s="14" t="s">
        <v>50</v>
      </c>
      <c r="B5" s="14" t="str">
        <f>_xlfn.CONCAT(B4,"Prop")</f>
        <v>BIMProp</v>
      </c>
      <c r="C5" s="61" t="s">
        <v>492</v>
      </c>
    </row>
    <row r="6" spans="1:3" ht="9.75" customHeight="1" x14ac:dyDescent="0.4">
      <c r="A6" s="14" t="s">
        <v>51</v>
      </c>
      <c r="B6" s="14" t="str">
        <f>_xlfn.CONCAT(B4,"Data")</f>
        <v>BIMData</v>
      </c>
      <c r="C6" s="61" t="s">
        <v>492</v>
      </c>
    </row>
    <row r="7" spans="1:3" ht="9.75" customHeight="1" x14ac:dyDescent="0.4">
      <c r="A7" s="14" t="s">
        <v>52</v>
      </c>
      <c r="B7" s="14" t="s">
        <v>53</v>
      </c>
      <c r="C7" s="61" t="s">
        <v>492</v>
      </c>
    </row>
    <row r="8" spans="1:3" s="59" customFormat="1" ht="8.25" customHeight="1" x14ac:dyDescent="0.4">
      <c r="A8" s="58" t="s">
        <v>54</v>
      </c>
      <c r="B8" s="58" t="s">
        <v>489</v>
      </c>
      <c r="C8" s="61" t="s">
        <v>492</v>
      </c>
    </row>
    <row r="9" spans="1:3" ht="9.75" customHeight="1" x14ac:dyDescent="0.4">
      <c r="A9" s="14" t="s">
        <v>55</v>
      </c>
      <c r="B9" s="14" t="s">
        <v>56</v>
      </c>
      <c r="C9" s="61" t="s">
        <v>492</v>
      </c>
    </row>
    <row r="10" spans="1:3" ht="9.75" customHeight="1" x14ac:dyDescent="0.4">
      <c r="A10" s="14" t="s">
        <v>57</v>
      </c>
      <c r="B10" s="14" t="s">
        <v>58</v>
      </c>
      <c r="C10" s="61" t="s">
        <v>492</v>
      </c>
    </row>
    <row r="11" spans="1:3" ht="9.75" customHeight="1" x14ac:dyDescent="0.4">
      <c r="A11" s="14" t="s">
        <v>59</v>
      </c>
      <c r="B11" s="14" t="s">
        <v>58</v>
      </c>
      <c r="C11" s="61" t="s">
        <v>492</v>
      </c>
    </row>
    <row r="12" spans="1:3" ht="9.75" customHeight="1" x14ac:dyDescent="0.4">
      <c r="A12" s="14" t="s">
        <v>60</v>
      </c>
      <c r="B12" s="14" t="s">
        <v>58</v>
      </c>
      <c r="C12" s="61" t="s">
        <v>492</v>
      </c>
    </row>
    <row r="13" spans="1:3" ht="9.75" customHeight="1" x14ac:dyDescent="0.4">
      <c r="A13" s="14" t="s">
        <v>61</v>
      </c>
      <c r="B13" s="14" t="s">
        <v>58</v>
      </c>
      <c r="C13" s="61" t="s">
        <v>492</v>
      </c>
    </row>
    <row r="14" spans="1:3" ht="9.75" customHeight="1" x14ac:dyDescent="0.4">
      <c r="A14" s="14" t="s">
        <v>62</v>
      </c>
      <c r="B14" s="14" t="s">
        <v>58</v>
      </c>
      <c r="C14" s="61" t="s">
        <v>492</v>
      </c>
    </row>
    <row r="15" spans="1:3" ht="9.75" customHeight="1" x14ac:dyDescent="0.4">
      <c r="A15" s="14" t="s">
        <v>63</v>
      </c>
      <c r="B15" s="14" t="s">
        <v>58</v>
      </c>
      <c r="C15" s="61" t="s">
        <v>492</v>
      </c>
    </row>
    <row r="16" spans="1:3" ht="9.75" customHeight="1" x14ac:dyDescent="0.4">
      <c r="A16" s="14" t="s">
        <v>64</v>
      </c>
      <c r="B16" s="14" t="s">
        <v>58</v>
      </c>
      <c r="C16" s="61" t="s">
        <v>492</v>
      </c>
    </row>
    <row r="17" spans="1:3" ht="9.75" customHeight="1" x14ac:dyDescent="0.4">
      <c r="A17" s="14" t="s">
        <v>65</v>
      </c>
      <c r="B17" s="14" t="s">
        <v>115</v>
      </c>
      <c r="C17" s="61" t="s">
        <v>492</v>
      </c>
    </row>
    <row r="18" spans="1:3" ht="9.75" customHeight="1" x14ac:dyDescent="0.4">
      <c r="A18" s="14" t="s">
        <v>66</v>
      </c>
      <c r="B18" s="31">
        <f ca="1">NOW()</f>
        <v>46243.539977199071</v>
      </c>
      <c r="C18" s="61" t="s">
        <v>492</v>
      </c>
    </row>
    <row r="19" spans="1:3" ht="9.75" customHeight="1" x14ac:dyDescent="0.4">
      <c r="A19" s="14" t="s">
        <v>67</v>
      </c>
      <c r="B19" s="30" t="s">
        <v>68</v>
      </c>
      <c r="C19" s="61" t="s">
        <v>492</v>
      </c>
    </row>
    <row r="20" spans="1:3" ht="9.75" customHeight="1" x14ac:dyDescent="0.4">
      <c r="A20" s="14" t="s">
        <v>69</v>
      </c>
      <c r="B20" s="14" t="s">
        <v>58</v>
      </c>
      <c r="C20" s="61" t="s">
        <v>492</v>
      </c>
    </row>
    <row r="21" spans="1:3" ht="9.75" customHeight="1" x14ac:dyDescent="0.4">
      <c r="A21" s="14" t="s">
        <v>70</v>
      </c>
      <c r="B21" s="14" t="s">
        <v>58</v>
      </c>
      <c r="C21" s="61" t="s">
        <v>492</v>
      </c>
    </row>
    <row r="22" spans="1:3" ht="10.95" customHeight="1" x14ac:dyDescent="0.4">
      <c r="A22" s="14" t="s">
        <v>71</v>
      </c>
      <c r="B22" s="15" t="s">
        <v>116</v>
      </c>
      <c r="C22" s="61" t="s">
        <v>492</v>
      </c>
    </row>
    <row r="23" spans="1:3" ht="10.95" customHeight="1" x14ac:dyDescent="0.4">
      <c r="A23" s="14" t="s">
        <v>72</v>
      </c>
      <c r="B23" s="15" t="s">
        <v>117</v>
      </c>
      <c r="C23" s="61" t="s">
        <v>493</v>
      </c>
    </row>
    <row r="24" spans="1:3" s="59" customFormat="1" ht="10.95" customHeight="1" x14ac:dyDescent="0.4">
      <c r="A24" s="14" t="s">
        <v>490</v>
      </c>
      <c r="B24" s="15" t="str">
        <f>_xlfn.TRANSLATE(B22,"pt","en")</f>
        <v>Formalize piping elements in BIM design. Guiding ontology of the correspondence relationship between IFC Classes and Revit categories.</v>
      </c>
      <c r="C24" s="61" t="s">
        <v>494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9519-D9E5-4433-9132-270924474650}">
  <sheetPr codeName="Planilha2"/>
  <dimension ref="A1:AA126"/>
  <sheetViews>
    <sheetView tabSelected="1" zoomScale="190" zoomScaleNormal="190" workbookViewId="0">
      <pane ySplit="1" topLeftCell="A2" activePane="bottomLeft" state="frozen"/>
      <selection pane="bottomLeft" activeCell="B2" sqref="B2:B126"/>
    </sheetView>
  </sheetViews>
  <sheetFormatPr defaultColWidth="9.15234375" defaultRowHeight="6.65" customHeight="1" x14ac:dyDescent="0.4"/>
  <cols>
    <col min="1" max="1" width="3.15234375" bestFit="1" customWidth="1"/>
    <col min="2" max="2" width="5.69140625" style="70" bestFit="1" customWidth="1"/>
    <col min="3" max="3" width="9.84375" style="70" bestFit="1" customWidth="1"/>
    <col min="4" max="4" width="11.84375" style="70" bestFit="1" customWidth="1"/>
    <col min="5" max="5" width="12.84375" style="70" bestFit="1" customWidth="1"/>
    <col min="6" max="6" width="14.3046875" style="70" customWidth="1"/>
    <col min="7" max="11" width="6.15234375" style="70" bestFit="1" customWidth="1"/>
    <col min="12" max="12" width="9.84375" style="70" bestFit="1" customWidth="1"/>
    <col min="13" max="13" width="11.84375" style="70" bestFit="1" customWidth="1"/>
    <col min="14" max="14" width="12.84375" style="70" bestFit="1" customWidth="1"/>
    <col min="15" max="15" width="16.84375" style="70" bestFit="1" customWidth="1"/>
    <col min="16" max="16" width="101.15234375" style="70" bestFit="1" customWidth="1"/>
    <col min="17" max="17" width="97" style="70" bestFit="1" customWidth="1"/>
    <col min="18" max="18" width="4.3828125" style="70" bestFit="1" customWidth="1"/>
    <col min="19" max="19" width="12.15234375" style="70" bestFit="1" customWidth="1"/>
    <col min="20" max="20" width="10" style="70" bestFit="1" customWidth="1"/>
    <col min="21" max="21" width="12.84375" style="70" bestFit="1" customWidth="1"/>
    <col min="22" max="22" width="6.69140625" style="70" bestFit="1" customWidth="1"/>
    <col min="23" max="23" width="8" style="70" bestFit="1" customWidth="1"/>
    <col min="24" max="24" width="15.69140625" style="70" bestFit="1" customWidth="1"/>
    <col min="25" max="25" width="21.84375" style="70" bestFit="1" customWidth="1"/>
    <col min="26" max="26" width="12.3828125" style="70" bestFit="1" customWidth="1"/>
    <col min="27" max="27" width="79.15234375" style="70" bestFit="1" customWidth="1"/>
    <col min="28" max="31" width="5.3046875" style="70" customWidth="1"/>
    <col min="32" max="16384" width="9.15234375" style="70"/>
  </cols>
  <sheetData>
    <row r="1" spans="1:27" ht="46.5" customHeight="1" x14ac:dyDescent="0.4">
      <c r="A1" s="26">
        <v>1</v>
      </c>
      <c r="B1" s="27" t="s">
        <v>42</v>
      </c>
      <c r="C1" s="27" t="s">
        <v>40</v>
      </c>
      <c r="D1" s="27" t="s">
        <v>41</v>
      </c>
      <c r="E1" s="27" t="s">
        <v>39</v>
      </c>
      <c r="F1" s="27" t="s">
        <v>36</v>
      </c>
      <c r="G1" s="75" t="s">
        <v>0</v>
      </c>
      <c r="H1" s="75" t="s">
        <v>1</v>
      </c>
      <c r="I1" s="75" t="s">
        <v>2</v>
      </c>
      <c r="J1" s="75" t="s">
        <v>3</v>
      </c>
      <c r="K1" s="75" t="s">
        <v>4</v>
      </c>
      <c r="L1" s="28" t="s">
        <v>5</v>
      </c>
      <c r="M1" s="28" t="s">
        <v>6</v>
      </c>
      <c r="N1" s="28" t="s">
        <v>103</v>
      </c>
      <c r="O1" s="28" t="s">
        <v>7</v>
      </c>
      <c r="P1" s="28" t="s">
        <v>37</v>
      </c>
      <c r="Q1" s="28" t="s">
        <v>43</v>
      </c>
      <c r="R1" s="28" t="s">
        <v>105</v>
      </c>
      <c r="S1" s="28" t="s">
        <v>33</v>
      </c>
      <c r="T1" s="28" t="s">
        <v>38</v>
      </c>
      <c r="U1" s="28" t="s">
        <v>35</v>
      </c>
      <c r="V1" s="28" t="s">
        <v>34</v>
      </c>
      <c r="W1" s="27" t="s">
        <v>8</v>
      </c>
      <c r="X1" s="56" t="s">
        <v>305</v>
      </c>
      <c r="Y1" s="56" t="s">
        <v>306</v>
      </c>
      <c r="Z1" s="56" t="s">
        <v>487</v>
      </c>
      <c r="AA1" s="57" t="s">
        <v>488</v>
      </c>
    </row>
    <row r="2" spans="1:27" ht="6" customHeight="1" x14ac:dyDescent="0.4">
      <c r="A2" s="72">
        <v>2</v>
      </c>
      <c r="B2" s="1" t="s">
        <v>838</v>
      </c>
      <c r="C2" s="1" t="s">
        <v>581</v>
      </c>
      <c r="D2" s="1" t="s">
        <v>136</v>
      </c>
      <c r="E2" s="24" t="s">
        <v>829</v>
      </c>
      <c r="F2" s="24" t="s">
        <v>137</v>
      </c>
      <c r="G2" s="73" t="s">
        <v>9</v>
      </c>
      <c r="H2" s="73" t="s">
        <v>9</v>
      </c>
      <c r="I2" s="73" t="s">
        <v>9</v>
      </c>
      <c r="J2" s="73" t="s">
        <v>9</v>
      </c>
      <c r="K2" s="73" t="s">
        <v>9</v>
      </c>
      <c r="L2" s="25" t="str">
        <f t="shared" ref="L2:M6" si="0">CONCATENATE("", C2)</f>
        <v>Gestão</v>
      </c>
      <c r="M2" s="25" t="str">
        <f t="shared" si="0"/>
        <v>Informação</v>
      </c>
      <c r="N2" s="25" t="str">
        <f t="shared" ref="N2:O6" si="1">(SUBSTITUTE(SUBSTITUTE(CONCATENATE("",E2),"."," ")," De "," de "))</f>
        <v>Contêineres</v>
      </c>
      <c r="O2" s="25" t="str">
        <f t="shared" si="1"/>
        <v>Contêiner</v>
      </c>
      <c r="P2" s="21" t="s">
        <v>525</v>
      </c>
      <c r="Q2" s="21" t="s">
        <v>526</v>
      </c>
      <c r="R2" s="21" t="s">
        <v>9</v>
      </c>
      <c r="S2" s="21" t="str">
        <f t="shared" ref="S2:U6" si="2">SUBSTITUTE(C2, ".", " ")</f>
        <v>Gestão</v>
      </c>
      <c r="T2" s="21" t="str">
        <f t="shared" si="2"/>
        <v>Informação</v>
      </c>
      <c r="U2" s="21" t="str">
        <f t="shared" si="2"/>
        <v>Contêineres</v>
      </c>
      <c r="V2" s="21" t="s">
        <v>527</v>
      </c>
      <c r="W2" s="74" t="str">
        <f t="shared" ref="W2:W65" si="3">CONCATENATE("Key-TUB-",A2)</f>
        <v>Key-TUB-2</v>
      </c>
      <c r="X2" s="21" t="s">
        <v>9</v>
      </c>
      <c r="Y2" s="21" t="s">
        <v>9</v>
      </c>
      <c r="Z2" s="21" t="s">
        <v>830</v>
      </c>
      <c r="AA2" s="21" t="str">
        <f t="shared" ref="AA2:AA6" si="4">_xlfn.TRANSLATE(P2,"pt","en")</f>
        <v>Defines an information container in accordance with the NBR 19650-1 standard. Project Definition.</v>
      </c>
    </row>
    <row r="3" spans="1:27" ht="6" customHeight="1" x14ac:dyDescent="0.4">
      <c r="A3" s="72">
        <v>3</v>
      </c>
      <c r="B3" s="1" t="s">
        <v>838</v>
      </c>
      <c r="C3" s="1" t="s">
        <v>581</v>
      </c>
      <c r="D3" s="1" t="s">
        <v>136</v>
      </c>
      <c r="E3" s="24" t="s">
        <v>829</v>
      </c>
      <c r="F3" s="24" t="s">
        <v>582</v>
      </c>
      <c r="G3" s="73" t="s">
        <v>9</v>
      </c>
      <c r="H3" s="73" t="s">
        <v>9</v>
      </c>
      <c r="I3" s="73" t="s">
        <v>9</v>
      </c>
      <c r="J3" s="73" t="s">
        <v>9</v>
      </c>
      <c r="K3" s="73" t="s">
        <v>9</v>
      </c>
      <c r="L3" s="25" t="str">
        <f t="shared" si="0"/>
        <v>Gestão</v>
      </c>
      <c r="M3" s="25" t="str">
        <f t="shared" si="0"/>
        <v>Informação</v>
      </c>
      <c r="N3" s="25" t="str">
        <f t="shared" si="1"/>
        <v>Contêineres</v>
      </c>
      <c r="O3" s="25" t="str">
        <f t="shared" si="1"/>
        <v>Requisito Espacial</v>
      </c>
      <c r="P3" s="21" t="s">
        <v>583</v>
      </c>
      <c r="Q3" s="21" t="s">
        <v>526</v>
      </c>
      <c r="R3" s="21" t="s">
        <v>9</v>
      </c>
      <c r="S3" s="21" t="str">
        <f t="shared" si="2"/>
        <v>Gestão</v>
      </c>
      <c r="T3" s="21" t="str">
        <f t="shared" si="2"/>
        <v>Informação</v>
      </c>
      <c r="U3" s="21" t="str">
        <f t="shared" si="2"/>
        <v>Contêineres</v>
      </c>
      <c r="V3" s="21" t="s">
        <v>527</v>
      </c>
      <c r="W3" s="74" t="str">
        <f t="shared" si="3"/>
        <v>Key-TUB-3</v>
      </c>
      <c r="X3" s="21" t="s">
        <v>9</v>
      </c>
      <c r="Y3" s="21" t="s">
        <v>9</v>
      </c>
      <c r="Z3" s="21" t="s">
        <v>9</v>
      </c>
      <c r="AA3" s="21" t="str">
        <f t="shared" si="4"/>
        <v>Defines an information container in accordance with the NBR 19650-1 standard. Spatial Requirements for the Project.</v>
      </c>
    </row>
    <row r="4" spans="1:27" ht="6" customHeight="1" x14ac:dyDescent="0.4">
      <c r="A4" s="72">
        <v>4</v>
      </c>
      <c r="B4" s="1" t="s">
        <v>838</v>
      </c>
      <c r="C4" s="1" t="s">
        <v>581</v>
      </c>
      <c r="D4" s="1" t="s">
        <v>136</v>
      </c>
      <c r="E4" s="24" t="s">
        <v>829</v>
      </c>
      <c r="F4" s="24" t="s">
        <v>584</v>
      </c>
      <c r="G4" s="73" t="s">
        <v>9</v>
      </c>
      <c r="H4" s="73" t="s">
        <v>9</v>
      </c>
      <c r="I4" s="73" t="s">
        <v>9</v>
      </c>
      <c r="J4" s="73" t="s">
        <v>9</v>
      </c>
      <c r="K4" s="73" t="s">
        <v>9</v>
      </c>
      <c r="L4" s="25" t="str">
        <f t="shared" si="0"/>
        <v>Gestão</v>
      </c>
      <c r="M4" s="25" t="str">
        <f t="shared" si="0"/>
        <v>Informação</v>
      </c>
      <c r="N4" s="25" t="str">
        <f t="shared" si="1"/>
        <v>Contêineres</v>
      </c>
      <c r="O4" s="25" t="str">
        <f t="shared" si="1"/>
        <v>Requisito Mobiliário</v>
      </c>
      <c r="P4" s="21" t="s">
        <v>585</v>
      </c>
      <c r="Q4" s="21" t="s">
        <v>526</v>
      </c>
      <c r="R4" s="21" t="s">
        <v>9</v>
      </c>
      <c r="S4" s="21" t="str">
        <f t="shared" si="2"/>
        <v>Gestão</v>
      </c>
      <c r="T4" s="21" t="str">
        <f t="shared" si="2"/>
        <v>Informação</v>
      </c>
      <c r="U4" s="21" t="str">
        <f t="shared" si="2"/>
        <v>Contêineres</v>
      </c>
      <c r="V4" s="21" t="s">
        <v>527</v>
      </c>
      <c r="W4" s="74" t="str">
        <f t="shared" si="3"/>
        <v>Key-TUB-4</v>
      </c>
      <c r="X4" s="21" t="s">
        <v>9</v>
      </c>
      <c r="Y4" s="21" t="s">
        <v>9</v>
      </c>
      <c r="Z4" s="21" t="s">
        <v>9</v>
      </c>
      <c r="AA4" s="21" t="str">
        <f t="shared" si="4"/>
        <v>Defines an information container in accordance with the NBR 19650-1 standard. Furniture Requirements for the Project.</v>
      </c>
    </row>
    <row r="5" spans="1:27" ht="6" customHeight="1" x14ac:dyDescent="0.4">
      <c r="A5" s="72">
        <v>5</v>
      </c>
      <c r="B5" s="1" t="s">
        <v>838</v>
      </c>
      <c r="C5" s="1" t="s">
        <v>581</v>
      </c>
      <c r="D5" s="1" t="s">
        <v>136</v>
      </c>
      <c r="E5" s="24" t="s">
        <v>829</v>
      </c>
      <c r="F5" s="24" t="s">
        <v>586</v>
      </c>
      <c r="G5" s="73" t="s">
        <v>9</v>
      </c>
      <c r="H5" s="73" t="s">
        <v>9</v>
      </c>
      <c r="I5" s="73" t="s">
        <v>9</v>
      </c>
      <c r="J5" s="73" t="s">
        <v>9</v>
      </c>
      <c r="K5" s="73" t="s">
        <v>9</v>
      </c>
      <c r="L5" s="25" t="str">
        <f t="shared" si="0"/>
        <v>Gestão</v>
      </c>
      <c r="M5" s="25" t="str">
        <f t="shared" si="0"/>
        <v>Informação</v>
      </c>
      <c r="N5" s="25" t="str">
        <f t="shared" si="1"/>
        <v>Contêineres</v>
      </c>
      <c r="O5" s="25" t="str">
        <f t="shared" si="1"/>
        <v>Requisito Equipamento</v>
      </c>
      <c r="P5" s="21" t="s">
        <v>587</v>
      </c>
      <c r="Q5" s="21" t="s">
        <v>526</v>
      </c>
      <c r="R5" s="21" t="s">
        <v>9</v>
      </c>
      <c r="S5" s="21" t="str">
        <f t="shared" si="2"/>
        <v>Gestão</v>
      </c>
      <c r="T5" s="21" t="str">
        <f t="shared" si="2"/>
        <v>Informação</v>
      </c>
      <c r="U5" s="21" t="str">
        <f t="shared" si="2"/>
        <v>Contêineres</v>
      </c>
      <c r="V5" s="21" t="s">
        <v>527</v>
      </c>
      <c r="W5" s="74" t="str">
        <f t="shared" si="3"/>
        <v>Key-TUB-5</v>
      </c>
      <c r="X5" s="21" t="s">
        <v>9</v>
      </c>
      <c r="Y5" s="21" t="s">
        <v>9</v>
      </c>
      <c r="Z5" s="21" t="s">
        <v>9</v>
      </c>
      <c r="AA5" s="21" t="str">
        <f t="shared" si="4"/>
        <v>Defines an information container in accordance with the NBR 19650-1 standard. Equipment Requirements for the Project.</v>
      </c>
    </row>
    <row r="6" spans="1:27" ht="6" customHeight="1" x14ac:dyDescent="0.4">
      <c r="A6" s="72">
        <v>6</v>
      </c>
      <c r="B6" s="1" t="s">
        <v>838</v>
      </c>
      <c r="C6" s="1" t="s">
        <v>581</v>
      </c>
      <c r="D6" s="1" t="s">
        <v>136</v>
      </c>
      <c r="E6" s="24" t="s">
        <v>829</v>
      </c>
      <c r="F6" s="24" t="s">
        <v>588</v>
      </c>
      <c r="G6" s="73" t="s">
        <v>9</v>
      </c>
      <c r="H6" s="73" t="s">
        <v>9</v>
      </c>
      <c r="I6" s="73" t="s">
        <v>9</v>
      </c>
      <c r="J6" s="73" t="s">
        <v>9</v>
      </c>
      <c r="K6" s="73" t="s">
        <v>9</v>
      </c>
      <c r="L6" s="25" t="str">
        <f t="shared" si="0"/>
        <v>Gestão</v>
      </c>
      <c r="M6" s="25" t="str">
        <f t="shared" si="0"/>
        <v>Informação</v>
      </c>
      <c r="N6" s="25" t="str">
        <f t="shared" si="1"/>
        <v>Contêineres</v>
      </c>
      <c r="O6" s="25" t="str">
        <f t="shared" si="1"/>
        <v>Requisito Sistemas</v>
      </c>
      <c r="P6" s="21" t="s">
        <v>589</v>
      </c>
      <c r="Q6" s="21" t="s">
        <v>526</v>
      </c>
      <c r="R6" s="21" t="s">
        <v>9</v>
      </c>
      <c r="S6" s="21" t="str">
        <f t="shared" si="2"/>
        <v>Gestão</v>
      </c>
      <c r="T6" s="21" t="str">
        <f t="shared" si="2"/>
        <v>Informação</v>
      </c>
      <c r="U6" s="21" t="str">
        <f t="shared" si="2"/>
        <v>Contêineres</v>
      </c>
      <c r="V6" s="21" t="s">
        <v>527</v>
      </c>
      <c r="W6" s="74" t="str">
        <f t="shared" si="3"/>
        <v>Key-TUB-6</v>
      </c>
      <c r="X6" s="21" t="s">
        <v>9</v>
      </c>
      <c r="Y6" s="21" t="s">
        <v>9</v>
      </c>
      <c r="Z6" s="21" t="s">
        <v>9</v>
      </c>
      <c r="AA6" s="21" t="str">
        <f t="shared" si="4"/>
        <v>Defines an information container in accordance with the NBR 19650-1 standard. Building Systems Requirements for the Project.</v>
      </c>
    </row>
    <row r="7" spans="1:27" ht="6.65" customHeight="1" x14ac:dyDescent="0.4">
      <c r="A7" s="72">
        <v>7</v>
      </c>
      <c r="B7" s="1" t="s">
        <v>838</v>
      </c>
      <c r="C7" s="1" t="s">
        <v>515</v>
      </c>
      <c r="D7" s="1" t="s">
        <v>518</v>
      </c>
      <c r="E7" s="1" t="s">
        <v>349</v>
      </c>
      <c r="F7" s="24" t="s">
        <v>508</v>
      </c>
      <c r="G7" s="73" t="s">
        <v>9</v>
      </c>
      <c r="H7" s="73" t="s">
        <v>9</v>
      </c>
      <c r="I7" s="73" t="s">
        <v>9</v>
      </c>
      <c r="J7" s="73" t="s">
        <v>9</v>
      </c>
      <c r="K7" s="73" t="s">
        <v>9</v>
      </c>
      <c r="L7" s="25" t="str">
        <f t="shared" ref="L7:O21" si="5">SUBSTITUTE(CONCATENATE("", C7), ".", " ")</f>
        <v>De Tubulações</v>
      </c>
      <c r="M7" s="25" t="str">
        <f t="shared" si="5"/>
        <v>Materialidades</v>
      </c>
      <c r="N7" s="25" t="str">
        <f t="shared" si="5"/>
        <v>Materiais</v>
      </c>
      <c r="O7" s="25" t="str">
        <f t="shared" si="5"/>
        <v>Tubo de FoFo</v>
      </c>
      <c r="P7" s="76" t="s">
        <v>283</v>
      </c>
      <c r="Q7" s="21" t="s">
        <v>590</v>
      </c>
      <c r="R7" s="21" t="s">
        <v>9</v>
      </c>
      <c r="S7" s="21" t="str">
        <f t="shared" ref="S7:U90" si="6">SUBSTITUTE(C7, ".", " ")</f>
        <v>De Tubulações</v>
      </c>
      <c r="T7" s="21" t="str">
        <f t="shared" si="6"/>
        <v>Materialidades</v>
      </c>
      <c r="U7" s="21" t="str">
        <f t="shared" si="6"/>
        <v>Materiais</v>
      </c>
      <c r="V7" s="21" t="s">
        <v>527</v>
      </c>
      <c r="W7" s="74" t="str">
        <f t="shared" si="3"/>
        <v>Key-TUB-7</v>
      </c>
      <c r="X7" s="21" t="s">
        <v>528</v>
      </c>
      <c r="Y7" s="21" t="s">
        <v>529</v>
      </c>
      <c r="Z7" s="21" t="s">
        <v>576</v>
      </c>
      <c r="AA7" s="21" t="s">
        <v>708</v>
      </c>
    </row>
    <row r="8" spans="1:27" ht="6.65" customHeight="1" x14ac:dyDescent="0.4">
      <c r="A8" s="72">
        <v>8</v>
      </c>
      <c r="B8" s="1" t="s">
        <v>838</v>
      </c>
      <c r="C8" s="1" t="s">
        <v>515</v>
      </c>
      <c r="D8" s="1" t="s">
        <v>518</v>
      </c>
      <c r="E8" s="1" t="s">
        <v>349</v>
      </c>
      <c r="F8" s="24" t="s">
        <v>509</v>
      </c>
      <c r="G8" s="73" t="s">
        <v>9</v>
      </c>
      <c r="H8" s="73" t="s">
        <v>9</v>
      </c>
      <c r="I8" s="73" t="s">
        <v>9</v>
      </c>
      <c r="J8" s="73" t="s">
        <v>9</v>
      </c>
      <c r="K8" s="73" t="s">
        <v>9</v>
      </c>
      <c r="L8" s="25" t="str">
        <f t="shared" si="5"/>
        <v>De Tubulações</v>
      </c>
      <c r="M8" s="25" t="str">
        <f t="shared" si="5"/>
        <v>Materialidades</v>
      </c>
      <c r="N8" s="25" t="str">
        <f t="shared" si="5"/>
        <v>Materiais</v>
      </c>
      <c r="O8" s="25" t="str">
        <f t="shared" si="5"/>
        <v>Tubo de PVC</v>
      </c>
      <c r="P8" s="76" t="s">
        <v>285</v>
      </c>
      <c r="Q8" s="21" t="s">
        <v>591</v>
      </c>
      <c r="R8" s="21" t="s">
        <v>9</v>
      </c>
      <c r="S8" s="21" t="str">
        <f t="shared" si="6"/>
        <v>De Tubulações</v>
      </c>
      <c r="T8" s="21" t="str">
        <f t="shared" si="6"/>
        <v>Materialidades</v>
      </c>
      <c r="U8" s="21" t="str">
        <f t="shared" si="6"/>
        <v>Materiais</v>
      </c>
      <c r="V8" s="21" t="s">
        <v>527</v>
      </c>
      <c r="W8" s="74" t="str">
        <f t="shared" si="3"/>
        <v>Key-TUB-8</v>
      </c>
      <c r="X8" s="21" t="s">
        <v>528</v>
      </c>
      <c r="Y8" s="21" t="s">
        <v>529</v>
      </c>
      <c r="Z8" s="21" t="s">
        <v>575</v>
      </c>
      <c r="AA8" s="21" t="s">
        <v>709</v>
      </c>
    </row>
    <row r="9" spans="1:27" ht="6.65" customHeight="1" x14ac:dyDescent="0.4">
      <c r="A9" s="72">
        <v>9</v>
      </c>
      <c r="B9" s="1" t="s">
        <v>838</v>
      </c>
      <c r="C9" s="1" t="s">
        <v>515</v>
      </c>
      <c r="D9" s="1" t="s">
        <v>518</v>
      </c>
      <c r="E9" s="1" t="s">
        <v>349</v>
      </c>
      <c r="F9" s="24" t="s">
        <v>514</v>
      </c>
      <c r="G9" s="73" t="s">
        <v>9</v>
      </c>
      <c r="H9" s="73" t="s">
        <v>9</v>
      </c>
      <c r="I9" s="73" t="s">
        <v>9</v>
      </c>
      <c r="J9" s="73" t="s">
        <v>9</v>
      </c>
      <c r="K9" s="73" t="s">
        <v>9</v>
      </c>
      <c r="L9" s="25" t="str">
        <f t="shared" si="5"/>
        <v>De Tubulações</v>
      </c>
      <c r="M9" s="25" t="str">
        <f t="shared" si="5"/>
        <v>Materialidades</v>
      </c>
      <c r="N9" s="25" t="str">
        <f t="shared" si="5"/>
        <v>Materiais</v>
      </c>
      <c r="O9" s="25" t="str">
        <f t="shared" si="5"/>
        <v>Tubo de PVCO</v>
      </c>
      <c r="P9" s="76" t="s">
        <v>302</v>
      </c>
      <c r="Q9" s="21" t="s">
        <v>592</v>
      </c>
      <c r="R9" s="21" t="s">
        <v>9</v>
      </c>
      <c r="S9" s="21" t="str">
        <f t="shared" si="6"/>
        <v>De Tubulações</v>
      </c>
      <c r="T9" s="21" t="str">
        <f t="shared" si="6"/>
        <v>Materialidades</v>
      </c>
      <c r="U9" s="21" t="str">
        <f t="shared" si="6"/>
        <v>Materiais</v>
      </c>
      <c r="V9" s="21" t="s">
        <v>527</v>
      </c>
      <c r="W9" s="74" t="str">
        <f t="shared" si="3"/>
        <v>Key-TUB-9</v>
      </c>
      <c r="X9" s="21" t="s">
        <v>528</v>
      </c>
      <c r="Y9" s="21" t="s">
        <v>529</v>
      </c>
      <c r="Z9" s="21" t="s">
        <v>575</v>
      </c>
      <c r="AA9" s="21" t="s">
        <v>710</v>
      </c>
    </row>
    <row r="10" spans="1:27" ht="6.65" customHeight="1" x14ac:dyDescent="0.4">
      <c r="A10" s="72">
        <v>10</v>
      </c>
      <c r="B10" s="1" t="s">
        <v>838</v>
      </c>
      <c r="C10" s="1" t="s">
        <v>515</v>
      </c>
      <c r="D10" s="1" t="s">
        <v>518</v>
      </c>
      <c r="E10" s="1" t="s">
        <v>349</v>
      </c>
      <c r="F10" s="24" t="s">
        <v>510</v>
      </c>
      <c r="G10" s="73" t="s">
        <v>9</v>
      </c>
      <c r="H10" s="73" t="s">
        <v>9</v>
      </c>
      <c r="I10" s="73" t="s">
        <v>9</v>
      </c>
      <c r="J10" s="73" t="s">
        <v>9</v>
      </c>
      <c r="K10" s="73" t="s">
        <v>9</v>
      </c>
      <c r="L10" s="25" t="str">
        <f t="shared" si="5"/>
        <v>De Tubulações</v>
      </c>
      <c r="M10" s="25" t="str">
        <f t="shared" si="5"/>
        <v>Materialidades</v>
      </c>
      <c r="N10" s="25" t="str">
        <f t="shared" si="5"/>
        <v>Materiais</v>
      </c>
      <c r="O10" s="25" t="str">
        <f t="shared" si="5"/>
        <v>Tubo de Latão</v>
      </c>
      <c r="P10" s="76" t="s">
        <v>284</v>
      </c>
      <c r="Q10" s="21" t="s">
        <v>593</v>
      </c>
      <c r="R10" s="21" t="s">
        <v>9</v>
      </c>
      <c r="S10" s="21" t="str">
        <f t="shared" si="6"/>
        <v>De Tubulações</v>
      </c>
      <c r="T10" s="21" t="str">
        <f t="shared" si="6"/>
        <v>Materialidades</v>
      </c>
      <c r="U10" s="21" t="str">
        <f t="shared" si="6"/>
        <v>Materiais</v>
      </c>
      <c r="V10" s="21" t="s">
        <v>527</v>
      </c>
      <c r="W10" s="74" t="str">
        <f t="shared" si="3"/>
        <v>Key-TUB-10</v>
      </c>
      <c r="X10" s="21" t="s">
        <v>528</v>
      </c>
      <c r="Y10" s="21" t="s">
        <v>529</v>
      </c>
      <c r="Z10" s="21" t="s">
        <v>578</v>
      </c>
      <c r="AA10" s="21" t="s">
        <v>711</v>
      </c>
    </row>
    <row r="11" spans="1:27" ht="6.65" customHeight="1" x14ac:dyDescent="0.4">
      <c r="A11" s="72">
        <v>11</v>
      </c>
      <c r="B11" s="1" t="s">
        <v>838</v>
      </c>
      <c r="C11" s="1" t="s">
        <v>515</v>
      </c>
      <c r="D11" s="1" t="s">
        <v>518</v>
      </c>
      <c r="E11" s="1" t="s">
        <v>349</v>
      </c>
      <c r="F11" s="24" t="s">
        <v>511</v>
      </c>
      <c r="G11" s="73" t="s">
        <v>9</v>
      </c>
      <c r="H11" s="73" t="s">
        <v>9</v>
      </c>
      <c r="I11" s="73" t="s">
        <v>9</v>
      </c>
      <c r="J11" s="73" t="s">
        <v>9</v>
      </c>
      <c r="K11" s="73" t="s">
        <v>9</v>
      </c>
      <c r="L11" s="25" t="str">
        <f t="shared" si="5"/>
        <v>De Tubulações</v>
      </c>
      <c r="M11" s="25" t="str">
        <f t="shared" si="5"/>
        <v>Materialidades</v>
      </c>
      <c r="N11" s="25" t="str">
        <f t="shared" si="5"/>
        <v>Materiais</v>
      </c>
      <c r="O11" s="25" t="str">
        <f t="shared" si="5"/>
        <v>Tubo de Cobre</v>
      </c>
      <c r="P11" s="76" t="s">
        <v>301</v>
      </c>
      <c r="Q11" s="21" t="s">
        <v>594</v>
      </c>
      <c r="R11" s="21" t="s">
        <v>9</v>
      </c>
      <c r="S11" s="21" t="str">
        <f t="shared" si="6"/>
        <v>De Tubulações</v>
      </c>
      <c r="T11" s="21" t="str">
        <f t="shared" si="6"/>
        <v>Materialidades</v>
      </c>
      <c r="U11" s="21" t="str">
        <f t="shared" si="6"/>
        <v>Materiais</v>
      </c>
      <c r="V11" s="21" t="s">
        <v>527</v>
      </c>
      <c r="W11" s="74" t="str">
        <f t="shared" si="3"/>
        <v>Key-TUB-11</v>
      </c>
      <c r="X11" s="21" t="s">
        <v>528</v>
      </c>
      <c r="Y11" s="21" t="s">
        <v>529</v>
      </c>
      <c r="Z11" s="21" t="s">
        <v>579</v>
      </c>
      <c r="AA11" s="21" t="s">
        <v>712</v>
      </c>
    </row>
    <row r="12" spans="1:27" ht="6.65" customHeight="1" x14ac:dyDescent="0.4">
      <c r="A12" s="72">
        <v>12</v>
      </c>
      <c r="B12" s="1" t="s">
        <v>838</v>
      </c>
      <c r="C12" s="1" t="s">
        <v>515</v>
      </c>
      <c r="D12" s="1" t="s">
        <v>518</v>
      </c>
      <c r="E12" s="1" t="s">
        <v>349</v>
      </c>
      <c r="F12" s="24" t="s">
        <v>512</v>
      </c>
      <c r="G12" s="73" t="s">
        <v>9</v>
      </c>
      <c r="H12" s="73" t="s">
        <v>9</v>
      </c>
      <c r="I12" s="73" t="s">
        <v>9</v>
      </c>
      <c r="J12" s="73" t="s">
        <v>9</v>
      </c>
      <c r="K12" s="73" t="s">
        <v>9</v>
      </c>
      <c r="L12" s="25" t="str">
        <f t="shared" si="5"/>
        <v>De Tubulações</v>
      </c>
      <c r="M12" s="25" t="str">
        <f t="shared" si="5"/>
        <v>Materialidades</v>
      </c>
      <c r="N12" s="25" t="str">
        <f t="shared" si="5"/>
        <v>Materiais</v>
      </c>
      <c r="O12" s="25" t="str">
        <f t="shared" si="5"/>
        <v>Tubo de PEAD</v>
      </c>
      <c r="P12" s="76" t="s">
        <v>282</v>
      </c>
      <c r="Q12" s="21" t="s">
        <v>595</v>
      </c>
      <c r="R12" s="21" t="s">
        <v>9</v>
      </c>
      <c r="S12" s="21" t="str">
        <f t="shared" si="6"/>
        <v>De Tubulações</v>
      </c>
      <c r="T12" s="21" t="str">
        <f t="shared" si="6"/>
        <v>Materialidades</v>
      </c>
      <c r="U12" s="21" t="str">
        <f t="shared" si="6"/>
        <v>Materiais</v>
      </c>
      <c r="V12" s="21" t="s">
        <v>527</v>
      </c>
      <c r="W12" s="74" t="str">
        <f t="shared" si="3"/>
        <v>Key-TUB-12</v>
      </c>
      <c r="X12" s="21" t="s">
        <v>528</v>
      </c>
      <c r="Y12" s="21" t="s">
        <v>529</v>
      </c>
      <c r="Z12" s="21" t="s">
        <v>580</v>
      </c>
      <c r="AA12" s="21" t="s">
        <v>713</v>
      </c>
    </row>
    <row r="13" spans="1:27" ht="6.65" customHeight="1" x14ac:dyDescent="0.4">
      <c r="A13" s="72">
        <v>13</v>
      </c>
      <c r="B13" s="1" t="s">
        <v>838</v>
      </c>
      <c r="C13" s="1" t="s">
        <v>515</v>
      </c>
      <c r="D13" s="1" t="s">
        <v>518</v>
      </c>
      <c r="E13" s="1" t="s">
        <v>349</v>
      </c>
      <c r="F13" s="24" t="s">
        <v>513</v>
      </c>
      <c r="G13" s="73" t="s">
        <v>9</v>
      </c>
      <c r="H13" s="73" t="s">
        <v>9</v>
      </c>
      <c r="I13" s="73" t="s">
        <v>9</v>
      </c>
      <c r="J13" s="73" t="s">
        <v>9</v>
      </c>
      <c r="K13" s="73" t="s">
        <v>9</v>
      </c>
      <c r="L13" s="25" t="str">
        <f t="shared" si="5"/>
        <v>De Tubulações</v>
      </c>
      <c r="M13" s="25" t="str">
        <f t="shared" si="5"/>
        <v>Materialidades</v>
      </c>
      <c r="N13" s="25" t="str">
        <f t="shared" si="5"/>
        <v>Materiais</v>
      </c>
      <c r="O13" s="25" t="str">
        <f t="shared" si="5"/>
        <v>Tubo de Aço</v>
      </c>
      <c r="P13" s="76" t="s">
        <v>348</v>
      </c>
      <c r="Q13" s="21" t="s">
        <v>596</v>
      </c>
      <c r="R13" s="21" t="s">
        <v>9</v>
      </c>
      <c r="S13" s="21" t="str">
        <f t="shared" si="6"/>
        <v>De Tubulações</v>
      </c>
      <c r="T13" s="21" t="str">
        <f t="shared" si="6"/>
        <v>Materialidades</v>
      </c>
      <c r="U13" s="21" t="str">
        <f t="shared" si="6"/>
        <v>Materiais</v>
      </c>
      <c r="V13" s="21" t="s">
        <v>527</v>
      </c>
      <c r="W13" s="74" t="str">
        <f t="shared" si="3"/>
        <v>Key-TUB-13</v>
      </c>
      <c r="X13" s="21" t="s">
        <v>528</v>
      </c>
      <c r="Y13" s="21" t="s">
        <v>529</v>
      </c>
      <c r="Z13" s="21" t="s">
        <v>577</v>
      </c>
      <c r="AA13" s="21" t="s">
        <v>714</v>
      </c>
    </row>
    <row r="14" spans="1:27" ht="6.65" customHeight="1" x14ac:dyDescent="0.4">
      <c r="A14" s="72">
        <v>14</v>
      </c>
      <c r="B14" s="1" t="s">
        <v>838</v>
      </c>
      <c r="C14" s="1" t="s">
        <v>402</v>
      </c>
      <c r="D14" s="1" t="s">
        <v>363</v>
      </c>
      <c r="E14" s="1" t="s">
        <v>342</v>
      </c>
      <c r="F14" s="24" t="s">
        <v>337</v>
      </c>
      <c r="G14" s="73" t="s">
        <v>9</v>
      </c>
      <c r="H14" s="73" t="s">
        <v>9</v>
      </c>
      <c r="I14" s="73" t="s">
        <v>9</v>
      </c>
      <c r="J14" s="73" t="s">
        <v>9</v>
      </c>
      <c r="K14" s="73" t="s">
        <v>9</v>
      </c>
      <c r="L14" s="25" t="str">
        <f t="shared" si="5"/>
        <v>Redes Urbanas</v>
      </c>
      <c r="M14" s="25" t="str">
        <f t="shared" si="5"/>
        <v>Redes Fluídos</v>
      </c>
      <c r="N14" s="25" t="str">
        <f t="shared" si="5"/>
        <v>Redes Fornecedoras</v>
      </c>
      <c r="O14" s="25" t="str">
        <f t="shared" si="5"/>
        <v>Rede de Agua</v>
      </c>
      <c r="P14" s="21" t="s">
        <v>312</v>
      </c>
      <c r="Q14" s="21" t="s">
        <v>597</v>
      </c>
      <c r="R14" s="21" t="s">
        <v>9</v>
      </c>
      <c r="S14" s="21" t="str">
        <f t="shared" si="6"/>
        <v>Redes Urbanas</v>
      </c>
      <c r="T14" s="21" t="str">
        <f t="shared" si="6"/>
        <v>Redes Fluídos</v>
      </c>
      <c r="U14" s="21" t="str">
        <f t="shared" si="6"/>
        <v>Redes Fornecedoras</v>
      </c>
      <c r="V14" s="21" t="s">
        <v>527</v>
      </c>
      <c r="W14" s="74" t="str">
        <f t="shared" si="3"/>
        <v>Key-TUB-14</v>
      </c>
      <c r="X14" s="21" t="s">
        <v>530</v>
      </c>
      <c r="Y14" s="71" t="s">
        <v>531</v>
      </c>
      <c r="Z14" s="21" t="s">
        <v>532</v>
      </c>
      <c r="AA14" s="21" t="s">
        <v>715</v>
      </c>
    </row>
    <row r="15" spans="1:27" ht="6.65" customHeight="1" x14ac:dyDescent="0.4">
      <c r="A15" s="72">
        <v>15</v>
      </c>
      <c r="B15" s="1" t="s">
        <v>838</v>
      </c>
      <c r="C15" s="1" t="s">
        <v>402</v>
      </c>
      <c r="D15" s="1" t="s">
        <v>363</v>
      </c>
      <c r="E15" s="1" t="s">
        <v>342</v>
      </c>
      <c r="F15" s="24" t="s">
        <v>313</v>
      </c>
      <c r="G15" s="73" t="s">
        <v>9</v>
      </c>
      <c r="H15" s="73" t="s">
        <v>9</v>
      </c>
      <c r="I15" s="73" t="s">
        <v>9</v>
      </c>
      <c r="J15" s="73" t="s">
        <v>9</v>
      </c>
      <c r="K15" s="73" t="s">
        <v>9</v>
      </c>
      <c r="L15" s="25" t="str">
        <f t="shared" si="5"/>
        <v>Redes Urbanas</v>
      </c>
      <c r="M15" s="25" t="str">
        <f t="shared" si="5"/>
        <v>Redes Fluídos</v>
      </c>
      <c r="N15" s="25" t="str">
        <f t="shared" si="5"/>
        <v>Redes Fornecedoras</v>
      </c>
      <c r="O15" s="25" t="str">
        <f t="shared" si="5"/>
        <v>Rede de Substâncias</v>
      </c>
      <c r="P15" s="21" t="s">
        <v>315</v>
      </c>
      <c r="Q15" s="21" t="s">
        <v>598</v>
      </c>
      <c r="R15" s="21" t="s">
        <v>9</v>
      </c>
      <c r="S15" s="21" t="str">
        <f t="shared" si="6"/>
        <v>Redes Urbanas</v>
      </c>
      <c r="T15" s="21" t="str">
        <f t="shared" si="6"/>
        <v>Redes Fluídos</v>
      </c>
      <c r="U15" s="21" t="str">
        <f t="shared" si="6"/>
        <v>Redes Fornecedoras</v>
      </c>
      <c r="V15" s="21" t="s">
        <v>527</v>
      </c>
      <c r="W15" s="74" t="str">
        <f t="shared" si="3"/>
        <v>Key-TUB-15</v>
      </c>
      <c r="X15" s="21" t="s">
        <v>530</v>
      </c>
      <c r="Y15" s="71" t="s">
        <v>533</v>
      </c>
      <c r="Z15" s="21" t="s">
        <v>532</v>
      </c>
      <c r="AA15" s="21" t="s">
        <v>716</v>
      </c>
    </row>
    <row r="16" spans="1:27" ht="6.65" customHeight="1" x14ac:dyDescent="0.4">
      <c r="A16" s="72">
        <v>16</v>
      </c>
      <c r="B16" s="1" t="s">
        <v>838</v>
      </c>
      <c r="C16" s="1" t="s">
        <v>402</v>
      </c>
      <c r="D16" s="1" t="s">
        <v>363</v>
      </c>
      <c r="E16" s="1" t="s">
        <v>342</v>
      </c>
      <c r="F16" s="1" t="s">
        <v>320</v>
      </c>
      <c r="G16" s="73" t="s">
        <v>9</v>
      </c>
      <c r="H16" s="73" t="s">
        <v>9</v>
      </c>
      <c r="I16" s="73" t="s">
        <v>9</v>
      </c>
      <c r="J16" s="73" t="s">
        <v>9</v>
      </c>
      <c r="K16" s="73" t="s">
        <v>9</v>
      </c>
      <c r="L16" s="25" t="str">
        <f t="shared" si="5"/>
        <v>Redes Urbanas</v>
      </c>
      <c r="M16" s="25" t="str">
        <f t="shared" si="5"/>
        <v>Redes Fluídos</v>
      </c>
      <c r="N16" s="25" t="str">
        <f t="shared" si="5"/>
        <v>Redes Fornecedoras</v>
      </c>
      <c r="O16" s="25" t="str">
        <f t="shared" si="5"/>
        <v>Rede de Combustíveis</v>
      </c>
      <c r="P16" s="21" t="s">
        <v>318</v>
      </c>
      <c r="Q16" s="21" t="s">
        <v>599</v>
      </c>
      <c r="R16" s="21" t="s">
        <v>9</v>
      </c>
      <c r="S16" s="21" t="str">
        <f t="shared" si="6"/>
        <v>Redes Urbanas</v>
      </c>
      <c r="T16" s="21" t="str">
        <f t="shared" si="6"/>
        <v>Redes Fluídos</v>
      </c>
      <c r="U16" s="21" t="str">
        <f t="shared" si="6"/>
        <v>Redes Fornecedoras</v>
      </c>
      <c r="V16" s="21" t="s">
        <v>527</v>
      </c>
      <c r="W16" s="74" t="str">
        <f t="shared" si="3"/>
        <v>Key-TUB-16</v>
      </c>
      <c r="X16" s="21" t="s">
        <v>530</v>
      </c>
      <c r="Y16" s="71" t="s">
        <v>534</v>
      </c>
      <c r="Z16" s="21" t="s">
        <v>532</v>
      </c>
      <c r="AA16" s="21" t="s">
        <v>717</v>
      </c>
    </row>
    <row r="17" spans="1:27" ht="6.65" customHeight="1" x14ac:dyDescent="0.4">
      <c r="A17" s="72">
        <v>17</v>
      </c>
      <c r="B17" s="1" t="s">
        <v>838</v>
      </c>
      <c r="C17" s="1" t="s">
        <v>402</v>
      </c>
      <c r="D17" s="1" t="s">
        <v>363</v>
      </c>
      <c r="E17" s="1" t="s">
        <v>342</v>
      </c>
      <c r="F17" s="24" t="s">
        <v>340</v>
      </c>
      <c r="G17" s="73" t="s">
        <v>9</v>
      </c>
      <c r="H17" s="73" t="s">
        <v>9</v>
      </c>
      <c r="I17" s="73" t="s">
        <v>9</v>
      </c>
      <c r="J17" s="73" t="s">
        <v>9</v>
      </c>
      <c r="K17" s="73" t="s">
        <v>9</v>
      </c>
      <c r="L17" s="25" t="str">
        <f t="shared" si="5"/>
        <v>Redes Urbanas</v>
      </c>
      <c r="M17" s="25" t="str">
        <f t="shared" si="5"/>
        <v>Redes Fluídos</v>
      </c>
      <c r="N17" s="25" t="str">
        <f t="shared" si="5"/>
        <v>Redes Fornecedoras</v>
      </c>
      <c r="O17" s="25" t="str">
        <f t="shared" si="5"/>
        <v>Rede de Operacionalização</v>
      </c>
      <c r="P17" s="21" t="s">
        <v>317</v>
      </c>
      <c r="Q17" s="21" t="s">
        <v>600</v>
      </c>
      <c r="R17" s="21" t="s">
        <v>9</v>
      </c>
      <c r="S17" s="21" t="str">
        <f t="shared" si="6"/>
        <v>Redes Urbanas</v>
      </c>
      <c r="T17" s="21" t="str">
        <f t="shared" si="6"/>
        <v>Redes Fluídos</v>
      </c>
      <c r="U17" s="21" t="str">
        <f t="shared" si="6"/>
        <v>Redes Fornecedoras</v>
      </c>
      <c r="V17" s="21" t="s">
        <v>527</v>
      </c>
      <c r="W17" s="74" t="str">
        <f t="shared" si="3"/>
        <v>Key-TUB-17</v>
      </c>
      <c r="X17" s="21" t="s">
        <v>530</v>
      </c>
      <c r="Y17" s="71" t="s">
        <v>535</v>
      </c>
      <c r="Z17" s="21" t="s">
        <v>532</v>
      </c>
      <c r="AA17" s="21" t="s">
        <v>718</v>
      </c>
    </row>
    <row r="18" spans="1:27" ht="6.65" customHeight="1" x14ac:dyDescent="0.4">
      <c r="A18" s="72">
        <v>18</v>
      </c>
      <c r="B18" s="1" t="s">
        <v>838</v>
      </c>
      <c r="C18" s="1" t="s">
        <v>402</v>
      </c>
      <c r="D18" s="1" t="s">
        <v>363</v>
      </c>
      <c r="E18" s="1" t="s">
        <v>343</v>
      </c>
      <c r="F18" s="24" t="s">
        <v>339</v>
      </c>
      <c r="G18" s="73" t="s">
        <v>9</v>
      </c>
      <c r="H18" s="73" t="s">
        <v>9</v>
      </c>
      <c r="I18" s="73" t="s">
        <v>9</v>
      </c>
      <c r="J18" s="73" t="s">
        <v>9</v>
      </c>
      <c r="K18" s="73" t="s">
        <v>9</v>
      </c>
      <c r="L18" s="25" t="str">
        <f t="shared" si="5"/>
        <v>Redes Urbanas</v>
      </c>
      <c r="M18" s="25" t="str">
        <f t="shared" si="5"/>
        <v>Redes Fluídos</v>
      </c>
      <c r="N18" s="25" t="str">
        <f t="shared" si="5"/>
        <v>Redes Coletoras</v>
      </c>
      <c r="O18" s="25" t="str">
        <f t="shared" si="5"/>
        <v>Rede de Tormenta</v>
      </c>
      <c r="P18" s="21" t="s">
        <v>310</v>
      </c>
      <c r="Q18" s="21" t="s">
        <v>601</v>
      </c>
      <c r="R18" s="21" t="s">
        <v>9</v>
      </c>
      <c r="S18" s="21" t="str">
        <f t="shared" si="6"/>
        <v>Redes Urbanas</v>
      </c>
      <c r="T18" s="21" t="str">
        <f t="shared" si="6"/>
        <v>Redes Fluídos</v>
      </c>
      <c r="U18" s="21" t="str">
        <f t="shared" si="6"/>
        <v>Redes Coletoras</v>
      </c>
      <c r="V18" s="21" t="s">
        <v>527</v>
      </c>
      <c r="W18" s="74" t="str">
        <f t="shared" si="3"/>
        <v>Key-TUB-18</v>
      </c>
      <c r="X18" s="21" t="s">
        <v>530</v>
      </c>
      <c r="Y18" s="71" t="s">
        <v>536</v>
      </c>
      <c r="Z18" s="21" t="s">
        <v>532</v>
      </c>
      <c r="AA18" s="21" t="s">
        <v>719</v>
      </c>
    </row>
    <row r="19" spans="1:27" ht="6.65" customHeight="1" x14ac:dyDescent="0.4">
      <c r="A19" s="72">
        <v>19</v>
      </c>
      <c r="B19" s="1" t="s">
        <v>838</v>
      </c>
      <c r="C19" s="1" t="s">
        <v>402</v>
      </c>
      <c r="D19" s="1" t="s">
        <v>363</v>
      </c>
      <c r="E19" s="1" t="s">
        <v>343</v>
      </c>
      <c r="F19" s="24" t="s">
        <v>375</v>
      </c>
      <c r="G19" s="73" t="s">
        <v>9</v>
      </c>
      <c r="H19" s="73" t="s">
        <v>9</v>
      </c>
      <c r="I19" s="73" t="s">
        <v>9</v>
      </c>
      <c r="J19" s="73" t="s">
        <v>9</v>
      </c>
      <c r="K19" s="73" t="s">
        <v>9</v>
      </c>
      <c r="L19" s="25" t="str">
        <f t="shared" si="5"/>
        <v>Redes Urbanas</v>
      </c>
      <c r="M19" s="25" t="str">
        <f t="shared" si="5"/>
        <v>Redes Fluídos</v>
      </c>
      <c r="N19" s="25" t="str">
        <f t="shared" si="5"/>
        <v>Redes Coletoras</v>
      </c>
      <c r="O19" s="25" t="str">
        <f t="shared" si="5"/>
        <v>Rede de Agua Residual</v>
      </c>
      <c r="P19" s="21" t="s">
        <v>311</v>
      </c>
      <c r="Q19" s="21" t="s">
        <v>602</v>
      </c>
      <c r="R19" s="21" t="s">
        <v>9</v>
      </c>
      <c r="S19" s="21" t="str">
        <f t="shared" si="6"/>
        <v>Redes Urbanas</v>
      </c>
      <c r="T19" s="21" t="str">
        <f t="shared" si="6"/>
        <v>Redes Fluídos</v>
      </c>
      <c r="U19" s="21" t="str">
        <f t="shared" si="6"/>
        <v>Redes Coletoras</v>
      </c>
      <c r="V19" s="21" t="s">
        <v>527</v>
      </c>
      <c r="W19" s="74" t="str">
        <f t="shared" si="3"/>
        <v>Key-TUB-19</v>
      </c>
      <c r="X19" s="21" t="s">
        <v>530</v>
      </c>
      <c r="Y19" s="71" t="s">
        <v>537</v>
      </c>
      <c r="Z19" s="21" t="s">
        <v>532</v>
      </c>
      <c r="AA19" s="21" t="s">
        <v>720</v>
      </c>
    </row>
    <row r="20" spans="1:27" ht="6.65" customHeight="1" x14ac:dyDescent="0.4">
      <c r="A20" s="72">
        <v>20</v>
      </c>
      <c r="B20" s="1" t="s">
        <v>838</v>
      </c>
      <c r="C20" s="1" t="s">
        <v>402</v>
      </c>
      <c r="D20" s="1" t="s">
        <v>363</v>
      </c>
      <c r="E20" s="1" t="s">
        <v>343</v>
      </c>
      <c r="F20" s="24" t="s">
        <v>338</v>
      </c>
      <c r="G20" s="73" t="s">
        <v>9</v>
      </c>
      <c r="H20" s="73" t="s">
        <v>9</v>
      </c>
      <c r="I20" s="73" t="s">
        <v>9</v>
      </c>
      <c r="J20" s="73" t="s">
        <v>9</v>
      </c>
      <c r="K20" s="73" t="s">
        <v>9</v>
      </c>
      <c r="L20" s="25" t="str">
        <f t="shared" si="5"/>
        <v>Redes Urbanas</v>
      </c>
      <c r="M20" s="25" t="str">
        <f t="shared" si="5"/>
        <v>Redes Fluídos</v>
      </c>
      <c r="N20" s="25" t="str">
        <f t="shared" si="5"/>
        <v>Redes Coletoras</v>
      </c>
      <c r="O20" s="25" t="str">
        <f t="shared" si="5"/>
        <v>Rede de Esgoto</v>
      </c>
      <c r="P20" s="21" t="s">
        <v>309</v>
      </c>
      <c r="Q20" s="21" t="s">
        <v>603</v>
      </c>
      <c r="R20" s="21" t="s">
        <v>9</v>
      </c>
      <c r="S20" s="21" t="str">
        <f t="shared" si="6"/>
        <v>Redes Urbanas</v>
      </c>
      <c r="T20" s="21" t="str">
        <f t="shared" si="6"/>
        <v>Redes Fluídos</v>
      </c>
      <c r="U20" s="21" t="str">
        <f t="shared" si="6"/>
        <v>Redes Coletoras</v>
      </c>
      <c r="V20" s="21" t="s">
        <v>527</v>
      </c>
      <c r="W20" s="74" t="str">
        <f t="shared" si="3"/>
        <v>Key-TUB-20</v>
      </c>
      <c r="X20" s="21" t="s">
        <v>530</v>
      </c>
      <c r="Y20" s="71" t="s">
        <v>538</v>
      </c>
      <c r="Z20" s="21" t="s">
        <v>532</v>
      </c>
      <c r="AA20" s="21" t="s">
        <v>721</v>
      </c>
    </row>
    <row r="21" spans="1:27" ht="6.65" customHeight="1" x14ac:dyDescent="0.4">
      <c r="A21" s="72">
        <v>21</v>
      </c>
      <c r="B21" s="1" t="s">
        <v>838</v>
      </c>
      <c r="C21" s="1" t="s">
        <v>402</v>
      </c>
      <c r="D21" s="1" t="s">
        <v>363</v>
      </c>
      <c r="E21" s="1" t="s">
        <v>343</v>
      </c>
      <c r="F21" s="1" t="s">
        <v>314</v>
      </c>
      <c r="G21" s="73" t="s">
        <v>9</v>
      </c>
      <c r="H21" s="73" t="s">
        <v>9</v>
      </c>
      <c r="I21" s="73" t="s">
        <v>9</v>
      </c>
      <c r="J21" s="73" t="s">
        <v>9</v>
      </c>
      <c r="K21" s="73" t="s">
        <v>9</v>
      </c>
      <c r="L21" s="25" t="str">
        <f t="shared" si="5"/>
        <v>Redes Urbanas</v>
      </c>
      <c r="M21" s="25" t="str">
        <f t="shared" si="5"/>
        <v>Redes Fluídos</v>
      </c>
      <c r="N21" s="25" t="str">
        <f t="shared" si="5"/>
        <v>Redes Coletoras</v>
      </c>
      <c r="O21" s="25" t="str">
        <f t="shared" si="5"/>
        <v>Rede de Descartes</v>
      </c>
      <c r="P21" s="21" t="s">
        <v>316</v>
      </c>
      <c r="Q21" s="21" t="s">
        <v>604</v>
      </c>
      <c r="R21" s="21" t="s">
        <v>9</v>
      </c>
      <c r="S21" s="21" t="str">
        <f t="shared" si="6"/>
        <v>Redes Urbanas</v>
      </c>
      <c r="T21" s="21" t="str">
        <f t="shared" si="6"/>
        <v>Redes Fluídos</v>
      </c>
      <c r="U21" s="21" t="str">
        <f t="shared" si="6"/>
        <v>Redes Coletoras</v>
      </c>
      <c r="V21" s="21" t="s">
        <v>527</v>
      </c>
      <c r="W21" s="74" t="str">
        <f t="shared" si="3"/>
        <v>Key-TUB-21</v>
      </c>
      <c r="X21" s="21" t="s">
        <v>530</v>
      </c>
      <c r="Y21" s="71" t="s">
        <v>539</v>
      </c>
      <c r="Z21" s="21" t="s">
        <v>532</v>
      </c>
      <c r="AA21" s="21" t="s">
        <v>722</v>
      </c>
    </row>
    <row r="22" spans="1:27" ht="6.65" customHeight="1" x14ac:dyDescent="0.4">
      <c r="A22" s="72">
        <v>22</v>
      </c>
      <c r="B22" s="1" t="s">
        <v>838</v>
      </c>
      <c r="C22" s="1" t="s">
        <v>402</v>
      </c>
      <c r="D22" s="1" t="s">
        <v>363</v>
      </c>
      <c r="E22" s="1" t="s">
        <v>343</v>
      </c>
      <c r="F22" s="1" t="s">
        <v>341</v>
      </c>
      <c r="G22" s="73" t="s">
        <v>9</v>
      </c>
      <c r="H22" s="73" t="s">
        <v>9</v>
      </c>
      <c r="I22" s="73" t="s">
        <v>9</v>
      </c>
      <c r="J22" s="73" t="s">
        <v>9</v>
      </c>
      <c r="K22" s="73" t="s">
        <v>9</v>
      </c>
      <c r="L22" s="25" t="str">
        <f t="shared" ref="L22:O37" si="7">SUBSTITUTE(CONCATENATE("", C22), ".", " ")</f>
        <v>Redes Urbanas</v>
      </c>
      <c r="M22" s="25" t="str">
        <f t="shared" si="7"/>
        <v>Redes Fluídos</v>
      </c>
      <c r="N22" s="25" t="str">
        <f t="shared" si="7"/>
        <v>Redes Coletoras</v>
      </c>
      <c r="O22" s="25" t="str">
        <f t="shared" si="7"/>
        <v>Rede de Hospitalares</v>
      </c>
      <c r="P22" s="21" t="s">
        <v>319</v>
      </c>
      <c r="Q22" s="21" t="s">
        <v>605</v>
      </c>
      <c r="R22" s="21" t="s">
        <v>9</v>
      </c>
      <c r="S22" s="21" t="str">
        <f t="shared" si="6"/>
        <v>Redes Urbanas</v>
      </c>
      <c r="T22" s="21" t="str">
        <f t="shared" si="6"/>
        <v>Redes Fluídos</v>
      </c>
      <c r="U22" s="21" t="str">
        <f t="shared" si="6"/>
        <v>Redes Coletoras</v>
      </c>
      <c r="V22" s="21" t="s">
        <v>527</v>
      </c>
      <c r="W22" s="74" t="str">
        <f t="shared" si="3"/>
        <v>Key-TUB-22</v>
      </c>
      <c r="X22" s="21" t="s">
        <v>530</v>
      </c>
      <c r="Y22" s="71" t="s">
        <v>540</v>
      </c>
      <c r="Z22" s="21" t="s">
        <v>532</v>
      </c>
      <c r="AA22" s="21" t="s">
        <v>723</v>
      </c>
    </row>
    <row r="23" spans="1:27" ht="6.65" customHeight="1" x14ac:dyDescent="0.4">
      <c r="A23" s="72">
        <v>23</v>
      </c>
      <c r="B23" s="1" t="s">
        <v>838</v>
      </c>
      <c r="C23" s="1" t="s">
        <v>402</v>
      </c>
      <c r="D23" s="1" t="s">
        <v>350</v>
      </c>
      <c r="E23" s="1" t="s">
        <v>352</v>
      </c>
      <c r="F23" s="1" t="s">
        <v>321</v>
      </c>
      <c r="G23" s="73" t="s">
        <v>9</v>
      </c>
      <c r="H23" s="73" t="s">
        <v>9</v>
      </c>
      <c r="I23" s="73" t="s">
        <v>9</v>
      </c>
      <c r="J23" s="73" t="s">
        <v>9</v>
      </c>
      <c r="K23" s="73" t="s">
        <v>9</v>
      </c>
      <c r="L23" s="25" t="str">
        <f t="shared" si="7"/>
        <v>Redes Urbanas</v>
      </c>
      <c r="M23" s="25" t="str">
        <f t="shared" si="7"/>
        <v>Redes Elétricas</v>
      </c>
      <c r="N23" s="25" t="str">
        <f t="shared" si="7"/>
        <v>Redes de Transmissão</v>
      </c>
      <c r="O23" s="25" t="str">
        <f t="shared" si="7"/>
        <v>Rede de Alta Tensão</v>
      </c>
      <c r="P23" s="21" t="s">
        <v>361</v>
      </c>
      <c r="Q23" s="21" t="s">
        <v>606</v>
      </c>
      <c r="R23" s="21" t="s">
        <v>9</v>
      </c>
      <c r="S23" s="21" t="str">
        <f t="shared" si="6"/>
        <v>Redes Urbanas</v>
      </c>
      <c r="T23" s="21" t="str">
        <f t="shared" si="6"/>
        <v>Redes Elétricas</v>
      </c>
      <c r="U23" s="21" t="str">
        <f t="shared" si="6"/>
        <v>Redes de Transmissão</v>
      </c>
      <c r="V23" s="21" t="s">
        <v>527</v>
      </c>
      <c r="W23" s="74" t="str">
        <f t="shared" si="3"/>
        <v>Key-TUB-23</v>
      </c>
      <c r="X23" s="21" t="s">
        <v>541</v>
      </c>
      <c r="Y23" s="71" t="s">
        <v>542</v>
      </c>
      <c r="Z23" s="21" t="s">
        <v>543</v>
      </c>
      <c r="AA23" s="21" t="s">
        <v>724</v>
      </c>
    </row>
    <row r="24" spans="1:27" ht="6.65" customHeight="1" x14ac:dyDescent="0.4">
      <c r="A24" s="72">
        <v>24</v>
      </c>
      <c r="B24" s="1" t="s">
        <v>838</v>
      </c>
      <c r="C24" s="1" t="s">
        <v>402</v>
      </c>
      <c r="D24" s="1" t="s">
        <v>350</v>
      </c>
      <c r="E24" s="1" t="s">
        <v>362</v>
      </c>
      <c r="F24" s="1" t="s">
        <v>353</v>
      </c>
      <c r="G24" s="73" t="s">
        <v>9</v>
      </c>
      <c r="H24" s="73" t="s">
        <v>9</v>
      </c>
      <c r="I24" s="73" t="s">
        <v>9</v>
      </c>
      <c r="J24" s="73" t="s">
        <v>9</v>
      </c>
      <c r="K24" s="73" t="s">
        <v>9</v>
      </c>
      <c r="L24" s="25" t="str">
        <f t="shared" si="7"/>
        <v>Redes Urbanas</v>
      </c>
      <c r="M24" s="25" t="str">
        <f t="shared" si="7"/>
        <v>Redes Elétricas</v>
      </c>
      <c r="N24" s="25" t="str">
        <f t="shared" si="7"/>
        <v>Redes de Distribuição</v>
      </c>
      <c r="O24" s="25" t="str">
        <f t="shared" si="7"/>
        <v>Rede de MT Aérea</v>
      </c>
      <c r="P24" s="21" t="s">
        <v>359</v>
      </c>
      <c r="Q24" s="21" t="s">
        <v>607</v>
      </c>
      <c r="R24" s="21" t="s">
        <v>9</v>
      </c>
      <c r="S24" s="21" t="str">
        <f t="shared" si="6"/>
        <v>Redes Urbanas</v>
      </c>
      <c r="T24" s="21" t="str">
        <f t="shared" si="6"/>
        <v>Redes Elétricas</v>
      </c>
      <c r="U24" s="21" t="str">
        <f t="shared" si="6"/>
        <v>Redes de Distribuição</v>
      </c>
      <c r="V24" s="21" t="s">
        <v>527</v>
      </c>
      <c r="W24" s="74" t="str">
        <f t="shared" si="3"/>
        <v>Key-TUB-24</v>
      </c>
      <c r="X24" s="21" t="s">
        <v>541</v>
      </c>
      <c r="Y24" s="71" t="s">
        <v>542</v>
      </c>
      <c r="Z24" s="21" t="s">
        <v>543</v>
      </c>
      <c r="AA24" s="21" t="s">
        <v>725</v>
      </c>
    </row>
    <row r="25" spans="1:27" ht="6.65" customHeight="1" x14ac:dyDescent="0.4">
      <c r="A25" s="72">
        <v>25</v>
      </c>
      <c r="B25" s="1" t="s">
        <v>838</v>
      </c>
      <c r="C25" s="1" t="s">
        <v>402</v>
      </c>
      <c r="D25" s="1" t="s">
        <v>350</v>
      </c>
      <c r="E25" s="1" t="s">
        <v>362</v>
      </c>
      <c r="F25" s="1" t="s">
        <v>354</v>
      </c>
      <c r="G25" s="73" t="s">
        <v>9</v>
      </c>
      <c r="H25" s="73" t="s">
        <v>9</v>
      </c>
      <c r="I25" s="73" t="s">
        <v>9</v>
      </c>
      <c r="J25" s="73" t="s">
        <v>9</v>
      </c>
      <c r="K25" s="73" t="s">
        <v>9</v>
      </c>
      <c r="L25" s="25" t="str">
        <f t="shared" si="7"/>
        <v>Redes Urbanas</v>
      </c>
      <c r="M25" s="25" t="str">
        <f t="shared" si="7"/>
        <v>Redes Elétricas</v>
      </c>
      <c r="N25" s="25" t="str">
        <f t="shared" si="7"/>
        <v>Redes de Distribuição</v>
      </c>
      <c r="O25" s="25" t="str">
        <f t="shared" si="7"/>
        <v>Rede de MT Subterrânea</v>
      </c>
      <c r="P25" s="21" t="s">
        <v>360</v>
      </c>
      <c r="Q25" s="21" t="s">
        <v>608</v>
      </c>
      <c r="R25" s="21" t="s">
        <v>9</v>
      </c>
      <c r="S25" s="21" t="str">
        <f t="shared" si="6"/>
        <v>Redes Urbanas</v>
      </c>
      <c r="T25" s="21" t="str">
        <f t="shared" si="6"/>
        <v>Redes Elétricas</v>
      </c>
      <c r="U25" s="21" t="str">
        <f t="shared" si="6"/>
        <v>Redes de Distribuição</v>
      </c>
      <c r="V25" s="21" t="s">
        <v>527</v>
      </c>
      <c r="W25" s="74" t="str">
        <f t="shared" si="3"/>
        <v>Key-TUB-25</v>
      </c>
      <c r="X25" s="21" t="s">
        <v>541</v>
      </c>
      <c r="Y25" s="71" t="s">
        <v>542</v>
      </c>
      <c r="Z25" s="21" t="s">
        <v>543</v>
      </c>
      <c r="AA25" s="21" t="s">
        <v>726</v>
      </c>
    </row>
    <row r="26" spans="1:27" ht="6.65" customHeight="1" x14ac:dyDescent="0.4">
      <c r="A26" s="72">
        <v>26</v>
      </c>
      <c r="B26" s="1" t="s">
        <v>838</v>
      </c>
      <c r="C26" s="1" t="s">
        <v>402</v>
      </c>
      <c r="D26" s="1" t="s">
        <v>350</v>
      </c>
      <c r="E26" s="1" t="s">
        <v>362</v>
      </c>
      <c r="F26" s="1" t="s">
        <v>356</v>
      </c>
      <c r="G26" s="73" t="s">
        <v>9</v>
      </c>
      <c r="H26" s="73" t="s">
        <v>9</v>
      </c>
      <c r="I26" s="73" t="s">
        <v>9</v>
      </c>
      <c r="J26" s="73" t="s">
        <v>9</v>
      </c>
      <c r="K26" s="73" t="s">
        <v>9</v>
      </c>
      <c r="L26" s="25" t="str">
        <f t="shared" si="7"/>
        <v>Redes Urbanas</v>
      </c>
      <c r="M26" s="25" t="str">
        <f t="shared" si="7"/>
        <v>Redes Elétricas</v>
      </c>
      <c r="N26" s="25" t="str">
        <f t="shared" si="7"/>
        <v>Redes de Distribuição</v>
      </c>
      <c r="O26" s="25" t="str">
        <f t="shared" si="7"/>
        <v>Rede de BT Aérea</v>
      </c>
      <c r="P26" s="21" t="s">
        <v>357</v>
      </c>
      <c r="Q26" s="21" t="s">
        <v>609</v>
      </c>
      <c r="R26" s="21" t="s">
        <v>9</v>
      </c>
      <c r="S26" s="21" t="str">
        <f t="shared" si="6"/>
        <v>Redes Urbanas</v>
      </c>
      <c r="T26" s="21" t="str">
        <f t="shared" si="6"/>
        <v>Redes Elétricas</v>
      </c>
      <c r="U26" s="21" t="str">
        <f t="shared" si="6"/>
        <v>Redes de Distribuição</v>
      </c>
      <c r="V26" s="21" t="s">
        <v>527</v>
      </c>
      <c r="W26" s="74" t="str">
        <f t="shared" si="3"/>
        <v>Key-TUB-26</v>
      </c>
      <c r="X26" s="21" t="s">
        <v>541</v>
      </c>
      <c r="Y26" s="71" t="s">
        <v>542</v>
      </c>
      <c r="Z26" s="21" t="s">
        <v>543</v>
      </c>
      <c r="AA26" s="21" t="s">
        <v>727</v>
      </c>
    </row>
    <row r="27" spans="1:27" ht="6.65" customHeight="1" x14ac:dyDescent="0.4">
      <c r="A27" s="72">
        <v>27</v>
      </c>
      <c r="B27" s="1" t="s">
        <v>838</v>
      </c>
      <c r="C27" s="1" t="s">
        <v>402</v>
      </c>
      <c r="D27" s="1" t="s">
        <v>350</v>
      </c>
      <c r="E27" s="1" t="s">
        <v>362</v>
      </c>
      <c r="F27" s="1" t="s">
        <v>355</v>
      </c>
      <c r="G27" s="73" t="s">
        <v>9</v>
      </c>
      <c r="H27" s="73" t="s">
        <v>9</v>
      </c>
      <c r="I27" s="73" t="s">
        <v>9</v>
      </c>
      <c r="J27" s="73" t="s">
        <v>9</v>
      </c>
      <c r="K27" s="73" t="s">
        <v>9</v>
      </c>
      <c r="L27" s="25" t="str">
        <f t="shared" si="7"/>
        <v>Redes Urbanas</v>
      </c>
      <c r="M27" s="25" t="str">
        <f t="shared" si="7"/>
        <v>Redes Elétricas</v>
      </c>
      <c r="N27" s="25" t="str">
        <f t="shared" si="7"/>
        <v>Redes de Distribuição</v>
      </c>
      <c r="O27" s="25" t="str">
        <f t="shared" si="7"/>
        <v>Rede de BT Subterrânea</v>
      </c>
      <c r="P27" s="21" t="s">
        <v>358</v>
      </c>
      <c r="Q27" s="21" t="s">
        <v>610</v>
      </c>
      <c r="R27" s="21" t="s">
        <v>9</v>
      </c>
      <c r="S27" s="21" t="str">
        <f t="shared" si="6"/>
        <v>Redes Urbanas</v>
      </c>
      <c r="T27" s="21" t="str">
        <f t="shared" si="6"/>
        <v>Redes Elétricas</v>
      </c>
      <c r="U27" s="21" t="str">
        <f t="shared" si="6"/>
        <v>Redes de Distribuição</v>
      </c>
      <c r="V27" s="21" t="s">
        <v>527</v>
      </c>
      <c r="W27" s="74" t="str">
        <f t="shared" si="3"/>
        <v>Key-TUB-27</v>
      </c>
      <c r="X27" s="21" t="s">
        <v>541</v>
      </c>
      <c r="Y27" s="71" t="s">
        <v>542</v>
      </c>
      <c r="Z27" s="21" t="s">
        <v>543</v>
      </c>
      <c r="AA27" s="21" t="s">
        <v>728</v>
      </c>
    </row>
    <row r="28" spans="1:27" ht="6.65" customHeight="1" x14ac:dyDescent="0.4">
      <c r="A28" s="72">
        <v>28</v>
      </c>
      <c r="B28" s="1" t="s">
        <v>838</v>
      </c>
      <c r="C28" s="1" t="s">
        <v>402</v>
      </c>
      <c r="D28" s="1" t="s">
        <v>350</v>
      </c>
      <c r="E28" s="1" t="s">
        <v>408</v>
      </c>
      <c r="F28" s="1" t="s">
        <v>409</v>
      </c>
      <c r="G28" s="73" t="s">
        <v>9</v>
      </c>
      <c r="H28" s="73" t="s">
        <v>9</v>
      </c>
      <c r="I28" s="73" t="s">
        <v>9</v>
      </c>
      <c r="J28" s="73" t="s">
        <v>9</v>
      </c>
      <c r="K28" s="73" t="s">
        <v>9</v>
      </c>
      <c r="L28" s="25" t="str">
        <f t="shared" si="7"/>
        <v>Redes Urbanas</v>
      </c>
      <c r="M28" s="25" t="str">
        <f t="shared" si="7"/>
        <v>Redes Elétricas</v>
      </c>
      <c r="N28" s="25" t="str">
        <f t="shared" si="7"/>
        <v>Redes de Iluminação</v>
      </c>
      <c r="O28" s="25" t="str">
        <f t="shared" si="7"/>
        <v>Rede de Iluminação Pública</v>
      </c>
      <c r="P28" s="21" t="s">
        <v>411</v>
      </c>
      <c r="Q28" s="21" t="s">
        <v>611</v>
      </c>
      <c r="R28" s="21" t="s">
        <v>9</v>
      </c>
      <c r="S28" s="21" t="str">
        <f t="shared" si="6"/>
        <v>Redes Urbanas</v>
      </c>
      <c r="T28" s="21" t="str">
        <f t="shared" si="6"/>
        <v>Redes Elétricas</v>
      </c>
      <c r="U28" s="21" t="str">
        <f t="shared" si="6"/>
        <v>Redes de Iluminação</v>
      </c>
      <c r="V28" s="21" t="s">
        <v>527</v>
      </c>
      <c r="W28" s="74" t="str">
        <f t="shared" si="3"/>
        <v>Key-TUB-28</v>
      </c>
      <c r="X28" s="21" t="s">
        <v>541</v>
      </c>
      <c r="Y28" s="71" t="s">
        <v>544</v>
      </c>
      <c r="Z28" s="21" t="s">
        <v>543</v>
      </c>
      <c r="AA28" s="21" t="s">
        <v>729</v>
      </c>
    </row>
    <row r="29" spans="1:27" ht="6.65" customHeight="1" x14ac:dyDescent="0.4">
      <c r="A29" s="72">
        <v>29</v>
      </c>
      <c r="B29" s="1" t="s">
        <v>838</v>
      </c>
      <c r="C29" s="1" t="s">
        <v>402</v>
      </c>
      <c r="D29" s="1" t="s">
        <v>350</v>
      </c>
      <c r="E29" s="1" t="s">
        <v>408</v>
      </c>
      <c r="F29" s="1" t="s">
        <v>410</v>
      </c>
      <c r="G29" s="73" t="s">
        <v>9</v>
      </c>
      <c r="H29" s="73" t="s">
        <v>9</v>
      </c>
      <c r="I29" s="73" t="s">
        <v>9</v>
      </c>
      <c r="J29" s="73" t="s">
        <v>9</v>
      </c>
      <c r="K29" s="73" t="s">
        <v>9</v>
      </c>
      <c r="L29" s="25" t="str">
        <f t="shared" si="7"/>
        <v>Redes Urbanas</v>
      </c>
      <c r="M29" s="25" t="str">
        <f t="shared" si="7"/>
        <v>Redes Elétricas</v>
      </c>
      <c r="N29" s="25" t="str">
        <f t="shared" si="7"/>
        <v>Redes de Iluminação</v>
      </c>
      <c r="O29" s="25" t="str">
        <f t="shared" si="7"/>
        <v>Rede de Sinalização Pública</v>
      </c>
      <c r="P29" s="21" t="s">
        <v>412</v>
      </c>
      <c r="Q29" s="21" t="s">
        <v>612</v>
      </c>
      <c r="R29" s="21" t="s">
        <v>9</v>
      </c>
      <c r="S29" s="21" t="str">
        <f t="shared" si="6"/>
        <v>Redes Urbanas</v>
      </c>
      <c r="T29" s="21" t="str">
        <f t="shared" si="6"/>
        <v>Redes Elétricas</v>
      </c>
      <c r="U29" s="21" t="str">
        <f t="shared" si="6"/>
        <v>Redes de Iluminação</v>
      </c>
      <c r="V29" s="21" t="s">
        <v>527</v>
      </c>
      <c r="W29" s="74" t="str">
        <f t="shared" si="3"/>
        <v>Key-TUB-29</v>
      </c>
      <c r="X29" s="21" t="s">
        <v>541</v>
      </c>
      <c r="Y29" s="71" t="s">
        <v>545</v>
      </c>
      <c r="Z29" s="21" t="s">
        <v>543</v>
      </c>
      <c r="AA29" s="21" t="s">
        <v>730</v>
      </c>
    </row>
    <row r="30" spans="1:27" ht="6.65" customHeight="1" x14ac:dyDescent="0.4">
      <c r="A30" s="72">
        <v>30</v>
      </c>
      <c r="B30" s="1" t="s">
        <v>838</v>
      </c>
      <c r="C30" s="1" t="s">
        <v>402</v>
      </c>
      <c r="D30" s="1" t="s">
        <v>351</v>
      </c>
      <c r="E30" s="1" t="s">
        <v>364</v>
      </c>
      <c r="F30" s="1" t="s">
        <v>366</v>
      </c>
      <c r="G30" s="73" t="s">
        <v>9</v>
      </c>
      <c r="H30" s="73" t="s">
        <v>9</v>
      </c>
      <c r="I30" s="73" t="s">
        <v>9</v>
      </c>
      <c r="J30" s="73" t="s">
        <v>9</v>
      </c>
      <c r="K30" s="73" t="s">
        <v>9</v>
      </c>
      <c r="L30" s="25" t="str">
        <f t="shared" si="7"/>
        <v>Redes Urbanas</v>
      </c>
      <c r="M30" s="25" t="str">
        <f t="shared" si="7"/>
        <v>Redes Telecom</v>
      </c>
      <c r="N30" s="25" t="str">
        <f t="shared" si="7"/>
        <v>Redes Aéreas</v>
      </c>
      <c r="O30" s="25" t="str">
        <f t="shared" si="7"/>
        <v>Rede de Fibra Ótica Aérea</v>
      </c>
      <c r="P30" s="21" t="s">
        <v>378</v>
      </c>
      <c r="Q30" s="21" t="s">
        <v>613</v>
      </c>
      <c r="R30" s="21" t="s">
        <v>9</v>
      </c>
      <c r="S30" s="21" t="str">
        <f t="shared" si="6"/>
        <v>Redes Urbanas</v>
      </c>
      <c r="T30" s="21" t="str">
        <f t="shared" si="6"/>
        <v>Redes Telecom</v>
      </c>
      <c r="U30" s="21" t="str">
        <f t="shared" si="6"/>
        <v>Redes Aéreas</v>
      </c>
      <c r="V30" s="21" t="s">
        <v>527</v>
      </c>
      <c r="W30" s="74" t="str">
        <f t="shared" si="3"/>
        <v>Key-TUB-30</v>
      </c>
      <c r="X30" s="21" t="s">
        <v>541</v>
      </c>
      <c r="Y30" s="71" t="s">
        <v>546</v>
      </c>
      <c r="Z30" s="21" t="s">
        <v>543</v>
      </c>
      <c r="AA30" s="21" t="s">
        <v>731</v>
      </c>
    </row>
    <row r="31" spans="1:27" ht="6.65" customHeight="1" x14ac:dyDescent="0.4">
      <c r="A31" s="72">
        <v>31</v>
      </c>
      <c r="B31" s="1" t="s">
        <v>838</v>
      </c>
      <c r="C31" s="1" t="s">
        <v>402</v>
      </c>
      <c r="D31" s="1" t="s">
        <v>351</v>
      </c>
      <c r="E31" s="1" t="s">
        <v>364</v>
      </c>
      <c r="F31" s="1" t="s">
        <v>367</v>
      </c>
      <c r="G31" s="73" t="s">
        <v>9</v>
      </c>
      <c r="H31" s="73" t="s">
        <v>9</v>
      </c>
      <c r="I31" s="73" t="s">
        <v>9</v>
      </c>
      <c r="J31" s="73" t="s">
        <v>9</v>
      </c>
      <c r="K31" s="73" t="s">
        <v>9</v>
      </c>
      <c r="L31" s="25" t="str">
        <f t="shared" si="7"/>
        <v>Redes Urbanas</v>
      </c>
      <c r="M31" s="25" t="str">
        <f t="shared" si="7"/>
        <v>Redes Telecom</v>
      </c>
      <c r="N31" s="25" t="str">
        <f t="shared" si="7"/>
        <v>Redes Aéreas</v>
      </c>
      <c r="O31" s="25" t="str">
        <f t="shared" si="7"/>
        <v>Rede Aérea de Telefonia</v>
      </c>
      <c r="P31" s="21" t="s">
        <v>379</v>
      </c>
      <c r="Q31" s="21" t="s">
        <v>614</v>
      </c>
      <c r="R31" s="21" t="s">
        <v>9</v>
      </c>
      <c r="S31" s="21" t="str">
        <f t="shared" si="6"/>
        <v>Redes Urbanas</v>
      </c>
      <c r="T31" s="21" t="str">
        <f t="shared" si="6"/>
        <v>Redes Telecom</v>
      </c>
      <c r="U31" s="21" t="str">
        <f t="shared" si="6"/>
        <v>Redes Aéreas</v>
      </c>
      <c r="V31" s="21" t="s">
        <v>527</v>
      </c>
      <c r="W31" s="74" t="str">
        <f t="shared" si="3"/>
        <v>Key-TUB-31</v>
      </c>
      <c r="X31" s="21" t="s">
        <v>541</v>
      </c>
      <c r="Y31" s="71" t="s">
        <v>546</v>
      </c>
      <c r="Z31" s="21" t="s">
        <v>543</v>
      </c>
      <c r="AA31" s="21" t="s">
        <v>732</v>
      </c>
    </row>
    <row r="32" spans="1:27" ht="6.65" customHeight="1" x14ac:dyDescent="0.4">
      <c r="A32" s="72">
        <v>32</v>
      </c>
      <c r="B32" s="1" t="s">
        <v>838</v>
      </c>
      <c r="C32" s="1" t="s">
        <v>402</v>
      </c>
      <c r="D32" s="1" t="s">
        <v>351</v>
      </c>
      <c r="E32" s="1" t="s">
        <v>364</v>
      </c>
      <c r="F32" s="1" t="s">
        <v>374</v>
      </c>
      <c r="G32" s="73" t="s">
        <v>9</v>
      </c>
      <c r="H32" s="73" t="s">
        <v>9</v>
      </c>
      <c r="I32" s="73" t="s">
        <v>9</v>
      </c>
      <c r="J32" s="73" t="s">
        <v>9</v>
      </c>
      <c r="K32" s="73" t="s">
        <v>9</v>
      </c>
      <c r="L32" s="25" t="str">
        <f t="shared" si="7"/>
        <v>Redes Urbanas</v>
      </c>
      <c r="M32" s="25" t="str">
        <f t="shared" si="7"/>
        <v>Redes Telecom</v>
      </c>
      <c r="N32" s="25" t="str">
        <f t="shared" si="7"/>
        <v>Redes Aéreas</v>
      </c>
      <c r="O32" s="25" t="str">
        <f t="shared" si="7"/>
        <v>Rede Aérea de Dados</v>
      </c>
      <c r="P32" s="21" t="s">
        <v>380</v>
      </c>
      <c r="Q32" s="21" t="s">
        <v>615</v>
      </c>
      <c r="R32" s="21" t="s">
        <v>9</v>
      </c>
      <c r="S32" s="21" t="str">
        <f t="shared" si="6"/>
        <v>Redes Urbanas</v>
      </c>
      <c r="T32" s="21" t="str">
        <f t="shared" si="6"/>
        <v>Redes Telecom</v>
      </c>
      <c r="U32" s="21" t="str">
        <f t="shared" si="6"/>
        <v>Redes Aéreas</v>
      </c>
      <c r="V32" s="21" t="s">
        <v>527</v>
      </c>
      <c r="W32" s="74" t="str">
        <f t="shared" si="3"/>
        <v>Key-TUB-32</v>
      </c>
      <c r="X32" s="21" t="s">
        <v>541</v>
      </c>
      <c r="Y32" s="71" t="s">
        <v>547</v>
      </c>
      <c r="Z32" s="21" t="s">
        <v>543</v>
      </c>
      <c r="AA32" s="21" t="s">
        <v>733</v>
      </c>
    </row>
    <row r="33" spans="1:27" ht="6.65" customHeight="1" x14ac:dyDescent="0.4">
      <c r="A33" s="72">
        <v>33</v>
      </c>
      <c r="B33" s="1" t="s">
        <v>838</v>
      </c>
      <c r="C33" s="1" t="s">
        <v>402</v>
      </c>
      <c r="D33" s="1" t="s">
        <v>351</v>
      </c>
      <c r="E33" s="1" t="s">
        <v>364</v>
      </c>
      <c r="F33" s="1" t="s">
        <v>368</v>
      </c>
      <c r="G33" s="73" t="s">
        <v>9</v>
      </c>
      <c r="H33" s="73" t="s">
        <v>9</v>
      </c>
      <c r="I33" s="73" t="s">
        <v>9</v>
      </c>
      <c r="J33" s="73" t="s">
        <v>9</v>
      </c>
      <c r="K33" s="73" t="s">
        <v>9</v>
      </c>
      <c r="L33" s="25" t="str">
        <f t="shared" si="7"/>
        <v>Redes Urbanas</v>
      </c>
      <c r="M33" s="25" t="str">
        <f t="shared" si="7"/>
        <v>Redes Telecom</v>
      </c>
      <c r="N33" s="25" t="str">
        <f t="shared" si="7"/>
        <v>Redes Aéreas</v>
      </c>
      <c r="O33" s="25" t="str">
        <f t="shared" si="7"/>
        <v>Rede Aérea de Net Fixa</v>
      </c>
      <c r="P33" s="21" t="s">
        <v>381</v>
      </c>
      <c r="Q33" s="21" t="s">
        <v>616</v>
      </c>
      <c r="R33" s="21" t="s">
        <v>9</v>
      </c>
      <c r="S33" s="21" t="str">
        <f t="shared" si="6"/>
        <v>Redes Urbanas</v>
      </c>
      <c r="T33" s="21" t="str">
        <f t="shared" si="6"/>
        <v>Redes Telecom</v>
      </c>
      <c r="U33" s="21" t="str">
        <f t="shared" si="6"/>
        <v>Redes Aéreas</v>
      </c>
      <c r="V33" s="21" t="s">
        <v>527</v>
      </c>
      <c r="W33" s="74" t="str">
        <f t="shared" si="3"/>
        <v>Key-TUB-33</v>
      </c>
      <c r="X33" s="21" t="s">
        <v>541</v>
      </c>
      <c r="Y33" s="71" t="s">
        <v>548</v>
      </c>
      <c r="Z33" s="21" t="s">
        <v>543</v>
      </c>
      <c r="AA33" s="21" t="s">
        <v>734</v>
      </c>
    </row>
    <row r="34" spans="1:27" ht="6.65" customHeight="1" x14ac:dyDescent="0.4">
      <c r="A34" s="72">
        <v>34</v>
      </c>
      <c r="B34" s="1" t="s">
        <v>838</v>
      </c>
      <c r="C34" s="1" t="s">
        <v>402</v>
      </c>
      <c r="D34" s="1" t="s">
        <v>351</v>
      </c>
      <c r="E34" s="1" t="s">
        <v>364</v>
      </c>
      <c r="F34" s="1" t="s">
        <v>369</v>
      </c>
      <c r="G34" s="73" t="s">
        <v>9</v>
      </c>
      <c r="H34" s="73" t="s">
        <v>9</v>
      </c>
      <c r="I34" s="73" t="s">
        <v>9</v>
      </c>
      <c r="J34" s="73" t="s">
        <v>9</v>
      </c>
      <c r="K34" s="73" t="s">
        <v>9</v>
      </c>
      <c r="L34" s="25" t="str">
        <f t="shared" si="7"/>
        <v>Redes Urbanas</v>
      </c>
      <c r="M34" s="25" t="str">
        <f t="shared" si="7"/>
        <v>Redes Telecom</v>
      </c>
      <c r="N34" s="25" t="str">
        <f t="shared" si="7"/>
        <v>Redes Aéreas</v>
      </c>
      <c r="O34" s="25" t="str">
        <f t="shared" si="7"/>
        <v>Rede Aérea de Net Móvel</v>
      </c>
      <c r="P34" s="21" t="s">
        <v>382</v>
      </c>
      <c r="Q34" s="21" t="s">
        <v>617</v>
      </c>
      <c r="R34" s="21" t="s">
        <v>9</v>
      </c>
      <c r="S34" s="21" t="str">
        <f t="shared" si="6"/>
        <v>Redes Urbanas</v>
      </c>
      <c r="T34" s="21" t="str">
        <f t="shared" si="6"/>
        <v>Redes Telecom</v>
      </c>
      <c r="U34" s="21" t="str">
        <f t="shared" si="6"/>
        <v>Redes Aéreas</v>
      </c>
      <c r="V34" s="21" t="s">
        <v>527</v>
      </c>
      <c r="W34" s="74" t="str">
        <f t="shared" si="3"/>
        <v>Key-TUB-34</v>
      </c>
      <c r="X34" s="21" t="s">
        <v>541</v>
      </c>
      <c r="Y34" s="71" t="s">
        <v>549</v>
      </c>
      <c r="Z34" s="21" t="s">
        <v>543</v>
      </c>
      <c r="AA34" s="21" t="s">
        <v>735</v>
      </c>
    </row>
    <row r="35" spans="1:27" ht="6.65" customHeight="1" x14ac:dyDescent="0.4">
      <c r="A35" s="72">
        <v>35</v>
      </c>
      <c r="B35" s="1" t="s">
        <v>838</v>
      </c>
      <c r="C35" s="1" t="s">
        <v>402</v>
      </c>
      <c r="D35" s="1" t="s">
        <v>351</v>
      </c>
      <c r="E35" s="1" t="s">
        <v>365</v>
      </c>
      <c r="F35" s="1" t="s">
        <v>370</v>
      </c>
      <c r="G35" s="73" t="s">
        <v>9</v>
      </c>
      <c r="H35" s="73" t="s">
        <v>9</v>
      </c>
      <c r="I35" s="73" t="s">
        <v>9</v>
      </c>
      <c r="J35" s="73" t="s">
        <v>9</v>
      </c>
      <c r="K35" s="73" t="s">
        <v>9</v>
      </c>
      <c r="L35" s="25" t="str">
        <f t="shared" si="7"/>
        <v>Redes Urbanas</v>
      </c>
      <c r="M35" s="25" t="str">
        <f t="shared" si="7"/>
        <v>Redes Telecom</v>
      </c>
      <c r="N35" s="25" t="str">
        <f t="shared" si="7"/>
        <v>Redes Subterrâneas</v>
      </c>
      <c r="O35" s="25" t="str">
        <f t="shared" si="7"/>
        <v>Rede Subte de Fibra Ótica</v>
      </c>
      <c r="P35" s="21" t="s">
        <v>383</v>
      </c>
      <c r="Q35" s="21" t="s">
        <v>618</v>
      </c>
      <c r="R35" s="21" t="s">
        <v>9</v>
      </c>
      <c r="S35" s="21" t="str">
        <f t="shared" si="6"/>
        <v>Redes Urbanas</v>
      </c>
      <c r="T35" s="21" t="str">
        <f t="shared" si="6"/>
        <v>Redes Telecom</v>
      </c>
      <c r="U35" s="21" t="str">
        <f t="shared" si="6"/>
        <v>Redes Subterrâneas</v>
      </c>
      <c r="V35" s="21" t="s">
        <v>527</v>
      </c>
      <c r="W35" s="74" t="str">
        <f t="shared" si="3"/>
        <v>Key-TUB-35</v>
      </c>
      <c r="X35" s="21" t="s">
        <v>541</v>
      </c>
      <c r="Y35" s="71" t="s">
        <v>546</v>
      </c>
      <c r="Z35" s="21" t="s">
        <v>543</v>
      </c>
      <c r="AA35" s="21" t="s">
        <v>736</v>
      </c>
    </row>
    <row r="36" spans="1:27" ht="6.65" customHeight="1" x14ac:dyDescent="0.4">
      <c r="A36" s="72">
        <v>36</v>
      </c>
      <c r="B36" s="1" t="s">
        <v>838</v>
      </c>
      <c r="C36" s="1" t="s">
        <v>402</v>
      </c>
      <c r="D36" s="1" t="s">
        <v>351</v>
      </c>
      <c r="E36" s="1" t="s">
        <v>365</v>
      </c>
      <c r="F36" s="1" t="s">
        <v>371</v>
      </c>
      <c r="G36" s="73" t="s">
        <v>9</v>
      </c>
      <c r="H36" s="73" t="s">
        <v>9</v>
      </c>
      <c r="I36" s="73" t="s">
        <v>9</v>
      </c>
      <c r="J36" s="73" t="s">
        <v>9</v>
      </c>
      <c r="K36" s="73" t="s">
        <v>9</v>
      </c>
      <c r="L36" s="25" t="str">
        <f t="shared" si="7"/>
        <v>Redes Urbanas</v>
      </c>
      <c r="M36" s="25" t="str">
        <f t="shared" si="7"/>
        <v>Redes Telecom</v>
      </c>
      <c r="N36" s="25" t="str">
        <f t="shared" si="7"/>
        <v>Redes Subterrâneas</v>
      </c>
      <c r="O36" s="25" t="str">
        <f t="shared" si="7"/>
        <v>Rede Subte de Dados</v>
      </c>
      <c r="P36" s="21" t="s">
        <v>384</v>
      </c>
      <c r="Q36" s="21" t="s">
        <v>619</v>
      </c>
      <c r="R36" s="21" t="s">
        <v>9</v>
      </c>
      <c r="S36" s="21" t="str">
        <f t="shared" si="6"/>
        <v>Redes Urbanas</v>
      </c>
      <c r="T36" s="21" t="str">
        <f t="shared" si="6"/>
        <v>Redes Telecom</v>
      </c>
      <c r="U36" s="21" t="str">
        <f t="shared" si="6"/>
        <v>Redes Subterrâneas</v>
      </c>
      <c r="V36" s="21" t="s">
        <v>527</v>
      </c>
      <c r="W36" s="74" t="str">
        <f t="shared" si="3"/>
        <v>Key-TUB-36</v>
      </c>
      <c r="X36" s="21" t="s">
        <v>541</v>
      </c>
      <c r="Y36" s="71" t="s">
        <v>547</v>
      </c>
      <c r="Z36" s="21" t="s">
        <v>543</v>
      </c>
      <c r="AA36" s="21" t="s">
        <v>737</v>
      </c>
    </row>
    <row r="37" spans="1:27" ht="6.65" customHeight="1" x14ac:dyDescent="0.4">
      <c r="A37" s="72">
        <v>37</v>
      </c>
      <c r="B37" s="1" t="s">
        <v>838</v>
      </c>
      <c r="C37" s="1" t="s">
        <v>402</v>
      </c>
      <c r="D37" s="1" t="s">
        <v>351</v>
      </c>
      <c r="E37" s="1" t="s">
        <v>365</v>
      </c>
      <c r="F37" s="1" t="s">
        <v>372</v>
      </c>
      <c r="G37" s="73" t="s">
        <v>9</v>
      </c>
      <c r="H37" s="73" t="s">
        <v>9</v>
      </c>
      <c r="I37" s="73" t="s">
        <v>9</v>
      </c>
      <c r="J37" s="73" t="s">
        <v>9</v>
      </c>
      <c r="K37" s="73" t="s">
        <v>9</v>
      </c>
      <c r="L37" s="25" t="str">
        <f t="shared" si="7"/>
        <v>Redes Urbanas</v>
      </c>
      <c r="M37" s="25" t="str">
        <f t="shared" si="7"/>
        <v>Redes Telecom</v>
      </c>
      <c r="N37" s="25" t="str">
        <f t="shared" si="7"/>
        <v>Redes Subterrâneas</v>
      </c>
      <c r="O37" s="25" t="str">
        <f t="shared" si="7"/>
        <v>Rede Subte de Net Fixa</v>
      </c>
      <c r="P37" s="21" t="s">
        <v>385</v>
      </c>
      <c r="Q37" s="21" t="s">
        <v>620</v>
      </c>
      <c r="R37" s="21" t="s">
        <v>9</v>
      </c>
      <c r="S37" s="21" t="str">
        <f t="shared" si="6"/>
        <v>Redes Urbanas</v>
      </c>
      <c r="T37" s="21" t="str">
        <f t="shared" si="6"/>
        <v>Redes Telecom</v>
      </c>
      <c r="U37" s="21" t="str">
        <f t="shared" si="6"/>
        <v>Redes Subterrâneas</v>
      </c>
      <c r="V37" s="21" t="s">
        <v>527</v>
      </c>
      <c r="W37" s="74" t="str">
        <f t="shared" si="3"/>
        <v>Key-TUB-37</v>
      </c>
      <c r="X37" s="21" t="s">
        <v>541</v>
      </c>
      <c r="Y37" s="71" t="s">
        <v>548</v>
      </c>
      <c r="Z37" s="21" t="s">
        <v>543</v>
      </c>
      <c r="AA37" s="21" t="s">
        <v>738</v>
      </c>
    </row>
    <row r="38" spans="1:27" ht="6.65" customHeight="1" x14ac:dyDescent="0.4">
      <c r="A38" s="72">
        <v>38</v>
      </c>
      <c r="B38" s="1" t="s">
        <v>838</v>
      </c>
      <c r="C38" s="1" t="s">
        <v>402</v>
      </c>
      <c r="D38" s="1" t="s">
        <v>351</v>
      </c>
      <c r="E38" s="1" t="s">
        <v>365</v>
      </c>
      <c r="F38" s="1" t="s">
        <v>373</v>
      </c>
      <c r="G38" s="73" t="s">
        <v>9</v>
      </c>
      <c r="H38" s="73" t="s">
        <v>9</v>
      </c>
      <c r="I38" s="73" t="s">
        <v>9</v>
      </c>
      <c r="J38" s="73" t="s">
        <v>9</v>
      </c>
      <c r="K38" s="73" t="s">
        <v>9</v>
      </c>
      <c r="L38" s="25" t="str">
        <f t="shared" ref="L38:O61" si="8">SUBSTITUTE(CONCATENATE("", C38), ".", " ")</f>
        <v>Redes Urbanas</v>
      </c>
      <c r="M38" s="25" t="str">
        <f t="shared" si="8"/>
        <v>Redes Telecom</v>
      </c>
      <c r="N38" s="25" t="str">
        <f t="shared" si="8"/>
        <v>Redes Subterrâneas</v>
      </c>
      <c r="O38" s="25" t="str">
        <f t="shared" si="8"/>
        <v>Rede Subte de Net Móvel</v>
      </c>
      <c r="P38" s="21" t="s">
        <v>386</v>
      </c>
      <c r="Q38" s="21" t="s">
        <v>621</v>
      </c>
      <c r="R38" s="21" t="s">
        <v>9</v>
      </c>
      <c r="S38" s="21" t="str">
        <f t="shared" si="6"/>
        <v>Redes Urbanas</v>
      </c>
      <c r="T38" s="21" t="str">
        <f t="shared" si="6"/>
        <v>Redes Telecom</v>
      </c>
      <c r="U38" s="21" t="str">
        <f t="shared" si="6"/>
        <v>Redes Subterrâneas</v>
      </c>
      <c r="V38" s="21" t="s">
        <v>527</v>
      </c>
      <c r="W38" s="74" t="str">
        <f t="shared" si="3"/>
        <v>Key-TUB-38</v>
      </c>
      <c r="X38" s="21" t="s">
        <v>541</v>
      </c>
      <c r="Y38" s="71" t="s">
        <v>549</v>
      </c>
      <c r="Z38" s="21" t="s">
        <v>543</v>
      </c>
      <c r="AA38" s="21" t="s">
        <v>739</v>
      </c>
    </row>
    <row r="39" spans="1:27" ht="6.65" customHeight="1" x14ac:dyDescent="0.4">
      <c r="A39" s="72">
        <v>39</v>
      </c>
      <c r="B39" s="1" t="s">
        <v>838</v>
      </c>
      <c r="C39" s="1" t="s">
        <v>516</v>
      </c>
      <c r="D39" s="1" t="s">
        <v>401</v>
      </c>
      <c r="E39" s="1" t="s">
        <v>344</v>
      </c>
      <c r="F39" s="1" t="s">
        <v>392</v>
      </c>
      <c r="G39" s="73" t="s">
        <v>9</v>
      </c>
      <c r="H39" s="73" t="s">
        <v>9</v>
      </c>
      <c r="I39" s="73" t="s">
        <v>9</v>
      </c>
      <c r="J39" s="73" t="s">
        <v>9</v>
      </c>
      <c r="K39" s="73" t="s">
        <v>9</v>
      </c>
      <c r="L39" s="25" t="str">
        <f t="shared" si="8"/>
        <v>Redes Prediais</v>
      </c>
      <c r="M39" s="25" t="str">
        <f t="shared" si="8"/>
        <v>Sistemas Prediais</v>
      </c>
      <c r="N39" s="25" t="str">
        <f t="shared" si="8"/>
        <v>Alimentadores Prediais</v>
      </c>
      <c r="O39" s="25" t="str">
        <f t="shared" si="8"/>
        <v>Sistema de Agua</v>
      </c>
      <c r="P39" s="21" t="s">
        <v>346</v>
      </c>
      <c r="Q39" s="21" t="s">
        <v>622</v>
      </c>
      <c r="R39" s="21" t="s">
        <v>9</v>
      </c>
      <c r="S39" s="21" t="str">
        <f t="shared" si="6"/>
        <v>Redes Prediais</v>
      </c>
      <c r="T39" s="21" t="str">
        <f t="shared" si="6"/>
        <v>Sistemas Prediais</v>
      </c>
      <c r="U39" s="21" t="str">
        <f t="shared" si="6"/>
        <v>Alimentadores Prediais</v>
      </c>
      <c r="V39" s="21" t="s">
        <v>527</v>
      </c>
      <c r="W39" s="74" t="str">
        <f t="shared" si="3"/>
        <v>Key-TUB-39</v>
      </c>
      <c r="X39" s="21" t="s">
        <v>530</v>
      </c>
      <c r="Y39" s="71" t="s">
        <v>550</v>
      </c>
      <c r="Z39" s="21" t="s">
        <v>532</v>
      </c>
      <c r="AA39" s="21" t="s">
        <v>740</v>
      </c>
    </row>
    <row r="40" spans="1:27" ht="6.65" customHeight="1" x14ac:dyDescent="0.4">
      <c r="A40" s="72">
        <v>40</v>
      </c>
      <c r="B40" s="1" t="s">
        <v>838</v>
      </c>
      <c r="C40" s="1" t="s">
        <v>516</v>
      </c>
      <c r="D40" s="1" t="s">
        <v>401</v>
      </c>
      <c r="E40" s="1" t="s">
        <v>344</v>
      </c>
      <c r="F40" s="1" t="s">
        <v>393</v>
      </c>
      <c r="G40" s="73" t="s">
        <v>9</v>
      </c>
      <c r="H40" s="73" t="s">
        <v>9</v>
      </c>
      <c r="I40" s="73" t="s">
        <v>9</v>
      </c>
      <c r="J40" s="73" t="s">
        <v>9</v>
      </c>
      <c r="K40" s="73" t="s">
        <v>9</v>
      </c>
      <c r="L40" s="25" t="str">
        <f t="shared" si="8"/>
        <v>Redes Prediais</v>
      </c>
      <c r="M40" s="25" t="str">
        <f t="shared" si="8"/>
        <v>Sistemas Prediais</v>
      </c>
      <c r="N40" s="25" t="str">
        <f t="shared" si="8"/>
        <v>Alimentadores Prediais</v>
      </c>
      <c r="O40" s="25" t="str">
        <f t="shared" si="8"/>
        <v>Sistema de Agua Fria</v>
      </c>
      <c r="P40" s="21" t="s">
        <v>387</v>
      </c>
      <c r="Q40" s="21" t="s">
        <v>623</v>
      </c>
      <c r="R40" s="21" t="s">
        <v>9</v>
      </c>
      <c r="S40" s="21" t="str">
        <f t="shared" si="6"/>
        <v>Redes Prediais</v>
      </c>
      <c r="T40" s="21" t="str">
        <f t="shared" si="6"/>
        <v>Sistemas Prediais</v>
      </c>
      <c r="U40" s="21" t="str">
        <f t="shared" si="6"/>
        <v>Alimentadores Prediais</v>
      </c>
      <c r="V40" s="21" t="s">
        <v>527</v>
      </c>
      <c r="W40" s="74" t="str">
        <f t="shared" si="3"/>
        <v>Key-TUB-40</v>
      </c>
      <c r="X40" s="21" t="s">
        <v>530</v>
      </c>
      <c r="Y40" s="71" t="s">
        <v>550</v>
      </c>
      <c r="Z40" s="21" t="s">
        <v>532</v>
      </c>
      <c r="AA40" s="21" t="s">
        <v>741</v>
      </c>
    </row>
    <row r="41" spans="1:27" ht="6.65" customHeight="1" x14ac:dyDescent="0.4">
      <c r="A41" s="72">
        <v>41</v>
      </c>
      <c r="B41" s="1" t="s">
        <v>838</v>
      </c>
      <c r="C41" s="1" t="s">
        <v>516</v>
      </c>
      <c r="D41" s="1" t="s">
        <v>401</v>
      </c>
      <c r="E41" s="1" t="s">
        <v>344</v>
      </c>
      <c r="F41" s="1" t="s">
        <v>394</v>
      </c>
      <c r="G41" s="73" t="s">
        <v>9</v>
      </c>
      <c r="H41" s="73" t="s">
        <v>9</v>
      </c>
      <c r="I41" s="73" t="s">
        <v>9</v>
      </c>
      <c r="J41" s="73" t="s">
        <v>9</v>
      </c>
      <c r="K41" s="73" t="s">
        <v>9</v>
      </c>
      <c r="L41" s="25" t="str">
        <f t="shared" si="8"/>
        <v>Redes Prediais</v>
      </c>
      <c r="M41" s="25" t="str">
        <f t="shared" si="8"/>
        <v>Sistemas Prediais</v>
      </c>
      <c r="N41" s="25" t="str">
        <f t="shared" si="8"/>
        <v>Alimentadores Prediais</v>
      </c>
      <c r="O41" s="25" t="str">
        <f t="shared" si="8"/>
        <v>Sistema de Agua Quente</v>
      </c>
      <c r="P41" s="21" t="s">
        <v>347</v>
      </c>
      <c r="Q41" s="21" t="s">
        <v>624</v>
      </c>
      <c r="R41" s="21" t="s">
        <v>9</v>
      </c>
      <c r="S41" s="21" t="str">
        <f t="shared" si="6"/>
        <v>Redes Prediais</v>
      </c>
      <c r="T41" s="21" t="str">
        <f t="shared" si="6"/>
        <v>Sistemas Prediais</v>
      </c>
      <c r="U41" s="21" t="str">
        <f t="shared" si="6"/>
        <v>Alimentadores Prediais</v>
      </c>
      <c r="V41" s="21" t="s">
        <v>527</v>
      </c>
      <c r="W41" s="74" t="str">
        <f t="shared" si="3"/>
        <v>Key-TUB-41</v>
      </c>
      <c r="X41" s="21" t="s">
        <v>530</v>
      </c>
      <c r="Y41" s="71" t="s">
        <v>551</v>
      </c>
      <c r="Z41" s="21" t="s">
        <v>532</v>
      </c>
      <c r="AA41" s="21" t="s">
        <v>742</v>
      </c>
    </row>
    <row r="42" spans="1:27" ht="6.65" customHeight="1" x14ac:dyDescent="0.4">
      <c r="A42" s="72">
        <v>42</v>
      </c>
      <c r="B42" s="1" t="s">
        <v>838</v>
      </c>
      <c r="C42" s="1" t="s">
        <v>516</v>
      </c>
      <c r="D42" s="1" t="s">
        <v>401</v>
      </c>
      <c r="E42" s="1" t="s">
        <v>344</v>
      </c>
      <c r="F42" s="1" t="s">
        <v>391</v>
      </c>
      <c r="G42" s="73" t="s">
        <v>9</v>
      </c>
      <c r="H42" s="73" t="s">
        <v>9</v>
      </c>
      <c r="I42" s="73" t="s">
        <v>9</v>
      </c>
      <c r="J42" s="73" t="s">
        <v>9</v>
      </c>
      <c r="K42" s="73" t="s">
        <v>9</v>
      </c>
      <c r="L42" s="25" t="str">
        <f t="shared" si="8"/>
        <v>Redes Prediais</v>
      </c>
      <c r="M42" s="25" t="str">
        <f t="shared" si="8"/>
        <v>Sistemas Prediais</v>
      </c>
      <c r="N42" s="25" t="str">
        <f t="shared" si="8"/>
        <v>Alimentadores Prediais</v>
      </c>
      <c r="O42" s="25" t="str">
        <f t="shared" si="8"/>
        <v>Sistema de Gas</v>
      </c>
      <c r="P42" s="21" t="s">
        <v>388</v>
      </c>
      <c r="Q42" s="21" t="s">
        <v>625</v>
      </c>
      <c r="R42" s="21" t="s">
        <v>9</v>
      </c>
      <c r="S42" s="21" t="str">
        <f t="shared" si="6"/>
        <v>Redes Prediais</v>
      </c>
      <c r="T42" s="21" t="str">
        <f t="shared" si="6"/>
        <v>Sistemas Prediais</v>
      </c>
      <c r="U42" s="21" t="str">
        <f t="shared" si="6"/>
        <v>Alimentadores Prediais</v>
      </c>
      <c r="V42" s="21" t="s">
        <v>527</v>
      </c>
      <c r="W42" s="74" t="str">
        <f t="shared" si="3"/>
        <v>Key-TUB-42</v>
      </c>
      <c r="X42" s="21" t="s">
        <v>530</v>
      </c>
      <c r="Y42" s="71" t="s">
        <v>552</v>
      </c>
      <c r="Z42" s="21" t="s">
        <v>532</v>
      </c>
      <c r="AA42" s="21" t="s">
        <v>743</v>
      </c>
    </row>
    <row r="43" spans="1:27" ht="6.65" customHeight="1" x14ac:dyDescent="0.4">
      <c r="A43" s="72">
        <v>43</v>
      </c>
      <c r="B43" s="1" t="s">
        <v>838</v>
      </c>
      <c r="C43" s="1" t="s">
        <v>516</v>
      </c>
      <c r="D43" s="1" t="s">
        <v>401</v>
      </c>
      <c r="E43" s="1" t="s">
        <v>344</v>
      </c>
      <c r="F43" s="1" t="s">
        <v>395</v>
      </c>
      <c r="G43" s="73" t="s">
        <v>9</v>
      </c>
      <c r="H43" s="73" t="s">
        <v>9</v>
      </c>
      <c r="I43" s="73" t="s">
        <v>9</v>
      </c>
      <c r="J43" s="73" t="s">
        <v>9</v>
      </c>
      <c r="K43" s="73" t="s">
        <v>9</v>
      </c>
      <c r="L43" s="25" t="str">
        <f t="shared" si="8"/>
        <v>Redes Prediais</v>
      </c>
      <c r="M43" s="25" t="str">
        <f t="shared" si="8"/>
        <v>Sistemas Prediais</v>
      </c>
      <c r="N43" s="25" t="str">
        <f t="shared" si="8"/>
        <v>Alimentadores Prediais</v>
      </c>
      <c r="O43" s="25" t="str">
        <f t="shared" si="8"/>
        <v>Sistema de Elétrica</v>
      </c>
      <c r="P43" s="21" t="s">
        <v>376</v>
      </c>
      <c r="Q43" s="21" t="s">
        <v>626</v>
      </c>
      <c r="R43" s="21" t="s">
        <v>9</v>
      </c>
      <c r="S43" s="21" t="str">
        <f t="shared" si="6"/>
        <v>Redes Prediais</v>
      </c>
      <c r="T43" s="21" t="str">
        <f t="shared" si="6"/>
        <v>Sistemas Prediais</v>
      </c>
      <c r="U43" s="21" t="str">
        <f t="shared" si="6"/>
        <v>Alimentadores Prediais</v>
      </c>
      <c r="V43" s="21" t="s">
        <v>527</v>
      </c>
      <c r="W43" s="74" t="str">
        <f t="shared" si="3"/>
        <v>Key-TUB-43</v>
      </c>
      <c r="X43" s="21" t="s">
        <v>541</v>
      </c>
      <c r="Y43" s="71" t="s">
        <v>553</v>
      </c>
      <c r="Z43" s="21" t="s">
        <v>543</v>
      </c>
      <c r="AA43" s="21" t="s">
        <v>744</v>
      </c>
    </row>
    <row r="44" spans="1:27" ht="6.65" customHeight="1" x14ac:dyDescent="0.4">
      <c r="A44" s="72">
        <v>44</v>
      </c>
      <c r="B44" s="1" t="s">
        <v>838</v>
      </c>
      <c r="C44" s="1" t="s">
        <v>516</v>
      </c>
      <c r="D44" s="1" t="s">
        <v>401</v>
      </c>
      <c r="E44" s="1" t="s">
        <v>344</v>
      </c>
      <c r="F44" s="1" t="s">
        <v>396</v>
      </c>
      <c r="G44" s="73" t="s">
        <v>9</v>
      </c>
      <c r="H44" s="73" t="s">
        <v>9</v>
      </c>
      <c r="I44" s="73" t="s">
        <v>9</v>
      </c>
      <c r="J44" s="73" t="s">
        <v>9</v>
      </c>
      <c r="K44" s="73" t="s">
        <v>9</v>
      </c>
      <c r="L44" s="25" t="str">
        <f t="shared" si="8"/>
        <v>Redes Prediais</v>
      </c>
      <c r="M44" s="25" t="str">
        <f t="shared" si="8"/>
        <v>Sistemas Prediais</v>
      </c>
      <c r="N44" s="25" t="str">
        <f t="shared" si="8"/>
        <v>Alimentadores Prediais</v>
      </c>
      <c r="O44" s="25" t="str">
        <f t="shared" si="8"/>
        <v>Sistema de Dados</v>
      </c>
      <c r="P44" s="21" t="s">
        <v>377</v>
      </c>
      <c r="Q44" s="21" t="s">
        <v>627</v>
      </c>
      <c r="R44" s="21" t="s">
        <v>9</v>
      </c>
      <c r="S44" s="21" t="str">
        <f t="shared" si="6"/>
        <v>Redes Prediais</v>
      </c>
      <c r="T44" s="21" t="str">
        <f t="shared" si="6"/>
        <v>Sistemas Prediais</v>
      </c>
      <c r="U44" s="21" t="str">
        <f t="shared" si="6"/>
        <v>Alimentadores Prediais</v>
      </c>
      <c r="V44" s="21" t="s">
        <v>527</v>
      </c>
      <c r="W44" s="74" t="str">
        <f t="shared" si="3"/>
        <v>Key-TUB-44</v>
      </c>
      <c r="X44" s="21" t="s">
        <v>541</v>
      </c>
      <c r="Y44" s="71" t="s">
        <v>547</v>
      </c>
      <c r="Z44" s="21" t="s">
        <v>543</v>
      </c>
      <c r="AA44" s="21" t="s">
        <v>745</v>
      </c>
    </row>
    <row r="45" spans="1:27" ht="6.65" customHeight="1" x14ac:dyDescent="0.4">
      <c r="A45" s="72">
        <v>45</v>
      </c>
      <c r="B45" s="1" t="s">
        <v>838</v>
      </c>
      <c r="C45" s="1" t="s">
        <v>516</v>
      </c>
      <c r="D45" s="1" t="s">
        <v>401</v>
      </c>
      <c r="E45" s="1" t="s">
        <v>345</v>
      </c>
      <c r="F45" s="1" t="s">
        <v>397</v>
      </c>
      <c r="G45" s="73" t="s">
        <v>9</v>
      </c>
      <c r="H45" s="73" t="s">
        <v>9</v>
      </c>
      <c r="I45" s="73" t="s">
        <v>9</v>
      </c>
      <c r="J45" s="73" t="s">
        <v>9</v>
      </c>
      <c r="K45" s="73" t="s">
        <v>9</v>
      </c>
      <c r="L45" s="25" t="str">
        <f t="shared" si="8"/>
        <v>Redes Prediais</v>
      </c>
      <c r="M45" s="25" t="str">
        <f t="shared" si="8"/>
        <v>Sistemas Prediais</v>
      </c>
      <c r="N45" s="25" t="str">
        <f t="shared" si="8"/>
        <v>Coletores Prediais</v>
      </c>
      <c r="O45" s="25" t="str">
        <f t="shared" si="8"/>
        <v>Sistema de Esgoto Primário</v>
      </c>
      <c r="P45" s="21" t="s">
        <v>389</v>
      </c>
      <c r="Q45" s="21" t="s">
        <v>628</v>
      </c>
      <c r="R45" s="21" t="s">
        <v>9</v>
      </c>
      <c r="S45" s="21" t="str">
        <f t="shared" si="6"/>
        <v>Redes Prediais</v>
      </c>
      <c r="T45" s="21" t="str">
        <f t="shared" si="6"/>
        <v>Sistemas Prediais</v>
      </c>
      <c r="U45" s="21" t="str">
        <f t="shared" si="6"/>
        <v>Coletores Prediais</v>
      </c>
      <c r="V45" s="21" t="s">
        <v>527</v>
      </c>
      <c r="W45" s="74" t="str">
        <f t="shared" si="3"/>
        <v>Key-TUB-45</v>
      </c>
      <c r="X45" s="21" t="s">
        <v>530</v>
      </c>
      <c r="Y45" s="71" t="s">
        <v>539</v>
      </c>
      <c r="Z45" s="21" t="s">
        <v>532</v>
      </c>
      <c r="AA45" s="21" t="s">
        <v>746</v>
      </c>
    </row>
    <row r="46" spans="1:27" ht="6.65" customHeight="1" x14ac:dyDescent="0.4">
      <c r="A46" s="72">
        <v>46</v>
      </c>
      <c r="B46" s="1" t="s">
        <v>838</v>
      </c>
      <c r="C46" s="1" t="s">
        <v>516</v>
      </c>
      <c r="D46" s="1" t="s">
        <v>401</v>
      </c>
      <c r="E46" s="1" t="s">
        <v>345</v>
      </c>
      <c r="F46" s="1" t="s">
        <v>398</v>
      </c>
      <c r="G46" s="73" t="s">
        <v>9</v>
      </c>
      <c r="H46" s="73" t="s">
        <v>9</v>
      </c>
      <c r="I46" s="73" t="s">
        <v>9</v>
      </c>
      <c r="J46" s="73" t="s">
        <v>9</v>
      </c>
      <c r="K46" s="73" t="s">
        <v>9</v>
      </c>
      <c r="L46" s="25" t="str">
        <f t="shared" si="8"/>
        <v>Redes Prediais</v>
      </c>
      <c r="M46" s="25" t="str">
        <f t="shared" si="8"/>
        <v>Sistemas Prediais</v>
      </c>
      <c r="N46" s="25" t="str">
        <f t="shared" si="8"/>
        <v>Coletores Prediais</v>
      </c>
      <c r="O46" s="25" t="str">
        <f t="shared" si="8"/>
        <v>Sistema de Esgoto Secundário</v>
      </c>
      <c r="P46" s="21" t="s">
        <v>390</v>
      </c>
      <c r="Q46" s="21" t="s">
        <v>629</v>
      </c>
      <c r="R46" s="21" t="s">
        <v>9</v>
      </c>
      <c r="S46" s="21" t="str">
        <f t="shared" si="6"/>
        <v>Redes Prediais</v>
      </c>
      <c r="T46" s="21" t="str">
        <f t="shared" si="6"/>
        <v>Sistemas Prediais</v>
      </c>
      <c r="U46" s="21" t="str">
        <f t="shared" si="6"/>
        <v>Coletores Prediais</v>
      </c>
      <c r="V46" s="21" t="s">
        <v>527</v>
      </c>
      <c r="W46" s="74" t="str">
        <f t="shared" si="3"/>
        <v>Key-TUB-46</v>
      </c>
      <c r="X46" s="21" t="s">
        <v>530</v>
      </c>
      <c r="Y46" s="71" t="s">
        <v>539</v>
      </c>
      <c r="Z46" s="21" t="s">
        <v>532</v>
      </c>
      <c r="AA46" s="21" t="s">
        <v>747</v>
      </c>
    </row>
    <row r="47" spans="1:27" ht="6.65" customHeight="1" x14ac:dyDescent="0.4">
      <c r="A47" s="72">
        <v>47</v>
      </c>
      <c r="B47" s="1" t="s">
        <v>838</v>
      </c>
      <c r="C47" s="1" t="s">
        <v>516</v>
      </c>
      <c r="D47" s="1" t="s">
        <v>401</v>
      </c>
      <c r="E47" s="1" t="s">
        <v>345</v>
      </c>
      <c r="F47" s="1" t="s">
        <v>399</v>
      </c>
      <c r="G47" s="73" t="s">
        <v>9</v>
      </c>
      <c r="H47" s="73" t="s">
        <v>9</v>
      </c>
      <c r="I47" s="73" t="s">
        <v>9</v>
      </c>
      <c r="J47" s="73" t="s">
        <v>9</v>
      </c>
      <c r="K47" s="73" t="s">
        <v>9</v>
      </c>
      <c r="L47" s="25" t="str">
        <f t="shared" si="8"/>
        <v>Redes Prediais</v>
      </c>
      <c r="M47" s="25" t="str">
        <f t="shared" si="8"/>
        <v>Sistemas Prediais</v>
      </c>
      <c r="N47" s="25" t="str">
        <f t="shared" si="8"/>
        <v>Coletores Prediais</v>
      </c>
      <c r="O47" s="25" t="str">
        <f t="shared" si="8"/>
        <v>Sistema de Ventilação</v>
      </c>
      <c r="P47" s="21" t="s">
        <v>307</v>
      </c>
      <c r="Q47" s="21" t="s">
        <v>630</v>
      </c>
      <c r="R47" s="21" t="s">
        <v>9</v>
      </c>
      <c r="S47" s="21" t="str">
        <f t="shared" si="6"/>
        <v>Redes Prediais</v>
      </c>
      <c r="T47" s="21" t="str">
        <f t="shared" si="6"/>
        <v>Sistemas Prediais</v>
      </c>
      <c r="U47" s="21" t="str">
        <f t="shared" si="6"/>
        <v>Coletores Prediais</v>
      </c>
      <c r="V47" s="21" t="s">
        <v>527</v>
      </c>
      <c r="W47" s="74" t="str">
        <f t="shared" si="3"/>
        <v>Key-TUB-47</v>
      </c>
      <c r="X47" s="21" t="s">
        <v>530</v>
      </c>
      <c r="Y47" s="71" t="s">
        <v>554</v>
      </c>
      <c r="Z47" s="21" t="s">
        <v>532</v>
      </c>
      <c r="AA47" s="21" t="s">
        <v>748</v>
      </c>
    </row>
    <row r="48" spans="1:27" ht="6.65" customHeight="1" x14ac:dyDescent="0.4">
      <c r="A48" s="72">
        <v>48</v>
      </c>
      <c r="B48" s="1" t="s">
        <v>838</v>
      </c>
      <c r="C48" s="1" t="s">
        <v>516</v>
      </c>
      <c r="D48" s="1" t="s">
        <v>401</v>
      </c>
      <c r="E48" s="1" t="s">
        <v>345</v>
      </c>
      <c r="F48" s="24" t="s">
        <v>400</v>
      </c>
      <c r="G48" s="73" t="s">
        <v>9</v>
      </c>
      <c r="H48" s="73" t="s">
        <v>9</v>
      </c>
      <c r="I48" s="73" t="s">
        <v>9</v>
      </c>
      <c r="J48" s="73" t="s">
        <v>9</v>
      </c>
      <c r="K48" s="73" t="s">
        <v>9</v>
      </c>
      <c r="L48" s="25" t="str">
        <f t="shared" si="8"/>
        <v>Redes Prediais</v>
      </c>
      <c r="M48" s="25" t="str">
        <f t="shared" si="8"/>
        <v>Sistemas Prediais</v>
      </c>
      <c r="N48" s="25" t="str">
        <f t="shared" si="8"/>
        <v>Coletores Prediais</v>
      </c>
      <c r="O48" s="25" t="str">
        <f t="shared" si="8"/>
        <v>Sistema de Pluvial</v>
      </c>
      <c r="P48" s="21" t="s">
        <v>308</v>
      </c>
      <c r="Q48" s="21" t="s">
        <v>631</v>
      </c>
      <c r="R48" s="21" t="s">
        <v>9</v>
      </c>
      <c r="S48" s="21" t="str">
        <f t="shared" si="6"/>
        <v>Redes Prediais</v>
      </c>
      <c r="T48" s="21" t="str">
        <f t="shared" si="6"/>
        <v>Sistemas Prediais</v>
      </c>
      <c r="U48" s="21" t="str">
        <f t="shared" si="6"/>
        <v>Coletores Prediais</v>
      </c>
      <c r="V48" s="21" t="s">
        <v>527</v>
      </c>
      <c r="W48" s="74" t="str">
        <f t="shared" si="3"/>
        <v>Key-TUB-48</v>
      </c>
      <c r="X48" s="21" t="s">
        <v>530</v>
      </c>
      <c r="Y48" s="71" t="s">
        <v>555</v>
      </c>
      <c r="Z48" s="21" t="s">
        <v>532</v>
      </c>
      <c r="AA48" s="21" t="s">
        <v>749</v>
      </c>
    </row>
    <row r="49" spans="1:27" ht="6.65" customHeight="1" x14ac:dyDescent="0.4">
      <c r="A49" s="72">
        <v>49</v>
      </c>
      <c r="B49" s="1" t="s">
        <v>838</v>
      </c>
      <c r="C49" s="1" t="s">
        <v>516</v>
      </c>
      <c r="D49" s="1" t="s">
        <v>401</v>
      </c>
      <c r="E49" s="1" t="s">
        <v>403</v>
      </c>
      <c r="F49" s="24" t="s">
        <v>405</v>
      </c>
      <c r="G49" s="73" t="s">
        <v>9</v>
      </c>
      <c r="H49" s="73" t="s">
        <v>9</v>
      </c>
      <c r="I49" s="73" t="s">
        <v>9</v>
      </c>
      <c r="J49" s="73" t="s">
        <v>9</v>
      </c>
      <c r="K49" s="73" t="s">
        <v>9</v>
      </c>
      <c r="L49" s="25" t="str">
        <f t="shared" si="8"/>
        <v>Redes Prediais</v>
      </c>
      <c r="M49" s="25" t="str">
        <f t="shared" si="8"/>
        <v>Sistemas Prediais</v>
      </c>
      <c r="N49" s="25" t="str">
        <f t="shared" si="8"/>
        <v>Proteção Descargas</v>
      </c>
      <c r="O49" s="25" t="str">
        <f t="shared" si="8"/>
        <v>Sistema de Aterramento</v>
      </c>
      <c r="P49" s="21" t="s">
        <v>407</v>
      </c>
      <c r="Q49" s="21" t="s">
        <v>632</v>
      </c>
      <c r="R49" s="21" t="s">
        <v>9</v>
      </c>
      <c r="S49" s="21" t="str">
        <f t="shared" si="6"/>
        <v>Redes Prediais</v>
      </c>
      <c r="T49" s="21" t="str">
        <f t="shared" si="6"/>
        <v>Sistemas Prediais</v>
      </c>
      <c r="U49" s="21" t="str">
        <f t="shared" si="6"/>
        <v>Proteção Descargas</v>
      </c>
      <c r="V49" s="21" t="s">
        <v>527</v>
      </c>
      <c r="W49" s="74" t="str">
        <f t="shared" si="3"/>
        <v>Key-TUB-49</v>
      </c>
      <c r="X49" s="21" t="s">
        <v>541</v>
      </c>
      <c r="Y49" s="71" t="s">
        <v>556</v>
      </c>
      <c r="Z49" s="21" t="s">
        <v>543</v>
      </c>
      <c r="AA49" s="21" t="s">
        <v>750</v>
      </c>
    </row>
    <row r="50" spans="1:27" ht="6.65" customHeight="1" x14ac:dyDescent="0.4">
      <c r="A50" s="72">
        <v>50</v>
      </c>
      <c r="B50" s="1" t="s">
        <v>838</v>
      </c>
      <c r="C50" s="1" t="s">
        <v>516</v>
      </c>
      <c r="D50" s="1" t="s">
        <v>401</v>
      </c>
      <c r="E50" s="1" t="s">
        <v>403</v>
      </c>
      <c r="F50" s="24" t="s">
        <v>404</v>
      </c>
      <c r="G50" s="73" t="s">
        <v>9</v>
      </c>
      <c r="H50" s="73" t="s">
        <v>9</v>
      </c>
      <c r="I50" s="73" t="s">
        <v>9</v>
      </c>
      <c r="J50" s="73" t="s">
        <v>9</v>
      </c>
      <c r="K50" s="73" t="s">
        <v>9</v>
      </c>
      <c r="L50" s="25" t="str">
        <f t="shared" si="8"/>
        <v>Redes Prediais</v>
      </c>
      <c r="M50" s="25" t="str">
        <f t="shared" si="8"/>
        <v>Sistemas Prediais</v>
      </c>
      <c r="N50" s="25" t="str">
        <f t="shared" si="8"/>
        <v>Proteção Descargas</v>
      </c>
      <c r="O50" s="25" t="str">
        <f t="shared" si="8"/>
        <v>Sistema de Pararaios</v>
      </c>
      <c r="P50" s="21" t="s">
        <v>406</v>
      </c>
      <c r="Q50" s="21" t="s">
        <v>633</v>
      </c>
      <c r="R50" s="21" t="s">
        <v>9</v>
      </c>
      <c r="S50" s="21" t="str">
        <f t="shared" si="6"/>
        <v>Redes Prediais</v>
      </c>
      <c r="T50" s="21" t="str">
        <f t="shared" si="6"/>
        <v>Sistemas Prediais</v>
      </c>
      <c r="U50" s="21" t="str">
        <f t="shared" si="6"/>
        <v>Proteção Descargas</v>
      </c>
      <c r="V50" s="21" t="s">
        <v>527</v>
      </c>
      <c r="W50" s="74" t="str">
        <f t="shared" si="3"/>
        <v>Key-TUB-50</v>
      </c>
      <c r="X50" s="21" t="s">
        <v>541</v>
      </c>
      <c r="Y50" s="71" t="s">
        <v>557</v>
      </c>
      <c r="Z50" s="21" t="s">
        <v>543</v>
      </c>
      <c r="AA50" s="21" t="s">
        <v>751</v>
      </c>
    </row>
    <row r="51" spans="1:27" ht="6.65" customHeight="1" x14ac:dyDescent="0.4">
      <c r="A51" s="72">
        <v>51</v>
      </c>
      <c r="B51" s="1" t="s">
        <v>838</v>
      </c>
      <c r="C51" s="1" t="s">
        <v>516</v>
      </c>
      <c r="D51" s="1" t="s">
        <v>434</v>
      </c>
      <c r="E51" s="1" t="s">
        <v>332</v>
      </c>
      <c r="F51" s="1" t="s">
        <v>449</v>
      </c>
      <c r="G51" s="73" t="s">
        <v>9</v>
      </c>
      <c r="H51" s="73" t="s">
        <v>9</v>
      </c>
      <c r="I51" s="73" t="s">
        <v>9</v>
      </c>
      <c r="J51" s="73" t="s">
        <v>9</v>
      </c>
      <c r="K51" s="73" t="s">
        <v>9</v>
      </c>
      <c r="L51" s="25" t="str">
        <f t="shared" si="8"/>
        <v>Redes Prediais</v>
      </c>
      <c r="M51" s="25" t="str">
        <f t="shared" si="8"/>
        <v>Uniões</v>
      </c>
      <c r="N51" s="25" t="str">
        <f t="shared" si="8"/>
        <v>Juntas</v>
      </c>
      <c r="O51" s="25" t="str">
        <f t="shared" si="8"/>
        <v>Junta Flangeada</v>
      </c>
      <c r="P51" s="21" t="s">
        <v>286</v>
      </c>
      <c r="Q51" s="21" t="s">
        <v>634</v>
      </c>
      <c r="R51" s="21" t="s">
        <v>9</v>
      </c>
      <c r="S51" s="21" t="str">
        <f t="shared" si="6"/>
        <v>Redes Prediais</v>
      </c>
      <c r="T51" s="21" t="str">
        <f t="shared" si="6"/>
        <v>Uniões</v>
      </c>
      <c r="U51" s="21" t="str">
        <f t="shared" si="6"/>
        <v>Juntas</v>
      </c>
      <c r="V51" s="21" t="s">
        <v>527</v>
      </c>
      <c r="W51" s="74" t="str">
        <f t="shared" si="3"/>
        <v>Key-TUB-51</v>
      </c>
      <c r="X51" s="21" t="s">
        <v>558</v>
      </c>
      <c r="Y51" s="21" t="s">
        <v>559</v>
      </c>
      <c r="Z51" s="21" t="s">
        <v>532</v>
      </c>
      <c r="AA51" s="21" t="s">
        <v>752</v>
      </c>
    </row>
    <row r="52" spans="1:27" ht="6.65" customHeight="1" x14ac:dyDescent="0.4">
      <c r="A52" s="72">
        <v>52</v>
      </c>
      <c r="B52" s="1" t="s">
        <v>838</v>
      </c>
      <c r="C52" s="1" t="s">
        <v>516</v>
      </c>
      <c r="D52" s="1" t="s">
        <v>434</v>
      </c>
      <c r="E52" s="1" t="s">
        <v>332</v>
      </c>
      <c r="F52" s="1" t="s">
        <v>450</v>
      </c>
      <c r="G52" s="73" t="s">
        <v>9</v>
      </c>
      <c r="H52" s="73" t="s">
        <v>9</v>
      </c>
      <c r="I52" s="73" t="s">
        <v>9</v>
      </c>
      <c r="J52" s="73" t="s">
        <v>9</v>
      </c>
      <c r="K52" s="73" t="s">
        <v>9</v>
      </c>
      <c r="L52" s="25" t="str">
        <f t="shared" si="8"/>
        <v>Redes Prediais</v>
      </c>
      <c r="M52" s="25" t="str">
        <f t="shared" si="8"/>
        <v>Uniões</v>
      </c>
      <c r="N52" s="25" t="str">
        <f t="shared" si="8"/>
        <v>Juntas</v>
      </c>
      <c r="O52" s="25" t="str">
        <f t="shared" si="8"/>
        <v>Junta Elástica</v>
      </c>
      <c r="P52" s="21" t="s">
        <v>459</v>
      </c>
      <c r="Q52" s="21" t="s">
        <v>635</v>
      </c>
      <c r="R52" s="21" t="s">
        <v>9</v>
      </c>
      <c r="S52" s="21" t="str">
        <f t="shared" si="6"/>
        <v>Redes Prediais</v>
      </c>
      <c r="T52" s="21" t="str">
        <f t="shared" si="6"/>
        <v>Uniões</v>
      </c>
      <c r="U52" s="21" t="str">
        <f t="shared" si="6"/>
        <v>Juntas</v>
      </c>
      <c r="V52" s="21" t="s">
        <v>527</v>
      </c>
      <c r="W52" s="74" t="str">
        <f t="shared" si="3"/>
        <v>Key-TUB-52</v>
      </c>
      <c r="X52" s="21" t="s">
        <v>558</v>
      </c>
      <c r="Y52" s="21" t="s">
        <v>559</v>
      </c>
      <c r="Z52" s="21" t="s">
        <v>532</v>
      </c>
      <c r="AA52" s="21" t="s">
        <v>753</v>
      </c>
    </row>
    <row r="53" spans="1:27" ht="6.65" customHeight="1" x14ac:dyDescent="0.4">
      <c r="A53" s="72">
        <v>53</v>
      </c>
      <c r="B53" s="1" t="s">
        <v>838</v>
      </c>
      <c r="C53" s="1" t="s">
        <v>516</v>
      </c>
      <c r="D53" s="1" t="s">
        <v>434</v>
      </c>
      <c r="E53" s="1" t="s">
        <v>332</v>
      </c>
      <c r="F53" s="1" t="s">
        <v>451</v>
      </c>
      <c r="G53" s="73" t="s">
        <v>9</v>
      </c>
      <c r="H53" s="73" t="s">
        <v>9</v>
      </c>
      <c r="I53" s="73" t="s">
        <v>9</v>
      </c>
      <c r="J53" s="73" t="s">
        <v>9</v>
      </c>
      <c r="K53" s="73" t="s">
        <v>9</v>
      </c>
      <c r="L53" s="25" t="str">
        <f t="shared" si="8"/>
        <v>Redes Prediais</v>
      </c>
      <c r="M53" s="25" t="str">
        <f t="shared" si="8"/>
        <v>Uniões</v>
      </c>
      <c r="N53" s="25" t="str">
        <f t="shared" si="8"/>
        <v>Juntas</v>
      </c>
      <c r="O53" s="25" t="str">
        <f t="shared" si="8"/>
        <v>Junta Travada Interna</v>
      </c>
      <c r="P53" s="21" t="s">
        <v>460</v>
      </c>
      <c r="Q53" s="21" t="s">
        <v>636</v>
      </c>
      <c r="R53" s="21" t="s">
        <v>9</v>
      </c>
      <c r="S53" s="21" t="str">
        <f t="shared" si="6"/>
        <v>Redes Prediais</v>
      </c>
      <c r="T53" s="21" t="str">
        <f t="shared" si="6"/>
        <v>Uniões</v>
      </c>
      <c r="U53" s="21" t="str">
        <f t="shared" si="6"/>
        <v>Juntas</v>
      </c>
      <c r="V53" s="21" t="s">
        <v>527</v>
      </c>
      <c r="W53" s="74" t="str">
        <f t="shared" si="3"/>
        <v>Key-TUB-53</v>
      </c>
      <c r="X53" s="21" t="s">
        <v>558</v>
      </c>
      <c r="Y53" s="21" t="s">
        <v>559</v>
      </c>
      <c r="Z53" s="21" t="s">
        <v>532</v>
      </c>
      <c r="AA53" s="21" t="s">
        <v>754</v>
      </c>
    </row>
    <row r="54" spans="1:27" ht="6.65" customHeight="1" x14ac:dyDescent="0.4">
      <c r="A54" s="72">
        <v>54</v>
      </c>
      <c r="B54" s="1" t="s">
        <v>838</v>
      </c>
      <c r="C54" s="1" t="s">
        <v>516</v>
      </c>
      <c r="D54" s="1" t="s">
        <v>434</v>
      </c>
      <c r="E54" s="1" t="s">
        <v>332</v>
      </c>
      <c r="F54" s="1" t="s">
        <v>452</v>
      </c>
      <c r="G54" s="73" t="s">
        <v>9</v>
      </c>
      <c r="H54" s="73" t="s">
        <v>9</v>
      </c>
      <c r="I54" s="73" t="s">
        <v>9</v>
      </c>
      <c r="J54" s="73" t="s">
        <v>9</v>
      </c>
      <c r="K54" s="73" t="s">
        <v>9</v>
      </c>
      <c r="L54" s="25" t="str">
        <f t="shared" si="8"/>
        <v>Redes Prediais</v>
      </c>
      <c r="M54" s="25" t="str">
        <f t="shared" si="8"/>
        <v>Uniões</v>
      </c>
      <c r="N54" s="25" t="str">
        <f t="shared" si="8"/>
        <v>Juntas</v>
      </c>
      <c r="O54" s="25" t="str">
        <f t="shared" si="8"/>
        <v>Junta Travada Externa</v>
      </c>
      <c r="P54" s="21" t="s">
        <v>461</v>
      </c>
      <c r="Q54" s="21" t="s">
        <v>637</v>
      </c>
      <c r="R54" s="21" t="s">
        <v>9</v>
      </c>
      <c r="S54" s="21" t="str">
        <f t="shared" si="6"/>
        <v>Redes Prediais</v>
      </c>
      <c r="T54" s="21" t="str">
        <f t="shared" si="6"/>
        <v>Uniões</v>
      </c>
      <c r="U54" s="21" t="str">
        <f t="shared" si="6"/>
        <v>Juntas</v>
      </c>
      <c r="V54" s="21" t="s">
        <v>527</v>
      </c>
      <c r="W54" s="74" t="str">
        <f t="shared" si="3"/>
        <v>Key-TUB-54</v>
      </c>
      <c r="X54" s="21" t="s">
        <v>558</v>
      </c>
      <c r="Y54" s="21" t="s">
        <v>559</v>
      </c>
      <c r="Z54" s="21" t="s">
        <v>532</v>
      </c>
      <c r="AA54" s="21" t="s">
        <v>755</v>
      </c>
    </row>
    <row r="55" spans="1:27" ht="6.65" customHeight="1" x14ac:dyDescent="0.4">
      <c r="A55" s="72">
        <v>55</v>
      </c>
      <c r="B55" s="1" t="s">
        <v>838</v>
      </c>
      <c r="C55" s="1" t="s">
        <v>516</v>
      </c>
      <c r="D55" s="1" t="s">
        <v>434</v>
      </c>
      <c r="E55" s="1" t="s">
        <v>332</v>
      </c>
      <c r="F55" s="1" t="s">
        <v>453</v>
      </c>
      <c r="G55" s="73" t="s">
        <v>9</v>
      </c>
      <c r="H55" s="73" t="s">
        <v>9</v>
      </c>
      <c r="I55" s="73" t="s">
        <v>9</v>
      </c>
      <c r="J55" s="73" t="s">
        <v>9</v>
      </c>
      <c r="K55" s="73" t="s">
        <v>9</v>
      </c>
      <c r="L55" s="25" t="str">
        <f t="shared" si="8"/>
        <v>Redes Prediais</v>
      </c>
      <c r="M55" s="25" t="str">
        <f t="shared" si="8"/>
        <v>Uniões</v>
      </c>
      <c r="N55" s="25" t="str">
        <f t="shared" si="8"/>
        <v>Juntas</v>
      </c>
      <c r="O55" s="25" t="str">
        <f t="shared" si="8"/>
        <v>Junta Mecânica</v>
      </c>
      <c r="P55" s="21" t="s">
        <v>462</v>
      </c>
      <c r="Q55" s="21" t="s">
        <v>638</v>
      </c>
      <c r="R55" s="21" t="s">
        <v>9</v>
      </c>
      <c r="S55" s="21" t="str">
        <f t="shared" si="6"/>
        <v>Redes Prediais</v>
      </c>
      <c r="T55" s="21" t="str">
        <f t="shared" si="6"/>
        <v>Uniões</v>
      </c>
      <c r="U55" s="21" t="str">
        <f t="shared" si="6"/>
        <v>Juntas</v>
      </c>
      <c r="V55" s="21" t="s">
        <v>527</v>
      </c>
      <c r="W55" s="74" t="str">
        <f t="shared" si="3"/>
        <v>Key-TUB-55</v>
      </c>
      <c r="X55" s="21" t="s">
        <v>558</v>
      </c>
      <c r="Y55" s="21" t="s">
        <v>559</v>
      </c>
      <c r="Z55" s="21" t="s">
        <v>532</v>
      </c>
      <c r="AA55" s="21" t="s">
        <v>756</v>
      </c>
    </row>
    <row r="56" spans="1:27" ht="6.65" customHeight="1" x14ac:dyDescent="0.4">
      <c r="A56" s="72">
        <v>56</v>
      </c>
      <c r="B56" s="1" t="s">
        <v>838</v>
      </c>
      <c r="C56" s="1" t="s">
        <v>516</v>
      </c>
      <c r="D56" s="1" t="s">
        <v>434</v>
      </c>
      <c r="E56" s="1" t="s">
        <v>332</v>
      </c>
      <c r="F56" s="1" t="s">
        <v>454</v>
      </c>
      <c r="G56" s="73" t="s">
        <v>9</v>
      </c>
      <c r="H56" s="73" t="s">
        <v>9</v>
      </c>
      <c r="I56" s="73" t="s">
        <v>9</v>
      </c>
      <c r="J56" s="73" t="s">
        <v>9</v>
      </c>
      <c r="K56" s="73" t="s">
        <v>9</v>
      </c>
      <c r="L56" s="25" t="str">
        <f t="shared" si="8"/>
        <v>Redes Prediais</v>
      </c>
      <c r="M56" s="25" t="str">
        <f t="shared" si="8"/>
        <v>Uniões</v>
      </c>
      <c r="N56" s="25" t="str">
        <f t="shared" si="8"/>
        <v>Juntas</v>
      </c>
      <c r="O56" s="25" t="str">
        <f t="shared" si="8"/>
        <v>Junta SMU</v>
      </c>
      <c r="P56" s="21" t="s">
        <v>287</v>
      </c>
      <c r="Q56" s="21" t="s">
        <v>639</v>
      </c>
      <c r="R56" s="21" t="s">
        <v>9</v>
      </c>
      <c r="S56" s="21" t="str">
        <f t="shared" si="6"/>
        <v>Redes Prediais</v>
      </c>
      <c r="T56" s="21" t="str">
        <f t="shared" si="6"/>
        <v>Uniões</v>
      </c>
      <c r="U56" s="21" t="str">
        <f t="shared" si="6"/>
        <v>Juntas</v>
      </c>
      <c r="V56" s="21" t="s">
        <v>527</v>
      </c>
      <c r="W56" s="74" t="str">
        <f t="shared" si="3"/>
        <v>Key-TUB-56</v>
      </c>
      <c r="X56" s="21" t="s">
        <v>558</v>
      </c>
      <c r="Y56" s="21" t="s">
        <v>559</v>
      </c>
      <c r="Z56" s="21" t="s">
        <v>532</v>
      </c>
      <c r="AA56" s="21" t="s">
        <v>757</v>
      </c>
    </row>
    <row r="57" spans="1:27" ht="6.65" customHeight="1" x14ac:dyDescent="0.4">
      <c r="A57" s="72">
        <v>57</v>
      </c>
      <c r="B57" s="1" t="s">
        <v>838</v>
      </c>
      <c r="C57" s="1" t="s">
        <v>516</v>
      </c>
      <c r="D57" s="1" t="s">
        <v>434</v>
      </c>
      <c r="E57" s="1" t="s">
        <v>332</v>
      </c>
      <c r="F57" s="1" t="s">
        <v>455</v>
      </c>
      <c r="G57" s="73" t="s">
        <v>9</v>
      </c>
      <c r="H57" s="73" t="s">
        <v>9</v>
      </c>
      <c r="I57" s="73" t="s">
        <v>9</v>
      </c>
      <c r="J57" s="73" t="s">
        <v>9</v>
      </c>
      <c r="K57" s="73" t="s">
        <v>9</v>
      </c>
      <c r="L57" s="25" t="str">
        <f t="shared" si="8"/>
        <v>Redes Prediais</v>
      </c>
      <c r="M57" s="25" t="str">
        <f t="shared" si="8"/>
        <v>Uniões</v>
      </c>
      <c r="N57" s="25" t="str">
        <f t="shared" si="8"/>
        <v>Juntas</v>
      </c>
      <c r="O57" s="25" t="str">
        <f t="shared" si="8"/>
        <v>Junta Roscável</v>
      </c>
      <c r="P57" s="21" t="s">
        <v>289</v>
      </c>
      <c r="Q57" s="21" t="s">
        <v>640</v>
      </c>
      <c r="R57" s="21" t="s">
        <v>9</v>
      </c>
      <c r="S57" s="21" t="str">
        <f t="shared" si="6"/>
        <v>Redes Prediais</v>
      </c>
      <c r="T57" s="21" t="str">
        <f t="shared" si="6"/>
        <v>Uniões</v>
      </c>
      <c r="U57" s="21" t="str">
        <f t="shared" si="6"/>
        <v>Juntas</v>
      </c>
      <c r="V57" s="21" t="s">
        <v>527</v>
      </c>
      <c r="W57" s="74" t="str">
        <f t="shared" si="3"/>
        <v>Key-TUB-57</v>
      </c>
      <c r="X57" s="21" t="s">
        <v>558</v>
      </c>
      <c r="Y57" s="21" t="s">
        <v>559</v>
      </c>
      <c r="Z57" s="21" t="s">
        <v>532</v>
      </c>
      <c r="AA57" s="21" t="s">
        <v>758</v>
      </c>
    </row>
    <row r="58" spans="1:27" ht="6.65" customHeight="1" x14ac:dyDescent="0.4">
      <c r="A58" s="72">
        <v>58</v>
      </c>
      <c r="B58" s="1" t="s">
        <v>838</v>
      </c>
      <c r="C58" s="1" t="s">
        <v>516</v>
      </c>
      <c r="D58" s="1" t="s">
        <v>434</v>
      </c>
      <c r="E58" s="1" t="s">
        <v>332</v>
      </c>
      <c r="F58" s="1" t="s">
        <v>456</v>
      </c>
      <c r="G58" s="73" t="s">
        <v>9</v>
      </c>
      <c r="H58" s="73" t="s">
        <v>9</v>
      </c>
      <c r="I58" s="73" t="s">
        <v>9</v>
      </c>
      <c r="J58" s="73" t="s">
        <v>9</v>
      </c>
      <c r="K58" s="73" t="s">
        <v>9</v>
      </c>
      <c r="L58" s="25" t="str">
        <f t="shared" si="8"/>
        <v>Redes Prediais</v>
      </c>
      <c r="M58" s="25" t="str">
        <f t="shared" si="8"/>
        <v>Uniões</v>
      </c>
      <c r="N58" s="25" t="str">
        <f t="shared" si="8"/>
        <v>Juntas</v>
      </c>
      <c r="O58" s="25" t="str">
        <f t="shared" si="8"/>
        <v>Junta Soldável</v>
      </c>
      <c r="P58" s="21" t="s">
        <v>288</v>
      </c>
      <c r="Q58" s="21" t="s">
        <v>641</v>
      </c>
      <c r="R58" s="21" t="s">
        <v>9</v>
      </c>
      <c r="S58" s="21" t="str">
        <f t="shared" si="6"/>
        <v>Redes Prediais</v>
      </c>
      <c r="T58" s="21" t="str">
        <f t="shared" si="6"/>
        <v>Uniões</v>
      </c>
      <c r="U58" s="21" t="str">
        <f t="shared" si="6"/>
        <v>Juntas</v>
      </c>
      <c r="V58" s="21" t="s">
        <v>527</v>
      </c>
      <c r="W58" s="74" t="str">
        <f t="shared" si="3"/>
        <v>Key-TUB-58</v>
      </c>
      <c r="X58" s="21" t="s">
        <v>558</v>
      </c>
      <c r="Y58" s="21" t="s">
        <v>559</v>
      </c>
      <c r="Z58" s="21" t="s">
        <v>532</v>
      </c>
      <c r="AA58" s="21" t="s">
        <v>759</v>
      </c>
    </row>
    <row r="59" spans="1:27" ht="6.65" customHeight="1" x14ac:dyDescent="0.4">
      <c r="A59" s="72">
        <v>59</v>
      </c>
      <c r="B59" s="1" t="s">
        <v>838</v>
      </c>
      <c r="C59" s="1" t="s">
        <v>516</v>
      </c>
      <c r="D59" s="1" t="s">
        <v>434</v>
      </c>
      <c r="E59" s="1" t="s">
        <v>332</v>
      </c>
      <c r="F59" s="1" t="s">
        <v>457</v>
      </c>
      <c r="G59" s="73" t="s">
        <v>9</v>
      </c>
      <c r="H59" s="73" t="s">
        <v>9</v>
      </c>
      <c r="I59" s="73" t="s">
        <v>9</v>
      </c>
      <c r="J59" s="73" t="s">
        <v>9</v>
      </c>
      <c r="K59" s="73" t="s">
        <v>9</v>
      </c>
      <c r="L59" s="25" t="str">
        <f t="shared" si="8"/>
        <v>Redes Prediais</v>
      </c>
      <c r="M59" s="25" t="str">
        <f t="shared" si="8"/>
        <v>Uniões</v>
      </c>
      <c r="N59" s="25" t="str">
        <f t="shared" si="8"/>
        <v>Juntas</v>
      </c>
      <c r="O59" s="25" t="str">
        <f t="shared" si="8"/>
        <v>Junta TermoFusão</v>
      </c>
      <c r="P59" s="21" t="s">
        <v>290</v>
      </c>
      <c r="Q59" s="21" t="s">
        <v>642</v>
      </c>
      <c r="R59" s="21" t="s">
        <v>9</v>
      </c>
      <c r="S59" s="21" t="str">
        <f t="shared" si="6"/>
        <v>Redes Prediais</v>
      </c>
      <c r="T59" s="21" t="str">
        <f t="shared" si="6"/>
        <v>Uniões</v>
      </c>
      <c r="U59" s="21" t="str">
        <f t="shared" si="6"/>
        <v>Juntas</v>
      </c>
      <c r="V59" s="21" t="s">
        <v>527</v>
      </c>
      <c r="W59" s="74" t="str">
        <f t="shared" si="3"/>
        <v>Key-TUB-59</v>
      </c>
      <c r="X59" s="21" t="s">
        <v>558</v>
      </c>
      <c r="Y59" s="21" t="s">
        <v>559</v>
      </c>
      <c r="Z59" s="21" t="s">
        <v>532</v>
      </c>
      <c r="AA59" s="21" t="s">
        <v>760</v>
      </c>
    </row>
    <row r="60" spans="1:27" ht="6.65" customHeight="1" x14ac:dyDescent="0.4">
      <c r="A60" s="72">
        <v>60</v>
      </c>
      <c r="B60" s="1" t="s">
        <v>838</v>
      </c>
      <c r="C60" s="1" t="s">
        <v>516</v>
      </c>
      <c r="D60" s="1" t="s">
        <v>434</v>
      </c>
      <c r="E60" s="1" t="s">
        <v>332</v>
      </c>
      <c r="F60" s="1" t="s">
        <v>458</v>
      </c>
      <c r="G60" s="73" t="s">
        <v>9</v>
      </c>
      <c r="H60" s="73" t="s">
        <v>9</v>
      </c>
      <c r="I60" s="73" t="s">
        <v>9</v>
      </c>
      <c r="J60" s="73" t="s">
        <v>9</v>
      </c>
      <c r="K60" s="73" t="s">
        <v>9</v>
      </c>
      <c r="L60" s="25" t="str">
        <f t="shared" si="8"/>
        <v>Redes Prediais</v>
      </c>
      <c r="M60" s="25" t="str">
        <f t="shared" si="8"/>
        <v>Uniões</v>
      </c>
      <c r="N60" s="25" t="str">
        <f t="shared" si="8"/>
        <v>Juntas</v>
      </c>
      <c r="O60" s="25" t="str">
        <f t="shared" si="8"/>
        <v>Junta Pressão</v>
      </c>
      <c r="P60" s="21" t="s">
        <v>294</v>
      </c>
      <c r="Q60" s="21" t="s">
        <v>643</v>
      </c>
      <c r="R60" s="21" t="s">
        <v>9</v>
      </c>
      <c r="S60" s="21" t="str">
        <f t="shared" si="6"/>
        <v>Redes Prediais</v>
      </c>
      <c r="T60" s="21" t="str">
        <f t="shared" si="6"/>
        <v>Uniões</v>
      </c>
      <c r="U60" s="21" t="str">
        <f t="shared" si="6"/>
        <v>Juntas</v>
      </c>
      <c r="V60" s="21" t="s">
        <v>527</v>
      </c>
      <c r="W60" s="74" t="str">
        <f t="shared" si="3"/>
        <v>Key-TUB-60</v>
      </c>
      <c r="X60" s="21" t="s">
        <v>558</v>
      </c>
      <c r="Y60" s="21" t="s">
        <v>559</v>
      </c>
      <c r="Z60" s="21" t="s">
        <v>532</v>
      </c>
      <c r="AA60" s="21" t="s">
        <v>761</v>
      </c>
    </row>
    <row r="61" spans="1:27" ht="6.65" customHeight="1" x14ac:dyDescent="0.4">
      <c r="A61" s="72">
        <v>61</v>
      </c>
      <c r="B61" s="1" t="s">
        <v>838</v>
      </c>
      <c r="C61" s="1" t="s">
        <v>516</v>
      </c>
      <c r="D61" s="1" t="s">
        <v>432</v>
      </c>
      <c r="E61" s="1" t="s">
        <v>413</v>
      </c>
      <c r="F61" s="1" t="s">
        <v>414</v>
      </c>
      <c r="G61" s="73" t="s">
        <v>9</v>
      </c>
      <c r="H61" s="73" t="s">
        <v>9</v>
      </c>
      <c r="I61" s="73" t="s">
        <v>9</v>
      </c>
      <c r="J61" s="73" t="s">
        <v>9</v>
      </c>
      <c r="K61" s="73" t="s">
        <v>9</v>
      </c>
      <c r="L61" s="25" t="str">
        <f t="shared" si="8"/>
        <v>Redes Prediais</v>
      </c>
      <c r="M61" s="25" t="str">
        <f t="shared" si="8"/>
        <v>Traçados</v>
      </c>
      <c r="N61" s="25" t="str">
        <f t="shared" si="8"/>
        <v>Caixas Pluviais</v>
      </c>
      <c r="O61" s="25" t="str">
        <f t="shared" si="8"/>
        <v>Caixa Areia Pluvial</v>
      </c>
      <c r="P61" s="21" t="s">
        <v>425</v>
      </c>
      <c r="Q61" s="21" t="s">
        <v>644</v>
      </c>
      <c r="R61" s="21" t="s">
        <v>9</v>
      </c>
      <c r="S61" s="21" t="str">
        <f t="shared" si="6"/>
        <v>Redes Prediais</v>
      </c>
      <c r="T61" s="21" t="str">
        <f t="shared" si="6"/>
        <v>Traçados</v>
      </c>
      <c r="U61" s="21" t="str">
        <f t="shared" si="6"/>
        <v>Caixas Pluviais</v>
      </c>
      <c r="V61" s="21" t="s">
        <v>527</v>
      </c>
      <c r="W61" s="74" t="str">
        <f t="shared" si="3"/>
        <v>Key-TUB-61</v>
      </c>
      <c r="X61" s="21" t="s">
        <v>560</v>
      </c>
      <c r="Y61" s="21" t="s">
        <v>561</v>
      </c>
      <c r="Z61" s="21" t="s">
        <v>532</v>
      </c>
      <c r="AA61" s="21" t="s">
        <v>762</v>
      </c>
    </row>
    <row r="62" spans="1:27" ht="6.65" customHeight="1" x14ac:dyDescent="0.4">
      <c r="A62" s="72">
        <v>62</v>
      </c>
      <c r="B62" s="1" t="s">
        <v>838</v>
      </c>
      <c r="C62" s="1" t="s">
        <v>516</v>
      </c>
      <c r="D62" s="1" t="s">
        <v>432</v>
      </c>
      <c r="E62" s="1" t="s">
        <v>413</v>
      </c>
      <c r="F62" s="1" t="s">
        <v>416</v>
      </c>
      <c r="G62" s="73" t="s">
        <v>9</v>
      </c>
      <c r="H62" s="73" t="s">
        <v>9</v>
      </c>
      <c r="I62" s="73" t="s">
        <v>9</v>
      </c>
      <c r="J62" s="73" t="s">
        <v>9</v>
      </c>
      <c r="K62" s="73" t="s">
        <v>9</v>
      </c>
      <c r="L62" s="25" t="str">
        <f t="shared" ref="L62:O121" si="9">SUBSTITUTE(CONCATENATE("", C62), ".", " ")</f>
        <v>Redes Prediais</v>
      </c>
      <c r="M62" s="25" t="str">
        <f t="shared" si="9"/>
        <v>Traçados</v>
      </c>
      <c r="N62" s="25" t="str">
        <f t="shared" si="9"/>
        <v>Caixas Pluviais</v>
      </c>
      <c r="O62" s="25" t="str">
        <f t="shared" si="9"/>
        <v>Tanque de Detenção</v>
      </c>
      <c r="P62" s="21" t="s">
        <v>424</v>
      </c>
      <c r="Q62" s="21" t="s">
        <v>645</v>
      </c>
      <c r="R62" s="21" t="s">
        <v>9</v>
      </c>
      <c r="S62" s="21" t="str">
        <f t="shared" si="6"/>
        <v>Redes Prediais</v>
      </c>
      <c r="T62" s="21" t="str">
        <f t="shared" si="6"/>
        <v>Traçados</v>
      </c>
      <c r="U62" s="21" t="str">
        <f t="shared" si="6"/>
        <v>Caixas Pluviais</v>
      </c>
      <c r="V62" s="21" t="s">
        <v>527</v>
      </c>
      <c r="W62" s="74" t="str">
        <f t="shared" si="3"/>
        <v>Key-TUB-62</v>
      </c>
      <c r="X62" s="21" t="s">
        <v>560</v>
      </c>
      <c r="Y62" s="21" t="s">
        <v>561</v>
      </c>
      <c r="Z62" s="21" t="s">
        <v>532</v>
      </c>
      <c r="AA62" s="21" t="s">
        <v>763</v>
      </c>
    </row>
    <row r="63" spans="1:27" ht="6.65" customHeight="1" x14ac:dyDescent="0.4">
      <c r="A63" s="72">
        <v>63</v>
      </c>
      <c r="B63" s="1" t="s">
        <v>838</v>
      </c>
      <c r="C63" s="1" t="s">
        <v>516</v>
      </c>
      <c r="D63" s="1" t="s">
        <v>432</v>
      </c>
      <c r="E63" s="1" t="s">
        <v>413</v>
      </c>
      <c r="F63" s="1" t="s">
        <v>417</v>
      </c>
      <c r="G63" s="73" t="s">
        <v>9</v>
      </c>
      <c r="H63" s="73" t="s">
        <v>9</v>
      </c>
      <c r="I63" s="73" t="s">
        <v>9</v>
      </c>
      <c r="J63" s="73" t="s">
        <v>9</v>
      </c>
      <c r="K63" s="73" t="s">
        <v>9</v>
      </c>
      <c r="L63" s="25" t="str">
        <f t="shared" si="9"/>
        <v>Redes Prediais</v>
      </c>
      <c r="M63" s="25" t="str">
        <f t="shared" si="9"/>
        <v>Traçados</v>
      </c>
      <c r="N63" s="25" t="str">
        <f t="shared" si="9"/>
        <v>Caixas Pluviais</v>
      </c>
      <c r="O63" s="25" t="str">
        <f t="shared" si="9"/>
        <v>Tanque de Atenuação</v>
      </c>
      <c r="P63" s="21" t="s">
        <v>423</v>
      </c>
      <c r="Q63" s="21" t="s">
        <v>646</v>
      </c>
      <c r="R63" s="21" t="s">
        <v>9</v>
      </c>
      <c r="S63" s="21" t="str">
        <f t="shared" si="6"/>
        <v>Redes Prediais</v>
      </c>
      <c r="T63" s="21" t="str">
        <f t="shared" si="6"/>
        <v>Traçados</v>
      </c>
      <c r="U63" s="21" t="str">
        <f t="shared" si="6"/>
        <v>Caixas Pluviais</v>
      </c>
      <c r="V63" s="21" t="s">
        <v>527</v>
      </c>
      <c r="W63" s="74" t="str">
        <f t="shared" si="3"/>
        <v>Key-TUB-63</v>
      </c>
      <c r="X63" s="21" t="s">
        <v>560</v>
      </c>
      <c r="Y63" s="21" t="s">
        <v>561</v>
      </c>
      <c r="Z63" s="21" t="s">
        <v>532</v>
      </c>
      <c r="AA63" s="21" t="s">
        <v>764</v>
      </c>
    </row>
    <row r="64" spans="1:27" ht="6.65" customHeight="1" x14ac:dyDescent="0.4">
      <c r="A64" s="72">
        <v>64</v>
      </c>
      <c r="B64" s="1" t="s">
        <v>838</v>
      </c>
      <c r="C64" s="1" t="s">
        <v>516</v>
      </c>
      <c r="D64" s="1" t="s">
        <v>432</v>
      </c>
      <c r="E64" s="1" t="s">
        <v>433</v>
      </c>
      <c r="F64" s="1" t="s">
        <v>418</v>
      </c>
      <c r="G64" s="73" t="s">
        <v>9</v>
      </c>
      <c r="H64" s="73" t="s">
        <v>9</v>
      </c>
      <c r="I64" s="73" t="s">
        <v>9</v>
      </c>
      <c r="J64" s="73" t="s">
        <v>9</v>
      </c>
      <c r="K64" s="73" t="s">
        <v>9</v>
      </c>
      <c r="L64" s="25" t="str">
        <f t="shared" si="9"/>
        <v>Redes Prediais</v>
      </c>
      <c r="M64" s="25" t="str">
        <f t="shared" si="9"/>
        <v>Traçados</v>
      </c>
      <c r="N64" s="25" t="str">
        <f t="shared" si="9"/>
        <v>Caixas Desagües</v>
      </c>
      <c r="O64" s="25" t="str">
        <f t="shared" si="9"/>
        <v>Caixa de Gordura</v>
      </c>
      <c r="P64" s="21" t="s">
        <v>426</v>
      </c>
      <c r="Q64" s="21" t="s">
        <v>647</v>
      </c>
      <c r="R64" s="21" t="s">
        <v>9</v>
      </c>
      <c r="S64" s="21" t="str">
        <f t="shared" si="6"/>
        <v>Redes Prediais</v>
      </c>
      <c r="T64" s="21" t="str">
        <f t="shared" si="6"/>
        <v>Traçados</v>
      </c>
      <c r="U64" s="21" t="str">
        <f t="shared" si="6"/>
        <v>Caixas Desagües</v>
      </c>
      <c r="V64" s="21" t="s">
        <v>527</v>
      </c>
      <c r="W64" s="74" t="str">
        <f t="shared" si="3"/>
        <v>Key-TUB-64</v>
      </c>
      <c r="X64" s="21" t="s">
        <v>560</v>
      </c>
      <c r="Y64" s="21" t="s">
        <v>561</v>
      </c>
      <c r="Z64" s="21" t="s">
        <v>532</v>
      </c>
      <c r="AA64" s="21" t="s">
        <v>765</v>
      </c>
    </row>
    <row r="65" spans="1:27" ht="6.65" customHeight="1" x14ac:dyDescent="0.4">
      <c r="A65" s="72">
        <v>65</v>
      </c>
      <c r="B65" s="1" t="s">
        <v>838</v>
      </c>
      <c r="C65" s="1" t="s">
        <v>516</v>
      </c>
      <c r="D65" s="1" t="s">
        <v>432</v>
      </c>
      <c r="E65" s="1" t="s">
        <v>433</v>
      </c>
      <c r="F65" s="1" t="s">
        <v>419</v>
      </c>
      <c r="G65" s="73" t="s">
        <v>9</v>
      </c>
      <c r="H65" s="73" t="s">
        <v>9</v>
      </c>
      <c r="I65" s="73" t="s">
        <v>9</v>
      </c>
      <c r="J65" s="73" t="s">
        <v>9</v>
      </c>
      <c r="K65" s="73" t="s">
        <v>9</v>
      </c>
      <c r="L65" s="25" t="str">
        <f t="shared" si="9"/>
        <v>Redes Prediais</v>
      </c>
      <c r="M65" s="25" t="str">
        <f t="shared" si="9"/>
        <v>Traçados</v>
      </c>
      <c r="N65" s="25" t="str">
        <f t="shared" si="9"/>
        <v>Caixas Desagües</v>
      </c>
      <c r="O65" s="25" t="str">
        <f t="shared" si="9"/>
        <v>Caixa de Passagem</v>
      </c>
      <c r="P65" s="21" t="s">
        <v>422</v>
      </c>
      <c r="Q65" s="21" t="s">
        <v>648</v>
      </c>
      <c r="R65" s="21" t="s">
        <v>9</v>
      </c>
      <c r="S65" s="21" t="str">
        <f t="shared" si="6"/>
        <v>Redes Prediais</v>
      </c>
      <c r="T65" s="21" t="str">
        <f t="shared" si="6"/>
        <v>Traçados</v>
      </c>
      <c r="U65" s="21" t="str">
        <f t="shared" si="6"/>
        <v>Caixas Desagües</v>
      </c>
      <c r="V65" s="21" t="s">
        <v>527</v>
      </c>
      <c r="W65" s="74" t="str">
        <f t="shared" si="3"/>
        <v>Key-TUB-65</v>
      </c>
      <c r="X65" s="21" t="s">
        <v>560</v>
      </c>
      <c r="Y65" s="21" t="s">
        <v>561</v>
      </c>
      <c r="Z65" s="21" t="s">
        <v>532</v>
      </c>
      <c r="AA65" s="21" t="s">
        <v>766</v>
      </c>
    </row>
    <row r="66" spans="1:27" ht="6.65" customHeight="1" x14ac:dyDescent="0.4">
      <c r="A66" s="72">
        <v>66</v>
      </c>
      <c r="B66" s="1" t="s">
        <v>838</v>
      </c>
      <c r="C66" s="1" t="s">
        <v>516</v>
      </c>
      <c r="D66" s="1" t="s">
        <v>432</v>
      </c>
      <c r="E66" s="1" t="s">
        <v>433</v>
      </c>
      <c r="F66" s="1" t="s">
        <v>420</v>
      </c>
      <c r="G66" s="73" t="s">
        <v>9</v>
      </c>
      <c r="H66" s="73" t="s">
        <v>9</v>
      </c>
      <c r="I66" s="73" t="s">
        <v>9</v>
      </c>
      <c r="J66" s="73" t="s">
        <v>9</v>
      </c>
      <c r="K66" s="73" t="s">
        <v>9</v>
      </c>
      <c r="L66" s="25" t="str">
        <f t="shared" si="9"/>
        <v>Redes Prediais</v>
      </c>
      <c r="M66" s="25" t="str">
        <f t="shared" si="9"/>
        <v>Traçados</v>
      </c>
      <c r="N66" s="25" t="str">
        <f t="shared" si="9"/>
        <v>Caixas Desagües</v>
      </c>
      <c r="O66" s="25" t="str">
        <f t="shared" si="9"/>
        <v>Caixa de Inspecção</v>
      </c>
      <c r="P66" s="21" t="s">
        <v>421</v>
      </c>
      <c r="Q66" s="21" t="s">
        <v>649</v>
      </c>
      <c r="R66" s="21" t="s">
        <v>9</v>
      </c>
      <c r="S66" s="21" t="str">
        <f t="shared" si="6"/>
        <v>Redes Prediais</v>
      </c>
      <c r="T66" s="21" t="str">
        <f t="shared" si="6"/>
        <v>Traçados</v>
      </c>
      <c r="U66" s="21" t="str">
        <f t="shared" si="6"/>
        <v>Caixas Desagües</v>
      </c>
      <c r="V66" s="21" t="s">
        <v>527</v>
      </c>
      <c r="W66" s="74" t="str">
        <f t="shared" ref="W66:W126" si="10">CONCATENATE("Key-TUB-",A66)</f>
        <v>Key-TUB-66</v>
      </c>
      <c r="X66" s="21" t="s">
        <v>560</v>
      </c>
      <c r="Y66" s="21" t="s">
        <v>561</v>
      </c>
      <c r="Z66" s="21" t="s">
        <v>532</v>
      </c>
      <c r="AA66" s="21" t="s">
        <v>767</v>
      </c>
    </row>
    <row r="67" spans="1:27" ht="6.65" customHeight="1" x14ac:dyDescent="0.4">
      <c r="A67" s="72">
        <v>67</v>
      </c>
      <c r="B67" s="1" t="s">
        <v>838</v>
      </c>
      <c r="C67" s="1" t="s">
        <v>516</v>
      </c>
      <c r="D67" s="1" t="s">
        <v>432</v>
      </c>
      <c r="E67" s="1" t="s">
        <v>322</v>
      </c>
      <c r="F67" s="1" t="s">
        <v>325</v>
      </c>
      <c r="G67" s="73" t="s">
        <v>9</v>
      </c>
      <c r="H67" s="73" t="s">
        <v>9</v>
      </c>
      <c r="I67" s="73" t="s">
        <v>9</v>
      </c>
      <c r="J67" s="73" t="s">
        <v>9</v>
      </c>
      <c r="K67" s="73" t="s">
        <v>9</v>
      </c>
      <c r="L67" s="25" t="str">
        <f t="shared" si="9"/>
        <v>Redes Prediais</v>
      </c>
      <c r="M67" s="25" t="str">
        <f t="shared" si="9"/>
        <v>Traçados</v>
      </c>
      <c r="N67" s="25" t="str">
        <f t="shared" si="9"/>
        <v>Ralos</v>
      </c>
      <c r="O67" s="25" t="str">
        <f t="shared" si="9"/>
        <v>Ralo Seco</v>
      </c>
      <c r="P67" s="21" t="s">
        <v>329</v>
      </c>
      <c r="Q67" s="21" t="s">
        <v>650</v>
      </c>
      <c r="R67" s="21" t="s">
        <v>9</v>
      </c>
      <c r="S67" s="21" t="str">
        <f t="shared" si="6"/>
        <v>Redes Prediais</v>
      </c>
      <c r="T67" s="21" t="str">
        <f t="shared" si="6"/>
        <v>Traçados</v>
      </c>
      <c r="U67" s="21" t="str">
        <f t="shared" si="6"/>
        <v>Ralos</v>
      </c>
      <c r="V67" s="21" t="s">
        <v>527</v>
      </c>
      <c r="W67" s="74" t="str">
        <f t="shared" si="10"/>
        <v>Key-TUB-67</v>
      </c>
      <c r="X67" s="21" t="s">
        <v>560</v>
      </c>
      <c r="Y67" s="21" t="s">
        <v>561</v>
      </c>
      <c r="Z67" s="21" t="s">
        <v>532</v>
      </c>
      <c r="AA67" s="21" t="s">
        <v>768</v>
      </c>
    </row>
    <row r="68" spans="1:27" ht="6.65" customHeight="1" x14ac:dyDescent="0.4">
      <c r="A68" s="72">
        <v>68</v>
      </c>
      <c r="B68" s="1" t="s">
        <v>838</v>
      </c>
      <c r="C68" s="1" t="s">
        <v>516</v>
      </c>
      <c r="D68" s="1" t="s">
        <v>432</v>
      </c>
      <c r="E68" s="1" t="s">
        <v>322</v>
      </c>
      <c r="F68" s="1" t="s">
        <v>323</v>
      </c>
      <c r="G68" s="73" t="s">
        <v>9</v>
      </c>
      <c r="H68" s="73" t="s">
        <v>9</v>
      </c>
      <c r="I68" s="73" t="s">
        <v>9</v>
      </c>
      <c r="J68" s="73" t="s">
        <v>9</v>
      </c>
      <c r="K68" s="73" t="s">
        <v>9</v>
      </c>
      <c r="L68" s="25" t="str">
        <f t="shared" si="9"/>
        <v>Redes Prediais</v>
      </c>
      <c r="M68" s="25" t="str">
        <f t="shared" si="9"/>
        <v>Traçados</v>
      </c>
      <c r="N68" s="25" t="str">
        <f t="shared" si="9"/>
        <v>Ralos</v>
      </c>
      <c r="O68" s="25" t="str">
        <f t="shared" si="9"/>
        <v>Ralo Sifonado</v>
      </c>
      <c r="P68" s="21" t="s">
        <v>328</v>
      </c>
      <c r="Q68" s="21" t="s">
        <v>651</v>
      </c>
      <c r="R68" s="21" t="s">
        <v>9</v>
      </c>
      <c r="S68" s="21" t="str">
        <f t="shared" si="6"/>
        <v>Redes Prediais</v>
      </c>
      <c r="T68" s="21" t="str">
        <f t="shared" si="6"/>
        <v>Traçados</v>
      </c>
      <c r="U68" s="21" t="str">
        <f t="shared" si="6"/>
        <v>Ralos</v>
      </c>
      <c r="V68" s="21" t="s">
        <v>527</v>
      </c>
      <c r="W68" s="74" t="str">
        <f t="shared" si="10"/>
        <v>Key-TUB-68</v>
      </c>
      <c r="X68" s="21" t="s">
        <v>560</v>
      </c>
      <c r="Y68" s="21" t="s">
        <v>561</v>
      </c>
      <c r="Z68" s="21" t="s">
        <v>532</v>
      </c>
      <c r="AA68" s="21" t="s">
        <v>769</v>
      </c>
    </row>
    <row r="69" spans="1:27" ht="6.65" customHeight="1" x14ac:dyDescent="0.4">
      <c r="A69" s="72">
        <v>69</v>
      </c>
      <c r="B69" s="1" t="s">
        <v>838</v>
      </c>
      <c r="C69" s="1" t="s">
        <v>516</v>
      </c>
      <c r="D69" s="1" t="s">
        <v>432</v>
      </c>
      <c r="E69" s="1" t="s">
        <v>322</v>
      </c>
      <c r="F69" s="1" t="s">
        <v>324</v>
      </c>
      <c r="G69" s="73" t="s">
        <v>9</v>
      </c>
      <c r="H69" s="73" t="s">
        <v>9</v>
      </c>
      <c r="I69" s="73" t="s">
        <v>9</v>
      </c>
      <c r="J69" s="73" t="s">
        <v>9</v>
      </c>
      <c r="K69" s="73" t="s">
        <v>9</v>
      </c>
      <c r="L69" s="25" t="str">
        <f t="shared" si="9"/>
        <v>Redes Prediais</v>
      </c>
      <c r="M69" s="25" t="str">
        <f t="shared" si="9"/>
        <v>Traçados</v>
      </c>
      <c r="N69" s="25" t="str">
        <f t="shared" si="9"/>
        <v>Ralos</v>
      </c>
      <c r="O69" s="25" t="str">
        <f t="shared" si="9"/>
        <v>Ralo Sifonado Prolongado</v>
      </c>
      <c r="P69" s="21" t="s">
        <v>330</v>
      </c>
      <c r="Q69" s="21" t="s">
        <v>652</v>
      </c>
      <c r="R69" s="21" t="s">
        <v>9</v>
      </c>
      <c r="S69" s="21" t="str">
        <f t="shared" si="6"/>
        <v>Redes Prediais</v>
      </c>
      <c r="T69" s="21" t="str">
        <f t="shared" si="6"/>
        <v>Traçados</v>
      </c>
      <c r="U69" s="21" t="str">
        <f t="shared" si="6"/>
        <v>Ralos</v>
      </c>
      <c r="V69" s="21" t="s">
        <v>527</v>
      </c>
      <c r="W69" s="74" t="str">
        <f t="shared" si="10"/>
        <v>Key-TUB-69</v>
      </c>
      <c r="X69" s="21" t="s">
        <v>560</v>
      </c>
      <c r="Y69" s="21" t="s">
        <v>561</v>
      </c>
      <c r="Z69" s="21" t="s">
        <v>532</v>
      </c>
      <c r="AA69" s="21" t="s">
        <v>770</v>
      </c>
    </row>
    <row r="70" spans="1:27" ht="6.65" customHeight="1" x14ac:dyDescent="0.4">
      <c r="A70" s="72">
        <v>70</v>
      </c>
      <c r="B70" s="1" t="s">
        <v>838</v>
      </c>
      <c r="C70" s="1" t="s">
        <v>516</v>
      </c>
      <c r="D70" s="1" t="s">
        <v>432</v>
      </c>
      <c r="E70" s="1" t="s">
        <v>322</v>
      </c>
      <c r="F70" s="1" t="s">
        <v>326</v>
      </c>
      <c r="G70" s="73" t="s">
        <v>9</v>
      </c>
      <c r="H70" s="73" t="s">
        <v>9</v>
      </c>
      <c r="I70" s="73" t="s">
        <v>9</v>
      </c>
      <c r="J70" s="73" t="s">
        <v>9</v>
      </c>
      <c r="K70" s="73" t="s">
        <v>9</v>
      </c>
      <c r="L70" s="25" t="str">
        <f t="shared" si="9"/>
        <v>Redes Prediais</v>
      </c>
      <c r="M70" s="25" t="str">
        <f t="shared" si="9"/>
        <v>Traçados</v>
      </c>
      <c r="N70" s="25" t="str">
        <f t="shared" si="9"/>
        <v>Ralos</v>
      </c>
      <c r="O70" s="25" t="str">
        <f t="shared" si="9"/>
        <v>Ralo Pluvial Hemisfêrico</v>
      </c>
      <c r="P70" s="21" t="s">
        <v>331</v>
      </c>
      <c r="Q70" s="21" t="s">
        <v>653</v>
      </c>
      <c r="R70" s="21" t="s">
        <v>9</v>
      </c>
      <c r="S70" s="21" t="str">
        <f t="shared" si="6"/>
        <v>Redes Prediais</v>
      </c>
      <c r="T70" s="21" t="str">
        <f t="shared" si="6"/>
        <v>Traçados</v>
      </c>
      <c r="U70" s="21" t="str">
        <f t="shared" si="6"/>
        <v>Ralos</v>
      </c>
      <c r="V70" s="21" t="s">
        <v>527</v>
      </c>
      <c r="W70" s="74" t="str">
        <f t="shared" si="10"/>
        <v>Key-TUB-70</v>
      </c>
      <c r="X70" s="21" t="s">
        <v>560</v>
      </c>
      <c r="Y70" s="21" t="s">
        <v>561</v>
      </c>
      <c r="Z70" s="21" t="s">
        <v>532</v>
      </c>
      <c r="AA70" s="21" t="s">
        <v>771</v>
      </c>
    </row>
    <row r="71" spans="1:27" ht="6.65" customHeight="1" x14ac:dyDescent="0.4">
      <c r="A71" s="72">
        <v>71</v>
      </c>
      <c r="B71" s="1" t="s">
        <v>838</v>
      </c>
      <c r="C71" s="1" t="s">
        <v>516</v>
      </c>
      <c r="D71" s="1" t="s">
        <v>432</v>
      </c>
      <c r="E71" s="1" t="s">
        <v>322</v>
      </c>
      <c r="F71" s="1" t="s">
        <v>327</v>
      </c>
      <c r="G71" s="73" t="s">
        <v>9</v>
      </c>
      <c r="H71" s="73" t="s">
        <v>9</v>
      </c>
      <c r="I71" s="73" t="s">
        <v>9</v>
      </c>
      <c r="J71" s="73" t="s">
        <v>9</v>
      </c>
      <c r="K71" s="73" t="s">
        <v>9</v>
      </c>
      <c r="L71" s="25" t="str">
        <f t="shared" si="9"/>
        <v>Redes Prediais</v>
      </c>
      <c r="M71" s="25" t="str">
        <f t="shared" si="9"/>
        <v>Traçados</v>
      </c>
      <c r="N71" s="25" t="str">
        <f t="shared" si="9"/>
        <v>Ralos</v>
      </c>
      <c r="O71" s="25" t="str">
        <f t="shared" si="9"/>
        <v>Ralo Lineal</v>
      </c>
      <c r="P71" s="21" t="s">
        <v>415</v>
      </c>
      <c r="Q71" s="21" t="s">
        <v>654</v>
      </c>
      <c r="R71" s="21" t="s">
        <v>9</v>
      </c>
      <c r="S71" s="21" t="str">
        <f t="shared" si="6"/>
        <v>Redes Prediais</v>
      </c>
      <c r="T71" s="21" t="str">
        <f t="shared" si="6"/>
        <v>Traçados</v>
      </c>
      <c r="U71" s="21" t="str">
        <f t="shared" si="6"/>
        <v>Ralos</v>
      </c>
      <c r="V71" s="21" t="s">
        <v>527</v>
      </c>
      <c r="W71" s="74" t="str">
        <f t="shared" si="10"/>
        <v>Key-TUB-71</v>
      </c>
      <c r="X71" s="21" t="s">
        <v>560</v>
      </c>
      <c r="Y71" s="21" t="s">
        <v>561</v>
      </c>
      <c r="Z71" s="21" t="s">
        <v>532</v>
      </c>
      <c r="AA71" s="21" t="s">
        <v>772</v>
      </c>
    </row>
    <row r="72" spans="1:27" ht="6.65" customHeight="1" x14ac:dyDescent="0.4">
      <c r="A72" s="72">
        <v>72</v>
      </c>
      <c r="B72" s="1" t="s">
        <v>838</v>
      </c>
      <c r="C72" s="1" t="s">
        <v>516</v>
      </c>
      <c r="D72" s="1" t="s">
        <v>432</v>
      </c>
      <c r="E72" s="1" t="s">
        <v>333</v>
      </c>
      <c r="F72" s="1" t="s">
        <v>104</v>
      </c>
      <c r="G72" s="73" t="s">
        <v>9</v>
      </c>
      <c r="H72" s="73" t="s">
        <v>9</v>
      </c>
      <c r="I72" s="73" t="s">
        <v>9</v>
      </c>
      <c r="J72" s="73" t="s">
        <v>9</v>
      </c>
      <c r="K72" s="73" t="s">
        <v>9</v>
      </c>
      <c r="L72" s="25" t="str">
        <f t="shared" si="9"/>
        <v>Redes Prediais</v>
      </c>
      <c r="M72" s="25" t="str">
        <f t="shared" si="9"/>
        <v>Traçados</v>
      </c>
      <c r="N72" s="25" t="str">
        <f t="shared" si="9"/>
        <v>Tubos</v>
      </c>
      <c r="O72" s="25" t="str">
        <f t="shared" si="9"/>
        <v>Tubo Flexível</v>
      </c>
      <c r="P72" s="21" t="s">
        <v>279</v>
      </c>
      <c r="Q72" s="21" t="s">
        <v>655</v>
      </c>
      <c r="R72" s="21" t="s">
        <v>9</v>
      </c>
      <c r="S72" s="21" t="str">
        <f t="shared" si="6"/>
        <v>Redes Prediais</v>
      </c>
      <c r="T72" s="21" t="str">
        <f t="shared" si="6"/>
        <v>Traçados</v>
      </c>
      <c r="U72" s="21" t="str">
        <f t="shared" si="6"/>
        <v>Tubos</v>
      </c>
      <c r="V72" s="21" t="s">
        <v>527</v>
      </c>
      <c r="W72" s="74" t="str">
        <f t="shared" si="10"/>
        <v>Key-TUB-72</v>
      </c>
      <c r="X72" s="21" t="s">
        <v>562</v>
      </c>
      <c r="Y72" s="21" t="s">
        <v>563</v>
      </c>
      <c r="Z72" s="21" t="s">
        <v>532</v>
      </c>
      <c r="AA72" s="21" t="s">
        <v>773</v>
      </c>
    </row>
    <row r="73" spans="1:27" ht="6.65" customHeight="1" x14ac:dyDescent="0.4">
      <c r="A73" s="72">
        <v>73</v>
      </c>
      <c r="B73" s="1" t="s">
        <v>838</v>
      </c>
      <c r="C73" s="1" t="s">
        <v>516</v>
      </c>
      <c r="D73" s="1" t="s">
        <v>432</v>
      </c>
      <c r="E73" s="1" t="s">
        <v>333</v>
      </c>
      <c r="F73" s="1" t="s">
        <v>269</v>
      </c>
      <c r="G73" s="73" t="s">
        <v>9</v>
      </c>
      <c r="H73" s="73" t="s">
        <v>9</v>
      </c>
      <c r="I73" s="73" t="s">
        <v>9</v>
      </c>
      <c r="J73" s="73" t="s">
        <v>9</v>
      </c>
      <c r="K73" s="73" t="s">
        <v>9</v>
      </c>
      <c r="L73" s="25" t="str">
        <f t="shared" si="9"/>
        <v>Redes Prediais</v>
      </c>
      <c r="M73" s="25" t="str">
        <f t="shared" si="9"/>
        <v>Traçados</v>
      </c>
      <c r="N73" s="25" t="str">
        <f t="shared" si="9"/>
        <v>Tubos</v>
      </c>
      <c r="O73" s="25" t="str">
        <f t="shared" si="9"/>
        <v>Tubo Rígido</v>
      </c>
      <c r="P73" s="21" t="s">
        <v>278</v>
      </c>
      <c r="Q73" s="21" t="s">
        <v>656</v>
      </c>
      <c r="R73" s="21" t="s">
        <v>9</v>
      </c>
      <c r="S73" s="21" t="str">
        <f t="shared" si="6"/>
        <v>Redes Prediais</v>
      </c>
      <c r="T73" s="21" t="str">
        <f t="shared" si="6"/>
        <v>Traçados</v>
      </c>
      <c r="U73" s="21" t="str">
        <f t="shared" si="6"/>
        <v>Tubos</v>
      </c>
      <c r="V73" s="21" t="s">
        <v>527</v>
      </c>
      <c r="W73" s="74" t="str">
        <f t="shared" si="10"/>
        <v>Key-TUB-73</v>
      </c>
      <c r="X73" s="21" t="s">
        <v>562</v>
      </c>
      <c r="Y73" s="21" t="s">
        <v>564</v>
      </c>
      <c r="Z73" s="21" t="s">
        <v>532</v>
      </c>
      <c r="AA73" s="21" t="s">
        <v>774</v>
      </c>
    </row>
    <row r="74" spans="1:27" ht="6.65" customHeight="1" x14ac:dyDescent="0.4">
      <c r="A74" s="72">
        <v>74</v>
      </c>
      <c r="B74" s="1" t="s">
        <v>838</v>
      </c>
      <c r="C74" s="1" t="s">
        <v>516</v>
      </c>
      <c r="D74" s="1" t="s">
        <v>432</v>
      </c>
      <c r="E74" s="1" t="s">
        <v>333</v>
      </c>
      <c r="F74" s="1" t="s">
        <v>435</v>
      </c>
      <c r="G74" s="73" t="s">
        <v>9</v>
      </c>
      <c r="H74" s="73" t="s">
        <v>9</v>
      </c>
      <c r="I74" s="73" t="s">
        <v>9</v>
      </c>
      <c r="J74" s="73" t="s">
        <v>9</v>
      </c>
      <c r="K74" s="73" t="s">
        <v>9</v>
      </c>
      <c r="L74" s="25" t="str">
        <f t="shared" si="9"/>
        <v>Redes Prediais</v>
      </c>
      <c r="M74" s="25" t="str">
        <f t="shared" si="9"/>
        <v>Traçados</v>
      </c>
      <c r="N74" s="25" t="str">
        <f t="shared" si="9"/>
        <v>Tubos</v>
      </c>
      <c r="O74" s="25" t="str">
        <f t="shared" si="9"/>
        <v>Tubo Rígido PB</v>
      </c>
      <c r="P74" s="21" t="s">
        <v>274</v>
      </c>
      <c r="Q74" s="21" t="s">
        <v>657</v>
      </c>
      <c r="R74" s="21" t="s">
        <v>9</v>
      </c>
      <c r="S74" s="21" t="str">
        <f t="shared" si="6"/>
        <v>Redes Prediais</v>
      </c>
      <c r="T74" s="21" t="str">
        <f t="shared" si="6"/>
        <v>Traçados</v>
      </c>
      <c r="U74" s="21" t="str">
        <f t="shared" si="6"/>
        <v>Tubos</v>
      </c>
      <c r="V74" s="21" t="s">
        <v>527</v>
      </c>
      <c r="W74" s="74" t="str">
        <f t="shared" si="10"/>
        <v>Key-TUB-74</v>
      </c>
      <c r="X74" s="21" t="s">
        <v>562</v>
      </c>
      <c r="Y74" s="21" t="s">
        <v>564</v>
      </c>
      <c r="Z74" s="21" t="s">
        <v>532</v>
      </c>
      <c r="AA74" s="21" t="s">
        <v>775</v>
      </c>
    </row>
    <row r="75" spans="1:27" ht="6.65" customHeight="1" x14ac:dyDescent="0.4">
      <c r="A75" s="72">
        <v>75</v>
      </c>
      <c r="B75" s="1" t="s">
        <v>838</v>
      </c>
      <c r="C75" s="1" t="s">
        <v>516</v>
      </c>
      <c r="D75" s="1" t="s">
        <v>432</v>
      </c>
      <c r="E75" s="1" t="s">
        <v>333</v>
      </c>
      <c r="F75" s="1" t="s">
        <v>436</v>
      </c>
      <c r="G75" s="73" t="s">
        <v>9</v>
      </c>
      <c r="H75" s="73" t="s">
        <v>9</v>
      </c>
      <c r="I75" s="73" t="s">
        <v>9</v>
      </c>
      <c r="J75" s="73" t="s">
        <v>9</v>
      </c>
      <c r="K75" s="73" t="s">
        <v>9</v>
      </c>
      <c r="L75" s="25" t="str">
        <f t="shared" si="9"/>
        <v>Redes Prediais</v>
      </c>
      <c r="M75" s="25" t="str">
        <f t="shared" si="9"/>
        <v>Traçados</v>
      </c>
      <c r="N75" s="25" t="str">
        <f t="shared" si="9"/>
        <v>Tubos</v>
      </c>
      <c r="O75" s="25" t="str">
        <f t="shared" si="9"/>
        <v>Tubo Rígido PF</v>
      </c>
      <c r="P75" s="21" t="s">
        <v>275</v>
      </c>
      <c r="Q75" s="21" t="s">
        <v>658</v>
      </c>
      <c r="R75" s="21" t="s">
        <v>9</v>
      </c>
      <c r="S75" s="21" t="str">
        <f t="shared" si="6"/>
        <v>Redes Prediais</v>
      </c>
      <c r="T75" s="21" t="str">
        <f t="shared" si="6"/>
        <v>Traçados</v>
      </c>
      <c r="U75" s="21" t="str">
        <f t="shared" si="6"/>
        <v>Tubos</v>
      </c>
      <c r="V75" s="21" t="s">
        <v>527</v>
      </c>
      <c r="W75" s="74" t="str">
        <f t="shared" si="10"/>
        <v>Key-TUB-75</v>
      </c>
      <c r="X75" s="21" t="s">
        <v>562</v>
      </c>
      <c r="Y75" s="21" t="s">
        <v>564</v>
      </c>
      <c r="Z75" s="21" t="s">
        <v>532</v>
      </c>
      <c r="AA75" s="21" t="s">
        <v>776</v>
      </c>
    </row>
    <row r="76" spans="1:27" ht="6.65" customHeight="1" x14ac:dyDescent="0.4">
      <c r="A76" s="72">
        <v>76</v>
      </c>
      <c r="B76" s="1" t="s">
        <v>838</v>
      </c>
      <c r="C76" s="1" t="s">
        <v>516</v>
      </c>
      <c r="D76" s="1" t="s">
        <v>432</v>
      </c>
      <c r="E76" s="1" t="s">
        <v>333</v>
      </c>
      <c r="F76" s="1" t="s">
        <v>437</v>
      </c>
      <c r="G76" s="73" t="s">
        <v>9</v>
      </c>
      <c r="H76" s="73" t="s">
        <v>9</v>
      </c>
      <c r="I76" s="73" t="s">
        <v>9</v>
      </c>
      <c r="J76" s="73" t="s">
        <v>9</v>
      </c>
      <c r="K76" s="73" t="s">
        <v>9</v>
      </c>
      <c r="L76" s="25" t="str">
        <f t="shared" si="9"/>
        <v>Redes Prediais</v>
      </c>
      <c r="M76" s="25" t="str">
        <f t="shared" si="9"/>
        <v>Traçados</v>
      </c>
      <c r="N76" s="25" t="str">
        <f t="shared" si="9"/>
        <v>Tubos</v>
      </c>
      <c r="O76" s="25" t="str">
        <f t="shared" si="9"/>
        <v>Tubo Rígido FF</v>
      </c>
      <c r="P76" s="21" t="s">
        <v>277</v>
      </c>
      <c r="Q76" s="21" t="s">
        <v>659</v>
      </c>
      <c r="R76" s="21" t="s">
        <v>9</v>
      </c>
      <c r="S76" s="21" t="str">
        <f t="shared" si="6"/>
        <v>Redes Prediais</v>
      </c>
      <c r="T76" s="21" t="str">
        <f t="shared" si="6"/>
        <v>Traçados</v>
      </c>
      <c r="U76" s="21" t="str">
        <f t="shared" si="6"/>
        <v>Tubos</v>
      </c>
      <c r="V76" s="21" t="s">
        <v>527</v>
      </c>
      <c r="W76" s="74" t="str">
        <f t="shared" si="10"/>
        <v>Key-TUB-76</v>
      </c>
      <c r="X76" s="21" t="s">
        <v>562</v>
      </c>
      <c r="Y76" s="21" t="s">
        <v>564</v>
      </c>
      <c r="Z76" s="21" t="s">
        <v>532</v>
      </c>
      <c r="AA76" s="21" t="s">
        <v>777</v>
      </c>
    </row>
    <row r="77" spans="1:27" ht="6.65" customHeight="1" x14ac:dyDescent="0.4">
      <c r="A77" s="72">
        <v>77</v>
      </c>
      <c r="B77" s="1" t="s">
        <v>838</v>
      </c>
      <c r="C77" s="1" t="s">
        <v>516</v>
      </c>
      <c r="D77" s="1" t="s">
        <v>432</v>
      </c>
      <c r="E77" s="1" t="s">
        <v>333</v>
      </c>
      <c r="F77" s="1" t="s">
        <v>438</v>
      </c>
      <c r="G77" s="73" t="s">
        <v>9</v>
      </c>
      <c r="H77" s="73" t="s">
        <v>9</v>
      </c>
      <c r="I77" s="73" t="s">
        <v>9</v>
      </c>
      <c r="J77" s="73" t="s">
        <v>9</v>
      </c>
      <c r="K77" s="73" t="s">
        <v>9</v>
      </c>
      <c r="L77" s="25" t="str">
        <f t="shared" si="9"/>
        <v>Redes Prediais</v>
      </c>
      <c r="M77" s="25" t="str">
        <f t="shared" si="9"/>
        <v>Traçados</v>
      </c>
      <c r="N77" s="25" t="str">
        <f t="shared" si="9"/>
        <v>Tubos</v>
      </c>
      <c r="O77" s="25" t="str">
        <f t="shared" si="9"/>
        <v>Tubo Rígido PP</v>
      </c>
      <c r="P77" s="21" t="s">
        <v>276</v>
      </c>
      <c r="Q77" s="21" t="s">
        <v>660</v>
      </c>
      <c r="R77" s="21" t="s">
        <v>9</v>
      </c>
      <c r="S77" s="21" t="str">
        <f t="shared" si="6"/>
        <v>Redes Prediais</v>
      </c>
      <c r="T77" s="21" t="str">
        <f t="shared" si="6"/>
        <v>Traçados</v>
      </c>
      <c r="U77" s="21" t="str">
        <f t="shared" si="6"/>
        <v>Tubos</v>
      </c>
      <c r="V77" s="21" t="s">
        <v>527</v>
      </c>
      <c r="W77" s="74" t="str">
        <f t="shared" si="10"/>
        <v>Key-TUB-77</v>
      </c>
      <c r="X77" s="21" t="s">
        <v>562</v>
      </c>
      <c r="Y77" s="21" t="s">
        <v>564</v>
      </c>
      <c r="Z77" s="21" t="s">
        <v>532</v>
      </c>
      <c r="AA77" s="21" t="s">
        <v>778</v>
      </c>
    </row>
    <row r="78" spans="1:27" ht="6.65" customHeight="1" x14ac:dyDescent="0.4">
      <c r="A78" s="72">
        <v>78</v>
      </c>
      <c r="B78" s="1" t="s">
        <v>838</v>
      </c>
      <c r="C78" s="1" t="s">
        <v>516</v>
      </c>
      <c r="D78" s="1" t="s">
        <v>432</v>
      </c>
      <c r="E78" s="1" t="s">
        <v>333</v>
      </c>
      <c r="F78" s="1" t="s">
        <v>439</v>
      </c>
      <c r="G78" s="73" t="s">
        <v>9</v>
      </c>
      <c r="H78" s="73" t="s">
        <v>9</v>
      </c>
      <c r="I78" s="73" t="s">
        <v>9</v>
      </c>
      <c r="J78" s="73" t="s">
        <v>9</v>
      </c>
      <c r="K78" s="73" t="s">
        <v>9</v>
      </c>
      <c r="L78" s="25" t="str">
        <f t="shared" si="9"/>
        <v>Redes Prediais</v>
      </c>
      <c r="M78" s="25" t="str">
        <f t="shared" si="9"/>
        <v>Traçados</v>
      </c>
      <c r="N78" s="25" t="str">
        <f t="shared" si="9"/>
        <v>Tubos</v>
      </c>
      <c r="O78" s="25" t="str">
        <f t="shared" si="9"/>
        <v>Tubo Rígido RR</v>
      </c>
      <c r="P78" s="21" t="s">
        <v>281</v>
      </c>
      <c r="Q78" s="21" t="s">
        <v>661</v>
      </c>
      <c r="R78" s="21" t="s">
        <v>9</v>
      </c>
      <c r="S78" s="21" t="str">
        <f t="shared" si="6"/>
        <v>Redes Prediais</v>
      </c>
      <c r="T78" s="21" t="str">
        <f t="shared" si="6"/>
        <v>Traçados</v>
      </c>
      <c r="U78" s="21" t="str">
        <f t="shared" si="6"/>
        <v>Tubos</v>
      </c>
      <c r="V78" s="21" t="s">
        <v>527</v>
      </c>
      <c r="W78" s="74" t="str">
        <f t="shared" si="10"/>
        <v>Key-TUB-78</v>
      </c>
      <c r="X78" s="21" t="s">
        <v>562</v>
      </c>
      <c r="Y78" s="21" t="s">
        <v>564</v>
      </c>
      <c r="Z78" s="21" t="s">
        <v>532</v>
      </c>
      <c r="AA78" s="21" t="s">
        <v>779</v>
      </c>
    </row>
    <row r="79" spans="1:27" ht="6.65" customHeight="1" x14ac:dyDescent="0.4">
      <c r="A79" s="72">
        <v>79</v>
      </c>
      <c r="B79" s="1" t="s">
        <v>838</v>
      </c>
      <c r="C79" s="1" t="s">
        <v>516</v>
      </c>
      <c r="D79" s="1" t="s">
        <v>432</v>
      </c>
      <c r="E79" s="1" t="s">
        <v>334</v>
      </c>
      <c r="F79" s="1" t="s">
        <v>440</v>
      </c>
      <c r="G79" s="73" t="s">
        <v>9</v>
      </c>
      <c r="H79" s="73" t="s">
        <v>9</v>
      </c>
      <c r="I79" s="73" t="s">
        <v>9</v>
      </c>
      <c r="J79" s="73" t="s">
        <v>9</v>
      </c>
      <c r="K79" s="73" t="s">
        <v>9</v>
      </c>
      <c r="L79" s="25" t="str">
        <f t="shared" si="9"/>
        <v>Redes Prediais</v>
      </c>
      <c r="M79" s="25" t="str">
        <f t="shared" si="9"/>
        <v>Traçados</v>
      </c>
      <c r="N79" s="25" t="str">
        <f t="shared" si="9"/>
        <v>Conexões</v>
      </c>
      <c r="O79" s="25" t="str">
        <f t="shared" si="9"/>
        <v>Curva 90 Com Pé</v>
      </c>
      <c r="P79" s="21" t="s">
        <v>448</v>
      </c>
      <c r="Q79" s="21" t="s">
        <v>662</v>
      </c>
      <c r="R79" s="21" t="s">
        <v>9</v>
      </c>
      <c r="S79" s="21" t="str">
        <f t="shared" si="6"/>
        <v>Redes Prediais</v>
      </c>
      <c r="T79" s="21" t="str">
        <f t="shared" si="6"/>
        <v>Traçados</v>
      </c>
      <c r="U79" s="21" t="str">
        <f t="shared" si="6"/>
        <v>Conexões</v>
      </c>
      <c r="V79" s="21" t="s">
        <v>527</v>
      </c>
      <c r="W79" s="74" t="str">
        <f t="shared" si="10"/>
        <v>Key-TUB-79</v>
      </c>
      <c r="X79" s="21" t="s">
        <v>560</v>
      </c>
      <c r="Y79" s="21" t="s">
        <v>565</v>
      </c>
      <c r="Z79" s="21" t="s">
        <v>532</v>
      </c>
      <c r="AA79" s="21" t="s">
        <v>780</v>
      </c>
    </row>
    <row r="80" spans="1:27" ht="6.65" customHeight="1" x14ac:dyDescent="0.4">
      <c r="A80" s="72">
        <v>80</v>
      </c>
      <c r="B80" s="1" t="s">
        <v>838</v>
      </c>
      <c r="C80" s="1" t="s">
        <v>516</v>
      </c>
      <c r="D80" s="1" t="s">
        <v>432</v>
      </c>
      <c r="E80" s="1" t="s">
        <v>334</v>
      </c>
      <c r="F80" s="1" t="s">
        <v>441</v>
      </c>
      <c r="G80" s="73" t="s">
        <v>9</v>
      </c>
      <c r="H80" s="73" t="s">
        <v>9</v>
      </c>
      <c r="I80" s="73" t="s">
        <v>9</v>
      </c>
      <c r="J80" s="73" t="s">
        <v>9</v>
      </c>
      <c r="K80" s="73" t="s">
        <v>9</v>
      </c>
      <c r="L80" s="25" t="str">
        <f t="shared" si="9"/>
        <v>Redes Prediais</v>
      </c>
      <c r="M80" s="25" t="str">
        <f t="shared" si="9"/>
        <v>Traçados</v>
      </c>
      <c r="N80" s="25" t="str">
        <f t="shared" si="9"/>
        <v>Conexões</v>
      </c>
      <c r="O80" s="25" t="str">
        <f t="shared" si="9"/>
        <v>Curva 90 Com Visita</v>
      </c>
      <c r="P80" s="21" t="s">
        <v>293</v>
      </c>
      <c r="Q80" s="21" t="s">
        <v>663</v>
      </c>
      <c r="R80" s="21" t="s">
        <v>9</v>
      </c>
      <c r="S80" s="21" t="str">
        <f t="shared" si="6"/>
        <v>Redes Prediais</v>
      </c>
      <c r="T80" s="21" t="str">
        <f t="shared" si="6"/>
        <v>Traçados</v>
      </c>
      <c r="U80" s="21" t="str">
        <f t="shared" si="6"/>
        <v>Conexões</v>
      </c>
      <c r="V80" s="21" t="s">
        <v>527</v>
      </c>
      <c r="W80" s="74" t="str">
        <f t="shared" si="10"/>
        <v>Key-TUB-80</v>
      </c>
      <c r="X80" s="21" t="s">
        <v>560</v>
      </c>
      <c r="Y80" s="21" t="s">
        <v>565</v>
      </c>
      <c r="Z80" s="21" t="s">
        <v>532</v>
      </c>
      <c r="AA80" s="21" t="s">
        <v>781</v>
      </c>
    </row>
    <row r="81" spans="1:27" ht="6.65" customHeight="1" x14ac:dyDescent="0.4">
      <c r="A81" s="72">
        <v>81</v>
      </c>
      <c r="B81" s="1" t="s">
        <v>838</v>
      </c>
      <c r="C81" s="1" t="s">
        <v>516</v>
      </c>
      <c r="D81" s="1" t="s">
        <v>432</v>
      </c>
      <c r="E81" s="1" t="s">
        <v>334</v>
      </c>
      <c r="F81" s="1" t="s">
        <v>442</v>
      </c>
      <c r="G81" s="73" t="s">
        <v>9</v>
      </c>
      <c r="H81" s="73" t="s">
        <v>9</v>
      </c>
      <c r="I81" s="73" t="s">
        <v>9</v>
      </c>
      <c r="J81" s="73" t="s">
        <v>9</v>
      </c>
      <c r="K81" s="73" t="s">
        <v>9</v>
      </c>
      <c r="L81" s="25" t="str">
        <f t="shared" si="9"/>
        <v>Redes Prediais</v>
      </c>
      <c r="M81" s="25" t="str">
        <f t="shared" si="9"/>
        <v>Traçados</v>
      </c>
      <c r="N81" s="25" t="str">
        <f t="shared" si="9"/>
        <v>Conexões</v>
      </c>
      <c r="O81" s="25" t="str">
        <f t="shared" si="9"/>
        <v>Curva 90 Curta</v>
      </c>
      <c r="P81" s="21" t="s">
        <v>262</v>
      </c>
      <c r="Q81" s="21" t="s">
        <v>664</v>
      </c>
      <c r="R81" s="21" t="s">
        <v>9</v>
      </c>
      <c r="S81" s="21" t="str">
        <f t="shared" si="6"/>
        <v>Redes Prediais</v>
      </c>
      <c r="T81" s="21" t="str">
        <f t="shared" si="6"/>
        <v>Traçados</v>
      </c>
      <c r="U81" s="21" t="str">
        <f t="shared" si="6"/>
        <v>Conexões</v>
      </c>
      <c r="V81" s="21" t="s">
        <v>527</v>
      </c>
      <c r="W81" s="74" t="str">
        <f t="shared" si="10"/>
        <v>Key-TUB-81</v>
      </c>
      <c r="X81" s="21" t="s">
        <v>560</v>
      </c>
      <c r="Y81" s="21" t="s">
        <v>565</v>
      </c>
      <c r="Z81" s="21" t="s">
        <v>532</v>
      </c>
      <c r="AA81" s="21" t="s">
        <v>782</v>
      </c>
    </row>
    <row r="82" spans="1:27" ht="6.65" customHeight="1" x14ac:dyDescent="0.4">
      <c r="A82" s="72">
        <v>82</v>
      </c>
      <c r="B82" s="1" t="s">
        <v>838</v>
      </c>
      <c r="C82" s="1" t="s">
        <v>516</v>
      </c>
      <c r="D82" s="1" t="s">
        <v>432</v>
      </c>
      <c r="E82" s="1" t="s">
        <v>334</v>
      </c>
      <c r="F82" s="1" t="s">
        <v>443</v>
      </c>
      <c r="G82" s="73" t="s">
        <v>9</v>
      </c>
      <c r="H82" s="73" t="s">
        <v>9</v>
      </c>
      <c r="I82" s="73" t="s">
        <v>9</v>
      </c>
      <c r="J82" s="73" t="s">
        <v>9</v>
      </c>
      <c r="K82" s="73" t="s">
        <v>9</v>
      </c>
      <c r="L82" s="25" t="str">
        <f t="shared" si="9"/>
        <v>Redes Prediais</v>
      </c>
      <c r="M82" s="25" t="str">
        <f t="shared" si="9"/>
        <v>Traçados</v>
      </c>
      <c r="N82" s="25" t="str">
        <f t="shared" si="9"/>
        <v>Conexões</v>
      </c>
      <c r="O82" s="25" t="str">
        <f t="shared" si="9"/>
        <v>Curva 90 Longa</v>
      </c>
      <c r="P82" s="21" t="s">
        <v>261</v>
      </c>
      <c r="Q82" s="21" t="s">
        <v>665</v>
      </c>
      <c r="R82" s="21" t="s">
        <v>9</v>
      </c>
      <c r="S82" s="21" t="str">
        <f t="shared" si="6"/>
        <v>Redes Prediais</v>
      </c>
      <c r="T82" s="21" t="str">
        <f t="shared" si="6"/>
        <v>Traçados</v>
      </c>
      <c r="U82" s="21" t="str">
        <f t="shared" si="6"/>
        <v>Conexões</v>
      </c>
      <c r="V82" s="21" t="s">
        <v>527</v>
      </c>
      <c r="W82" s="74" t="str">
        <f t="shared" si="10"/>
        <v>Key-TUB-82</v>
      </c>
      <c r="X82" s="21" t="s">
        <v>560</v>
      </c>
      <c r="Y82" s="21" t="s">
        <v>565</v>
      </c>
      <c r="Z82" s="21" t="s">
        <v>532</v>
      </c>
      <c r="AA82" s="21" t="s">
        <v>783</v>
      </c>
    </row>
    <row r="83" spans="1:27" ht="6.65" customHeight="1" x14ac:dyDescent="0.4">
      <c r="A83" s="72">
        <v>83</v>
      </c>
      <c r="B83" s="1" t="s">
        <v>838</v>
      </c>
      <c r="C83" s="1" t="s">
        <v>516</v>
      </c>
      <c r="D83" s="1" t="s">
        <v>432</v>
      </c>
      <c r="E83" s="1" t="s">
        <v>334</v>
      </c>
      <c r="F83" s="1" t="s">
        <v>444</v>
      </c>
      <c r="G83" s="73" t="s">
        <v>9</v>
      </c>
      <c r="H83" s="73" t="s">
        <v>9</v>
      </c>
      <c r="I83" s="73" t="s">
        <v>9</v>
      </c>
      <c r="J83" s="73" t="s">
        <v>9</v>
      </c>
      <c r="K83" s="73" t="s">
        <v>9</v>
      </c>
      <c r="L83" s="25" t="str">
        <f t="shared" si="9"/>
        <v>Redes Prediais</v>
      </c>
      <c r="M83" s="25" t="str">
        <f t="shared" si="9"/>
        <v>Traçados</v>
      </c>
      <c r="N83" s="25" t="str">
        <f t="shared" si="9"/>
        <v>Conexões</v>
      </c>
      <c r="O83" s="25" t="str">
        <f t="shared" si="9"/>
        <v>Curva 90</v>
      </c>
      <c r="P83" s="21" t="s">
        <v>266</v>
      </c>
      <c r="Q83" s="21" t="s">
        <v>666</v>
      </c>
      <c r="R83" s="21" t="s">
        <v>9</v>
      </c>
      <c r="S83" s="21" t="str">
        <f t="shared" si="6"/>
        <v>Redes Prediais</v>
      </c>
      <c r="T83" s="21" t="str">
        <f t="shared" si="6"/>
        <v>Traçados</v>
      </c>
      <c r="U83" s="21" t="str">
        <f t="shared" si="6"/>
        <v>Conexões</v>
      </c>
      <c r="V83" s="21" t="s">
        <v>527</v>
      </c>
      <c r="W83" s="74" t="str">
        <f t="shared" si="10"/>
        <v>Key-TUB-83</v>
      </c>
      <c r="X83" s="21" t="s">
        <v>560</v>
      </c>
      <c r="Y83" s="21" t="s">
        <v>565</v>
      </c>
      <c r="Z83" s="21" t="s">
        <v>532</v>
      </c>
      <c r="AA83" s="21" t="s">
        <v>784</v>
      </c>
    </row>
    <row r="84" spans="1:27" ht="6.65" customHeight="1" x14ac:dyDescent="0.4">
      <c r="A84" s="72">
        <v>84</v>
      </c>
      <c r="B84" s="1" t="s">
        <v>838</v>
      </c>
      <c r="C84" s="1" t="s">
        <v>516</v>
      </c>
      <c r="D84" s="1" t="s">
        <v>432</v>
      </c>
      <c r="E84" s="1" t="s">
        <v>334</v>
      </c>
      <c r="F84" s="1" t="s">
        <v>445</v>
      </c>
      <c r="G84" s="73" t="s">
        <v>9</v>
      </c>
      <c r="H84" s="73" t="s">
        <v>9</v>
      </c>
      <c r="I84" s="73" t="s">
        <v>9</v>
      </c>
      <c r="J84" s="73" t="s">
        <v>9</v>
      </c>
      <c r="K84" s="73" t="s">
        <v>9</v>
      </c>
      <c r="L84" s="25" t="str">
        <f t="shared" si="9"/>
        <v>Redes Prediais</v>
      </c>
      <c r="M84" s="25" t="str">
        <f t="shared" si="9"/>
        <v>Traçados</v>
      </c>
      <c r="N84" s="25" t="str">
        <f t="shared" si="9"/>
        <v>Conexões</v>
      </c>
      <c r="O84" s="25" t="str">
        <f t="shared" si="9"/>
        <v>Curva 45</v>
      </c>
      <c r="P84" s="21" t="s">
        <v>263</v>
      </c>
      <c r="Q84" s="21" t="s">
        <v>667</v>
      </c>
      <c r="R84" s="21" t="s">
        <v>9</v>
      </c>
      <c r="S84" s="21" t="str">
        <f t="shared" si="6"/>
        <v>Redes Prediais</v>
      </c>
      <c r="T84" s="21" t="str">
        <f t="shared" si="6"/>
        <v>Traçados</v>
      </c>
      <c r="U84" s="21" t="str">
        <f t="shared" si="6"/>
        <v>Conexões</v>
      </c>
      <c r="V84" s="21" t="s">
        <v>527</v>
      </c>
      <c r="W84" s="74" t="str">
        <f t="shared" si="10"/>
        <v>Key-TUB-84</v>
      </c>
      <c r="X84" s="21" t="s">
        <v>560</v>
      </c>
      <c r="Y84" s="21" t="s">
        <v>565</v>
      </c>
      <c r="Z84" s="21" t="s">
        <v>532</v>
      </c>
      <c r="AA84" s="21" t="s">
        <v>785</v>
      </c>
    </row>
    <row r="85" spans="1:27" ht="6.65" customHeight="1" x14ac:dyDescent="0.4">
      <c r="A85" s="72">
        <v>85</v>
      </c>
      <c r="B85" s="1" t="s">
        <v>838</v>
      </c>
      <c r="C85" s="1" t="s">
        <v>516</v>
      </c>
      <c r="D85" s="1" t="s">
        <v>432</v>
      </c>
      <c r="E85" s="1" t="s">
        <v>334</v>
      </c>
      <c r="F85" s="1" t="s">
        <v>446</v>
      </c>
      <c r="G85" s="73" t="s">
        <v>9</v>
      </c>
      <c r="H85" s="73" t="s">
        <v>9</v>
      </c>
      <c r="I85" s="73" t="s">
        <v>9</v>
      </c>
      <c r="J85" s="73" t="s">
        <v>9</v>
      </c>
      <c r="K85" s="73" t="s">
        <v>9</v>
      </c>
      <c r="L85" s="25" t="str">
        <f t="shared" si="9"/>
        <v>Redes Prediais</v>
      </c>
      <c r="M85" s="25" t="str">
        <f t="shared" si="9"/>
        <v>Traçados</v>
      </c>
      <c r="N85" s="25" t="str">
        <f t="shared" si="9"/>
        <v>Conexões</v>
      </c>
      <c r="O85" s="25" t="str">
        <f t="shared" si="9"/>
        <v>Curva 22</v>
      </c>
      <c r="P85" s="21" t="s">
        <v>264</v>
      </c>
      <c r="Q85" s="21" t="s">
        <v>668</v>
      </c>
      <c r="R85" s="21" t="s">
        <v>9</v>
      </c>
      <c r="S85" s="21" t="str">
        <f t="shared" si="6"/>
        <v>Redes Prediais</v>
      </c>
      <c r="T85" s="21" t="str">
        <f t="shared" si="6"/>
        <v>Traçados</v>
      </c>
      <c r="U85" s="21" t="str">
        <f t="shared" si="6"/>
        <v>Conexões</v>
      </c>
      <c r="V85" s="21" t="s">
        <v>527</v>
      </c>
      <c r="W85" s="74" t="str">
        <f t="shared" si="10"/>
        <v>Key-TUB-85</v>
      </c>
      <c r="X85" s="21" t="s">
        <v>560</v>
      </c>
      <c r="Y85" s="21" t="s">
        <v>565</v>
      </c>
      <c r="Z85" s="21" t="s">
        <v>532</v>
      </c>
      <c r="AA85" s="21" t="s">
        <v>786</v>
      </c>
    </row>
    <row r="86" spans="1:27" ht="6.65" customHeight="1" x14ac:dyDescent="0.4">
      <c r="A86" s="72">
        <v>86</v>
      </c>
      <c r="B86" s="1" t="s">
        <v>838</v>
      </c>
      <c r="C86" s="1" t="s">
        <v>516</v>
      </c>
      <c r="D86" s="1" t="s">
        <v>432</v>
      </c>
      <c r="E86" s="1" t="s">
        <v>334</v>
      </c>
      <c r="F86" s="1" t="s">
        <v>447</v>
      </c>
      <c r="G86" s="73" t="s">
        <v>9</v>
      </c>
      <c r="H86" s="73" t="s">
        <v>9</v>
      </c>
      <c r="I86" s="73" t="s">
        <v>9</v>
      </c>
      <c r="J86" s="73" t="s">
        <v>9</v>
      </c>
      <c r="K86" s="73" t="s">
        <v>9</v>
      </c>
      <c r="L86" s="25" t="str">
        <f t="shared" si="9"/>
        <v>Redes Prediais</v>
      </c>
      <c r="M86" s="25" t="str">
        <f t="shared" si="9"/>
        <v>Traçados</v>
      </c>
      <c r="N86" s="25" t="str">
        <f t="shared" si="9"/>
        <v>Conexões</v>
      </c>
      <c r="O86" s="25" t="str">
        <f t="shared" si="9"/>
        <v>Curva 11</v>
      </c>
      <c r="P86" s="21" t="s">
        <v>265</v>
      </c>
      <c r="Q86" s="21" t="s">
        <v>669</v>
      </c>
      <c r="R86" s="21" t="s">
        <v>9</v>
      </c>
      <c r="S86" s="21" t="str">
        <f t="shared" si="6"/>
        <v>Redes Prediais</v>
      </c>
      <c r="T86" s="21" t="str">
        <f t="shared" si="6"/>
        <v>Traçados</v>
      </c>
      <c r="U86" s="21" t="str">
        <f t="shared" si="6"/>
        <v>Conexões</v>
      </c>
      <c r="V86" s="21" t="s">
        <v>527</v>
      </c>
      <c r="W86" s="74" t="str">
        <f t="shared" si="10"/>
        <v>Key-TUB-86</v>
      </c>
      <c r="X86" s="21" t="s">
        <v>560</v>
      </c>
      <c r="Y86" s="21" t="s">
        <v>565</v>
      </c>
      <c r="Z86" s="21" t="s">
        <v>532</v>
      </c>
      <c r="AA86" s="21" t="s">
        <v>787</v>
      </c>
    </row>
    <row r="87" spans="1:27" ht="6.65" customHeight="1" x14ac:dyDescent="0.4">
      <c r="A87" s="72">
        <v>87</v>
      </c>
      <c r="B87" s="1" t="s">
        <v>838</v>
      </c>
      <c r="C87" s="1" t="s">
        <v>516</v>
      </c>
      <c r="D87" s="1" t="s">
        <v>432</v>
      </c>
      <c r="E87" s="1" t="s">
        <v>334</v>
      </c>
      <c r="F87" s="1" t="s">
        <v>253</v>
      </c>
      <c r="G87" s="73" t="s">
        <v>9</v>
      </c>
      <c r="H87" s="73" t="s">
        <v>9</v>
      </c>
      <c r="I87" s="73" t="s">
        <v>9</v>
      </c>
      <c r="J87" s="73" t="s">
        <v>9</v>
      </c>
      <c r="K87" s="73" t="s">
        <v>9</v>
      </c>
      <c r="L87" s="25" t="str">
        <f t="shared" si="9"/>
        <v>Redes Prediais</v>
      </c>
      <c r="M87" s="25" t="str">
        <f t="shared" si="9"/>
        <v>Traçados</v>
      </c>
      <c r="N87" s="25" t="str">
        <f t="shared" si="9"/>
        <v>Conexões</v>
      </c>
      <c r="O87" s="25" t="str">
        <f t="shared" si="9"/>
        <v>Luva</v>
      </c>
      <c r="P87" s="21" t="s">
        <v>270</v>
      </c>
      <c r="Q87" s="21" t="s">
        <v>670</v>
      </c>
      <c r="R87" s="21" t="s">
        <v>9</v>
      </c>
      <c r="S87" s="21" t="str">
        <f t="shared" si="6"/>
        <v>Redes Prediais</v>
      </c>
      <c r="T87" s="21" t="str">
        <f t="shared" si="6"/>
        <v>Traçados</v>
      </c>
      <c r="U87" s="21" t="str">
        <f t="shared" si="6"/>
        <v>Conexões</v>
      </c>
      <c r="V87" s="21" t="s">
        <v>527</v>
      </c>
      <c r="W87" s="74" t="str">
        <f t="shared" si="10"/>
        <v>Key-TUB-87</v>
      </c>
      <c r="X87" s="21" t="s">
        <v>560</v>
      </c>
      <c r="Y87" s="21" t="s">
        <v>565</v>
      </c>
      <c r="Z87" s="21" t="s">
        <v>532</v>
      </c>
      <c r="AA87" s="21" t="s">
        <v>788</v>
      </c>
    </row>
    <row r="88" spans="1:27" ht="6.65" customHeight="1" x14ac:dyDescent="0.4">
      <c r="A88" s="72">
        <v>88</v>
      </c>
      <c r="B88" s="1" t="s">
        <v>838</v>
      </c>
      <c r="C88" s="1" t="s">
        <v>516</v>
      </c>
      <c r="D88" s="1" t="s">
        <v>432</v>
      </c>
      <c r="E88" s="1" t="s">
        <v>334</v>
      </c>
      <c r="F88" s="1" t="s">
        <v>267</v>
      </c>
      <c r="G88" s="73" t="s">
        <v>9</v>
      </c>
      <c r="H88" s="73" t="s">
        <v>9</v>
      </c>
      <c r="I88" s="73" t="s">
        <v>9</v>
      </c>
      <c r="J88" s="73" t="s">
        <v>9</v>
      </c>
      <c r="K88" s="73" t="s">
        <v>9</v>
      </c>
      <c r="L88" s="25" t="str">
        <f t="shared" si="9"/>
        <v>Redes Prediais</v>
      </c>
      <c r="M88" s="25" t="str">
        <f t="shared" si="9"/>
        <v>Traçados</v>
      </c>
      <c r="N88" s="25" t="str">
        <f t="shared" si="9"/>
        <v>Conexões</v>
      </c>
      <c r="O88" s="25" t="str">
        <f t="shared" si="9"/>
        <v>Luva de Correr</v>
      </c>
      <c r="P88" s="21" t="s">
        <v>271</v>
      </c>
      <c r="Q88" s="21" t="s">
        <v>671</v>
      </c>
      <c r="R88" s="21" t="s">
        <v>9</v>
      </c>
      <c r="S88" s="21" t="str">
        <f t="shared" si="6"/>
        <v>Redes Prediais</v>
      </c>
      <c r="T88" s="21" t="str">
        <f t="shared" si="6"/>
        <v>Traçados</v>
      </c>
      <c r="U88" s="21" t="str">
        <f t="shared" si="6"/>
        <v>Conexões</v>
      </c>
      <c r="V88" s="21" t="s">
        <v>527</v>
      </c>
      <c r="W88" s="74" t="str">
        <f t="shared" si="10"/>
        <v>Key-TUB-88</v>
      </c>
      <c r="X88" s="21" t="s">
        <v>560</v>
      </c>
      <c r="Y88" s="21" t="s">
        <v>565</v>
      </c>
      <c r="Z88" s="21" t="s">
        <v>532</v>
      </c>
      <c r="AA88" s="21" t="s">
        <v>789</v>
      </c>
    </row>
    <row r="89" spans="1:27" ht="6.65" customHeight="1" x14ac:dyDescent="0.4">
      <c r="A89" s="72">
        <v>89</v>
      </c>
      <c r="B89" s="1" t="s">
        <v>838</v>
      </c>
      <c r="C89" s="1" t="s">
        <v>516</v>
      </c>
      <c r="D89" s="1" t="s">
        <v>432</v>
      </c>
      <c r="E89" s="1" t="s">
        <v>334</v>
      </c>
      <c r="F89" s="1" t="s">
        <v>254</v>
      </c>
      <c r="G89" s="73" t="s">
        <v>9</v>
      </c>
      <c r="H89" s="73" t="s">
        <v>9</v>
      </c>
      <c r="I89" s="73" t="s">
        <v>9</v>
      </c>
      <c r="J89" s="73" t="s">
        <v>9</v>
      </c>
      <c r="K89" s="73" t="s">
        <v>9</v>
      </c>
      <c r="L89" s="25" t="str">
        <f t="shared" si="9"/>
        <v>Redes Prediais</v>
      </c>
      <c r="M89" s="25" t="str">
        <f t="shared" si="9"/>
        <v>Traçados</v>
      </c>
      <c r="N89" s="25" t="str">
        <f t="shared" si="9"/>
        <v>Conexões</v>
      </c>
      <c r="O89" s="25" t="str">
        <f t="shared" si="9"/>
        <v>Té</v>
      </c>
      <c r="P89" s="21" t="s">
        <v>272</v>
      </c>
      <c r="Q89" s="21" t="s">
        <v>672</v>
      </c>
      <c r="R89" s="21" t="s">
        <v>9</v>
      </c>
      <c r="S89" s="21" t="str">
        <f t="shared" si="6"/>
        <v>Redes Prediais</v>
      </c>
      <c r="T89" s="21" t="str">
        <f t="shared" si="6"/>
        <v>Traçados</v>
      </c>
      <c r="U89" s="21" t="str">
        <f t="shared" si="6"/>
        <v>Conexões</v>
      </c>
      <c r="V89" s="21" t="s">
        <v>527</v>
      </c>
      <c r="W89" s="74" t="str">
        <f t="shared" si="10"/>
        <v>Key-TUB-89</v>
      </c>
      <c r="X89" s="21" t="s">
        <v>560</v>
      </c>
      <c r="Y89" s="21" t="s">
        <v>566</v>
      </c>
      <c r="Z89" s="21" t="s">
        <v>532</v>
      </c>
      <c r="AA89" s="21" t="s">
        <v>790</v>
      </c>
    </row>
    <row r="90" spans="1:27" ht="6.65" customHeight="1" x14ac:dyDescent="0.4">
      <c r="A90" s="72">
        <v>90</v>
      </c>
      <c r="B90" s="1" t="s">
        <v>838</v>
      </c>
      <c r="C90" s="1" t="s">
        <v>516</v>
      </c>
      <c r="D90" s="1" t="s">
        <v>432</v>
      </c>
      <c r="E90" s="1" t="s">
        <v>334</v>
      </c>
      <c r="F90" s="1" t="s">
        <v>259</v>
      </c>
      <c r="G90" s="73" t="s">
        <v>9</v>
      </c>
      <c r="H90" s="73" t="s">
        <v>9</v>
      </c>
      <c r="I90" s="73" t="s">
        <v>9</v>
      </c>
      <c r="J90" s="73" t="s">
        <v>9</v>
      </c>
      <c r="K90" s="73" t="s">
        <v>9</v>
      </c>
      <c r="L90" s="25" t="str">
        <f t="shared" si="9"/>
        <v>Redes Prediais</v>
      </c>
      <c r="M90" s="25" t="str">
        <f t="shared" si="9"/>
        <v>Traçados</v>
      </c>
      <c r="N90" s="25" t="str">
        <f t="shared" si="9"/>
        <v>Conexões</v>
      </c>
      <c r="O90" s="25" t="str">
        <f t="shared" si="9"/>
        <v>Cruzeta</v>
      </c>
      <c r="P90" s="21" t="s">
        <v>272</v>
      </c>
      <c r="Q90" s="21" t="s">
        <v>672</v>
      </c>
      <c r="R90" s="21" t="s">
        <v>9</v>
      </c>
      <c r="S90" s="21" t="str">
        <f t="shared" si="6"/>
        <v>Redes Prediais</v>
      </c>
      <c r="T90" s="21" t="str">
        <f t="shared" si="6"/>
        <v>Traçados</v>
      </c>
      <c r="U90" s="21" t="str">
        <f t="shared" si="6"/>
        <v>Conexões</v>
      </c>
      <c r="V90" s="21" t="s">
        <v>527</v>
      </c>
      <c r="W90" s="74" t="str">
        <f t="shared" si="10"/>
        <v>Key-TUB-90</v>
      </c>
      <c r="X90" s="21" t="s">
        <v>560</v>
      </c>
      <c r="Y90" s="21" t="s">
        <v>566</v>
      </c>
      <c r="Z90" s="21" t="s">
        <v>532</v>
      </c>
      <c r="AA90" s="21" t="s">
        <v>790</v>
      </c>
    </row>
    <row r="91" spans="1:27" ht="6.65" customHeight="1" x14ac:dyDescent="0.4">
      <c r="A91" s="72">
        <v>91</v>
      </c>
      <c r="B91" s="1" t="s">
        <v>838</v>
      </c>
      <c r="C91" s="1" t="s">
        <v>516</v>
      </c>
      <c r="D91" s="1" t="s">
        <v>432</v>
      </c>
      <c r="E91" s="1" t="s">
        <v>334</v>
      </c>
      <c r="F91" s="1" t="s">
        <v>258</v>
      </c>
      <c r="G91" s="73" t="s">
        <v>9</v>
      </c>
      <c r="H91" s="73" t="s">
        <v>9</v>
      </c>
      <c r="I91" s="73" t="s">
        <v>9</v>
      </c>
      <c r="J91" s="73" t="s">
        <v>9</v>
      </c>
      <c r="K91" s="73" t="s">
        <v>9</v>
      </c>
      <c r="L91" s="25" t="str">
        <f t="shared" si="9"/>
        <v>Redes Prediais</v>
      </c>
      <c r="M91" s="25" t="str">
        <f t="shared" si="9"/>
        <v>Traçados</v>
      </c>
      <c r="N91" s="25" t="str">
        <f t="shared" si="9"/>
        <v>Conexões</v>
      </c>
      <c r="O91" s="25" t="str">
        <f t="shared" si="9"/>
        <v>Junção</v>
      </c>
      <c r="P91" s="21" t="s">
        <v>272</v>
      </c>
      <c r="Q91" s="21" t="s">
        <v>672</v>
      </c>
      <c r="R91" s="21" t="s">
        <v>9</v>
      </c>
      <c r="S91" s="21" t="str">
        <f t="shared" ref="S91:U121" si="11">SUBSTITUTE(C91, ".", " ")</f>
        <v>Redes Prediais</v>
      </c>
      <c r="T91" s="21" t="str">
        <f t="shared" si="11"/>
        <v>Traçados</v>
      </c>
      <c r="U91" s="21" t="str">
        <f t="shared" si="11"/>
        <v>Conexões</v>
      </c>
      <c r="V91" s="21" t="s">
        <v>527</v>
      </c>
      <c r="W91" s="74" t="str">
        <f t="shared" si="10"/>
        <v>Key-TUB-91</v>
      </c>
      <c r="X91" s="21" t="s">
        <v>560</v>
      </c>
      <c r="Y91" s="21" t="s">
        <v>566</v>
      </c>
      <c r="Z91" s="21" t="s">
        <v>532</v>
      </c>
      <c r="AA91" s="21" t="s">
        <v>790</v>
      </c>
    </row>
    <row r="92" spans="1:27" ht="6.65" customHeight="1" x14ac:dyDescent="0.4">
      <c r="A92" s="72">
        <v>92</v>
      </c>
      <c r="B92" s="1" t="s">
        <v>838</v>
      </c>
      <c r="C92" s="1" t="s">
        <v>516</v>
      </c>
      <c r="D92" s="1" t="s">
        <v>432</v>
      </c>
      <c r="E92" s="1" t="s">
        <v>334</v>
      </c>
      <c r="F92" s="1" t="s">
        <v>291</v>
      </c>
      <c r="G92" s="73" t="s">
        <v>9</v>
      </c>
      <c r="H92" s="73" t="s">
        <v>9</v>
      </c>
      <c r="I92" s="73" t="s">
        <v>9</v>
      </c>
      <c r="J92" s="73" t="s">
        <v>9</v>
      </c>
      <c r="K92" s="73" t="s">
        <v>9</v>
      </c>
      <c r="L92" s="25" t="str">
        <f t="shared" si="9"/>
        <v>Redes Prediais</v>
      </c>
      <c r="M92" s="25" t="str">
        <f t="shared" si="9"/>
        <v>Traçados</v>
      </c>
      <c r="N92" s="25" t="str">
        <f t="shared" si="9"/>
        <v>Conexões</v>
      </c>
      <c r="O92" s="25" t="str">
        <f t="shared" si="9"/>
        <v>Redução Concêntrica</v>
      </c>
      <c r="P92" s="21" t="s">
        <v>303</v>
      </c>
      <c r="Q92" s="21" t="s">
        <v>673</v>
      </c>
      <c r="R92" s="21" t="s">
        <v>9</v>
      </c>
      <c r="S92" s="21" t="str">
        <f t="shared" si="11"/>
        <v>Redes Prediais</v>
      </c>
      <c r="T92" s="21" t="str">
        <f t="shared" si="11"/>
        <v>Traçados</v>
      </c>
      <c r="U92" s="21" t="str">
        <f t="shared" si="11"/>
        <v>Conexões</v>
      </c>
      <c r="V92" s="21" t="s">
        <v>527</v>
      </c>
      <c r="W92" s="74" t="str">
        <f t="shared" si="10"/>
        <v>Key-TUB-92</v>
      </c>
      <c r="X92" s="21" t="s">
        <v>560</v>
      </c>
      <c r="Y92" s="21" t="s">
        <v>567</v>
      </c>
      <c r="Z92" s="21" t="s">
        <v>532</v>
      </c>
      <c r="AA92" s="21" t="s">
        <v>791</v>
      </c>
    </row>
    <row r="93" spans="1:27" ht="6.65" customHeight="1" x14ac:dyDescent="0.4">
      <c r="A93" s="72">
        <v>93</v>
      </c>
      <c r="B93" s="1" t="s">
        <v>838</v>
      </c>
      <c r="C93" s="1" t="s">
        <v>516</v>
      </c>
      <c r="D93" s="1" t="s">
        <v>432</v>
      </c>
      <c r="E93" s="1" t="s">
        <v>334</v>
      </c>
      <c r="F93" s="1" t="s">
        <v>292</v>
      </c>
      <c r="G93" s="73" t="s">
        <v>9</v>
      </c>
      <c r="H93" s="73" t="s">
        <v>9</v>
      </c>
      <c r="I93" s="73" t="s">
        <v>9</v>
      </c>
      <c r="J93" s="73" t="s">
        <v>9</v>
      </c>
      <c r="K93" s="73" t="s">
        <v>9</v>
      </c>
      <c r="L93" s="25" t="str">
        <f t="shared" si="9"/>
        <v>Redes Prediais</v>
      </c>
      <c r="M93" s="25" t="str">
        <f t="shared" si="9"/>
        <v>Traçados</v>
      </c>
      <c r="N93" s="25" t="str">
        <f t="shared" si="9"/>
        <v>Conexões</v>
      </c>
      <c r="O93" s="25" t="str">
        <f t="shared" si="9"/>
        <v>Redução Excêntrica</v>
      </c>
      <c r="P93" s="21" t="s">
        <v>304</v>
      </c>
      <c r="Q93" s="21" t="s">
        <v>674</v>
      </c>
      <c r="R93" s="21" t="s">
        <v>9</v>
      </c>
      <c r="S93" s="21" t="str">
        <f t="shared" si="11"/>
        <v>Redes Prediais</v>
      </c>
      <c r="T93" s="21" t="str">
        <f t="shared" si="11"/>
        <v>Traçados</v>
      </c>
      <c r="U93" s="21" t="str">
        <f t="shared" si="11"/>
        <v>Conexões</v>
      </c>
      <c r="V93" s="21" t="s">
        <v>527</v>
      </c>
      <c r="W93" s="74" t="str">
        <f t="shared" si="10"/>
        <v>Key-TUB-93</v>
      </c>
      <c r="X93" s="21" t="s">
        <v>560</v>
      </c>
      <c r="Y93" s="21" t="s">
        <v>567</v>
      </c>
      <c r="Z93" s="21" t="s">
        <v>532</v>
      </c>
      <c r="AA93" s="21" t="s">
        <v>792</v>
      </c>
    </row>
    <row r="94" spans="1:27" ht="6.65" customHeight="1" x14ac:dyDescent="0.4">
      <c r="A94" s="72">
        <v>94</v>
      </c>
      <c r="B94" s="1" t="s">
        <v>838</v>
      </c>
      <c r="C94" s="1" t="s">
        <v>516</v>
      </c>
      <c r="D94" s="1" t="s">
        <v>432</v>
      </c>
      <c r="E94" s="1" t="s">
        <v>334</v>
      </c>
      <c r="F94" s="1" t="s">
        <v>257</v>
      </c>
      <c r="G94" s="73" t="s">
        <v>9</v>
      </c>
      <c r="H94" s="73" t="s">
        <v>9</v>
      </c>
      <c r="I94" s="73" t="s">
        <v>9</v>
      </c>
      <c r="J94" s="73" t="s">
        <v>9</v>
      </c>
      <c r="K94" s="73" t="s">
        <v>9</v>
      </c>
      <c r="L94" s="25" t="str">
        <f t="shared" si="9"/>
        <v>Redes Prediais</v>
      </c>
      <c r="M94" s="25" t="str">
        <f t="shared" si="9"/>
        <v>Traçados</v>
      </c>
      <c r="N94" s="25" t="str">
        <f t="shared" si="9"/>
        <v>Conexões</v>
      </c>
      <c r="O94" s="25" t="str">
        <f t="shared" si="9"/>
        <v>Transição</v>
      </c>
      <c r="P94" s="21" t="s">
        <v>268</v>
      </c>
      <c r="Q94" s="21" t="s">
        <v>675</v>
      </c>
      <c r="R94" s="21" t="s">
        <v>9</v>
      </c>
      <c r="S94" s="21" t="str">
        <f t="shared" si="11"/>
        <v>Redes Prediais</v>
      </c>
      <c r="T94" s="21" t="str">
        <f t="shared" si="11"/>
        <v>Traçados</v>
      </c>
      <c r="U94" s="21" t="str">
        <f t="shared" si="11"/>
        <v>Conexões</v>
      </c>
      <c r="V94" s="21" t="s">
        <v>527</v>
      </c>
      <c r="W94" s="74" t="str">
        <f t="shared" si="10"/>
        <v>Key-TUB-94</v>
      </c>
      <c r="X94" s="21" t="s">
        <v>560</v>
      </c>
      <c r="Y94" s="21" t="s">
        <v>567</v>
      </c>
      <c r="Z94" s="21" t="s">
        <v>532</v>
      </c>
      <c r="AA94" s="21" t="s">
        <v>793</v>
      </c>
    </row>
    <row r="95" spans="1:27" ht="6.65" customHeight="1" x14ac:dyDescent="0.4">
      <c r="A95" s="72">
        <v>95</v>
      </c>
      <c r="B95" s="1" t="s">
        <v>838</v>
      </c>
      <c r="C95" s="1" t="s">
        <v>516</v>
      </c>
      <c r="D95" s="1" t="s">
        <v>432</v>
      </c>
      <c r="E95" s="1" t="s">
        <v>334</v>
      </c>
      <c r="F95" s="1" t="s">
        <v>260</v>
      </c>
      <c r="G95" s="73" t="s">
        <v>9</v>
      </c>
      <c r="H95" s="73" t="s">
        <v>9</v>
      </c>
      <c r="I95" s="73" t="s">
        <v>9</v>
      </c>
      <c r="J95" s="73" t="s">
        <v>9</v>
      </c>
      <c r="K95" s="73" t="s">
        <v>9</v>
      </c>
      <c r="L95" s="25" t="str">
        <f t="shared" si="9"/>
        <v>Redes Prediais</v>
      </c>
      <c r="M95" s="25" t="str">
        <f t="shared" si="9"/>
        <v>Traçados</v>
      </c>
      <c r="N95" s="25" t="str">
        <f t="shared" si="9"/>
        <v>Conexões</v>
      </c>
      <c r="O95" s="25" t="str">
        <f t="shared" si="9"/>
        <v>Cap</v>
      </c>
      <c r="P95" s="21" t="s">
        <v>280</v>
      </c>
      <c r="Q95" s="21" t="s">
        <v>676</v>
      </c>
      <c r="R95" s="21" t="s">
        <v>9</v>
      </c>
      <c r="S95" s="21" t="str">
        <f t="shared" si="11"/>
        <v>Redes Prediais</v>
      </c>
      <c r="T95" s="21" t="str">
        <f t="shared" si="11"/>
        <v>Traçados</v>
      </c>
      <c r="U95" s="21" t="str">
        <f t="shared" si="11"/>
        <v>Conexões</v>
      </c>
      <c r="V95" s="21" t="s">
        <v>527</v>
      </c>
      <c r="W95" s="74" t="str">
        <f t="shared" si="10"/>
        <v>Key-TUB-95</v>
      </c>
      <c r="X95" s="21" t="s">
        <v>560</v>
      </c>
      <c r="Y95" s="21" t="s">
        <v>568</v>
      </c>
      <c r="Z95" s="21" t="s">
        <v>532</v>
      </c>
      <c r="AA95" s="21" t="s">
        <v>794</v>
      </c>
    </row>
    <row r="96" spans="1:27" ht="6.65" customHeight="1" x14ac:dyDescent="0.4">
      <c r="A96" s="72">
        <v>96</v>
      </c>
      <c r="B96" s="1" t="s">
        <v>838</v>
      </c>
      <c r="C96" s="1" t="s">
        <v>516</v>
      </c>
      <c r="D96" s="1" t="s">
        <v>432</v>
      </c>
      <c r="E96" s="1" t="s">
        <v>334</v>
      </c>
      <c r="F96" s="1" t="s">
        <v>255</v>
      </c>
      <c r="G96" s="73" t="s">
        <v>9</v>
      </c>
      <c r="H96" s="73" t="s">
        <v>9</v>
      </c>
      <c r="I96" s="73" t="s">
        <v>9</v>
      </c>
      <c r="J96" s="73" t="s">
        <v>9</v>
      </c>
      <c r="K96" s="73" t="s">
        <v>9</v>
      </c>
      <c r="L96" s="25" t="str">
        <f t="shared" si="9"/>
        <v>Redes Prediais</v>
      </c>
      <c r="M96" s="25" t="str">
        <f t="shared" si="9"/>
        <v>Traçados</v>
      </c>
      <c r="N96" s="25" t="str">
        <f t="shared" si="9"/>
        <v>Conexões</v>
      </c>
      <c r="O96" s="25" t="str">
        <f t="shared" si="9"/>
        <v>Entrada</v>
      </c>
      <c r="P96" s="21" t="s">
        <v>78</v>
      </c>
      <c r="Q96" s="21" t="s">
        <v>677</v>
      </c>
      <c r="R96" s="21" t="s">
        <v>9</v>
      </c>
      <c r="S96" s="21" t="str">
        <f t="shared" si="11"/>
        <v>Redes Prediais</v>
      </c>
      <c r="T96" s="21" t="str">
        <f t="shared" si="11"/>
        <v>Traçados</v>
      </c>
      <c r="U96" s="21" t="str">
        <f t="shared" si="11"/>
        <v>Conexões</v>
      </c>
      <c r="V96" s="21" t="s">
        <v>527</v>
      </c>
      <c r="W96" s="74" t="str">
        <f t="shared" si="10"/>
        <v>Key-TUB-96</v>
      </c>
      <c r="X96" s="21" t="s">
        <v>560</v>
      </c>
      <c r="Y96" s="71" t="s">
        <v>569</v>
      </c>
      <c r="Z96" s="21" t="s">
        <v>532</v>
      </c>
      <c r="AA96" s="21" t="s">
        <v>795</v>
      </c>
    </row>
    <row r="97" spans="1:27" ht="6.65" customHeight="1" x14ac:dyDescent="0.4">
      <c r="A97" s="72">
        <v>97</v>
      </c>
      <c r="B97" s="1" t="s">
        <v>838</v>
      </c>
      <c r="C97" s="1" t="s">
        <v>516</v>
      </c>
      <c r="D97" s="1" t="s">
        <v>432</v>
      </c>
      <c r="E97" s="1" t="s">
        <v>334</v>
      </c>
      <c r="F97" s="1" t="s">
        <v>256</v>
      </c>
      <c r="G97" s="73" t="s">
        <v>9</v>
      </c>
      <c r="H97" s="73" t="s">
        <v>9</v>
      </c>
      <c r="I97" s="73" t="s">
        <v>9</v>
      </c>
      <c r="J97" s="73" t="s">
        <v>9</v>
      </c>
      <c r="K97" s="73" t="s">
        <v>9</v>
      </c>
      <c r="L97" s="25" t="str">
        <f t="shared" si="9"/>
        <v>Redes Prediais</v>
      </c>
      <c r="M97" s="25" t="str">
        <f t="shared" si="9"/>
        <v>Traçados</v>
      </c>
      <c r="N97" s="25" t="str">
        <f t="shared" si="9"/>
        <v>Conexões</v>
      </c>
      <c r="O97" s="25" t="str">
        <f t="shared" si="9"/>
        <v>Saída</v>
      </c>
      <c r="P97" s="21" t="s">
        <v>79</v>
      </c>
      <c r="Q97" s="21" t="s">
        <v>678</v>
      </c>
      <c r="R97" s="21" t="s">
        <v>9</v>
      </c>
      <c r="S97" s="21" t="str">
        <f t="shared" si="11"/>
        <v>Redes Prediais</v>
      </c>
      <c r="T97" s="21" t="str">
        <f t="shared" si="11"/>
        <v>Traçados</v>
      </c>
      <c r="U97" s="21" t="str">
        <f t="shared" si="11"/>
        <v>Conexões</v>
      </c>
      <c r="V97" s="21" t="s">
        <v>527</v>
      </c>
      <c r="W97" s="74" t="str">
        <f t="shared" si="10"/>
        <v>Key-TUB-97</v>
      </c>
      <c r="X97" s="21" t="s">
        <v>560</v>
      </c>
      <c r="Y97" s="71" t="s">
        <v>570</v>
      </c>
      <c r="Z97" s="21" t="s">
        <v>532</v>
      </c>
      <c r="AA97" s="21" t="s">
        <v>796</v>
      </c>
    </row>
    <row r="98" spans="1:27" ht="6.65" customHeight="1" x14ac:dyDescent="0.4">
      <c r="A98" s="72">
        <v>98</v>
      </c>
      <c r="B98" s="1" t="s">
        <v>838</v>
      </c>
      <c r="C98" s="1" t="s">
        <v>516</v>
      </c>
      <c r="D98" s="1" t="s">
        <v>432</v>
      </c>
      <c r="E98" s="1" t="s">
        <v>335</v>
      </c>
      <c r="F98" s="1" t="s">
        <v>252</v>
      </c>
      <c r="G98" s="73" t="s">
        <v>9</v>
      </c>
      <c r="H98" s="73" t="s">
        <v>9</v>
      </c>
      <c r="I98" s="73" t="s">
        <v>9</v>
      </c>
      <c r="J98" s="73" t="s">
        <v>9</v>
      </c>
      <c r="K98" s="73" t="s">
        <v>9</v>
      </c>
      <c r="L98" s="25" t="str">
        <f t="shared" si="9"/>
        <v>Redes Prediais</v>
      </c>
      <c r="M98" s="25" t="str">
        <f t="shared" si="9"/>
        <v>Traçados</v>
      </c>
      <c r="N98" s="25" t="str">
        <f t="shared" si="9"/>
        <v>Válvulas</v>
      </c>
      <c r="O98" s="25" t="str">
        <f t="shared" si="9"/>
        <v>Torneira</v>
      </c>
      <c r="P98" s="21" t="s">
        <v>90</v>
      </c>
      <c r="Q98" s="21" t="s">
        <v>679</v>
      </c>
      <c r="R98" s="21" t="s">
        <v>9</v>
      </c>
      <c r="S98" s="21" t="str">
        <f t="shared" si="11"/>
        <v>Redes Prediais</v>
      </c>
      <c r="T98" s="21" t="str">
        <f t="shared" si="11"/>
        <v>Traçados</v>
      </c>
      <c r="U98" s="21" t="str">
        <f t="shared" si="11"/>
        <v>Válvulas</v>
      </c>
      <c r="V98" s="21" t="s">
        <v>527</v>
      </c>
      <c r="W98" s="74" t="str">
        <f t="shared" si="10"/>
        <v>Key-TUB-98</v>
      </c>
      <c r="X98" s="21" t="s">
        <v>560</v>
      </c>
      <c r="Y98" s="21" t="s">
        <v>571</v>
      </c>
      <c r="Z98" s="21" t="s">
        <v>532</v>
      </c>
      <c r="AA98" s="21" t="s">
        <v>797</v>
      </c>
    </row>
    <row r="99" spans="1:27" ht="6.65" customHeight="1" x14ac:dyDescent="0.4">
      <c r="A99" s="72">
        <v>99</v>
      </c>
      <c r="B99" s="1" t="s">
        <v>838</v>
      </c>
      <c r="C99" s="1" t="s">
        <v>516</v>
      </c>
      <c r="D99" s="1" t="s">
        <v>432</v>
      </c>
      <c r="E99" s="1" t="s">
        <v>335</v>
      </c>
      <c r="F99" s="1" t="s">
        <v>463</v>
      </c>
      <c r="G99" s="73" t="s">
        <v>9</v>
      </c>
      <c r="H99" s="73" t="s">
        <v>9</v>
      </c>
      <c r="I99" s="73" t="s">
        <v>9</v>
      </c>
      <c r="J99" s="73" t="s">
        <v>9</v>
      </c>
      <c r="K99" s="73" t="s">
        <v>9</v>
      </c>
      <c r="L99" s="25" t="str">
        <f t="shared" si="9"/>
        <v>Redes Prediais</v>
      </c>
      <c r="M99" s="25" t="str">
        <f t="shared" si="9"/>
        <v>Traçados</v>
      </c>
      <c r="N99" s="25" t="str">
        <f t="shared" si="9"/>
        <v>Válvulas</v>
      </c>
      <c r="O99" s="25" t="str">
        <f t="shared" si="9"/>
        <v>Válvula Euro20</v>
      </c>
      <c r="P99" s="21" t="s">
        <v>273</v>
      </c>
      <c r="Q99" s="21" t="s">
        <v>680</v>
      </c>
      <c r="R99" s="21" t="s">
        <v>9</v>
      </c>
      <c r="S99" s="21" t="str">
        <f t="shared" si="11"/>
        <v>Redes Prediais</v>
      </c>
      <c r="T99" s="21" t="str">
        <f t="shared" si="11"/>
        <v>Traçados</v>
      </c>
      <c r="U99" s="21" t="str">
        <f t="shared" si="11"/>
        <v>Válvulas</v>
      </c>
      <c r="V99" s="21" t="s">
        <v>527</v>
      </c>
      <c r="W99" s="74" t="str">
        <f t="shared" si="10"/>
        <v>Key-TUB-99</v>
      </c>
      <c r="X99" s="21" t="s">
        <v>560</v>
      </c>
      <c r="Y99" s="21" t="s">
        <v>571</v>
      </c>
      <c r="Z99" s="21" t="s">
        <v>532</v>
      </c>
      <c r="AA99" s="21" t="s">
        <v>798</v>
      </c>
    </row>
    <row r="100" spans="1:27" ht="6.65" customHeight="1" x14ac:dyDescent="0.4">
      <c r="A100" s="72">
        <v>100</v>
      </c>
      <c r="B100" s="1" t="s">
        <v>838</v>
      </c>
      <c r="C100" s="1" t="s">
        <v>516</v>
      </c>
      <c r="D100" s="1" t="s">
        <v>432</v>
      </c>
      <c r="E100" s="1" t="s">
        <v>335</v>
      </c>
      <c r="F100" s="1" t="s">
        <v>464</v>
      </c>
      <c r="G100" s="73" t="s">
        <v>9</v>
      </c>
      <c r="H100" s="73" t="s">
        <v>9</v>
      </c>
      <c r="I100" s="73" t="s">
        <v>9</v>
      </c>
      <c r="J100" s="73" t="s">
        <v>9</v>
      </c>
      <c r="K100" s="73" t="s">
        <v>9</v>
      </c>
      <c r="L100" s="25" t="str">
        <f t="shared" si="9"/>
        <v>Redes Prediais</v>
      </c>
      <c r="M100" s="25" t="str">
        <f t="shared" si="9"/>
        <v>Traçados</v>
      </c>
      <c r="N100" s="25" t="str">
        <f t="shared" si="9"/>
        <v>Válvulas</v>
      </c>
      <c r="O100" s="25" t="str">
        <f t="shared" si="9"/>
        <v>Válvula Borboleta</v>
      </c>
      <c r="P100" s="21" t="s">
        <v>80</v>
      </c>
      <c r="Q100" s="21" t="s">
        <v>681</v>
      </c>
      <c r="R100" s="21" t="s">
        <v>9</v>
      </c>
      <c r="S100" s="21" t="str">
        <f t="shared" si="11"/>
        <v>Redes Prediais</v>
      </c>
      <c r="T100" s="21" t="str">
        <f t="shared" si="11"/>
        <v>Traçados</v>
      </c>
      <c r="U100" s="21" t="str">
        <f t="shared" si="11"/>
        <v>Válvulas</v>
      </c>
      <c r="V100" s="21" t="s">
        <v>527</v>
      </c>
      <c r="W100" s="74" t="str">
        <f t="shared" si="10"/>
        <v>Key-TUB-100</v>
      </c>
      <c r="X100" s="21" t="s">
        <v>560</v>
      </c>
      <c r="Y100" s="21" t="s">
        <v>571</v>
      </c>
      <c r="Z100" s="21" t="s">
        <v>532</v>
      </c>
      <c r="AA100" s="21" t="s">
        <v>799</v>
      </c>
    </row>
    <row r="101" spans="1:27" ht="6.65" customHeight="1" x14ac:dyDescent="0.4">
      <c r="A101" s="72">
        <v>101</v>
      </c>
      <c r="B101" s="1" t="s">
        <v>838</v>
      </c>
      <c r="C101" s="1" t="s">
        <v>516</v>
      </c>
      <c r="D101" s="1" t="s">
        <v>432</v>
      </c>
      <c r="E101" s="1" t="s">
        <v>335</v>
      </c>
      <c r="F101" s="1" t="s">
        <v>465</v>
      </c>
      <c r="G101" s="73" t="s">
        <v>9</v>
      </c>
      <c r="H101" s="73" t="s">
        <v>9</v>
      </c>
      <c r="I101" s="73" t="s">
        <v>9</v>
      </c>
      <c r="J101" s="73" t="s">
        <v>9</v>
      </c>
      <c r="K101" s="73" t="s">
        <v>9</v>
      </c>
      <c r="L101" s="25" t="str">
        <f t="shared" si="9"/>
        <v>Redes Prediais</v>
      </c>
      <c r="M101" s="25" t="str">
        <f t="shared" si="9"/>
        <v>Traçados</v>
      </c>
      <c r="N101" s="25" t="str">
        <f t="shared" si="9"/>
        <v>Válvulas</v>
      </c>
      <c r="O101" s="25" t="str">
        <f t="shared" si="9"/>
        <v>Válvula de Globo</v>
      </c>
      <c r="P101" s="21" t="s">
        <v>94</v>
      </c>
      <c r="Q101" s="21" t="s">
        <v>682</v>
      </c>
      <c r="R101" s="21" t="s">
        <v>9</v>
      </c>
      <c r="S101" s="21" t="str">
        <f t="shared" si="11"/>
        <v>Redes Prediais</v>
      </c>
      <c r="T101" s="21" t="str">
        <f t="shared" si="11"/>
        <v>Traçados</v>
      </c>
      <c r="U101" s="21" t="str">
        <f t="shared" si="11"/>
        <v>Válvulas</v>
      </c>
      <c r="V101" s="21" t="s">
        <v>527</v>
      </c>
      <c r="W101" s="74" t="str">
        <f t="shared" si="10"/>
        <v>Key-TUB-101</v>
      </c>
      <c r="X101" s="21" t="s">
        <v>560</v>
      </c>
      <c r="Y101" s="21" t="s">
        <v>571</v>
      </c>
      <c r="Z101" s="21" t="s">
        <v>532</v>
      </c>
      <c r="AA101" s="21" t="s">
        <v>800</v>
      </c>
    </row>
    <row r="102" spans="1:27" ht="6.65" customHeight="1" x14ac:dyDescent="0.4">
      <c r="A102" s="72">
        <v>102</v>
      </c>
      <c r="B102" s="1" t="s">
        <v>838</v>
      </c>
      <c r="C102" s="1" t="s">
        <v>516</v>
      </c>
      <c r="D102" s="1" t="s">
        <v>432</v>
      </c>
      <c r="E102" s="1" t="s">
        <v>335</v>
      </c>
      <c r="F102" s="1" t="s">
        <v>466</v>
      </c>
      <c r="G102" s="73" t="s">
        <v>9</v>
      </c>
      <c r="H102" s="73" t="s">
        <v>9</v>
      </c>
      <c r="I102" s="73" t="s">
        <v>9</v>
      </c>
      <c r="J102" s="73" t="s">
        <v>9</v>
      </c>
      <c r="K102" s="73" t="s">
        <v>9</v>
      </c>
      <c r="L102" s="25" t="str">
        <f t="shared" si="9"/>
        <v>Redes Prediais</v>
      </c>
      <c r="M102" s="25" t="str">
        <f t="shared" si="9"/>
        <v>Traçados</v>
      </c>
      <c r="N102" s="25" t="str">
        <f t="shared" si="9"/>
        <v>Válvulas</v>
      </c>
      <c r="O102" s="25" t="str">
        <f t="shared" si="9"/>
        <v>Válvula de Vácuo</v>
      </c>
      <c r="P102" s="21" t="s">
        <v>82</v>
      </c>
      <c r="Q102" s="21" t="s">
        <v>683</v>
      </c>
      <c r="R102" s="21" t="s">
        <v>9</v>
      </c>
      <c r="S102" s="21" t="str">
        <f t="shared" si="11"/>
        <v>Redes Prediais</v>
      </c>
      <c r="T102" s="21" t="str">
        <f t="shared" si="11"/>
        <v>Traçados</v>
      </c>
      <c r="U102" s="21" t="str">
        <f t="shared" si="11"/>
        <v>Válvulas</v>
      </c>
      <c r="V102" s="21" t="s">
        <v>527</v>
      </c>
      <c r="W102" s="74" t="str">
        <f t="shared" si="10"/>
        <v>Key-TUB-102</v>
      </c>
      <c r="X102" s="21" t="s">
        <v>560</v>
      </c>
      <c r="Y102" s="21" t="s">
        <v>571</v>
      </c>
      <c r="Z102" s="21" t="s">
        <v>532</v>
      </c>
      <c r="AA102" s="21" t="s">
        <v>801</v>
      </c>
    </row>
    <row r="103" spans="1:27" ht="6.65" customHeight="1" x14ac:dyDescent="0.4">
      <c r="A103" s="72">
        <v>103</v>
      </c>
      <c r="B103" s="1" t="s">
        <v>838</v>
      </c>
      <c r="C103" s="1" t="s">
        <v>516</v>
      </c>
      <c r="D103" s="1" t="s">
        <v>432</v>
      </c>
      <c r="E103" s="1" t="s">
        <v>335</v>
      </c>
      <c r="F103" s="1" t="s">
        <v>467</v>
      </c>
      <c r="G103" s="73" t="s">
        <v>9</v>
      </c>
      <c r="H103" s="73" t="s">
        <v>9</v>
      </c>
      <c r="I103" s="73" t="s">
        <v>9</v>
      </c>
      <c r="J103" s="73" t="s">
        <v>9</v>
      </c>
      <c r="K103" s="73" t="s">
        <v>9</v>
      </c>
      <c r="L103" s="25" t="str">
        <f t="shared" si="9"/>
        <v>Redes Prediais</v>
      </c>
      <c r="M103" s="25" t="str">
        <f t="shared" si="9"/>
        <v>Traçados</v>
      </c>
      <c r="N103" s="25" t="str">
        <f t="shared" si="9"/>
        <v>Válvulas</v>
      </c>
      <c r="O103" s="25" t="str">
        <f t="shared" si="9"/>
        <v>Válvula de Desvio</v>
      </c>
      <c r="P103" s="21" t="s">
        <v>83</v>
      </c>
      <c r="Q103" s="21" t="s">
        <v>684</v>
      </c>
      <c r="R103" s="21" t="s">
        <v>9</v>
      </c>
      <c r="S103" s="21" t="str">
        <f t="shared" si="11"/>
        <v>Redes Prediais</v>
      </c>
      <c r="T103" s="21" t="str">
        <f t="shared" si="11"/>
        <v>Traçados</v>
      </c>
      <c r="U103" s="21" t="str">
        <f t="shared" si="11"/>
        <v>Válvulas</v>
      </c>
      <c r="V103" s="21" t="s">
        <v>527</v>
      </c>
      <c r="W103" s="74" t="str">
        <f t="shared" si="10"/>
        <v>Key-TUB-103</v>
      </c>
      <c r="X103" s="21" t="s">
        <v>560</v>
      </c>
      <c r="Y103" s="21" t="s">
        <v>571</v>
      </c>
      <c r="Z103" s="21" t="s">
        <v>532</v>
      </c>
      <c r="AA103" s="21" t="s">
        <v>802</v>
      </c>
    </row>
    <row r="104" spans="1:27" ht="6.65" customHeight="1" x14ac:dyDescent="0.4">
      <c r="A104" s="72">
        <v>104</v>
      </c>
      <c r="B104" s="1" t="s">
        <v>838</v>
      </c>
      <c r="C104" s="1" t="s">
        <v>516</v>
      </c>
      <c r="D104" s="1" t="s">
        <v>432</v>
      </c>
      <c r="E104" s="1" t="s">
        <v>335</v>
      </c>
      <c r="F104" s="1" t="s">
        <v>468</v>
      </c>
      <c r="G104" s="73" t="s">
        <v>9</v>
      </c>
      <c r="H104" s="73" t="s">
        <v>9</v>
      </c>
      <c r="I104" s="73" t="s">
        <v>9</v>
      </c>
      <c r="J104" s="73" t="s">
        <v>9</v>
      </c>
      <c r="K104" s="73" t="s">
        <v>9</v>
      </c>
      <c r="L104" s="25" t="str">
        <f t="shared" si="9"/>
        <v>Redes Prediais</v>
      </c>
      <c r="M104" s="25" t="str">
        <f t="shared" si="9"/>
        <v>Traçados</v>
      </c>
      <c r="N104" s="25" t="str">
        <f t="shared" si="9"/>
        <v>Válvulas</v>
      </c>
      <c r="O104" s="25" t="str">
        <f t="shared" si="9"/>
        <v>Válvula de Retenção</v>
      </c>
      <c r="P104" s="21" t="s">
        <v>84</v>
      </c>
      <c r="Q104" s="21" t="s">
        <v>685</v>
      </c>
      <c r="R104" s="21" t="s">
        <v>9</v>
      </c>
      <c r="S104" s="21" t="str">
        <f t="shared" si="11"/>
        <v>Redes Prediais</v>
      </c>
      <c r="T104" s="21" t="str">
        <f t="shared" si="11"/>
        <v>Traçados</v>
      </c>
      <c r="U104" s="21" t="str">
        <f t="shared" si="11"/>
        <v>Válvulas</v>
      </c>
      <c r="V104" s="21" t="s">
        <v>527</v>
      </c>
      <c r="W104" s="74" t="str">
        <f t="shared" si="10"/>
        <v>Key-TUB-104</v>
      </c>
      <c r="X104" s="21" t="s">
        <v>560</v>
      </c>
      <c r="Y104" s="21" t="s">
        <v>571</v>
      </c>
      <c r="Z104" s="21" t="s">
        <v>532</v>
      </c>
      <c r="AA104" s="21" t="s">
        <v>803</v>
      </c>
    </row>
    <row r="105" spans="1:27" ht="6.65" customHeight="1" x14ac:dyDescent="0.4">
      <c r="A105" s="72">
        <v>105</v>
      </c>
      <c r="B105" s="1" t="s">
        <v>838</v>
      </c>
      <c r="C105" s="1" t="s">
        <v>516</v>
      </c>
      <c r="D105" s="1" t="s">
        <v>432</v>
      </c>
      <c r="E105" s="1" t="s">
        <v>335</v>
      </c>
      <c r="F105" s="1" t="s">
        <v>469</v>
      </c>
      <c r="G105" s="73" t="s">
        <v>9</v>
      </c>
      <c r="H105" s="73" t="s">
        <v>9</v>
      </c>
      <c r="I105" s="73" t="s">
        <v>9</v>
      </c>
      <c r="J105" s="73" t="s">
        <v>9</v>
      </c>
      <c r="K105" s="73" t="s">
        <v>9</v>
      </c>
      <c r="L105" s="25" t="str">
        <f t="shared" si="9"/>
        <v>Redes Prediais</v>
      </c>
      <c r="M105" s="25" t="str">
        <f t="shared" si="9"/>
        <v>Traçados</v>
      </c>
      <c r="N105" s="25" t="str">
        <f t="shared" si="9"/>
        <v>Válvulas</v>
      </c>
      <c r="O105" s="25" t="str">
        <f t="shared" si="9"/>
        <v xml:space="preserve">Válvula de Isolamento </v>
      </c>
      <c r="P105" s="21" t="s">
        <v>85</v>
      </c>
      <c r="Q105" s="21" t="s">
        <v>686</v>
      </c>
      <c r="R105" s="21" t="s">
        <v>9</v>
      </c>
      <c r="S105" s="21" t="str">
        <f t="shared" si="11"/>
        <v>Redes Prediais</v>
      </c>
      <c r="T105" s="21" t="str">
        <f t="shared" si="11"/>
        <v>Traçados</v>
      </c>
      <c r="U105" s="21" t="str">
        <f t="shared" si="11"/>
        <v>Válvulas</v>
      </c>
      <c r="V105" s="21" t="s">
        <v>527</v>
      </c>
      <c r="W105" s="74" t="str">
        <f t="shared" si="10"/>
        <v>Key-TUB-105</v>
      </c>
      <c r="X105" s="21" t="s">
        <v>560</v>
      </c>
      <c r="Y105" s="21" t="s">
        <v>571</v>
      </c>
      <c r="Z105" s="21" t="s">
        <v>532</v>
      </c>
      <c r="AA105" s="21" t="s">
        <v>804</v>
      </c>
    </row>
    <row r="106" spans="1:27" ht="6.65" customHeight="1" x14ac:dyDescent="0.4">
      <c r="A106" s="72">
        <v>106</v>
      </c>
      <c r="B106" s="1" t="s">
        <v>838</v>
      </c>
      <c r="C106" s="1" t="s">
        <v>516</v>
      </c>
      <c r="D106" s="1" t="s">
        <v>432</v>
      </c>
      <c r="E106" s="1" t="s">
        <v>335</v>
      </c>
      <c r="F106" s="1" t="s">
        <v>470</v>
      </c>
      <c r="G106" s="73" t="s">
        <v>9</v>
      </c>
      <c r="H106" s="73" t="s">
        <v>9</v>
      </c>
      <c r="I106" s="73" t="s">
        <v>9</v>
      </c>
      <c r="J106" s="73" t="s">
        <v>9</v>
      </c>
      <c r="K106" s="73" t="s">
        <v>9</v>
      </c>
      <c r="L106" s="25" t="str">
        <f t="shared" si="9"/>
        <v>Redes Prediais</v>
      </c>
      <c r="M106" s="25" t="str">
        <f t="shared" si="9"/>
        <v>Traçados</v>
      </c>
      <c r="N106" s="25" t="str">
        <f t="shared" si="9"/>
        <v>Válvulas</v>
      </c>
      <c r="O106" s="25" t="str">
        <f t="shared" si="9"/>
        <v xml:space="preserve">Válvula de Fluxo </v>
      </c>
      <c r="P106" s="21" t="s">
        <v>86</v>
      </c>
      <c r="Q106" s="21" t="s">
        <v>687</v>
      </c>
      <c r="R106" s="21" t="s">
        <v>9</v>
      </c>
      <c r="S106" s="21" t="str">
        <f t="shared" si="11"/>
        <v>Redes Prediais</v>
      </c>
      <c r="T106" s="21" t="str">
        <f t="shared" si="11"/>
        <v>Traçados</v>
      </c>
      <c r="U106" s="21" t="str">
        <f t="shared" si="11"/>
        <v>Válvulas</v>
      </c>
      <c r="V106" s="21" t="s">
        <v>527</v>
      </c>
      <c r="W106" s="74" t="str">
        <f t="shared" si="10"/>
        <v>Key-TUB-106</v>
      </c>
      <c r="X106" s="21" t="s">
        <v>560</v>
      </c>
      <c r="Y106" s="21" t="s">
        <v>571</v>
      </c>
      <c r="Z106" s="21" t="s">
        <v>532</v>
      </c>
      <c r="AA106" s="21" t="s">
        <v>805</v>
      </c>
    </row>
    <row r="107" spans="1:27" ht="6.65" customHeight="1" x14ac:dyDescent="0.4">
      <c r="A107" s="72">
        <v>107</v>
      </c>
      <c r="B107" s="1" t="s">
        <v>838</v>
      </c>
      <c r="C107" s="1" t="s">
        <v>516</v>
      </c>
      <c r="D107" s="1" t="s">
        <v>432</v>
      </c>
      <c r="E107" s="1" t="s">
        <v>335</v>
      </c>
      <c r="F107" s="1" t="s">
        <v>471</v>
      </c>
      <c r="G107" s="73" t="s">
        <v>9</v>
      </c>
      <c r="H107" s="73" t="s">
        <v>9</v>
      </c>
      <c r="I107" s="73" t="s">
        <v>9</v>
      </c>
      <c r="J107" s="73" t="s">
        <v>9</v>
      </c>
      <c r="K107" s="73" t="s">
        <v>9</v>
      </c>
      <c r="L107" s="25" t="str">
        <f t="shared" si="9"/>
        <v>Redes Prediais</v>
      </c>
      <c r="M107" s="25" t="str">
        <f t="shared" si="9"/>
        <v>Traçados</v>
      </c>
      <c r="N107" s="25" t="str">
        <f t="shared" si="9"/>
        <v>Válvulas</v>
      </c>
      <c r="O107" s="25" t="str">
        <f t="shared" si="9"/>
        <v>Válvula de Antirrefluxo Dupla</v>
      </c>
      <c r="P107" s="21" t="s">
        <v>87</v>
      </c>
      <c r="Q107" s="21" t="s">
        <v>688</v>
      </c>
      <c r="R107" s="21" t="s">
        <v>9</v>
      </c>
      <c r="S107" s="21" t="str">
        <f t="shared" si="11"/>
        <v>Redes Prediais</v>
      </c>
      <c r="T107" s="21" t="str">
        <f t="shared" si="11"/>
        <v>Traçados</v>
      </c>
      <c r="U107" s="21" t="str">
        <f t="shared" si="11"/>
        <v>Válvulas</v>
      </c>
      <c r="V107" s="21" t="s">
        <v>527</v>
      </c>
      <c r="W107" s="74" t="str">
        <f t="shared" si="10"/>
        <v>Key-TUB-107</v>
      </c>
      <c r="X107" s="21" t="s">
        <v>560</v>
      </c>
      <c r="Y107" s="21" t="s">
        <v>571</v>
      </c>
      <c r="Z107" s="21" t="s">
        <v>532</v>
      </c>
      <c r="AA107" s="21" t="s">
        <v>806</v>
      </c>
    </row>
    <row r="108" spans="1:27" ht="6.65" customHeight="1" x14ac:dyDescent="0.4">
      <c r="A108" s="72">
        <v>108</v>
      </c>
      <c r="B108" s="1" t="s">
        <v>838</v>
      </c>
      <c r="C108" s="1" t="s">
        <v>516</v>
      </c>
      <c r="D108" s="1" t="s">
        <v>432</v>
      </c>
      <c r="E108" s="1" t="s">
        <v>335</v>
      </c>
      <c r="F108" s="1" t="s">
        <v>472</v>
      </c>
      <c r="G108" s="73" t="s">
        <v>9</v>
      </c>
      <c r="H108" s="73" t="s">
        <v>9</v>
      </c>
      <c r="I108" s="73" t="s">
        <v>9</v>
      </c>
      <c r="J108" s="73" t="s">
        <v>9</v>
      </c>
      <c r="K108" s="73" t="s">
        <v>9</v>
      </c>
      <c r="L108" s="25" t="str">
        <f t="shared" si="9"/>
        <v>Redes Prediais</v>
      </c>
      <c r="M108" s="25" t="str">
        <f t="shared" si="9"/>
        <v>Traçados</v>
      </c>
      <c r="N108" s="25" t="str">
        <f t="shared" si="9"/>
        <v>Válvulas</v>
      </c>
      <c r="O108" s="25" t="str">
        <f t="shared" si="9"/>
        <v>Válvula de Regulação</v>
      </c>
      <c r="P108" s="21" t="s">
        <v>88</v>
      </c>
      <c r="Q108" s="21" t="s">
        <v>689</v>
      </c>
      <c r="R108" s="21" t="s">
        <v>9</v>
      </c>
      <c r="S108" s="21" t="str">
        <f t="shared" si="11"/>
        <v>Redes Prediais</v>
      </c>
      <c r="T108" s="21" t="str">
        <f t="shared" si="11"/>
        <v>Traçados</v>
      </c>
      <c r="U108" s="21" t="str">
        <f t="shared" si="11"/>
        <v>Válvulas</v>
      </c>
      <c r="V108" s="21" t="s">
        <v>527</v>
      </c>
      <c r="W108" s="74" t="str">
        <f t="shared" si="10"/>
        <v>Key-TUB-108</v>
      </c>
      <c r="X108" s="21" t="s">
        <v>560</v>
      </c>
      <c r="Y108" s="21" t="s">
        <v>571</v>
      </c>
      <c r="Z108" s="21" t="s">
        <v>532</v>
      </c>
      <c r="AA108" s="21" t="s">
        <v>807</v>
      </c>
    </row>
    <row r="109" spans="1:27" ht="6.65" customHeight="1" x14ac:dyDescent="0.4">
      <c r="A109" s="72">
        <v>109</v>
      </c>
      <c r="B109" s="1" t="s">
        <v>838</v>
      </c>
      <c r="C109" s="1" t="s">
        <v>516</v>
      </c>
      <c r="D109" s="1" t="s">
        <v>432</v>
      </c>
      <c r="E109" s="1" t="s">
        <v>335</v>
      </c>
      <c r="F109" s="1" t="s">
        <v>473</v>
      </c>
      <c r="G109" s="73" t="s">
        <v>9</v>
      </c>
      <c r="H109" s="73" t="s">
        <v>9</v>
      </c>
      <c r="I109" s="73" t="s">
        <v>9</v>
      </c>
      <c r="J109" s="73" t="s">
        <v>9</v>
      </c>
      <c r="K109" s="73" t="s">
        <v>9</v>
      </c>
      <c r="L109" s="25" t="str">
        <f t="shared" si="9"/>
        <v>Redes Prediais</v>
      </c>
      <c r="M109" s="25" t="str">
        <f t="shared" si="9"/>
        <v>Traçados</v>
      </c>
      <c r="N109" s="25" t="str">
        <f t="shared" si="9"/>
        <v>Válvulas</v>
      </c>
      <c r="O109" s="25" t="str">
        <f t="shared" si="9"/>
        <v>Válvula de Descarga</v>
      </c>
      <c r="P109" s="21" t="s">
        <v>91</v>
      </c>
      <c r="Q109" s="21" t="s">
        <v>690</v>
      </c>
      <c r="R109" s="21" t="s">
        <v>9</v>
      </c>
      <c r="S109" s="21" t="str">
        <f t="shared" si="11"/>
        <v>Redes Prediais</v>
      </c>
      <c r="T109" s="21" t="str">
        <f t="shared" si="11"/>
        <v>Traçados</v>
      </c>
      <c r="U109" s="21" t="str">
        <f t="shared" si="11"/>
        <v>Válvulas</v>
      </c>
      <c r="V109" s="21" t="s">
        <v>527</v>
      </c>
      <c r="W109" s="74" t="str">
        <f t="shared" si="10"/>
        <v>Key-TUB-109</v>
      </c>
      <c r="X109" s="21" t="s">
        <v>560</v>
      </c>
      <c r="Y109" s="21" t="s">
        <v>571</v>
      </c>
      <c r="Z109" s="21" t="s">
        <v>532</v>
      </c>
      <c r="AA109" s="21" t="s">
        <v>808</v>
      </c>
    </row>
    <row r="110" spans="1:27" ht="6.65" customHeight="1" x14ac:dyDescent="0.4">
      <c r="A110" s="72">
        <v>110</v>
      </c>
      <c r="B110" s="1" t="s">
        <v>838</v>
      </c>
      <c r="C110" s="1" t="s">
        <v>516</v>
      </c>
      <c r="D110" s="1" t="s">
        <v>432</v>
      </c>
      <c r="E110" s="1" t="s">
        <v>335</v>
      </c>
      <c r="F110" s="1" t="s">
        <v>474</v>
      </c>
      <c r="G110" s="73" t="s">
        <v>9</v>
      </c>
      <c r="H110" s="73" t="s">
        <v>9</v>
      </c>
      <c r="I110" s="73" t="s">
        <v>9</v>
      </c>
      <c r="J110" s="73" t="s">
        <v>9</v>
      </c>
      <c r="K110" s="73" t="s">
        <v>9</v>
      </c>
      <c r="L110" s="25" t="str">
        <f t="shared" si="9"/>
        <v>Redes Prediais</v>
      </c>
      <c r="M110" s="25" t="str">
        <f t="shared" si="9"/>
        <v>Traçados</v>
      </c>
      <c r="N110" s="25" t="str">
        <f t="shared" si="9"/>
        <v>Válvulas</v>
      </c>
      <c r="O110" s="25" t="str">
        <f t="shared" si="9"/>
        <v>Válvula de Gás</v>
      </c>
      <c r="P110" s="21" t="s">
        <v>92</v>
      </c>
      <c r="Q110" s="21" t="s">
        <v>691</v>
      </c>
      <c r="R110" s="21" t="s">
        <v>9</v>
      </c>
      <c r="S110" s="21" t="str">
        <f t="shared" si="11"/>
        <v>Redes Prediais</v>
      </c>
      <c r="T110" s="21" t="str">
        <f t="shared" si="11"/>
        <v>Traçados</v>
      </c>
      <c r="U110" s="21" t="str">
        <f t="shared" si="11"/>
        <v>Válvulas</v>
      </c>
      <c r="V110" s="21" t="s">
        <v>527</v>
      </c>
      <c r="W110" s="74" t="str">
        <f t="shared" si="10"/>
        <v>Key-TUB-110</v>
      </c>
      <c r="X110" s="21" t="s">
        <v>560</v>
      </c>
      <c r="Y110" s="21" t="s">
        <v>571</v>
      </c>
      <c r="Z110" s="21" t="s">
        <v>532</v>
      </c>
      <c r="AA110" s="21" t="s">
        <v>809</v>
      </c>
    </row>
    <row r="111" spans="1:27" ht="6.65" customHeight="1" x14ac:dyDescent="0.4">
      <c r="A111" s="72">
        <v>111</v>
      </c>
      <c r="B111" s="1" t="s">
        <v>838</v>
      </c>
      <c r="C111" s="1" t="s">
        <v>516</v>
      </c>
      <c r="D111" s="1" t="s">
        <v>432</v>
      </c>
      <c r="E111" s="1" t="s">
        <v>335</v>
      </c>
      <c r="F111" s="1" t="s">
        <v>475</v>
      </c>
      <c r="G111" s="73" t="s">
        <v>9</v>
      </c>
      <c r="H111" s="73" t="s">
        <v>9</v>
      </c>
      <c r="I111" s="73" t="s">
        <v>9</v>
      </c>
      <c r="J111" s="73" t="s">
        <v>9</v>
      </c>
      <c r="K111" s="73" t="s">
        <v>9</v>
      </c>
      <c r="L111" s="25" t="str">
        <f t="shared" si="9"/>
        <v>Redes Prediais</v>
      </c>
      <c r="M111" s="25" t="str">
        <f t="shared" si="9"/>
        <v>Traçados</v>
      </c>
      <c r="N111" s="25" t="str">
        <f t="shared" si="9"/>
        <v>Válvulas</v>
      </c>
      <c r="O111" s="25" t="str">
        <f t="shared" si="9"/>
        <v>Válvula de Segurança</v>
      </c>
      <c r="P111" s="21" t="s">
        <v>93</v>
      </c>
      <c r="Q111" s="21" t="s">
        <v>692</v>
      </c>
      <c r="R111" s="21" t="s">
        <v>9</v>
      </c>
      <c r="S111" s="21" t="str">
        <f t="shared" si="11"/>
        <v>Redes Prediais</v>
      </c>
      <c r="T111" s="21" t="str">
        <f t="shared" si="11"/>
        <v>Traçados</v>
      </c>
      <c r="U111" s="21" t="str">
        <f t="shared" si="11"/>
        <v>Válvulas</v>
      </c>
      <c r="V111" s="21" t="s">
        <v>527</v>
      </c>
      <c r="W111" s="74" t="str">
        <f t="shared" si="10"/>
        <v>Key-TUB-111</v>
      </c>
      <c r="X111" s="21" t="s">
        <v>560</v>
      </c>
      <c r="Y111" s="21" t="s">
        <v>571</v>
      </c>
      <c r="Z111" s="21" t="s">
        <v>532</v>
      </c>
      <c r="AA111" s="21" t="s">
        <v>810</v>
      </c>
    </row>
    <row r="112" spans="1:27" ht="6.65" customHeight="1" x14ac:dyDescent="0.4">
      <c r="A112" s="72">
        <v>112</v>
      </c>
      <c r="B112" s="1" t="s">
        <v>838</v>
      </c>
      <c r="C112" s="1" t="s">
        <v>516</v>
      </c>
      <c r="D112" s="1" t="s">
        <v>432</v>
      </c>
      <c r="E112" s="1" t="s">
        <v>335</v>
      </c>
      <c r="F112" s="1" t="s">
        <v>476</v>
      </c>
      <c r="G112" s="73" t="s">
        <v>9</v>
      </c>
      <c r="H112" s="73" t="s">
        <v>9</v>
      </c>
      <c r="I112" s="73" t="s">
        <v>9</v>
      </c>
      <c r="J112" s="73" t="s">
        <v>9</v>
      </c>
      <c r="K112" s="73" t="s">
        <v>9</v>
      </c>
      <c r="L112" s="25" t="str">
        <f t="shared" si="9"/>
        <v>Redes Prediais</v>
      </c>
      <c r="M112" s="25" t="str">
        <f t="shared" si="9"/>
        <v>Traçados</v>
      </c>
      <c r="N112" s="25" t="str">
        <f t="shared" si="9"/>
        <v>Válvulas</v>
      </c>
      <c r="O112" s="25" t="str">
        <f t="shared" si="9"/>
        <v>Válvula Ventosa</v>
      </c>
      <c r="P112" s="21" t="s">
        <v>81</v>
      </c>
      <c r="Q112" s="21" t="s">
        <v>693</v>
      </c>
      <c r="R112" s="21" t="s">
        <v>9</v>
      </c>
      <c r="S112" s="21" t="str">
        <f t="shared" si="11"/>
        <v>Redes Prediais</v>
      </c>
      <c r="T112" s="21" t="str">
        <f t="shared" si="11"/>
        <v>Traçados</v>
      </c>
      <c r="U112" s="21" t="str">
        <f t="shared" si="11"/>
        <v>Válvulas</v>
      </c>
      <c r="V112" s="21" t="s">
        <v>527</v>
      </c>
      <c r="W112" s="74" t="str">
        <f t="shared" si="10"/>
        <v>Key-TUB-112</v>
      </c>
      <c r="X112" s="21" t="s">
        <v>560</v>
      </c>
      <c r="Y112" s="21" t="s">
        <v>571</v>
      </c>
      <c r="Z112" s="21" t="s">
        <v>532</v>
      </c>
      <c r="AA112" s="21" t="s">
        <v>811</v>
      </c>
    </row>
    <row r="113" spans="1:27" ht="6.65" customHeight="1" x14ac:dyDescent="0.4">
      <c r="A113" s="72">
        <v>113</v>
      </c>
      <c r="B113" s="1" t="s">
        <v>838</v>
      </c>
      <c r="C113" s="1" t="s">
        <v>516</v>
      </c>
      <c r="D113" s="1" t="s">
        <v>432</v>
      </c>
      <c r="E113" s="1" t="s">
        <v>335</v>
      </c>
      <c r="F113" s="1" t="s">
        <v>477</v>
      </c>
      <c r="G113" s="73" t="s">
        <v>9</v>
      </c>
      <c r="H113" s="73" t="s">
        <v>9</v>
      </c>
      <c r="I113" s="73" t="s">
        <v>9</v>
      </c>
      <c r="J113" s="73" t="s">
        <v>9</v>
      </c>
      <c r="K113" s="73" t="s">
        <v>9</v>
      </c>
      <c r="L113" s="25" t="str">
        <f t="shared" si="9"/>
        <v>Redes Prediais</v>
      </c>
      <c r="M113" s="25" t="str">
        <f t="shared" si="9"/>
        <v>Traçados</v>
      </c>
      <c r="N113" s="25" t="str">
        <f t="shared" si="9"/>
        <v>Válvulas</v>
      </c>
      <c r="O113" s="25" t="str">
        <f t="shared" si="9"/>
        <v>Válvula Ventosa Tríplice</v>
      </c>
      <c r="P113" s="21" t="s">
        <v>95</v>
      </c>
      <c r="Q113" s="21" t="s">
        <v>694</v>
      </c>
      <c r="R113" s="21" t="s">
        <v>9</v>
      </c>
      <c r="S113" s="21" t="str">
        <f t="shared" si="11"/>
        <v>Redes Prediais</v>
      </c>
      <c r="T113" s="21" t="str">
        <f t="shared" si="11"/>
        <v>Traçados</v>
      </c>
      <c r="U113" s="21" t="str">
        <f t="shared" si="11"/>
        <v>Válvulas</v>
      </c>
      <c r="V113" s="21" t="s">
        <v>527</v>
      </c>
      <c r="W113" s="74" t="str">
        <f t="shared" si="10"/>
        <v>Key-TUB-113</v>
      </c>
      <c r="X113" s="21" t="s">
        <v>560</v>
      </c>
      <c r="Y113" s="21" t="s">
        <v>571</v>
      </c>
      <c r="Z113" s="21" t="s">
        <v>532</v>
      </c>
      <c r="AA113" s="21" t="s">
        <v>812</v>
      </c>
    </row>
    <row r="114" spans="1:27" ht="6.65" customHeight="1" x14ac:dyDescent="0.4">
      <c r="A114" s="72">
        <v>114</v>
      </c>
      <c r="B114" s="1" t="s">
        <v>838</v>
      </c>
      <c r="C114" s="1" t="s">
        <v>516</v>
      </c>
      <c r="D114" s="1" t="s">
        <v>432</v>
      </c>
      <c r="E114" s="1" t="s">
        <v>335</v>
      </c>
      <c r="F114" s="1" t="s">
        <v>478</v>
      </c>
      <c r="G114" s="73" t="s">
        <v>9</v>
      </c>
      <c r="H114" s="73" t="s">
        <v>9</v>
      </c>
      <c r="I114" s="73" t="s">
        <v>9</v>
      </c>
      <c r="J114" s="73" t="s">
        <v>9</v>
      </c>
      <c r="K114" s="73" t="s">
        <v>9</v>
      </c>
      <c r="L114" s="25" t="str">
        <f t="shared" si="9"/>
        <v>Redes Prediais</v>
      </c>
      <c r="M114" s="25" t="str">
        <f t="shared" si="9"/>
        <v>Traçados</v>
      </c>
      <c r="N114" s="25" t="str">
        <f t="shared" si="9"/>
        <v>Válvulas</v>
      </c>
      <c r="O114" s="25" t="str">
        <f t="shared" si="9"/>
        <v>Válvula de Pressão</v>
      </c>
      <c r="P114" s="21" t="s">
        <v>96</v>
      </c>
      <c r="Q114" s="21" t="s">
        <v>695</v>
      </c>
      <c r="R114" s="21" t="s">
        <v>9</v>
      </c>
      <c r="S114" s="21" t="str">
        <f t="shared" si="11"/>
        <v>Redes Prediais</v>
      </c>
      <c r="T114" s="21" t="str">
        <f t="shared" si="11"/>
        <v>Traçados</v>
      </c>
      <c r="U114" s="21" t="str">
        <f t="shared" si="11"/>
        <v>Válvulas</v>
      </c>
      <c r="V114" s="21" t="s">
        <v>527</v>
      </c>
      <c r="W114" s="74" t="str">
        <f t="shared" si="10"/>
        <v>Key-TUB-114</v>
      </c>
      <c r="X114" s="21" t="s">
        <v>560</v>
      </c>
      <c r="Y114" s="21" t="s">
        <v>571</v>
      </c>
      <c r="Z114" s="21" t="s">
        <v>532</v>
      </c>
      <c r="AA114" s="21" t="s">
        <v>813</v>
      </c>
    </row>
    <row r="115" spans="1:27" ht="6.65" customHeight="1" x14ac:dyDescent="0.4">
      <c r="A115" s="72">
        <v>115</v>
      </c>
      <c r="B115" s="1" t="s">
        <v>838</v>
      </c>
      <c r="C115" s="1" t="s">
        <v>516</v>
      </c>
      <c r="D115" s="1" t="s">
        <v>432</v>
      </c>
      <c r="E115" s="1" t="s">
        <v>335</v>
      </c>
      <c r="F115" s="1" t="s">
        <v>479</v>
      </c>
      <c r="G115" s="73" t="s">
        <v>9</v>
      </c>
      <c r="H115" s="73" t="s">
        <v>9</v>
      </c>
      <c r="I115" s="73" t="s">
        <v>9</v>
      </c>
      <c r="J115" s="73" t="s">
        <v>9</v>
      </c>
      <c r="K115" s="73" t="s">
        <v>9</v>
      </c>
      <c r="L115" s="25" t="str">
        <f t="shared" si="9"/>
        <v>Redes Prediais</v>
      </c>
      <c r="M115" s="25" t="str">
        <f t="shared" si="9"/>
        <v>Traçados</v>
      </c>
      <c r="N115" s="25" t="str">
        <f t="shared" si="9"/>
        <v>Válvulas</v>
      </c>
      <c r="O115" s="25" t="str">
        <f t="shared" si="9"/>
        <v>Válvula de Alívio</v>
      </c>
      <c r="P115" s="21" t="s">
        <v>97</v>
      </c>
      <c r="Q115" s="21" t="s">
        <v>696</v>
      </c>
      <c r="R115" s="21" t="s">
        <v>9</v>
      </c>
      <c r="S115" s="21" t="str">
        <f t="shared" si="11"/>
        <v>Redes Prediais</v>
      </c>
      <c r="T115" s="21" t="str">
        <f t="shared" si="11"/>
        <v>Traçados</v>
      </c>
      <c r="U115" s="21" t="str">
        <f t="shared" si="11"/>
        <v>Válvulas</v>
      </c>
      <c r="V115" s="21" t="s">
        <v>527</v>
      </c>
      <c r="W115" s="74" t="str">
        <f t="shared" si="10"/>
        <v>Key-TUB-115</v>
      </c>
      <c r="X115" s="21" t="s">
        <v>560</v>
      </c>
      <c r="Y115" s="21" t="s">
        <v>571</v>
      </c>
      <c r="Z115" s="21" t="s">
        <v>532</v>
      </c>
      <c r="AA115" s="21" t="s">
        <v>707</v>
      </c>
    </row>
    <row r="116" spans="1:27" ht="6.65" customHeight="1" x14ac:dyDescent="0.4">
      <c r="A116" s="72">
        <v>116</v>
      </c>
      <c r="B116" s="1" t="s">
        <v>838</v>
      </c>
      <c r="C116" s="1" t="s">
        <v>516</v>
      </c>
      <c r="D116" s="1" t="s">
        <v>432</v>
      </c>
      <c r="E116" s="1" t="s">
        <v>335</v>
      </c>
      <c r="F116" s="1" t="s">
        <v>480</v>
      </c>
      <c r="G116" s="73" t="s">
        <v>9</v>
      </c>
      <c r="H116" s="73" t="s">
        <v>9</v>
      </c>
      <c r="I116" s="73" t="s">
        <v>9</v>
      </c>
      <c r="J116" s="73" t="s">
        <v>9</v>
      </c>
      <c r="K116" s="73" t="s">
        <v>9</v>
      </c>
      <c r="L116" s="25" t="str">
        <f t="shared" si="9"/>
        <v>Redes Prediais</v>
      </c>
      <c r="M116" s="25" t="str">
        <f t="shared" si="9"/>
        <v>Traçados</v>
      </c>
      <c r="N116" s="25" t="str">
        <f t="shared" si="9"/>
        <v>Válvulas</v>
      </c>
      <c r="O116" s="25" t="str">
        <f t="shared" si="9"/>
        <v>Válvula de Controle</v>
      </c>
      <c r="P116" s="21" t="s">
        <v>98</v>
      </c>
      <c r="Q116" s="21" t="s">
        <v>689</v>
      </c>
      <c r="R116" s="21" t="s">
        <v>9</v>
      </c>
      <c r="S116" s="21" t="str">
        <f t="shared" si="11"/>
        <v>Redes Prediais</v>
      </c>
      <c r="T116" s="21" t="str">
        <f t="shared" si="11"/>
        <v>Traçados</v>
      </c>
      <c r="U116" s="21" t="str">
        <f t="shared" si="11"/>
        <v>Válvulas</v>
      </c>
      <c r="V116" s="21" t="s">
        <v>527</v>
      </c>
      <c r="W116" s="74" t="str">
        <f t="shared" si="10"/>
        <v>Key-TUB-116</v>
      </c>
      <c r="X116" s="21" t="s">
        <v>560</v>
      </c>
      <c r="Y116" s="21" t="s">
        <v>571</v>
      </c>
      <c r="Z116" s="21" t="s">
        <v>532</v>
      </c>
      <c r="AA116" s="21" t="s">
        <v>807</v>
      </c>
    </row>
    <row r="117" spans="1:27" ht="6.65" customHeight="1" x14ac:dyDescent="0.4">
      <c r="A117" s="72">
        <v>117</v>
      </c>
      <c r="B117" s="1" t="s">
        <v>838</v>
      </c>
      <c r="C117" s="1" t="s">
        <v>516</v>
      </c>
      <c r="D117" s="1" t="s">
        <v>432</v>
      </c>
      <c r="E117" s="1" t="s">
        <v>335</v>
      </c>
      <c r="F117" s="1" t="s">
        <v>481</v>
      </c>
      <c r="G117" s="73" t="s">
        <v>9</v>
      </c>
      <c r="H117" s="73" t="s">
        <v>9</v>
      </c>
      <c r="I117" s="73" t="s">
        <v>9</v>
      </c>
      <c r="J117" s="73" t="s">
        <v>9</v>
      </c>
      <c r="K117" s="73" t="s">
        <v>9</v>
      </c>
      <c r="L117" s="25" t="str">
        <f t="shared" si="9"/>
        <v>Redes Prediais</v>
      </c>
      <c r="M117" s="25" t="str">
        <f t="shared" si="9"/>
        <v>Traçados</v>
      </c>
      <c r="N117" s="25" t="str">
        <f t="shared" si="9"/>
        <v>Válvulas</v>
      </c>
      <c r="O117" s="25" t="str">
        <f t="shared" si="9"/>
        <v>Válvula de Purga</v>
      </c>
      <c r="P117" s="21" t="s">
        <v>89</v>
      </c>
      <c r="Q117" s="21" t="s">
        <v>697</v>
      </c>
      <c r="R117" s="21" t="s">
        <v>9</v>
      </c>
      <c r="S117" s="21" t="str">
        <f t="shared" si="11"/>
        <v>Redes Prediais</v>
      </c>
      <c r="T117" s="21" t="str">
        <f t="shared" si="11"/>
        <v>Traçados</v>
      </c>
      <c r="U117" s="21" t="str">
        <f t="shared" si="11"/>
        <v>Válvulas</v>
      </c>
      <c r="V117" s="21" t="s">
        <v>527</v>
      </c>
      <c r="W117" s="74" t="str">
        <f t="shared" si="10"/>
        <v>Key-TUB-117</v>
      </c>
      <c r="X117" s="21" t="s">
        <v>560</v>
      </c>
      <c r="Y117" s="21" t="s">
        <v>571</v>
      </c>
      <c r="Z117" s="21" t="s">
        <v>532</v>
      </c>
      <c r="AA117" s="21" t="s">
        <v>814</v>
      </c>
    </row>
    <row r="118" spans="1:27" ht="6.65" customHeight="1" x14ac:dyDescent="0.4">
      <c r="A118" s="72">
        <v>118</v>
      </c>
      <c r="B118" s="1" t="s">
        <v>838</v>
      </c>
      <c r="C118" s="1" t="s">
        <v>516</v>
      </c>
      <c r="D118" s="1" t="s">
        <v>432</v>
      </c>
      <c r="E118" s="1" t="s">
        <v>335</v>
      </c>
      <c r="F118" s="1" t="s">
        <v>482</v>
      </c>
      <c r="G118" s="73" t="s">
        <v>9</v>
      </c>
      <c r="H118" s="73" t="s">
        <v>9</v>
      </c>
      <c r="I118" s="73" t="s">
        <v>9</v>
      </c>
      <c r="J118" s="73" t="s">
        <v>9</v>
      </c>
      <c r="K118" s="73" t="s">
        <v>9</v>
      </c>
      <c r="L118" s="25" t="str">
        <f t="shared" si="9"/>
        <v>Redes Prediais</v>
      </c>
      <c r="M118" s="25" t="str">
        <f t="shared" si="9"/>
        <v>Traçados</v>
      </c>
      <c r="N118" s="25" t="str">
        <f t="shared" si="9"/>
        <v>Válvulas</v>
      </c>
      <c r="O118" s="25" t="str">
        <f t="shared" si="9"/>
        <v>Válvula de Purga Vapor</v>
      </c>
      <c r="P118" s="21" t="s">
        <v>99</v>
      </c>
      <c r="Q118" s="21" t="s">
        <v>698</v>
      </c>
      <c r="R118" s="21" t="s">
        <v>9</v>
      </c>
      <c r="S118" s="21" t="str">
        <f t="shared" si="11"/>
        <v>Redes Prediais</v>
      </c>
      <c r="T118" s="21" t="str">
        <f t="shared" si="11"/>
        <v>Traçados</v>
      </c>
      <c r="U118" s="21" t="str">
        <f t="shared" si="11"/>
        <v>Válvulas</v>
      </c>
      <c r="V118" s="21" t="s">
        <v>527</v>
      </c>
      <c r="W118" s="74" t="str">
        <f t="shared" si="10"/>
        <v>Key-TUB-118</v>
      </c>
      <c r="X118" s="21" t="s">
        <v>560</v>
      </c>
      <c r="Y118" s="21" t="s">
        <v>571</v>
      </c>
      <c r="Z118" s="21" t="s">
        <v>532</v>
      </c>
      <c r="AA118" s="21" t="s">
        <v>815</v>
      </c>
    </row>
    <row r="119" spans="1:27" ht="6.65" customHeight="1" x14ac:dyDescent="0.4">
      <c r="A119" s="72">
        <v>119</v>
      </c>
      <c r="B119" s="1" t="s">
        <v>838</v>
      </c>
      <c r="C119" s="1" t="s">
        <v>516</v>
      </c>
      <c r="D119" s="1" t="s">
        <v>432</v>
      </c>
      <c r="E119" s="1" t="s">
        <v>336</v>
      </c>
      <c r="F119" s="1" t="s">
        <v>295</v>
      </c>
      <c r="G119" s="73" t="s">
        <v>9</v>
      </c>
      <c r="H119" s="73" t="s">
        <v>9</v>
      </c>
      <c r="I119" s="73" t="s">
        <v>9</v>
      </c>
      <c r="J119" s="73" t="s">
        <v>9</v>
      </c>
      <c r="K119" s="73" t="s">
        <v>9</v>
      </c>
      <c r="L119" s="25" t="str">
        <f t="shared" si="9"/>
        <v>Redes Prediais</v>
      </c>
      <c r="M119" s="25" t="str">
        <f t="shared" si="9"/>
        <v>Traçados</v>
      </c>
      <c r="N119" s="25" t="str">
        <f t="shared" si="9"/>
        <v>Acessórios</v>
      </c>
      <c r="O119" s="25" t="str">
        <f t="shared" si="9"/>
        <v>Abraçadeira</v>
      </c>
      <c r="P119" s="21" t="s">
        <v>298</v>
      </c>
      <c r="Q119" s="21" t="s">
        <v>699</v>
      </c>
      <c r="R119" s="21" t="s">
        <v>9</v>
      </c>
      <c r="S119" s="21" t="str">
        <f t="shared" si="11"/>
        <v>Redes Prediais</v>
      </c>
      <c r="T119" s="21" t="str">
        <f t="shared" si="11"/>
        <v>Traçados</v>
      </c>
      <c r="U119" s="21" t="str">
        <f t="shared" si="11"/>
        <v>Acessórios</v>
      </c>
      <c r="V119" s="21" t="s">
        <v>527</v>
      </c>
      <c r="W119" s="74" t="str">
        <f t="shared" si="10"/>
        <v>Key-TUB-119</v>
      </c>
      <c r="X119" s="21" t="s">
        <v>572</v>
      </c>
      <c r="Y119" s="21" t="s">
        <v>573</v>
      </c>
      <c r="Z119" s="21" t="s">
        <v>532</v>
      </c>
      <c r="AA119" s="21" t="s">
        <v>816</v>
      </c>
    </row>
    <row r="120" spans="1:27" ht="6.65" customHeight="1" x14ac:dyDescent="0.4">
      <c r="A120" s="72">
        <v>120</v>
      </c>
      <c r="B120" s="1" t="s">
        <v>838</v>
      </c>
      <c r="C120" s="1" t="s">
        <v>516</v>
      </c>
      <c r="D120" s="1" t="s">
        <v>432</v>
      </c>
      <c r="E120" s="1" t="s">
        <v>336</v>
      </c>
      <c r="F120" s="1" t="s">
        <v>296</v>
      </c>
      <c r="G120" s="73" t="s">
        <v>9</v>
      </c>
      <c r="H120" s="73" t="s">
        <v>9</v>
      </c>
      <c r="I120" s="73" t="s">
        <v>9</v>
      </c>
      <c r="J120" s="73" t="s">
        <v>9</v>
      </c>
      <c r="K120" s="73" t="s">
        <v>9</v>
      </c>
      <c r="L120" s="25" t="str">
        <f t="shared" si="9"/>
        <v>Redes Prediais</v>
      </c>
      <c r="M120" s="25" t="str">
        <f t="shared" si="9"/>
        <v>Traçados</v>
      </c>
      <c r="N120" s="25" t="str">
        <f t="shared" si="9"/>
        <v>Acessórios</v>
      </c>
      <c r="O120" s="25" t="str">
        <f t="shared" si="9"/>
        <v>Haste</v>
      </c>
      <c r="P120" s="21" t="s">
        <v>299</v>
      </c>
      <c r="Q120" s="21" t="s">
        <v>700</v>
      </c>
      <c r="R120" s="21" t="s">
        <v>9</v>
      </c>
      <c r="S120" s="21" t="str">
        <f t="shared" si="11"/>
        <v>Redes Prediais</v>
      </c>
      <c r="T120" s="21" t="str">
        <f t="shared" si="11"/>
        <v>Traçados</v>
      </c>
      <c r="U120" s="21" t="str">
        <f t="shared" si="11"/>
        <v>Acessórios</v>
      </c>
      <c r="V120" s="21" t="s">
        <v>527</v>
      </c>
      <c r="W120" s="74" t="str">
        <f t="shared" si="10"/>
        <v>Key-TUB-120</v>
      </c>
      <c r="X120" s="21" t="s">
        <v>572</v>
      </c>
      <c r="Y120" s="21" t="s">
        <v>574</v>
      </c>
      <c r="Z120" s="21" t="s">
        <v>532</v>
      </c>
      <c r="AA120" s="21" t="s">
        <v>817</v>
      </c>
    </row>
    <row r="121" spans="1:27" ht="6.65" customHeight="1" x14ac:dyDescent="0.4">
      <c r="A121" s="72">
        <v>121</v>
      </c>
      <c r="B121" s="1" t="s">
        <v>838</v>
      </c>
      <c r="C121" s="1" t="s">
        <v>516</v>
      </c>
      <c r="D121" s="1" t="s">
        <v>432</v>
      </c>
      <c r="E121" s="1" t="s">
        <v>336</v>
      </c>
      <c r="F121" s="1" t="s">
        <v>297</v>
      </c>
      <c r="G121" s="73" t="s">
        <v>9</v>
      </c>
      <c r="H121" s="73" t="s">
        <v>9</v>
      </c>
      <c r="I121" s="73" t="s">
        <v>9</v>
      </c>
      <c r="J121" s="73" t="s">
        <v>9</v>
      </c>
      <c r="K121" s="73" t="s">
        <v>9</v>
      </c>
      <c r="L121" s="25" t="str">
        <f t="shared" si="9"/>
        <v>Redes Prediais</v>
      </c>
      <c r="M121" s="25" t="str">
        <f t="shared" si="9"/>
        <v>Traçados</v>
      </c>
      <c r="N121" s="25" t="str">
        <f t="shared" si="9"/>
        <v>Acessórios</v>
      </c>
      <c r="O121" s="25" t="str">
        <f t="shared" si="9"/>
        <v>Volante</v>
      </c>
      <c r="P121" s="21" t="s">
        <v>300</v>
      </c>
      <c r="Q121" s="21" t="s">
        <v>701</v>
      </c>
      <c r="R121" s="21" t="s">
        <v>9</v>
      </c>
      <c r="S121" s="21" t="str">
        <f t="shared" si="11"/>
        <v>Redes Prediais</v>
      </c>
      <c r="T121" s="21" t="str">
        <f t="shared" si="11"/>
        <v>Traçados</v>
      </c>
      <c r="U121" s="21" t="str">
        <f t="shared" si="11"/>
        <v>Acessórios</v>
      </c>
      <c r="V121" s="21" t="s">
        <v>527</v>
      </c>
      <c r="W121" s="74" t="str">
        <f t="shared" si="10"/>
        <v>Key-TUB-121</v>
      </c>
      <c r="X121" s="21" t="s">
        <v>572</v>
      </c>
      <c r="Y121" s="21" t="s">
        <v>574</v>
      </c>
      <c r="Z121" s="21" t="s">
        <v>532</v>
      </c>
      <c r="AA121" s="21" t="s">
        <v>818</v>
      </c>
    </row>
    <row r="122" spans="1:27" ht="6.65" customHeight="1" x14ac:dyDescent="0.4">
      <c r="A122" s="72">
        <v>122</v>
      </c>
      <c r="B122" s="1" t="s">
        <v>838</v>
      </c>
      <c r="C122" s="1" t="s">
        <v>517</v>
      </c>
      <c r="D122" s="1" t="s">
        <v>498</v>
      </c>
      <c r="E122" s="1" t="s">
        <v>507</v>
      </c>
      <c r="F122" s="1" t="s">
        <v>496</v>
      </c>
      <c r="G122" s="73" t="s">
        <v>9</v>
      </c>
      <c r="H122" s="73" t="s">
        <v>9</v>
      </c>
      <c r="I122" s="73" t="s">
        <v>9</v>
      </c>
      <c r="J122" s="73" t="s">
        <v>9</v>
      </c>
      <c r="K122" s="73" t="s">
        <v>9</v>
      </c>
      <c r="L122" s="25" t="str">
        <f t="shared" ref="L122:L126" si="12">SUBSTITUTE(CONCATENATE("", C122), ".", " ")</f>
        <v>Redes Industriais</v>
      </c>
      <c r="M122" s="25" t="str">
        <f t="shared" ref="M122:M126" si="13">SUBSTITUTE(CONCATENATE("", D122), ".", " ")</f>
        <v>Complexos de Dutos</v>
      </c>
      <c r="N122" s="25" t="str">
        <f t="shared" ref="N122:N126" si="14">SUBSTITUTE(CONCATENATE("", E122), ".", " ")</f>
        <v>Dutos de Transporte</v>
      </c>
      <c r="O122" s="25" t="str">
        <f t="shared" ref="O122:O126" si="15">SUBSTITUTE(CONCATENATE("", F122), ".", " ")</f>
        <v>Gasoduto</v>
      </c>
      <c r="P122" s="21" t="s">
        <v>502</v>
      </c>
      <c r="Q122" s="21" t="s">
        <v>702</v>
      </c>
      <c r="R122" s="21" t="s">
        <v>9</v>
      </c>
      <c r="S122" s="21" t="s">
        <v>495</v>
      </c>
      <c r="T122" s="21" t="s">
        <v>432</v>
      </c>
      <c r="U122" s="21" t="s">
        <v>336</v>
      </c>
      <c r="V122" s="21" t="s">
        <v>527</v>
      </c>
      <c r="W122" s="74" t="str">
        <f t="shared" si="10"/>
        <v>Key-TUB-122</v>
      </c>
      <c r="X122" s="21" t="s">
        <v>572</v>
      </c>
      <c r="Y122" s="21" t="s">
        <v>574</v>
      </c>
      <c r="Z122" s="21" t="s">
        <v>532</v>
      </c>
      <c r="AA122" s="21" t="s">
        <v>819</v>
      </c>
    </row>
    <row r="123" spans="1:27" ht="6.65" customHeight="1" x14ac:dyDescent="0.4">
      <c r="A123" s="72">
        <v>123</v>
      </c>
      <c r="B123" s="1" t="s">
        <v>838</v>
      </c>
      <c r="C123" s="1" t="s">
        <v>517</v>
      </c>
      <c r="D123" s="1" t="s">
        <v>498</v>
      </c>
      <c r="E123" s="1" t="s">
        <v>507</v>
      </c>
      <c r="F123" s="1" t="s">
        <v>497</v>
      </c>
      <c r="G123" s="73" t="s">
        <v>9</v>
      </c>
      <c r="H123" s="73" t="s">
        <v>9</v>
      </c>
      <c r="I123" s="73" t="s">
        <v>9</v>
      </c>
      <c r="J123" s="73" t="s">
        <v>9</v>
      </c>
      <c r="K123" s="73" t="s">
        <v>9</v>
      </c>
      <c r="L123" s="25" t="str">
        <f t="shared" si="12"/>
        <v>Redes Industriais</v>
      </c>
      <c r="M123" s="25" t="str">
        <f t="shared" si="13"/>
        <v>Complexos de Dutos</v>
      </c>
      <c r="N123" s="25" t="str">
        <f t="shared" si="14"/>
        <v>Dutos de Transporte</v>
      </c>
      <c r="O123" s="25" t="str">
        <f t="shared" si="15"/>
        <v>Oleoduto</v>
      </c>
      <c r="P123" s="21" t="s">
        <v>504</v>
      </c>
      <c r="Q123" s="21" t="s">
        <v>703</v>
      </c>
      <c r="R123" s="21" t="s">
        <v>9</v>
      </c>
      <c r="S123" s="21" t="s">
        <v>495</v>
      </c>
      <c r="T123" s="21" t="s">
        <v>432</v>
      </c>
      <c r="U123" s="21" t="s">
        <v>336</v>
      </c>
      <c r="V123" s="21" t="s">
        <v>527</v>
      </c>
      <c r="W123" s="74" t="str">
        <f t="shared" si="10"/>
        <v>Key-TUB-123</v>
      </c>
      <c r="X123" s="21" t="s">
        <v>572</v>
      </c>
      <c r="Y123" s="21" t="s">
        <v>574</v>
      </c>
      <c r="Z123" s="21" t="s">
        <v>532</v>
      </c>
      <c r="AA123" s="21" t="s">
        <v>820</v>
      </c>
    </row>
    <row r="124" spans="1:27" ht="6.65" customHeight="1" x14ac:dyDescent="0.4">
      <c r="A124" s="72">
        <v>124</v>
      </c>
      <c r="B124" s="1" t="s">
        <v>838</v>
      </c>
      <c r="C124" s="1" t="s">
        <v>517</v>
      </c>
      <c r="D124" s="1" t="s">
        <v>498</v>
      </c>
      <c r="E124" s="1" t="s">
        <v>507</v>
      </c>
      <c r="F124" s="1" t="s">
        <v>499</v>
      </c>
      <c r="G124" s="73" t="s">
        <v>9</v>
      </c>
      <c r="H124" s="73" t="s">
        <v>9</v>
      </c>
      <c r="I124" s="73" t="s">
        <v>9</v>
      </c>
      <c r="J124" s="73" t="s">
        <v>9</v>
      </c>
      <c r="K124" s="73" t="s">
        <v>9</v>
      </c>
      <c r="L124" s="25" t="str">
        <f t="shared" si="12"/>
        <v>Redes Industriais</v>
      </c>
      <c r="M124" s="25" t="str">
        <f t="shared" si="13"/>
        <v>Complexos de Dutos</v>
      </c>
      <c r="N124" s="25" t="str">
        <f t="shared" si="14"/>
        <v>Dutos de Transporte</v>
      </c>
      <c r="O124" s="25" t="str">
        <f t="shared" si="15"/>
        <v>Mineroduto</v>
      </c>
      <c r="P124" s="21" t="s">
        <v>506</v>
      </c>
      <c r="Q124" s="21" t="s">
        <v>704</v>
      </c>
      <c r="R124" s="21" t="s">
        <v>9</v>
      </c>
      <c r="S124" s="21" t="s">
        <v>495</v>
      </c>
      <c r="T124" s="21" t="s">
        <v>432</v>
      </c>
      <c r="U124" s="21" t="s">
        <v>336</v>
      </c>
      <c r="V124" s="21" t="s">
        <v>527</v>
      </c>
      <c r="W124" s="74" t="str">
        <f t="shared" si="10"/>
        <v>Key-TUB-124</v>
      </c>
      <c r="X124" s="21" t="s">
        <v>572</v>
      </c>
      <c r="Y124" s="21" t="s">
        <v>574</v>
      </c>
      <c r="Z124" s="21" t="s">
        <v>532</v>
      </c>
      <c r="AA124" s="21" t="s">
        <v>821</v>
      </c>
    </row>
    <row r="125" spans="1:27" ht="6.65" customHeight="1" x14ac:dyDescent="0.4">
      <c r="A125" s="72">
        <v>125</v>
      </c>
      <c r="B125" s="1" t="s">
        <v>838</v>
      </c>
      <c r="C125" s="1" t="s">
        <v>517</v>
      </c>
      <c r="D125" s="1" t="s">
        <v>498</v>
      </c>
      <c r="E125" s="1" t="s">
        <v>507</v>
      </c>
      <c r="F125" s="1" t="s">
        <v>500</v>
      </c>
      <c r="G125" s="73" t="s">
        <v>9</v>
      </c>
      <c r="H125" s="73" t="s">
        <v>9</v>
      </c>
      <c r="I125" s="73" t="s">
        <v>9</v>
      </c>
      <c r="J125" s="73" t="s">
        <v>9</v>
      </c>
      <c r="K125" s="73" t="s">
        <v>9</v>
      </c>
      <c r="L125" s="25" t="str">
        <f t="shared" si="12"/>
        <v>Redes Industriais</v>
      </c>
      <c r="M125" s="25" t="str">
        <f t="shared" si="13"/>
        <v>Complexos de Dutos</v>
      </c>
      <c r="N125" s="25" t="str">
        <f t="shared" si="14"/>
        <v>Dutos de Transporte</v>
      </c>
      <c r="O125" s="25" t="str">
        <f t="shared" si="15"/>
        <v>Carboduto</v>
      </c>
      <c r="P125" s="21" t="s">
        <v>505</v>
      </c>
      <c r="Q125" s="21" t="s">
        <v>705</v>
      </c>
      <c r="R125" s="21" t="s">
        <v>9</v>
      </c>
      <c r="S125" s="21" t="s">
        <v>495</v>
      </c>
      <c r="T125" s="21" t="s">
        <v>432</v>
      </c>
      <c r="U125" s="21" t="s">
        <v>336</v>
      </c>
      <c r="V125" s="21" t="s">
        <v>527</v>
      </c>
      <c r="W125" s="74" t="str">
        <f t="shared" si="10"/>
        <v>Key-TUB-125</v>
      </c>
      <c r="X125" s="21" t="s">
        <v>572</v>
      </c>
      <c r="Y125" s="21" t="s">
        <v>574</v>
      </c>
      <c r="Z125" s="21" t="s">
        <v>532</v>
      </c>
      <c r="AA125" s="21" t="s">
        <v>822</v>
      </c>
    </row>
    <row r="126" spans="1:27" ht="6.65" customHeight="1" x14ac:dyDescent="0.4">
      <c r="A126" s="72">
        <v>126</v>
      </c>
      <c r="B126" s="1" t="s">
        <v>838</v>
      </c>
      <c r="C126" s="1" t="s">
        <v>517</v>
      </c>
      <c r="D126" s="1" t="s">
        <v>498</v>
      </c>
      <c r="E126" s="1" t="s">
        <v>507</v>
      </c>
      <c r="F126" s="1" t="s">
        <v>501</v>
      </c>
      <c r="G126" s="73" t="s">
        <v>9</v>
      </c>
      <c r="H126" s="73" t="s">
        <v>9</v>
      </c>
      <c r="I126" s="73" t="s">
        <v>9</v>
      </c>
      <c r="J126" s="73" t="s">
        <v>9</v>
      </c>
      <c r="K126" s="73" t="s">
        <v>9</v>
      </c>
      <c r="L126" s="25" t="str">
        <f t="shared" si="12"/>
        <v>Redes Industriais</v>
      </c>
      <c r="M126" s="25" t="str">
        <f t="shared" si="13"/>
        <v>Complexos de Dutos</v>
      </c>
      <c r="N126" s="25" t="str">
        <f t="shared" si="14"/>
        <v>Dutos de Transporte</v>
      </c>
      <c r="O126" s="25" t="str">
        <f t="shared" si="15"/>
        <v>Poliduto</v>
      </c>
      <c r="P126" s="21" t="s">
        <v>503</v>
      </c>
      <c r="Q126" s="21" t="s">
        <v>706</v>
      </c>
      <c r="R126" s="21" t="s">
        <v>9</v>
      </c>
      <c r="S126" s="21" t="s">
        <v>495</v>
      </c>
      <c r="T126" s="21" t="s">
        <v>432</v>
      </c>
      <c r="U126" s="21" t="s">
        <v>336</v>
      </c>
      <c r="V126" s="21" t="s">
        <v>527</v>
      </c>
      <c r="W126" s="74" t="str">
        <f t="shared" si="10"/>
        <v>Key-TUB-126</v>
      </c>
      <c r="X126" s="21" t="s">
        <v>572</v>
      </c>
      <c r="Y126" s="21" t="s">
        <v>574</v>
      </c>
      <c r="Z126" s="21" t="s">
        <v>532</v>
      </c>
      <c r="AA126" s="21" t="s">
        <v>823</v>
      </c>
    </row>
  </sheetData>
  <conditionalFormatting sqref="A2:B126">
    <cfRule type="cellIs" dxfId="19" priority="6" operator="equal">
      <formula>"null"</formula>
    </cfRule>
  </conditionalFormatting>
  <conditionalFormatting sqref="F3:F6">
    <cfRule type="duplicateValues" dxfId="18" priority="1"/>
    <cfRule type="duplicateValues" dxfId="17" priority="2"/>
    <cfRule type="duplicateValues" dxfId="16" priority="3"/>
    <cfRule type="duplicateValues" dxfId="15" priority="4"/>
  </conditionalFormatting>
  <conditionalFormatting sqref="F7:F126 F1">
    <cfRule type="duplicateValues" dxfId="14" priority="32"/>
    <cfRule type="duplicateValues" dxfId="13" priority="33"/>
  </conditionalFormatting>
  <conditionalFormatting sqref="F7:F1048576 F1">
    <cfRule type="duplicateValues" dxfId="12" priority="20"/>
  </conditionalFormatting>
  <conditionalFormatting sqref="X7:AA126">
    <cfRule type="cellIs" dxfId="11" priority="21" operator="equal">
      <formula>"null"</formula>
    </cfRule>
  </conditionalFormatting>
  <conditionalFormatting sqref="AA1:AA6">
    <cfRule type="cellIs" dxfId="10" priority="5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B6" sqref="B6"/>
    </sheetView>
  </sheetViews>
  <sheetFormatPr defaultColWidth="11.15234375" defaultRowHeight="7.75" x14ac:dyDescent="0.2"/>
  <cols>
    <col min="1" max="1" width="2.84375" style="10" customWidth="1"/>
    <col min="2" max="10" width="6.53515625" style="11" customWidth="1"/>
    <col min="11" max="21" width="6.53515625" style="9" customWidth="1"/>
    <col min="22" max="16384" width="11.15234375" style="9"/>
  </cols>
  <sheetData>
    <row r="1" spans="1:21" s="4" customFormat="1" x14ac:dyDescent="0.2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2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2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9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AQ61"/>
  <sheetViews>
    <sheetView zoomScale="205" zoomScaleNormal="205" workbookViewId="0">
      <selection activeCell="AO58" sqref="AO58:AO61"/>
    </sheetView>
  </sheetViews>
  <sheetFormatPr defaultColWidth="5.3046875" defaultRowHeight="7.5" customHeight="1" x14ac:dyDescent="0.4"/>
  <cols>
    <col min="1" max="1" width="2.3046875" style="37" bestFit="1" customWidth="1"/>
    <col min="2" max="2" width="12.69140625" style="37" customWidth="1"/>
    <col min="3" max="3" width="9.3046875" style="48" customWidth="1"/>
    <col min="4" max="4" width="7.69140625" style="37" customWidth="1"/>
    <col min="5" max="5" width="11.69140625" style="37" bestFit="1" customWidth="1"/>
    <col min="6" max="6" width="4.3046875" style="48" bestFit="1" customWidth="1"/>
    <col min="7" max="7" width="4.3828125" style="48" bestFit="1" customWidth="1"/>
    <col min="8" max="8" width="3.3828125" style="48" bestFit="1" customWidth="1"/>
    <col min="9" max="9" width="14" style="48" customWidth="1"/>
    <col min="10" max="10" width="3.15234375" style="48" customWidth="1"/>
    <col min="11" max="11" width="3.69140625" style="48" customWidth="1"/>
    <col min="12" max="12" width="3.69140625" style="48" bestFit="1" customWidth="1"/>
    <col min="13" max="13" width="3.3046875" style="48" bestFit="1" customWidth="1"/>
    <col min="14" max="14" width="7.69140625" style="48" bestFit="1" customWidth="1"/>
    <col min="15" max="15" width="3.84375" style="37" customWidth="1"/>
    <col min="16" max="16" width="7.84375" style="48" customWidth="1"/>
    <col min="17" max="17" width="3.3046875" style="47" customWidth="1"/>
    <col min="18" max="18" width="7.84375" style="37" bestFit="1" customWidth="1"/>
    <col min="19" max="19" width="3.53515625" style="47" bestFit="1" customWidth="1"/>
    <col min="20" max="20" width="13" style="37" customWidth="1"/>
    <col min="21" max="21" width="3.3046875" style="47" bestFit="1" customWidth="1"/>
    <col min="22" max="22" width="12.3046875" style="37" customWidth="1"/>
    <col min="23" max="23" width="4.15234375" style="37" bestFit="1" customWidth="1"/>
    <col min="24" max="24" width="11.15234375" style="48" customWidth="1"/>
    <col min="25" max="25" width="3.69140625" style="37" bestFit="1" customWidth="1"/>
    <col min="26" max="26" width="9.69140625" style="48" customWidth="1"/>
    <col min="27" max="27" width="3.3046875" style="37" bestFit="1" customWidth="1"/>
    <col min="28" max="28" width="9" style="37" customWidth="1"/>
    <col min="29" max="29" width="4" style="47" bestFit="1" customWidth="1"/>
    <col min="30" max="30" width="6" style="37" customWidth="1"/>
    <col min="31" max="31" width="4.53515625" style="47" customWidth="1"/>
    <col min="32" max="32" width="7.84375" style="37" customWidth="1"/>
    <col min="33" max="33" width="12.84375" style="37" customWidth="1"/>
    <col min="34" max="34" width="4.69140625" style="48" bestFit="1" customWidth="1"/>
    <col min="35" max="35" width="14.3046875" style="37" customWidth="1"/>
    <col min="36" max="36" width="5.3046875" style="48"/>
    <col min="37" max="37" width="46.69140625" style="37" customWidth="1"/>
    <col min="38" max="38" width="7" style="37" customWidth="1"/>
    <col min="39" max="39" width="12" style="37" customWidth="1"/>
    <col min="40" max="40" width="5.3046875" style="37"/>
    <col min="41" max="41" width="10" style="37" customWidth="1"/>
    <col min="42" max="42" width="6.15234375" style="37" customWidth="1"/>
    <col min="43" max="43" width="11.3046875" style="37" customWidth="1"/>
    <col min="44" max="16384" width="5.3046875" style="37"/>
  </cols>
  <sheetData>
    <row r="1" spans="1:43" ht="25.5" customHeight="1" x14ac:dyDescent="0.4">
      <c r="A1" s="32" t="s">
        <v>10</v>
      </c>
      <c r="B1" s="33" t="s">
        <v>73</v>
      </c>
      <c r="C1" s="33" t="s">
        <v>74</v>
      </c>
      <c r="D1" s="34" t="s">
        <v>75</v>
      </c>
      <c r="E1" s="34" t="s">
        <v>45</v>
      </c>
      <c r="F1" s="33" t="s">
        <v>75</v>
      </c>
      <c r="G1" s="33"/>
      <c r="H1" s="33" t="s">
        <v>75</v>
      </c>
      <c r="I1" s="33" t="s">
        <v>45</v>
      </c>
      <c r="J1" s="33" t="s">
        <v>75</v>
      </c>
      <c r="K1" s="33" t="s">
        <v>45</v>
      </c>
      <c r="L1" s="33" t="s">
        <v>75</v>
      </c>
      <c r="M1" s="33" t="s">
        <v>77</v>
      </c>
      <c r="N1" s="33" t="s">
        <v>75</v>
      </c>
      <c r="O1" s="33" t="s">
        <v>77</v>
      </c>
      <c r="P1" s="33" t="s">
        <v>75</v>
      </c>
      <c r="Q1" s="32" t="s">
        <v>77</v>
      </c>
      <c r="R1" s="34" t="s">
        <v>75</v>
      </c>
      <c r="S1" s="32" t="s">
        <v>77</v>
      </c>
      <c r="T1" s="35" t="s">
        <v>76</v>
      </c>
      <c r="U1" s="32" t="s">
        <v>77</v>
      </c>
      <c r="V1" s="34" t="s">
        <v>75</v>
      </c>
      <c r="W1" s="33" t="s">
        <v>77</v>
      </c>
      <c r="X1" s="33" t="s">
        <v>75</v>
      </c>
      <c r="Y1" s="34" t="s">
        <v>77</v>
      </c>
      <c r="Z1" s="33" t="s">
        <v>75</v>
      </c>
      <c r="AA1" s="32" t="s">
        <v>77</v>
      </c>
      <c r="AB1" s="34" t="s">
        <v>75</v>
      </c>
      <c r="AC1" s="32" t="s">
        <v>77</v>
      </c>
      <c r="AD1" s="34" t="s">
        <v>75</v>
      </c>
      <c r="AE1" s="32"/>
      <c r="AF1" s="34" t="s">
        <v>75</v>
      </c>
      <c r="AG1" s="34" t="s">
        <v>77</v>
      </c>
      <c r="AH1" s="33" t="s">
        <v>75</v>
      </c>
      <c r="AI1" s="35" t="s">
        <v>77</v>
      </c>
      <c r="AJ1" s="33" t="s">
        <v>75</v>
      </c>
      <c r="AK1" s="36" t="s">
        <v>77</v>
      </c>
      <c r="AL1" s="32" t="s">
        <v>75</v>
      </c>
      <c r="AM1" s="36" t="s">
        <v>77</v>
      </c>
      <c r="AN1" s="34" t="s">
        <v>75</v>
      </c>
      <c r="AO1" s="36" t="s">
        <v>77</v>
      </c>
      <c r="AP1" s="34" t="s">
        <v>75</v>
      </c>
      <c r="AQ1" s="36" t="s">
        <v>77</v>
      </c>
    </row>
    <row r="2" spans="1:43" ht="7.5" customHeight="1" x14ac:dyDescent="0.4">
      <c r="A2" s="16">
        <v>2</v>
      </c>
      <c r="B2" s="38" t="s">
        <v>139</v>
      </c>
      <c r="C2" s="51" t="s">
        <v>137</v>
      </c>
      <c r="D2" s="54" t="s">
        <v>9</v>
      </c>
      <c r="E2" s="67" t="s">
        <v>9</v>
      </c>
      <c r="F2" s="52" t="s">
        <v>9</v>
      </c>
      <c r="G2" s="53" t="s">
        <v>9</v>
      </c>
      <c r="H2" s="52" t="s">
        <v>9</v>
      </c>
      <c r="I2" s="53" t="s">
        <v>9</v>
      </c>
      <c r="J2" s="52" t="s">
        <v>9</v>
      </c>
      <c r="K2" s="53" t="s">
        <v>9</v>
      </c>
      <c r="L2" s="44" t="s">
        <v>9</v>
      </c>
      <c r="M2" s="45" t="s">
        <v>9</v>
      </c>
      <c r="N2" s="52" t="s">
        <v>9</v>
      </c>
      <c r="O2" s="40" t="s">
        <v>9</v>
      </c>
      <c r="P2" s="52" t="s">
        <v>9</v>
      </c>
      <c r="Q2" s="40" t="s">
        <v>9</v>
      </c>
      <c r="R2" s="41" t="s">
        <v>9</v>
      </c>
      <c r="S2" s="42" t="s">
        <v>9</v>
      </c>
      <c r="T2" s="39" t="s">
        <v>9</v>
      </c>
      <c r="U2" s="40" t="s">
        <v>9</v>
      </c>
      <c r="V2" s="39" t="s">
        <v>9</v>
      </c>
      <c r="W2" s="40" t="s">
        <v>9</v>
      </c>
      <c r="X2" s="52" t="s">
        <v>9</v>
      </c>
      <c r="Y2" s="40" t="s">
        <v>9</v>
      </c>
      <c r="Z2" s="44" t="s">
        <v>9</v>
      </c>
      <c r="AA2" s="42" t="s">
        <v>9</v>
      </c>
      <c r="AB2" s="55" t="s">
        <v>9</v>
      </c>
      <c r="AC2" s="40" t="s">
        <v>9</v>
      </c>
      <c r="AD2" s="55" t="s">
        <v>9</v>
      </c>
      <c r="AE2" s="40" t="s">
        <v>9</v>
      </c>
      <c r="AF2" s="55" t="s">
        <v>9</v>
      </c>
      <c r="AG2" s="46" t="s">
        <v>9</v>
      </c>
      <c r="AH2" s="52" t="s">
        <v>9</v>
      </c>
      <c r="AI2" s="46" t="s">
        <v>9</v>
      </c>
      <c r="AJ2" s="44" t="s">
        <v>114</v>
      </c>
      <c r="AK2" s="45" t="s">
        <v>135</v>
      </c>
      <c r="AL2" s="52" t="s">
        <v>9</v>
      </c>
      <c r="AM2" s="53" t="s">
        <v>9</v>
      </c>
      <c r="AN2" s="55" t="s">
        <v>9</v>
      </c>
      <c r="AO2" s="53" t="s">
        <v>9</v>
      </c>
      <c r="AP2" s="55" t="s">
        <v>9</v>
      </c>
      <c r="AQ2" s="53" t="s">
        <v>9</v>
      </c>
    </row>
    <row r="3" spans="1:43" ht="7.5" customHeight="1" x14ac:dyDescent="0.4">
      <c r="A3" s="16">
        <v>3</v>
      </c>
      <c r="B3" s="38" t="s">
        <v>519</v>
      </c>
      <c r="C3" s="51" t="s">
        <v>137</v>
      </c>
      <c r="D3" s="54" t="s">
        <v>134</v>
      </c>
      <c r="E3" s="69" t="s">
        <v>139</v>
      </c>
      <c r="F3" s="52" t="s">
        <v>9</v>
      </c>
      <c r="G3" s="53" t="s">
        <v>9</v>
      </c>
      <c r="H3" s="52" t="s">
        <v>9</v>
      </c>
      <c r="I3" s="53" t="s">
        <v>9</v>
      </c>
      <c r="J3" s="52" t="s">
        <v>9</v>
      </c>
      <c r="K3" s="53" t="s">
        <v>9</v>
      </c>
      <c r="L3" s="44" t="s">
        <v>9</v>
      </c>
      <c r="M3" s="45" t="s">
        <v>9</v>
      </c>
      <c r="N3" s="52" t="s">
        <v>9</v>
      </c>
      <c r="O3" s="40" t="s">
        <v>9</v>
      </c>
      <c r="P3" s="52" t="s">
        <v>9</v>
      </c>
      <c r="Q3" s="40" t="s">
        <v>9</v>
      </c>
      <c r="R3" s="41" t="s">
        <v>9</v>
      </c>
      <c r="S3" s="42" t="s">
        <v>9</v>
      </c>
      <c r="T3" s="39" t="s">
        <v>9</v>
      </c>
      <c r="U3" s="40" t="s">
        <v>9</v>
      </c>
      <c r="V3" s="39" t="s">
        <v>9</v>
      </c>
      <c r="W3" s="40" t="s">
        <v>9</v>
      </c>
      <c r="X3" s="52" t="s">
        <v>9</v>
      </c>
      <c r="Y3" s="40" t="s">
        <v>9</v>
      </c>
      <c r="Z3" s="44" t="s">
        <v>9</v>
      </c>
      <c r="AA3" s="42" t="s">
        <v>9</v>
      </c>
      <c r="AB3" s="55" t="s">
        <v>9</v>
      </c>
      <c r="AC3" s="40" t="s">
        <v>9</v>
      </c>
      <c r="AD3" s="55" t="s">
        <v>9</v>
      </c>
      <c r="AE3" s="40" t="s">
        <v>9</v>
      </c>
      <c r="AF3" s="55" t="s">
        <v>9</v>
      </c>
      <c r="AG3" s="46" t="s">
        <v>9</v>
      </c>
      <c r="AH3" s="52" t="s">
        <v>9</v>
      </c>
      <c r="AI3" s="46" t="s">
        <v>9</v>
      </c>
      <c r="AJ3" s="44" t="s">
        <v>114</v>
      </c>
      <c r="AK3" s="45" t="s">
        <v>521</v>
      </c>
      <c r="AL3" s="52" t="s">
        <v>9</v>
      </c>
      <c r="AM3" s="53" t="s">
        <v>9</v>
      </c>
      <c r="AN3" s="55" t="s">
        <v>9</v>
      </c>
      <c r="AO3" s="53" t="s">
        <v>9</v>
      </c>
      <c r="AP3" s="55" t="s">
        <v>9</v>
      </c>
      <c r="AQ3" s="53" t="s">
        <v>9</v>
      </c>
    </row>
    <row r="4" spans="1:43" ht="7.5" customHeight="1" x14ac:dyDescent="0.4">
      <c r="A4" s="16">
        <v>4</v>
      </c>
      <c r="B4" s="38" t="s">
        <v>520</v>
      </c>
      <c r="C4" s="51" t="s">
        <v>137</v>
      </c>
      <c r="D4" s="54" t="s">
        <v>134</v>
      </c>
      <c r="E4" s="69" t="s">
        <v>139</v>
      </c>
      <c r="F4" s="52" t="s">
        <v>9</v>
      </c>
      <c r="G4" s="53" t="s">
        <v>9</v>
      </c>
      <c r="H4" s="52" t="s">
        <v>9</v>
      </c>
      <c r="I4" s="53" t="s">
        <v>9</v>
      </c>
      <c r="J4" s="52" t="s">
        <v>9</v>
      </c>
      <c r="K4" s="53" t="s">
        <v>9</v>
      </c>
      <c r="L4" s="44" t="s">
        <v>9</v>
      </c>
      <c r="M4" s="45" t="s">
        <v>9</v>
      </c>
      <c r="N4" s="52" t="s">
        <v>9</v>
      </c>
      <c r="O4" s="40" t="s">
        <v>9</v>
      </c>
      <c r="P4" s="52" t="s">
        <v>9</v>
      </c>
      <c r="Q4" s="40" t="s">
        <v>9</v>
      </c>
      <c r="R4" s="41" t="s">
        <v>9</v>
      </c>
      <c r="S4" s="42" t="s">
        <v>9</v>
      </c>
      <c r="T4" s="39" t="s">
        <v>9</v>
      </c>
      <c r="U4" s="40" t="s">
        <v>9</v>
      </c>
      <c r="V4" s="39" t="s">
        <v>9</v>
      </c>
      <c r="W4" s="40" t="s">
        <v>9</v>
      </c>
      <c r="X4" s="52" t="s">
        <v>9</v>
      </c>
      <c r="Y4" s="40" t="s">
        <v>9</v>
      </c>
      <c r="Z4" s="44" t="s">
        <v>9</v>
      </c>
      <c r="AA4" s="42" t="s">
        <v>9</v>
      </c>
      <c r="AB4" s="55" t="s">
        <v>9</v>
      </c>
      <c r="AC4" s="40" t="s">
        <v>9</v>
      </c>
      <c r="AD4" s="55" t="s">
        <v>9</v>
      </c>
      <c r="AE4" s="40" t="s">
        <v>9</v>
      </c>
      <c r="AF4" s="55" t="s">
        <v>9</v>
      </c>
      <c r="AG4" s="46" t="s">
        <v>9</v>
      </c>
      <c r="AH4" s="52" t="s">
        <v>9</v>
      </c>
      <c r="AI4" s="46" t="s">
        <v>9</v>
      </c>
      <c r="AJ4" s="44" t="s">
        <v>114</v>
      </c>
      <c r="AK4" s="45" t="s">
        <v>522</v>
      </c>
      <c r="AL4" s="52" t="s">
        <v>9</v>
      </c>
      <c r="AM4" s="53" t="s">
        <v>9</v>
      </c>
      <c r="AN4" s="55" t="s">
        <v>9</v>
      </c>
      <c r="AO4" s="53" t="s">
        <v>9</v>
      </c>
      <c r="AP4" s="55" t="s">
        <v>9</v>
      </c>
      <c r="AQ4" s="53" t="s">
        <v>9</v>
      </c>
    </row>
    <row r="5" spans="1:43" ht="7.5" customHeight="1" x14ac:dyDescent="0.4">
      <c r="A5" s="16">
        <v>5</v>
      </c>
      <c r="B5" s="38" t="str">
        <f>SUBSTITUTE(_xlfn.CONCAT("TU.PB.", G5,".", IF(K5&lt;100, _xlfn.CONCAT("00", K5), IF(K5&lt;1000, _xlfn.CONCAT("0", K5), K5))),"""","")</f>
        <v>TU.PB.K7.0150</v>
      </c>
      <c r="C5" s="51" t="s">
        <v>435</v>
      </c>
      <c r="D5" s="54" t="s">
        <v>134</v>
      </c>
      <c r="E5" s="69" t="s">
        <v>519</v>
      </c>
      <c r="F5" s="52" t="s">
        <v>138</v>
      </c>
      <c r="G5" s="53" t="s">
        <v>483</v>
      </c>
      <c r="H5" s="52" t="s">
        <v>132</v>
      </c>
      <c r="I5" s="53" t="s">
        <v>133</v>
      </c>
      <c r="J5" s="52" t="s">
        <v>108</v>
      </c>
      <c r="K5" s="53">
        <v>150</v>
      </c>
      <c r="L5" s="44" t="s">
        <v>9</v>
      </c>
      <c r="M5" s="45" t="s">
        <v>9</v>
      </c>
      <c r="N5" s="44" t="s">
        <v>249</v>
      </c>
      <c r="O5" s="42">
        <v>6000</v>
      </c>
      <c r="P5" s="44" t="s">
        <v>9</v>
      </c>
      <c r="Q5" s="42" t="s">
        <v>9</v>
      </c>
      <c r="R5" s="43" t="s">
        <v>824</v>
      </c>
      <c r="S5" s="42">
        <v>170</v>
      </c>
      <c r="T5" s="43" t="s">
        <v>832</v>
      </c>
      <c r="U5" s="42">
        <v>173</v>
      </c>
      <c r="V5" s="43" t="s">
        <v>831</v>
      </c>
      <c r="W5" s="42" t="s">
        <v>241</v>
      </c>
      <c r="X5" s="44" t="s">
        <v>110</v>
      </c>
      <c r="Y5" s="42" t="s">
        <v>227</v>
      </c>
      <c r="Z5" s="44" t="s">
        <v>106</v>
      </c>
      <c r="AA5" s="42" t="s">
        <v>203</v>
      </c>
      <c r="AB5" s="43" t="s">
        <v>107</v>
      </c>
      <c r="AC5" s="42" t="s">
        <v>174</v>
      </c>
      <c r="AD5" s="43" t="s">
        <v>119</v>
      </c>
      <c r="AE5" s="42" t="s">
        <v>140</v>
      </c>
      <c r="AF5" s="43" t="s">
        <v>826</v>
      </c>
      <c r="AG5" s="68" t="s">
        <v>127</v>
      </c>
      <c r="AH5" s="44" t="s">
        <v>112</v>
      </c>
      <c r="AI5" s="46" t="s">
        <v>113</v>
      </c>
      <c r="AJ5" s="44" t="s">
        <v>114</v>
      </c>
      <c r="AK5" s="45" t="s">
        <v>128</v>
      </c>
      <c r="AL5" s="52" t="s">
        <v>250</v>
      </c>
      <c r="AM5" s="45" t="s">
        <v>833</v>
      </c>
      <c r="AN5" s="55" t="s">
        <v>251</v>
      </c>
      <c r="AO5" s="53" t="s">
        <v>835</v>
      </c>
      <c r="AP5" s="55" t="s">
        <v>827</v>
      </c>
      <c r="AQ5" s="53" t="s">
        <v>828</v>
      </c>
    </row>
    <row r="6" spans="1:43" ht="7.5" customHeight="1" x14ac:dyDescent="0.4">
      <c r="A6" s="16">
        <v>6</v>
      </c>
      <c r="B6" s="38" t="str">
        <f t="shared" ref="B6:B33" si="0">SUBSTITUTE(_xlfn.CONCAT("TU.PB.", G6,".", IF(K6&lt;100, _xlfn.CONCAT("00", K6), IF(K6&lt;1000, _xlfn.CONCAT("0", K6), K6))),"""","")</f>
        <v>TU.PB.K7.0200</v>
      </c>
      <c r="C6" s="51" t="s">
        <v>435</v>
      </c>
      <c r="D6" s="54" t="s">
        <v>134</v>
      </c>
      <c r="E6" s="69" t="s">
        <v>519</v>
      </c>
      <c r="F6" s="52" t="s">
        <v>138</v>
      </c>
      <c r="G6" s="53" t="s">
        <v>483</v>
      </c>
      <c r="H6" s="52" t="s">
        <v>132</v>
      </c>
      <c r="I6" s="53" t="s">
        <v>133</v>
      </c>
      <c r="J6" s="52" t="s">
        <v>108</v>
      </c>
      <c r="K6" s="53">
        <v>200</v>
      </c>
      <c r="L6" s="44" t="s">
        <v>9</v>
      </c>
      <c r="M6" s="45" t="s">
        <v>9</v>
      </c>
      <c r="N6" s="44" t="s">
        <v>249</v>
      </c>
      <c r="O6" s="42">
        <v>6000</v>
      </c>
      <c r="P6" s="44" t="s">
        <v>9</v>
      </c>
      <c r="Q6" s="42" t="s">
        <v>9</v>
      </c>
      <c r="R6" s="43" t="s">
        <v>824</v>
      </c>
      <c r="S6" s="42">
        <v>222</v>
      </c>
      <c r="T6" s="43" t="s">
        <v>832</v>
      </c>
      <c r="U6" s="42">
        <v>225</v>
      </c>
      <c r="V6" s="43" t="s">
        <v>831</v>
      </c>
      <c r="W6" s="42" t="s">
        <v>242</v>
      </c>
      <c r="X6" s="44" t="s">
        <v>110</v>
      </c>
      <c r="Y6" s="42" t="s">
        <v>228</v>
      </c>
      <c r="Z6" s="44" t="s">
        <v>106</v>
      </c>
      <c r="AA6" s="42" t="s">
        <v>204</v>
      </c>
      <c r="AB6" s="43" t="s">
        <v>107</v>
      </c>
      <c r="AC6" s="42" t="s">
        <v>175</v>
      </c>
      <c r="AD6" s="43" t="s">
        <v>119</v>
      </c>
      <c r="AE6" s="42" t="s">
        <v>141</v>
      </c>
      <c r="AF6" s="43" t="s">
        <v>826</v>
      </c>
      <c r="AG6" s="68" t="s">
        <v>127</v>
      </c>
      <c r="AH6" s="44" t="s">
        <v>112</v>
      </c>
      <c r="AI6" s="46" t="s">
        <v>113</v>
      </c>
      <c r="AJ6" s="44" t="s">
        <v>114</v>
      </c>
      <c r="AK6" s="45" t="s">
        <v>128</v>
      </c>
      <c r="AL6" s="52" t="s">
        <v>250</v>
      </c>
      <c r="AM6" s="45" t="s">
        <v>833</v>
      </c>
      <c r="AN6" s="55" t="s">
        <v>251</v>
      </c>
      <c r="AO6" s="53" t="s">
        <v>835</v>
      </c>
      <c r="AP6" s="55" t="s">
        <v>827</v>
      </c>
      <c r="AQ6" s="53" t="s">
        <v>828</v>
      </c>
    </row>
    <row r="7" spans="1:43" ht="7.5" customHeight="1" x14ac:dyDescent="0.4">
      <c r="A7" s="16">
        <v>7</v>
      </c>
      <c r="B7" s="38" t="str">
        <f t="shared" si="0"/>
        <v>TU.PB.K7.0250</v>
      </c>
      <c r="C7" s="51" t="s">
        <v>435</v>
      </c>
      <c r="D7" s="54" t="s">
        <v>134</v>
      </c>
      <c r="E7" s="69" t="s">
        <v>519</v>
      </c>
      <c r="F7" s="52" t="s">
        <v>138</v>
      </c>
      <c r="G7" s="53" t="s">
        <v>483</v>
      </c>
      <c r="H7" s="52" t="s">
        <v>132</v>
      </c>
      <c r="I7" s="53" t="s">
        <v>133</v>
      </c>
      <c r="J7" s="52" t="s">
        <v>108</v>
      </c>
      <c r="K7" s="53">
        <v>250</v>
      </c>
      <c r="L7" s="44" t="s">
        <v>9</v>
      </c>
      <c r="M7" s="45" t="s">
        <v>9</v>
      </c>
      <c r="N7" s="44" t="s">
        <v>249</v>
      </c>
      <c r="O7" s="42">
        <v>6000</v>
      </c>
      <c r="P7" s="44" t="s">
        <v>9</v>
      </c>
      <c r="Q7" s="42" t="s">
        <v>9</v>
      </c>
      <c r="R7" s="43" t="s">
        <v>824</v>
      </c>
      <c r="S7" s="42">
        <v>274</v>
      </c>
      <c r="T7" s="43" t="s">
        <v>832</v>
      </c>
      <c r="U7" s="42">
        <v>277</v>
      </c>
      <c r="V7" s="43" t="s">
        <v>831</v>
      </c>
      <c r="W7" s="42" t="s">
        <v>243</v>
      </c>
      <c r="X7" s="44" t="s">
        <v>110</v>
      </c>
      <c r="Y7" s="42" t="s">
        <v>229</v>
      </c>
      <c r="Z7" s="44" t="s">
        <v>106</v>
      </c>
      <c r="AA7" s="42" t="s">
        <v>205</v>
      </c>
      <c r="AB7" s="43" t="s">
        <v>107</v>
      </c>
      <c r="AC7" s="42" t="s">
        <v>176</v>
      </c>
      <c r="AD7" s="43" t="s">
        <v>119</v>
      </c>
      <c r="AE7" s="42" t="s">
        <v>142</v>
      </c>
      <c r="AF7" s="43" t="s">
        <v>826</v>
      </c>
      <c r="AG7" s="68" t="s">
        <v>127</v>
      </c>
      <c r="AH7" s="44" t="s">
        <v>112</v>
      </c>
      <c r="AI7" s="46" t="s">
        <v>113</v>
      </c>
      <c r="AJ7" s="44" t="s">
        <v>114</v>
      </c>
      <c r="AK7" s="45" t="s">
        <v>128</v>
      </c>
      <c r="AL7" s="52" t="s">
        <v>250</v>
      </c>
      <c r="AM7" s="45" t="s">
        <v>833</v>
      </c>
      <c r="AN7" s="55" t="s">
        <v>251</v>
      </c>
      <c r="AO7" s="53" t="s">
        <v>835</v>
      </c>
      <c r="AP7" s="55" t="s">
        <v>827</v>
      </c>
      <c r="AQ7" s="53" t="s">
        <v>828</v>
      </c>
    </row>
    <row r="8" spans="1:43" ht="7.5" customHeight="1" x14ac:dyDescent="0.4">
      <c r="A8" s="16">
        <v>8</v>
      </c>
      <c r="B8" s="38" t="str">
        <f t="shared" si="0"/>
        <v>TU.PB.K7.0300</v>
      </c>
      <c r="C8" s="51" t="s">
        <v>435</v>
      </c>
      <c r="D8" s="54" t="s">
        <v>134</v>
      </c>
      <c r="E8" s="69" t="s">
        <v>519</v>
      </c>
      <c r="F8" s="52" t="s">
        <v>138</v>
      </c>
      <c r="G8" s="53" t="s">
        <v>483</v>
      </c>
      <c r="H8" s="52" t="s">
        <v>132</v>
      </c>
      <c r="I8" s="53" t="s">
        <v>133</v>
      </c>
      <c r="J8" s="52" t="s">
        <v>108</v>
      </c>
      <c r="K8" s="53">
        <v>300</v>
      </c>
      <c r="L8" s="44" t="s">
        <v>9</v>
      </c>
      <c r="M8" s="45" t="s">
        <v>9</v>
      </c>
      <c r="N8" s="44" t="s">
        <v>249</v>
      </c>
      <c r="O8" s="42">
        <v>6000</v>
      </c>
      <c r="P8" s="44" t="s">
        <v>9</v>
      </c>
      <c r="Q8" s="42" t="s">
        <v>9</v>
      </c>
      <c r="R8" s="43" t="s">
        <v>824</v>
      </c>
      <c r="S8" s="42">
        <v>326</v>
      </c>
      <c r="T8" s="43" t="s">
        <v>832</v>
      </c>
      <c r="U8" s="42">
        <v>329</v>
      </c>
      <c r="V8" s="43" t="s">
        <v>831</v>
      </c>
      <c r="W8" s="42">
        <v>410</v>
      </c>
      <c r="X8" s="44" t="s">
        <v>110</v>
      </c>
      <c r="Y8" s="42" t="s">
        <v>230</v>
      </c>
      <c r="Z8" s="44" t="s">
        <v>106</v>
      </c>
      <c r="AA8" s="42" t="s">
        <v>206</v>
      </c>
      <c r="AB8" s="43" t="s">
        <v>107</v>
      </c>
      <c r="AC8" s="42" t="s">
        <v>177</v>
      </c>
      <c r="AD8" s="43" t="s">
        <v>119</v>
      </c>
      <c r="AE8" s="42" t="s">
        <v>143</v>
      </c>
      <c r="AF8" s="43" t="s">
        <v>826</v>
      </c>
      <c r="AG8" s="68" t="s">
        <v>127</v>
      </c>
      <c r="AH8" s="44" t="s">
        <v>112</v>
      </c>
      <c r="AI8" s="46" t="s">
        <v>113</v>
      </c>
      <c r="AJ8" s="44" t="s">
        <v>114</v>
      </c>
      <c r="AK8" s="45" t="s">
        <v>128</v>
      </c>
      <c r="AL8" s="52" t="s">
        <v>250</v>
      </c>
      <c r="AM8" s="45" t="s">
        <v>833</v>
      </c>
      <c r="AN8" s="55" t="s">
        <v>251</v>
      </c>
      <c r="AO8" s="53" t="s">
        <v>835</v>
      </c>
      <c r="AP8" s="55" t="s">
        <v>827</v>
      </c>
      <c r="AQ8" s="53" t="s">
        <v>828</v>
      </c>
    </row>
    <row r="9" spans="1:43" ht="7.5" customHeight="1" x14ac:dyDescent="0.4">
      <c r="A9" s="16">
        <v>9</v>
      </c>
      <c r="B9" s="38" t="str">
        <f t="shared" si="0"/>
        <v>TU.PB.K7.0350</v>
      </c>
      <c r="C9" s="51" t="s">
        <v>435</v>
      </c>
      <c r="D9" s="54" t="s">
        <v>134</v>
      </c>
      <c r="E9" s="69" t="s">
        <v>519</v>
      </c>
      <c r="F9" s="52" t="s">
        <v>138</v>
      </c>
      <c r="G9" s="53" t="s">
        <v>483</v>
      </c>
      <c r="H9" s="52" t="s">
        <v>132</v>
      </c>
      <c r="I9" s="53" t="s">
        <v>133</v>
      </c>
      <c r="J9" s="52" t="s">
        <v>108</v>
      </c>
      <c r="K9" s="53">
        <v>350</v>
      </c>
      <c r="L9" s="44" t="s">
        <v>9</v>
      </c>
      <c r="M9" s="45" t="s">
        <v>9</v>
      </c>
      <c r="N9" s="44" t="s">
        <v>249</v>
      </c>
      <c r="O9" s="42">
        <v>6000</v>
      </c>
      <c r="P9" s="44" t="s">
        <v>9</v>
      </c>
      <c r="Q9" s="42" t="s">
        <v>9</v>
      </c>
      <c r="R9" s="43" t="s">
        <v>824</v>
      </c>
      <c r="S9" s="42">
        <v>378</v>
      </c>
      <c r="T9" s="43" t="s">
        <v>832</v>
      </c>
      <c r="U9" s="42">
        <v>381</v>
      </c>
      <c r="V9" s="43" t="s">
        <v>831</v>
      </c>
      <c r="W9" s="42">
        <v>465</v>
      </c>
      <c r="X9" s="44" t="s">
        <v>110</v>
      </c>
      <c r="Y9" s="42" t="s">
        <v>231</v>
      </c>
      <c r="Z9" s="44" t="s">
        <v>106</v>
      </c>
      <c r="AA9" s="42" t="s">
        <v>207</v>
      </c>
      <c r="AB9" s="43" t="s">
        <v>107</v>
      </c>
      <c r="AC9" s="42" t="s">
        <v>178</v>
      </c>
      <c r="AD9" s="43" t="s">
        <v>119</v>
      </c>
      <c r="AE9" s="42" t="s">
        <v>144</v>
      </c>
      <c r="AF9" s="43" t="s">
        <v>826</v>
      </c>
      <c r="AG9" s="68" t="s">
        <v>127</v>
      </c>
      <c r="AH9" s="44" t="s">
        <v>112</v>
      </c>
      <c r="AI9" s="46" t="s">
        <v>113</v>
      </c>
      <c r="AJ9" s="44" t="s">
        <v>114</v>
      </c>
      <c r="AK9" s="45" t="s">
        <v>128</v>
      </c>
      <c r="AL9" s="52" t="s">
        <v>250</v>
      </c>
      <c r="AM9" s="45" t="s">
        <v>833</v>
      </c>
      <c r="AN9" s="55" t="s">
        <v>251</v>
      </c>
      <c r="AO9" s="53" t="s">
        <v>835</v>
      </c>
      <c r="AP9" s="55" t="s">
        <v>827</v>
      </c>
      <c r="AQ9" s="53" t="s">
        <v>828</v>
      </c>
    </row>
    <row r="10" spans="1:43" ht="7.5" customHeight="1" x14ac:dyDescent="0.4">
      <c r="A10" s="16">
        <v>10</v>
      </c>
      <c r="B10" s="38" t="str">
        <f t="shared" si="0"/>
        <v>TU.PB.K7.0400</v>
      </c>
      <c r="C10" s="51" t="s">
        <v>435</v>
      </c>
      <c r="D10" s="54" t="s">
        <v>134</v>
      </c>
      <c r="E10" s="69" t="s">
        <v>519</v>
      </c>
      <c r="F10" s="52" t="s">
        <v>138</v>
      </c>
      <c r="G10" s="53" t="s">
        <v>483</v>
      </c>
      <c r="H10" s="52" t="s">
        <v>132</v>
      </c>
      <c r="I10" s="53" t="s">
        <v>133</v>
      </c>
      <c r="J10" s="52" t="s">
        <v>108</v>
      </c>
      <c r="K10" s="53">
        <v>400</v>
      </c>
      <c r="L10" s="44" t="s">
        <v>9</v>
      </c>
      <c r="M10" s="45" t="s">
        <v>9</v>
      </c>
      <c r="N10" s="44" t="s">
        <v>249</v>
      </c>
      <c r="O10" s="42">
        <v>6000</v>
      </c>
      <c r="P10" s="44" t="s">
        <v>9</v>
      </c>
      <c r="Q10" s="42" t="s">
        <v>9</v>
      </c>
      <c r="R10" s="43" t="s">
        <v>824</v>
      </c>
      <c r="S10" s="42">
        <v>429</v>
      </c>
      <c r="T10" s="43" t="s">
        <v>832</v>
      </c>
      <c r="U10" s="42">
        <v>432</v>
      </c>
      <c r="V10" s="43" t="s">
        <v>831</v>
      </c>
      <c r="W10" s="42">
        <v>517</v>
      </c>
      <c r="X10" s="44" t="s">
        <v>110</v>
      </c>
      <c r="Y10" s="42" t="s">
        <v>232</v>
      </c>
      <c r="Z10" s="44" t="s">
        <v>106</v>
      </c>
      <c r="AA10" s="42" t="s">
        <v>208</v>
      </c>
      <c r="AB10" s="43" t="s">
        <v>107</v>
      </c>
      <c r="AC10" s="42" t="s">
        <v>179</v>
      </c>
      <c r="AD10" s="43" t="s">
        <v>119</v>
      </c>
      <c r="AE10" s="42" t="s">
        <v>145</v>
      </c>
      <c r="AF10" s="43" t="s">
        <v>826</v>
      </c>
      <c r="AG10" s="68" t="s">
        <v>127</v>
      </c>
      <c r="AH10" s="44" t="s">
        <v>112</v>
      </c>
      <c r="AI10" s="46" t="s">
        <v>113</v>
      </c>
      <c r="AJ10" s="44" t="s">
        <v>114</v>
      </c>
      <c r="AK10" s="45" t="s">
        <v>128</v>
      </c>
      <c r="AL10" s="52" t="s">
        <v>250</v>
      </c>
      <c r="AM10" s="45" t="s">
        <v>833</v>
      </c>
      <c r="AN10" s="55" t="s">
        <v>251</v>
      </c>
      <c r="AO10" s="53" t="s">
        <v>835</v>
      </c>
      <c r="AP10" s="55" t="s">
        <v>827</v>
      </c>
      <c r="AQ10" s="53" t="s">
        <v>828</v>
      </c>
    </row>
    <row r="11" spans="1:43" ht="7.5" customHeight="1" x14ac:dyDescent="0.4">
      <c r="A11" s="16">
        <v>11</v>
      </c>
      <c r="B11" s="38" t="str">
        <f t="shared" si="0"/>
        <v>TU.PB.K7.0450</v>
      </c>
      <c r="C11" s="51" t="s">
        <v>435</v>
      </c>
      <c r="D11" s="54" t="s">
        <v>134</v>
      </c>
      <c r="E11" s="69" t="s">
        <v>519</v>
      </c>
      <c r="F11" s="52" t="s">
        <v>138</v>
      </c>
      <c r="G11" s="53" t="s">
        <v>483</v>
      </c>
      <c r="H11" s="52" t="s">
        <v>132</v>
      </c>
      <c r="I11" s="53" t="s">
        <v>133</v>
      </c>
      <c r="J11" s="52" t="s">
        <v>108</v>
      </c>
      <c r="K11" s="53">
        <v>450</v>
      </c>
      <c r="L11" s="44" t="s">
        <v>9</v>
      </c>
      <c r="M11" s="45" t="s">
        <v>9</v>
      </c>
      <c r="N11" s="44" t="s">
        <v>249</v>
      </c>
      <c r="O11" s="42">
        <v>6000</v>
      </c>
      <c r="P11" s="44" t="s">
        <v>9</v>
      </c>
      <c r="Q11" s="42" t="s">
        <v>9</v>
      </c>
      <c r="R11" s="43" t="s">
        <v>824</v>
      </c>
      <c r="S11" s="42">
        <v>480</v>
      </c>
      <c r="T11" s="43" t="s">
        <v>832</v>
      </c>
      <c r="U11" s="42">
        <v>483</v>
      </c>
      <c r="V11" s="43" t="s">
        <v>831</v>
      </c>
      <c r="W11" s="42">
        <v>575</v>
      </c>
      <c r="X11" s="44" t="s">
        <v>110</v>
      </c>
      <c r="Y11" s="42" t="s">
        <v>233</v>
      </c>
      <c r="Z11" s="44" t="s">
        <v>106</v>
      </c>
      <c r="AA11" s="42" t="s">
        <v>209</v>
      </c>
      <c r="AB11" s="43" t="s">
        <v>107</v>
      </c>
      <c r="AC11" s="42" t="s">
        <v>180</v>
      </c>
      <c r="AD11" s="43" t="s">
        <v>119</v>
      </c>
      <c r="AE11" s="42" t="s">
        <v>146</v>
      </c>
      <c r="AF11" s="43" t="s">
        <v>826</v>
      </c>
      <c r="AG11" s="68" t="s">
        <v>127</v>
      </c>
      <c r="AH11" s="44" t="s">
        <v>112</v>
      </c>
      <c r="AI11" s="46" t="s">
        <v>113</v>
      </c>
      <c r="AJ11" s="44" t="s">
        <v>114</v>
      </c>
      <c r="AK11" s="45" t="s">
        <v>128</v>
      </c>
      <c r="AL11" s="52" t="s">
        <v>250</v>
      </c>
      <c r="AM11" s="45" t="s">
        <v>833</v>
      </c>
      <c r="AN11" s="55" t="s">
        <v>251</v>
      </c>
      <c r="AO11" s="53" t="s">
        <v>835</v>
      </c>
      <c r="AP11" s="55" t="s">
        <v>827</v>
      </c>
      <c r="AQ11" s="53" t="s">
        <v>828</v>
      </c>
    </row>
    <row r="12" spans="1:43" ht="7.5" customHeight="1" x14ac:dyDescent="0.4">
      <c r="A12" s="16">
        <v>12</v>
      </c>
      <c r="B12" s="38" t="str">
        <f t="shared" si="0"/>
        <v>TU.PB.K7.0500</v>
      </c>
      <c r="C12" s="51" t="s">
        <v>435</v>
      </c>
      <c r="D12" s="54" t="s">
        <v>134</v>
      </c>
      <c r="E12" s="69" t="s">
        <v>519</v>
      </c>
      <c r="F12" s="52" t="s">
        <v>138</v>
      </c>
      <c r="G12" s="53" t="s">
        <v>483</v>
      </c>
      <c r="H12" s="52" t="s">
        <v>132</v>
      </c>
      <c r="I12" s="53" t="s">
        <v>133</v>
      </c>
      <c r="J12" s="52" t="s">
        <v>108</v>
      </c>
      <c r="K12" s="53">
        <v>500</v>
      </c>
      <c r="L12" s="44" t="s">
        <v>9</v>
      </c>
      <c r="M12" s="45" t="s">
        <v>9</v>
      </c>
      <c r="N12" s="44" t="s">
        <v>249</v>
      </c>
      <c r="O12" s="42">
        <v>6000</v>
      </c>
      <c r="P12" s="44" t="s">
        <v>9</v>
      </c>
      <c r="Q12" s="42" t="s">
        <v>9</v>
      </c>
      <c r="R12" s="43" t="s">
        <v>824</v>
      </c>
      <c r="S12" s="42">
        <v>532</v>
      </c>
      <c r="T12" s="43" t="s">
        <v>832</v>
      </c>
      <c r="U12" s="42">
        <v>535</v>
      </c>
      <c r="V12" s="43" t="s">
        <v>831</v>
      </c>
      <c r="W12" s="42">
        <v>630</v>
      </c>
      <c r="X12" s="44" t="s">
        <v>110</v>
      </c>
      <c r="Y12" s="42" t="s">
        <v>234</v>
      </c>
      <c r="Z12" s="44" t="s">
        <v>106</v>
      </c>
      <c r="AA12" s="42">
        <v>7</v>
      </c>
      <c r="AB12" s="43" t="s">
        <v>107</v>
      </c>
      <c r="AC12" s="42" t="s">
        <v>181</v>
      </c>
      <c r="AD12" s="43" t="s">
        <v>119</v>
      </c>
      <c r="AE12" s="42" t="s">
        <v>147</v>
      </c>
      <c r="AF12" s="43" t="s">
        <v>826</v>
      </c>
      <c r="AG12" s="68" t="s">
        <v>127</v>
      </c>
      <c r="AH12" s="44" t="s">
        <v>112</v>
      </c>
      <c r="AI12" s="46" t="s">
        <v>113</v>
      </c>
      <c r="AJ12" s="44" t="s">
        <v>114</v>
      </c>
      <c r="AK12" s="45" t="s">
        <v>128</v>
      </c>
      <c r="AL12" s="52" t="s">
        <v>250</v>
      </c>
      <c r="AM12" s="45" t="s">
        <v>833</v>
      </c>
      <c r="AN12" s="55" t="s">
        <v>251</v>
      </c>
      <c r="AO12" s="53" t="s">
        <v>835</v>
      </c>
      <c r="AP12" s="55" t="s">
        <v>827</v>
      </c>
      <c r="AQ12" s="53" t="s">
        <v>828</v>
      </c>
    </row>
    <row r="13" spans="1:43" ht="7.5" customHeight="1" x14ac:dyDescent="0.4">
      <c r="A13" s="16">
        <v>13</v>
      </c>
      <c r="B13" s="38" t="str">
        <f t="shared" si="0"/>
        <v>TU.PB.K7.0600</v>
      </c>
      <c r="C13" s="51" t="s">
        <v>435</v>
      </c>
      <c r="D13" s="54" t="s">
        <v>134</v>
      </c>
      <c r="E13" s="69" t="s">
        <v>519</v>
      </c>
      <c r="F13" s="52" t="s">
        <v>138</v>
      </c>
      <c r="G13" s="53" t="s">
        <v>483</v>
      </c>
      <c r="H13" s="52" t="s">
        <v>132</v>
      </c>
      <c r="I13" s="53" t="s">
        <v>133</v>
      </c>
      <c r="J13" s="52" t="s">
        <v>108</v>
      </c>
      <c r="K13" s="53">
        <v>600</v>
      </c>
      <c r="L13" s="44" t="s">
        <v>9</v>
      </c>
      <c r="M13" s="45" t="s">
        <v>9</v>
      </c>
      <c r="N13" s="44" t="s">
        <v>249</v>
      </c>
      <c r="O13" s="42">
        <v>6000</v>
      </c>
      <c r="P13" s="44" t="s">
        <v>111</v>
      </c>
      <c r="Q13" s="42">
        <v>135</v>
      </c>
      <c r="R13" s="43" t="s">
        <v>824</v>
      </c>
      <c r="S13" s="42">
        <v>635</v>
      </c>
      <c r="T13" s="43" t="s">
        <v>832</v>
      </c>
      <c r="U13" s="42">
        <v>638</v>
      </c>
      <c r="V13" s="43" t="s">
        <v>831</v>
      </c>
      <c r="W13" s="42">
        <v>739</v>
      </c>
      <c r="X13" s="44" t="s">
        <v>110</v>
      </c>
      <c r="Y13" s="42" t="s">
        <v>235</v>
      </c>
      <c r="Z13" s="44" t="s">
        <v>106</v>
      </c>
      <c r="AA13" s="42" t="s">
        <v>210</v>
      </c>
      <c r="AB13" s="43" t="s">
        <v>107</v>
      </c>
      <c r="AC13" s="42" t="s">
        <v>182</v>
      </c>
      <c r="AD13" s="43" t="s">
        <v>119</v>
      </c>
      <c r="AE13" s="42" t="s">
        <v>148</v>
      </c>
      <c r="AF13" s="43" t="s">
        <v>826</v>
      </c>
      <c r="AG13" s="68" t="s">
        <v>127</v>
      </c>
      <c r="AH13" s="44" t="s">
        <v>112</v>
      </c>
      <c r="AI13" s="46" t="s">
        <v>113</v>
      </c>
      <c r="AJ13" s="44" t="s">
        <v>114</v>
      </c>
      <c r="AK13" s="45" t="s">
        <v>128</v>
      </c>
      <c r="AL13" s="52" t="s">
        <v>250</v>
      </c>
      <c r="AM13" s="45" t="s">
        <v>833</v>
      </c>
      <c r="AN13" s="55" t="s">
        <v>251</v>
      </c>
      <c r="AO13" s="53" t="s">
        <v>835</v>
      </c>
      <c r="AP13" s="55" t="s">
        <v>827</v>
      </c>
      <c r="AQ13" s="53" t="s">
        <v>828</v>
      </c>
    </row>
    <row r="14" spans="1:43" ht="7.5" customHeight="1" x14ac:dyDescent="0.4">
      <c r="A14" s="16">
        <v>14</v>
      </c>
      <c r="B14" s="38" t="str">
        <f t="shared" si="0"/>
        <v>TU.PB.K7.0700</v>
      </c>
      <c r="C14" s="51" t="s">
        <v>435</v>
      </c>
      <c r="D14" s="54" t="s">
        <v>134</v>
      </c>
      <c r="E14" s="69" t="s">
        <v>519</v>
      </c>
      <c r="F14" s="52" t="s">
        <v>138</v>
      </c>
      <c r="G14" s="53" t="s">
        <v>483</v>
      </c>
      <c r="H14" s="52" t="s">
        <v>132</v>
      </c>
      <c r="I14" s="53" t="s">
        <v>133</v>
      </c>
      <c r="J14" s="52" t="s">
        <v>108</v>
      </c>
      <c r="K14" s="53">
        <v>700</v>
      </c>
      <c r="L14" s="44" t="s">
        <v>9</v>
      </c>
      <c r="M14" s="45" t="s">
        <v>9</v>
      </c>
      <c r="N14" s="44" t="s">
        <v>249</v>
      </c>
      <c r="O14" s="42">
        <v>7000</v>
      </c>
      <c r="P14" s="44" t="s">
        <v>111</v>
      </c>
      <c r="Q14" s="42">
        <v>158</v>
      </c>
      <c r="R14" s="43" t="s">
        <v>824</v>
      </c>
      <c r="S14" s="42">
        <v>738</v>
      </c>
      <c r="T14" s="43" t="s">
        <v>832</v>
      </c>
      <c r="U14" s="42">
        <v>741</v>
      </c>
      <c r="V14" s="43" t="s">
        <v>831</v>
      </c>
      <c r="W14" s="42">
        <v>863</v>
      </c>
      <c r="X14" s="44" t="s">
        <v>110</v>
      </c>
      <c r="Y14" s="42" t="s">
        <v>236</v>
      </c>
      <c r="Z14" s="44" t="s">
        <v>106</v>
      </c>
      <c r="AA14" s="42" t="s">
        <v>211</v>
      </c>
      <c r="AB14" s="43" t="s">
        <v>107</v>
      </c>
      <c r="AC14" s="42" t="s">
        <v>183</v>
      </c>
      <c r="AD14" s="43" t="s">
        <v>119</v>
      </c>
      <c r="AE14" s="42" t="s">
        <v>149</v>
      </c>
      <c r="AF14" s="43" t="s">
        <v>826</v>
      </c>
      <c r="AG14" s="68" t="s">
        <v>127</v>
      </c>
      <c r="AH14" s="44" t="s">
        <v>112</v>
      </c>
      <c r="AI14" s="46" t="s">
        <v>113</v>
      </c>
      <c r="AJ14" s="44" t="s">
        <v>114</v>
      </c>
      <c r="AK14" s="45" t="s">
        <v>128</v>
      </c>
      <c r="AL14" s="52" t="s">
        <v>250</v>
      </c>
      <c r="AM14" s="45" t="s">
        <v>833</v>
      </c>
      <c r="AN14" s="55" t="s">
        <v>251</v>
      </c>
      <c r="AO14" s="53" t="s">
        <v>835</v>
      </c>
      <c r="AP14" s="55" t="s">
        <v>827</v>
      </c>
      <c r="AQ14" s="53" t="s">
        <v>828</v>
      </c>
    </row>
    <row r="15" spans="1:43" ht="7.5" customHeight="1" x14ac:dyDescent="0.4">
      <c r="A15" s="16">
        <v>15</v>
      </c>
      <c r="B15" s="38" t="str">
        <f t="shared" si="0"/>
        <v>TU.PB.K7.0800</v>
      </c>
      <c r="C15" s="51" t="s">
        <v>435</v>
      </c>
      <c r="D15" s="54" t="s">
        <v>134</v>
      </c>
      <c r="E15" s="69" t="s">
        <v>519</v>
      </c>
      <c r="F15" s="52" t="s">
        <v>138</v>
      </c>
      <c r="G15" s="53" t="s">
        <v>483</v>
      </c>
      <c r="H15" s="52" t="s">
        <v>132</v>
      </c>
      <c r="I15" s="53" t="s">
        <v>133</v>
      </c>
      <c r="J15" s="52" t="s">
        <v>108</v>
      </c>
      <c r="K15" s="53">
        <v>800</v>
      </c>
      <c r="L15" s="44" t="s">
        <v>9</v>
      </c>
      <c r="M15" s="45" t="s">
        <v>9</v>
      </c>
      <c r="N15" s="44" t="s">
        <v>249</v>
      </c>
      <c r="O15" s="42">
        <v>7000</v>
      </c>
      <c r="P15" s="44" t="s">
        <v>111</v>
      </c>
      <c r="Q15" s="42">
        <v>150</v>
      </c>
      <c r="R15" s="43" t="s">
        <v>824</v>
      </c>
      <c r="S15" s="42">
        <v>842</v>
      </c>
      <c r="T15" s="43" t="s">
        <v>832</v>
      </c>
      <c r="U15" s="42">
        <v>845</v>
      </c>
      <c r="V15" s="43" t="s">
        <v>831</v>
      </c>
      <c r="W15" s="42">
        <v>974</v>
      </c>
      <c r="X15" s="44" t="s">
        <v>110</v>
      </c>
      <c r="Y15" s="42" t="s">
        <v>236</v>
      </c>
      <c r="Z15" s="44" t="s">
        <v>106</v>
      </c>
      <c r="AA15" s="42" t="s">
        <v>212</v>
      </c>
      <c r="AB15" s="43" t="s">
        <v>107</v>
      </c>
      <c r="AC15" s="42" t="s">
        <v>184</v>
      </c>
      <c r="AD15" s="43" t="s">
        <v>119</v>
      </c>
      <c r="AE15" s="42" t="s">
        <v>150</v>
      </c>
      <c r="AF15" s="43" t="s">
        <v>826</v>
      </c>
      <c r="AG15" s="68" t="s">
        <v>127</v>
      </c>
      <c r="AH15" s="44" t="s">
        <v>112</v>
      </c>
      <c r="AI15" s="46" t="s">
        <v>113</v>
      </c>
      <c r="AJ15" s="44" t="s">
        <v>114</v>
      </c>
      <c r="AK15" s="45" t="s">
        <v>128</v>
      </c>
      <c r="AL15" s="52" t="s">
        <v>250</v>
      </c>
      <c r="AM15" s="45" t="s">
        <v>833</v>
      </c>
      <c r="AN15" s="55" t="s">
        <v>251</v>
      </c>
      <c r="AO15" s="53" t="s">
        <v>835</v>
      </c>
      <c r="AP15" s="55" t="s">
        <v>827</v>
      </c>
      <c r="AQ15" s="53" t="s">
        <v>828</v>
      </c>
    </row>
    <row r="16" spans="1:43" ht="7.5" customHeight="1" x14ac:dyDescent="0.4">
      <c r="A16" s="16">
        <v>16</v>
      </c>
      <c r="B16" s="38" t="str">
        <f t="shared" si="0"/>
        <v>TU.PB.K7.0900</v>
      </c>
      <c r="C16" s="51" t="s">
        <v>435</v>
      </c>
      <c r="D16" s="54" t="s">
        <v>134</v>
      </c>
      <c r="E16" s="69" t="s">
        <v>519</v>
      </c>
      <c r="F16" s="52" t="s">
        <v>138</v>
      </c>
      <c r="G16" s="53" t="s">
        <v>483</v>
      </c>
      <c r="H16" s="52" t="s">
        <v>132</v>
      </c>
      <c r="I16" s="53" t="s">
        <v>133</v>
      </c>
      <c r="J16" s="52" t="s">
        <v>108</v>
      </c>
      <c r="K16" s="53">
        <v>900</v>
      </c>
      <c r="L16" s="44" t="s">
        <v>9</v>
      </c>
      <c r="M16" s="45" t="s">
        <v>9</v>
      </c>
      <c r="N16" s="44" t="s">
        <v>249</v>
      </c>
      <c r="O16" s="42">
        <v>7000</v>
      </c>
      <c r="P16" s="44" t="s">
        <v>111</v>
      </c>
      <c r="Q16" s="42">
        <v>155</v>
      </c>
      <c r="R16" s="43" t="s">
        <v>824</v>
      </c>
      <c r="S16" s="42">
        <v>945</v>
      </c>
      <c r="T16" s="43" t="s">
        <v>832</v>
      </c>
      <c r="U16" s="42">
        <v>948</v>
      </c>
      <c r="V16" s="43" t="s">
        <v>831</v>
      </c>
      <c r="W16" s="42">
        <v>1082</v>
      </c>
      <c r="X16" s="44" t="s">
        <v>110</v>
      </c>
      <c r="Y16" s="42" t="s">
        <v>236</v>
      </c>
      <c r="Z16" s="44" t="s">
        <v>106</v>
      </c>
      <c r="AA16" s="42" t="s">
        <v>213</v>
      </c>
      <c r="AB16" s="43" t="s">
        <v>107</v>
      </c>
      <c r="AC16" s="42" t="s">
        <v>185</v>
      </c>
      <c r="AD16" s="43" t="s">
        <v>119</v>
      </c>
      <c r="AE16" s="42" t="s">
        <v>151</v>
      </c>
      <c r="AF16" s="43" t="s">
        <v>826</v>
      </c>
      <c r="AG16" s="68" t="s">
        <v>127</v>
      </c>
      <c r="AH16" s="44" t="s">
        <v>112</v>
      </c>
      <c r="AI16" s="46" t="s">
        <v>113</v>
      </c>
      <c r="AJ16" s="44" t="s">
        <v>114</v>
      </c>
      <c r="AK16" s="45" t="s">
        <v>128</v>
      </c>
      <c r="AL16" s="52" t="s">
        <v>250</v>
      </c>
      <c r="AM16" s="45" t="s">
        <v>833</v>
      </c>
      <c r="AN16" s="55" t="s">
        <v>251</v>
      </c>
      <c r="AO16" s="53" t="s">
        <v>835</v>
      </c>
      <c r="AP16" s="55" t="s">
        <v>827</v>
      </c>
      <c r="AQ16" s="53" t="s">
        <v>828</v>
      </c>
    </row>
    <row r="17" spans="1:43" ht="7.5" customHeight="1" x14ac:dyDescent="0.4">
      <c r="A17" s="16">
        <v>17</v>
      </c>
      <c r="B17" s="38" t="str">
        <f t="shared" si="0"/>
        <v>TU.PB.K7.1000</v>
      </c>
      <c r="C17" s="51" t="s">
        <v>435</v>
      </c>
      <c r="D17" s="54" t="s">
        <v>134</v>
      </c>
      <c r="E17" s="69" t="s">
        <v>519</v>
      </c>
      <c r="F17" s="52" t="s">
        <v>138</v>
      </c>
      <c r="G17" s="53" t="s">
        <v>483</v>
      </c>
      <c r="H17" s="52" t="s">
        <v>132</v>
      </c>
      <c r="I17" s="53" t="s">
        <v>133</v>
      </c>
      <c r="J17" s="52" t="s">
        <v>108</v>
      </c>
      <c r="K17" s="53">
        <v>1000</v>
      </c>
      <c r="L17" s="44" t="s">
        <v>9</v>
      </c>
      <c r="M17" s="45" t="s">
        <v>9</v>
      </c>
      <c r="N17" s="44" t="s">
        <v>249</v>
      </c>
      <c r="O17" s="42">
        <v>7000</v>
      </c>
      <c r="P17" s="44" t="s">
        <v>111</v>
      </c>
      <c r="Q17" s="42">
        <v>165</v>
      </c>
      <c r="R17" s="43" t="s">
        <v>824</v>
      </c>
      <c r="S17" s="42">
        <v>1048</v>
      </c>
      <c r="T17" s="43" t="s">
        <v>832</v>
      </c>
      <c r="U17" s="42">
        <v>1015</v>
      </c>
      <c r="V17" s="43" t="s">
        <v>831</v>
      </c>
      <c r="W17" s="42">
        <v>1191</v>
      </c>
      <c r="X17" s="44" t="s">
        <v>110</v>
      </c>
      <c r="Y17" s="42" t="s">
        <v>237</v>
      </c>
      <c r="Z17" s="44" t="s">
        <v>106</v>
      </c>
      <c r="AA17" s="42" t="s">
        <v>214</v>
      </c>
      <c r="AB17" s="43" t="s">
        <v>107</v>
      </c>
      <c r="AC17" s="42" t="s">
        <v>186</v>
      </c>
      <c r="AD17" s="43" t="s">
        <v>119</v>
      </c>
      <c r="AE17" s="42" t="s">
        <v>152</v>
      </c>
      <c r="AF17" s="43" t="s">
        <v>826</v>
      </c>
      <c r="AG17" s="68" t="s">
        <v>127</v>
      </c>
      <c r="AH17" s="44" t="s">
        <v>112</v>
      </c>
      <c r="AI17" s="46" t="s">
        <v>113</v>
      </c>
      <c r="AJ17" s="44" t="s">
        <v>114</v>
      </c>
      <c r="AK17" s="45" t="s">
        <v>128</v>
      </c>
      <c r="AL17" s="52" t="s">
        <v>250</v>
      </c>
      <c r="AM17" s="45" t="s">
        <v>833</v>
      </c>
      <c r="AN17" s="55" t="s">
        <v>251</v>
      </c>
      <c r="AO17" s="53" t="s">
        <v>835</v>
      </c>
      <c r="AP17" s="55" t="s">
        <v>827</v>
      </c>
      <c r="AQ17" s="53" t="s">
        <v>828</v>
      </c>
    </row>
    <row r="18" spans="1:43" ht="7.5" customHeight="1" x14ac:dyDescent="0.4">
      <c r="A18" s="16">
        <v>18</v>
      </c>
      <c r="B18" s="38" t="str">
        <f t="shared" si="0"/>
        <v>TU.PB.K7.1200</v>
      </c>
      <c r="C18" s="51" t="s">
        <v>435</v>
      </c>
      <c r="D18" s="54" t="s">
        <v>134</v>
      </c>
      <c r="E18" s="69" t="s">
        <v>519</v>
      </c>
      <c r="F18" s="52" t="s">
        <v>138</v>
      </c>
      <c r="G18" s="53" t="s">
        <v>483</v>
      </c>
      <c r="H18" s="52" t="s">
        <v>132</v>
      </c>
      <c r="I18" s="53" t="s">
        <v>133</v>
      </c>
      <c r="J18" s="52" t="s">
        <v>108</v>
      </c>
      <c r="K18" s="53">
        <v>1200</v>
      </c>
      <c r="L18" s="44" t="s">
        <v>9</v>
      </c>
      <c r="M18" s="45" t="s">
        <v>9</v>
      </c>
      <c r="N18" s="44" t="s">
        <v>249</v>
      </c>
      <c r="O18" s="42">
        <v>7000</v>
      </c>
      <c r="P18" s="44" t="s">
        <v>111</v>
      </c>
      <c r="Q18" s="42">
        <v>170</v>
      </c>
      <c r="R18" s="43" t="s">
        <v>824</v>
      </c>
      <c r="S18" s="42">
        <v>1255</v>
      </c>
      <c r="T18" s="43" t="s">
        <v>832</v>
      </c>
      <c r="U18" s="42">
        <v>1258</v>
      </c>
      <c r="V18" s="43" t="s">
        <v>831</v>
      </c>
      <c r="W18" s="42">
        <v>1412</v>
      </c>
      <c r="X18" s="44" t="s">
        <v>110</v>
      </c>
      <c r="Y18" s="42" t="s">
        <v>238</v>
      </c>
      <c r="Z18" s="44" t="s">
        <v>106</v>
      </c>
      <c r="AA18" s="42" t="s">
        <v>215</v>
      </c>
      <c r="AB18" s="43" t="s">
        <v>107</v>
      </c>
      <c r="AC18" s="42" t="s">
        <v>187</v>
      </c>
      <c r="AD18" s="43" t="s">
        <v>119</v>
      </c>
      <c r="AE18" s="42" t="s">
        <v>153</v>
      </c>
      <c r="AF18" s="43" t="s">
        <v>826</v>
      </c>
      <c r="AG18" s="68" t="s">
        <v>127</v>
      </c>
      <c r="AH18" s="44" t="s">
        <v>112</v>
      </c>
      <c r="AI18" s="46" t="s">
        <v>113</v>
      </c>
      <c r="AJ18" s="44" t="s">
        <v>114</v>
      </c>
      <c r="AK18" s="45" t="s">
        <v>128</v>
      </c>
      <c r="AL18" s="52" t="s">
        <v>250</v>
      </c>
      <c r="AM18" s="45" t="s">
        <v>833</v>
      </c>
      <c r="AN18" s="55" t="s">
        <v>251</v>
      </c>
      <c r="AO18" s="53" t="s">
        <v>835</v>
      </c>
      <c r="AP18" s="55" t="s">
        <v>827</v>
      </c>
      <c r="AQ18" s="53" t="s">
        <v>828</v>
      </c>
    </row>
    <row r="19" spans="1:43" ht="7.5" customHeight="1" x14ac:dyDescent="0.4">
      <c r="A19" s="16">
        <v>19</v>
      </c>
      <c r="B19" s="38" t="str">
        <f t="shared" si="0"/>
        <v>TU.PB.K7.0080</v>
      </c>
      <c r="C19" s="51" t="s">
        <v>435</v>
      </c>
      <c r="D19" s="54" t="s">
        <v>134</v>
      </c>
      <c r="E19" s="69" t="s">
        <v>519</v>
      </c>
      <c r="F19" s="52" t="s">
        <v>138</v>
      </c>
      <c r="G19" s="53" t="s">
        <v>483</v>
      </c>
      <c r="H19" s="52" t="s">
        <v>132</v>
      </c>
      <c r="I19" s="53" t="s">
        <v>133</v>
      </c>
      <c r="J19" s="52" t="s">
        <v>108</v>
      </c>
      <c r="K19" s="63">
        <v>80</v>
      </c>
      <c r="L19" s="44" t="s">
        <v>9</v>
      </c>
      <c r="M19" s="45" t="s">
        <v>9</v>
      </c>
      <c r="N19" s="44" t="s">
        <v>249</v>
      </c>
      <c r="O19" s="49">
        <v>6000</v>
      </c>
      <c r="P19" s="44" t="s">
        <v>9</v>
      </c>
      <c r="Q19" s="49" t="s">
        <v>9</v>
      </c>
      <c r="R19" s="43" t="s">
        <v>824</v>
      </c>
      <c r="S19" s="49">
        <v>98</v>
      </c>
      <c r="T19" s="43" t="s">
        <v>832</v>
      </c>
      <c r="U19" s="49">
        <v>101</v>
      </c>
      <c r="V19" s="43" t="s">
        <v>831</v>
      </c>
      <c r="W19" s="49" t="s">
        <v>244</v>
      </c>
      <c r="X19" s="44" t="s">
        <v>110</v>
      </c>
      <c r="Y19" s="49" t="s">
        <v>239</v>
      </c>
      <c r="Z19" s="44" t="s">
        <v>106</v>
      </c>
      <c r="AA19" s="49">
        <v>6</v>
      </c>
      <c r="AB19" s="43" t="s">
        <v>107</v>
      </c>
      <c r="AC19" s="49" t="s">
        <v>188</v>
      </c>
      <c r="AD19" s="43" t="s">
        <v>119</v>
      </c>
      <c r="AE19" s="49">
        <v>87</v>
      </c>
      <c r="AF19" s="43" t="s">
        <v>826</v>
      </c>
      <c r="AG19" s="68" t="s">
        <v>127</v>
      </c>
      <c r="AH19" s="44" t="s">
        <v>112</v>
      </c>
      <c r="AI19" s="46" t="s">
        <v>131</v>
      </c>
      <c r="AJ19" s="44" t="s">
        <v>114</v>
      </c>
      <c r="AK19" s="45" t="s">
        <v>128</v>
      </c>
      <c r="AL19" s="52" t="s">
        <v>250</v>
      </c>
      <c r="AM19" s="45" t="s">
        <v>833</v>
      </c>
      <c r="AN19" s="55" t="s">
        <v>251</v>
      </c>
      <c r="AO19" s="53" t="s">
        <v>835</v>
      </c>
      <c r="AP19" s="55" t="s">
        <v>827</v>
      </c>
      <c r="AQ19" s="53" t="s">
        <v>828</v>
      </c>
    </row>
    <row r="20" spans="1:43" ht="7.5" customHeight="1" x14ac:dyDescent="0.4">
      <c r="A20" s="16">
        <v>20</v>
      </c>
      <c r="B20" s="38" t="str">
        <f t="shared" si="0"/>
        <v>TU.PB.K7.0100</v>
      </c>
      <c r="C20" s="51" t="s">
        <v>435</v>
      </c>
      <c r="D20" s="54" t="s">
        <v>134</v>
      </c>
      <c r="E20" s="69" t="s">
        <v>519</v>
      </c>
      <c r="F20" s="52" t="s">
        <v>138</v>
      </c>
      <c r="G20" s="53" t="s">
        <v>483</v>
      </c>
      <c r="H20" s="52" t="s">
        <v>132</v>
      </c>
      <c r="I20" s="53" t="s">
        <v>133</v>
      </c>
      <c r="J20" s="52" t="s">
        <v>108</v>
      </c>
      <c r="K20" s="63">
        <v>100</v>
      </c>
      <c r="L20" s="44" t="s">
        <v>9</v>
      </c>
      <c r="M20" s="45" t="s">
        <v>9</v>
      </c>
      <c r="N20" s="44" t="s">
        <v>249</v>
      </c>
      <c r="O20" s="49">
        <v>6000</v>
      </c>
      <c r="P20" s="44" t="s">
        <v>9</v>
      </c>
      <c r="Q20" s="49" t="s">
        <v>9</v>
      </c>
      <c r="R20" s="43" t="s">
        <v>824</v>
      </c>
      <c r="S20" s="49">
        <v>118</v>
      </c>
      <c r="T20" s="43" t="s">
        <v>832</v>
      </c>
      <c r="U20" s="49">
        <v>121</v>
      </c>
      <c r="V20" s="43" t="s">
        <v>831</v>
      </c>
      <c r="W20" s="49" t="s">
        <v>245</v>
      </c>
      <c r="X20" s="44" t="s">
        <v>110</v>
      </c>
      <c r="Y20" s="49" t="s">
        <v>240</v>
      </c>
      <c r="Z20" s="44" t="s">
        <v>106</v>
      </c>
      <c r="AA20" s="49">
        <v>6</v>
      </c>
      <c r="AB20" s="43" t="s">
        <v>107</v>
      </c>
      <c r="AC20" s="49" t="s">
        <v>189</v>
      </c>
      <c r="AD20" s="43" t="s">
        <v>119</v>
      </c>
      <c r="AE20" s="49" t="s">
        <v>154</v>
      </c>
      <c r="AF20" s="43" t="s">
        <v>826</v>
      </c>
      <c r="AG20" s="68" t="s">
        <v>127</v>
      </c>
      <c r="AH20" s="44" t="s">
        <v>112</v>
      </c>
      <c r="AI20" s="46" t="s">
        <v>131</v>
      </c>
      <c r="AJ20" s="44" t="s">
        <v>114</v>
      </c>
      <c r="AK20" s="45" t="s">
        <v>128</v>
      </c>
      <c r="AL20" s="52" t="s">
        <v>250</v>
      </c>
      <c r="AM20" s="45" t="s">
        <v>833</v>
      </c>
      <c r="AN20" s="55" t="s">
        <v>251</v>
      </c>
      <c r="AO20" s="53" t="s">
        <v>835</v>
      </c>
      <c r="AP20" s="55" t="s">
        <v>827</v>
      </c>
      <c r="AQ20" s="53" t="s">
        <v>828</v>
      </c>
    </row>
    <row r="21" spans="1:43" ht="7.5" customHeight="1" x14ac:dyDescent="0.4">
      <c r="A21" s="16">
        <v>21</v>
      </c>
      <c r="B21" s="38" t="str">
        <f t="shared" si="0"/>
        <v>TU.PB.K9.0200</v>
      </c>
      <c r="C21" s="51" t="s">
        <v>435</v>
      </c>
      <c r="D21" s="54" t="s">
        <v>134</v>
      </c>
      <c r="E21" s="69" t="s">
        <v>519</v>
      </c>
      <c r="F21" s="52" t="s">
        <v>138</v>
      </c>
      <c r="G21" s="53" t="s">
        <v>484</v>
      </c>
      <c r="H21" s="52" t="s">
        <v>132</v>
      </c>
      <c r="I21" s="53" t="s">
        <v>133</v>
      </c>
      <c r="J21" s="52" t="s">
        <v>108</v>
      </c>
      <c r="K21" s="63">
        <v>200</v>
      </c>
      <c r="L21" s="44" t="s">
        <v>9</v>
      </c>
      <c r="M21" s="45" t="s">
        <v>9</v>
      </c>
      <c r="N21" s="44" t="s">
        <v>249</v>
      </c>
      <c r="O21" s="49">
        <v>6000</v>
      </c>
      <c r="P21" s="44" t="s">
        <v>9</v>
      </c>
      <c r="Q21" s="49" t="s">
        <v>9</v>
      </c>
      <c r="R21" s="43" t="s">
        <v>824</v>
      </c>
      <c r="S21" s="49">
        <v>222</v>
      </c>
      <c r="T21" s="43" t="s">
        <v>832</v>
      </c>
      <c r="U21" s="49">
        <v>225</v>
      </c>
      <c r="V21" s="43" t="s">
        <v>831</v>
      </c>
      <c r="W21" s="49" t="s">
        <v>242</v>
      </c>
      <c r="X21" s="44" t="s">
        <v>110</v>
      </c>
      <c r="Y21" s="49" t="s">
        <v>228</v>
      </c>
      <c r="Z21" s="44" t="s">
        <v>106</v>
      </c>
      <c r="AA21" s="49" t="s">
        <v>208</v>
      </c>
      <c r="AB21" s="43" t="s">
        <v>107</v>
      </c>
      <c r="AC21" s="49" t="s">
        <v>190</v>
      </c>
      <c r="AD21" s="43" t="s">
        <v>119</v>
      </c>
      <c r="AE21" s="49" t="s">
        <v>155</v>
      </c>
      <c r="AF21" s="43" t="s">
        <v>826</v>
      </c>
      <c r="AG21" s="68" t="s">
        <v>127</v>
      </c>
      <c r="AH21" s="44" t="s">
        <v>112</v>
      </c>
      <c r="AI21" s="46" t="s">
        <v>131</v>
      </c>
      <c r="AJ21" s="44" t="s">
        <v>114</v>
      </c>
      <c r="AK21" s="45" t="s">
        <v>128</v>
      </c>
      <c r="AL21" s="52" t="s">
        <v>250</v>
      </c>
      <c r="AM21" s="45" t="s">
        <v>833</v>
      </c>
      <c r="AN21" s="55" t="s">
        <v>251</v>
      </c>
      <c r="AO21" s="53" t="s">
        <v>835</v>
      </c>
      <c r="AP21" s="55" t="s">
        <v>827</v>
      </c>
      <c r="AQ21" s="53" t="s">
        <v>828</v>
      </c>
    </row>
    <row r="22" spans="1:43" ht="7.5" customHeight="1" x14ac:dyDescent="0.4">
      <c r="A22" s="16">
        <v>22</v>
      </c>
      <c r="B22" s="38" t="str">
        <f t="shared" si="0"/>
        <v>TU.PB.K9.0250</v>
      </c>
      <c r="C22" s="51" t="s">
        <v>435</v>
      </c>
      <c r="D22" s="54" t="s">
        <v>134</v>
      </c>
      <c r="E22" s="69" t="s">
        <v>519</v>
      </c>
      <c r="F22" s="52" t="s">
        <v>138</v>
      </c>
      <c r="G22" s="53" t="s">
        <v>484</v>
      </c>
      <c r="H22" s="52" t="s">
        <v>132</v>
      </c>
      <c r="I22" s="53" t="s">
        <v>133</v>
      </c>
      <c r="J22" s="52" t="s">
        <v>108</v>
      </c>
      <c r="K22" s="63">
        <v>250</v>
      </c>
      <c r="L22" s="44" t="s">
        <v>9</v>
      </c>
      <c r="M22" s="45" t="s">
        <v>9</v>
      </c>
      <c r="N22" s="44" t="s">
        <v>249</v>
      </c>
      <c r="O22" s="49">
        <v>6000</v>
      </c>
      <c r="P22" s="44" t="s">
        <v>9</v>
      </c>
      <c r="Q22" s="49" t="s">
        <v>9</v>
      </c>
      <c r="R22" s="43" t="s">
        <v>824</v>
      </c>
      <c r="S22" s="49">
        <v>274</v>
      </c>
      <c r="T22" s="43" t="s">
        <v>832</v>
      </c>
      <c r="U22" s="49">
        <v>277</v>
      </c>
      <c r="V22" s="43" t="s">
        <v>831</v>
      </c>
      <c r="W22" s="49" t="s">
        <v>243</v>
      </c>
      <c r="X22" s="44" t="s">
        <v>110</v>
      </c>
      <c r="Y22" s="49" t="s">
        <v>229</v>
      </c>
      <c r="Z22" s="44" t="s">
        <v>106</v>
      </c>
      <c r="AA22" s="49" t="s">
        <v>216</v>
      </c>
      <c r="AB22" s="43" t="s">
        <v>107</v>
      </c>
      <c r="AC22" s="49">
        <v>48</v>
      </c>
      <c r="AD22" s="43" t="s">
        <v>119</v>
      </c>
      <c r="AE22" s="49">
        <v>288</v>
      </c>
      <c r="AF22" s="43" t="s">
        <v>826</v>
      </c>
      <c r="AG22" s="68" t="s">
        <v>127</v>
      </c>
      <c r="AH22" s="44" t="s">
        <v>112</v>
      </c>
      <c r="AI22" s="46" t="s">
        <v>131</v>
      </c>
      <c r="AJ22" s="44" t="s">
        <v>114</v>
      </c>
      <c r="AK22" s="45" t="s">
        <v>128</v>
      </c>
      <c r="AL22" s="52" t="s">
        <v>250</v>
      </c>
      <c r="AM22" s="45" t="s">
        <v>833</v>
      </c>
      <c r="AN22" s="55" t="s">
        <v>251</v>
      </c>
      <c r="AO22" s="53" t="s">
        <v>835</v>
      </c>
      <c r="AP22" s="55" t="s">
        <v>827</v>
      </c>
      <c r="AQ22" s="53" t="s">
        <v>828</v>
      </c>
    </row>
    <row r="23" spans="1:43" ht="7.5" customHeight="1" x14ac:dyDescent="0.4">
      <c r="A23" s="16">
        <v>23</v>
      </c>
      <c r="B23" s="38" t="str">
        <f t="shared" si="0"/>
        <v>TU.PB.K9.0300</v>
      </c>
      <c r="C23" s="51" t="s">
        <v>435</v>
      </c>
      <c r="D23" s="54" t="s">
        <v>134</v>
      </c>
      <c r="E23" s="69" t="s">
        <v>519</v>
      </c>
      <c r="F23" s="52" t="s">
        <v>138</v>
      </c>
      <c r="G23" s="53" t="s">
        <v>484</v>
      </c>
      <c r="H23" s="52" t="s">
        <v>132</v>
      </c>
      <c r="I23" s="53" t="s">
        <v>133</v>
      </c>
      <c r="J23" s="52" t="s">
        <v>108</v>
      </c>
      <c r="K23" s="63">
        <v>300</v>
      </c>
      <c r="L23" s="44" t="s">
        <v>9</v>
      </c>
      <c r="M23" s="45" t="s">
        <v>9</v>
      </c>
      <c r="N23" s="44" t="s">
        <v>249</v>
      </c>
      <c r="O23" s="49">
        <v>6000</v>
      </c>
      <c r="P23" s="44" t="s">
        <v>111</v>
      </c>
      <c r="Q23" s="49">
        <v>115</v>
      </c>
      <c r="R23" s="43" t="s">
        <v>824</v>
      </c>
      <c r="S23" s="49">
        <v>326</v>
      </c>
      <c r="T23" s="43" t="s">
        <v>832</v>
      </c>
      <c r="U23" s="49">
        <v>329</v>
      </c>
      <c r="V23" s="43" t="s">
        <v>831</v>
      </c>
      <c r="W23" s="49">
        <v>410</v>
      </c>
      <c r="X23" s="44" t="s">
        <v>110</v>
      </c>
      <c r="Y23" s="49" t="s">
        <v>230</v>
      </c>
      <c r="Z23" s="44" t="s">
        <v>106</v>
      </c>
      <c r="AA23" s="49" t="s">
        <v>217</v>
      </c>
      <c r="AB23" s="43" t="s">
        <v>107</v>
      </c>
      <c r="AC23" s="49" t="s">
        <v>191</v>
      </c>
      <c r="AD23" s="43" t="s">
        <v>119</v>
      </c>
      <c r="AE23" s="49" t="s">
        <v>156</v>
      </c>
      <c r="AF23" s="43" t="s">
        <v>826</v>
      </c>
      <c r="AG23" s="68" t="s">
        <v>127</v>
      </c>
      <c r="AH23" s="44" t="s">
        <v>112</v>
      </c>
      <c r="AI23" s="46" t="s">
        <v>131</v>
      </c>
      <c r="AJ23" s="44" t="s">
        <v>114</v>
      </c>
      <c r="AK23" s="45" t="s">
        <v>128</v>
      </c>
      <c r="AL23" s="52" t="s">
        <v>250</v>
      </c>
      <c r="AM23" s="45" t="s">
        <v>833</v>
      </c>
      <c r="AN23" s="55" t="s">
        <v>251</v>
      </c>
      <c r="AO23" s="53" t="s">
        <v>835</v>
      </c>
      <c r="AP23" s="55" t="s">
        <v>827</v>
      </c>
      <c r="AQ23" s="53" t="s">
        <v>828</v>
      </c>
    </row>
    <row r="24" spans="1:43" ht="7.5" customHeight="1" x14ac:dyDescent="0.4">
      <c r="A24" s="16">
        <v>24</v>
      </c>
      <c r="B24" s="38" t="str">
        <f t="shared" si="0"/>
        <v>TU.PB.K9.0350</v>
      </c>
      <c r="C24" s="51" t="s">
        <v>435</v>
      </c>
      <c r="D24" s="54" t="s">
        <v>134</v>
      </c>
      <c r="E24" s="69" t="s">
        <v>519</v>
      </c>
      <c r="F24" s="52" t="s">
        <v>138</v>
      </c>
      <c r="G24" s="53" t="s">
        <v>484</v>
      </c>
      <c r="H24" s="52" t="s">
        <v>132</v>
      </c>
      <c r="I24" s="53" t="s">
        <v>133</v>
      </c>
      <c r="J24" s="52" t="s">
        <v>108</v>
      </c>
      <c r="K24" s="63">
        <v>350</v>
      </c>
      <c r="L24" s="44" t="s">
        <v>9</v>
      </c>
      <c r="M24" s="45" t="s">
        <v>9</v>
      </c>
      <c r="N24" s="44" t="s">
        <v>249</v>
      </c>
      <c r="O24" s="49">
        <v>6000</v>
      </c>
      <c r="P24" s="44" t="s">
        <v>111</v>
      </c>
      <c r="Q24" s="49">
        <v>114</v>
      </c>
      <c r="R24" s="43" t="s">
        <v>824</v>
      </c>
      <c r="S24" s="49">
        <v>378</v>
      </c>
      <c r="T24" s="43" t="s">
        <v>832</v>
      </c>
      <c r="U24" s="49">
        <v>381</v>
      </c>
      <c r="V24" s="43" t="s">
        <v>831</v>
      </c>
      <c r="W24" s="49">
        <v>465</v>
      </c>
      <c r="X24" s="44" t="s">
        <v>110</v>
      </c>
      <c r="Y24" s="49" t="s">
        <v>231</v>
      </c>
      <c r="Z24" s="44" t="s">
        <v>106</v>
      </c>
      <c r="AA24" s="49" t="s">
        <v>210</v>
      </c>
      <c r="AB24" s="43" t="s">
        <v>107</v>
      </c>
      <c r="AC24" s="49" t="s">
        <v>192</v>
      </c>
      <c r="AD24" s="43" t="s">
        <v>119</v>
      </c>
      <c r="AE24" s="49" t="s">
        <v>157</v>
      </c>
      <c r="AF24" s="43" t="s">
        <v>826</v>
      </c>
      <c r="AG24" s="68" t="s">
        <v>127</v>
      </c>
      <c r="AH24" s="44" t="s">
        <v>112</v>
      </c>
      <c r="AI24" s="46" t="s">
        <v>131</v>
      </c>
      <c r="AJ24" s="44" t="s">
        <v>114</v>
      </c>
      <c r="AK24" s="45" t="s">
        <v>128</v>
      </c>
      <c r="AL24" s="52" t="s">
        <v>250</v>
      </c>
      <c r="AM24" s="45" t="s">
        <v>833</v>
      </c>
      <c r="AN24" s="55" t="s">
        <v>251</v>
      </c>
      <c r="AO24" s="53" t="s">
        <v>835</v>
      </c>
      <c r="AP24" s="55" t="s">
        <v>827</v>
      </c>
      <c r="AQ24" s="53" t="s">
        <v>828</v>
      </c>
    </row>
    <row r="25" spans="1:43" ht="7.5" customHeight="1" x14ac:dyDescent="0.4">
      <c r="A25" s="16">
        <v>25</v>
      </c>
      <c r="B25" s="38" t="str">
        <f t="shared" si="0"/>
        <v>TU.PB.K9.0400</v>
      </c>
      <c r="C25" s="51" t="s">
        <v>435</v>
      </c>
      <c r="D25" s="54" t="s">
        <v>134</v>
      </c>
      <c r="E25" s="69" t="s">
        <v>519</v>
      </c>
      <c r="F25" s="52" t="s">
        <v>138</v>
      </c>
      <c r="G25" s="53" t="s">
        <v>484</v>
      </c>
      <c r="H25" s="52" t="s">
        <v>132</v>
      </c>
      <c r="I25" s="53" t="s">
        <v>133</v>
      </c>
      <c r="J25" s="52" t="s">
        <v>108</v>
      </c>
      <c r="K25" s="63">
        <v>400</v>
      </c>
      <c r="L25" s="44" t="s">
        <v>9</v>
      </c>
      <c r="M25" s="45" t="s">
        <v>9</v>
      </c>
      <c r="N25" s="44" t="s">
        <v>249</v>
      </c>
      <c r="O25" s="49">
        <v>6000</v>
      </c>
      <c r="P25" s="44" t="s">
        <v>111</v>
      </c>
      <c r="Q25" s="49">
        <v>113</v>
      </c>
      <c r="R25" s="43" t="s">
        <v>824</v>
      </c>
      <c r="S25" s="49">
        <v>429</v>
      </c>
      <c r="T25" s="43" t="s">
        <v>832</v>
      </c>
      <c r="U25" s="49">
        <v>432</v>
      </c>
      <c r="V25" s="43" t="s">
        <v>831</v>
      </c>
      <c r="W25" s="49">
        <v>517</v>
      </c>
      <c r="X25" s="44" t="s">
        <v>110</v>
      </c>
      <c r="Y25" s="49" t="s">
        <v>232</v>
      </c>
      <c r="Z25" s="44" t="s">
        <v>106</v>
      </c>
      <c r="AA25" s="49" t="s">
        <v>218</v>
      </c>
      <c r="AB25" s="43" t="s">
        <v>107</v>
      </c>
      <c r="AC25" s="49" t="s">
        <v>193</v>
      </c>
      <c r="AD25" s="43" t="s">
        <v>119</v>
      </c>
      <c r="AE25" s="49" t="s">
        <v>158</v>
      </c>
      <c r="AF25" s="43" t="s">
        <v>826</v>
      </c>
      <c r="AG25" s="68" t="s">
        <v>127</v>
      </c>
      <c r="AH25" s="44" t="s">
        <v>112</v>
      </c>
      <c r="AI25" s="46" t="s">
        <v>131</v>
      </c>
      <c r="AJ25" s="44" t="s">
        <v>114</v>
      </c>
      <c r="AK25" s="45" t="s">
        <v>128</v>
      </c>
      <c r="AL25" s="52" t="s">
        <v>250</v>
      </c>
      <c r="AM25" s="45" t="s">
        <v>833</v>
      </c>
      <c r="AN25" s="55" t="s">
        <v>251</v>
      </c>
      <c r="AO25" s="53" t="s">
        <v>835</v>
      </c>
      <c r="AP25" s="55" t="s">
        <v>827</v>
      </c>
      <c r="AQ25" s="53" t="s">
        <v>828</v>
      </c>
    </row>
    <row r="26" spans="1:43" ht="7.5" customHeight="1" x14ac:dyDescent="0.4">
      <c r="A26" s="16">
        <v>26</v>
      </c>
      <c r="B26" s="38" t="str">
        <f t="shared" si="0"/>
        <v>TU.PB.K9.0450</v>
      </c>
      <c r="C26" s="51" t="s">
        <v>435</v>
      </c>
      <c r="D26" s="54" t="s">
        <v>134</v>
      </c>
      <c r="E26" s="69" t="s">
        <v>519</v>
      </c>
      <c r="F26" s="52" t="s">
        <v>138</v>
      </c>
      <c r="G26" s="53" t="s">
        <v>484</v>
      </c>
      <c r="H26" s="52" t="s">
        <v>132</v>
      </c>
      <c r="I26" s="53" t="s">
        <v>133</v>
      </c>
      <c r="J26" s="52" t="s">
        <v>108</v>
      </c>
      <c r="K26" s="63">
        <v>450</v>
      </c>
      <c r="L26" s="44" t="s">
        <v>9</v>
      </c>
      <c r="M26" s="45" t="s">
        <v>9</v>
      </c>
      <c r="N26" s="44" t="s">
        <v>249</v>
      </c>
      <c r="O26" s="49">
        <v>6000</v>
      </c>
      <c r="P26" s="44" t="s">
        <v>111</v>
      </c>
      <c r="Q26" s="49">
        <v>120</v>
      </c>
      <c r="R26" s="43" t="s">
        <v>824</v>
      </c>
      <c r="S26" s="49">
        <v>480</v>
      </c>
      <c r="T26" s="43" t="s">
        <v>832</v>
      </c>
      <c r="U26" s="49">
        <v>483</v>
      </c>
      <c r="V26" s="43" t="s">
        <v>831</v>
      </c>
      <c r="W26" s="49">
        <v>575</v>
      </c>
      <c r="X26" s="44" t="s">
        <v>110</v>
      </c>
      <c r="Y26" s="49" t="s">
        <v>233</v>
      </c>
      <c r="Z26" s="44" t="s">
        <v>106</v>
      </c>
      <c r="AA26" s="49" t="s">
        <v>219</v>
      </c>
      <c r="AB26" s="43" t="s">
        <v>107</v>
      </c>
      <c r="AC26" s="49" t="s">
        <v>194</v>
      </c>
      <c r="AD26" s="43" t="s">
        <v>119</v>
      </c>
      <c r="AE26" s="49" t="s">
        <v>159</v>
      </c>
      <c r="AF26" s="43" t="s">
        <v>826</v>
      </c>
      <c r="AG26" s="68" t="s">
        <v>127</v>
      </c>
      <c r="AH26" s="44" t="s">
        <v>112</v>
      </c>
      <c r="AI26" s="46" t="s">
        <v>131</v>
      </c>
      <c r="AJ26" s="44" t="s">
        <v>114</v>
      </c>
      <c r="AK26" s="45" t="s">
        <v>128</v>
      </c>
      <c r="AL26" s="52" t="s">
        <v>250</v>
      </c>
      <c r="AM26" s="45" t="s">
        <v>833</v>
      </c>
      <c r="AN26" s="55" t="s">
        <v>251</v>
      </c>
      <c r="AO26" s="53" t="s">
        <v>835</v>
      </c>
      <c r="AP26" s="55" t="s">
        <v>827</v>
      </c>
      <c r="AQ26" s="53" t="s">
        <v>828</v>
      </c>
    </row>
    <row r="27" spans="1:43" ht="7.5" customHeight="1" x14ac:dyDescent="0.4">
      <c r="A27" s="16">
        <v>27</v>
      </c>
      <c r="B27" s="38" t="str">
        <f t="shared" si="0"/>
        <v>TU.PB.K9.0500</v>
      </c>
      <c r="C27" s="51" t="s">
        <v>435</v>
      </c>
      <c r="D27" s="54" t="s">
        <v>134</v>
      </c>
      <c r="E27" s="69" t="s">
        <v>519</v>
      </c>
      <c r="F27" s="52" t="s">
        <v>138</v>
      </c>
      <c r="G27" s="53" t="s">
        <v>484</v>
      </c>
      <c r="H27" s="52" t="s">
        <v>132</v>
      </c>
      <c r="I27" s="53" t="s">
        <v>133</v>
      </c>
      <c r="J27" s="52" t="s">
        <v>108</v>
      </c>
      <c r="K27" s="63">
        <v>500</v>
      </c>
      <c r="L27" s="44" t="s">
        <v>9</v>
      </c>
      <c r="M27" s="45" t="s">
        <v>9</v>
      </c>
      <c r="N27" s="44" t="s">
        <v>249</v>
      </c>
      <c r="O27" s="49">
        <v>6000</v>
      </c>
      <c r="P27" s="44" t="s">
        <v>111</v>
      </c>
      <c r="Q27" s="49">
        <v>125</v>
      </c>
      <c r="R27" s="43" t="s">
        <v>824</v>
      </c>
      <c r="S27" s="49">
        <v>532</v>
      </c>
      <c r="T27" s="43" t="s">
        <v>832</v>
      </c>
      <c r="U27" s="49">
        <v>535</v>
      </c>
      <c r="V27" s="43" t="s">
        <v>831</v>
      </c>
      <c r="W27" s="49">
        <v>630</v>
      </c>
      <c r="X27" s="44" t="s">
        <v>110</v>
      </c>
      <c r="Y27" s="49" t="s">
        <v>234</v>
      </c>
      <c r="Z27" s="44" t="s">
        <v>106</v>
      </c>
      <c r="AA27" s="49">
        <v>9</v>
      </c>
      <c r="AB27" s="43" t="s">
        <v>107</v>
      </c>
      <c r="AC27" s="49" t="s">
        <v>195</v>
      </c>
      <c r="AD27" s="43" t="s">
        <v>119</v>
      </c>
      <c r="AE27" s="49" t="s">
        <v>160</v>
      </c>
      <c r="AF27" s="43" t="s">
        <v>826</v>
      </c>
      <c r="AG27" s="68" t="s">
        <v>127</v>
      </c>
      <c r="AH27" s="44" t="s">
        <v>112</v>
      </c>
      <c r="AI27" s="46" t="s">
        <v>131</v>
      </c>
      <c r="AJ27" s="44" t="s">
        <v>114</v>
      </c>
      <c r="AK27" s="45" t="s">
        <v>128</v>
      </c>
      <c r="AL27" s="52" t="s">
        <v>250</v>
      </c>
      <c r="AM27" s="45" t="s">
        <v>833</v>
      </c>
      <c r="AN27" s="55" t="s">
        <v>251</v>
      </c>
      <c r="AO27" s="53" t="s">
        <v>835</v>
      </c>
      <c r="AP27" s="55" t="s">
        <v>827</v>
      </c>
      <c r="AQ27" s="53" t="s">
        <v>828</v>
      </c>
    </row>
    <row r="28" spans="1:43" ht="7.5" customHeight="1" x14ac:dyDescent="0.4">
      <c r="A28" s="16">
        <v>28</v>
      </c>
      <c r="B28" s="38" t="str">
        <f t="shared" si="0"/>
        <v>TU.PB.K9.0600</v>
      </c>
      <c r="C28" s="51" t="s">
        <v>435</v>
      </c>
      <c r="D28" s="54" t="s">
        <v>134</v>
      </c>
      <c r="E28" s="69" t="s">
        <v>519</v>
      </c>
      <c r="F28" s="52" t="s">
        <v>138</v>
      </c>
      <c r="G28" s="53" t="s">
        <v>484</v>
      </c>
      <c r="H28" s="52" t="s">
        <v>132</v>
      </c>
      <c r="I28" s="53" t="s">
        <v>133</v>
      </c>
      <c r="J28" s="52" t="s">
        <v>108</v>
      </c>
      <c r="K28" s="63">
        <v>600</v>
      </c>
      <c r="L28" s="44" t="s">
        <v>9</v>
      </c>
      <c r="M28" s="45" t="s">
        <v>9</v>
      </c>
      <c r="N28" s="44" t="s">
        <v>249</v>
      </c>
      <c r="O28" s="49">
        <v>6000</v>
      </c>
      <c r="P28" s="44" t="s">
        <v>111</v>
      </c>
      <c r="Q28" s="49">
        <v>135</v>
      </c>
      <c r="R28" s="43" t="s">
        <v>824</v>
      </c>
      <c r="S28" s="49">
        <v>635</v>
      </c>
      <c r="T28" s="43" t="s">
        <v>832</v>
      </c>
      <c r="U28" s="49">
        <v>638</v>
      </c>
      <c r="V28" s="43" t="s">
        <v>831</v>
      </c>
      <c r="W28" s="49">
        <v>739</v>
      </c>
      <c r="X28" s="44" t="s">
        <v>110</v>
      </c>
      <c r="Y28" s="49" t="s">
        <v>235</v>
      </c>
      <c r="Z28" s="44" t="s">
        <v>106</v>
      </c>
      <c r="AA28" s="49" t="s">
        <v>220</v>
      </c>
      <c r="AB28" s="43" t="s">
        <v>107</v>
      </c>
      <c r="AC28" s="49" t="s">
        <v>196</v>
      </c>
      <c r="AD28" s="43" t="s">
        <v>119</v>
      </c>
      <c r="AE28" s="49" t="s">
        <v>161</v>
      </c>
      <c r="AF28" s="43" t="s">
        <v>826</v>
      </c>
      <c r="AG28" s="68" t="s">
        <v>127</v>
      </c>
      <c r="AH28" s="44" t="s">
        <v>112</v>
      </c>
      <c r="AI28" s="46" t="s">
        <v>131</v>
      </c>
      <c r="AJ28" s="44" t="s">
        <v>114</v>
      </c>
      <c r="AK28" s="45" t="s">
        <v>128</v>
      </c>
      <c r="AL28" s="52" t="s">
        <v>250</v>
      </c>
      <c r="AM28" s="45" t="s">
        <v>833</v>
      </c>
      <c r="AN28" s="55" t="s">
        <v>251</v>
      </c>
      <c r="AO28" s="53" t="s">
        <v>835</v>
      </c>
      <c r="AP28" s="55" t="s">
        <v>827</v>
      </c>
      <c r="AQ28" s="53" t="s">
        <v>828</v>
      </c>
    </row>
    <row r="29" spans="1:43" ht="7.5" customHeight="1" x14ac:dyDescent="0.4">
      <c r="A29" s="16">
        <v>29</v>
      </c>
      <c r="B29" s="38" t="str">
        <f t="shared" si="0"/>
        <v>TU.PB.K9.0700</v>
      </c>
      <c r="C29" s="51" t="s">
        <v>435</v>
      </c>
      <c r="D29" s="54" t="s">
        <v>134</v>
      </c>
      <c r="E29" s="69" t="s">
        <v>519</v>
      </c>
      <c r="F29" s="52" t="s">
        <v>138</v>
      </c>
      <c r="G29" s="53" t="s">
        <v>484</v>
      </c>
      <c r="H29" s="52" t="s">
        <v>132</v>
      </c>
      <c r="I29" s="53" t="s">
        <v>133</v>
      </c>
      <c r="J29" s="52" t="s">
        <v>108</v>
      </c>
      <c r="K29" s="63">
        <v>700</v>
      </c>
      <c r="L29" s="44" t="s">
        <v>9</v>
      </c>
      <c r="M29" s="45" t="s">
        <v>9</v>
      </c>
      <c r="N29" s="44" t="s">
        <v>249</v>
      </c>
      <c r="O29" s="49">
        <v>7000</v>
      </c>
      <c r="P29" s="44" t="s">
        <v>111</v>
      </c>
      <c r="Q29" s="49">
        <v>158</v>
      </c>
      <c r="R29" s="43" t="s">
        <v>824</v>
      </c>
      <c r="S29" s="49">
        <v>738</v>
      </c>
      <c r="T29" s="43" t="s">
        <v>832</v>
      </c>
      <c r="U29" s="49">
        <v>741</v>
      </c>
      <c r="V29" s="43" t="s">
        <v>831</v>
      </c>
      <c r="W29" s="49">
        <v>863</v>
      </c>
      <c r="X29" s="44" t="s">
        <v>110</v>
      </c>
      <c r="Y29" s="49" t="s">
        <v>236</v>
      </c>
      <c r="Z29" s="44" t="s">
        <v>106</v>
      </c>
      <c r="AA29" s="49" t="s">
        <v>221</v>
      </c>
      <c r="AB29" s="43" t="s">
        <v>107</v>
      </c>
      <c r="AC29" s="49" t="s">
        <v>197</v>
      </c>
      <c r="AD29" s="43" t="s">
        <v>119</v>
      </c>
      <c r="AE29" s="49" t="s">
        <v>162</v>
      </c>
      <c r="AF29" s="43" t="s">
        <v>826</v>
      </c>
      <c r="AG29" s="68" t="s">
        <v>127</v>
      </c>
      <c r="AH29" s="44" t="s">
        <v>112</v>
      </c>
      <c r="AI29" s="46" t="s">
        <v>131</v>
      </c>
      <c r="AJ29" s="44" t="s">
        <v>114</v>
      </c>
      <c r="AK29" s="45" t="s">
        <v>128</v>
      </c>
      <c r="AL29" s="52" t="s">
        <v>250</v>
      </c>
      <c r="AM29" s="45" t="s">
        <v>833</v>
      </c>
      <c r="AN29" s="55" t="s">
        <v>251</v>
      </c>
      <c r="AO29" s="53" t="s">
        <v>835</v>
      </c>
      <c r="AP29" s="55" t="s">
        <v>827</v>
      </c>
      <c r="AQ29" s="53" t="s">
        <v>828</v>
      </c>
    </row>
    <row r="30" spans="1:43" ht="7.5" customHeight="1" x14ac:dyDescent="0.4">
      <c r="A30" s="16">
        <v>30</v>
      </c>
      <c r="B30" s="38" t="str">
        <f t="shared" si="0"/>
        <v>TU.PB.K9.0800</v>
      </c>
      <c r="C30" s="51" t="s">
        <v>435</v>
      </c>
      <c r="D30" s="54" t="s">
        <v>134</v>
      </c>
      <c r="E30" s="69" t="s">
        <v>519</v>
      </c>
      <c r="F30" s="52" t="s">
        <v>138</v>
      </c>
      <c r="G30" s="53" t="s">
        <v>484</v>
      </c>
      <c r="H30" s="52" t="s">
        <v>132</v>
      </c>
      <c r="I30" s="53" t="s">
        <v>133</v>
      </c>
      <c r="J30" s="52" t="s">
        <v>108</v>
      </c>
      <c r="K30" s="63">
        <v>800</v>
      </c>
      <c r="L30" s="44" t="s">
        <v>9</v>
      </c>
      <c r="M30" s="45" t="s">
        <v>9</v>
      </c>
      <c r="N30" s="44" t="s">
        <v>249</v>
      </c>
      <c r="O30" s="49">
        <v>7000</v>
      </c>
      <c r="P30" s="44" t="s">
        <v>111</v>
      </c>
      <c r="Q30" s="49">
        <v>150</v>
      </c>
      <c r="R30" s="43" t="s">
        <v>824</v>
      </c>
      <c r="S30" s="49">
        <v>842</v>
      </c>
      <c r="T30" s="43" t="s">
        <v>832</v>
      </c>
      <c r="U30" s="49">
        <v>845</v>
      </c>
      <c r="V30" s="43" t="s">
        <v>831</v>
      </c>
      <c r="W30" s="49">
        <v>974</v>
      </c>
      <c r="X30" s="44" t="s">
        <v>110</v>
      </c>
      <c r="Y30" s="49" t="s">
        <v>236</v>
      </c>
      <c r="Z30" s="44" t="s">
        <v>106</v>
      </c>
      <c r="AA30" s="49" t="s">
        <v>222</v>
      </c>
      <c r="AB30" s="43" t="s">
        <v>107</v>
      </c>
      <c r="AC30" s="49" t="s">
        <v>198</v>
      </c>
      <c r="AD30" s="43" t="s">
        <v>119</v>
      </c>
      <c r="AE30" s="49" t="s">
        <v>163</v>
      </c>
      <c r="AF30" s="43" t="s">
        <v>826</v>
      </c>
      <c r="AG30" s="68" t="s">
        <v>127</v>
      </c>
      <c r="AH30" s="44" t="s">
        <v>112</v>
      </c>
      <c r="AI30" s="46" t="s">
        <v>131</v>
      </c>
      <c r="AJ30" s="44" t="s">
        <v>114</v>
      </c>
      <c r="AK30" s="45" t="s">
        <v>128</v>
      </c>
      <c r="AL30" s="52" t="s">
        <v>250</v>
      </c>
      <c r="AM30" s="45" t="s">
        <v>833</v>
      </c>
      <c r="AN30" s="55" t="s">
        <v>251</v>
      </c>
      <c r="AO30" s="53" t="s">
        <v>835</v>
      </c>
      <c r="AP30" s="55" t="s">
        <v>827</v>
      </c>
      <c r="AQ30" s="53" t="s">
        <v>828</v>
      </c>
    </row>
    <row r="31" spans="1:43" ht="7.5" customHeight="1" x14ac:dyDescent="0.4">
      <c r="A31" s="16">
        <v>31</v>
      </c>
      <c r="B31" s="38" t="str">
        <f t="shared" si="0"/>
        <v>TU.PB.K9.0900</v>
      </c>
      <c r="C31" s="51" t="s">
        <v>435</v>
      </c>
      <c r="D31" s="54" t="s">
        <v>134</v>
      </c>
      <c r="E31" s="69" t="s">
        <v>519</v>
      </c>
      <c r="F31" s="52" t="s">
        <v>138</v>
      </c>
      <c r="G31" s="53" t="s">
        <v>484</v>
      </c>
      <c r="H31" s="52" t="s">
        <v>132</v>
      </c>
      <c r="I31" s="53" t="s">
        <v>133</v>
      </c>
      <c r="J31" s="52" t="s">
        <v>108</v>
      </c>
      <c r="K31" s="63">
        <v>900</v>
      </c>
      <c r="L31" s="44" t="s">
        <v>9</v>
      </c>
      <c r="M31" s="45" t="s">
        <v>9</v>
      </c>
      <c r="N31" s="44" t="s">
        <v>249</v>
      </c>
      <c r="O31" s="49">
        <v>7000</v>
      </c>
      <c r="P31" s="44" t="s">
        <v>111</v>
      </c>
      <c r="Q31" s="49">
        <v>155</v>
      </c>
      <c r="R31" s="43" t="s">
        <v>824</v>
      </c>
      <c r="S31" s="49">
        <v>945</v>
      </c>
      <c r="T31" s="43" t="s">
        <v>832</v>
      </c>
      <c r="U31" s="49">
        <v>948</v>
      </c>
      <c r="V31" s="43" t="s">
        <v>831</v>
      </c>
      <c r="W31" s="49">
        <v>1082</v>
      </c>
      <c r="X31" s="44" t="s">
        <v>110</v>
      </c>
      <c r="Y31" s="49" t="s">
        <v>236</v>
      </c>
      <c r="Z31" s="44" t="s">
        <v>106</v>
      </c>
      <c r="AA31" s="49" t="s">
        <v>223</v>
      </c>
      <c r="AB31" s="43" t="s">
        <v>107</v>
      </c>
      <c r="AC31" s="49" t="s">
        <v>199</v>
      </c>
      <c r="AD31" s="43" t="s">
        <v>119</v>
      </c>
      <c r="AE31" s="49" t="s">
        <v>164</v>
      </c>
      <c r="AF31" s="43" t="s">
        <v>826</v>
      </c>
      <c r="AG31" s="68" t="s">
        <v>127</v>
      </c>
      <c r="AH31" s="44" t="s">
        <v>112</v>
      </c>
      <c r="AI31" s="46" t="s">
        <v>131</v>
      </c>
      <c r="AJ31" s="44" t="s">
        <v>114</v>
      </c>
      <c r="AK31" s="45" t="s">
        <v>128</v>
      </c>
      <c r="AL31" s="52" t="s">
        <v>250</v>
      </c>
      <c r="AM31" s="45" t="s">
        <v>833</v>
      </c>
      <c r="AN31" s="55" t="s">
        <v>251</v>
      </c>
      <c r="AO31" s="53" t="s">
        <v>835</v>
      </c>
      <c r="AP31" s="55" t="s">
        <v>827</v>
      </c>
      <c r="AQ31" s="53" t="s">
        <v>828</v>
      </c>
    </row>
    <row r="32" spans="1:43" ht="7.5" customHeight="1" x14ac:dyDescent="0.4">
      <c r="A32" s="16">
        <v>32</v>
      </c>
      <c r="B32" s="38" t="str">
        <f t="shared" si="0"/>
        <v>TU.PB.K9.1000</v>
      </c>
      <c r="C32" s="51" t="s">
        <v>435</v>
      </c>
      <c r="D32" s="54" t="s">
        <v>134</v>
      </c>
      <c r="E32" s="69" t="s">
        <v>519</v>
      </c>
      <c r="F32" s="52" t="s">
        <v>138</v>
      </c>
      <c r="G32" s="53" t="s">
        <v>484</v>
      </c>
      <c r="H32" s="52" t="s">
        <v>132</v>
      </c>
      <c r="I32" s="53" t="s">
        <v>133</v>
      </c>
      <c r="J32" s="52" t="s">
        <v>108</v>
      </c>
      <c r="K32" s="63">
        <v>1000</v>
      </c>
      <c r="L32" s="44" t="s">
        <v>9</v>
      </c>
      <c r="M32" s="45" t="s">
        <v>9</v>
      </c>
      <c r="N32" s="44" t="s">
        <v>249</v>
      </c>
      <c r="O32" s="49">
        <v>7000</v>
      </c>
      <c r="P32" s="44" t="s">
        <v>111</v>
      </c>
      <c r="Q32" s="49">
        <v>165</v>
      </c>
      <c r="R32" s="43" t="s">
        <v>824</v>
      </c>
      <c r="S32" s="49">
        <v>1048</v>
      </c>
      <c r="T32" s="43" t="s">
        <v>832</v>
      </c>
      <c r="U32" s="49">
        <v>1015</v>
      </c>
      <c r="V32" s="43" t="s">
        <v>831</v>
      </c>
      <c r="W32" s="49">
        <v>1191</v>
      </c>
      <c r="X32" s="44" t="s">
        <v>110</v>
      </c>
      <c r="Y32" s="49" t="s">
        <v>237</v>
      </c>
      <c r="Z32" s="44" t="s">
        <v>106</v>
      </c>
      <c r="AA32" s="49" t="s">
        <v>224</v>
      </c>
      <c r="AB32" s="43" t="s">
        <v>107</v>
      </c>
      <c r="AC32" s="49">
        <v>375</v>
      </c>
      <c r="AD32" s="43" t="s">
        <v>119</v>
      </c>
      <c r="AE32" s="49">
        <v>2625</v>
      </c>
      <c r="AF32" s="43" t="s">
        <v>826</v>
      </c>
      <c r="AG32" s="68" t="s">
        <v>127</v>
      </c>
      <c r="AH32" s="44" t="s">
        <v>112</v>
      </c>
      <c r="AI32" s="46" t="s">
        <v>131</v>
      </c>
      <c r="AJ32" s="44" t="s">
        <v>114</v>
      </c>
      <c r="AK32" s="45" t="s">
        <v>128</v>
      </c>
      <c r="AL32" s="52" t="s">
        <v>250</v>
      </c>
      <c r="AM32" s="45" t="s">
        <v>833</v>
      </c>
      <c r="AN32" s="55" t="s">
        <v>251</v>
      </c>
      <c r="AO32" s="53" t="s">
        <v>835</v>
      </c>
      <c r="AP32" s="55" t="s">
        <v>827</v>
      </c>
      <c r="AQ32" s="53" t="s">
        <v>828</v>
      </c>
    </row>
    <row r="33" spans="1:43" ht="7.5" customHeight="1" x14ac:dyDescent="0.4">
      <c r="A33" s="16">
        <v>33</v>
      </c>
      <c r="B33" s="38" t="str">
        <f t="shared" si="0"/>
        <v>TU.PB.K9.1200</v>
      </c>
      <c r="C33" s="51" t="s">
        <v>435</v>
      </c>
      <c r="D33" s="54" t="s">
        <v>134</v>
      </c>
      <c r="E33" s="69" t="s">
        <v>519</v>
      </c>
      <c r="F33" s="52" t="s">
        <v>138</v>
      </c>
      <c r="G33" s="53" t="s">
        <v>484</v>
      </c>
      <c r="H33" s="52" t="s">
        <v>132</v>
      </c>
      <c r="I33" s="53" t="s">
        <v>133</v>
      </c>
      <c r="J33" s="52" t="s">
        <v>108</v>
      </c>
      <c r="K33" s="63">
        <v>1200</v>
      </c>
      <c r="L33" s="44" t="s">
        <v>9</v>
      </c>
      <c r="M33" s="45" t="s">
        <v>9</v>
      </c>
      <c r="N33" s="44" t="s">
        <v>249</v>
      </c>
      <c r="O33" s="49">
        <v>7000</v>
      </c>
      <c r="P33" s="44" t="s">
        <v>111</v>
      </c>
      <c r="Q33" s="49">
        <v>170</v>
      </c>
      <c r="R33" s="43" t="s">
        <v>824</v>
      </c>
      <c r="S33" s="49">
        <v>1255</v>
      </c>
      <c r="T33" s="43" t="s">
        <v>832</v>
      </c>
      <c r="U33" s="49">
        <v>1258</v>
      </c>
      <c r="V33" s="43" t="s">
        <v>831</v>
      </c>
      <c r="W33" s="49">
        <v>1412</v>
      </c>
      <c r="X33" s="44" t="s">
        <v>110</v>
      </c>
      <c r="Y33" s="49" t="s">
        <v>238</v>
      </c>
      <c r="Z33" s="44" t="s">
        <v>106</v>
      </c>
      <c r="AA33" s="49" t="s">
        <v>225</v>
      </c>
      <c r="AB33" s="43" t="s">
        <v>107</v>
      </c>
      <c r="AC33" s="49" t="s">
        <v>200</v>
      </c>
      <c r="AD33" s="43" t="s">
        <v>119</v>
      </c>
      <c r="AE33" s="49" t="s">
        <v>165</v>
      </c>
      <c r="AF33" s="43" t="s">
        <v>826</v>
      </c>
      <c r="AG33" s="68" t="s">
        <v>127</v>
      </c>
      <c r="AH33" s="44" t="s">
        <v>112</v>
      </c>
      <c r="AI33" s="46" t="s">
        <v>131</v>
      </c>
      <c r="AJ33" s="44" t="s">
        <v>114</v>
      </c>
      <c r="AK33" s="45" t="s">
        <v>128</v>
      </c>
      <c r="AL33" s="52" t="s">
        <v>250</v>
      </c>
      <c r="AM33" s="45" t="s">
        <v>833</v>
      </c>
      <c r="AN33" s="55" t="s">
        <v>251</v>
      </c>
      <c r="AO33" s="53" t="s">
        <v>835</v>
      </c>
      <c r="AP33" s="55" t="s">
        <v>827</v>
      </c>
      <c r="AQ33" s="53" t="s">
        <v>828</v>
      </c>
    </row>
    <row r="34" spans="1:43" ht="7.5" customHeight="1" x14ac:dyDescent="0.4">
      <c r="A34" s="16">
        <v>34</v>
      </c>
      <c r="B34" s="38" t="str">
        <f>SUBSTITUTE(_xlfn.CONCAT("VAL.", G34,".", IF(K34&lt;100, _xlfn.CONCAT("00", K34), IF(K34&lt;1000, _xlfn.CONCAT("0", K34), K34)),".",M34),"""","")</f>
        <v>VAL.EURO21.0050.10</v>
      </c>
      <c r="C34" s="50" t="s">
        <v>463</v>
      </c>
      <c r="D34" s="54" t="s">
        <v>134</v>
      </c>
      <c r="E34" s="69" t="s">
        <v>520</v>
      </c>
      <c r="F34" s="52" t="s">
        <v>248</v>
      </c>
      <c r="G34" s="53" t="s">
        <v>485</v>
      </c>
      <c r="H34" s="52" t="s">
        <v>132</v>
      </c>
      <c r="I34" s="53" t="s">
        <v>133</v>
      </c>
      <c r="J34" s="52" t="s">
        <v>108</v>
      </c>
      <c r="K34" s="45">
        <v>50</v>
      </c>
      <c r="L34" s="44" t="s">
        <v>118</v>
      </c>
      <c r="M34" s="45">
        <v>10</v>
      </c>
      <c r="N34" s="44" t="s">
        <v>121</v>
      </c>
      <c r="O34" s="42">
        <v>250</v>
      </c>
      <c r="P34" s="44" t="s">
        <v>124</v>
      </c>
      <c r="Q34" s="42">
        <v>222</v>
      </c>
      <c r="R34" s="43" t="s">
        <v>120</v>
      </c>
      <c r="S34" s="42">
        <v>335</v>
      </c>
      <c r="T34" s="43" t="s">
        <v>825</v>
      </c>
      <c r="U34" s="42">
        <v>165</v>
      </c>
      <c r="V34" s="43" t="s">
        <v>246</v>
      </c>
      <c r="W34" s="42">
        <v>95</v>
      </c>
      <c r="X34" s="44" t="s">
        <v>247</v>
      </c>
      <c r="Y34" s="42">
        <v>144</v>
      </c>
      <c r="Z34" s="44" t="s">
        <v>122</v>
      </c>
      <c r="AA34" s="42">
        <v>19</v>
      </c>
      <c r="AB34" s="43" t="s">
        <v>125</v>
      </c>
      <c r="AC34" s="42" t="s">
        <v>201</v>
      </c>
      <c r="AD34" s="43" t="s">
        <v>119</v>
      </c>
      <c r="AE34" s="42">
        <v>12</v>
      </c>
      <c r="AF34" s="43" t="s">
        <v>826</v>
      </c>
      <c r="AG34" s="68" t="s">
        <v>127</v>
      </c>
      <c r="AH34" s="44" t="s">
        <v>112</v>
      </c>
      <c r="AI34" s="68" t="s">
        <v>126</v>
      </c>
      <c r="AJ34" s="44" t="s">
        <v>114</v>
      </c>
      <c r="AK34" s="45" t="s">
        <v>123</v>
      </c>
      <c r="AL34" s="52" t="s">
        <v>250</v>
      </c>
      <c r="AM34" s="53" t="s">
        <v>834</v>
      </c>
      <c r="AN34" s="55" t="s">
        <v>251</v>
      </c>
      <c r="AO34" s="53" t="s">
        <v>836</v>
      </c>
      <c r="AP34" s="55" t="s">
        <v>827</v>
      </c>
      <c r="AQ34" s="53" t="s">
        <v>828</v>
      </c>
    </row>
    <row r="35" spans="1:43" ht="7.5" customHeight="1" x14ac:dyDescent="0.4">
      <c r="A35" s="16">
        <v>35</v>
      </c>
      <c r="B35" s="38" t="str">
        <f t="shared" ref="B35:B57" si="1">SUBSTITUTE(_xlfn.CONCAT("VAL.", G35,".", IF(K35&lt;100, _xlfn.CONCAT("00", K35), IF(K35&lt;1000, _xlfn.CONCAT("0", K35), K35)),".",M35),"""","")</f>
        <v>VAL.EURO21.0080.10</v>
      </c>
      <c r="C35" s="50" t="s">
        <v>463</v>
      </c>
      <c r="D35" s="54" t="s">
        <v>134</v>
      </c>
      <c r="E35" s="69" t="s">
        <v>520</v>
      </c>
      <c r="F35" s="52" t="s">
        <v>248</v>
      </c>
      <c r="G35" s="53" t="s">
        <v>485</v>
      </c>
      <c r="H35" s="52" t="s">
        <v>132</v>
      </c>
      <c r="I35" s="53" t="s">
        <v>133</v>
      </c>
      <c r="J35" s="52" t="s">
        <v>108</v>
      </c>
      <c r="K35" s="45">
        <v>80</v>
      </c>
      <c r="L35" s="44" t="s">
        <v>118</v>
      </c>
      <c r="M35" s="45">
        <v>10</v>
      </c>
      <c r="N35" s="44" t="s">
        <v>121</v>
      </c>
      <c r="O35" s="42">
        <v>280</v>
      </c>
      <c r="P35" s="44" t="s">
        <v>124</v>
      </c>
      <c r="Q35" s="42">
        <v>275</v>
      </c>
      <c r="R35" s="43" t="s">
        <v>120</v>
      </c>
      <c r="S35" s="42">
        <v>395</v>
      </c>
      <c r="T35" s="43" t="s">
        <v>825</v>
      </c>
      <c r="U35" s="42">
        <v>200</v>
      </c>
      <c r="V35" s="43" t="s">
        <v>246</v>
      </c>
      <c r="W35" s="42">
        <v>105</v>
      </c>
      <c r="X35" s="44" t="s">
        <v>247</v>
      </c>
      <c r="Y35" s="42">
        <v>174</v>
      </c>
      <c r="Z35" s="44" t="s">
        <v>122</v>
      </c>
      <c r="AA35" s="42">
        <v>19</v>
      </c>
      <c r="AB35" s="43" t="s">
        <v>125</v>
      </c>
      <c r="AC35" s="42">
        <v>17</v>
      </c>
      <c r="AD35" s="43" t="s">
        <v>119</v>
      </c>
      <c r="AE35" s="42" t="s">
        <v>166</v>
      </c>
      <c r="AF35" s="43" t="s">
        <v>826</v>
      </c>
      <c r="AG35" s="68" t="s">
        <v>127</v>
      </c>
      <c r="AH35" s="44" t="s">
        <v>112</v>
      </c>
      <c r="AI35" s="68" t="s">
        <v>126</v>
      </c>
      <c r="AJ35" s="44" t="s">
        <v>114</v>
      </c>
      <c r="AK35" s="45" t="s">
        <v>123</v>
      </c>
      <c r="AL35" s="52" t="s">
        <v>250</v>
      </c>
      <c r="AM35" s="53" t="s">
        <v>834</v>
      </c>
      <c r="AN35" s="55" t="s">
        <v>251</v>
      </c>
      <c r="AO35" s="53" t="s">
        <v>836</v>
      </c>
      <c r="AP35" s="55" t="s">
        <v>827</v>
      </c>
      <c r="AQ35" s="53" t="s">
        <v>828</v>
      </c>
    </row>
    <row r="36" spans="1:43" ht="7.5" customHeight="1" x14ac:dyDescent="0.4">
      <c r="A36" s="16">
        <v>36</v>
      </c>
      <c r="B36" s="38" t="str">
        <f t="shared" si="1"/>
        <v>VAL.EURO21.0100.10</v>
      </c>
      <c r="C36" s="50" t="s">
        <v>463</v>
      </c>
      <c r="D36" s="54" t="s">
        <v>134</v>
      </c>
      <c r="E36" s="69" t="s">
        <v>520</v>
      </c>
      <c r="F36" s="52" t="s">
        <v>248</v>
      </c>
      <c r="G36" s="53" t="s">
        <v>485</v>
      </c>
      <c r="H36" s="52" t="s">
        <v>132</v>
      </c>
      <c r="I36" s="53" t="s">
        <v>133</v>
      </c>
      <c r="J36" s="52" t="s">
        <v>108</v>
      </c>
      <c r="K36" s="45">
        <v>100</v>
      </c>
      <c r="L36" s="44" t="s">
        <v>118</v>
      </c>
      <c r="M36" s="45">
        <v>10</v>
      </c>
      <c r="N36" s="44" t="s">
        <v>121</v>
      </c>
      <c r="O36" s="42">
        <v>300</v>
      </c>
      <c r="P36" s="44" t="s">
        <v>124</v>
      </c>
      <c r="Q36" s="42">
        <v>323</v>
      </c>
      <c r="R36" s="43" t="s">
        <v>120</v>
      </c>
      <c r="S36" s="42">
        <v>456</v>
      </c>
      <c r="T36" s="43" t="s">
        <v>825</v>
      </c>
      <c r="U36" s="42">
        <v>225</v>
      </c>
      <c r="V36" s="43" t="s">
        <v>246</v>
      </c>
      <c r="W36" s="42">
        <v>111</v>
      </c>
      <c r="X36" s="44" t="s">
        <v>247</v>
      </c>
      <c r="Y36" s="42">
        <v>194</v>
      </c>
      <c r="Z36" s="44" t="s">
        <v>122</v>
      </c>
      <c r="AA36" s="42">
        <v>19</v>
      </c>
      <c r="AB36" s="43" t="s">
        <v>125</v>
      </c>
      <c r="AC36" s="42">
        <v>23</v>
      </c>
      <c r="AD36" s="43" t="s">
        <v>119</v>
      </c>
      <c r="AE36" s="42" t="s">
        <v>167</v>
      </c>
      <c r="AF36" s="43" t="s">
        <v>826</v>
      </c>
      <c r="AG36" s="68" t="s">
        <v>127</v>
      </c>
      <c r="AH36" s="44" t="s">
        <v>112</v>
      </c>
      <c r="AI36" s="68" t="s">
        <v>126</v>
      </c>
      <c r="AJ36" s="44" t="s">
        <v>114</v>
      </c>
      <c r="AK36" s="45" t="s">
        <v>123</v>
      </c>
      <c r="AL36" s="52" t="s">
        <v>250</v>
      </c>
      <c r="AM36" s="53" t="s">
        <v>834</v>
      </c>
      <c r="AN36" s="55" t="s">
        <v>251</v>
      </c>
      <c r="AO36" s="53" t="s">
        <v>836</v>
      </c>
      <c r="AP36" s="55" t="s">
        <v>827</v>
      </c>
      <c r="AQ36" s="53" t="s">
        <v>828</v>
      </c>
    </row>
    <row r="37" spans="1:43" ht="7.5" customHeight="1" x14ac:dyDescent="0.4">
      <c r="A37" s="16">
        <v>37</v>
      </c>
      <c r="B37" s="38" t="str">
        <f t="shared" si="1"/>
        <v>VAL.EURO21.0150.10</v>
      </c>
      <c r="C37" s="50" t="s">
        <v>463</v>
      </c>
      <c r="D37" s="54" t="s">
        <v>134</v>
      </c>
      <c r="E37" s="69" t="s">
        <v>520</v>
      </c>
      <c r="F37" s="52" t="s">
        <v>248</v>
      </c>
      <c r="G37" s="53" t="s">
        <v>485</v>
      </c>
      <c r="H37" s="52" t="s">
        <v>132</v>
      </c>
      <c r="I37" s="53" t="s">
        <v>133</v>
      </c>
      <c r="J37" s="52" t="s">
        <v>108</v>
      </c>
      <c r="K37" s="45">
        <v>150</v>
      </c>
      <c r="L37" s="44" t="s">
        <v>118</v>
      </c>
      <c r="M37" s="45">
        <v>10</v>
      </c>
      <c r="N37" s="44" t="s">
        <v>121</v>
      </c>
      <c r="O37" s="42">
        <v>350</v>
      </c>
      <c r="P37" s="44" t="s">
        <v>124</v>
      </c>
      <c r="Q37" s="42">
        <v>410</v>
      </c>
      <c r="R37" s="43" t="s">
        <v>120</v>
      </c>
      <c r="S37" s="42">
        <v>573</v>
      </c>
      <c r="T37" s="43" t="s">
        <v>825</v>
      </c>
      <c r="U37" s="42">
        <v>285</v>
      </c>
      <c r="V37" s="43" t="s">
        <v>246</v>
      </c>
      <c r="W37" s="42">
        <v>136</v>
      </c>
      <c r="X37" s="44" t="s">
        <v>247</v>
      </c>
      <c r="Y37" s="42">
        <v>257</v>
      </c>
      <c r="Z37" s="44" t="s">
        <v>122</v>
      </c>
      <c r="AA37" s="42">
        <v>19</v>
      </c>
      <c r="AB37" s="43" t="s">
        <v>125</v>
      </c>
      <c r="AC37" s="42">
        <v>32</v>
      </c>
      <c r="AD37" s="43" t="s">
        <v>119</v>
      </c>
      <c r="AE37" s="42" t="s">
        <v>168</v>
      </c>
      <c r="AF37" s="43" t="s">
        <v>826</v>
      </c>
      <c r="AG37" s="68" t="s">
        <v>127</v>
      </c>
      <c r="AH37" s="44" t="s">
        <v>112</v>
      </c>
      <c r="AI37" s="68" t="s">
        <v>126</v>
      </c>
      <c r="AJ37" s="44" t="s">
        <v>114</v>
      </c>
      <c r="AK37" s="45" t="s">
        <v>123</v>
      </c>
      <c r="AL37" s="52" t="s">
        <v>250</v>
      </c>
      <c r="AM37" s="53" t="s">
        <v>834</v>
      </c>
      <c r="AN37" s="55" t="s">
        <v>251</v>
      </c>
      <c r="AO37" s="53" t="s">
        <v>836</v>
      </c>
      <c r="AP37" s="55" t="s">
        <v>827</v>
      </c>
      <c r="AQ37" s="53" t="s">
        <v>828</v>
      </c>
    </row>
    <row r="38" spans="1:43" ht="7.5" customHeight="1" x14ac:dyDescent="0.4">
      <c r="A38" s="16">
        <v>38</v>
      </c>
      <c r="B38" s="38" t="str">
        <f t="shared" si="1"/>
        <v>VAL.EURO21.0200.10</v>
      </c>
      <c r="C38" s="50" t="s">
        <v>463</v>
      </c>
      <c r="D38" s="54" t="s">
        <v>134</v>
      </c>
      <c r="E38" s="69" t="s">
        <v>520</v>
      </c>
      <c r="F38" s="52" t="s">
        <v>248</v>
      </c>
      <c r="G38" s="53" t="s">
        <v>485</v>
      </c>
      <c r="H38" s="52" t="s">
        <v>132</v>
      </c>
      <c r="I38" s="53" t="s">
        <v>133</v>
      </c>
      <c r="J38" s="52" t="s">
        <v>108</v>
      </c>
      <c r="K38" s="45">
        <v>200</v>
      </c>
      <c r="L38" s="44" t="s">
        <v>118</v>
      </c>
      <c r="M38" s="45">
        <v>10</v>
      </c>
      <c r="N38" s="44" t="s">
        <v>121</v>
      </c>
      <c r="O38" s="42">
        <v>400</v>
      </c>
      <c r="P38" s="44" t="s">
        <v>124</v>
      </c>
      <c r="Q38" s="42">
        <v>515</v>
      </c>
      <c r="R38" s="43" t="s">
        <v>120</v>
      </c>
      <c r="S38" s="42">
        <v>745</v>
      </c>
      <c r="T38" s="43" t="s">
        <v>825</v>
      </c>
      <c r="U38" s="42">
        <v>340</v>
      </c>
      <c r="V38" s="43" t="s">
        <v>246</v>
      </c>
      <c r="W38" s="42">
        <v>266</v>
      </c>
      <c r="X38" s="44" t="s">
        <v>247</v>
      </c>
      <c r="Y38" s="42">
        <v>382</v>
      </c>
      <c r="Z38" s="44" t="s">
        <v>122</v>
      </c>
      <c r="AA38" s="42">
        <v>20</v>
      </c>
      <c r="AB38" s="43" t="s">
        <v>125</v>
      </c>
      <c r="AC38" s="42">
        <v>33</v>
      </c>
      <c r="AD38" s="43" t="s">
        <v>119</v>
      </c>
      <c r="AE38" s="42">
        <v>75</v>
      </c>
      <c r="AF38" s="43" t="s">
        <v>826</v>
      </c>
      <c r="AG38" s="68" t="s">
        <v>127</v>
      </c>
      <c r="AH38" s="44" t="s">
        <v>112</v>
      </c>
      <c r="AI38" s="68" t="s">
        <v>126</v>
      </c>
      <c r="AJ38" s="44" t="s">
        <v>114</v>
      </c>
      <c r="AK38" s="45" t="s">
        <v>123</v>
      </c>
      <c r="AL38" s="52" t="s">
        <v>250</v>
      </c>
      <c r="AM38" s="53" t="s">
        <v>834</v>
      </c>
      <c r="AN38" s="55" t="s">
        <v>251</v>
      </c>
      <c r="AO38" s="53" t="s">
        <v>836</v>
      </c>
      <c r="AP38" s="55" t="s">
        <v>827</v>
      </c>
      <c r="AQ38" s="53" t="s">
        <v>828</v>
      </c>
    </row>
    <row r="39" spans="1:43" ht="7.5" customHeight="1" x14ac:dyDescent="0.4">
      <c r="A39" s="16">
        <v>39</v>
      </c>
      <c r="B39" s="38" t="str">
        <f t="shared" si="1"/>
        <v>VAL.EURO21.0250.10</v>
      </c>
      <c r="C39" s="50" t="s">
        <v>463</v>
      </c>
      <c r="D39" s="54" t="s">
        <v>134</v>
      </c>
      <c r="E39" s="69" t="s">
        <v>520</v>
      </c>
      <c r="F39" s="52" t="s">
        <v>248</v>
      </c>
      <c r="G39" s="53" t="s">
        <v>485</v>
      </c>
      <c r="H39" s="52" t="s">
        <v>132</v>
      </c>
      <c r="I39" s="53" t="s">
        <v>133</v>
      </c>
      <c r="J39" s="52" t="s">
        <v>108</v>
      </c>
      <c r="K39" s="45">
        <v>250</v>
      </c>
      <c r="L39" s="44" t="s">
        <v>118</v>
      </c>
      <c r="M39" s="45">
        <v>10</v>
      </c>
      <c r="N39" s="44" t="s">
        <v>121</v>
      </c>
      <c r="O39" s="42">
        <v>450</v>
      </c>
      <c r="P39" s="44" t="s">
        <v>124</v>
      </c>
      <c r="Q39" s="42">
        <v>595</v>
      </c>
      <c r="R39" s="43" t="s">
        <v>120</v>
      </c>
      <c r="S39" s="42">
        <v>855</v>
      </c>
      <c r="T39" s="43" t="s">
        <v>825</v>
      </c>
      <c r="U39" s="42">
        <v>400</v>
      </c>
      <c r="V39" s="43" t="s">
        <v>246</v>
      </c>
      <c r="W39" s="42">
        <v>285</v>
      </c>
      <c r="X39" s="44" t="s">
        <v>247</v>
      </c>
      <c r="Y39" s="42">
        <v>470</v>
      </c>
      <c r="Z39" s="44" t="s">
        <v>122</v>
      </c>
      <c r="AA39" s="42">
        <v>22</v>
      </c>
      <c r="AB39" s="43" t="s">
        <v>125</v>
      </c>
      <c r="AC39" s="42" t="s">
        <v>202</v>
      </c>
      <c r="AD39" s="43" t="s">
        <v>119</v>
      </c>
      <c r="AE39" s="42">
        <v>121</v>
      </c>
      <c r="AF39" s="43" t="s">
        <v>826</v>
      </c>
      <c r="AG39" s="68" t="s">
        <v>127</v>
      </c>
      <c r="AH39" s="44" t="s">
        <v>112</v>
      </c>
      <c r="AI39" s="68" t="s">
        <v>126</v>
      </c>
      <c r="AJ39" s="44" t="s">
        <v>114</v>
      </c>
      <c r="AK39" s="45" t="s">
        <v>123</v>
      </c>
      <c r="AL39" s="52" t="s">
        <v>250</v>
      </c>
      <c r="AM39" s="53" t="s">
        <v>834</v>
      </c>
      <c r="AN39" s="55" t="s">
        <v>251</v>
      </c>
      <c r="AO39" s="53" t="s">
        <v>836</v>
      </c>
      <c r="AP39" s="55" t="s">
        <v>827</v>
      </c>
      <c r="AQ39" s="53" t="s">
        <v>828</v>
      </c>
    </row>
    <row r="40" spans="1:43" ht="7.5" customHeight="1" x14ac:dyDescent="0.4">
      <c r="A40" s="16">
        <v>40</v>
      </c>
      <c r="B40" s="38" t="str">
        <f t="shared" si="1"/>
        <v>VAL.EURO21.0300.10</v>
      </c>
      <c r="C40" s="50" t="s">
        <v>463</v>
      </c>
      <c r="D40" s="54" t="s">
        <v>134</v>
      </c>
      <c r="E40" s="69" t="s">
        <v>520</v>
      </c>
      <c r="F40" s="52" t="s">
        <v>248</v>
      </c>
      <c r="G40" s="53" t="s">
        <v>485</v>
      </c>
      <c r="H40" s="52" t="s">
        <v>132</v>
      </c>
      <c r="I40" s="53" t="s">
        <v>133</v>
      </c>
      <c r="J40" s="52" t="s">
        <v>108</v>
      </c>
      <c r="K40" s="45">
        <v>300</v>
      </c>
      <c r="L40" s="44" t="s">
        <v>118</v>
      </c>
      <c r="M40" s="45">
        <v>10</v>
      </c>
      <c r="N40" s="44" t="s">
        <v>121</v>
      </c>
      <c r="O40" s="42">
        <v>500</v>
      </c>
      <c r="P40" s="44" t="s">
        <v>124</v>
      </c>
      <c r="Q40" s="42">
        <v>705</v>
      </c>
      <c r="R40" s="43" t="s">
        <v>120</v>
      </c>
      <c r="S40" s="42">
        <v>1010</v>
      </c>
      <c r="T40" s="43" t="s">
        <v>825</v>
      </c>
      <c r="U40" s="42">
        <v>455</v>
      </c>
      <c r="V40" s="43" t="s">
        <v>246</v>
      </c>
      <c r="W40" s="42">
        <v>305</v>
      </c>
      <c r="X40" s="44" t="s">
        <v>247</v>
      </c>
      <c r="Y40" s="42">
        <v>538</v>
      </c>
      <c r="Z40" s="44" t="s">
        <v>122</v>
      </c>
      <c r="AA40" s="42" t="s">
        <v>226</v>
      </c>
      <c r="AB40" s="43" t="s">
        <v>125</v>
      </c>
      <c r="AC40" s="42">
        <v>50</v>
      </c>
      <c r="AD40" s="43" t="s">
        <v>119</v>
      </c>
      <c r="AE40" s="42">
        <v>174</v>
      </c>
      <c r="AF40" s="43" t="s">
        <v>826</v>
      </c>
      <c r="AG40" s="68" t="s">
        <v>127</v>
      </c>
      <c r="AH40" s="44" t="s">
        <v>112</v>
      </c>
      <c r="AI40" s="68" t="s">
        <v>126</v>
      </c>
      <c r="AJ40" s="44" t="s">
        <v>114</v>
      </c>
      <c r="AK40" s="45" t="s">
        <v>123</v>
      </c>
      <c r="AL40" s="52" t="s">
        <v>250</v>
      </c>
      <c r="AM40" s="53" t="s">
        <v>834</v>
      </c>
      <c r="AN40" s="55" t="s">
        <v>251</v>
      </c>
      <c r="AO40" s="53" t="s">
        <v>836</v>
      </c>
      <c r="AP40" s="55" t="s">
        <v>827</v>
      </c>
      <c r="AQ40" s="53" t="s">
        <v>828</v>
      </c>
    </row>
    <row r="41" spans="1:43" ht="7.5" customHeight="1" x14ac:dyDescent="0.4">
      <c r="A41" s="16">
        <v>41</v>
      </c>
      <c r="B41" s="38" t="str">
        <f t="shared" si="1"/>
        <v>VAL.EURO21.0050.16</v>
      </c>
      <c r="C41" s="50" t="s">
        <v>463</v>
      </c>
      <c r="D41" s="54" t="s">
        <v>134</v>
      </c>
      <c r="E41" s="69" t="s">
        <v>520</v>
      </c>
      <c r="F41" s="52" t="s">
        <v>248</v>
      </c>
      <c r="G41" s="53" t="s">
        <v>485</v>
      </c>
      <c r="H41" s="52" t="s">
        <v>132</v>
      </c>
      <c r="I41" s="53" t="s">
        <v>133</v>
      </c>
      <c r="J41" s="52" t="s">
        <v>108</v>
      </c>
      <c r="K41" s="45">
        <v>50</v>
      </c>
      <c r="L41" s="44" t="s">
        <v>118</v>
      </c>
      <c r="M41" s="45">
        <v>16</v>
      </c>
      <c r="N41" s="44" t="s">
        <v>121</v>
      </c>
      <c r="O41" s="42">
        <v>250</v>
      </c>
      <c r="P41" s="44" t="s">
        <v>124</v>
      </c>
      <c r="Q41" s="42">
        <v>222</v>
      </c>
      <c r="R41" s="43" t="s">
        <v>120</v>
      </c>
      <c r="S41" s="42">
        <v>335</v>
      </c>
      <c r="T41" s="43" t="s">
        <v>825</v>
      </c>
      <c r="U41" s="42">
        <v>165</v>
      </c>
      <c r="V41" s="43" t="s">
        <v>246</v>
      </c>
      <c r="W41" s="42">
        <v>95</v>
      </c>
      <c r="X41" s="44" t="s">
        <v>247</v>
      </c>
      <c r="Y41" s="42">
        <v>144</v>
      </c>
      <c r="Z41" s="44" t="s">
        <v>122</v>
      </c>
      <c r="AA41" s="42">
        <v>19</v>
      </c>
      <c r="AB41" s="43" t="s">
        <v>125</v>
      </c>
      <c r="AC41" s="42" t="s">
        <v>201</v>
      </c>
      <c r="AD41" s="43" t="s">
        <v>119</v>
      </c>
      <c r="AE41" s="42">
        <v>12</v>
      </c>
      <c r="AF41" s="43" t="s">
        <v>826</v>
      </c>
      <c r="AG41" s="68" t="s">
        <v>127</v>
      </c>
      <c r="AH41" s="44" t="s">
        <v>112</v>
      </c>
      <c r="AI41" s="68" t="s">
        <v>126</v>
      </c>
      <c r="AJ41" s="44" t="s">
        <v>114</v>
      </c>
      <c r="AK41" s="45" t="s">
        <v>123</v>
      </c>
      <c r="AL41" s="52" t="s">
        <v>250</v>
      </c>
      <c r="AM41" s="53" t="s">
        <v>834</v>
      </c>
      <c r="AN41" s="55" t="s">
        <v>251</v>
      </c>
      <c r="AO41" s="53" t="s">
        <v>836</v>
      </c>
      <c r="AP41" s="55" t="s">
        <v>827</v>
      </c>
      <c r="AQ41" s="53" t="s">
        <v>828</v>
      </c>
    </row>
    <row r="42" spans="1:43" ht="7.5" customHeight="1" x14ac:dyDescent="0.4">
      <c r="A42" s="16">
        <v>42</v>
      </c>
      <c r="B42" s="38" t="str">
        <f t="shared" si="1"/>
        <v>VAL.EURO21.0080.16</v>
      </c>
      <c r="C42" s="50" t="s">
        <v>463</v>
      </c>
      <c r="D42" s="54" t="s">
        <v>134</v>
      </c>
      <c r="E42" s="69" t="s">
        <v>520</v>
      </c>
      <c r="F42" s="52" t="s">
        <v>248</v>
      </c>
      <c r="G42" s="53" t="s">
        <v>485</v>
      </c>
      <c r="H42" s="52" t="s">
        <v>132</v>
      </c>
      <c r="I42" s="53" t="s">
        <v>133</v>
      </c>
      <c r="J42" s="52" t="s">
        <v>108</v>
      </c>
      <c r="K42" s="45">
        <v>80</v>
      </c>
      <c r="L42" s="44" t="s">
        <v>118</v>
      </c>
      <c r="M42" s="45">
        <v>16</v>
      </c>
      <c r="N42" s="44" t="s">
        <v>121</v>
      </c>
      <c r="O42" s="42">
        <v>280</v>
      </c>
      <c r="P42" s="44" t="s">
        <v>124</v>
      </c>
      <c r="Q42" s="42">
        <v>275</v>
      </c>
      <c r="R42" s="43" t="s">
        <v>120</v>
      </c>
      <c r="S42" s="42">
        <v>395</v>
      </c>
      <c r="T42" s="43" t="s">
        <v>825</v>
      </c>
      <c r="U42" s="42">
        <v>200</v>
      </c>
      <c r="V42" s="43" t="s">
        <v>246</v>
      </c>
      <c r="W42" s="42">
        <v>105</v>
      </c>
      <c r="X42" s="44" t="s">
        <v>247</v>
      </c>
      <c r="Y42" s="42">
        <v>174</v>
      </c>
      <c r="Z42" s="44" t="s">
        <v>122</v>
      </c>
      <c r="AA42" s="42">
        <v>19</v>
      </c>
      <c r="AB42" s="43" t="s">
        <v>125</v>
      </c>
      <c r="AC42" s="42">
        <v>17</v>
      </c>
      <c r="AD42" s="43" t="s">
        <v>119</v>
      </c>
      <c r="AE42" s="42" t="s">
        <v>166</v>
      </c>
      <c r="AF42" s="43" t="s">
        <v>826</v>
      </c>
      <c r="AG42" s="68" t="s">
        <v>127</v>
      </c>
      <c r="AH42" s="44" t="s">
        <v>112</v>
      </c>
      <c r="AI42" s="68" t="s">
        <v>126</v>
      </c>
      <c r="AJ42" s="44" t="s">
        <v>114</v>
      </c>
      <c r="AK42" s="45" t="s">
        <v>123</v>
      </c>
      <c r="AL42" s="52" t="s">
        <v>250</v>
      </c>
      <c r="AM42" s="53" t="s">
        <v>834</v>
      </c>
      <c r="AN42" s="55" t="s">
        <v>251</v>
      </c>
      <c r="AO42" s="53" t="s">
        <v>836</v>
      </c>
      <c r="AP42" s="55" t="s">
        <v>827</v>
      </c>
      <c r="AQ42" s="53" t="s">
        <v>828</v>
      </c>
    </row>
    <row r="43" spans="1:43" ht="7.5" customHeight="1" x14ac:dyDescent="0.4">
      <c r="A43" s="16">
        <v>43</v>
      </c>
      <c r="B43" s="38" t="str">
        <f t="shared" si="1"/>
        <v>VAL.EURO21.0100.16</v>
      </c>
      <c r="C43" s="50" t="s">
        <v>463</v>
      </c>
      <c r="D43" s="54" t="s">
        <v>134</v>
      </c>
      <c r="E43" s="69" t="s">
        <v>520</v>
      </c>
      <c r="F43" s="52" t="s">
        <v>248</v>
      </c>
      <c r="G43" s="53" t="s">
        <v>485</v>
      </c>
      <c r="H43" s="52" t="s">
        <v>132</v>
      </c>
      <c r="I43" s="53" t="s">
        <v>133</v>
      </c>
      <c r="J43" s="52" t="s">
        <v>108</v>
      </c>
      <c r="K43" s="45">
        <v>100</v>
      </c>
      <c r="L43" s="44" t="s">
        <v>118</v>
      </c>
      <c r="M43" s="45">
        <v>16</v>
      </c>
      <c r="N43" s="44" t="s">
        <v>121</v>
      </c>
      <c r="O43" s="42">
        <v>300</v>
      </c>
      <c r="P43" s="44" t="s">
        <v>124</v>
      </c>
      <c r="Q43" s="42">
        <v>323</v>
      </c>
      <c r="R43" s="43" t="s">
        <v>120</v>
      </c>
      <c r="S43" s="42">
        <v>456</v>
      </c>
      <c r="T43" s="43" t="s">
        <v>825</v>
      </c>
      <c r="U43" s="42">
        <v>225</v>
      </c>
      <c r="V43" s="43" t="s">
        <v>246</v>
      </c>
      <c r="W43" s="42">
        <v>111</v>
      </c>
      <c r="X43" s="44" t="s">
        <v>247</v>
      </c>
      <c r="Y43" s="42">
        <v>194</v>
      </c>
      <c r="Z43" s="44" t="s">
        <v>122</v>
      </c>
      <c r="AA43" s="42">
        <v>19</v>
      </c>
      <c r="AB43" s="43" t="s">
        <v>125</v>
      </c>
      <c r="AC43" s="42">
        <v>23</v>
      </c>
      <c r="AD43" s="43" t="s">
        <v>119</v>
      </c>
      <c r="AE43" s="42" t="s">
        <v>167</v>
      </c>
      <c r="AF43" s="43" t="s">
        <v>826</v>
      </c>
      <c r="AG43" s="68" t="s">
        <v>127</v>
      </c>
      <c r="AH43" s="44" t="s">
        <v>112</v>
      </c>
      <c r="AI43" s="68" t="s">
        <v>126</v>
      </c>
      <c r="AJ43" s="44" t="s">
        <v>114</v>
      </c>
      <c r="AK43" s="45" t="s">
        <v>123</v>
      </c>
      <c r="AL43" s="52" t="s">
        <v>250</v>
      </c>
      <c r="AM43" s="53" t="s">
        <v>834</v>
      </c>
      <c r="AN43" s="55" t="s">
        <v>251</v>
      </c>
      <c r="AO43" s="53" t="s">
        <v>836</v>
      </c>
      <c r="AP43" s="55" t="s">
        <v>827</v>
      </c>
      <c r="AQ43" s="53" t="s">
        <v>828</v>
      </c>
    </row>
    <row r="44" spans="1:43" ht="7.5" customHeight="1" x14ac:dyDescent="0.4">
      <c r="A44" s="16">
        <v>44</v>
      </c>
      <c r="B44" s="38" t="str">
        <f t="shared" si="1"/>
        <v>VAL.EURO21.0150.16</v>
      </c>
      <c r="C44" s="50" t="s">
        <v>463</v>
      </c>
      <c r="D44" s="54" t="s">
        <v>134</v>
      </c>
      <c r="E44" s="69" t="s">
        <v>520</v>
      </c>
      <c r="F44" s="52" t="s">
        <v>248</v>
      </c>
      <c r="G44" s="53" t="s">
        <v>485</v>
      </c>
      <c r="H44" s="52" t="s">
        <v>132</v>
      </c>
      <c r="I44" s="53" t="s">
        <v>133</v>
      </c>
      <c r="J44" s="52" t="s">
        <v>108</v>
      </c>
      <c r="K44" s="45">
        <v>150</v>
      </c>
      <c r="L44" s="44" t="s">
        <v>118</v>
      </c>
      <c r="M44" s="45">
        <v>16</v>
      </c>
      <c r="N44" s="44" t="s">
        <v>121</v>
      </c>
      <c r="O44" s="42">
        <v>350</v>
      </c>
      <c r="P44" s="44" t="s">
        <v>124</v>
      </c>
      <c r="Q44" s="42">
        <v>410</v>
      </c>
      <c r="R44" s="43" t="s">
        <v>120</v>
      </c>
      <c r="S44" s="42">
        <v>573</v>
      </c>
      <c r="T44" s="43" t="s">
        <v>825</v>
      </c>
      <c r="U44" s="42">
        <v>285</v>
      </c>
      <c r="V44" s="43" t="s">
        <v>246</v>
      </c>
      <c r="W44" s="42">
        <v>136</v>
      </c>
      <c r="X44" s="44" t="s">
        <v>247</v>
      </c>
      <c r="Y44" s="42">
        <v>257</v>
      </c>
      <c r="Z44" s="44" t="s">
        <v>122</v>
      </c>
      <c r="AA44" s="42">
        <v>19</v>
      </c>
      <c r="AB44" s="43" t="s">
        <v>125</v>
      </c>
      <c r="AC44" s="42">
        <v>32</v>
      </c>
      <c r="AD44" s="43" t="s">
        <v>119</v>
      </c>
      <c r="AE44" s="42" t="s">
        <v>168</v>
      </c>
      <c r="AF44" s="43" t="s">
        <v>826</v>
      </c>
      <c r="AG44" s="68" t="s">
        <v>127</v>
      </c>
      <c r="AH44" s="44" t="s">
        <v>112</v>
      </c>
      <c r="AI44" s="68" t="s">
        <v>126</v>
      </c>
      <c r="AJ44" s="44" t="s">
        <v>114</v>
      </c>
      <c r="AK44" s="45" t="s">
        <v>123</v>
      </c>
      <c r="AL44" s="52" t="s">
        <v>250</v>
      </c>
      <c r="AM44" s="53" t="s">
        <v>834</v>
      </c>
      <c r="AN44" s="55" t="s">
        <v>251</v>
      </c>
      <c r="AO44" s="53" t="s">
        <v>836</v>
      </c>
      <c r="AP44" s="55" t="s">
        <v>827</v>
      </c>
      <c r="AQ44" s="53" t="s">
        <v>828</v>
      </c>
    </row>
    <row r="45" spans="1:43" ht="7.5" customHeight="1" x14ac:dyDescent="0.4">
      <c r="A45" s="16">
        <v>45</v>
      </c>
      <c r="B45" s="38" t="str">
        <f t="shared" si="1"/>
        <v>VAL.EURO21.0200.16</v>
      </c>
      <c r="C45" s="50" t="s">
        <v>463</v>
      </c>
      <c r="D45" s="54" t="s">
        <v>134</v>
      </c>
      <c r="E45" s="69" t="s">
        <v>520</v>
      </c>
      <c r="F45" s="52" t="s">
        <v>248</v>
      </c>
      <c r="G45" s="53" t="s">
        <v>485</v>
      </c>
      <c r="H45" s="52" t="s">
        <v>132</v>
      </c>
      <c r="I45" s="53" t="s">
        <v>133</v>
      </c>
      <c r="J45" s="52" t="s">
        <v>108</v>
      </c>
      <c r="K45" s="45">
        <v>200</v>
      </c>
      <c r="L45" s="44" t="s">
        <v>118</v>
      </c>
      <c r="M45" s="45">
        <v>16</v>
      </c>
      <c r="N45" s="44" t="s">
        <v>121</v>
      </c>
      <c r="O45" s="42">
        <v>400</v>
      </c>
      <c r="P45" s="44" t="s">
        <v>124</v>
      </c>
      <c r="Q45" s="42">
        <v>515</v>
      </c>
      <c r="R45" s="43" t="s">
        <v>120</v>
      </c>
      <c r="S45" s="42">
        <v>745</v>
      </c>
      <c r="T45" s="43" t="s">
        <v>825</v>
      </c>
      <c r="U45" s="42">
        <v>340</v>
      </c>
      <c r="V45" s="43" t="s">
        <v>246</v>
      </c>
      <c r="W45" s="42">
        <v>266</v>
      </c>
      <c r="X45" s="44" t="s">
        <v>247</v>
      </c>
      <c r="Y45" s="42">
        <v>382</v>
      </c>
      <c r="Z45" s="44" t="s">
        <v>122</v>
      </c>
      <c r="AA45" s="42">
        <v>20</v>
      </c>
      <c r="AB45" s="43" t="s">
        <v>125</v>
      </c>
      <c r="AC45" s="42">
        <v>33</v>
      </c>
      <c r="AD45" s="43" t="s">
        <v>119</v>
      </c>
      <c r="AE45" s="42">
        <v>75</v>
      </c>
      <c r="AF45" s="43" t="s">
        <v>826</v>
      </c>
      <c r="AG45" s="68" t="s">
        <v>127</v>
      </c>
      <c r="AH45" s="44" t="s">
        <v>112</v>
      </c>
      <c r="AI45" s="68" t="s">
        <v>126</v>
      </c>
      <c r="AJ45" s="44" t="s">
        <v>114</v>
      </c>
      <c r="AK45" s="45" t="s">
        <v>123</v>
      </c>
      <c r="AL45" s="52" t="s">
        <v>250</v>
      </c>
      <c r="AM45" s="53" t="s">
        <v>834</v>
      </c>
      <c r="AN45" s="55" t="s">
        <v>251</v>
      </c>
      <c r="AO45" s="53" t="s">
        <v>836</v>
      </c>
      <c r="AP45" s="55" t="s">
        <v>827</v>
      </c>
      <c r="AQ45" s="53" t="s">
        <v>828</v>
      </c>
    </row>
    <row r="46" spans="1:43" ht="7.5" customHeight="1" x14ac:dyDescent="0.4">
      <c r="A46" s="16">
        <v>46</v>
      </c>
      <c r="B46" s="38" t="str">
        <f t="shared" si="1"/>
        <v>VAL.EURO21.0250.16</v>
      </c>
      <c r="C46" s="50" t="s">
        <v>463</v>
      </c>
      <c r="D46" s="54" t="s">
        <v>134</v>
      </c>
      <c r="E46" s="69" t="s">
        <v>520</v>
      </c>
      <c r="F46" s="52" t="s">
        <v>248</v>
      </c>
      <c r="G46" s="53" t="s">
        <v>485</v>
      </c>
      <c r="H46" s="52" t="s">
        <v>132</v>
      </c>
      <c r="I46" s="53" t="s">
        <v>133</v>
      </c>
      <c r="J46" s="52" t="s">
        <v>108</v>
      </c>
      <c r="K46" s="45">
        <v>250</v>
      </c>
      <c r="L46" s="44" t="s">
        <v>118</v>
      </c>
      <c r="M46" s="45">
        <v>16</v>
      </c>
      <c r="N46" s="44" t="s">
        <v>121</v>
      </c>
      <c r="O46" s="42">
        <v>450</v>
      </c>
      <c r="P46" s="44" t="s">
        <v>124</v>
      </c>
      <c r="Q46" s="42">
        <v>595</v>
      </c>
      <c r="R46" s="43" t="s">
        <v>120</v>
      </c>
      <c r="S46" s="42">
        <v>855</v>
      </c>
      <c r="T46" s="43" t="s">
        <v>825</v>
      </c>
      <c r="U46" s="42">
        <v>400</v>
      </c>
      <c r="V46" s="43" t="s">
        <v>246</v>
      </c>
      <c r="W46" s="42">
        <v>285</v>
      </c>
      <c r="X46" s="44" t="s">
        <v>247</v>
      </c>
      <c r="Y46" s="42">
        <v>470</v>
      </c>
      <c r="Z46" s="44" t="s">
        <v>122</v>
      </c>
      <c r="AA46" s="42">
        <v>22</v>
      </c>
      <c r="AB46" s="43" t="s">
        <v>125</v>
      </c>
      <c r="AC46" s="42" t="s">
        <v>202</v>
      </c>
      <c r="AD46" s="43" t="s">
        <v>119</v>
      </c>
      <c r="AE46" s="42">
        <v>121</v>
      </c>
      <c r="AF46" s="43" t="s">
        <v>826</v>
      </c>
      <c r="AG46" s="68" t="s">
        <v>127</v>
      </c>
      <c r="AH46" s="44" t="s">
        <v>112</v>
      </c>
      <c r="AI46" s="68" t="s">
        <v>126</v>
      </c>
      <c r="AJ46" s="44" t="s">
        <v>114</v>
      </c>
      <c r="AK46" s="45" t="s">
        <v>123</v>
      </c>
      <c r="AL46" s="52" t="s">
        <v>250</v>
      </c>
      <c r="AM46" s="53" t="s">
        <v>834</v>
      </c>
      <c r="AN46" s="55" t="s">
        <v>251</v>
      </c>
      <c r="AO46" s="53" t="s">
        <v>836</v>
      </c>
      <c r="AP46" s="55" t="s">
        <v>827</v>
      </c>
      <c r="AQ46" s="53" t="s">
        <v>828</v>
      </c>
    </row>
    <row r="47" spans="1:43" ht="7.5" customHeight="1" x14ac:dyDescent="0.4">
      <c r="A47" s="16">
        <v>47</v>
      </c>
      <c r="B47" s="38" t="str">
        <f t="shared" si="1"/>
        <v>VAL.EURO21.0300.16</v>
      </c>
      <c r="C47" s="50" t="s">
        <v>463</v>
      </c>
      <c r="D47" s="54" t="s">
        <v>134</v>
      </c>
      <c r="E47" s="69" t="s">
        <v>520</v>
      </c>
      <c r="F47" s="52" t="s">
        <v>248</v>
      </c>
      <c r="G47" s="53" t="s">
        <v>485</v>
      </c>
      <c r="H47" s="52" t="s">
        <v>132</v>
      </c>
      <c r="I47" s="53" t="s">
        <v>133</v>
      </c>
      <c r="J47" s="52" t="s">
        <v>108</v>
      </c>
      <c r="K47" s="45">
        <v>300</v>
      </c>
      <c r="L47" s="44" t="s">
        <v>118</v>
      </c>
      <c r="M47" s="45">
        <v>16</v>
      </c>
      <c r="N47" s="44" t="s">
        <v>121</v>
      </c>
      <c r="O47" s="42">
        <v>500</v>
      </c>
      <c r="P47" s="44" t="s">
        <v>124</v>
      </c>
      <c r="Q47" s="42">
        <v>705</v>
      </c>
      <c r="R47" s="43" t="s">
        <v>120</v>
      </c>
      <c r="S47" s="42">
        <v>1010</v>
      </c>
      <c r="T47" s="43" t="s">
        <v>825</v>
      </c>
      <c r="U47" s="42">
        <v>455</v>
      </c>
      <c r="V47" s="43" t="s">
        <v>246</v>
      </c>
      <c r="W47" s="42">
        <v>305</v>
      </c>
      <c r="X47" s="44" t="s">
        <v>247</v>
      </c>
      <c r="Y47" s="42">
        <v>538</v>
      </c>
      <c r="Z47" s="44" t="s">
        <v>122</v>
      </c>
      <c r="AA47" s="42" t="s">
        <v>226</v>
      </c>
      <c r="AB47" s="43" t="s">
        <v>125</v>
      </c>
      <c r="AC47" s="42">
        <v>50</v>
      </c>
      <c r="AD47" s="43" t="s">
        <v>119</v>
      </c>
      <c r="AE47" s="42">
        <v>174</v>
      </c>
      <c r="AF47" s="43" t="s">
        <v>826</v>
      </c>
      <c r="AG47" s="68" t="s">
        <v>127</v>
      </c>
      <c r="AH47" s="44" t="s">
        <v>112</v>
      </c>
      <c r="AI47" s="68" t="s">
        <v>126</v>
      </c>
      <c r="AJ47" s="44" t="s">
        <v>114</v>
      </c>
      <c r="AK47" s="45" t="s">
        <v>123</v>
      </c>
      <c r="AL47" s="52" t="s">
        <v>250</v>
      </c>
      <c r="AM47" s="53" t="s">
        <v>834</v>
      </c>
      <c r="AN47" s="55" t="s">
        <v>251</v>
      </c>
      <c r="AO47" s="53" t="s">
        <v>836</v>
      </c>
      <c r="AP47" s="55" t="s">
        <v>827</v>
      </c>
      <c r="AQ47" s="53" t="s">
        <v>828</v>
      </c>
    </row>
    <row r="48" spans="1:43" ht="7.5" customHeight="1" x14ac:dyDescent="0.4">
      <c r="A48" s="16">
        <v>48</v>
      </c>
      <c r="B48" s="38" t="str">
        <f t="shared" si="1"/>
        <v>VAL.EURO21.0050.25</v>
      </c>
      <c r="C48" s="50" t="s">
        <v>463</v>
      </c>
      <c r="D48" s="54" t="s">
        <v>134</v>
      </c>
      <c r="E48" s="69" t="s">
        <v>520</v>
      </c>
      <c r="F48" s="52" t="s">
        <v>248</v>
      </c>
      <c r="G48" s="53" t="s">
        <v>485</v>
      </c>
      <c r="H48" s="52" t="s">
        <v>132</v>
      </c>
      <c r="I48" s="53" t="s">
        <v>133</v>
      </c>
      <c r="J48" s="52" t="s">
        <v>108</v>
      </c>
      <c r="K48" s="45">
        <v>50</v>
      </c>
      <c r="L48" s="44" t="s">
        <v>118</v>
      </c>
      <c r="M48" s="45">
        <v>25</v>
      </c>
      <c r="N48" s="44" t="s">
        <v>121</v>
      </c>
      <c r="O48" s="42">
        <v>250</v>
      </c>
      <c r="P48" s="44" t="s">
        <v>124</v>
      </c>
      <c r="Q48" s="42">
        <v>222</v>
      </c>
      <c r="R48" s="43" t="s">
        <v>120</v>
      </c>
      <c r="S48" s="42">
        <v>335</v>
      </c>
      <c r="T48" s="43" t="s">
        <v>825</v>
      </c>
      <c r="U48" s="42">
        <v>165</v>
      </c>
      <c r="V48" s="43" t="s">
        <v>246</v>
      </c>
      <c r="W48" s="42">
        <v>95</v>
      </c>
      <c r="X48" s="44" t="s">
        <v>247</v>
      </c>
      <c r="Y48" s="42">
        <v>144</v>
      </c>
      <c r="Z48" s="44" t="s">
        <v>122</v>
      </c>
      <c r="AA48" s="42">
        <v>19</v>
      </c>
      <c r="AB48" s="43" t="s">
        <v>125</v>
      </c>
      <c r="AC48" s="42" t="s">
        <v>201</v>
      </c>
      <c r="AD48" s="43" t="s">
        <v>119</v>
      </c>
      <c r="AE48" s="42">
        <v>12</v>
      </c>
      <c r="AF48" s="43" t="s">
        <v>826</v>
      </c>
      <c r="AG48" s="68" t="s">
        <v>127</v>
      </c>
      <c r="AH48" s="44" t="s">
        <v>112</v>
      </c>
      <c r="AI48" s="68" t="s">
        <v>126</v>
      </c>
      <c r="AJ48" s="44" t="s">
        <v>114</v>
      </c>
      <c r="AK48" s="45" t="s">
        <v>123</v>
      </c>
      <c r="AL48" s="52" t="s">
        <v>250</v>
      </c>
      <c r="AM48" s="53" t="s">
        <v>834</v>
      </c>
      <c r="AN48" s="55" t="s">
        <v>251</v>
      </c>
      <c r="AO48" s="53" t="s">
        <v>836</v>
      </c>
      <c r="AP48" s="55" t="s">
        <v>827</v>
      </c>
      <c r="AQ48" s="53" t="s">
        <v>828</v>
      </c>
    </row>
    <row r="49" spans="1:43" ht="7.5" customHeight="1" x14ac:dyDescent="0.4">
      <c r="A49" s="16">
        <v>49</v>
      </c>
      <c r="B49" s="38" t="str">
        <f t="shared" si="1"/>
        <v>VAL.EURO21.0080.25</v>
      </c>
      <c r="C49" s="50" t="s">
        <v>463</v>
      </c>
      <c r="D49" s="54" t="s">
        <v>134</v>
      </c>
      <c r="E49" s="69" t="s">
        <v>520</v>
      </c>
      <c r="F49" s="52" t="s">
        <v>248</v>
      </c>
      <c r="G49" s="53" t="s">
        <v>485</v>
      </c>
      <c r="H49" s="52" t="s">
        <v>132</v>
      </c>
      <c r="I49" s="53" t="s">
        <v>133</v>
      </c>
      <c r="J49" s="52" t="s">
        <v>108</v>
      </c>
      <c r="K49" s="45">
        <v>80</v>
      </c>
      <c r="L49" s="44" t="s">
        <v>118</v>
      </c>
      <c r="M49" s="45">
        <v>25</v>
      </c>
      <c r="N49" s="44" t="s">
        <v>121</v>
      </c>
      <c r="O49" s="42">
        <v>280</v>
      </c>
      <c r="P49" s="44" t="s">
        <v>124</v>
      </c>
      <c r="Q49" s="42">
        <v>275</v>
      </c>
      <c r="R49" s="43" t="s">
        <v>120</v>
      </c>
      <c r="S49" s="42">
        <v>395</v>
      </c>
      <c r="T49" s="43" t="s">
        <v>825</v>
      </c>
      <c r="U49" s="42">
        <v>200</v>
      </c>
      <c r="V49" s="43" t="s">
        <v>246</v>
      </c>
      <c r="W49" s="42">
        <v>105</v>
      </c>
      <c r="X49" s="44" t="s">
        <v>247</v>
      </c>
      <c r="Y49" s="42">
        <v>174</v>
      </c>
      <c r="Z49" s="44" t="s">
        <v>122</v>
      </c>
      <c r="AA49" s="42">
        <v>19</v>
      </c>
      <c r="AB49" s="43" t="s">
        <v>125</v>
      </c>
      <c r="AC49" s="42">
        <v>17</v>
      </c>
      <c r="AD49" s="43" t="s">
        <v>119</v>
      </c>
      <c r="AE49" s="42" t="s">
        <v>166</v>
      </c>
      <c r="AF49" s="43" t="s">
        <v>826</v>
      </c>
      <c r="AG49" s="68" t="s">
        <v>127</v>
      </c>
      <c r="AH49" s="44" t="s">
        <v>112</v>
      </c>
      <c r="AI49" s="68" t="s">
        <v>126</v>
      </c>
      <c r="AJ49" s="44" t="s">
        <v>114</v>
      </c>
      <c r="AK49" s="45" t="s">
        <v>123</v>
      </c>
      <c r="AL49" s="52" t="s">
        <v>250</v>
      </c>
      <c r="AM49" s="53" t="s">
        <v>834</v>
      </c>
      <c r="AN49" s="55" t="s">
        <v>251</v>
      </c>
      <c r="AO49" s="53" t="s">
        <v>836</v>
      </c>
      <c r="AP49" s="55" t="s">
        <v>827</v>
      </c>
      <c r="AQ49" s="53" t="s">
        <v>828</v>
      </c>
    </row>
    <row r="50" spans="1:43" ht="7.5" customHeight="1" x14ac:dyDescent="0.4">
      <c r="A50" s="16">
        <v>50</v>
      </c>
      <c r="B50" s="38" t="str">
        <f t="shared" si="1"/>
        <v>VAL.EURO21.0100.25</v>
      </c>
      <c r="C50" s="50" t="s">
        <v>463</v>
      </c>
      <c r="D50" s="54" t="s">
        <v>134</v>
      </c>
      <c r="E50" s="69" t="s">
        <v>520</v>
      </c>
      <c r="F50" s="52" t="s">
        <v>248</v>
      </c>
      <c r="G50" s="53" t="s">
        <v>485</v>
      </c>
      <c r="H50" s="52" t="s">
        <v>132</v>
      </c>
      <c r="I50" s="53" t="s">
        <v>133</v>
      </c>
      <c r="J50" s="52" t="s">
        <v>108</v>
      </c>
      <c r="K50" s="45">
        <v>100</v>
      </c>
      <c r="L50" s="44" t="s">
        <v>118</v>
      </c>
      <c r="M50" s="45">
        <v>25</v>
      </c>
      <c r="N50" s="44" t="s">
        <v>121</v>
      </c>
      <c r="O50" s="42">
        <v>300</v>
      </c>
      <c r="P50" s="44" t="s">
        <v>124</v>
      </c>
      <c r="Q50" s="42">
        <v>323</v>
      </c>
      <c r="R50" s="43" t="s">
        <v>120</v>
      </c>
      <c r="S50" s="42">
        <v>461</v>
      </c>
      <c r="T50" s="43" t="s">
        <v>825</v>
      </c>
      <c r="U50" s="42">
        <v>235</v>
      </c>
      <c r="V50" s="43" t="s">
        <v>246</v>
      </c>
      <c r="W50" s="42">
        <v>111</v>
      </c>
      <c r="X50" s="44" t="s">
        <v>247</v>
      </c>
      <c r="Y50" s="42">
        <v>194</v>
      </c>
      <c r="Z50" s="44" t="s">
        <v>122</v>
      </c>
      <c r="AA50" s="42">
        <v>19</v>
      </c>
      <c r="AB50" s="43" t="s">
        <v>125</v>
      </c>
      <c r="AC50" s="42">
        <v>23</v>
      </c>
      <c r="AD50" s="43" t="s">
        <v>119</v>
      </c>
      <c r="AE50" s="42" t="s">
        <v>169</v>
      </c>
      <c r="AF50" s="43" t="s">
        <v>826</v>
      </c>
      <c r="AG50" s="68" t="s">
        <v>127</v>
      </c>
      <c r="AH50" s="44" t="s">
        <v>112</v>
      </c>
      <c r="AI50" s="68" t="s">
        <v>126</v>
      </c>
      <c r="AJ50" s="44" t="s">
        <v>114</v>
      </c>
      <c r="AK50" s="45" t="s">
        <v>123</v>
      </c>
      <c r="AL50" s="52" t="s">
        <v>250</v>
      </c>
      <c r="AM50" s="53" t="s">
        <v>834</v>
      </c>
      <c r="AN50" s="55" t="s">
        <v>251</v>
      </c>
      <c r="AO50" s="53" t="s">
        <v>836</v>
      </c>
      <c r="AP50" s="55" t="s">
        <v>827</v>
      </c>
      <c r="AQ50" s="53" t="s">
        <v>828</v>
      </c>
    </row>
    <row r="51" spans="1:43" ht="7.5" customHeight="1" x14ac:dyDescent="0.4">
      <c r="A51" s="16">
        <v>51</v>
      </c>
      <c r="B51" s="38" t="str">
        <f t="shared" si="1"/>
        <v>VAL.EURO21.0150.25</v>
      </c>
      <c r="C51" s="50" t="s">
        <v>463</v>
      </c>
      <c r="D51" s="54" t="s">
        <v>134</v>
      </c>
      <c r="E51" s="69" t="s">
        <v>520</v>
      </c>
      <c r="F51" s="52" t="s">
        <v>248</v>
      </c>
      <c r="G51" s="53" t="s">
        <v>485</v>
      </c>
      <c r="H51" s="52" t="s">
        <v>132</v>
      </c>
      <c r="I51" s="53" t="s">
        <v>133</v>
      </c>
      <c r="J51" s="52" t="s">
        <v>108</v>
      </c>
      <c r="K51" s="64">
        <v>150</v>
      </c>
      <c r="L51" s="44" t="s">
        <v>118</v>
      </c>
      <c r="M51" s="45">
        <v>25</v>
      </c>
      <c r="N51" s="44" t="s">
        <v>121</v>
      </c>
      <c r="O51" s="42">
        <v>350</v>
      </c>
      <c r="P51" s="44" t="s">
        <v>124</v>
      </c>
      <c r="Q51" s="42">
        <v>410</v>
      </c>
      <c r="R51" s="43" t="s">
        <v>120</v>
      </c>
      <c r="S51" s="42">
        <v>581</v>
      </c>
      <c r="T51" s="43" t="s">
        <v>825</v>
      </c>
      <c r="U51" s="42">
        <v>300</v>
      </c>
      <c r="V51" s="43" t="s">
        <v>246</v>
      </c>
      <c r="W51" s="42">
        <v>136</v>
      </c>
      <c r="X51" s="44" t="s">
        <v>247</v>
      </c>
      <c r="Y51" s="42">
        <v>257</v>
      </c>
      <c r="Z51" s="44" t="s">
        <v>122</v>
      </c>
      <c r="AA51" s="42">
        <v>20</v>
      </c>
      <c r="AB51" s="43" t="s">
        <v>125</v>
      </c>
      <c r="AC51" s="42">
        <v>32</v>
      </c>
      <c r="AD51" s="43" t="s">
        <v>119</v>
      </c>
      <c r="AE51" s="42">
        <v>41</v>
      </c>
      <c r="AF51" s="43" t="s">
        <v>826</v>
      </c>
      <c r="AG51" s="68" t="s">
        <v>127</v>
      </c>
      <c r="AH51" s="44" t="s">
        <v>112</v>
      </c>
      <c r="AI51" s="68" t="s">
        <v>126</v>
      </c>
      <c r="AJ51" s="44" t="s">
        <v>114</v>
      </c>
      <c r="AK51" s="45" t="s">
        <v>123</v>
      </c>
      <c r="AL51" s="52" t="s">
        <v>250</v>
      </c>
      <c r="AM51" s="53" t="s">
        <v>834</v>
      </c>
      <c r="AN51" s="55" t="s">
        <v>251</v>
      </c>
      <c r="AO51" s="53" t="s">
        <v>836</v>
      </c>
      <c r="AP51" s="55" t="s">
        <v>827</v>
      </c>
      <c r="AQ51" s="53" t="s">
        <v>828</v>
      </c>
    </row>
    <row r="52" spans="1:43" ht="7.5" customHeight="1" x14ac:dyDescent="0.4">
      <c r="A52" s="16">
        <v>52</v>
      </c>
      <c r="B52" s="38" t="str">
        <f t="shared" si="1"/>
        <v>VAL.EURO22.0080.10</v>
      </c>
      <c r="C52" s="50" t="s">
        <v>463</v>
      </c>
      <c r="D52" s="54" t="s">
        <v>134</v>
      </c>
      <c r="E52" s="69" t="s">
        <v>520</v>
      </c>
      <c r="F52" s="52" t="s">
        <v>248</v>
      </c>
      <c r="G52" s="53" t="s">
        <v>486</v>
      </c>
      <c r="H52" s="52" t="s">
        <v>132</v>
      </c>
      <c r="I52" s="53" t="s">
        <v>133</v>
      </c>
      <c r="J52" s="65" t="s">
        <v>108</v>
      </c>
      <c r="K52" s="45">
        <v>80</v>
      </c>
      <c r="L52" s="66" t="s">
        <v>118</v>
      </c>
      <c r="M52" s="45">
        <v>10</v>
      </c>
      <c r="N52" s="44" t="s">
        <v>121</v>
      </c>
      <c r="O52" s="42">
        <v>203</v>
      </c>
      <c r="P52" s="44" t="s">
        <v>124</v>
      </c>
      <c r="Q52" s="42">
        <v>275</v>
      </c>
      <c r="R52" s="43" t="s">
        <v>120</v>
      </c>
      <c r="S52" s="42">
        <v>395</v>
      </c>
      <c r="T52" s="43" t="s">
        <v>825</v>
      </c>
      <c r="U52" s="42">
        <v>190</v>
      </c>
      <c r="V52" s="43" t="s">
        <v>246</v>
      </c>
      <c r="W52" s="42">
        <v>105</v>
      </c>
      <c r="X52" s="44" t="s">
        <v>247</v>
      </c>
      <c r="Y52" s="42">
        <v>174</v>
      </c>
      <c r="Z52" s="44" t="s">
        <v>122</v>
      </c>
      <c r="AA52" s="42">
        <v>19</v>
      </c>
      <c r="AB52" s="43" t="s">
        <v>125</v>
      </c>
      <c r="AC52" s="42">
        <v>17</v>
      </c>
      <c r="AD52" s="43" t="s">
        <v>119</v>
      </c>
      <c r="AE52" s="42">
        <v>18</v>
      </c>
      <c r="AF52" s="43" t="s">
        <v>826</v>
      </c>
      <c r="AG52" s="68" t="s">
        <v>127</v>
      </c>
      <c r="AH52" s="44" t="s">
        <v>112</v>
      </c>
      <c r="AI52" s="68" t="s">
        <v>129</v>
      </c>
      <c r="AJ52" s="44" t="s">
        <v>114</v>
      </c>
      <c r="AK52" s="45" t="s">
        <v>130</v>
      </c>
      <c r="AL52" s="52" t="s">
        <v>250</v>
      </c>
      <c r="AM52" s="53" t="s">
        <v>834</v>
      </c>
      <c r="AN52" s="55" t="s">
        <v>251</v>
      </c>
      <c r="AO52" s="53" t="s">
        <v>836</v>
      </c>
      <c r="AP52" s="55" t="s">
        <v>827</v>
      </c>
      <c r="AQ52" s="53" t="s">
        <v>828</v>
      </c>
    </row>
    <row r="53" spans="1:43" ht="7.5" customHeight="1" x14ac:dyDescent="0.4">
      <c r="A53" s="16">
        <v>53</v>
      </c>
      <c r="B53" s="38" t="str">
        <f t="shared" si="1"/>
        <v>VAL.EURO22.0100.10</v>
      </c>
      <c r="C53" s="50" t="s">
        <v>463</v>
      </c>
      <c r="D53" s="54" t="s">
        <v>134</v>
      </c>
      <c r="E53" s="69" t="s">
        <v>520</v>
      </c>
      <c r="F53" s="52" t="s">
        <v>248</v>
      </c>
      <c r="G53" s="53" t="s">
        <v>486</v>
      </c>
      <c r="H53" s="52" t="s">
        <v>132</v>
      </c>
      <c r="I53" s="53" t="s">
        <v>133</v>
      </c>
      <c r="J53" s="65" t="s">
        <v>108</v>
      </c>
      <c r="K53" s="45">
        <v>100</v>
      </c>
      <c r="L53" s="66" t="s">
        <v>118</v>
      </c>
      <c r="M53" s="45">
        <v>10</v>
      </c>
      <c r="N53" s="44" t="s">
        <v>121</v>
      </c>
      <c r="O53" s="42">
        <v>229</v>
      </c>
      <c r="P53" s="44" t="s">
        <v>124</v>
      </c>
      <c r="Q53" s="42">
        <v>323</v>
      </c>
      <c r="R53" s="43" t="s">
        <v>120</v>
      </c>
      <c r="S53" s="42">
        <v>456</v>
      </c>
      <c r="T53" s="43" t="s">
        <v>825</v>
      </c>
      <c r="U53" s="42">
        <v>228</v>
      </c>
      <c r="V53" s="43" t="s">
        <v>246</v>
      </c>
      <c r="W53" s="42">
        <v>111</v>
      </c>
      <c r="X53" s="44" t="s">
        <v>247</v>
      </c>
      <c r="Y53" s="42">
        <v>194</v>
      </c>
      <c r="Z53" s="44" t="s">
        <v>122</v>
      </c>
      <c r="AA53" s="42">
        <v>24</v>
      </c>
      <c r="AB53" s="43" t="s">
        <v>125</v>
      </c>
      <c r="AC53" s="42">
        <v>23</v>
      </c>
      <c r="AD53" s="43" t="s">
        <v>119</v>
      </c>
      <c r="AE53" s="42" t="s">
        <v>170</v>
      </c>
      <c r="AF53" s="43" t="s">
        <v>826</v>
      </c>
      <c r="AG53" s="68" t="s">
        <v>127</v>
      </c>
      <c r="AH53" s="44" t="s">
        <v>112</v>
      </c>
      <c r="AI53" s="68" t="s">
        <v>129</v>
      </c>
      <c r="AJ53" s="44" t="s">
        <v>114</v>
      </c>
      <c r="AK53" s="45" t="s">
        <v>130</v>
      </c>
      <c r="AL53" s="52" t="s">
        <v>250</v>
      </c>
      <c r="AM53" s="53" t="s">
        <v>834</v>
      </c>
      <c r="AN53" s="55" t="s">
        <v>251</v>
      </c>
      <c r="AO53" s="53" t="s">
        <v>836</v>
      </c>
      <c r="AP53" s="55" t="s">
        <v>827</v>
      </c>
      <c r="AQ53" s="53" t="s">
        <v>828</v>
      </c>
    </row>
    <row r="54" spans="1:43" ht="7.5" customHeight="1" x14ac:dyDescent="0.4">
      <c r="A54" s="16">
        <v>54</v>
      </c>
      <c r="B54" s="38" t="str">
        <f t="shared" si="1"/>
        <v>VAL.EURO22.0150.10</v>
      </c>
      <c r="C54" s="50" t="s">
        <v>463</v>
      </c>
      <c r="D54" s="54" t="s">
        <v>134</v>
      </c>
      <c r="E54" s="69" t="s">
        <v>520</v>
      </c>
      <c r="F54" s="52" t="s">
        <v>248</v>
      </c>
      <c r="G54" s="53" t="s">
        <v>486</v>
      </c>
      <c r="H54" s="52" t="s">
        <v>132</v>
      </c>
      <c r="I54" s="53" t="s">
        <v>133</v>
      </c>
      <c r="J54" s="65" t="s">
        <v>108</v>
      </c>
      <c r="K54" s="45">
        <v>150</v>
      </c>
      <c r="L54" s="66" t="s">
        <v>118</v>
      </c>
      <c r="M54" s="45">
        <v>10</v>
      </c>
      <c r="N54" s="44" t="s">
        <v>121</v>
      </c>
      <c r="O54" s="42">
        <v>267</v>
      </c>
      <c r="P54" s="44" t="s">
        <v>124</v>
      </c>
      <c r="Q54" s="42">
        <v>410</v>
      </c>
      <c r="R54" s="43" t="s">
        <v>120</v>
      </c>
      <c r="S54" s="42">
        <v>573</v>
      </c>
      <c r="T54" s="43" t="s">
        <v>825</v>
      </c>
      <c r="U54" s="42">
        <v>280</v>
      </c>
      <c r="V54" s="43" t="s">
        <v>246</v>
      </c>
      <c r="W54" s="42">
        <v>136</v>
      </c>
      <c r="X54" s="44" t="s">
        <v>247</v>
      </c>
      <c r="Y54" s="42">
        <v>257</v>
      </c>
      <c r="Z54" s="44" t="s">
        <v>122</v>
      </c>
      <c r="AA54" s="42">
        <v>25</v>
      </c>
      <c r="AB54" s="43" t="s">
        <v>125</v>
      </c>
      <c r="AC54" s="42">
        <v>32</v>
      </c>
      <c r="AD54" s="43" t="s">
        <v>119</v>
      </c>
      <c r="AE54" s="42" t="s">
        <v>171</v>
      </c>
      <c r="AF54" s="43" t="s">
        <v>826</v>
      </c>
      <c r="AG54" s="68" t="s">
        <v>127</v>
      </c>
      <c r="AH54" s="44" t="s">
        <v>112</v>
      </c>
      <c r="AI54" s="68" t="s">
        <v>129</v>
      </c>
      <c r="AJ54" s="44" t="s">
        <v>114</v>
      </c>
      <c r="AK54" s="45" t="s">
        <v>130</v>
      </c>
      <c r="AL54" s="52" t="s">
        <v>250</v>
      </c>
      <c r="AM54" s="53" t="s">
        <v>834</v>
      </c>
      <c r="AN54" s="55" t="s">
        <v>251</v>
      </c>
      <c r="AO54" s="53" t="s">
        <v>836</v>
      </c>
      <c r="AP54" s="55" t="s">
        <v>827</v>
      </c>
      <c r="AQ54" s="53" t="s">
        <v>828</v>
      </c>
    </row>
    <row r="55" spans="1:43" ht="7.5" customHeight="1" x14ac:dyDescent="0.4">
      <c r="A55" s="16">
        <v>55</v>
      </c>
      <c r="B55" s="38" t="str">
        <f t="shared" si="1"/>
        <v>VAL.EURO22.0200.10</v>
      </c>
      <c r="C55" s="50" t="s">
        <v>463</v>
      </c>
      <c r="D55" s="54" t="s">
        <v>134</v>
      </c>
      <c r="E55" s="69" t="s">
        <v>520</v>
      </c>
      <c r="F55" s="52" t="s">
        <v>248</v>
      </c>
      <c r="G55" s="53" t="s">
        <v>486</v>
      </c>
      <c r="H55" s="52" t="s">
        <v>132</v>
      </c>
      <c r="I55" s="53" t="s">
        <v>133</v>
      </c>
      <c r="J55" s="65" t="s">
        <v>108</v>
      </c>
      <c r="K55" s="45">
        <v>200</v>
      </c>
      <c r="L55" s="66" t="s">
        <v>118</v>
      </c>
      <c r="M55" s="45">
        <v>10</v>
      </c>
      <c r="N55" s="44" t="s">
        <v>121</v>
      </c>
      <c r="O55" s="42">
        <v>292</v>
      </c>
      <c r="P55" s="44" t="s">
        <v>124</v>
      </c>
      <c r="Q55" s="42">
        <v>515</v>
      </c>
      <c r="R55" s="43" t="s">
        <v>120</v>
      </c>
      <c r="S55" s="42">
        <v>745</v>
      </c>
      <c r="T55" s="43" t="s">
        <v>825</v>
      </c>
      <c r="U55" s="42">
        <v>343</v>
      </c>
      <c r="V55" s="43" t="s">
        <v>246</v>
      </c>
      <c r="W55" s="42">
        <v>266</v>
      </c>
      <c r="X55" s="44" t="s">
        <v>247</v>
      </c>
      <c r="Y55" s="42">
        <v>382</v>
      </c>
      <c r="Z55" s="44" t="s">
        <v>122</v>
      </c>
      <c r="AA55" s="42">
        <v>20</v>
      </c>
      <c r="AB55" s="43" t="s">
        <v>125</v>
      </c>
      <c r="AC55" s="42">
        <v>33</v>
      </c>
      <c r="AD55" s="43" t="s">
        <v>119</v>
      </c>
      <c r="AE55" s="42" t="s">
        <v>172</v>
      </c>
      <c r="AF55" s="43" t="s">
        <v>826</v>
      </c>
      <c r="AG55" s="68" t="s">
        <v>127</v>
      </c>
      <c r="AH55" s="44" t="s">
        <v>112</v>
      </c>
      <c r="AI55" s="68" t="s">
        <v>129</v>
      </c>
      <c r="AJ55" s="44" t="s">
        <v>114</v>
      </c>
      <c r="AK55" s="45" t="s">
        <v>130</v>
      </c>
      <c r="AL55" s="52" t="s">
        <v>250</v>
      </c>
      <c r="AM55" s="53" t="s">
        <v>834</v>
      </c>
      <c r="AN55" s="55" t="s">
        <v>251</v>
      </c>
      <c r="AO55" s="53" t="s">
        <v>836</v>
      </c>
      <c r="AP55" s="55" t="s">
        <v>827</v>
      </c>
      <c r="AQ55" s="53" t="s">
        <v>828</v>
      </c>
    </row>
    <row r="56" spans="1:43" ht="7.5" customHeight="1" x14ac:dyDescent="0.4">
      <c r="A56" s="16">
        <v>56</v>
      </c>
      <c r="B56" s="38" t="str">
        <f t="shared" si="1"/>
        <v>VAL.EURO22.0250.10</v>
      </c>
      <c r="C56" s="50" t="s">
        <v>463</v>
      </c>
      <c r="D56" s="54" t="s">
        <v>134</v>
      </c>
      <c r="E56" s="69" t="s">
        <v>520</v>
      </c>
      <c r="F56" s="52" t="s">
        <v>248</v>
      </c>
      <c r="G56" s="53" t="s">
        <v>486</v>
      </c>
      <c r="H56" s="52" t="s">
        <v>132</v>
      </c>
      <c r="I56" s="53" t="s">
        <v>133</v>
      </c>
      <c r="J56" s="65" t="s">
        <v>108</v>
      </c>
      <c r="K56" s="45">
        <v>250</v>
      </c>
      <c r="L56" s="66" t="s">
        <v>118</v>
      </c>
      <c r="M56" s="45">
        <v>10</v>
      </c>
      <c r="N56" s="44" t="s">
        <v>121</v>
      </c>
      <c r="O56" s="42">
        <v>330</v>
      </c>
      <c r="P56" s="44" t="s">
        <v>124</v>
      </c>
      <c r="Q56" s="42">
        <v>595</v>
      </c>
      <c r="R56" s="43" t="s">
        <v>120</v>
      </c>
      <c r="S56" s="42">
        <v>855</v>
      </c>
      <c r="T56" s="43" t="s">
        <v>825</v>
      </c>
      <c r="U56" s="42">
        <v>406</v>
      </c>
      <c r="V56" s="43" t="s">
        <v>246</v>
      </c>
      <c r="W56" s="42">
        <v>285</v>
      </c>
      <c r="X56" s="44" t="s">
        <v>247</v>
      </c>
      <c r="Y56" s="42">
        <v>470</v>
      </c>
      <c r="Z56" s="44" t="s">
        <v>122</v>
      </c>
      <c r="AA56" s="42">
        <v>22</v>
      </c>
      <c r="AB56" s="43" t="s">
        <v>125</v>
      </c>
      <c r="AC56" s="42" t="s">
        <v>202</v>
      </c>
      <c r="AD56" s="43" t="s">
        <v>119</v>
      </c>
      <c r="AE56" s="42" t="s">
        <v>173</v>
      </c>
      <c r="AF56" s="43" t="s">
        <v>826</v>
      </c>
      <c r="AG56" s="68" t="s">
        <v>127</v>
      </c>
      <c r="AH56" s="44" t="s">
        <v>112</v>
      </c>
      <c r="AI56" s="68" t="s">
        <v>129</v>
      </c>
      <c r="AJ56" s="44" t="s">
        <v>114</v>
      </c>
      <c r="AK56" s="45" t="s">
        <v>130</v>
      </c>
      <c r="AL56" s="52" t="s">
        <v>250</v>
      </c>
      <c r="AM56" s="53" t="s">
        <v>834</v>
      </c>
      <c r="AN56" s="55" t="s">
        <v>251</v>
      </c>
      <c r="AO56" s="53" t="s">
        <v>836</v>
      </c>
      <c r="AP56" s="55" t="s">
        <v>827</v>
      </c>
      <c r="AQ56" s="53" t="s">
        <v>828</v>
      </c>
    </row>
    <row r="57" spans="1:43" ht="7.5" customHeight="1" x14ac:dyDescent="0.4">
      <c r="A57" s="16">
        <v>57</v>
      </c>
      <c r="B57" s="38" t="str">
        <f t="shared" si="1"/>
        <v>VAL.EURO22.0300.10</v>
      </c>
      <c r="C57" s="50" t="s">
        <v>463</v>
      </c>
      <c r="D57" s="54" t="s">
        <v>134</v>
      </c>
      <c r="E57" s="69" t="s">
        <v>520</v>
      </c>
      <c r="F57" s="52" t="s">
        <v>248</v>
      </c>
      <c r="G57" s="53" t="s">
        <v>486</v>
      </c>
      <c r="H57" s="52" t="s">
        <v>132</v>
      </c>
      <c r="I57" s="53" t="s">
        <v>133</v>
      </c>
      <c r="J57" s="65" t="s">
        <v>108</v>
      </c>
      <c r="K57" s="45">
        <v>300</v>
      </c>
      <c r="L57" s="66" t="s">
        <v>118</v>
      </c>
      <c r="M57" s="45">
        <v>10</v>
      </c>
      <c r="N57" s="44" t="s">
        <v>121</v>
      </c>
      <c r="O57" s="42">
        <v>356</v>
      </c>
      <c r="P57" s="44" t="s">
        <v>124</v>
      </c>
      <c r="Q57" s="42">
        <v>705</v>
      </c>
      <c r="R57" s="43" t="s">
        <v>120</v>
      </c>
      <c r="S57" s="42">
        <v>1010</v>
      </c>
      <c r="T57" s="43" t="s">
        <v>825</v>
      </c>
      <c r="U57" s="42">
        <v>486</v>
      </c>
      <c r="V57" s="43" t="s">
        <v>246</v>
      </c>
      <c r="W57" s="42">
        <v>305</v>
      </c>
      <c r="X57" s="44" t="s">
        <v>247</v>
      </c>
      <c r="Y57" s="42">
        <v>538</v>
      </c>
      <c r="Z57" s="44" t="s">
        <v>122</v>
      </c>
      <c r="AA57" s="42" t="s">
        <v>226</v>
      </c>
      <c r="AB57" s="43" t="s">
        <v>125</v>
      </c>
      <c r="AC57" s="42">
        <v>50</v>
      </c>
      <c r="AD57" s="43" t="s">
        <v>119</v>
      </c>
      <c r="AE57" s="42">
        <v>130</v>
      </c>
      <c r="AF57" s="43" t="s">
        <v>826</v>
      </c>
      <c r="AG57" s="68" t="s">
        <v>127</v>
      </c>
      <c r="AH57" s="44" t="s">
        <v>112</v>
      </c>
      <c r="AI57" s="68" t="s">
        <v>129</v>
      </c>
      <c r="AJ57" s="44" t="s">
        <v>114</v>
      </c>
      <c r="AK57" s="45" t="s">
        <v>130</v>
      </c>
      <c r="AL57" s="52" t="s">
        <v>250</v>
      </c>
      <c r="AM57" s="53" t="s">
        <v>834</v>
      </c>
      <c r="AN57" s="55" t="s">
        <v>251</v>
      </c>
      <c r="AO57" s="53" t="s">
        <v>836</v>
      </c>
      <c r="AP57" s="55" t="s">
        <v>827</v>
      </c>
      <c r="AQ57" s="53" t="s">
        <v>828</v>
      </c>
    </row>
    <row r="58" spans="1:43" ht="7.5" customHeight="1" x14ac:dyDescent="0.4">
      <c r="A58" s="16">
        <v>58</v>
      </c>
      <c r="B58" s="38" t="s">
        <v>428</v>
      </c>
      <c r="C58" s="50" t="s">
        <v>419</v>
      </c>
      <c r="D58" s="54" t="s">
        <v>9</v>
      </c>
      <c r="E58" s="67" t="s">
        <v>9</v>
      </c>
      <c r="F58" s="52" t="s">
        <v>9</v>
      </c>
      <c r="G58" s="53" t="s">
        <v>9</v>
      </c>
      <c r="H58" s="52" t="s">
        <v>9</v>
      </c>
      <c r="I58" s="53" t="s">
        <v>9</v>
      </c>
      <c r="J58" s="52" t="s">
        <v>9</v>
      </c>
      <c r="K58" s="53" t="s">
        <v>9</v>
      </c>
      <c r="L58" s="52" t="s">
        <v>9</v>
      </c>
      <c r="M58" s="53" t="s">
        <v>9</v>
      </c>
      <c r="N58" s="52" t="s">
        <v>9</v>
      </c>
      <c r="O58" s="40" t="s">
        <v>9</v>
      </c>
      <c r="P58" s="52" t="s">
        <v>9</v>
      </c>
      <c r="Q58" s="40" t="s">
        <v>9</v>
      </c>
      <c r="R58" s="39" t="s">
        <v>9</v>
      </c>
      <c r="S58" s="40" t="s">
        <v>9</v>
      </c>
      <c r="T58" s="39" t="s">
        <v>9</v>
      </c>
      <c r="U58" s="40" t="s">
        <v>9</v>
      </c>
      <c r="V58" s="39" t="s">
        <v>9</v>
      </c>
      <c r="W58" s="40" t="s">
        <v>9</v>
      </c>
      <c r="X58" s="52" t="s">
        <v>9</v>
      </c>
      <c r="Y58" s="40" t="s">
        <v>9</v>
      </c>
      <c r="Z58" s="52" t="s">
        <v>9</v>
      </c>
      <c r="AA58" s="40" t="s">
        <v>9</v>
      </c>
      <c r="AB58" s="55" t="s">
        <v>9</v>
      </c>
      <c r="AC58" s="40" t="s">
        <v>9</v>
      </c>
      <c r="AD58" s="55" t="s">
        <v>9</v>
      </c>
      <c r="AE58" s="40" t="s">
        <v>9</v>
      </c>
      <c r="AF58" s="43" t="s">
        <v>826</v>
      </c>
      <c r="AG58" s="46" t="s">
        <v>523</v>
      </c>
      <c r="AH58" s="52" t="s">
        <v>9</v>
      </c>
      <c r="AI58" s="46" t="s">
        <v>9</v>
      </c>
      <c r="AJ58" s="52" t="s">
        <v>114</v>
      </c>
      <c r="AK58" s="53" t="s">
        <v>524</v>
      </c>
      <c r="AL58" s="52" t="s">
        <v>250</v>
      </c>
      <c r="AM58" s="53" t="s">
        <v>834</v>
      </c>
      <c r="AN58" s="55" t="s">
        <v>251</v>
      </c>
      <c r="AO58" s="53" t="s">
        <v>837</v>
      </c>
      <c r="AP58" s="55" t="s">
        <v>827</v>
      </c>
      <c r="AQ58" s="53" t="s">
        <v>828</v>
      </c>
    </row>
    <row r="59" spans="1:43" ht="7.5" customHeight="1" x14ac:dyDescent="0.4">
      <c r="A59" s="16">
        <v>59</v>
      </c>
      <c r="B59" s="38" t="s">
        <v>429</v>
      </c>
      <c r="C59" s="50" t="s">
        <v>419</v>
      </c>
      <c r="D59" s="54" t="s">
        <v>427</v>
      </c>
      <c r="E59" s="69" t="s">
        <v>428</v>
      </c>
      <c r="F59" s="52" t="s">
        <v>9</v>
      </c>
      <c r="G59" s="53" t="s">
        <v>9</v>
      </c>
      <c r="H59" s="52" t="s">
        <v>9</v>
      </c>
      <c r="I59" s="53" t="s">
        <v>9</v>
      </c>
      <c r="J59" s="52" t="s">
        <v>9</v>
      </c>
      <c r="K59" s="53" t="s">
        <v>9</v>
      </c>
      <c r="L59" s="52" t="s">
        <v>9</v>
      </c>
      <c r="M59" s="53" t="s">
        <v>9</v>
      </c>
      <c r="N59" s="52" t="s">
        <v>9</v>
      </c>
      <c r="O59" s="40" t="s">
        <v>9</v>
      </c>
      <c r="P59" s="52" t="s">
        <v>9</v>
      </c>
      <c r="Q59" s="40" t="s">
        <v>9</v>
      </c>
      <c r="R59" s="39" t="s">
        <v>9</v>
      </c>
      <c r="S59" s="40" t="s">
        <v>9</v>
      </c>
      <c r="T59" s="39" t="s">
        <v>9</v>
      </c>
      <c r="U59" s="40" t="s">
        <v>9</v>
      </c>
      <c r="V59" s="39" t="s">
        <v>9</v>
      </c>
      <c r="W59" s="40" t="s">
        <v>9</v>
      </c>
      <c r="X59" s="52" t="s">
        <v>9</v>
      </c>
      <c r="Y59" s="40" t="s">
        <v>9</v>
      </c>
      <c r="Z59" s="52" t="s">
        <v>9</v>
      </c>
      <c r="AA59" s="40" t="s">
        <v>9</v>
      </c>
      <c r="AB59" s="55" t="s">
        <v>9</v>
      </c>
      <c r="AC59" s="40" t="s">
        <v>9</v>
      </c>
      <c r="AD59" s="55" t="s">
        <v>9</v>
      </c>
      <c r="AE59" s="40" t="s">
        <v>9</v>
      </c>
      <c r="AF59" s="43" t="s">
        <v>826</v>
      </c>
      <c r="AG59" s="46" t="s">
        <v>523</v>
      </c>
      <c r="AH59" s="52" t="s">
        <v>9</v>
      </c>
      <c r="AI59" s="46" t="s">
        <v>9</v>
      </c>
      <c r="AJ59" s="52" t="s">
        <v>114</v>
      </c>
      <c r="AK59" s="53" t="s">
        <v>524</v>
      </c>
      <c r="AL59" s="52" t="s">
        <v>250</v>
      </c>
      <c r="AM59" s="53" t="s">
        <v>834</v>
      </c>
      <c r="AN59" s="55" t="s">
        <v>251</v>
      </c>
      <c r="AO59" s="53" t="s">
        <v>837</v>
      </c>
      <c r="AP59" s="55" t="s">
        <v>827</v>
      </c>
      <c r="AQ59" s="53" t="s">
        <v>828</v>
      </c>
    </row>
    <row r="60" spans="1:43" ht="7.5" customHeight="1" x14ac:dyDescent="0.4">
      <c r="A60" s="16">
        <v>60</v>
      </c>
      <c r="B60" s="38" t="s">
        <v>430</v>
      </c>
      <c r="C60" s="50" t="s">
        <v>419</v>
      </c>
      <c r="D60" s="54" t="s">
        <v>427</v>
      </c>
      <c r="E60" s="69" t="s">
        <v>429</v>
      </c>
      <c r="F60" s="52" t="s">
        <v>9</v>
      </c>
      <c r="G60" s="53" t="s">
        <v>9</v>
      </c>
      <c r="H60" s="52" t="s">
        <v>9</v>
      </c>
      <c r="I60" s="53" t="s">
        <v>9</v>
      </c>
      <c r="J60" s="52" t="s">
        <v>9</v>
      </c>
      <c r="K60" s="53" t="s">
        <v>9</v>
      </c>
      <c r="L60" s="52" t="s">
        <v>9</v>
      </c>
      <c r="M60" s="53" t="s">
        <v>9</v>
      </c>
      <c r="N60" s="52" t="s">
        <v>9</v>
      </c>
      <c r="O60" s="40" t="s">
        <v>9</v>
      </c>
      <c r="P60" s="52" t="s">
        <v>9</v>
      </c>
      <c r="Q60" s="40" t="s">
        <v>9</v>
      </c>
      <c r="R60" s="39" t="s">
        <v>9</v>
      </c>
      <c r="S60" s="40" t="s">
        <v>9</v>
      </c>
      <c r="T60" s="39" t="s">
        <v>9</v>
      </c>
      <c r="U60" s="40" t="s">
        <v>9</v>
      </c>
      <c r="V60" s="39" t="s">
        <v>9</v>
      </c>
      <c r="W60" s="40" t="s">
        <v>9</v>
      </c>
      <c r="X60" s="52" t="s">
        <v>9</v>
      </c>
      <c r="Y60" s="40" t="s">
        <v>9</v>
      </c>
      <c r="Z60" s="52" t="s">
        <v>9</v>
      </c>
      <c r="AA60" s="40" t="s">
        <v>9</v>
      </c>
      <c r="AB60" s="55" t="s">
        <v>9</v>
      </c>
      <c r="AC60" s="40" t="s">
        <v>9</v>
      </c>
      <c r="AD60" s="55" t="s">
        <v>9</v>
      </c>
      <c r="AE60" s="40" t="s">
        <v>9</v>
      </c>
      <c r="AF60" s="43" t="s">
        <v>826</v>
      </c>
      <c r="AG60" s="46" t="s">
        <v>523</v>
      </c>
      <c r="AH60" s="52" t="s">
        <v>9</v>
      </c>
      <c r="AI60" s="46" t="s">
        <v>9</v>
      </c>
      <c r="AJ60" s="52" t="s">
        <v>114</v>
      </c>
      <c r="AK60" s="53" t="s">
        <v>524</v>
      </c>
      <c r="AL60" s="52" t="s">
        <v>250</v>
      </c>
      <c r="AM60" s="53" t="s">
        <v>834</v>
      </c>
      <c r="AN60" s="55" t="s">
        <v>251</v>
      </c>
      <c r="AO60" s="53" t="s">
        <v>837</v>
      </c>
      <c r="AP60" s="55" t="s">
        <v>827</v>
      </c>
      <c r="AQ60" s="53" t="s">
        <v>828</v>
      </c>
    </row>
    <row r="61" spans="1:43" ht="7.5" customHeight="1" x14ac:dyDescent="0.4">
      <c r="A61" s="16">
        <v>61</v>
      </c>
      <c r="B61" s="38" t="s">
        <v>431</v>
      </c>
      <c r="C61" s="50" t="s">
        <v>419</v>
      </c>
      <c r="D61" s="54" t="s">
        <v>427</v>
      </c>
      <c r="E61" s="69" t="s">
        <v>430</v>
      </c>
      <c r="F61" s="52" t="s">
        <v>9</v>
      </c>
      <c r="G61" s="53" t="s">
        <v>9</v>
      </c>
      <c r="H61" s="52" t="s">
        <v>9</v>
      </c>
      <c r="I61" s="53" t="s">
        <v>9</v>
      </c>
      <c r="J61" s="52" t="s">
        <v>9</v>
      </c>
      <c r="K61" s="53" t="s">
        <v>9</v>
      </c>
      <c r="L61" s="52" t="s">
        <v>9</v>
      </c>
      <c r="M61" s="53" t="s">
        <v>9</v>
      </c>
      <c r="N61" s="52" t="s">
        <v>9</v>
      </c>
      <c r="O61" s="40" t="s">
        <v>9</v>
      </c>
      <c r="P61" s="52" t="s">
        <v>9</v>
      </c>
      <c r="Q61" s="40" t="s">
        <v>9</v>
      </c>
      <c r="R61" s="39" t="s">
        <v>9</v>
      </c>
      <c r="S61" s="40" t="s">
        <v>9</v>
      </c>
      <c r="T61" s="39" t="s">
        <v>9</v>
      </c>
      <c r="U61" s="40" t="s">
        <v>9</v>
      </c>
      <c r="V61" s="39" t="s">
        <v>9</v>
      </c>
      <c r="W61" s="40" t="s">
        <v>9</v>
      </c>
      <c r="X61" s="52" t="s">
        <v>9</v>
      </c>
      <c r="Y61" s="40" t="s">
        <v>9</v>
      </c>
      <c r="Z61" s="52" t="s">
        <v>9</v>
      </c>
      <c r="AA61" s="40" t="s">
        <v>9</v>
      </c>
      <c r="AB61" s="55" t="s">
        <v>9</v>
      </c>
      <c r="AC61" s="40" t="s">
        <v>9</v>
      </c>
      <c r="AD61" s="55" t="s">
        <v>9</v>
      </c>
      <c r="AE61" s="40" t="s">
        <v>9</v>
      </c>
      <c r="AF61" s="43" t="s">
        <v>826</v>
      </c>
      <c r="AG61" s="46" t="s">
        <v>523</v>
      </c>
      <c r="AH61" s="52" t="s">
        <v>9</v>
      </c>
      <c r="AI61" s="46" t="s">
        <v>9</v>
      </c>
      <c r="AJ61" s="52" t="s">
        <v>114</v>
      </c>
      <c r="AK61" s="53" t="s">
        <v>524</v>
      </c>
      <c r="AL61" s="52" t="s">
        <v>250</v>
      </c>
      <c r="AM61" s="53" t="s">
        <v>834</v>
      </c>
      <c r="AN61" s="55" t="s">
        <v>251</v>
      </c>
      <c r="AO61" s="53" t="s">
        <v>837</v>
      </c>
      <c r="AP61" s="55" t="s">
        <v>827</v>
      </c>
      <c r="AQ61" s="53" t="s">
        <v>828</v>
      </c>
    </row>
  </sheetData>
  <phoneticPr fontId="1" type="noConversion"/>
  <conditionalFormatting sqref="A1:D1048576 F1:XFD1048576 E2">
    <cfRule type="cellIs" dxfId="8" priority="10" operator="equal">
      <formula>"null"</formula>
    </cfRule>
  </conditionalFormatting>
  <conditionalFormatting sqref="B1:B1048576">
    <cfRule type="duplicateValues" dxfId="7" priority="11"/>
  </conditionalFormatting>
  <conditionalFormatting sqref="E58:E61">
    <cfRule type="cellIs" dxfId="6" priority="1" operator="equal">
      <formula>"null"</formula>
    </cfRule>
  </conditionalFormatting>
  <conditionalFormatting sqref="E59">
    <cfRule type="duplicateValues" dxfId="5" priority="6"/>
  </conditionalFormatting>
  <conditionalFormatting sqref="E60">
    <cfRule type="duplicateValues" dxfId="4" priority="4"/>
  </conditionalFormatting>
  <conditionalFormatting sqref="E61">
    <cfRule type="duplicateValues" dxfId="3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15"/>
  <sheetViews>
    <sheetView zoomScale="190" zoomScaleNormal="190" workbookViewId="0">
      <pane ySplit="1" topLeftCell="A2" activePane="bottomLeft" state="frozen"/>
      <selection activeCell="B1" sqref="B1"/>
      <selection pane="bottomLeft" activeCell="D12" sqref="D12"/>
    </sheetView>
  </sheetViews>
  <sheetFormatPr defaultColWidth="9.15234375" defaultRowHeight="8.25" customHeight="1" x14ac:dyDescent="0.4"/>
  <cols>
    <col min="1" max="1" width="3.3046875" style="18" customWidth="1"/>
    <col min="2" max="2" width="6.3046875" style="17" customWidth="1"/>
    <col min="3" max="3" width="11.3046875" style="17" bestFit="1" customWidth="1"/>
    <col min="4" max="7" width="10.84375" style="17" bestFit="1" customWidth="1"/>
  </cols>
  <sheetData>
    <row r="1" spans="1:7" ht="28.2" customHeight="1" x14ac:dyDescent="0.4">
      <c r="A1" s="22">
        <v>0</v>
      </c>
      <c r="B1" s="19" t="s">
        <v>100</v>
      </c>
      <c r="C1" s="20" t="s">
        <v>101</v>
      </c>
      <c r="D1" s="20" t="s">
        <v>102</v>
      </c>
      <c r="E1" s="20" t="s">
        <v>102</v>
      </c>
      <c r="F1" s="20" t="s">
        <v>102</v>
      </c>
      <c r="G1" s="20" t="s">
        <v>102</v>
      </c>
    </row>
    <row r="2" spans="1:7" ht="8.25" customHeight="1" x14ac:dyDescent="0.4">
      <c r="A2" s="23">
        <v>2</v>
      </c>
      <c r="B2" s="21" t="s">
        <v>9</v>
      </c>
      <c r="C2" s="21" t="s">
        <v>9</v>
      </c>
      <c r="D2" s="21" t="s">
        <v>9</v>
      </c>
      <c r="E2" s="21" t="s">
        <v>9</v>
      </c>
      <c r="F2" s="21" t="s">
        <v>9</v>
      </c>
      <c r="G2" s="21" t="s">
        <v>9</v>
      </c>
    </row>
    <row r="3" spans="1:7" ht="8.25" customHeight="1" x14ac:dyDescent="0.4">
      <c r="A3" s="23">
        <v>3</v>
      </c>
      <c r="B3" s="21" t="s">
        <v>9</v>
      </c>
      <c r="C3" s="21" t="s">
        <v>9</v>
      </c>
      <c r="D3" s="21" t="s">
        <v>9</v>
      </c>
      <c r="E3" s="21" t="s">
        <v>9</v>
      </c>
      <c r="F3" s="21" t="s">
        <v>9</v>
      </c>
      <c r="G3" s="21" t="s">
        <v>9</v>
      </c>
    </row>
    <row r="4" spans="1:7" ht="8.25" customHeight="1" x14ac:dyDescent="0.4">
      <c r="A4" s="23">
        <v>4</v>
      </c>
      <c r="B4" s="21" t="s">
        <v>9</v>
      </c>
      <c r="C4" s="21" t="s">
        <v>9</v>
      </c>
      <c r="D4" s="21" t="s">
        <v>9</v>
      </c>
      <c r="E4" s="21" t="s">
        <v>9</v>
      </c>
      <c r="F4" s="21" t="s">
        <v>9</v>
      </c>
      <c r="G4" s="21" t="s">
        <v>9</v>
      </c>
    </row>
    <row r="5" spans="1:7" ht="8.25" customHeight="1" x14ac:dyDescent="0.4">
      <c r="A5" s="23">
        <v>5</v>
      </c>
      <c r="B5" s="21" t="s">
        <v>9</v>
      </c>
      <c r="C5" s="21" t="s">
        <v>9</v>
      </c>
      <c r="D5" s="21" t="s">
        <v>9</v>
      </c>
      <c r="E5" s="21" t="s">
        <v>9</v>
      </c>
      <c r="F5" s="21" t="s">
        <v>9</v>
      </c>
      <c r="G5" s="21" t="s">
        <v>9</v>
      </c>
    </row>
    <row r="6" spans="1:7" ht="8.25" customHeight="1" x14ac:dyDescent="0.4">
      <c r="A6" s="23">
        <v>6</v>
      </c>
      <c r="B6" s="21" t="s">
        <v>9</v>
      </c>
      <c r="C6" s="21" t="s">
        <v>9</v>
      </c>
      <c r="D6" s="21" t="s">
        <v>9</v>
      </c>
      <c r="E6" s="21" t="s">
        <v>9</v>
      </c>
      <c r="F6" s="21" t="s">
        <v>9</v>
      </c>
      <c r="G6" s="21" t="s">
        <v>9</v>
      </c>
    </row>
    <row r="7" spans="1:7" ht="8.25" customHeight="1" x14ac:dyDescent="0.4">
      <c r="A7" s="23">
        <v>7</v>
      </c>
      <c r="B7" s="21" t="s">
        <v>9</v>
      </c>
      <c r="C7" s="21" t="s">
        <v>9</v>
      </c>
      <c r="D7" s="21" t="s">
        <v>9</v>
      </c>
      <c r="E7" s="21" t="s">
        <v>9</v>
      </c>
      <c r="F7" s="21" t="s">
        <v>9</v>
      </c>
      <c r="G7" s="21" t="s">
        <v>9</v>
      </c>
    </row>
    <row r="8" spans="1:7" ht="8.25" customHeight="1" x14ac:dyDescent="0.4">
      <c r="A8" s="23">
        <v>8</v>
      </c>
      <c r="B8" s="21" t="s">
        <v>9</v>
      </c>
      <c r="C8" s="21" t="s">
        <v>9</v>
      </c>
      <c r="D8" s="21" t="s">
        <v>9</v>
      </c>
      <c r="E8" s="21" t="s">
        <v>9</v>
      </c>
      <c r="F8" s="21" t="s">
        <v>9</v>
      </c>
      <c r="G8" s="21" t="s">
        <v>9</v>
      </c>
    </row>
    <row r="9" spans="1:7" ht="8.25" customHeight="1" x14ac:dyDescent="0.4">
      <c r="A9" s="23">
        <v>9</v>
      </c>
      <c r="B9" s="21" t="s">
        <v>9</v>
      </c>
      <c r="C9" s="21" t="s">
        <v>9</v>
      </c>
      <c r="D9" s="21" t="s">
        <v>9</v>
      </c>
      <c r="E9" s="21" t="s">
        <v>9</v>
      </c>
      <c r="F9" s="21" t="s">
        <v>9</v>
      </c>
      <c r="G9" s="21" t="s">
        <v>9</v>
      </c>
    </row>
    <row r="10" spans="1:7" ht="8.25" customHeight="1" x14ac:dyDescent="0.4">
      <c r="A10" s="23">
        <v>10</v>
      </c>
      <c r="B10" s="21" t="s">
        <v>9</v>
      </c>
      <c r="C10" s="21" t="s">
        <v>9</v>
      </c>
      <c r="D10" s="21" t="s">
        <v>9</v>
      </c>
      <c r="E10" s="21" t="s">
        <v>9</v>
      </c>
      <c r="F10" s="21" t="s">
        <v>9</v>
      </c>
      <c r="G10" s="21" t="s">
        <v>9</v>
      </c>
    </row>
    <row r="11" spans="1:7" ht="8.25" customHeight="1" x14ac:dyDescent="0.4">
      <c r="A11" s="23">
        <v>11</v>
      </c>
      <c r="B11" s="21" t="s">
        <v>9</v>
      </c>
      <c r="C11" s="21" t="s">
        <v>9</v>
      </c>
      <c r="D11" s="21" t="s">
        <v>9</v>
      </c>
      <c r="E11" s="21" t="s">
        <v>9</v>
      </c>
      <c r="F11" s="21" t="s">
        <v>9</v>
      </c>
      <c r="G11" s="21" t="s">
        <v>9</v>
      </c>
    </row>
    <row r="12" spans="1:7" ht="8.25" customHeight="1" x14ac:dyDescent="0.4">
      <c r="A12" s="23">
        <v>12</v>
      </c>
      <c r="B12" s="21" t="s">
        <v>9</v>
      </c>
      <c r="C12" s="21" t="s">
        <v>9</v>
      </c>
      <c r="D12" s="21" t="s">
        <v>9</v>
      </c>
      <c r="E12" s="21" t="s">
        <v>9</v>
      </c>
      <c r="F12" s="21" t="s">
        <v>9</v>
      </c>
      <c r="G12" s="21" t="s">
        <v>9</v>
      </c>
    </row>
    <row r="13" spans="1:7" ht="8.25" customHeight="1" x14ac:dyDescent="0.4">
      <c r="A13" s="23">
        <v>13</v>
      </c>
      <c r="B13" s="21" t="s">
        <v>9</v>
      </c>
      <c r="C13" s="21" t="s">
        <v>9</v>
      </c>
      <c r="D13" s="21" t="s">
        <v>9</v>
      </c>
      <c r="E13" s="21" t="s">
        <v>9</v>
      </c>
      <c r="F13" s="21" t="s">
        <v>9</v>
      </c>
      <c r="G13" s="21" t="s">
        <v>9</v>
      </c>
    </row>
    <row r="14" spans="1:7" ht="8.25" customHeight="1" x14ac:dyDescent="0.4">
      <c r="A14" s="23">
        <v>14</v>
      </c>
      <c r="B14" s="21" t="s">
        <v>9</v>
      </c>
      <c r="C14" s="21" t="s">
        <v>9</v>
      </c>
      <c r="D14" s="21" t="s">
        <v>9</v>
      </c>
      <c r="E14" s="21" t="s">
        <v>9</v>
      </c>
      <c r="F14" s="21" t="s">
        <v>9</v>
      </c>
      <c r="G14" s="21" t="s">
        <v>9</v>
      </c>
    </row>
    <row r="15" spans="1:7" ht="8.25" customHeight="1" x14ac:dyDescent="0.4">
      <c r="A15" s="23">
        <v>15</v>
      </c>
      <c r="B15" s="21" t="s">
        <v>9</v>
      </c>
      <c r="C15" s="21" t="s">
        <v>9</v>
      </c>
      <c r="D15" s="21" t="s">
        <v>9</v>
      </c>
      <c r="E15" s="21" t="s">
        <v>9</v>
      </c>
      <c r="F15" s="21" t="s">
        <v>9</v>
      </c>
      <c r="G15" s="21" t="s">
        <v>9</v>
      </c>
    </row>
  </sheetData>
  <phoneticPr fontId="1" type="noConversion"/>
  <conditionalFormatting sqref="A1:G1 B16:G1048576 C2:G15">
    <cfRule type="containsText" dxfId="2" priority="5" operator="containsText" text="null">
      <formula>NOT(ISERROR(SEARCH("null",A1)))</formula>
    </cfRule>
  </conditionalFormatting>
  <conditionalFormatting sqref="B16:B1048576 A1:B1">
    <cfRule type="duplicateValues" dxfId="1" priority="6"/>
  </conditionalFormatting>
  <conditionalFormatting sqref="B16:B1048576 B1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2026-08-09T15:57:47Z</dcterms:modified>
  <dc:language>pt-BR</dc:language>
</cp:coreProperties>
</file>