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INCE\"/>
    </mc:Choice>
  </mc:AlternateContent>
  <xr:revisionPtr revIDLastSave="0" documentId="13_ncr:1_{CF3CF23D-8821-427D-B3D2-D6CE2D714A21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U24" i="17"/>
  <c r="T24" i="17"/>
  <c r="S24" i="17"/>
  <c r="M24" i="17"/>
  <c r="L24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3" i="17"/>
  <c r="S3" i="17"/>
  <c r="W2" i="17"/>
  <c r="S19" i="17"/>
  <c r="U19" i="17"/>
  <c r="S20" i="17"/>
  <c r="U20" i="17"/>
  <c r="S21" i="17"/>
  <c r="U21" i="17"/>
  <c r="S22" i="17"/>
  <c r="U22" i="17"/>
  <c r="S23" i="17"/>
  <c r="U23" i="17"/>
  <c r="M23" i="17"/>
  <c r="L23" i="17"/>
  <c r="M22" i="17"/>
  <c r="L22" i="17"/>
  <c r="M21" i="17"/>
  <c r="L21" i="17"/>
  <c r="M20" i="17"/>
  <c r="L20" i="17"/>
  <c r="M19" i="17"/>
  <c r="L19" i="17"/>
  <c r="V2" i="17"/>
  <c r="U2" i="17"/>
  <c r="T2" i="17"/>
  <c r="O2" i="17"/>
  <c r="M2" i="17"/>
  <c r="L2" i="17"/>
  <c r="U3" i="17"/>
  <c r="M3" i="17"/>
  <c r="L3" i="17"/>
  <c r="U18" i="17"/>
  <c r="S18" i="17"/>
  <c r="M18" i="17"/>
  <c r="L18" i="17"/>
  <c r="U17" i="17"/>
  <c r="S17" i="17"/>
  <c r="O17" i="17"/>
  <c r="M17" i="17"/>
  <c r="L17" i="17"/>
  <c r="U16" i="17"/>
  <c r="S16" i="17"/>
  <c r="O16" i="17"/>
  <c r="M16" i="17"/>
  <c r="L16" i="17"/>
  <c r="U15" i="17"/>
  <c r="S15" i="17"/>
  <c r="O15" i="17"/>
  <c r="M15" i="17"/>
  <c r="L15" i="17"/>
  <c r="U14" i="17"/>
  <c r="S14" i="17"/>
  <c r="O14" i="17"/>
  <c r="M14" i="17"/>
  <c r="L14" i="17"/>
  <c r="U13" i="17"/>
  <c r="S13" i="17"/>
  <c r="O13" i="17"/>
  <c r="M13" i="17"/>
  <c r="L13" i="17"/>
  <c r="U12" i="17"/>
  <c r="S12" i="17"/>
  <c r="O12" i="17"/>
  <c r="M12" i="17"/>
  <c r="L12" i="17"/>
  <c r="U11" i="17"/>
  <c r="S11" i="17"/>
  <c r="O11" i="17"/>
  <c r="M11" i="17"/>
  <c r="L11" i="17"/>
  <c r="U10" i="17"/>
  <c r="S10" i="17"/>
  <c r="O10" i="17"/>
  <c r="M10" i="17"/>
  <c r="L10" i="17"/>
  <c r="U9" i="17"/>
  <c r="S9" i="17"/>
  <c r="O9" i="17"/>
  <c r="M9" i="17"/>
  <c r="L9" i="17"/>
  <c r="U8" i="17"/>
  <c r="S8" i="17"/>
  <c r="O8" i="17"/>
  <c r="M8" i="17"/>
  <c r="L8" i="17"/>
  <c r="U7" i="17"/>
  <c r="S7" i="17"/>
  <c r="O7" i="17"/>
  <c r="M7" i="17"/>
  <c r="L7" i="17"/>
  <c r="U6" i="17"/>
  <c r="S6" i="17"/>
  <c r="O6" i="17"/>
  <c r="M6" i="17"/>
  <c r="L6" i="17"/>
  <c r="U5" i="17"/>
  <c r="S5" i="17"/>
  <c r="O5" i="17"/>
  <c r="M5" i="17"/>
  <c r="L5" i="17"/>
  <c r="U4" i="17"/>
  <c r="S4" i="17"/>
  <c r="O4" i="17"/>
  <c r="M4" i="17"/>
  <c r="L4" i="17"/>
  <c r="Q24" i="17"/>
  <c r="Q21" i="17"/>
  <c r="Q20" i="17"/>
  <c r="Q22" i="17"/>
  <c r="Q19" i="17"/>
  <c r="Q23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<sst xmlns="http://schemas.openxmlformats.org/spreadsheetml/2006/main" count="932" uniqueCount="272">
  <si>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</si>
  <si>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</si>
  <si>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</si>
  <si>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</si>
  <si>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</si>
  <si>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</si>
  <si>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</si>
  <si>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</si>
  <si>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</si>
  <si>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</si>
  <si>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</si>
  <si>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</si>
  <si>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</si>
  <si>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</si>
  <si>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</si>
  <si>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</si>
  <si>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</si>
  <si>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</si>
  <si>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</si>
  <si>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</si>
  <si>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</si>
  <si>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</si>
  <si>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</si>
  <si>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</si>
  <si>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</si>
  <si>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</si>
  <si>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</si>
  <si>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</si>
  <si>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</si>
  <si>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</si>
  <si>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</si>
  <si>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</si>
  <si>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</si>
  <si>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</si>
  <si>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</si>
  <si>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</si>
  <si>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</si>
  <si>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</si>
  <si>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</si>
  <si>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</si>
  <si>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</si>
  <si>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</si>
  <si>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</si>
  <si>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</si>
  <si>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</si>
  <si>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</si>
  <si>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</si>
  <si>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</si>
  <si>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</si>
  <si>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</si>
  <si>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</si>
  <si>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</si>
  <si>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</si>
  <si>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</si>
  <si>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</si>
  <si>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</si>
  <si>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</si>
  <si>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</si>
  <si>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</si>
  <si>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</si>
  <si>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</si>
  <si>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</si>
  <si>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</si>
  <si>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</si>
  <si>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</si>
  <si>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</si>
  <si>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</si>
  <si>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</si>
  <si>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</si>
  <si>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</si>
  <si>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</si>
  <si>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</si>
  <si>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</si>
  <si>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</si>
  <si>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</si>
  <si>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</si>
  <si>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</si>
  <si>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</si>
  <si>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</si>
  <si>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</si>
  <si>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</si>
  <si>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</si>
  <si>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</si>
  <si>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</si>
  <si>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</si>
  <si>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Gestão</t>
  </si>
  <si>
    <t>Produzido</t>
  </si>
  <si>
    <t>Informação</t>
  </si>
  <si>
    <t>Define um contêiner de informção de acordo à norma NBR 19650-1.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</si>
  <si>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</si>
  <si>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</si>
  <si>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</si>
  <si>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</si>
  <si>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</si>
  <si>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</si>
  <si>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</si>
  <si>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</si>
  <si>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</si>
  <si>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</si>
  <si>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</si>
  <si>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</si>
  <si>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</si>
  <si>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</si>
  <si>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Defines an information container in accordance with the NBR 19650-1 standard.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</si>
  <si>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</si>
  <si>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</si>
  <si>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</si>
  <si>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</si>
  <si>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</si>
  <si>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</si>
  <si>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</si>
  <si>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</si>
  <si>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</si>
  <si>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é.pertencente.a</t>
  </si>
  <si>
    <t>"Indivíduo Conteiner Superior que representa Informações contidas no Projeto Específico 01"</t>
  </si>
  <si>
    <t>Sistema.Predial</t>
  </si>
  <si>
    <t>Cisterna Superior</t>
  </si>
  <si>
    <t>Cisterna Inferior</t>
  </si>
  <si>
    <t>Tubulação de Água Fria</t>
  </si>
  <si>
    <t>Cisterna Intermediária</t>
  </si>
  <si>
    <t>Instalações</t>
  </si>
  <si>
    <t>[ IfcTank ]</t>
  </si>
  <si>
    <t>"[ IfcPipeSegment , IfcPipeFitting ]"</t>
  </si>
  <si>
    <t>[ OST_PipingSystem ]</t>
  </si>
  <si>
    <t>Acessório do sistema de agua como suportes, ganchos, pedestais, etc.</t>
  </si>
  <si>
    <t>[ IfcDistributionSystemDRAINAGE ]</t>
  </si>
  <si>
    <t>"[ OST_PipingSystem ]"</t>
  </si>
  <si>
    <t>"[ OST_PipeSegments , OST_PipeFitting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</si>
  <si>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</si>
  <si>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</si>
  <si>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</si>
  <si>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</si>
  <si>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</si>
  <si>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</si>
  <si>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Sis.Incêndio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</si>
  <si>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</si>
  <si>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</si>
  <si>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</si>
  <si>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</si>
  <si>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</si>
  <si>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</si>
  <si>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</si>
  <si>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</si>
  <si>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</si>
  <si>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</si>
  <si>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</si>
  <si>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</si>
  <si>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</si>
  <si>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</si>
  <si>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</si>
  <si>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</si>
  <si>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</si>
  <si>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</si>
  <si>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</si>
  <si>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</si>
  <si>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</si>
  <si>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</si>
  <si>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</si>
  <si>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</si>
  <si>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</si>
  <si>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</si>
  <si>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</si>
  <si>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</si>
  <si>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</si>
  <si>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</si>
  <si>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</si>
  <si>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</si>
  <si>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</si>
  <si>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</si>
  <si>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</si>
  <si>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</si>
  <si>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</si>
  <si>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</si>
  <si>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</si>
  <si>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</si>
  <si>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</si>
  <si>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</si>
  <si>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</si>
  <si>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</si>
  <si>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</si>
  <si>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</si>
  <si>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</si>
  <si>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</si>
  <si>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</si>
  <si>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</si>
  <si>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</si>
  <si>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</si>
  <si>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</si>
  <si>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</si>
  <si>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</si>
  <si>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Alarm activation mechanism in which a protective glass needs to be broken to allow the button to be pressed.</t>
  </si>
  <si>
    <t>Alarm of Light.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</si>
  <si>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</si>
  <si>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</si>
  <si>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</si>
  <si>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</si>
  <si>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</si>
  <si>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</si>
  <si>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</si>
  <si>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</si>
  <si>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</si>
  <si>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</si>
  <si>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</si>
  <si>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</si>
  <si>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</si>
  <si>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</si>
  <si>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Device that signals the existence of a condition or situation of danger.</t>
  </si>
  <si>
    <t>Audible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</si>
  <si>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</si>
  <si>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</si>
  <si>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</si>
  <si>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</si>
  <si>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</si>
  <si>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</si>
  <si>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</si>
  <si>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</si>
  <si>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</si>
  <si>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</si>
  <si>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</si>
  <si>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 xml:space="preserve">Fire suppression Pipe to feed Sprinkler </t>
  </si>
  <si>
    <t xml:space="preserve">Fire suppression Pipe to feed Hidrants </t>
  </si>
  <si>
    <t>Upper Reserve Fire Cistern</t>
  </si>
  <si>
    <t>Intermediate Reserve Fire Cistern</t>
  </si>
  <si>
    <t>Lower Reserve Fire Cistern</t>
  </si>
  <si>
    <t>Fire suppression system accessory like brackets, hooks, pedestals, etc.</t>
  </si>
  <si>
    <t>Sis_INC_01</t>
  </si>
  <si>
    <t>"Indivíduo Conteiner que representa um sistema de Combate a Incêndio do projeto"</t>
  </si>
  <si>
    <t>SPK_ID_453908</t>
  </si>
  <si>
    <t>SPK_ID_453909</t>
  </si>
  <si>
    <t>TuboInc_ID_678250</t>
  </si>
  <si>
    <t>TuboInc_ID_678251</t>
  </si>
  <si>
    <t>TuboInc_ID_678252</t>
  </si>
  <si>
    <t>TuboInc_ID_678253</t>
  </si>
  <si>
    <t>TuboInc_ID_678254</t>
  </si>
  <si>
    <t>TuboInc_ID_678255</t>
  </si>
  <si>
    <t>TuboInc_ID_678256</t>
  </si>
  <si>
    <t>TuboInc_ID_678257</t>
  </si>
  <si>
    <t>TuboInc_ID_678258</t>
  </si>
  <si>
    <t>TuboInc_ID_678259</t>
  </si>
  <si>
    <t>TuboInc_ID_678260</t>
  </si>
  <si>
    <t>TuboInc_ID_678261</t>
  </si>
  <si>
    <t>Sis_INC_02</t>
  </si>
  <si>
    <t>"Instância de Tubulação que pertence ao sistema INC01 pode ser individualizado pelo ID de Revit ou pelo indentificador IfcGlobalId de IFC"</t>
  </si>
  <si>
    <t>"Instância de Tubulação que pertence ao sistema INC02 pode ser individualizado pelo ID de Revit ou pelo indentificador IfcGlobalId de IFC"</t>
  </si>
  <si>
    <t>"Instância de Sprinkler que pertence ao sistema INC01 pode ser individualizado pelo ID de Revit ou pelo indentificador IfcGlobalId de IFC"</t>
  </si>
  <si>
    <t>"Instância de Sprinkler que pertence ao sistema INC02 pode ser individualizado pelo ID de Revit ou pelo indentificador IfcGlobalId de IFC"</t>
  </si>
  <si>
    <t>"Nome da empresa fabricante do produto."</t>
  </si>
  <si>
    <t>"Sistema de Incêndio 1 do Predio"</t>
  </si>
  <si>
    <t>"Sistema de Incêndio 2 do Predio"</t>
  </si>
  <si>
    <t>"[ OST_Sprinklers ]"</t>
  </si>
  <si>
    <t>"[ IfcFireSuppressionTerminalSPRINKLER ]"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</si>
  <si>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</si>
  <si>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</si>
  <si>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</si>
  <si>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</si>
  <si>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</si>
  <si>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</si>
  <si>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</si>
  <si>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</si>
  <si>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</si>
  <si>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</si>
  <si>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</si>
  <si>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</si>
  <si>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</si>
  <si>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"[ 3E.62 ]"</t>
  </si>
  <si>
    <t>Sistema de Combate a Incêndio Predial</t>
  </si>
  <si>
    <t>Sistema de Combate a Incendio Predial</t>
  </si>
  <si>
    <t>Building Fire Protection System</t>
  </si>
  <si>
    <t>Alarmes.de.Incêndio</t>
  </si>
  <si>
    <t>Peças.de.Incêndio</t>
  </si>
  <si>
    <t>Tubulação.de.Incêndio</t>
  </si>
  <si>
    <t>Reserva.Intermediária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</si>
</sst>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6" borderId="4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9" borderId="4" xfId="0" applyFont="1" applyFill="1" applyBorder="1" applyAlignment="1">
      <alignment horizontal="center" vertical="center"/>
    </xf>
    <xf numFmtId="0" fontId="8" fillId="9" borderId="4" xfId="0" applyFont="1" applyFill="1" applyBorder="1" applyAlignment="1">
      <alignment horizontal="left" vertical="center"/>
    </xf>
    <xf numFmtId="0" fontId="8" fillId="9" borderId="4" xfId="0" applyFont="1" applyFill="1" applyBorder="1" applyAlignment="1">
      <alignment vertical="center"/>
    </xf>
    <xf numFmtId="0" fontId="4" fillId="10" borderId="4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0" fontId="6" fillId="13" borderId="4" xfId="0" applyFont="1" applyFill="1" applyBorder="1" applyAlignment="1">
      <alignment horizontal="left" vertical="center"/>
    </xf>
    <xf numFmtId="0" fontId="4" fillId="13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5" borderId="4" xfId="0" applyFont="1" applyFill="1" applyBorder="1" applyAlignment="1">
      <alignment horizontal="left" vertical="center" wrapText="1"/>
    </xf>
    <xf numFmtId="0" fontId="3" fillId="16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3" fillId="15" borderId="4" xfId="0" applyFont="1" applyFill="1" applyBorder="1" applyAlignment="1">
      <alignment horizontal="center" vertical="center" wrapText="1"/>
    </xf>
    <xf numFmtId="0" fontId="2" fillId="18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20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3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6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1" borderId="4" xfId="0" applyFont="1" applyFill="1" applyBorder="1" applyAlignment="1">
      <alignment vertical="center" wrapText="1"/>
    </xf>
    <xf numFmtId="0" fontId="8" fillId="9" borderId="4" xfId="0" applyFont="1" applyFill="1" applyBorder="1" applyAlignment="1">
      <alignment vertical="center" wrapText="1"/>
    </xf>
    <xf numFmtId="0" fontId="6" fillId="14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2" fillId="17" borderId="5" xfId="0" applyFont="1" applyFill="1" applyBorder="1" applyAlignment="1">
      <alignment horizontal="left" vertical="center"/>
    </xf>
    <xf numFmtId="0" fontId="6" fillId="6" borderId="4" xfId="0" applyFont="1" applyFill="1" applyBorder="1" applyAlignment="1">
      <alignment horizontal="left" vertical="center" wrapText="1"/>
    </xf>
    <xf numFmtId="0" fontId="2" fillId="6" borderId="5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6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4" borderId="4" xfId="0" applyFont="1" applyFill="1" applyBorder="1" applyAlignment="1">
      <alignment horizontal="left" vertical="center"/>
    </xf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4" customWidth="1"/>
    <col min="2" max="2" width="40.07421875" style="64" customWidth="1"/>
    <col min="3" max="3" width="3.4609375" style="46" bestFit="1" customWidth="1"/>
    <col min="4" max="16384" width="9.15234375" style="64"/>
  </cols>
  <sheetData>
    <row r="1" spans="1:3" ht="20.25" customHeight="1" x14ac:dyDescent="0.4">
      <c r="A1" s="12" t="s">
        <v>45</v>
      </c>
      <c r="B1" s="12" t="s">
        <v>46</v>
      </c>
      <c r="C1" s="44" t="s">
        <v>96</v>
      </c>
    </row>
    <row r="2" spans="1:3" ht="9" customHeight="1" x14ac:dyDescent="0.4">
      <c r="A2" s="13" t="s">
        <v>47</v>
      </c>
      <c r="B2" s="13" t="s">
        <v>48</v>
      </c>
      <c r="C2" s="45" t="s">
        <v>97</v>
      </c>
    </row>
    <row r="3" spans="1:3" ht="9" customHeight="1" x14ac:dyDescent="0.4">
      <c r="A3" s="13" t="s">
        <v>49</v>
      </c>
      <c r="B3" s="13" t="s">
        <v>128</v>
      </c>
      <c r="C3" s="45" t="s">
        <v>97</v>
      </c>
    </row>
    <row r="4" spans="1:3" ht="9" customHeight="1" x14ac:dyDescent="0.4">
      <c r="A4" s="14" t="s">
        <v>50</v>
      </c>
      <c r="B4" s="14" t="s">
        <v>32</v>
      </c>
      <c r="C4" s="45" t="s">
        <v>97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5" t="s">
        <v>97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5" t="s">
        <v>97</v>
      </c>
    </row>
    <row r="7" spans="1:3" ht="9" customHeight="1" x14ac:dyDescent="0.4">
      <c r="A7" s="14" t="s">
        <v>53</v>
      </c>
      <c r="B7" s="14" t="s">
        <v>54</v>
      </c>
      <c r="C7" s="45" t="s">
        <v>97</v>
      </c>
    </row>
    <row r="8" spans="1:3" s="43" customFormat="1" ht="9" customHeight="1" x14ac:dyDescent="0.4">
      <c r="A8" s="42" t="s">
        <v>55</v>
      </c>
      <c r="B8" s="42" t="s">
        <v>94</v>
      </c>
      <c r="C8" s="45" t="s">
        <v>97</v>
      </c>
    </row>
    <row r="9" spans="1:3" ht="9" customHeight="1" x14ac:dyDescent="0.4">
      <c r="A9" s="14" t="s">
        <v>56</v>
      </c>
      <c r="B9" s="14" t="s">
        <v>57</v>
      </c>
      <c r="C9" s="45" t="s">
        <v>97</v>
      </c>
    </row>
    <row r="10" spans="1:3" ht="9" customHeight="1" x14ac:dyDescent="0.4">
      <c r="A10" s="14" t="s">
        <v>58</v>
      </c>
      <c r="B10" s="14" t="s">
        <v>59</v>
      </c>
      <c r="C10" s="45" t="s">
        <v>97</v>
      </c>
    </row>
    <row r="11" spans="1:3" ht="9" customHeight="1" x14ac:dyDescent="0.4">
      <c r="A11" s="14" t="s">
        <v>60</v>
      </c>
      <c r="B11" s="14" t="s">
        <v>59</v>
      </c>
      <c r="C11" s="45" t="s">
        <v>97</v>
      </c>
    </row>
    <row r="12" spans="1:3" ht="9" customHeight="1" x14ac:dyDescent="0.4">
      <c r="A12" s="14" t="s">
        <v>61</v>
      </c>
      <c r="B12" s="14" t="s">
        <v>59</v>
      </c>
      <c r="C12" s="45" t="s">
        <v>97</v>
      </c>
    </row>
    <row r="13" spans="1:3" ht="9" customHeight="1" x14ac:dyDescent="0.4">
      <c r="A13" s="14" t="s">
        <v>62</v>
      </c>
      <c r="B13" s="14" t="s">
        <v>59</v>
      </c>
      <c r="C13" s="45" t="s">
        <v>97</v>
      </c>
    </row>
    <row r="14" spans="1:3" ht="9" customHeight="1" x14ac:dyDescent="0.4">
      <c r="A14" s="14" t="s">
        <v>63</v>
      </c>
      <c r="B14" s="14" t="s">
        <v>59</v>
      </c>
      <c r="C14" s="45" t="s">
        <v>97</v>
      </c>
    </row>
    <row r="15" spans="1:3" ht="9" customHeight="1" x14ac:dyDescent="0.4">
      <c r="A15" s="14" t="s">
        <v>64</v>
      </c>
      <c r="B15" s="14" t="s">
        <v>59</v>
      </c>
      <c r="C15" s="45" t="s">
        <v>97</v>
      </c>
    </row>
    <row r="16" spans="1:3" ht="9" customHeight="1" x14ac:dyDescent="0.4">
      <c r="A16" s="14" t="s">
        <v>65</v>
      </c>
      <c r="B16" s="14" t="s">
        <v>59</v>
      </c>
      <c r="C16" s="45" t="s">
        <v>97</v>
      </c>
    </row>
    <row r="17" spans="1:3" ht="9" customHeight="1" x14ac:dyDescent="0.4">
      <c r="A17" s="14" t="s">
        <v>66</v>
      </c>
      <c r="B17" s="14" t="s">
        <v>129</v>
      </c>
      <c r="C17" s="45" t="s">
        <v>97</v>
      </c>
    </row>
    <row r="18" spans="1:3" ht="9" customHeight="1" x14ac:dyDescent="0.4">
      <c r="A18" s="14" t="s">
        <v>67</v>
      </c>
      <c r="B18" s="15">
        <f ca="1">NOW()</f>
        <v>46134.927114814818</v>
      </c>
      <c r="C18" s="45" t="s">
        <v>97</v>
      </c>
    </row>
    <row r="19" spans="1:3" ht="9" customHeight="1" x14ac:dyDescent="0.4">
      <c r="A19" s="14" t="s">
        <v>68</v>
      </c>
      <c r="B19" s="15" t="s">
        <v>69</v>
      </c>
      <c r="C19" s="45" t="s">
        <v>97</v>
      </c>
    </row>
    <row r="20" spans="1:3" ht="9" customHeight="1" x14ac:dyDescent="0.4">
      <c r="A20" s="14" t="s">
        <v>70</v>
      </c>
      <c r="B20" s="14" t="s">
        <v>59</v>
      </c>
      <c r="C20" s="45" t="s">
        <v>97</v>
      </c>
    </row>
    <row r="21" spans="1:3" ht="9" customHeight="1" x14ac:dyDescent="0.4">
      <c r="A21" s="14" t="s">
        <v>71</v>
      </c>
      <c r="B21" s="14" t="s">
        <v>59</v>
      </c>
      <c r="C21" s="45" t="s">
        <v>97</v>
      </c>
    </row>
    <row r="22" spans="1:3" ht="9" customHeight="1" x14ac:dyDescent="0.4">
      <c r="A22" s="14" t="s">
        <v>72</v>
      </c>
      <c r="B22" s="16" t="s">
        <v>130</v>
      </c>
      <c r="C22" s="45" t="s">
        <v>97</v>
      </c>
    </row>
    <row r="23" spans="1:3" ht="9" customHeight="1" x14ac:dyDescent="0.4">
      <c r="A23" s="14" t="s">
        <v>73</v>
      </c>
      <c r="B23" s="16" t="s">
        <v>131</v>
      </c>
      <c r="C23" s="45" t="s">
        <v>98</v>
      </c>
    </row>
    <row r="24" spans="1:3" s="43" customFormat="1" ht="9" customHeight="1" x14ac:dyDescent="0.4">
      <c r="A24" s="14" t="s">
        <v>95</v>
      </c>
      <c r="B24" s="16" t="str">
        <f>_xlfn.TRANSLATE(B22,"pt","en")</f>
        <v>Formalize elements of the BIM project. Specific Fire Fighting Objects</v>
      </c>
      <c r="C24" s="45" t="s">
        <v>99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24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F22" sqref="F22"/>
    </sheetView>
  </sheetViews>
  <sheetFormatPr defaultColWidth="9.15234375" defaultRowHeight="6.65" customHeight="1" x14ac:dyDescent="0.4"/>
  <cols>
    <col min="1" max="1" width="3.84375" bestFit="1" customWidth="1"/>
    <col min="2" max="2" width="4.3828125" bestFit="1" customWidth="1"/>
    <col min="3" max="3" width="7.4609375" customWidth="1"/>
    <col min="4" max="4" width="7.07421875" customWidth="1"/>
    <col min="5" max="5" width="9.84375" customWidth="1"/>
    <col min="6" max="6" width="10.765625" style="47" customWidth="1"/>
    <col min="7" max="11" width="6.3046875" style="37" customWidth="1"/>
    <col min="12" max="12" width="7.4609375" customWidth="1"/>
    <col min="13" max="13" width="9" customWidth="1"/>
    <col min="14" max="14" width="9.61328125" customWidth="1"/>
    <col min="15" max="15" width="14.84375" customWidth="1"/>
    <col min="16" max="16" width="49.53515625" bestFit="1" customWidth="1"/>
    <col min="17" max="17" width="30.53515625" customWidth="1"/>
    <col min="18" max="18" width="3.84375" bestFit="1" customWidth="1"/>
    <col min="19" max="19" width="6.921875" customWidth="1"/>
    <col min="20" max="20" width="7.23046875" customWidth="1"/>
    <col min="21" max="21" width="8.84375" customWidth="1"/>
    <col min="22" max="22" width="5.921875" customWidth="1"/>
    <col min="23" max="23" width="9" style="62" bestFit="1" customWidth="1"/>
    <col min="24" max="24" width="53.07421875" style="62" customWidth="1"/>
    <col min="25" max="25" width="22.07421875" style="63" customWidth="1"/>
    <col min="26" max="26" width="5.61328125" style="62" customWidth="1"/>
    <col min="27" max="27" width="44.69140625" customWidth="1"/>
  </cols>
  <sheetData>
    <row r="1" spans="1:27" ht="55.5" customHeight="1" x14ac:dyDescent="0.4">
      <c r="A1" s="49" t="s">
        <v>100</v>
      </c>
      <c r="B1" s="50" t="s">
        <v>42</v>
      </c>
      <c r="C1" s="50" t="s">
        <v>40</v>
      </c>
      <c r="D1" s="50" t="s">
        <v>41</v>
      </c>
      <c r="E1" s="50" t="s">
        <v>39</v>
      </c>
      <c r="F1" s="50" t="s">
        <v>36</v>
      </c>
      <c r="G1" s="51" t="s">
        <v>0</v>
      </c>
      <c r="H1" s="51" t="s">
        <v>1</v>
      </c>
      <c r="I1" s="51" t="s">
        <v>2</v>
      </c>
      <c r="J1" s="51" t="s">
        <v>3</v>
      </c>
      <c r="K1" s="51" t="s">
        <v>4</v>
      </c>
      <c r="L1" s="40" t="s">
        <v>101</v>
      </c>
      <c r="M1" s="40" t="s">
        <v>5</v>
      </c>
      <c r="N1" s="40" t="s">
        <v>6</v>
      </c>
      <c r="O1" s="40" t="s">
        <v>7</v>
      </c>
      <c r="P1" s="40" t="s">
        <v>37</v>
      </c>
      <c r="Q1" s="40" t="s">
        <v>43</v>
      </c>
      <c r="R1" s="52" t="s">
        <v>102</v>
      </c>
      <c r="S1" s="40" t="s">
        <v>33</v>
      </c>
      <c r="T1" s="40" t="s">
        <v>38</v>
      </c>
      <c r="U1" s="53" t="s">
        <v>35</v>
      </c>
      <c r="V1" s="40" t="s">
        <v>34</v>
      </c>
      <c r="W1" s="66" t="s">
        <v>8</v>
      </c>
      <c r="X1" s="40" t="s">
        <v>90</v>
      </c>
      <c r="Y1" s="40" t="s">
        <v>91</v>
      </c>
      <c r="Z1" s="40" t="s">
        <v>92</v>
      </c>
      <c r="AA1" s="41" t="s">
        <v>93</v>
      </c>
    </row>
    <row r="2" spans="1:27" ht="6.65" customHeight="1" x14ac:dyDescent="0.4">
      <c r="A2" s="32">
        <v>2</v>
      </c>
      <c r="B2" s="1" t="s">
        <v>44</v>
      </c>
      <c r="C2" s="33" t="s">
        <v>85</v>
      </c>
      <c r="D2" s="1" t="s">
        <v>86</v>
      </c>
      <c r="E2" s="1" t="s">
        <v>87</v>
      </c>
      <c r="F2" s="61" t="s">
        <v>84</v>
      </c>
      <c r="G2" s="38" t="s">
        <v>9</v>
      </c>
      <c r="H2" s="38" t="s">
        <v>9</v>
      </c>
      <c r="I2" s="38" t="s">
        <v>9</v>
      </c>
      <c r="J2" s="38" t="s">
        <v>9</v>
      </c>
      <c r="K2" s="38" t="s">
        <v>9</v>
      </c>
      <c r="L2" s="34" t="str">
        <f t="shared" ref="L2" si="0">CONCATENATE("", C2)</f>
        <v>Gestão</v>
      </c>
      <c r="M2" s="34" t="str">
        <f t="shared" ref="M2" si="1">CONCATENATE("", D2)</f>
        <v>Produzido</v>
      </c>
      <c r="N2" s="34" t="s">
        <v>87</v>
      </c>
      <c r="O2" s="30" t="str">
        <f t="shared" ref="O2" si="2">IF(ISNUMBER(FIND("Ifc",F2)),CONCATENATE("Classe IFC:   ",F2),CONCATENATE("Categ.  Rvt:   ",F2))</f>
        <v>Categ.  Rvt:   Contêiner</v>
      </c>
      <c r="P2" s="30" t="s">
        <v>88</v>
      </c>
      <c r="Q2" s="30" t="s">
        <v>89</v>
      </c>
      <c r="R2" s="35" t="s">
        <v>9</v>
      </c>
      <c r="S2" s="36" t="s">
        <v>85</v>
      </c>
      <c r="T2" s="36" t="str">
        <f t="shared" ref="T2" si="3">SUBSTITUTE(D2, "_", " ")</f>
        <v>Produzido</v>
      </c>
      <c r="U2" s="36" t="str">
        <f t="shared" ref="U2" si="4">SUBSTITUTE(E2, "_", " ")</f>
        <v>Informação</v>
      </c>
      <c r="V2" s="36" t="str">
        <f t="shared" ref="V2" si="5">SUBSTITUTE(C2, "_", " ")</f>
        <v>Gestão</v>
      </c>
      <c r="W2" s="67" t="str">
        <f>CONCATENATE("Key-INC-",A2)</f>
        <v>Key-INC-2</v>
      </c>
      <c r="X2" s="30" t="s">
        <v>9</v>
      </c>
      <c r="Y2" s="30" t="s">
        <v>9</v>
      </c>
      <c r="Z2" s="30" t="s">
        <v>9</v>
      </c>
      <c r="AA2" s="30" t="s">
        <v>103</v>
      </c>
    </row>
    <row r="3" spans="1:27" ht="6.65" customHeight="1" x14ac:dyDescent="0.4">
      <c r="A3" s="32">
        <v>3</v>
      </c>
      <c r="B3" s="1" t="s">
        <v>44</v>
      </c>
      <c r="C3" s="48" t="s">
        <v>115</v>
      </c>
      <c r="D3" s="1" t="s">
        <v>134</v>
      </c>
      <c r="E3" s="48" t="s">
        <v>133</v>
      </c>
      <c r="F3" s="48" t="s">
        <v>132</v>
      </c>
      <c r="G3" s="38" t="s">
        <v>9</v>
      </c>
      <c r="H3" s="38" t="s">
        <v>9</v>
      </c>
      <c r="I3" s="38" t="s">
        <v>9</v>
      </c>
      <c r="J3" s="38" t="s">
        <v>9</v>
      </c>
      <c r="K3" s="38" t="s">
        <v>9</v>
      </c>
      <c r="L3" s="34" t="str">
        <f t="shared" ref="L3" si="6">CONCATENATE("", C3)</f>
        <v>Sistema.Predial</v>
      </c>
      <c r="M3" s="34" t="str">
        <f t="shared" ref="M3" si="7">CONCATENATE("", D3)</f>
        <v>Sis.Incêndio</v>
      </c>
      <c r="N3" s="34" t="s">
        <v>259</v>
      </c>
      <c r="O3" s="30" t="s">
        <v>258</v>
      </c>
      <c r="P3" s="59" t="s">
        <v>265</v>
      </c>
      <c r="Q3" s="59" t="s">
        <v>266</v>
      </c>
      <c r="R3" s="35" t="s">
        <v>9</v>
      </c>
      <c r="S3" s="36" t="str">
        <f t="shared" ref="S3:U18" si="8">SUBSTITUTE(C3, ".", " ")</f>
        <v>Sistema Predial</v>
      </c>
      <c r="T3" s="36" t="str">
        <f t="shared" si="8"/>
        <v>Sis Incêndio</v>
      </c>
      <c r="U3" s="36" t="str">
        <f t="shared" ref="U3" si="9">SUBSTITUTE(E3, "_", " ")</f>
        <v>Sistema.Combate</v>
      </c>
      <c r="V3" s="36" t="s">
        <v>120</v>
      </c>
      <c r="W3" s="67" t="str">
        <f t="shared" ref="W3:W24" si="10">CONCATENATE("Key-INC-",A3)</f>
        <v>Key-INC-3</v>
      </c>
      <c r="X3" s="29" t="s">
        <v>123</v>
      </c>
      <c r="Y3" s="29" t="s">
        <v>125</v>
      </c>
      <c r="Z3" s="30" t="s">
        <v>263</v>
      </c>
      <c r="AA3" s="30" t="s">
        <v>267</v>
      </c>
    </row>
    <row r="4" spans="1:27" ht="6" customHeight="1" x14ac:dyDescent="0.4">
      <c r="A4" s="32">
        <v>4</v>
      </c>
      <c r="B4" s="1" t="s">
        <v>44</v>
      </c>
      <c r="C4" s="48" t="s">
        <v>115</v>
      </c>
      <c r="D4" s="1" t="s">
        <v>134</v>
      </c>
      <c r="E4" s="1" t="s">
        <v>268</v>
      </c>
      <c r="F4" s="65" t="s">
        <v>139</v>
      </c>
      <c r="G4" s="38" t="s">
        <v>9</v>
      </c>
      <c r="H4" s="38" t="s">
        <v>9</v>
      </c>
      <c r="I4" s="38" t="s">
        <v>9</v>
      </c>
      <c r="J4" s="38" t="s">
        <v>9</v>
      </c>
      <c r="K4" s="38" t="s">
        <v>9</v>
      </c>
      <c r="L4" s="34" t="str">
        <f t="shared" ref="L4:M19" si="11">CONCATENATE("", C4)</f>
        <v>Sistema.Predial</v>
      </c>
      <c r="M4" s="34" t="str">
        <f t="shared" si="11"/>
        <v>Sis.Incêndio</v>
      </c>
      <c r="N4" s="34" t="s">
        <v>260</v>
      </c>
      <c r="O4" s="34" t="str">
        <f t="shared" ref="O4:O17" si="12">(SUBSTITUTE(SUBSTITUTE(CONCATENATE("",F4),"."," ")," De "," de "))</f>
        <v>Alarme</v>
      </c>
      <c r="P4" s="30" t="s">
        <v>140</v>
      </c>
      <c r="Q4" s="30" t="s">
        <v>141</v>
      </c>
      <c r="R4" s="35" t="s">
        <v>9</v>
      </c>
      <c r="S4" s="36" t="str">
        <f t="shared" si="8"/>
        <v>Sistema Predial</v>
      </c>
      <c r="T4" s="36" t="str">
        <f t="shared" si="8"/>
        <v>Sis Incêndio</v>
      </c>
      <c r="U4" s="36" t="str">
        <f t="shared" si="8"/>
        <v>Alarmes de Incêndio</v>
      </c>
      <c r="V4" s="36" t="s">
        <v>120</v>
      </c>
      <c r="W4" s="67" t="str">
        <f t="shared" si="10"/>
        <v>Key-INC-4</v>
      </c>
      <c r="X4" s="30" t="s">
        <v>184</v>
      </c>
      <c r="Y4" s="29" t="s">
        <v>192</v>
      </c>
      <c r="Z4" s="30" t="s">
        <v>263</v>
      </c>
      <c r="AA4" s="30" t="s">
        <v>206</v>
      </c>
    </row>
    <row r="5" spans="1:27" ht="6" customHeight="1" x14ac:dyDescent="0.4">
      <c r="A5" s="32">
        <v>5</v>
      </c>
      <c r="B5" s="1" t="s">
        <v>44</v>
      </c>
      <c r="C5" s="48" t="s">
        <v>115</v>
      </c>
      <c r="D5" s="1" t="s">
        <v>134</v>
      </c>
      <c r="E5" s="1" t="s">
        <v>268</v>
      </c>
      <c r="F5" s="65" t="s">
        <v>142</v>
      </c>
      <c r="G5" s="38" t="s">
        <v>9</v>
      </c>
      <c r="H5" s="38" t="s">
        <v>9</v>
      </c>
      <c r="I5" s="38" t="s">
        <v>9</v>
      </c>
      <c r="J5" s="38" t="s">
        <v>9</v>
      </c>
      <c r="K5" s="38" t="s">
        <v>9</v>
      </c>
      <c r="L5" s="34" t="str">
        <f t="shared" si="11"/>
        <v>Sistema.Predial</v>
      </c>
      <c r="M5" s="34" t="str">
        <f t="shared" si="11"/>
        <v>Sis.Incêndio</v>
      </c>
      <c r="N5" s="34" t="s">
        <v>260</v>
      </c>
      <c r="O5" s="34" t="str">
        <f t="shared" si="12"/>
        <v>Alarme Campainha</v>
      </c>
      <c r="P5" s="30" t="s">
        <v>143</v>
      </c>
      <c r="Q5" s="30" t="s">
        <v>144</v>
      </c>
      <c r="R5" s="35" t="s">
        <v>9</v>
      </c>
      <c r="S5" s="36" t="str">
        <f t="shared" si="8"/>
        <v>Sistema Predial</v>
      </c>
      <c r="T5" s="36" t="str">
        <f t="shared" si="8"/>
        <v>Sis Incêndio</v>
      </c>
      <c r="U5" s="36" t="str">
        <f t="shared" si="8"/>
        <v>Alarmes de Incêndio</v>
      </c>
      <c r="V5" s="36" t="s">
        <v>120</v>
      </c>
      <c r="W5" s="67" t="str">
        <f t="shared" si="10"/>
        <v>Key-INC-5</v>
      </c>
      <c r="X5" s="30" t="s">
        <v>184</v>
      </c>
      <c r="Y5" s="29" t="s">
        <v>193</v>
      </c>
      <c r="Z5" s="30" t="s">
        <v>263</v>
      </c>
      <c r="AA5" s="30" t="s">
        <v>207</v>
      </c>
    </row>
    <row r="6" spans="1:27" ht="6" customHeight="1" x14ac:dyDescent="0.4">
      <c r="A6" s="32">
        <v>6</v>
      </c>
      <c r="B6" s="1" t="s">
        <v>44</v>
      </c>
      <c r="C6" s="48" t="s">
        <v>115</v>
      </c>
      <c r="D6" s="1" t="s">
        <v>134</v>
      </c>
      <c r="E6" s="1" t="s">
        <v>268</v>
      </c>
      <c r="F6" s="65" t="s">
        <v>145</v>
      </c>
      <c r="G6" s="38" t="s">
        <v>9</v>
      </c>
      <c r="H6" s="38" t="s">
        <v>9</v>
      </c>
      <c r="I6" s="38" t="s">
        <v>9</v>
      </c>
      <c r="J6" s="38" t="s">
        <v>9</v>
      </c>
      <c r="K6" s="38" t="s">
        <v>9</v>
      </c>
      <c r="L6" s="34" t="str">
        <f t="shared" si="11"/>
        <v>Sistema.Predial</v>
      </c>
      <c r="M6" s="34" t="str">
        <f t="shared" si="11"/>
        <v>Sis.Incêndio</v>
      </c>
      <c r="N6" s="34" t="s">
        <v>260</v>
      </c>
      <c r="O6" s="34" t="str">
        <f t="shared" si="12"/>
        <v>Alarme Campainha Caixa</v>
      </c>
      <c r="P6" s="30" t="s">
        <v>146</v>
      </c>
      <c r="Q6" s="30" t="s">
        <v>147</v>
      </c>
      <c r="R6" s="35" t="s">
        <v>9</v>
      </c>
      <c r="S6" s="36" t="str">
        <f t="shared" si="8"/>
        <v>Sistema Predial</v>
      </c>
      <c r="T6" s="36" t="str">
        <f t="shared" si="8"/>
        <v>Sis Incêndio</v>
      </c>
      <c r="U6" s="36" t="str">
        <f t="shared" si="8"/>
        <v>Alarmes de Incêndio</v>
      </c>
      <c r="V6" s="36" t="s">
        <v>120</v>
      </c>
      <c r="W6" s="67" t="str">
        <f t="shared" si="10"/>
        <v>Key-INC-6</v>
      </c>
      <c r="X6" s="30" t="s">
        <v>184</v>
      </c>
      <c r="Y6" s="29" t="s">
        <v>194</v>
      </c>
      <c r="Z6" s="30" t="s">
        <v>263</v>
      </c>
      <c r="AA6" s="30" t="s">
        <v>190</v>
      </c>
    </row>
    <row r="7" spans="1:27" ht="6" customHeight="1" x14ac:dyDescent="0.4">
      <c r="A7" s="32">
        <v>7</v>
      </c>
      <c r="B7" s="1" t="s">
        <v>44</v>
      </c>
      <c r="C7" s="48" t="s">
        <v>115</v>
      </c>
      <c r="D7" s="1" t="s">
        <v>134</v>
      </c>
      <c r="E7" s="1" t="s">
        <v>268</v>
      </c>
      <c r="F7" s="65" t="s">
        <v>148</v>
      </c>
      <c r="G7" s="38" t="s">
        <v>9</v>
      </c>
      <c r="H7" s="38" t="s">
        <v>9</v>
      </c>
      <c r="I7" s="38" t="s">
        <v>9</v>
      </c>
      <c r="J7" s="38" t="s">
        <v>9</v>
      </c>
      <c r="K7" s="38" t="s">
        <v>9</v>
      </c>
      <c r="L7" s="34" t="str">
        <f t="shared" si="11"/>
        <v>Sistema.Predial</v>
      </c>
      <c r="M7" s="34" t="str">
        <f t="shared" si="11"/>
        <v>Sis.Incêndio</v>
      </c>
      <c r="N7" s="34" t="s">
        <v>260</v>
      </c>
      <c r="O7" s="34" t="str">
        <f t="shared" si="12"/>
        <v>Alarme Lumínico</v>
      </c>
      <c r="P7" s="30" t="s">
        <v>149</v>
      </c>
      <c r="Q7" s="30" t="s">
        <v>150</v>
      </c>
      <c r="R7" s="35" t="s">
        <v>9</v>
      </c>
      <c r="S7" s="36" t="str">
        <f t="shared" si="8"/>
        <v>Sistema Predial</v>
      </c>
      <c r="T7" s="36" t="str">
        <f t="shared" si="8"/>
        <v>Sis Incêndio</v>
      </c>
      <c r="U7" s="36" t="str">
        <f t="shared" si="8"/>
        <v>Alarmes de Incêndio</v>
      </c>
      <c r="V7" s="36" t="s">
        <v>120</v>
      </c>
      <c r="W7" s="67" t="str">
        <f t="shared" si="10"/>
        <v>Key-INC-7</v>
      </c>
      <c r="X7" s="30" t="s">
        <v>184</v>
      </c>
      <c r="Y7" s="29" t="s">
        <v>195</v>
      </c>
      <c r="Z7" s="30" t="s">
        <v>263</v>
      </c>
      <c r="AA7" s="30" t="s">
        <v>191</v>
      </c>
    </row>
    <row r="8" spans="1:27" ht="6" customHeight="1" x14ac:dyDescent="0.4">
      <c r="A8" s="32">
        <v>8</v>
      </c>
      <c r="B8" s="1" t="s">
        <v>44</v>
      </c>
      <c r="C8" s="48" t="s">
        <v>115</v>
      </c>
      <c r="D8" s="1" t="s">
        <v>134</v>
      </c>
      <c r="E8" s="1" t="s">
        <v>268</v>
      </c>
      <c r="F8" s="65" t="s">
        <v>151</v>
      </c>
      <c r="G8" s="38" t="s">
        <v>9</v>
      </c>
      <c r="H8" s="38" t="s">
        <v>9</v>
      </c>
      <c r="I8" s="38" t="s">
        <v>9</v>
      </c>
      <c r="J8" s="38" t="s">
        <v>9</v>
      </c>
      <c r="K8" s="38" t="s">
        <v>9</v>
      </c>
      <c r="L8" s="34" t="str">
        <f t="shared" si="11"/>
        <v>Sistema.Predial</v>
      </c>
      <c r="M8" s="34" t="str">
        <f t="shared" si="11"/>
        <v>Sis.Incêndio</v>
      </c>
      <c r="N8" s="34" t="s">
        <v>260</v>
      </c>
      <c r="O8" s="34" t="str">
        <f t="shared" si="12"/>
        <v>Alarme Caixa Manual</v>
      </c>
      <c r="P8" s="30" t="s">
        <v>152</v>
      </c>
      <c r="Q8" s="30" t="s">
        <v>153</v>
      </c>
      <c r="R8" s="35" t="s">
        <v>9</v>
      </c>
      <c r="S8" s="36" t="str">
        <f t="shared" si="8"/>
        <v>Sistema Predial</v>
      </c>
      <c r="T8" s="36" t="str">
        <f t="shared" si="8"/>
        <v>Sis Incêndio</v>
      </c>
      <c r="U8" s="36" t="str">
        <f t="shared" si="8"/>
        <v>Alarmes de Incêndio</v>
      </c>
      <c r="V8" s="36" t="s">
        <v>120</v>
      </c>
      <c r="W8" s="67" t="str">
        <f t="shared" si="10"/>
        <v>Key-INC-8</v>
      </c>
      <c r="X8" s="30" t="s">
        <v>184</v>
      </c>
      <c r="Y8" s="29" t="s">
        <v>196</v>
      </c>
      <c r="Z8" s="30" t="s">
        <v>263</v>
      </c>
      <c r="AA8" s="30" t="s">
        <v>208</v>
      </c>
    </row>
    <row r="9" spans="1:27" ht="6" customHeight="1" x14ac:dyDescent="0.4">
      <c r="A9" s="32">
        <v>9</v>
      </c>
      <c r="B9" s="1" t="s">
        <v>44</v>
      </c>
      <c r="C9" s="48" t="s">
        <v>115</v>
      </c>
      <c r="D9" s="1" t="s">
        <v>134</v>
      </c>
      <c r="E9" s="1" t="s">
        <v>268</v>
      </c>
      <c r="F9" s="65" t="s">
        <v>154</v>
      </c>
      <c r="G9" s="38" t="s">
        <v>9</v>
      </c>
      <c r="H9" s="38" t="s">
        <v>9</v>
      </c>
      <c r="I9" s="38" t="s">
        <v>9</v>
      </c>
      <c r="J9" s="38" t="s">
        <v>9</v>
      </c>
      <c r="K9" s="38" t="s">
        <v>9</v>
      </c>
      <c r="L9" s="34" t="str">
        <f t="shared" si="11"/>
        <v>Sistema.Predial</v>
      </c>
      <c r="M9" s="34" t="str">
        <f t="shared" si="11"/>
        <v>Sis.Incêndio</v>
      </c>
      <c r="N9" s="34" t="s">
        <v>260</v>
      </c>
      <c r="O9" s="34" t="str">
        <f t="shared" si="12"/>
        <v>Alarme Detonador</v>
      </c>
      <c r="P9" s="30" t="s">
        <v>155</v>
      </c>
      <c r="Q9" s="30" t="s">
        <v>156</v>
      </c>
      <c r="R9" s="35" t="s">
        <v>9</v>
      </c>
      <c r="S9" s="36" t="str">
        <f t="shared" si="8"/>
        <v>Sistema Predial</v>
      </c>
      <c r="T9" s="36" t="str">
        <f t="shared" si="8"/>
        <v>Sis Incêndio</v>
      </c>
      <c r="U9" s="36" t="str">
        <f t="shared" si="8"/>
        <v>Alarmes de Incêndio</v>
      </c>
      <c r="V9" s="36" t="s">
        <v>120</v>
      </c>
      <c r="W9" s="67" t="str">
        <f t="shared" si="10"/>
        <v>Key-INC-9</v>
      </c>
      <c r="X9" s="30" t="s">
        <v>184</v>
      </c>
      <c r="Y9" s="29" t="s">
        <v>197</v>
      </c>
      <c r="Z9" s="30" t="s">
        <v>263</v>
      </c>
      <c r="AA9" s="30" t="s">
        <v>209</v>
      </c>
    </row>
    <row r="10" spans="1:27" ht="6" customHeight="1" x14ac:dyDescent="0.4">
      <c r="A10" s="32">
        <v>10</v>
      </c>
      <c r="B10" s="1" t="s">
        <v>44</v>
      </c>
      <c r="C10" s="48" t="s">
        <v>115</v>
      </c>
      <c r="D10" s="1" t="s">
        <v>134</v>
      </c>
      <c r="E10" s="1" t="s">
        <v>268</v>
      </c>
      <c r="F10" s="65" t="s">
        <v>157</v>
      </c>
      <c r="G10" s="38" t="s">
        <v>9</v>
      </c>
      <c r="H10" s="38" t="s">
        <v>9</v>
      </c>
      <c r="I10" s="38" t="s">
        <v>9</v>
      </c>
      <c r="J10" s="38" t="s">
        <v>9</v>
      </c>
      <c r="K10" s="38" t="s">
        <v>9</v>
      </c>
      <c r="L10" s="34" t="str">
        <f t="shared" si="11"/>
        <v>Sistema.Predial</v>
      </c>
      <c r="M10" s="34" t="str">
        <f t="shared" si="11"/>
        <v>Sis.Incêndio</v>
      </c>
      <c r="N10" s="34" t="s">
        <v>260</v>
      </c>
      <c r="O10" s="34" t="str">
        <f t="shared" si="12"/>
        <v>Alarme Sirene</v>
      </c>
      <c r="P10" s="30" t="s">
        <v>158</v>
      </c>
      <c r="Q10" s="30" t="s">
        <v>159</v>
      </c>
      <c r="R10" s="35" t="s">
        <v>9</v>
      </c>
      <c r="S10" s="36" t="str">
        <f t="shared" si="8"/>
        <v>Sistema Predial</v>
      </c>
      <c r="T10" s="36" t="str">
        <f t="shared" si="8"/>
        <v>Sis Incêndio</v>
      </c>
      <c r="U10" s="36" t="str">
        <f t="shared" si="8"/>
        <v>Alarmes de Incêndio</v>
      </c>
      <c r="V10" s="36" t="s">
        <v>120</v>
      </c>
      <c r="W10" s="67" t="str">
        <f t="shared" si="10"/>
        <v>Key-INC-10</v>
      </c>
      <c r="X10" s="30" t="s">
        <v>184</v>
      </c>
      <c r="Y10" s="29" t="s">
        <v>198</v>
      </c>
      <c r="Z10" s="30" t="s">
        <v>263</v>
      </c>
      <c r="AA10" s="30" t="s">
        <v>210</v>
      </c>
    </row>
    <row r="11" spans="1:27" ht="6" customHeight="1" x14ac:dyDescent="0.4">
      <c r="A11" s="32">
        <v>11</v>
      </c>
      <c r="B11" s="1" t="s">
        <v>44</v>
      </c>
      <c r="C11" s="48" t="s">
        <v>115</v>
      </c>
      <c r="D11" s="1" t="s">
        <v>134</v>
      </c>
      <c r="E11" s="1" t="s">
        <v>268</v>
      </c>
      <c r="F11" s="65" t="s">
        <v>160</v>
      </c>
      <c r="G11" s="38" t="s">
        <v>9</v>
      </c>
      <c r="H11" s="38" t="s">
        <v>9</v>
      </c>
      <c r="I11" s="38" t="s">
        <v>9</v>
      </c>
      <c r="J11" s="38" t="s">
        <v>9</v>
      </c>
      <c r="K11" s="38" t="s">
        <v>9</v>
      </c>
      <c r="L11" s="34" t="str">
        <f t="shared" si="11"/>
        <v>Sistema.Predial</v>
      </c>
      <c r="M11" s="34" t="str">
        <f t="shared" si="11"/>
        <v>Sis.Incêndio</v>
      </c>
      <c r="N11" s="34" t="s">
        <v>260</v>
      </c>
      <c r="O11" s="34" t="str">
        <f t="shared" si="12"/>
        <v>Alarme Apito</v>
      </c>
      <c r="P11" s="30" t="s">
        <v>161</v>
      </c>
      <c r="Q11" s="30" t="s">
        <v>162</v>
      </c>
      <c r="R11" s="35" t="s">
        <v>9</v>
      </c>
      <c r="S11" s="36" t="str">
        <f t="shared" si="8"/>
        <v>Sistema Predial</v>
      </c>
      <c r="T11" s="36" t="str">
        <f t="shared" si="8"/>
        <v>Sis Incêndio</v>
      </c>
      <c r="U11" s="36" t="str">
        <f t="shared" si="8"/>
        <v>Alarmes de Incêndio</v>
      </c>
      <c r="V11" s="36" t="s">
        <v>120</v>
      </c>
      <c r="W11" s="67" t="str">
        <f t="shared" si="10"/>
        <v>Key-INC-11</v>
      </c>
      <c r="X11" s="30" t="s">
        <v>184</v>
      </c>
      <c r="Y11" s="29" t="s">
        <v>199</v>
      </c>
      <c r="Z11" s="30" t="s">
        <v>263</v>
      </c>
      <c r="AA11" s="30" t="s">
        <v>211</v>
      </c>
    </row>
    <row r="12" spans="1:27" ht="6" customHeight="1" x14ac:dyDescent="0.4">
      <c r="A12" s="32">
        <v>12</v>
      </c>
      <c r="B12" s="1" t="s">
        <v>44</v>
      </c>
      <c r="C12" s="48" t="s">
        <v>115</v>
      </c>
      <c r="D12" s="1" t="s">
        <v>134</v>
      </c>
      <c r="E12" s="1" t="s">
        <v>269</v>
      </c>
      <c r="F12" s="65" t="s">
        <v>163</v>
      </c>
      <c r="G12" s="38" t="s">
        <v>9</v>
      </c>
      <c r="H12" s="38" t="s">
        <v>9</v>
      </c>
      <c r="I12" s="38" t="s">
        <v>9</v>
      </c>
      <c r="J12" s="38" t="s">
        <v>9</v>
      </c>
      <c r="K12" s="38" t="s">
        <v>9</v>
      </c>
      <c r="L12" s="34" t="str">
        <f t="shared" si="11"/>
        <v>Sistema.Predial</v>
      </c>
      <c r="M12" s="34" t="str">
        <f t="shared" si="11"/>
        <v>Sis.Incêndio</v>
      </c>
      <c r="N12" s="34" t="s">
        <v>261</v>
      </c>
      <c r="O12" s="34" t="str">
        <f t="shared" si="12"/>
        <v>Terminal Combate Fogo</v>
      </c>
      <c r="P12" s="30" t="s">
        <v>164</v>
      </c>
      <c r="Q12" s="30" t="s">
        <v>165</v>
      </c>
      <c r="R12" s="35" t="s">
        <v>9</v>
      </c>
      <c r="S12" s="36" t="str">
        <f t="shared" si="8"/>
        <v>Sistema Predial</v>
      </c>
      <c r="T12" s="36" t="str">
        <f t="shared" si="8"/>
        <v>Sis Incêndio</v>
      </c>
      <c r="U12" s="36" t="str">
        <f t="shared" si="8"/>
        <v>Peças de Incêndio</v>
      </c>
      <c r="V12" s="36" t="s">
        <v>120</v>
      </c>
      <c r="W12" s="67" t="str">
        <f t="shared" si="10"/>
        <v>Key-INC-12</v>
      </c>
      <c r="X12" s="30" t="s">
        <v>185</v>
      </c>
      <c r="Y12" s="29" t="s">
        <v>188</v>
      </c>
      <c r="Z12" s="30" t="s">
        <v>263</v>
      </c>
      <c r="AA12" s="30" t="s">
        <v>212</v>
      </c>
    </row>
    <row r="13" spans="1:27" ht="6" customHeight="1" x14ac:dyDescent="0.4">
      <c r="A13" s="32">
        <v>13</v>
      </c>
      <c r="B13" s="1" t="s">
        <v>44</v>
      </c>
      <c r="C13" s="48" t="s">
        <v>115</v>
      </c>
      <c r="D13" s="1" t="s">
        <v>134</v>
      </c>
      <c r="E13" s="1" t="s">
        <v>269</v>
      </c>
      <c r="F13" s="65" t="s">
        <v>166</v>
      </c>
      <c r="G13" s="38" t="s">
        <v>9</v>
      </c>
      <c r="H13" s="38" t="s">
        <v>9</v>
      </c>
      <c r="I13" s="38" t="s">
        <v>9</v>
      </c>
      <c r="J13" s="38" t="s">
        <v>9</v>
      </c>
      <c r="K13" s="38" t="s">
        <v>9</v>
      </c>
      <c r="L13" s="34" t="str">
        <f t="shared" si="11"/>
        <v>Sistema.Predial</v>
      </c>
      <c r="M13" s="34" t="str">
        <f t="shared" si="11"/>
        <v>Sis.Incêndio</v>
      </c>
      <c r="N13" s="34" t="s">
        <v>261</v>
      </c>
      <c r="O13" s="34" t="str">
        <f t="shared" si="12"/>
        <v>Mangueira Entrada</v>
      </c>
      <c r="P13" s="30" t="s">
        <v>167</v>
      </c>
      <c r="Q13" s="30" t="s">
        <v>168</v>
      </c>
      <c r="R13" s="35" t="s">
        <v>9</v>
      </c>
      <c r="S13" s="36" t="str">
        <f t="shared" si="8"/>
        <v>Sistema Predial</v>
      </c>
      <c r="T13" s="36" t="str">
        <f t="shared" si="8"/>
        <v>Sis Incêndio</v>
      </c>
      <c r="U13" s="36" t="str">
        <f t="shared" si="8"/>
        <v>Peças de Incêndio</v>
      </c>
      <c r="V13" s="36" t="s">
        <v>120</v>
      </c>
      <c r="W13" s="67" t="str">
        <f t="shared" si="10"/>
        <v>Key-INC-13</v>
      </c>
      <c r="X13" s="30" t="s">
        <v>185</v>
      </c>
      <c r="Y13" s="29" t="s">
        <v>200</v>
      </c>
      <c r="Z13" s="30" t="s">
        <v>263</v>
      </c>
      <c r="AA13" s="30" t="s">
        <v>213</v>
      </c>
    </row>
    <row r="14" spans="1:27" ht="6" customHeight="1" x14ac:dyDescent="0.4">
      <c r="A14" s="32">
        <v>14</v>
      </c>
      <c r="B14" s="1" t="s">
        <v>44</v>
      </c>
      <c r="C14" s="48" t="s">
        <v>115</v>
      </c>
      <c r="D14" s="1" t="s">
        <v>134</v>
      </c>
      <c r="E14" s="1" t="s">
        <v>269</v>
      </c>
      <c r="F14" s="65" t="s">
        <v>169</v>
      </c>
      <c r="G14" s="38" t="s">
        <v>9</v>
      </c>
      <c r="H14" s="38" t="s">
        <v>9</v>
      </c>
      <c r="I14" s="38" t="s">
        <v>9</v>
      </c>
      <c r="J14" s="38" t="s">
        <v>9</v>
      </c>
      <c r="K14" s="38" t="s">
        <v>9</v>
      </c>
      <c r="L14" s="34" t="str">
        <f t="shared" si="11"/>
        <v>Sistema.Predial</v>
      </c>
      <c r="M14" s="34" t="str">
        <f t="shared" si="11"/>
        <v>Sis.Incêndio</v>
      </c>
      <c r="N14" s="34" t="s">
        <v>261</v>
      </c>
      <c r="O14" s="34" t="str">
        <f t="shared" si="12"/>
        <v>Mangueira Carretel</v>
      </c>
      <c r="P14" s="30" t="s">
        <v>170</v>
      </c>
      <c r="Q14" s="30" t="s">
        <v>171</v>
      </c>
      <c r="R14" s="35" t="s">
        <v>9</v>
      </c>
      <c r="S14" s="36" t="str">
        <f t="shared" si="8"/>
        <v>Sistema Predial</v>
      </c>
      <c r="T14" s="36" t="str">
        <f t="shared" si="8"/>
        <v>Sis Incêndio</v>
      </c>
      <c r="U14" s="36" t="str">
        <f t="shared" si="8"/>
        <v>Peças de Incêndio</v>
      </c>
      <c r="V14" s="36" t="s">
        <v>120</v>
      </c>
      <c r="W14" s="67" t="str">
        <f t="shared" si="10"/>
        <v>Key-INC-14</v>
      </c>
      <c r="X14" s="30" t="s">
        <v>185</v>
      </c>
      <c r="Y14" s="29" t="s">
        <v>201</v>
      </c>
      <c r="Z14" s="30" t="s">
        <v>263</v>
      </c>
      <c r="AA14" s="30" t="s">
        <v>214</v>
      </c>
    </row>
    <row r="15" spans="1:27" ht="6" customHeight="1" x14ac:dyDescent="0.4">
      <c r="A15" s="32">
        <v>15</v>
      </c>
      <c r="B15" s="1" t="s">
        <v>44</v>
      </c>
      <c r="C15" s="48" t="s">
        <v>115</v>
      </c>
      <c r="D15" s="1" t="s">
        <v>134</v>
      </c>
      <c r="E15" s="1" t="s">
        <v>269</v>
      </c>
      <c r="F15" s="65" t="s">
        <v>172</v>
      </c>
      <c r="G15" s="38" t="s">
        <v>9</v>
      </c>
      <c r="H15" s="38" t="s">
        <v>9</v>
      </c>
      <c r="I15" s="38" t="s">
        <v>9</v>
      </c>
      <c r="J15" s="38" t="s">
        <v>9</v>
      </c>
      <c r="K15" s="38" t="s">
        <v>9</v>
      </c>
      <c r="L15" s="34" t="str">
        <f t="shared" si="11"/>
        <v>Sistema.Predial</v>
      </c>
      <c r="M15" s="34" t="str">
        <f t="shared" si="11"/>
        <v>Sis.Incêndio</v>
      </c>
      <c r="N15" s="34" t="s">
        <v>261</v>
      </c>
      <c r="O15" s="34" t="str">
        <f t="shared" si="12"/>
        <v>Mangueira Canhão</v>
      </c>
      <c r="P15" s="30" t="s">
        <v>173</v>
      </c>
      <c r="Q15" s="30" t="s">
        <v>174</v>
      </c>
      <c r="R15" s="35" t="s">
        <v>9</v>
      </c>
      <c r="S15" s="36" t="str">
        <f t="shared" si="8"/>
        <v>Sistema Predial</v>
      </c>
      <c r="T15" s="36" t="str">
        <f t="shared" si="8"/>
        <v>Sis Incêndio</v>
      </c>
      <c r="U15" s="36" t="str">
        <f t="shared" si="8"/>
        <v>Peças de Incêndio</v>
      </c>
      <c r="V15" s="36" t="s">
        <v>120</v>
      </c>
      <c r="W15" s="67" t="str">
        <f t="shared" si="10"/>
        <v>Key-INC-15</v>
      </c>
      <c r="X15" s="30" t="s">
        <v>186</v>
      </c>
      <c r="Y15" s="29" t="s">
        <v>202</v>
      </c>
      <c r="Z15" s="30" t="s">
        <v>263</v>
      </c>
      <c r="AA15" s="30" t="s">
        <v>215</v>
      </c>
    </row>
    <row r="16" spans="1:27" ht="6" customHeight="1" x14ac:dyDescent="0.4">
      <c r="A16" s="32">
        <v>16</v>
      </c>
      <c r="B16" s="1" t="s">
        <v>44</v>
      </c>
      <c r="C16" s="48" t="s">
        <v>115</v>
      </c>
      <c r="D16" s="1" t="s">
        <v>134</v>
      </c>
      <c r="E16" s="1" t="s">
        <v>269</v>
      </c>
      <c r="F16" s="65" t="s">
        <v>175</v>
      </c>
      <c r="G16" s="38" t="s">
        <v>9</v>
      </c>
      <c r="H16" s="38" t="s">
        <v>9</v>
      </c>
      <c r="I16" s="38" t="s">
        <v>9</v>
      </c>
      <c r="J16" s="38" t="s">
        <v>9</v>
      </c>
      <c r="K16" s="38" t="s">
        <v>9</v>
      </c>
      <c r="L16" s="34" t="str">
        <f t="shared" si="11"/>
        <v>Sistema.Predial</v>
      </c>
      <c r="M16" s="34" t="str">
        <f t="shared" si="11"/>
        <v>Sis.Incêndio</v>
      </c>
      <c r="N16" s="34" t="s">
        <v>261</v>
      </c>
      <c r="O16" s="34" t="str">
        <f t="shared" si="12"/>
        <v>Hidrante</v>
      </c>
      <c r="P16" s="30" t="s">
        <v>176</v>
      </c>
      <c r="Q16" s="30" t="s">
        <v>177</v>
      </c>
      <c r="R16" s="35" t="s">
        <v>9</v>
      </c>
      <c r="S16" s="36" t="str">
        <f t="shared" si="8"/>
        <v>Sistema Predial</v>
      </c>
      <c r="T16" s="36" t="str">
        <f t="shared" si="8"/>
        <v>Sis Incêndio</v>
      </c>
      <c r="U16" s="36" t="str">
        <f t="shared" si="8"/>
        <v>Peças de Incêndio</v>
      </c>
      <c r="V16" s="36" t="s">
        <v>120</v>
      </c>
      <c r="W16" s="67" t="str">
        <f t="shared" si="10"/>
        <v>Key-INC-16</v>
      </c>
      <c r="X16" s="30" t="s">
        <v>185</v>
      </c>
      <c r="Y16" s="29" t="s">
        <v>203</v>
      </c>
      <c r="Z16" s="30" t="s">
        <v>263</v>
      </c>
      <c r="AA16" s="30" t="s">
        <v>216</v>
      </c>
    </row>
    <row r="17" spans="1:27" ht="6" customHeight="1" x14ac:dyDescent="0.4">
      <c r="A17" s="32">
        <v>17</v>
      </c>
      <c r="B17" s="1" t="s">
        <v>44</v>
      </c>
      <c r="C17" s="48" t="s">
        <v>115</v>
      </c>
      <c r="D17" s="1" t="s">
        <v>134</v>
      </c>
      <c r="E17" s="1" t="s">
        <v>269</v>
      </c>
      <c r="F17" s="65" t="s">
        <v>138</v>
      </c>
      <c r="G17" s="38" t="s">
        <v>9</v>
      </c>
      <c r="H17" s="38" t="s">
        <v>9</v>
      </c>
      <c r="I17" s="38" t="s">
        <v>9</v>
      </c>
      <c r="J17" s="38" t="s">
        <v>9</v>
      </c>
      <c r="K17" s="38" t="s">
        <v>9</v>
      </c>
      <c r="L17" s="34" t="str">
        <f t="shared" si="11"/>
        <v>Sistema.Predial</v>
      </c>
      <c r="M17" s="34" t="str">
        <f t="shared" si="11"/>
        <v>Sis.Incêndio</v>
      </c>
      <c r="N17" s="34" t="s">
        <v>261</v>
      </c>
      <c r="O17" s="34" t="str">
        <f t="shared" si="12"/>
        <v>Sprinkler</v>
      </c>
      <c r="P17" s="30" t="s">
        <v>178</v>
      </c>
      <c r="Q17" s="30" t="s">
        <v>179</v>
      </c>
      <c r="R17" s="35" t="s">
        <v>9</v>
      </c>
      <c r="S17" s="36" t="str">
        <f t="shared" si="8"/>
        <v>Sistema Predial</v>
      </c>
      <c r="T17" s="36" t="str">
        <f t="shared" si="8"/>
        <v>Sis Incêndio</v>
      </c>
      <c r="U17" s="36" t="str">
        <f t="shared" si="8"/>
        <v>Peças de Incêndio</v>
      </c>
      <c r="V17" s="36" t="s">
        <v>120</v>
      </c>
      <c r="W17" s="67" t="str">
        <f t="shared" si="10"/>
        <v>Key-INC-17</v>
      </c>
      <c r="X17" s="30" t="s">
        <v>187</v>
      </c>
      <c r="Y17" s="29" t="s">
        <v>204</v>
      </c>
      <c r="Z17" s="30" t="s">
        <v>263</v>
      </c>
      <c r="AA17" s="30" t="s">
        <v>217</v>
      </c>
    </row>
    <row r="18" spans="1:27" ht="6" customHeight="1" x14ac:dyDescent="0.4">
      <c r="A18" s="32">
        <v>18</v>
      </c>
      <c r="B18" s="1" t="s">
        <v>44</v>
      </c>
      <c r="C18" s="48" t="s">
        <v>115</v>
      </c>
      <c r="D18" s="1" t="s">
        <v>134</v>
      </c>
      <c r="E18" s="1" t="s">
        <v>269</v>
      </c>
      <c r="F18" s="65" t="s">
        <v>180</v>
      </c>
      <c r="G18" s="38" t="s">
        <v>9</v>
      </c>
      <c r="H18" s="38" t="s">
        <v>9</v>
      </c>
      <c r="I18" s="38" t="s">
        <v>9</v>
      </c>
      <c r="J18" s="38" t="s">
        <v>9</v>
      </c>
      <c r="K18" s="38" t="s">
        <v>9</v>
      </c>
      <c r="L18" s="34" t="str">
        <f t="shared" si="11"/>
        <v>Sistema.Predial</v>
      </c>
      <c r="M18" s="34" t="str">
        <f t="shared" si="11"/>
        <v>Sis.Incêndio</v>
      </c>
      <c r="N18" s="34" t="s">
        <v>261</v>
      </c>
      <c r="O18" s="29" t="s">
        <v>257</v>
      </c>
      <c r="P18" s="30" t="s">
        <v>181</v>
      </c>
      <c r="Q18" s="30" t="s">
        <v>182</v>
      </c>
      <c r="R18" s="35" t="s">
        <v>9</v>
      </c>
      <c r="S18" s="36" t="str">
        <f t="shared" si="8"/>
        <v>Sistema Predial</v>
      </c>
      <c r="T18" s="36" t="str">
        <f t="shared" si="8"/>
        <v>Sis Incêndio</v>
      </c>
      <c r="U18" s="36" t="str">
        <f t="shared" si="8"/>
        <v>Peças de Incêndio</v>
      </c>
      <c r="V18" s="36" t="s">
        <v>120</v>
      </c>
      <c r="W18" s="67" t="str">
        <f t="shared" si="10"/>
        <v>Key-INC-18</v>
      </c>
      <c r="X18" s="30" t="s">
        <v>187</v>
      </c>
      <c r="Y18" s="29" t="s">
        <v>205</v>
      </c>
      <c r="Z18" s="30" t="s">
        <v>263</v>
      </c>
      <c r="AA18" s="30" t="s">
        <v>218</v>
      </c>
    </row>
    <row r="19" spans="1:27" ht="6.65" customHeight="1" x14ac:dyDescent="0.4">
      <c r="A19" s="32">
        <v>19</v>
      </c>
      <c r="B19" s="1" t="s">
        <v>44</v>
      </c>
      <c r="C19" s="48" t="s">
        <v>115</v>
      </c>
      <c r="D19" s="1" t="s">
        <v>134</v>
      </c>
      <c r="E19" s="1" t="s">
        <v>269</v>
      </c>
      <c r="F19" s="48" t="s">
        <v>183</v>
      </c>
      <c r="G19" s="38" t="s">
        <v>9</v>
      </c>
      <c r="H19" s="38" t="s">
        <v>9</v>
      </c>
      <c r="I19" s="38" t="s">
        <v>9</v>
      </c>
      <c r="J19" s="38" t="s">
        <v>9</v>
      </c>
      <c r="K19" s="38" t="s">
        <v>9</v>
      </c>
      <c r="L19" s="34" t="str">
        <f t="shared" si="11"/>
        <v>Sistema.Predial</v>
      </c>
      <c r="M19" s="34" t="str">
        <f t="shared" si="11"/>
        <v>Sis.Incêndio</v>
      </c>
      <c r="N19" s="34" t="s">
        <v>261</v>
      </c>
      <c r="O19" s="59" t="s">
        <v>251</v>
      </c>
      <c r="P19" s="59" t="s">
        <v>124</v>
      </c>
      <c r="Q19" s="30" t="str">
        <f t="shared" ref="Q19" si="13">_xlfn.TRANSLATE(P19,"pt","es")</f>
        <v>Accesorios para sistemas de agua como soportes, ganchos, pedestales, etc.</v>
      </c>
      <c r="R19" s="35" t="s">
        <v>9</v>
      </c>
      <c r="S19" s="36" t="str">
        <f t="shared" ref="S19:T23" si="14">SUBSTITUTE(C19, ".", " ")</f>
        <v>Sistema Predial</v>
      </c>
      <c r="T19" s="36" t="str">
        <f t="shared" si="14"/>
        <v>Sis Incêndio</v>
      </c>
      <c r="U19" s="36" t="str">
        <f t="shared" ref="U19:U23" si="15">SUBSTITUTE(E19, ".", " ")</f>
        <v>Peças de Incêndio</v>
      </c>
      <c r="V19" s="36" t="s">
        <v>120</v>
      </c>
      <c r="W19" s="67" t="str">
        <f t="shared" si="10"/>
        <v>Key-INC-19</v>
      </c>
      <c r="X19" s="30" t="s">
        <v>186</v>
      </c>
      <c r="Y19" s="29" t="s">
        <v>188</v>
      </c>
      <c r="Z19" s="30" t="s">
        <v>263</v>
      </c>
      <c r="AA19" s="30" t="s">
        <v>224</v>
      </c>
    </row>
    <row r="20" spans="1:27" ht="6.65" customHeight="1" x14ac:dyDescent="0.4">
      <c r="A20" s="32">
        <v>20</v>
      </c>
      <c r="B20" s="1" t="s">
        <v>44</v>
      </c>
      <c r="C20" s="48" t="s">
        <v>115</v>
      </c>
      <c r="D20" s="1" t="s">
        <v>134</v>
      </c>
      <c r="E20" s="48" t="s">
        <v>270</v>
      </c>
      <c r="F20" s="48" t="s">
        <v>135</v>
      </c>
      <c r="G20" s="38" t="s">
        <v>9</v>
      </c>
      <c r="H20" s="38" t="s">
        <v>9</v>
      </c>
      <c r="I20" s="38" t="s">
        <v>9</v>
      </c>
      <c r="J20" s="38" t="s">
        <v>9</v>
      </c>
      <c r="K20" s="38" t="s">
        <v>9</v>
      </c>
      <c r="L20" s="34" t="str">
        <f t="shared" ref="L20:L23" si="16">CONCATENATE("", C20)</f>
        <v>Sistema.Predial</v>
      </c>
      <c r="M20" s="34" t="str">
        <f t="shared" ref="M20:M23" si="17">CONCATENATE("", D20)</f>
        <v>Sis.Incêndio</v>
      </c>
      <c r="N20" s="34" t="s">
        <v>262</v>
      </c>
      <c r="O20" s="59" t="s">
        <v>252</v>
      </c>
      <c r="P20" s="59" t="s">
        <v>116</v>
      </c>
      <c r="Q20" s="30" t="str">
        <f>_xlfn.TRANSLATE(P20,"pt","es")</f>
        <v>Cisterna Superior</v>
      </c>
      <c r="R20" s="35" t="s">
        <v>9</v>
      </c>
      <c r="S20" s="36" t="str">
        <f t="shared" si="14"/>
        <v>Sistema Predial</v>
      </c>
      <c r="T20" s="36" t="str">
        <f t="shared" si="14"/>
        <v>Sis Incêndio</v>
      </c>
      <c r="U20" s="36" t="str">
        <f t="shared" si="15"/>
        <v>Tubulação de Incêndio</v>
      </c>
      <c r="V20" s="36" t="s">
        <v>120</v>
      </c>
      <c r="W20" s="67" t="str">
        <f t="shared" si="10"/>
        <v>Key-INC-20</v>
      </c>
      <c r="X20" s="29" t="s">
        <v>112</v>
      </c>
      <c r="Y20" s="29" t="s">
        <v>121</v>
      </c>
      <c r="Z20" s="30" t="s">
        <v>263</v>
      </c>
      <c r="AA20" s="30" t="s">
        <v>221</v>
      </c>
    </row>
    <row r="21" spans="1:27" ht="6.65" customHeight="1" x14ac:dyDescent="0.4">
      <c r="A21" s="32">
        <v>21</v>
      </c>
      <c r="B21" s="1" t="s">
        <v>44</v>
      </c>
      <c r="C21" s="48" t="s">
        <v>115</v>
      </c>
      <c r="D21" s="1" t="s">
        <v>134</v>
      </c>
      <c r="E21" s="48" t="s">
        <v>270</v>
      </c>
      <c r="F21" s="48" t="s">
        <v>271</v>
      </c>
      <c r="G21" s="38" t="s">
        <v>9</v>
      </c>
      <c r="H21" s="38" t="s">
        <v>9</v>
      </c>
      <c r="I21" s="38" t="s">
        <v>9</v>
      </c>
      <c r="J21" s="38" t="s">
        <v>9</v>
      </c>
      <c r="K21" s="38" t="s">
        <v>9</v>
      </c>
      <c r="L21" s="34" t="str">
        <f t="shared" si="16"/>
        <v>Sistema.Predial</v>
      </c>
      <c r="M21" s="34" t="str">
        <f t="shared" si="17"/>
        <v>Sis.Incêndio</v>
      </c>
      <c r="N21" s="34" t="s">
        <v>262</v>
      </c>
      <c r="O21" s="59" t="s">
        <v>253</v>
      </c>
      <c r="P21" s="59" t="s">
        <v>119</v>
      </c>
      <c r="Q21" s="30" t="str">
        <f t="shared" ref="Q21:Q23" si="18">_xlfn.TRANSLATE(P21,"pt","es")</f>
        <v>Cisterna intermedia</v>
      </c>
      <c r="R21" s="35" t="s">
        <v>9</v>
      </c>
      <c r="S21" s="36" t="str">
        <f t="shared" si="14"/>
        <v>Sistema Predial</v>
      </c>
      <c r="T21" s="36" t="str">
        <f t="shared" si="14"/>
        <v>Sis Incêndio</v>
      </c>
      <c r="U21" s="36" t="str">
        <f t="shared" si="15"/>
        <v>Tubulação de Incêndio</v>
      </c>
      <c r="V21" s="36" t="s">
        <v>120</v>
      </c>
      <c r="W21" s="67" t="str">
        <f t="shared" si="10"/>
        <v>Key-INC-21</v>
      </c>
      <c r="X21" s="29" t="s">
        <v>112</v>
      </c>
      <c r="Y21" s="29" t="s">
        <v>121</v>
      </c>
      <c r="Z21" s="30" t="s">
        <v>263</v>
      </c>
      <c r="AA21" s="30" t="s">
        <v>222</v>
      </c>
    </row>
    <row r="22" spans="1:27" ht="6.65" customHeight="1" x14ac:dyDescent="0.4">
      <c r="A22" s="32">
        <v>22</v>
      </c>
      <c r="B22" s="1" t="s">
        <v>44</v>
      </c>
      <c r="C22" s="48" t="s">
        <v>115</v>
      </c>
      <c r="D22" s="1" t="s">
        <v>134</v>
      </c>
      <c r="E22" s="48" t="s">
        <v>270</v>
      </c>
      <c r="F22" s="48" t="s">
        <v>136</v>
      </c>
      <c r="G22" s="38" t="s">
        <v>9</v>
      </c>
      <c r="H22" s="38" t="s">
        <v>9</v>
      </c>
      <c r="I22" s="38" t="s">
        <v>9</v>
      </c>
      <c r="J22" s="38" t="s">
        <v>9</v>
      </c>
      <c r="K22" s="38" t="s">
        <v>9</v>
      </c>
      <c r="L22" s="34" t="str">
        <f t="shared" si="16"/>
        <v>Sistema.Predial</v>
      </c>
      <c r="M22" s="34" t="str">
        <f t="shared" si="17"/>
        <v>Sis.Incêndio</v>
      </c>
      <c r="N22" s="34" t="s">
        <v>262</v>
      </c>
      <c r="O22" s="59" t="s">
        <v>254</v>
      </c>
      <c r="P22" s="59" t="s">
        <v>117</v>
      </c>
      <c r="Q22" s="30" t="str">
        <f t="shared" si="18"/>
        <v>Cisterna Inferior</v>
      </c>
      <c r="R22" s="35" t="s">
        <v>9</v>
      </c>
      <c r="S22" s="36" t="str">
        <f t="shared" si="14"/>
        <v>Sistema Predial</v>
      </c>
      <c r="T22" s="36" t="str">
        <f t="shared" si="14"/>
        <v>Sis Incêndio</v>
      </c>
      <c r="U22" s="36" t="str">
        <f t="shared" si="15"/>
        <v>Tubulação de Incêndio</v>
      </c>
      <c r="V22" s="36" t="s">
        <v>120</v>
      </c>
      <c r="W22" s="67" t="str">
        <f t="shared" si="10"/>
        <v>Key-INC-22</v>
      </c>
      <c r="X22" s="29" t="s">
        <v>112</v>
      </c>
      <c r="Y22" s="29" t="s">
        <v>121</v>
      </c>
      <c r="Z22" s="30" t="s">
        <v>263</v>
      </c>
      <c r="AA22" s="30" t="s">
        <v>223</v>
      </c>
    </row>
    <row r="23" spans="1:27" ht="6.65" customHeight="1" x14ac:dyDescent="0.4">
      <c r="A23" s="32">
        <v>23</v>
      </c>
      <c r="B23" s="1" t="s">
        <v>44</v>
      </c>
      <c r="C23" s="48" t="s">
        <v>115</v>
      </c>
      <c r="D23" s="1" t="s">
        <v>134</v>
      </c>
      <c r="E23" s="48" t="s">
        <v>270</v>
      </c>
      <c r="F23" s="48" t="s">
        <v>137</v>
      </c>
      <c r="G23" s="38" t="s">
        <v>9</v>
      </c>
      <c r="H23" s="38" t="s">
        <v>9</v>
      </c>
      <c r="I23" s="38" t="s">
        <v>9</v>
      </c>
      <c r="J23" s="38" t="s">
        <v>9</v>
      </c>
      <c r="K23" s="38" t="s">
        <v>9</v>
      </c>
      <c r="L23" s="34" t="str">
        <f t="shared" si="16"/>
        <v>Sistema.Predial</v>
      </c>
      <c r="M23" s="34" t="str">
        <f t="shared" si="17"/>
        <v>Sis.Incêndio</v>
      </c>
      <c r="N23" s="34" t="s">
        <v>262</v>
      </c>
      <c r="O23" s="59" t="s">
        <v>255</v>
      </c>
      <c r="P23" s="59" t="s">
        <v>118</v>
      </c>
      <c r="Q23" s="30" t="str">
        <f t="shared" si="18"/>
        <v>Tubería de agua fría</v>
      </c>
      <c r="R23" s="35" t="s">
        <v>9</v>
      </c>
      <c r="S23" s="36" t="str">
        <f t="shared" si="14"/>
        <v>Sistema Predial</v>
      </c>
      <c r="T23" s="36" t="str">
        <f t="shared" si="14"/>
        <v>Sis Incêndio</v>
      </c>
      <c r="U23" s="36" t="str">
        <f t="shared" si="15"/>
        <v>Tubulação de Incêndio</v>
      </c>
      <c r="V23" s="36" t="s">
        <v>120</v>
      </c>
      <c r="W23" s="67" t="str">
        <f t="shared" si="10"/>
        <v>Key-INC-23</v>
      </c>
      <c r="X23" s="29" t="s">
        <v>112</v>
      </c>
      <c r="Y23" s="29" t="s">
        <v>111</v>
      </c>
      <c r="Z23" s="30" t="s">
        <v>263</v>
      </c>
      <c r="AA23" s="30" t="s">
        <v>219</v>
      </c>
    </row>
    <row r="24" spans="1:27" ht="6.65" customHeight="1" x14ac:dyDescent="0.4">
      <c r="A24" s="32">
        <v>24</v>
      </c>
      <c r="B24" s="1" t="s">
        <v>44</v>
      </c>
      <c r="C24" s="48" t="s">
        <v>115</v>
      </c>
      <c r="D24" s="1" t="s">
        <v>134</v>
      </c>
      <c r="E24" s="48" t="s">
        <v>270</v>
      </c>
      <c r="F24" s="48" t="s">
        <v>189</v>
      </c>
      <c r="G24" s="38" t="s">
        <v>9</v>
      </c>
      <c r="H24" s="38" t="s">
        <v>9</v>
      </c>
      <c r="I24" s="38" t="s">
        <v>9</v>
      </c>
      <c r="J24" s="38" t="s">
        <v>9</v>
      </c>
      <c r="K24" s="38" t="s">
        <v>9</v>
      </c>
      <c r="L24" s="34" t="str">
        <f t="shared" ref="L24" si="19">CONCATENATE("", C24)</f>
        <v>Sistema.Predial</v>
      </c>
      <c r="M24" s="34" t="str">
        <f t="shared" ref="M24" si="20">CONCATENATE("", D24)</f>
        <v>Sis.Incêndio</v>
      </c>
      <c r="N24" s="34" t="s">
        <v>262</v>
      </c>
      <c r="O24" s="59" t="s">
        <v>256</v>
      </c>
      <c r="P24" s="59" t="s">
        <v>118</v>
      </c>
      <c r="Q24" s="30" t="str">
        <f t="shared" ref="Q24" si="21">_xlfn.TRANSLATE(P24,"pt","es")</f>
        <v>Tubería de agua fría</v>
      </c>
      <c r="R24" s="35" t="s">
        <v>9</v>
      </c>
      <c r="S24" s="36" t="str">
        <f t="shared" ref="S24" si="22">SUBSTITUTE(C24, ".", " ")</f>
        <v>Sistema Predial</v>
      </c>
      <c r="T24" s="36" t="str">
        <f t="shared" ref="T24" si="23">SUBSTITUTE(D24, ".", " ")</f>
        <v>Sis Incêndio</v>
      </c>
      <c r="U24" s="36" t="str">
        <f t="shared" ref="U24" si="24">SUBSTITUTE(E24, ".", " ")</f>
        <v>Tubulação de Incêndio</v>
      </c>
      <c r="V24" s="36" t="s">
        <v>120</v>
      </c>
      <c r="W24" s="67" t="str">
        <f t="shared" si="10"/>
        <v>Key-INC-24</v>
      </c>
      <c r="X24" s="29" t="s">
        <v>112</v>
      </c>
      <c r="Y24" s="29" t="s">
        <v>111</v>
      </c>
      <c r="Z24" s="30" t="s">
        <v>263</v>
      </c>
      <c r="AA24" s="30" t="s">
        <v>220</v>
      </c>
    </row>
  </sheetData>
  <sortState xmlns:xlrd2="http://schemas.microsoft.com/office/spreadsheetml/2017/richdata2" ref="A2:AA891">
    <sortCondition ref="F2:F891"/>
  </sortState>
  <phoneticPr fontId="1" type="noConversion"/>
  <conditionalFormatting sqref="F1">
    <cfRule type="duplicateValues" dxfId="21" priority="1490"/>
  </conditionalFormatting>
  <conditionalFormatting sqref="F1:F3 F19:F1048576">
    <cfRule type="duplicateValues" dxfId="20" priority="1512"/>
  </conditionalFormatting>
  <conditionalFormatting sqref="F2">
    <cfRule type="duplicateValues" dxfId="19" priority="10"/>
  </conditionalFormatting>
  <conditionalFormatting sqref="F4:F18">
    <cfRule type="duplicateValues" dxfId="18" priority="1534"/>
  </conditionalFormatting>
  <conditionalFormatting sqref="F25:F1048576 F2">
    <cfRule type="duplicateValues" dxfId="17" priority="1483"/>
  </conditionalFormatting>
  <conditionalFormatting sqref="F25:F1048576">
    <cfRule type="duplicateValues" dxfId="16" priority="247"/>
    <cfRule type="duplicateValues" dxfId="15" priority="249"/>
    <cfRule type="duplicateValues" dxfId="14" priority="1462"/>
  </conditionalFormatting>
  <conditionalFormatting sqref="O13:O18 A1:D1 F1:O1 Q1:X1 Z1:AA1 S3:T3 E4:F12 L4:O12 B4:B18 Q4:Q18 X4:Y18 AA4:XFD18 S4:U24 F13:F18 L13:M18 E13:E19 N13:N19">
    <cfRule type="cellIs" dxfId="13" priority="54" operator="equal">
      <formula>"null"</formula>
    </cfRule>
  </conditionalFormatting>
  <conditionalFormatting sqref="O18">
    <cfRule type="duplicateValues" dxfId="12" priority="2"/>
  </conditionalFormatting>
  <conditionalFormatting sqref="O19:O24">
    <cfRule type="duplicateValues" dxfId="11" priority="1"/>
  </conditionalFormatting>
  <conditionalFormatting sqref="Q3">
    <cfRule type="duplicateValues" dxfId="10" priority="13"/>
  </conditionalFormatting>
  <conditionalFormatting sqref="X19">
    <cfRule type="cellIs" dxfId="9" priority="6" operator="equal">
      <formula>"null"</formula>
    </cfRule>
  </conditionalFormatting>
  <conditionalFormatting sqref="AA2:AA3">
    <cfRule type="cellIs" dxfId="8" priority="9" operator="equal">
      <formula>"null"</formula>
    </cfRule>
  </conditionalFormatting>
  <conditionalFormatting sqref="AA19:AA24">
    <cfRule type="cellIs" dxfId="7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8"/>
  <sheetViews>
    <sheetView zoomScale="235" zoomScaleNormal="235" workbookViewId="0">
      <pane ySplit="1" topLeftCell="A2" activePane="bottomLeft" state="frozen"/>
      <selection pane="bottomLeft" activeCell="A18" sqref="A18"/>
    </sheetView>
  </sheetViews>
  <sheetFormatPr defaultColWidth="11.53515625" defaultRowHeight="7.85" customHeight="1" x14ac:dyDescent="0.4"/>
  <cols>
    <col min="1" max="1" width="2.53515625" bestFit="1" customWidth="1"/>
    <col min="2" max="2" width="8.69140625" customWidth="1"/>
    <col min="3" max="3" width="9.69140625" customWidth="1"/>
    <col min="4" max="4" width="7.07421875" customWidth="1"/>
    <col min="5" max="5" width="7.4609375" customWidth="1"/>
    <col min="6" max="6" width="4.61328125" customWidth="1"/>
    <col min="7" max="7" width="56.3828125" bestFit="1" customWidth="1"/>
    <col min="8" max="8" width="5.3046875" customWidth="1"/>
    <col min="9" max="9" width="19.3828125" customWidth="1"/>
    <col min="10" max="10" width="4.69140625" customWidth="1"/>
    <col min="11" max="11" width="16.84375" bestFit="1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8.15234375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5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104</v>
      </c>
      <c r="C2" s="60" t="s">
        <v>84</v>
      </c>
      <c r="D2" s="57" t="s">
        <v>9</v>
      </c>
      <c r="E2" s="58" t="s">
        <v>9</v>
      </c>
      <c r="F2" s="22" t="s">
        <v>78</v>
      </c>
      <c r="G2" s="23" t="s">
        <v>114</v>
      </c>
      <c r="H2" s="56" t="s">
        <v>9</v>
      </c>
      <c r="I2" s="24" t="s">
        <v>9</v>
      </c>
      <c r="J2" s="56" t="s">
        <v>9</v>
      </c>
      <c r="K2" s="24" t="s">
        <v>9</v>
      </c>
      <c r="L2" s="56" t="s">
        <v>9</v>
      </c>
      <c r="M2" s="24" t="s">
        <v>9</v>
      </c>
      <c r="N2" s="56" t="s">
        <v>9</v>
      </c>
      <c r="O2" s="24" t="s">
        <v>9</v>
      </c>
      <c r="P2" s="56" t="s">
        <v>9</v>
      </c>
      <c r="Q2" s="24" t="s">
        <v>9</v>
      </c>
      <c r="R2" s="56" t="s">
        <v>9</v>
      </c>
      <c r="S2" s="24" t="s">
        <v>9</v>
      </c>
    </row>
    <row r="3" spans="1:19" ht="7.85" customHeight="1" x14ac:dyDescent="0.4">
      <c r="A3" s="20">
        <v>2</v>
      </c>
      <c r="B3" s="21" t="s">
        <v>225</v>
      </c>
      <c r="C3" s="48" t="s">
        <v>132</v>
      </c>
      <c r="D3" s="57" t="s">
        <v>83</v>
      </c>
      <c r="E3" s="39" t="s">
        <v>104</v>
      </c>
      <c r="F3" s="22" t="s">
        <v>78</v>
      </c>
      <c r="G3" s="23" t="s">
        <v>226</v>
      </c>
      <c r="H3" s="56" t="s">
        <v>78</v>
      </c>
      <c r="I3" s="24" t="s">
        <v>247</v>
      </c>
      <c r="J3" s="56" t="s">
        <v>9</v>
      </c>
      <c r="K3" s="24" t="s">
        <v>9</v>
      </c>
      <c r="L3" s="56" t="s">
        <v>9</v>
      </c>
      <c r="M3" s="24" t="s">
        <v>9</v>
      </c>
      <c r="N3" s="56" t="s">
        <v>9</v>
      </c>
      <c r="O3" s="24" t="s">
        <v>9</v>
      </c>
      <c r="P3" s="56" t="s">
        <v>9</v>
      </c>
      <c r="Q3" s="24" t="s">
        <v>9</v>
      </c>
      <c r="R3" s="56" t="s">
        <v>9</v>
      </c>
      <c r="S3" s="24" t="s">
        <v>126</v>
      </c>
    </row>
    <row r="4" spans="1:19" ht="7.85" customHeight="1" x14ac:dyDescent="0.4">
      <c r="A4" s="20">
        <v>3</v>
      </c>
      <c r="B4" s="21" t="s">
        <v>241</v>
      </c>
      <c r="C4" s="48" t="s">
        <v>132</v>
      </c>
      <c r="D4" s="57" t="s">
        <v>83</v>
      </c>
      <c r="E4" s="39" t="s">
        <v>104</v>
      </c>
      <c r="F4" s="22" t="s">
        <v>78</v>
      </c>
      <c r="G4" s="23" t="s">
        <v>226</v>
      </c>
      <c r="H4" s="56" t="s">
        <v>78</v>
      </c>
      <c r="I4" s="24" t="s">
        <v>248</v>
      </c>
      <c r="J4" s="56" t="s">
        <v>9</v>
      </c>
      <c r="K4" s="24" t="s">
        <v>9</v>
      </c>
      <c r="L4" s="56" t="s">
        <v>9</v>
      </c>
      <c r="M4" s="24" t="s">
        <v>9</v>
      </c>
      <c r="N4" s="56" t="s">
        <v>9</v>
      </c>
      <c r="O4" s="24" t="s">
        <v>9</v>
      </c>
      <c r="P4" s="56" t="s">
        <v>9</v>
      </c>
      <c r="Q4" s="24" t="s">
        <v>9</v>
      </c>
      <c r="R4" s="56" t="s">
        <v>9</v>
      </c>
      <c r="S4" s="24" t="s">
        <v>126</v>
      </c>
    </row>
    <row r="5" spans="1:19" ht="7.85" customHeight="1" x14ac:dyDescent="0.4">
      <c r="A5" s="20">
        <v>4</v>
      </c>
      <c r="B5" s="54" t="s">
        <v>227</v>
      </c>
      <c r="C5" s="48" t="s">
        <v>138</v>
      </c>
      <c r="D5" s="57" t="s">
        <v>113</v>
      </c>
      <c r="E5" s="39" t="s">
        <v>225</v>
      </c>
      <c r="F5" s="22" t="s">
        <v>78</v>
      </c>
      <c r="G5" s="23" t="s">
        <v>244</v>
      </c>
      <c r="H5" s="56" t="s">
        <v>9</v>
      </c>
      <c r="I5" s="24" t="s">
        <v>9</v>
      </c>
      <c r="J5" s="56" t="s">
        <v>105</v>
      </c>
      <c r="K5" s="24" t="s">
        <v>246</v>
      </c>
      <c r="L5" s="56" t="s">
        <v>106</v>
      </c>
      <c r="M5" s="24" t="s">
        <v>108</v>
      </c>
      <c r="N5" s="56" t="s">
        <v>107</v>
      </c>
      <c r="O5" s="24" t="s">
        <v>264</v>
      </c>
      <c r="P5" s="56" t="s">
        <v>109</v>
      </c>
      <c r="Q5" s="24" t="s">
        <v>250</v>
      </c>
      <c r="R5" s="56" t="s">
        <v>110</v>
      </c>
      <c r="S5" s="24" t="s">
        <v>249</v>
      </c>
    </row>
    <row r="6" spans="1:19" ht="7.85" customHeight="1" x14ac:dyDescent="0.4">
      <c r="A6" s="20">
        <v>5</v>
      </c>
      <c r="B6" s="54" t="s">
        <v>228</v>
      </c>
      <c r="C6" s="48" t="s">
        <v>138</v>
      </c>
      <c r="D6" s="57" t="s">
        <v>113</v>
      </c>
      <c r="E6" s="39" t="s">
        <v>241</v>
      </c>
      <c r="F6" s="22" t="s">
        <v>78</v>
      </c>
      <c r="G6" s="23" t="s">
        <v>245</v>
      </c>
      <c r="H6" s="56" t="s">
        <v>9</v>
      </c>
      <c r="I6" s="24" t="s">
        <v>9</v>
      </c>
      <c r="J6" s="56" t="s">
        <v>105</v>
      </c>
      <c r="K6" s="24" t="s">
        <v>246</v>
      </c>
      <c r="L6" s="56" t="s">
        <v>106</v>
      </c>
      <c r="M6" s="24" t="s">
        <v>108</v>
      </c>
      <c r="N6" s="56" t="s">
        <v>107</v>
      </c>
      <c r="O6" s="24" t="s">
        <v>264</v>
      </c>
      <c r="P6" s="56" t="s">
        <v>109</v>
      </c>
      <c r="Q6" s="24" t="s">
        <v>250</v>
      </c>
      <c r="R6" s="56" t="s">
        <v>110</v>
      </c>
      <c r="S6" s="24" t="s">
        <v>249</v>
      </c>
    </row>
    <row r="7" spans="1:19" ht="7.85" customHeight="1" x14ac:dyDescent="0.4">
      <c r="A7" s="20">
        <v>6</v>
      </c>
      <c r="B7" s="54" t="s">
        <v>229</v>
      </c>
      <c r="C7" s="48" t="s">
        <v>137</v>
      </c>
      <c r="D7" s="57" t="s">
        <v>113</v>
      </c>
      <c r="E7" s="39" t="s">
        <v>225</v>
      </c>
      <c r="F7" s="22" t="s">
        <v>78</v>
      </c>
      <c r="G7" s="23" t="s">
        <v>242</v>
      </c>
      <c r="H7" s="56" t="s">
        <v>9</v>
      </c>
      <c r="I7" s="24" t="s">
        <v>9</v>
      </c>
      <c r="J7" s="56" t="s">
        <v>105</v>
      </c>
      <c r="K7" s="24" t="s">
        <v>246</v>
      </c>
      <c r="L7" s="56" t="s">
        <v>106</v>
      </c>
      <c r="M7" s="24" t="s">
        <v>108</v>
      </c>
      <c r="N7" s="56" t="s">
        <v>107</v>
      </c>
      <c r="O7" s="24" t="s">
        <v>264</v>
      </c>
      <c r="P7" s="56" t="s">
        <v>109</v>
      </c>
      <c r="Q7" s="24" t="s">
        <v>122</v>
      </c>
      <c r="R7" s="56" t="s">
        <v>110</v>
      </c>
      <c r="S7" s="24" t="s">
        <v>127</v>
      </c>
    </row>
    <row r="8" spans="1:19" ht="7.85" customHeight="1" x14ac:dyDescent="0.4">
      <c r="A8" s="20">
        <v>7</v>
      </c>
      <c r="B8" s="54" t="s">
        <v>230</v>
      </c>
      <c r="C8" s="48" t="s">
        <v>137</v>
      </c>
      <c r="D8" s="57" t="s">
        <v>113</v>
      </c>
      <c r="E8" s="39" t="s">
        <v>225</v>
      </c>
      <c r="F8" s="22" t="s">
        <v>78</v>
      </c>
      <c r="G8" s="23" t="s">
        <v>242</v>
      </c>
      <c r="H8" s="56" t="s">
        <v>9</v>
      </c>
      <c r="I8" s="24" t="s">
        <v>9</v>
      </c>
      <c r="J8" s="56" t="s">
        <v>105</v>
      </c>
      <c r="K8" s="24" t="s">
        <v>246</v>
      </c>
      <c r="L8" s="56" t="s">
        <v>106</v>
      </c>
      <c r="M8" s="24" t="s">
        <v>108</v>
      </c>
      <c r="N8" s="56" t="s">
        <v>107</v>
      </c>
      <c r="O8" s="24" t="s">
        <v>264</v>
      </c>
      <c r="P8" s="56" t="s">
        <v>109</v>
      </c>
      <c r="Q8" s="24" t="s">
        <v>122</v>
      </c>
      <c r="R8" s="56" t="s">
        <v>110</v>
      </c>
      <c r="S8" s="24" t="s">
        <v>127</v>
      </c>
    </row>
    <row r="9" spans="1:19" ht="7.85" customHeight="1" x14ac:dyDescent="0.4">
      <c r="A9" s="20">
        <v>8</v>
      </c>
      <c r="B9" s="54" t="s">
        <v>231</v>
      </c>
      <c r="C9" s="48" t="s">
        <v>137</v>
      </c>
      <c r="D9" s="57" t="s">
        <v>113</v>
      </c>
      <c r="E9" s="39" t="s">
        <v>225</v>
      </c>
      <c r="F9" s="22" t="s">
        <v>78</v>
      </c>
      <c r="G9" s="23" t="s">
        <v>242</v>
      </c>
      <c r="H9" s="56" t="s">
        <v>9</v>
      </c>
      <c r="I9" s="24" t="s">
        <v>9</v>
      </c>
      <c r="J9" s="56" t="s">
        <v>105</v>
      </c>
      <c r="K9" s="24" t="s">
        <v>246</v>
      </c>
      <c r="L9" s="56" t="s">
        <v>106</v>
      </c>
      <c r="M9" s="24" t="s">
        <v>108</v>
      </c>
      <c r="N9" s="56" t="s">
        <v>107</v>
      </c>
      <c r="O9" s="24" t="s">
        <v>264</v>
      </c>
      <c r="P9" s="56" t="s">
        <v>109</v>
      </c>
      <c r="Q9" s="24" t="s">
        <v>122</v>
      </c>
      <c r="R9" s="56" t="s">
        <v>110</v>
      </c>
      <c r="S9" s="24" t="s">
        <v>127</v>
      </c>
    </row>
    <row r="10" spans="1:19" ht="7.85" customHeight="1" x14ac:dyDescent="0.4">
      <c r="A10" s="20">
        <v>9</v>
      </c>
      <c r="B10" s="54" t="s">
        <v>232</v>
      </c>
      <c r="C10" s="48" t="s">
        <v>137</v>
      </c>
      <c r="D10" s="57" t="s">
        <v>113</v>
      </c>
      <c r="E10" s="39" t="s">
        <v>225</v>
      </c>
      <c r="F10" s="22" t="s">
        <v>78</v>
      </c>
      <c r="G10" s="23" t="s">
        <v>242</v>
      </c>
      <c r="H10" s="56" t="s">
        <v>9</v>
      </c>
      <c r="I10" s="24" t="s">
        <v>9</v>
      </c>
      <c r="J10" s="56" t="s">
        <v>105</v>
      </c>
      <c r="K10" s="24" t="s">
        <v>246</v>
      </c>
      <c r="L10" s="56" t="s">
        <v>106</v>
      </c>
      <c r="M10" s="24" t="s">
        <v>108</v>
      </c>
      <c r="N10" s="56" t="s">
        <v>107</v>
      </c>
      <c r="O10" s="24" t="s">
        <v>264</v>
      </c>
      <c r="P10" s="56" t="s">
        <v>109</v>
      </c>
      <c r="Q10" s="24" t="s">
        <v>122</v>
      </c>
      <c r="R10" s="56" t="s">
        <v>110</v>
      </c>
      <c r="S10" s="24" t="s">
        <v>127</v>
      </c>
    </row>
    <row r="11" spans="1:19" ht="7.85" customHeight="1" x14ac:dyDescent="0.4">
      <c r="A11" s="20">
        <v>10</v>
      </c>
      <c r="B11" s="54" t="s">
        <v>233</v>
      </c>
      <c r="C11" s="48" t="s">
        <v>137</v>
      </c>
      <c r="D11" s="57" t="s">
        <v>113</v>
      </c>
      <c r="E11" s="39" t="s">
        <v>225</v>
      </c>
      <c r="F11" s="22" t="s">
        <v>78</v>
      </c>
      <c r="G11" s="23" t="s">
        <v>242</v>
      </c>
      <c r="H11" s="56" t="s">
        <v>9</v>
      </c>
      <c r="I11" s="24" t="s">
        <v>9</v>
      </c>
      <c r="J11" s="56" t="s">
        <v>105</v>
      </c>
      <c r="K11" s="24" t="s">
        <v>246</v>
      </c>
      <c r="L11" s="56" t="s">
        <v>106</v>
      </c>
      <c r="M11" s="24" t="s">
        <v>108</v>
      </c>
      <c r="N11" s="56" t="s">
        <v>107</v>
      </c>
      <c r="O11" s="24" t="s">
        <v>264</v>
      </c>
      <c r="P11" s="56" t="s">
        <v>109</v>
      </c>
      <c r="Q11" s="24" t="s">
        <v>122</v>
      </c>
      <c r="R11" s="56" t="s">
        <v>110</v>
      </c>
      <c r="S11" s="24" t="s">
        <v>127</v>
      </c>
    </row>
    <row r="12" spans="1:19" ht="7.85" customHeight="1" x14ac:dyDescent="0.4">
      <c r="A12" s="20">
        <v>11</v>
      </c>
      <c r="B12" s="54" t="s">
        <v>234</v>
      </c>
      <c r="C12" s="48" t="s">
        <v>137</v>
      </c>
      <c r="D12" s="57" t="s">
        <v>113</v>
      </c>
      <c r="E12" s="39" t="s">
        <v>225</v>
      </c>
      <c r="F12" s="22" t="s">
        <v>78</v>
      </c>
      <c r="G12" s="23" t="s">
        <v>242</v>
      </c>
      <c r="H12" s="56" t="s">
        <v>9</v>
      </c>
      <c r="I12" s="24" t="s">
        <v>9</v>
      </c>
      <c r="J12" s="56" t="s">
        <v>105</v>
      </c>
      <c r="K12" s="24" t="s">
        <v>246</v>
      </c>
      <c r="L12" s="56" t="s">
        <v>106</v>
      </c>
      <c r="M12" s="24" t="s">
        <v>108</v>
      </c>
      <c r="N12" s="56" t="s">
        <v>107</v>
      </c>
      <c r="O12" s="24" t="s">
        <v>264</v>
      </c>
      <c r="P12" s="56" t="s">
        <v>109</v>
      </c>
      <c r="Q12" s="24" t="s">
        <v>122</v>
      </c>
      <c r="R12" s="56" t="s">
        <v>110</v>
      </c>
      <c r="S12" s="24" t="s">
        <v>127</v>
      </c>
    </row>
    <row r="13" spans="1:19" ht="7.85" customHeight="1" x14ac:dyDescent="0.4">
      <c r="A13" s="20">
        <v>12</v>
      </c>
      <c r="B13" s="54" t="s">
        <v>235</v>
      </c>
      <c r="C13" s="48" t="s">
        <v>189</v>
      </c>
      <c r="D13" s="57" t="s">
        <v>113</v>
      </c>
      <c r="E13" s="39" t="s">
        <v>241</v>
      </c>
      <c r="F13" s="22" t="s">
        <v>78</v>
      </c>
      <c r="G13" s="23" t="s">
        <v>243</v>
      </c>
      <c r="H13" s="56" t="s">
        <v>9</v>
      </c>
      <c r="I13" s="24" t="s">
        <v>9</v>
      </c>
      <c r="J13" s="56" t="s">
        <v>105</v>
      </c>
      <c r="K13" s="24" t="s">
        <v>246</v>
      </c>
      <c r="L13" s="56" t="s">
        <v>106</v>
      </c>
      <c r="M13" s="24" t="s">
        <v>108</v>
      </c>
      <c r="N13" s="56" t="s">
        <v>107</v>
      </c>
      <c r="O13" s="24" t="s">
        <v>264</v>
      </c>
      <c r="P13" s="56" t="s">
        <v>109</v>
      </c>
      <c r="Q13" s="24" t="s">
        <v>122</v>
      </c>
      <c r="R13" s="56" t="s">
        <v>110</v>
      </c>
      <c r="S13" s="24" t="s">
        <v>127</v>
      </c>
    </row>
    <row r="14" spans="1:19" ht="7.85" customHeight="1" x14ac:dyDescent="0.4">
      <c r="A14" s="20">
        <v>13</v>
      </c>
      <c r="B14" s="54" t="s">
        <v>236</v>
      </c>
      <c r="C14" s="48" t="s">
        <v>189</v>
      </c>
      <c r="D14" s="57" t="s">
        <v>113</v>
      </c>
      <c r="E14" s="39" t="s">
        <v>241</v>
      </c>
      <c r="F14" s="22" t="s">
        <v>78</v>
      </c>
      <c r="G14" s="23" t="s">
        <v>243</v>
      </c>
      <c r="H14" s="56" t="s">
        <v>9</v>
      </c>
      <c r="I14" s="24" t="s">
        <v>9</v>
      </c>
      <c r="J14" s="56" t="s">
        <v>105</v>
      </c>
      <c r="K14" s="24" t="s">
        <v>246</v>
      </c>
      <c r="L14" s="56" t="s">
        <v>106</v>
      </c>
      <c r="M14" s="24" t="s">
        <v>108</v>
      </c>
      <c r="N14" s="56" t="s">
        <v>107</v>
      </c>
      <c r="O14" s="24" t="s">
        <v>264</v>
      </c>
      <c r="P14" s="56" t="s">
        <v>109</v>
      </c>
      <c r="Q14" s="24" t="s">
        <v>122</v>
      </c>
      <c r="R14" s="56" t="s">
        <v>110</v>
      </c>
      <c r="S14" s="24" t="s">
        <v>127</v>
      </c>
    </row>
    <row r="15" spans="1:19" ht="7.85" customHeight="1" x14ac:dyDescent="0.4">
      <c r="A15" s="20">
        <v>14</v>
      </c>
      <c r="B15" s="54" t="s">
        <v>237</v>
      </c>
      <c r="C15" s="48" t="s">
        <v>189</v>
      </c>
      <c r="D15" s="57" t="s">
        <v>113</v>
      </c>
      <c r="E15" s="39" t="s">
        <v>241</v>
      </c>
      <c r="F15" s="22" t="s">
        <v>78</v>
      </c>
      <c r="G15" s="23" t="s">
        <v>243</v>
      </c>
      <c r="H15" s="56" t="s">
        <v>9</v>
      </c>
      <c r="I15" s="24" t="s">
        <v>9</v>
      </c>
      <c r="J15" s="56" t="s">
        <v>105</v>
      </c>
      <c r="K15" s="24" t="s">
        <v>246</v>
      </c>
      <c r="L15" s="56" t="s">
        <v>106</v>
      </c>
      <c r="M15" s="24" t="s">
        <v>108</v>
      </c>
      <c r="N15" s="56" t="s">
        <v>107</v>
      </c>
      <c r="O15" s="24" t="s">
        <v>264</v>
      </c>
      <c r="P15" s="56" t="s">
        <v>109</v>
      </c>
      <c r="Q15" s="24" t="s">
        <v>122</v>
      </c>
      <c r="R15" s="56" t="s">
        <v>110</v>
      </c>
      <c r="S15" s="24" t="s">
        <v>127</v>
      </c>
    </row>
    <row r="16" spans="1:19" ht="7.85" customHeight="1" x14ac:dyDescent="0.4">
      <c r="A16" s="20">
        <v>15</v>
      </c>
      <c r="B16" s="54" t="s">
        <v>238</v>
      </c>
      <c r="C16" s="48" t="s">
        <v>189</v>
      </c>
      <c r="D16" s="57" t="s">
        <v>113</v>
      </c>
      <c r="E16" s="39" t="s">
        <v>241</v>
      </c>
      <c r="F16" s="22" t="s">
        <v>78</v>
      </c>
      <c r="G16" s="23" t="s">
        <v>243</v>
      </c>
      <c r="H16" s="56" t="s">
        <v>9</v>
      </c>
      <c r="I16" s="24" t="s">
        <v>9</v>
      </c>
      <c r="J16" s="56" t="s">
        <v>105</v>
      </c>
      <c r="K16" s="24" t="s">
        <v>246</v>
      </c>
      <c r="L16" s="56" t="s">
        <v>106</v>
      </c>
      <c r="M16" s="24" t="s">
        <v>108</v>
      </c>
      <c r="N16" s="56" t="s">
        <v>107</v>
      </c>
      <c r="O16" s="24" t="s">
        <v>264</v>
      </c>
      <c r="P16" s="56" t="s">
        <v>109</v>
      </c>
      <c r="Q16" s="24" t="s">
        <v>122</v>
      </c>
      <c r="R16" s="56" t="s">
        <v>110</v>
      </c>
      <c r="S16" s="24" t="s">
        <v>127</v>
      </c>
    </row>
    <row r="17" spans="1:19" ht="7.85" customHeight="1" x14ac:dyDescent="0.4">
      <c r="A17" s="20">
        <v>16</v>
      </c>
      <c r="B17" s="54" t="s">
        <v>239</v>
      </c>
      <c r="C17" s="48" t="s">
        <v>189</v>
      </c>
      <c r="D17" s="57" t="s">
        <v>113</v>
      </c>
      <c r="E17" s="39" t="s">
        <v>241</v>
      </c>
      <c r="F17" s="22" t="s">
        <v>78</v>
      </c>
      <c r="G17" s="23" t="s">
        <v>243</v>
      </c>
      <c r="H17" s="56" t="s">
        <v>9</v>
      </c>
      <c r="I17" s="24" t="s">
        <v>9</v>
      </c>
      <c r="J17" s="56" t="s">
        <v>105</v>
      </c>
      <c r="K17" s="24" t="s">
        <v>246</v>
      </c>
      <c r="L17" s="56" t="s">
        <v>106</v>
      </c>
      <c r="M17" s="24" t="s">
        <v>108</v>
      </c>
      <c r="N17" s="56" t="s">
        <v>107</v>
      </c>
      <c r="O17" s="24" t="s">
        <v>264</v>
      </c>
      <c r="P17" s="56" t="s">
        <v>109</v>
      </c>
      <c r="Q17" s="24" t="s">
        <v>122</v>
      </c>
      <c r="R17" s="56" t="s">
        <v>110</v>
      </c>
      <c r="S17" s="24" t="s">
        <v>127</v>
      </c>
    </row>
    <row r="18" spans="1:19" ht="7.85" customHeight="1" x14ac:dyDescent="0.4">
      <c r="A18" s="20">
        <v>17</v>
      </c>
      <c r="B18" s="54" t="s">
        <v>240</v>
      </c>
      <c r="C18" s="48" t="s">
        <v>189</v>
      </c>
      <c r="D18" s="57" t="s">
        <v>113</v>
      </c>
      <c r="E18" s="39" t="s">
        <v>241</v>
      </c>
      <c r="F18" s="22" t="s">
        <v>78</v>
      </c>
      <c r="G18" s="23" t="s">
        <v>243</v>
      </c>
      <c r="H18" s="56" t="s">
        <v>9</v>
      </c>
      <c r="I18" s="24" t="s">
        <v>9</v>
      </c>
      <c r="J18" s="56" t="s">
        <v>105</v>
      </c>
      <c r="K18" s="24" t="s">
        <v>246</v>
      </c>
      <c r="L18" s="56" t="s">
        <v>106</v>
      </c>
      <c r="M18" s="24" t="s">
        <v>108</v>
      </c>
      <c r="N18" s="56" t="s">
        <v>107</v>
      </c>
      <c r="O18" s="24" t="s">
        <v>264</v>
      </c>
      <c r="P18" s="56" t="s">
        <v>109</v>
      </c>
      <c r="Q18" s="24" t="s">
        <v>122</v>
      </c>
      <c r="R18" s="56" t="s">
        <v>110</v>
      </c>
      <c r="S18" s="24" t="s">
        <v>127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2026-04-23T01:15:44Z</dcterms:modified>
  <dc:language>pt-BR</dc:language>
</cp:coreProperties>
</file>